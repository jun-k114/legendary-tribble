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チェック" sheetId="2" state="visible" r:id="rId4"/>
    <sheet name="請求台帳" sheetId="3" state="visible" r:id="rId5"/>
    <sheet name="入金明細" sheetId="4" state="visible" r:id="rId6"/>
    <sheet name="取引先別残高" sheetId="5" state="visible" r:id="rId7"/>
    <sheet name="取引先マスタ" sheetId="6" state="visible" r:id="rId8"/>
    <sheet name="月次チェック記録" sheetId="7" state="visible" r:id="rId9"/>
    <sheet name="設定" sheetId="8" state="visible" r:id="rId10"/>
  </sheets>
  <definedNames>
    <definedName function="false" hidden="true" localSheetId="3" name="_xlnm._FilterDatabase" vbProcedure="false">入金明細!$A$4:$K$1004</definedName>
    <definedName function="false" hidden="true" localSheetId="5" name="_xlnm._FilterDatabase" vbProcedure="false">取引先マスタ!$A$4:$L$204</definedName>
    <definedName function="false" hidden="true" localSheetId="2" name="_xlnm._FilterDatabase" vbProcedure="false">請求台帳!$A$4:$Y$504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請求日・取引先・件名・金額のいずれかを入力すると自動採番。この番号を請求書に記載します</t>
        </r>
      </text>
    </comment>
    <comment ref="B4" authorId="0">
      <text>
        <r>
          <rPr>
            <sz val="10"/>
            <rFont val="WenQuanYi Zen Hei"/>
            <family val="2"/>
          </rPr>
          <t xml:space="preserve">締日ベースの請求日。入金期日の起算月になります</t>
        </r>
      </text>
    </comment>
    <comment ref="C4" authorId="0">
      <text>
        <r>
          <rPr>
            <sz val="10"/>
            <rFont val="WenQuanYi Zen Hei"/>
            <family val="2"/>
          </rPr>
          <t xml:space="preserve">取引先マスタのコードから選択</t>
        </r>
      </text>
    </comment>
    <comment ref="E4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WenQuanYi Zen Hei"/>
            <family val="2"/>
          </rPr>
          <t xml:space="preserve">月分 保守料</t>
        </r>
      </text>
    </comment>
    <comment ref="H4" authorId="0">
      <text>
        <r>
          <rPr>
            <sz val="10"/>
            <rFont val="WenQuanYi Zen Hei"/>
            <family val="2"/>
          </rPr>
          <t xml:space="preserve">税抜金額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税率</t>
        </r>
        <r>
          <rPr>
            <sz val="10"/>
            <rFont val="Arial"/>
            <family val="2"/>
          </rPr>
          <t xml:space="preserve">(1</t>
        </r>
        <r>
          <rPr>
            <sz val="10"/>
            <rFont val="WenQuanYi Zen Hei"/>
            <family val="2"/>
          </rPr>
          <t xml:space="preserve">円未満切捨て</t>
        </r>
        <r>
          <rPr>
            <sz val="10"/>
            <rFont val="Arial"/>
            <family val="2"/>
          </rPr>
          <t xml:space="preserve">)</t>
        </r>
      </text>
    </comment>
    <comment ref="J4" authorId="0">
      <text>
        <r>
          <rPr>
            <sz val="10"/>
            <rFont val="WenQuanYi Zen Hei"/>
            <family val="2"/>
          </rPr>
          <t xml:space="preserve">請求日と取引先マスタの支払条件から自動計算</t>
        </r>
      </text>
    </comment>
    <comment ref="K4" authorId="0">
      <text>
        <r>
          <rPr>
            <sz val="10"/>
            <rFont val="WenQuanYi Zen Hei"/>
            <family val="2"/>
          </rPr>
          <t xml:space="preserve">個別に期日が決まっている場合のみ入力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自動より優先</t>
        </r>
        <r>
          <rPr>
            <sz val="10"/>
            <rFont val="Arial"/>
            <family val="2"/>
          </rPr>
          <t xml:space="preserve">)</t>
        </r>
      </text>
    </comment>
    <comment ref="L4" authorId="0">
      <text>
        <r>
          <rPr>
            <sz val="10"/>
            <rFont val="WenQuanYi Zen Hei"/>
            <family val="2"/>
          </rPr>
          <t xml:space="preserve">この期日でステータスを判定</t>
        </r>
      </text>
    </comment>
    <comment ref="N4" authorId="0">
      <text>
        <r>
          <rPr>
            <sz val="10"/>
            <rFont val="WenQuanYi Zen Hei"/>
            <family val="2"/>
          </rPr>
          <t xml:space="preserve">送付したら必ず入力。空欄の間は「未送付」</t>
        </r>
      </text>
    </comment>
    <comment ref="P4" authorId="0">
      <text>
        <r>
          <rPr>
            <sz val="10"/>
            <rFont val="WenQuanYi Zen Hei"/>
            <family val="2"/>
          </rPr>
          <t xml:space="preserve">入金明細で、この請求番号に消込した金額の合計</t>
        </r>
      </text>
    </comment>
    <comment ref="R4" authorId="0">
      <text>
        <r>
          <rPr>
            <sz val="10"/>
            <rFont val="WenQuanYi Zen Hei"/>
            <family val="2"/>
          </rPr>
          <t xml:space="preserve">先方が振込手数料を差し引いた場合などの差額。入れると残高から控除</t>
        </r>
      </text>
    </comment>
    <comment ref="T4" authorId="0">
      <text>
        <r>
          <rPr>
            <sz val="10"/>
            <rFont val="WenQuanYi Zen Hei"/>
            <family val="2"/>
          </rPr>
          <t xml:space="preserve">誤発行・再発行などで無効にする請求は「取消」を選び、備考に理由を記入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行は削除しない</t>
        </r>
        <r>
          <rPr>
            <sz val="10"/>
            <rFont val="Arial"/>
            <family val="2"/>
          </rPr>
          <t xml:space="preserve">)</t>
        </r>
      </text>
    </comment>
    <comment ref="U4" authorId="0">
      <text>
        <r>
          <rPr>
            <sz val="10"/>
            <rFont val="WenQuanYi Zen Hei"/>
            <family val="2"/>
          </rPr>
          <t xml:space="preserve">「はじめに」シートの</t>
        </r>
        <r>
          <rPr>
            <sz val="10"/>
            <rFont val="Arial"/>
            <family val="2"/>
          </rPr>
          <t xml:space="preserve">4.</t>
        </r>
        <r>
          <rPr>
            <sz val="10"/>
            <rFont val="WenQuanYi Zen Hei"/>
            <family val="2"/>
          </rPr>
          <t xml:space="preserve">を参照</t>
        </r>
      </text>
    </comment>
    <comment ref="W4" authorId="0">
      <text>
        <r>
          <rPr>
            <sz val="10"/>
            <rFont val="WenQuanYi Zen Hei"/>
            <family val="2"/>
          </rPr>
          <t xml:space="preserve">未入力の項目名を表示。空欄になれば</t>
        </r>
        <r>
          <rPr>
            <sz val="10"/>
            <rFont val="Arial"/>
            <family val="2"/>
          </rPr>
          <t xml:space="preserve">OK</t>
        </r>
      </text>
    </comment>
    <comment ref="X4" authorId="0">
      <text>
        <r>
          <rPr>
            <sz val="10"/>
            <rFont val="WenQuanYi Zen Hei"/>
            <family val="2"/>
          </rPr>
          <t xml:space="preserve">入金済になった請求を確認した人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入金明細の入力者とは別の人が望ましい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WenQuanYi Zen Hei"/>
            <family val="2"/>
          </rPr>
          <t xml:space="preserve">通帳の表示どおりに入力</t>
        </r>
      </text>
    </comment>
    <comment ref="F4" authorId="0">
      <text>
        <r>
          <rPr>
            <sz val="10"/>
            <rFont val="WenQuanYi Zen Hei"/>
            <family val="2"/>
          </rPr>
          <t xml:space="preserve">対応する請求台帳の請求番号。不明なら空欄のまま</t>
        </r>
        <r>
          <rPr>
            <sz val="10"/>
            <rFont val="Arial"/>
            <family val="2"/>
          </rPr>
          <t xml:space="preserve">(=</t>
        </r>
        <r>
          <rPr>
            <sz val="10"/>
            <rFont val="WenQuanYi Zen Hei"/>
            <family val="2"/>
          </rPr>
          <t xml:space="preserve">未消込として残る</t>
        </r>
        <r>
          <rPr>
            <sz val="10"/>
            <rFont val="Arial"/>
            <family val="2"/>
          </rPr>
          <t xml:space="preserve">)</t>
        </r>
      </text>
    </comment>
    <comment ref="G4" authorId="0">
      <text>
        <r>
          <rPr>
            <sz val="10"/>
            <rFont val="WenQuanYi Zen Hei"/>
            <family val="2"/>
          </rPr>
          <t xml:space="preserve">消込先請求の取引先。振込名義と一致しているか目視で確認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WenQuanYi Zen Hei"/>
            <family val="2"/>
          </rPr>
          <t xml:space="preserve">「チェック」シートの対象月に請求日がある請求の件数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取消除く</t>
        </r>
        <r>
          <rPr>
            <sz val="10"/>
            <rFont val="Arial"/>
            <family val="2"/>
          </rPr>
          <t xml:space="preserve">)</t>
        </r>
      </text>
    </comment>
    <comment ref="J4" authorId="0">
      <text>
        <r>
          <rPr>
            <sz val="10"/>
            <rFont val="WenQuanYi Zen Hei"/>
            <family val="2"/>
          </rPr>
          <t xml:space="preserve">取引先マスタで毎月請求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有 なのに対象月の請求がない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WenQuanYi Zen Hei"/>
            <family val="2"/>
          </rPr>
          <t xml:space="preserve">重複不可。請求台帳ではこのコードで選択します</t>
        </r>
      </text>
    </comment>
    <comment ref="C4" authorId="0">
      <text>
        <r>
          <rPr>
            <sz val="10"/>
            <rFont val="WenQuanYi Zen Hei"/>
            <family val="2"/>
          </rPr>
          <t xml:space="preserve">通帳に表示される名義。入金明細での照合に使います</t>
        </r>
      </text>
    </comment>
    <comment ref="D4" authorId="0">
      <text>
        <r>
          <rPr>
            <sz val="10"/>
            <rFont val="WenQuanYi Zen Hei"/>
            <family val="2"/>
          </rPr>
          <t xml:space="preserve">例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末日 </t>
        </r>
        <r>
          <rPr>
            <sz val="10"/>
            <rFont val="Arial"/>
            <family val="2"/>
          </rPr>
          <t xml:space="preserve">/ 20</t>
        </r>
        <r>
          <rPr>
            <sz val="10"/>
            <rFont val="WenQuanYi Zen Hei"/>
            <family val="2"/>
          </rPr>
          <t xml:space="preserve">日</t>
        </r>
      </text>
    </comment>
    <comment ref="E4" authorId="0">
      <text>
        <r>
          <rPr>
            <sz val="10"/>
            <rFont val="WenQuanYi Zen Hei"/>
            <family val="2"/>
          </rPr>
          <t xml:space="preserve">請求月の何か月後に支払われるか。翌月</t>
        </r>
        <r>
          <rPr>
            <sz val="10"/>
            <rFont val="Arial"/>
            <family val="2"/>
          </rPr>
          <t xml:space="preserve">=1</t>
        </r>
        <r>
          <rPr>
            <sz val="10"/>
            <rFont val="WenQuanYi Zen Hei"/>
            <family val="2"/>
          </rPr>
          <t xml:space="preserve">、翌々月</t>
        </r>
        <r>
          <rPr>
            <sz val="10"/>
            <rFont val="Arial"/>
            <family val="2"/>
          </rPr>
          <t xml:space="preserve">=2</t>
        </r>
        <r>
          <rPr>
            <sz val="10"/>
            <rFont val="WenQuanYi Zen Hei"/>
            <family val="2"/>
          </rPr>
          <t xml:space="preserve">、当月</t>
        </r>
        <r>
          <rPr>
            <sz val="10"/>
            <rFont val="Arial"/>
            <family val="2"/>
          </rPr>
          <t xml:space="preserve">=0</t>
        </r>
      </text>
    </comment>
    <comment ref="F4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31</t>
        </r>
        <r>
          <rPr>
            <sz val="10"/>
            <rFont val="WenQuanYi Zen Hei"/>
            <family val="2"/>
          </rPr>
          <t xml:space="preserve">。末日払いは</t>
        </r>
        <r>
          <rPr>
            <sz val="10"/>
            <rFont val="Arial"/>
            <family val="2"/>
          </rPr>
          <t xml:space="preserve">31(</t>
        </r>
        <r>
          <rPr>
            <sz val="10"/>
            <rFont val="WenQuanYi Zen Hei"/>
            <family val="2"/>
          </rPr>
          <t xml:space="preserve">月の日数に合わせて自動調整</t>
        </r>
        <r>
          <rPr>
            <sz val="10"/>
            <rFont val="Arial"/>
            <family val="2"/>
          </rPr>
          <t xml:space="preserve">)</t>
        </r>
      </text>
    </comment>
    <comment ref="G4" authorId="0">
      <text>
        <r>
          <rPr>
            <sz val="10"/>
            <rFont val="WenQuanYi Zen Hei"/>
            <family val="2"/>
          </rPr>
          <t xml:space="preserve">毎月必ず請求する取引先は「有」。当月の請求が未登録だと「請求漏れ候補」になります</t>
        </r>
      </text>
    </comment>
    <comment ref="J4" authorId="0">
      <text>
        <r>
          <rPr>
            <sz val="10"/>
            <rFont val="WenQuanYi Zen Hei"/>
            <family val="2"/>
          </rPr>
          <t xml:space="preserve">督促・状況確認の担当者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契約・受注・納品・作業報告の一覧と、対象月の請求台帳を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件ずつ突合</t>
        </r>
      </text>
    </comment>
    <comment ref="F4" authorId="0">
      <text>
        <r>
          <rPr>
            <sz val="10"/>
            <rFont val="WenQuanYi Zen Hei"/>
            <family val="2"/>
          </rPr>
          <t xml:space="preserve">期日超過の全件について、担当者が先方に確認し備考に結果を記録</t>
        </r>
      </text>
    </comment>
    <comment ref="K4" authorId="0">
      <text>
        <r>
          <rPr>
            <sz val="10"/>
            <rFont val="WenQuanYi Zen Hei"/>
            <family val="2"/>
          </rPr>
          <t xml:space="preserve">実施者とは別の人が、チェックシートの画面を見て承認</t>
        </r>
      </text>
    </comment>
  </commentList>
</comments>
</file>

<file path=xl/sharedStrings.xml><?xml version="1.0" encoding="utf-8"?>
<sst xmlns="http://schemas.openxmlformats.org/spreadsheetml/2006/main" count="313" uniqueCount="245">
  <si>
    <t xml:space="preserve">請求・入金管理表  ― 使い方</t>
  </si>
  <si>
    <t xml:space="preserve">請求書の「発行漏れ」「送付漏れ」「入金確認漏れ」「記入漏れ」を仕組みで防ぐための管理表です。</t>
  </si>
  <si>
    <r>
      <rPr>
        <b val="true"/>
        <sz val="10"/>
        <rFont val="Meiryo UI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色の見方</t>
    </r>
  </si>
  <si>
    <t xml:space="preserve">黄色のセル</t>
  </si>
  <si>
    <r>
      <rPr>
        <sz val="10"/>
        <rFont val="WenQuanYi Zen Hei"/>
        <family val="2"/>
      </rPr>
      <t xml:space="preserve">入力するセル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ここだけ入力します</t>
    </r>
    <r>
      <rPr>
        <sz val="10"/>
        <rFont val="Meiryo UI"/>
        <family val="0"/>
        <charset val="1"/>
      </rPr>
      <t xml:space="preserve">)</t>
    </r>
  </si>
  <si>
    <t xml:space="preserve">灰色のセル</t>
  </si>
  <si>
    <r>
      <rPr>
        <sz val="10"/>
        <rFont val="WenQuanYi Zen Hei"/>
        <family val="2"/>
      </rPr>
      <t xml:space="preserve">自動計算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入力不要。シート保護で上書きできないようにしています</t>
    </r>
    <r>
      <rPr>
        <sz val="10"/>
        <rFont val="Meiryo UI"/>
        <family val="0"/>
        <charset val="1"/>
      </rPr>
      <t xml:space="preserve">)</t>
    </r>
  </si>
  <si>
    <r>
      <rPr>
        <b val="true"/>
        <sz val="10"/>
        <rFont val="Meiryo UI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シート構成</t>
    </r>
  </si>
  <si>
    <t xml:space="preserve">請求台帳</t>
  </si>
  <si>
    <r>
      <rPr>
        <sz val="10"/>
        <rFont val="WenQuanYi Zen Hei"/>
        <family val="2"/>
      </rPr>
      <t xml:space="preserve">請求書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枚</t>
    </r>
    <r>
      <rPr>
        <sz val="10"/>
        <rFont val="Meiryo UI"/>
        <family val="0"/>
        <charset val="1"/>
      </rPr>
      <t xml:space="preserve">=1</t>
    </r>
    <r>
      <rPr>
        <sz val="10"/>
        <rFont val="WenQuanYi Zen Hei"/>
        <family val="2"/>
      </rPr>
      <t xml:space="preserve">行。請求番号は台帳が自動採番します。ステータス・入力漏れを自動判定。</t>
    </r>
  </si>
  <si>
    <t xml:space="preserve">入金明細</t>
  </si>
  <si>
    <r>
      <rPr>
        <sz val="10"/>
        <rFont val="WenQuanYi Zen Hei"/>
        <family val="2"/>
      </rPr>
      <t xml:space="preserve">通帳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ネットバンキングの入金を【全件】転記し、消込先の請求番号を入れます。</t>
    </r>
  </si>
  <si>
    <t xml:space="preserve">取引先マスタ</t>
  </si>
  <si>
    <r>
      <rPr>
        <sz val="10"/>
        <rFont val="WenQuanYi Zen Hei"/>
        <family val="2"/>
      </rPr>
      <t xml:space="preserve">取引先コード・支払条件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サイト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支払日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・毎月請求の有無を登録します。</t>
    </r>
  </si>
  <si>
    <t xml:space="preserve">チェック</t>
  </si>
  <si>
    <r>
      <rPr>
        <sz val="10"/>
        <rFont val="WenQuanYi Zen Hei"/>
        <family val="2"/>
      </rPr>
      <t xml:space="preserve">未送付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期日超過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未消込</t>
    </r>
    <r>
      <rPr>
        <sz val="10"/>
        <rFont val="Meiryo UI"/>
        <family val="0"/>
        <charset val="1"/>
      </rPr>
      <t xml:space="preserve">/</t>
    </r>
    <r>
      <rPr>
        <sz val="10"/>
        <rFont val="WenQuanYi Zen Hei"/>
        <family val="2"/>
      </rPr>
      <t xml:space="preserve">要入力などの件数を一覧表示。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件でない項目が「要対応」です。</t>
    </r>
  </si>
  <si>
    <t xml:space="preserve">取引先別残高</t>
  </si>
  <si>
    <t xml:space="preserve">取引先ごとの未回収残高と超過日数の内訳、毎月請求先の請求漏れ候補を表示します。</t>
  </si>
  <si>
    <t xml:space="preserve">月次チェック記録</t>
  </si>
  <si>
    <r>
      <rPr>
        <sz val="10"/>
        <rFont val="WenQuanYi Zen Hei"/>
        <family val="2"/>
      </rPr>
      <t xml:space="preserve">月次締めのチェック結果と承認を記録します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誰がいつ確認したかを残す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</si>
  <si>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設定</t>
  </si>
  <si>
    <t xml:space="preserve">請求番号の接頭辞、基準日、期日間近の日数、プルダウンの選択肢。</t>
  </si>
  <si>
    <r>
      <rPr>
        <b val="true"/>
        <sz val="10"/>
        <rFont val="Meiryo UI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基本の流れ</t>
    </r>
  </si>
  <si>
    <t xml:space="preserve">① 請求書を作る前</t>
  </si>
  <si>
    <r>
      <rPr>
        <sz val="10"/>
        <rFont val="WenQuanYi Zen Hei"/>
        <family val="2"/>
      </rPr>
      <t xml:space="preserve">請求台帳に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行追加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請求日・取引先・件名・金額・税率・送付方法</t>
    </r>
    <r>
      <rPr>
        <sz val="10"/>
        <rFont val="Meiryo UI"/>
        <family val="0"/>
        <charset val="1"/>
      </rPr>
      <t xml:space="preserve">)→ </t>
    </r>
    <r>
      <rPr>
        <sz val="10"/>
        <rFont val="WenQuanYi Zen Hei"/>
        <family val="2"/>
      </rPr>
      <t xml:space="preserve">採番された請求番号を請求書に記載。</t>
    </r>
  </si>
  <si>
    <t xml:space="preserve">② 請求書を送ったら</t>
  </si>
  <si>
    <t xml:space="preserve">送付日・送付者を入力。未入力の間はステータスが「未送付」のまま残ります。</t>
  </si>
  <si>
    <t xml:space="preserve">③ 入金があったら</t>
  </si>
  <si>
    <t xml:space="preserve">入金明細に入金日・名義・金額を転記し、消込先の請求番号を入力。台帳の入金額・残高が自動更新されます。</t>
  </si>
  <si>
    <t xml:space="preserve">④ 消込を確認したら</t>
  </si>
  <si>
    <r>
      <rPr>
        <sz val="10"/>
        <rFont val="WenQuanYi Zen Hei"/>
        <family val="2"/>
      </rPr>
      <t xml:space="preserve">残高が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になった請求は、別の人が確認して「消込確認者」に名前を入れます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未入力だと「要入力」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</si>
  <si>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⑤ 毎週</t>
  </si>
  <si>
    <t xml:space="preserve">チェックシートで「期日超過」「期日間近」を確認し、担当者から督促・状況確認。</t>
  </si>
  <si>
    <r>
      <rPr>
        <b val="true"/>
        <sz val="10"/>
        <rFont val="WenQuanYi Zen Hei"/>
        <family val="2"/>
      </rPr>
      <t xml:space="preserve">⑥ 毎月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締め後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</si>
  <si>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チェックシートの全項目が「</t>
    </r>
    <r>
      <rPr>
        <sz val="10"/>
        <rFont val="Meiryo UI"/>
        <family val="0"/>
        <charset val="1"/>
      </rPr>
      <t xml:space="preserve">OK</t>
    </r>
    <r>
      <rPr>
        <sz val="10"/>
        <rFont val="WenQuanYi Zen Hei"/>
        <family val="2"/>
      </rPr>
      <t xml:space="preserve">」になることを確認し、月次チェック記録に実施者・承認者を記入。</t>
    </r>
  </si>
  <si>
    <r>
      <rPr>
        <b val="true"/>
        <sz val="10"/>
        <rFont val="Meiryo UI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ステータスの意味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請求台帳</t>
    </r>
    <r>
      <rPr>
        <b val="true"/>
        <sz val="10"/>
        <rFont val="Meiryo UI"/>
        <family val="0"/>
        <charset val="1"/>
      </rPr>
      <t xml:space="preserve">)</t>
    </r>
  </si>
  <si>
    <t xml:space="preserve">要入力</t>
  </si>
  <si>
    <t xml:space="preserve">必須項目の漏れ、取引先コード誤り、送付者・消込確認者の未入力がある。「入力漏れ」列に項目名を表示。</t>
  </si>
  <si>
    <t xml:space="preserve">未送付</t>
  </si>
  <si>
    <t xml:space="preserve">台帳登録済みだが送付日が空欄。請求書の出し忘れ・送り忘れの可能性。</t>
  </si>
  <si>
    <r>
      <rPr>
        <b val="true"/>
        <sz val="10"/>
        <rFont val="WenQuanYi Zen Hei"/>
        <family val="2"/>
      </rPr>
      <t xml:space="preserve">入金待ち </t>
    </r>
    <r>
      <rPr>
        <b val="true"/>
        <sz val="10"/>
        <rFont val="Meiryo UI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期日間近</t>
    </r>
  </si>
  <si>
    <t xml:space="preserve">送付済みで期日前。期日まで「設定」の日数以内なら期日間近。</t>
  </si>
  <si>
    <t xml:space="preserve">期日超過</t>
  </si>
  <si>
    <t xml:space="preserve">入金期日を過ぎても未回収残高がある。督促が必要。</t>
  </si>
  <si>
    <r>
      <rPr>
        <b val="true"/>
        <sz val="10"/>
        <rFont val="WenQuanYi Zen Hei"/>
        <family val="2"/>
      </rPr>
      <t xml:space="preserve">一部入金 </t>
    </r>
    <r>
      <rPr>
        <b val="true"/>
        <sz val="10"/>
        <rFont val="Meiryo UI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一部入金・超過</t>
    </r>
  </si>
  <si>
    <r>
      <rPr>
        <sz val="10"/>
        <rFont val="WenQuanYi Zen Hei"/>
        <family val="2"/>
      </rPr>
      <t xml:space="preserve">入金額が請求額に足りない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振込手数料の差引なら「手数料・値引等」に入力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</si>
  <si>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過入金</t>
  </si>
  <si>
    <r>
      <rPr>
        <sz val="10"/>
        <rFont val="WenQuanYi Zen Hei"/>
        <family val="2"/>
      </rPr>
      <t xml:space="preserve">請求額より多く入金されている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二重振込・消込先誤りの可能性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</si>
  <si>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入金済</t>
  </si>
  <si>
    <r>
      <rPr>
        <sz val="10"/>
        <rFont val="WenQuanYi Zen Hei"/>
        <family val="2"/>
      </rPr>
      <t xml:space="preserve">未回収残高が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</si>
  <si>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取消</t>
  </si>
  <si>
    <r>
      <rPr>
        <sz val="10"/>
        <rFont val="WenQuanYi Zen Hei"/>
        <family val="2"/>
      </rPr>
      <t xml:space="preserve">「取消」列で取消した請求。行は削除せず残します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番号の欠番を作らないため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</si>
  <si>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Meiryo UI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守るルール</t>
    </r>
  </si>
  <si>
    <t xml:space="preserve">行を削除しない</t>
  </si>
  <si>
    <t xml:space="preserve">間違えた請求は「取消」を選び、備考に理由を書く。番号の連続性が発行漏れチェックの根拠になります。</t>
  </si>
  <si>
    <t xml:space="preserve">並べ替えをしない</t>
  </si>
  <si>
    <r>
      <rPr>
        <sz val="10"/>
        <rFont val="WenQuanYi Zen Hei"/>
        <family val="2"/>
      </rPr>
      <t xml:space="preserve">請求番号は行位置から採番されるため、並べ替えは不可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シート保護で制限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。絞り込みはフィルタで。</t>
    </r>
  </si>
  <si>
    <t xml:space="preserve">入金は全件転記</t>
  </si>
  <si>
    <t xml:space="preserve">請求に対応しない入金も含めて全件入力。「未消込」が残っていれば消込漏れか不明入金です。</t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</si>
  <si>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入金で複数請求</t>
    </r>
  </si>
  <si>
    <t xml:space="preserve">入金明細を請求の数だけ行に分け、金額を按分して各請求番号を入力。</t>
  </si>
  <si>
    <t xml:space="preserve">振込手数料の差引</t>
  </si>
  <si>
    <t xml:space="preserve">先方負担の手数料が差し引かれた場合、請求台帳の「手数料・値引等」に差額を入力。</t>
  </si>
  <si>
    <t xml:space="preserve">サンプルデータ</t>
  </si>
  <si>
    <r>
      <rPr>
        <sz val="10"/>
        <rFont val="WenQuanYi Zen Hei"/>
        <family val="2"/>
      </rPr>
      <t xml:space="preserve">各シートの「サンプル」「</t>
    </r>
    <r>
      <rPr>
        <sz val="10"/>
        <rFont val="Meiryo UI"/>
        <family val="0"/>
        <charset val="1"/>
      </rPr>
      <t xml:space="preserve">SAMPLE</t>
    </r>
    <r>
      <rPr>
        <sz val="10"/>
        <rFont val="WenQuanYi Zen Hei"/>
        <family val="2"/>
      </rPr>
      <t xml:space="preserve">」行は動作確認用です。運用開始前に入力セルの内容を消去してください。</t>
    </r>
  </si>
  <si>
    <t xml:space="preserve">シート保護</t>
  </si>
  <si>
    <r>
      <rPr>
        <sz val="10"/>
        <rFont val="WenQuanYi Zen Hei"/>
        <family val="2"/>
      </rPr>
      <t xml:space="preserve">パスワードなしで保護しています。列の追加などが必要な場合は</t>
    </r>
    <r>
      <rPr>
        <sz val="10"/>
        <rFont val="Meiryo UI"/>
        <family val="0"/>
        <charset val="1"/>
      </rPr>
      <t xml:space="preserve">[</t>
    </r>
    <r>
      <rPr>
        <sz val="10"/>
        <rFont val="WenQuanYi Zen Hei"/>
        <family val="2"/>
      </rPr>
      <t xml:space="preserve">校閲</t>
    </r>
    <r>
      <rPr>
        <sz val="10"/>
        <rFont val="Meiryo UI"/>
        <family val="0"/>
        <charset val="1"/>
      </rPr>
      <t xml:space="preserve">]→[</t>
    </r>
    <r>
      <rPr>
        <sz val="10"/>
        <rFont val="WenQuanYi Zen Hei"/>
        <family val="2"/>
      </rPr>
      <t xml:space="preserve">シート保護の解除</t>
    </r>
    <r>
      <rPr>
        <sz val="10"/>
        <rFont val="Meiryo UI"/>
        <family val="0"/>
        <charset val="1"/>
      </rPr>
      <t xml:space="preserve">]</t>
    </r>
    <r>
      <rPr>
        <sz val="10"/>
        <rFont val="WenQuanYi Zen Hei"/>
        <family val="2"/>
      </rPr>
      <t xml:space="preserve">。</t>
    </r>
  </si>
  <si>
    <r>
      <rPr>
        <b val="true"/>
        <sz val="14"/>
        <rFont val="WenQuanYi Zen Hei"/>
        <family val="2"/>
      </rPr>
      <t xml:space="preserve">チェック</t>
    </r>
    <r>
      <rPr>
        <b val="true"/>
        <sz val="14"/>
        <rFont val="Meiryo UI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ダッシュボード</t>
    </r>
    <r>
      <rPr>
        <b val="true"/>
        <sz val="14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</si>
  <si>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判定が「要対応」の項目を解消してください。月次締めでは全項目「</t>
    </r>
    <r>
      <rPr>
        <sz val="9"/>
        <color rgb="FF595959"/>
        <rFont val="Meiryo UI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」を確認して「月次チェック記録」に記入します。</t>
    </r>
  </si>
  <si>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月次チェック用</t>
    </r>
    <r>
      <rPr>
        <b val="true"/>
        <sz val="10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</si>
  <si>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既定は基準日の前月。確認したい月の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日を入力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2026/9/1)</t>
    </r>
  </si>
  <si>
    <t xml:space="preserve">基準日</t>
  </si>
  <si>
    <t xml:space="preserve">「設定」シートで変更</t>
  </si>
  <si>
    <t xml:space="preserve">チェック項目</t>
  </si>
  <si>
    <t xml:space="preserve">件数</t>
  </si>
  <si>
    <t xml:space="preserve">金額</t>
  </si>
  <si>
    <t xml:space="preserve">判定</t>
  </si>
  <si>
    <t xml:space="preserve">対応方法</t>
  </si>
  <si>
    <r>
      <rPr>
        <b val="true"/>
        <sz val="10"/>
        <rFont val="WenQuanYi Zen Hei"/>
        <family val="2"/>
      </rPr>
      <t xml:space="preserve">■ 請求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請求台帳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</si>
  <si>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要入力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入力漏れ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</si>
  <si>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請求台帳を「ステータス</t>
    </r>
    <r>
      <rPr>
        <sz val="10"/>
        <rFont val="Meiryo UI"/>
        <family val="0"/>
        <charset val="1"/>
      </rPr>
      <t xml:space="preserve">=</t>
    </r>
    <r>
      <rPr>
        <sz val="10"/>
        <rFont val="WenQuanYi Zen Hei"/>
        <family val="2"/>
      </rPr>
      <t xml:space="preserve">要入力」で絞り込み、「入力漏れ」列の項目を入力</t>
    </r>
  </si>
  <si>
    <t xml:space="preserve">請求書を送付し送付日・送付者を入力。不要な請求なら「取消」</t>
  </si>
  <si>
    <r>
      <rPr>
        <sz val="10"/>
        <rFont val="WenQuanYi Zen Hei"/>
        <family val="2"/>
      </rPr>
      <t xml:space="preserve">期日超過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一部入金含む</t>
    </r>
    <r>
      <rPr>
        <sz val="10"/>
        <rFont val="Meiryo UI"/>
        <family val="0"/>
        <charset val="1"/>
      </rPr>
      <t xml:space="preserve">)</t>
    </r>
  </si>
  <si>
    <t xml:space="preserve">営業担当から先方へ確認・督促。入金済なら入金明細の転記・消込漏れを確認</t>
  </si>
  <si>
    <t xml:space="preserve">二重振込・消込先の誤りを確認。返金または次回請求と相殺し備考に記録</t>
  </si>
  <si>
    <r>
      <rPr>
        <sz val="10"/>
        <rFont val="WenQuanYi Zen Hei"/>
        <family val="2"/>
      </rPr>
      <t xml:space="preserve">期日間近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参考</t>
    </r>
    <r>
      <rPr>
        <sz val="10"/>
        <rFont val="Meiryo UI"/>
        <family val="0"/>
        <charset val="1"/>
      </rPr>
      <t xml:space="preserve">)</t>
    </r>
  </si>
  <si>
    <t xml:space="preserve">参考</t>
  </si>
  <si>
    <r>
      <rPr>
        <sz val="10"/>
        <rFont val="WenQuanYi Zen Hei"/>
        <family val="2"/>
      </rPr>
      <t xml:space="preserve">期日前の確認・リマインド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任意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</si>
  <si>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入金待ち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参考</t>
    </r>
    <r>
      <rPr>
        <sz val="10"/>
        <rFont val="Meiryo UI"/>
        <family val="0"/>
        <charset val="1"/>
      </rPr>
      <t xml:space="preserve">)</t>
    </r>
  </si>
  <si>
    <t xml:space="preserve">対応不要</t>
  </si>
  <si>
    <r>
      <rPr>
        <b val="true"/>
        <sz val="10"/>
        <rFont val="WenQuanYi Zen Hei"/>
        <family val="2"/>
      </rPr>
      <t xml:space="preserve">■ 入金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入金明細</t>
    </r>
    <r>
      <rPr>
        <b val="true"/>
        <sz val="10"/>
        <rFont val="Meiryo UI"/>
        <family val="0"/>
        <charset val="1"/>
      </rPr>
      <t xml:space="preserve">)</t>
    </r>
  </si>
  <si>
    <t xml:space="preserve">未消込の入金</t>
  </si>
  <si>
    <t xml:space="preserve">振込名義・金額から該当請求を探して請求番号を入力。不明なら先方・営業に確認</t>
  </si>
  <si>
    <t xml:space="preserve">消込先の請求番号誤り</t>
  </si>
  <si>
    <t xml:space="preserve">請求番号を正しく入力し直す</t>
  </si>
  <si>
    <t xml:space="preserve">取消した請求への消込</t>
  </si>
  <si>
    <t xml:space="preserve">再発行後の請求番号へ付け替える</t>
  </si>
  <si>
    <t xml:space="preserve">入金明細の入力漏れ</t>
  </si>
  <si>
    <t xml:space="preserve">入金日・入金額を入力</t>
  </si>
  <si>
    <r>
      <rPr>
        <b val="true"/>
        <sz val="10"/>
        <rFont val="WenQuanYi Zen Hei"/>
        <family val="2"/>
      </rPr>
      <t xml:space="preserve">■ 請求漏れ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)</t>
    </r>
  </si>
  <si>
    <t xml:space="preserve">毎月請求先で対象月の請求が未登録</t>
  </si>
  <si>
    <t xml:space="preserve">「取引先別残高」の請求漏れ候補を確認し、請求するか理由を備考に記録</t>
  </si>
  <si>
    <t xml:space="preserve">マスタの取引先コード重複</t>
  </si>
  <si>
    <t xml:space="preserve">取引先マスタを修正</t>
  </si>
  <si>
    <r>
      <rPr>
        <b val="true"/>
        <sz val="10"/>
        <rFont val="WenQuanYi Zen Hei"/>
        <family val="2"/>
      </rPr>
      <t xml:space="preserve">■ 月次の数字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対象月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</si>
  <si>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対象月の請求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取消除く</t>
    </r>
    <r>
      <rPr>
        <sz val="10"/>
        <rFont val="Meiryo UI"/>
        <family val="0"/>
        <charset val="1"/>
      </rPr>
      <t xml:space="preserve">)</t>
    </r>
  </si>
  <si>
    <t xml:space="preserve">契約・受注・納品の一覧と件数を突合し、請求漏れがないか確認</t>
  </si>
  <si>
    <t xml:space="preserve">対象月の入金</t>
  </si>
  <si>
    <r>
      <rPr>
        <sz val="10"/>
        <rFont val="WenQuanYi Zen Hei"/>
        <family val="2"/>
      </rPr>
      <t xml:space="preserve">通帳の対象月入金合計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請求入金分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と一致するか確認</t>
    </r>
  </si>
  <si>
    <r>
      <rPr>
        <sz val="10"/>
        <rFont val="WenQuanYi Zen Hei"/>
        <family val="2"/>
      </rPr>
      <t xml:space="preserve">未回収残高 合計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基準日時点</t>
    </r>
    <r>
      <rPr>
        <sz val="10"/>
        <rFont val="Meiryo UI"/>
        <family val="0"/>
        <charset val="1"/>
      </rPr>
      <t xml:space="preserve">)</t>
    </r>
  </si>
  <si>
    <t xml:space="preserve">下の会計ソフトの売掛金残高と照合</t>
  </si>
  <si>
    <r>
      <rPr>
        <b val="true"/>
        <sz val="10"/>
        <rFont val="WenQuanYi Zen Hei"/>
        <family val="2"/>
      </rPr>
      <t xml:space="preserve">■ 会計ソフトとの残高照合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月次</t>
    </r>
    <r>
      <rPr>
        <b val="true"/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</si>
  <si>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会計ソフトの売掛金残高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基準日時点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</si>
  <si>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会計ソフトの売掛金残高を入力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基準日と同じ日付時点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</si>
  <si>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差額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台帳 − 会計ソフト</t>
    </r>
    <r>
      <rPr>
        <sz val="10"/>
        <rFont val="Meiryo UI"/>
        <family val="0"/>
        <charset val="1"/>
      </rPr>
      <t xml:space="preserve">)</t>
    </r>
  </si>
  <si>
    <t xml:space="preserve">差額があれば、台帳への登録漏れ・会計側の計上漏れ・消込漏れのいずれかを調査</t>
  </si>
  <si>
    <t xml:space="preserve">総合判定</t>
  </si>
  <si>
    <r>
      <rPr>
        <sz val="9"/>
        <color rgb="FF595959"/>
        <rFont val="WenQuanYi Zen Hei"/>
        <family val="2"/>
      </rPr>
      <t xml:space="preserve">請求書を作る前にここへ登録 → 採番された請求番号を請求書に記載。黄色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入力 </t>
    </r>
    <r>
      <rPr>
        <sz val="9"/>
        <color rgb="FF595959"/>
        <rFont val="Meiryo UI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灰色</t>
    </r>
    <r>
      <rPr>
        <sz val="9"/>
        <color rgb="FF595959"/>
        <rFont val="Meiryo UI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自動。行は削除せず、誤りは「取消」を選択。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</si>
  <si>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</si>
  <si>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</si>
  <si>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</si>
  <si>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</si>
  <si>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件名</t>
  </si>
  <si>
    <t xml:space="preserve">税抜金額</t>
  </si>
  <si>
    <t xml:space="preserve">税率</t>
  </si>
  <si>
    <t xml:space="preserve">消費税</t>
  </si>
  <si>
    <r>
      <rPr>
        <b val="true"/>
        <sz val="10"/>
        <color rgb="FFFFFFFF"/>
        <rFont val="WenQuanYi Zen Hei"/>
        <family val="2"/>
      </rPr>
      <t xml:space="preserve">請求額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税込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</si>
  <si>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入金期日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自動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</si>
  <si>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入金期日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個別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</si>
  <si>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入金期日</t>
  </si>
  <si>
    <t xml:space="preserve">送付方法</t>
  </si>
  <si>
    <t xml:space="preserve">送付日</t>
  </si>
  <si>
    <t xml:space="preserve">送付者</t>
  </si>
  <si>
    <t xml:space="preserve">入金額</t>
  </si>
  <si>
    <t xml:space="preserve">最終入金日</t>
  </si>
  <si>
    <t xml:space="preserve">手数料・値引等</t>
  </si>
  <si>
    <t xml:space="preserve">未回収残高</t>
  </si>
  <si>
    <t xml:space="preserve">ステータス</t>
  </si>
  <si>
    <t xml:space="preserve">超過日数</t>
  </si>
  <si>
    <t xml:space="preserve">入力漏れ</t>
  </si>
  <si>
    <t xml:space="preserve">消込確認者</t>
  </si>
  <si>
    <t xml:space="preserve">備考</t>
  </si>
  <si>
    <t xml:space="preserve">C001</t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</si>
  <si>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7</t>
    </r>
    <r>
      <rPr>
        <sz val="10"/>
        <rFont val="WenQuanYi Zen Hei"/>
        <family val="2"/>
      </rPr>
      <t xml:space="preserve">月分 保守料</t>
    </r>
  </si>
  <si>
    <r>
      <rPr>
        <sz val="10"/>
        <rFont val="WenQuanYi Zen Hei"/>
        <family val="2"/>
      </rPr>
      <t xml:space="preserve">メール</t>
    </r>
    <r>
      <rPr>
        <sz val="10"/>
        <rFont val="Meiryo UI"/>
        <family val="0"/>
        <charset val="1"/>
      </rPr>
      <t xml:space="preserve">(PDF)</t>
    </r>
  </si>
  <si>
    <t xml:space="preserve">鈴木</t>
  </si>
  <si>
    <t xml:space="preserve">田中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</si>
  <si>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入金済</t>
    </r>
  </si>
  <si>
    <t xml:space="preserve">C002</t>
  </si>
  <si>
    <t xml:space="preserve">○○部品 納品分</t>
  </si>
  <si>
    <t xml:space="preserve">郵送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</si>
  <si>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手数料差引で入金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確認者未入力→要入力</t>
    </r>
    <r>
      <rPr>
        <sz val="10"/>
        <rFont val="Meiryo UI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</si>
  <si>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○○部品 </t>
    </r>
    <r>
      <rPr>
        <sz val="10"/>
        <rFont val="Meiryo UI"/>
        <family val="0"/>
        <charset val="1"/>
      </rPr>
      <t xml:space="preserve">6</t>
    </r>
    <r>
      <rPr>
        <sz val="10"/>
        <rFont val="WenQuanYi Zen Hei"/>
        <family val="2"/>
      </rPr>
      <t xml:space="preserve">月納品分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</si>
  <si>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期日超過</t>
    </r>
  </si>
  <si>
    <t xml:space="preserve">C003</t>
  </si>
  <si>
    <r>
      <rPr>
        <sz val="10"/>
        <rFont val="Meiryo UI"/>
        <family val="0"/>
        <charset val="1"/>
      </rPr>
      <t xml:space="preserve">8</t>
    </r>
    <r>
      <rPr>
        <sz val="10"/>
        <rFont val="WenQuanYi Zen Hei"/>
        <family val="2"/>
      </rPr>
      <t xml:space="preserve">月分 業務委託料</t>
    </r>
  </si>
  <si>
    <t xml:space="preserve">請求書発行システム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</si>
  <si>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一部入金</t>
    </r>
  </si>
  <si>
    <r>
      <rPr>
        <sz val="10"/>
        <rFont val="Meiryo UI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9</t>
    </r>
    <r>
      <rPr>
        <sz val="10"/>
        <rFont val="WenQuanYi Zen Hei"/>
        <family val="2"/>
      </rPr>
      <t xml:space="preserve">月分 保守料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</si>
  <si>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未送付</t>
    </r>
  </si>
  <si>
    <t xml:space="preserve">追加作業費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</si>
  <si>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金額誤りのため取消→次行で再発行</t>
    </r>
  </si>
  <si>
    <r>
      <rPr>
        <sz val="10"/>
        <rFont val="WenQuanYi Zen Hei"/>
        <family val="2"/>
      </rPr>
      <t xml:space="preserve">追加作業費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再発行</t>
    </r>
    <r>
      <rPr>
        <sz val="10"/>
        <rFont val="Meiryo UI"/>
        <family val="0"/>
        <charset val="1"/>
      </rPr>
      <t xml:space="preserve">)</t>
    </r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</si>
  <si>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個別期日・期日間近</t>
    </r>
  </si>
  <si>
    <r>
      <rPr>
        <sz val="9"/>
        <color rgb="FF595959"/>
        <rFont val="WenQuanYi Zen Hei"/>
        <family val="2"/>
      </rPr>
      <t xml:space="preserve">通帳・ネットバンキングの入金を全件転記し、「消込先請求番号」を入力します。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つの入金で複数請求を払われた場合は行を分けて金額を按分。</t>
    </r>
  </si>
  <si>
    <t xml:space="preserve">No</t>
  </si>
  <si>
    <t xml:space="preserve">入金日</t>
  </si>
  <si>
    <t xml:space="preserve">入金口座</t>
  </si>
  <si>
    <t xml:space="preserve">振込名義</t>
  </si>
  <si>
    <t xml:space="preserve">消込先請求番号</t>
  </si>
  <si>
    <r>
      <rPr>
        <b val="true"/>
        <sz val="10"/>
        <color rgb="FFFFFFFF"/>
        <rFont val="WenQuanYi Zen Hei"/>
        <family val="2"/>
      </rPr>
      <t xml:space="preserve">取引先名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請求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</si>
  <si>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消込状態</t>
  </si>
  <si>
    <t xml:space="preserve">記帳者</t>
  </si>
  <si>
    <t xml:space="preserve">○○銀行 本店 普通</t>
  </si>
  <si>
    <r>
      <rPr>
        <sz val="10"/>
        <rFont val="WenQuanYi Zen Hei"/>
        <family val="2"/>
      </rPr>
      <t xml:space="preserve">カ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サンプルシヨウジ</t>
    </r>
  </si>
  <si>
    <t xml:space="preserve">INV-00001</t>
  </si>
  <si>
    <t xml:space="preserve">佐々木</t>
  </si>
  <si>
    <t xml:space="preserve">SAMPLE</t>
  </si>
  <si>
    <r>
      <rPr>
        <sz val="10"/>
        <rFont val="WenQuanYi Zen Hei"/>
        <family val="2"/>
      </rPr>
      <t xml:space="preserve">ユ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テストコウギヨウ</t>
    </r>
  </si>
  <si>
    <t xml:space="preserve">INV-00002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</si>
  <si>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振込手数料</t>
    </r>
    <r>
      <rPr>
        <sz val="10"/>
        <rFont val="Meiryo UI"/>
        <family val="0"/>
        <charset val="1"/>
      </rPr>
      <t xml:space="preserve">440</t>
    </r>
    <r>
      <rPr>
        <sz val="10"/>
        <rFont val="WenQuanYi Zen Hei"/>
        <family val="2"/>
      </rPr>
      <t xml:space="preserve">円差引</t>
    </r>
  </si>
  <si>
    <r>
      <rPr>
        <sz val="10"/>
        <rFont val="WenQuanYi Zen Hei"/>
        <family val="2"/>
      </rPr>
      <t xml:space="preserve">ド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デモ</t>
    </r>
  </si>
  <si>
    <t xml:space="preserve">INV-00004</t>
  </si>
  <si>
    <t xml:space="preserve">△△信用金庫 普通</t>
  </si>
  <si>
    <t xml:space="preserve">ヤマダ タロウ</t>
  </si>
  <si>
    <r>
      <rPr>
        <sz val="10"/>
        <rFont val="Meiryo UI"/>
        <family val="0"/>
        <charset val="1"/>
      </rPr>
      <t xml:space="preserve">SAMPLE: </t>
    </r>
    <r>
      <rPr>
        <sz val="10"/>
        <rFont val="WenQuanYi Zen Hei"/>
        <family val="2"/>
      </rPr>
      <t xml:space="preserve">不明入金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未消込</t>
    </r>
    <r>
      <rPr>
        <sz val="10"/>
        <rFont val="Meiryo UI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</si>
  <si>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取引先マスタの順に自動表示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入力不要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。超過日数別の残高と、毎月請求先の対象月請求漏れ候補を表示します。</t>
    </r>
  </si>
  <si>
    <t xml:space="preserve">合計</t>
  </si>
  <si>
    <t xml:space="preserve">営業担当</t>
  </si>
  <si>
    <t xml:space="preserve">期日内</t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</si>
  <si>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日</t>
    </r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</si>
  <si>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31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60</t>
    </r>
    <r>
      <rPr>
        <b val="true"/>
        <sz val="10"/>
        <color rgb="FFFFFFFF"/>
        <rFont val="WenQuanYi Zen Hei"/>
        <family val="2"/>
      </rPr>
      <t xml:space="preserve">日</t>
    </r>
  </si>
  <si>
    <r>
      <rPr>
        <b val="true"/>
        <sz val="10"/>
        <color rgb="FFFFFFFF"/>
        <rFont val="WenQuanYi Zen Hei"/>
        <family val="2"/>
      </rPr>
      <t xml:space="preserve">超過 </t>
    </r>
    <r>
      <rPr>
        <b val="true"/>
        <sz val="10"/>
        <color rgb="FFFFFFFF"/>
        <rFont val="Meiryo UI"/>
        <family val="0"/>
        <charset val="1"/>
      </rPr>
      <t xml:space="preserve">61</t>
    </r>
    <r>
      <rPr>
        <b val="true"/>
        <sz val="10"/>
        <color rgb="FFFFFFFF"/>
        <rFont val="WenQuanYi Zen Hei"/>
        <family val="2"/>
      </rPr>
      <t xml:space="preserve">日以上</t>
    </r>
  </si>
  <si>
    <t xml:space="preserve">対象月の請求件数</t>
  </si>
  <si>
    <t xml:space="preserve">請求漏れ判定</t>
  </si>
  <si>
    <t xml:space="preserve">取引先ごとの支払条件を登録します。請求台帳の入金期日は「支払サイト」「支払日」から自動計算されます。</t>
  </si>
  <si>
    <r>
      <rPr>
        <b val="true"/>
        <sz val="10"/>
        <color rgb="FFFFFFFF"/>
        <rFont val="WenQuanYi Zen Hei"/>
        <family val="2"/>
      </rPr>
      <t xml:space="preserve">振込名義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カナ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</si>
  <si>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締日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</si>
  <si>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支払サイト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</si>
  <si>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支払日</t>
  </si>
  <si>
    <t xml:space="preserve">毎月請求</t>
  </si>
  <si>
    <t xml:space="preserve">既定の送付方法</t>
  </si>
  <si>
    <r>
      <rPr>
        <b val="true"/>
        <sz val="10"/>
        <color rgb="FFFFFFFF"/>
        <rFont val="WenQuanYi Zen Hei"/>
        <family val="2"/>
      </rPr>
      <t xml:space="preserve">送付先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メール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住所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</si>
  <si>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重複チェック</t>
  </si>
  <si>
    <t xml:space="preserve">株式会社サンプル商事</t>
  </si>
  <si>
    <t xml:space="preserve">末日</t>
  </si>
  <si>
    <t xml:space="preserve">有</t>
  </si>
  <si>
    <t xml:space="preserve">keiri@sample.example</t>
  </si>
  <si>
    <t xml:space="preserve">山田</t>
  </si>
  <si>
    <r>
      <rPr>
        <sz val="10"/>
        <rFont val="WenQuanYi Zen Hei"/>
        <family val="2"/>
      </rPr>
      <t xml:space="preserve">サンプル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運用前に削除</t>
    </r>
    <r>
      <rPr>
        <sz val="10"/>
        <rFont val="Meiryo UI"/>
        <family val="0"/>
        <charset val="1"/>
      </rPr>
      <t xml:space="preserve">)</t>
    </r>
  </si>
  <si>
    <t xml:space="preserve">有限会社テスト工業</t>
  </si>
  <si>
    <t xml:space="preserve">無</t>
  </si>
  <si>
    <t xml:space="preserve">東京都○○区…</t>
  </si>
  <si>
    <t xml:space="preserve">佐藤</t>
  </si>
  <si>
    <t xml:space="preserve">合同会社デモ</t>
  </si>
  <si>
    <r>
      <rPr>
        <sz val="10"/>
        <rFont val="Meiryo UI"/>
        <family val="0"/>
        <charset val="1"/>
      </rPr>
      <t xml:space="preserve">20</t>
    </r>
    <r>
      <rPr>
        <sz val="10"/>
        <rFont val="WenQuanYi Zen Hei"/>
        <family val="2"/>
      </rPr>
      <t xml:space="preserve">日</t>
    </r>
  </si>
  <si>
    <r>
      <rPr>
        <sz val="9"/>
        <color rgb="FF595959"/>
        <rFont val="WenQuanYi Zen Hei"/>
        <family val="2"/>
      </rPr>
      <t xml:space="preserve">毎月、締め後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翌月</t>
    </r>
    <r>
      <rPr>
        <sz val="9"/>
        <color rgb="FF595959"/>
        <rFont val="Meiryo UI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営業日以内</t>
    </r>
    <r>
      <rPr>
        <sz val="9"/>
        <color rgb="FF595959"/>
        <rFont val="Meiryo UI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に実施。各項目を確認したら「済」を選択し、実施者・承認者を記入します。</t>
    </r>
  </si>
  <si>
    <t xml:space="preserve">対象月</t>
  </si>
  <si>
    <r>
      <rPr>
        <b val="true"/>
        <sz val="10"/>
        <color rgb="FFFFFFFF"/>
        <rFont val="WenQuanYi Zen Hei"/>
        <family val="2"/>
      </rPr>
      <t xml:space="preserve">①請求漏れ突合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受注・納品一覧と台帳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</si>
  <si>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②未送付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</si>
  <si>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r>
      <rPr>
        <b val="true"/>
        <sz val="10"/>
        <color rgb="FFFFFFFF"/>
        <rFont val="WenQuanYi Zen Hei"/>
        <family val="2"/>
      </rPr>
      <t xml:space="preserve">③要入力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</si>
  <si>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r>
      <rPr>
        <b val="true"/>
        <sz val="10"/>
        <color rgb="FFFFFFFF"/>
        <rFont val="WenQuanYi Zen Hei"/>
        <family val="2"/>
      </rPr>
      <t xml:space="preserve">④未消込入金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番号誤り含む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</si>
  <si>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⑤期日超過の督促・
状況確認</t>
  </si>
  <si>
    <r>
      <rPr>
        <b val="true"/>
        <sz val="10"/>
        <color rgb="FFFFFFFF"/>
        <rFont val="WenQuanYi Zen Hei"/>
        <family val="2"/>
      </rPr>
      <t xml:space="preserve">⑥会計ソフト残高
との照合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差額</t>
    </r>
    <r>
      <rPr>
        <b val="true"/>
        <sz val="10"/>
        <color rgb="FFFFFFFF"/>
        <rFont val="Meiryo UI"/>
        <family val="0"/>
        <charset val="1"/>
      </rPr>
      <t xml:space="preserve">0)</t>
    </r>
  </si>
  <si>
    <r>
      <rPr>
        <b val="true"/>
        <sz val="10"/>
        <color rgb="FFFFFFFF"/>
        <rFont val="WenQuanYi Zen Hei"/>
        <family val="2"/>
      </rPr>
      <t xml:space="preserve">⑦毎月請求先の
請求漏れ候補 </t>
    </r>
    <r>
      <rPr>
        <b val="true"/>
        <sz val="10"/>
        <color rgb="FFFFFFFF"/>
        <rFont val="Meiryo UI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件</t>
    </r>
  </si>
  <si>
    <t xml:space="preserve">実施者</t>
  </si>
  <si>
    <t xml:space="preserve">実施日</t>
  </si>
  <si>
    <r>
      <rPr>
        <b val="true"/>
        <sz val="10"/>
        <color rgb="FFFFFFFF"/>
        <rFont val="WenQuanYi Zen Hei"/>
        <family val="2"/>
      </rPr>
      <t xml:space="preserve">承認者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責任者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</si>
  <si>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承認日</t>
  </si>
  <si>
    <r>
      <rPr>
        <b val="true"/>
        <sz val="10"/>
        <color rgb="FFFFFFFF"/>
        <rFont val="WenQuanYi Zen Hei"/>
        <family val="2"/>
      </rPr>
      <t xml:space="preserve">期日超過の件数・金額
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特記事項</t>
    </r>
  </si>
  <si>
    <t xml:space="preserve">※ 過去月で承認日が空欄の行はオレンジ表示</t>
  </si>
  <si>
    <t xml:space="preserve">黄色のセルを必要に応じて変更してください。プルダウンの選択肢は各リストに追記できます。</t>
  </si>
  <si>
    <r>
      <rPr>
        <sz val="9"/>
        <color rgb="FF595959"/>
        <rFont val="WenQuanYi Zen Hei"/>
        <family val="2"/>
      </rPr>
      <t xml:space="preserve">▼ プルダウンの選択肢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空欄に追記すると選択肢に増えます</t>
    </r>
    <r>
      <rPr>
        <sz val="9"/>
        <color rgb="FF595959"/>
        <rFont val="Meiryo UI"/>
        <family val="0"/>
        <charset val="1"/>
      </rPr>
      <t xml:space="preserve">)</t>
    </r>
  </si>
  <si>
    <t xml:space="preserve">請求番号の接頭辞</t>
  </si>
  <si>
    <t xml:space="preserve">INV-</t>
  </si>
  <si>
    <r>
      <rPr>
        <sz val="9"/>
        <color rgb="FF595959"/>
        <rFont val="WenQuanYi Zen Hei"/>
        <family val="2"/>
      </rPr>
      <t xml:space="preserve">請求番号 </t>
    </r>
    <r>
      <rPr>
        <sz val="9"/>
        <color rgb="FF595959"/>
        <rFont val="Meiryo UI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接頭辞 </t>
    </r>
    <r>
      <rPr>
        <sz val="9"/>
        <color rgb="FF595959"/>
        <rFont val="Meiryo UI"/>
        <family val="0"/>
        <charset val="1"/>
      </rPr>
      <t xml:space="preserve">+ 5</t>
    </r>
    <r>
      <rPr>
        <sz val="9"/>
        <color rgb="FF595959"/>
        <rFont val="WenQuanYi Zen Hei"/>
        <family val="2"/>
      </rPr>
      <t xml:space="preserve">桁の連番</t>
    </r>
    <r>
      <rPr>
        <sz val="9"/>
        <color rgb="FF595959"/>
        <rFont val="Meiryo UI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例</t>
    </r>
    <r>
      <rPr>
        <sz val="9"/>
        <color rgb="FF595959"/>
        <rFont val="Meiryo UI"/>
        <family val="0"/>
        <charset val="1"/>
      </rPr>
      <t xml:space="preserve">: INV-00001)</t>
    </r>
  </si>
  <si>
    <t xml:space="preserve">有無</t>
  </si>
  <si>
    <t xml:space="preserve">実施</t>
  </si>
  <si>
    <r>
      <rPr>
        <sz val="9"/>
        <color rgb="FF595959"/>
        <rFont val="WenQuanYi Zen Hei"/>
        <family val="2"/>
      </rPr>
      <t xml:space="preserve">通常は </t>
    </r>
    <r>
      <rPr>
        <sz val="9"/>
        <color rgb="FF595959"/>
        <rFont val="Meiryo UI"/>
        <family val="0"/>
        <charset val="1"/>
      </rPr>
      <t xml:space="preserve">=TODAY() </t>
    </r>
    <r>
      <rPr>
        <sz val="9"/>
        <color rgb="FF595959"/>
        <rFont val="WenQuanYi Zen Hei"/>
        <family val="2"/>
      </rPr>
      <t xml:space="preserve">のまま。過去時点で確認したい場合のみ日付を直接入力</t>
    </r>
  </si>
  <si>
    <t xml:space="preserve">済</t>
  </si>
  <si>
    <t xml:space="preserve">期日間近とする日数</t>
  </si>
  <si>
    <t xml:space="preserve">入金期日まで何日以内を「期日間近」とするか</t>
  </si>
  <si>
    <t xml:space="preserve">該当なし</t>
  </si>
  <si>
    <t xml:space="preserve">手渡し</t>
  </si>
  <si>
    <t xml:space="preserve">その他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</si>
</sst>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年m\月"/>
    <numFmt numFmtId="166" formatCode="yyyy/mm/dd"/>
    <numFmt numFmtId="167" formatCode="#,##0\件"/>
    <numFmt numFmtId="168" formatCode="#,##0;[RED]\-#,##0"/>
    <numFmt numFmtId="169" formatCode="@"/>
    <numFmt numFmtId="170" formatCode="0%"/>
    <numFmt numFmtId="171" formatCode="0"/>
    <numFmt numFmtId="172" formatCode="General"/>
    <numFmt numFmtId="173" formatCode="0\件"/>
    <numFmt numFmtId="174" formatCode="0\日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9"/>
      <color rgb="FF595959"/>
      <name val="WenQuanYi Zen Hei"/>
      <family val="2"/>
    </font>
    <font>
      <b val="true"/>
      <sz val="10"/>
      <name val="Meiryo UI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 UI"/>
      <family val="0"/>
      <charset val="1"/>
    </font>
    <font>
      <b val="true"/>
      <sz val="14"/>
      <name val="Meiryo UI"/>
      <family val="0"/>
      <charset val="1"/>
    </font>
    <font>
      <sz val="9"/>
      <color rgb="FF595959"/>
      <name val="Meiryo U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Meiryo UI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Meiryo UI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Meiryo UI"/>
        <charset val="1"/>
        <family val="0"/>
        <b val="1"/>
        <color rgb="FF9C0006"/>
      </font>
      <fill>
        <patternFill>
          <bgColor rgb="FFFFFF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ont>
        <name val="Meiryo UI"/>
        <charset val="1"/>
        <family val="0"/>
        <b val="1"/>
        <color rgb="FFC65911"/>
      </font>
      <fill>
        <patternFill>
          <bgColor rgb="FFFCE4D6"/>
        </patternFill>
      </fill>
    </dxf>
    <dxf>
      <font>
        <name val="Meiryo UI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Meiryo UI"/>
        <charset val="1"/>
        <family val="0"/>
        <b val="1"/>
        <color rgb="FF5B2C6F"/>
      </font>
      <fill>
        <patternFill>
          <bgColor rgb="FFE4DFEC"/>
        </patternFill>
      </fill>
    </dxf>
    <dxf>
      <font>
        <name val="Meiryo UI"/>
        <charset val="1"/>
        <family val="0"/>
        <b val="1"/>
        <color rgb="FF7F7F7F"/>
      </font>
      <fill>
        <patternFill>
          <bgColor rgb="FFD9D9D9"/>
        </patternFill>
      </fill>
    </dxf>
    <dxf>
      <font>
        <name val="Meiryo UI"/>
        <charset val="1"/>
        <family val="0"/>
        <strike val="1"/>
        <color rgb="FF7F7F7F"/>
      </font>
    </dxf>
    <dxf>
      <font>
        <name val="Meiryo UI"/>
        <charset val="1"/>
        <family val="0"/>
        <b val="1"/>
        <color rgb="FFC00000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5B2C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E4DFE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7" t="s">
        <v>5</v>
      </c>
      <c r="C6" s="6" t="s">
        <v>6</v>
      </c>
    </row>
    <row r="8" customFormat="false" ht="15" hidden="false" customHeight="false" outlineLevel="0" collapsed="false">
      <c r="B8" s="3" t="s">
        <v>7</v>
      </c>
      <c r="C8" s="4"/>
    </row>
    <row r="9" customFormat="false" ht="15" hidden="false" customHeight="false" outlineLevel="0" collapsed="false">
      <c r="B9" s="8" t="s">
        <v>8</v>
      </c>
      <c r="C9" s="6" t="s">
        <v>9</v>
      </c>
    </row>
    <row r="10" customFormat="false" ht="15" hidden="false" customHeight="false" outlineLevel="0" collapsed="false">
      <c r="B10" s="8" t="s">
        <v>10</v>
      </c>
      <c r="C10" s="6" t="s">
        <v>11</v>
      </c>
    </row>
    <row r="11" customFormat="false" ht="15" hidden="false" customHeight="false" outlineLevel="0" collapsed="false">
      <c r="B11" s="8" t="s">
        <v>12</v>
      </c>
      <c r="C11" s="6" t="s">
        <v>13</v>
      </c>
    </row>
    <row r="12" customFormat="false" ht="15" hidden="false" customHeight="false" outlineLevel="0" collapsed="false">
      <c r="B12" s="8" t="s">
        <v>14</v>
      </c>
      <c r="C12" s="6" t="s">
        <v>15</v>
      </c>
    </row>
    <row r="13" customFormat="false" ht="15" hidden="false" customHeight="false" outlineLevel="0" collapsed="false">
      <c r="B13" s="8" t="s">
        <v>16</v>
      </c>
      <c r="C13" s="6" t="s">
        <v>17</v>
      </c>
    </row>
    <row r="14" customFormat="false" ht="15" hidden="false" customHeight="false" outlineLevel="0" collapsed="false">
      <c r="B14" s="8" t="s">
        <v>18</v>
      </c>
      <c r="C14" s="6" t="s">
        <v>19</v>
      </c>
    </row>
    <row r="15" customFormat="false" ht="15" hidden="false" customHeight="false" outlineLevel="0" collapsed="false">
      <c r="B15" s="8" t="s">
        <v>20</v>
      </c>
      <c r="C15" s="6" t="s">
        <v>21</v>
      </c>
    </row>
    <row r="17" customFormat="false" ht="15" hidden="false" customHeight="false" outlineLevel="0" collapsed="false">
      <c r="B17" s="3" t="s">
        <v>22</v>
      </c>
      <c r="C17" s="4"/>
    </row>
    <row r="18" customFormat="false" ht="15" hidden="false" customHeight="false" outlineLevel="0" collapsed="false">
      <c r="B18" s="8" t="s">
        <v>23</v>
      </c>
      <c r="C18" s="6" t="s">
        <v>24</v>
      </c>
    </row>
    <row r="19" customFormat="false" ht="15" hidden="false" customHeight="false" outlineLevel="0" collapsed="false">
      <c r="B19" s="8" t="s">
        <v>25</v>
      </c>
      <c r="C19" s="6" t="s">
        <v>26</v>
      </c>
    </row>
    <row r="20" customFormat="false" ht="15" hidden="false" customHeight="false" outlineLevel="0" collapsed="false">
      <c r="B20" s="8" t="s">
        <v>27</v>
      </c>
      <c r="C20" s="6" t="s">
        <v>28</v>
      </c>
    </row>
    <row r="21" customFormat="false" ht="15" hidden="false" customHeight="false" outlineLevel="0" collapsed="false">
      <c r="B21" s="8" t="s">
        <v>29</v>
      </c>
      <c r="C21" s="6" t="s">
        <v>30</v>
      </c>
    </row>
    <row r="22" customFormat="false" ht="15" hidden="false" customHeight="false" outlineLevel="0" collapsed="false">
      <c r="B22" s="8" t="s">
        <v>31</v>
      </c>
      <c r="C22" s="6" t="s">
        <v>32</v>
      </c>
    </row>
    <row r="23" customFormat="false" ht="15" hidden="false" customHeight="false" outlineLevel="0" collapsed="false">
      <c r="B23" s="8" t="s">
        <v>33</v>
      </c>
      <c r="C23" s="6" t="s">
        <v>34</v>
      </c>
    </row>
    <row r="25" customFormat="false" ht="15" hidden="false" customHeight="false" outlineLevel="0" collapsed="false">
      <c r="B25" s="3" t="s">
        <v>35</v>
      </c>
      <c r="C25" s="4"/>
    </row>
    <row r="26" customFormat="false" ht="15" hidden="false" customHeight="false" outlineLevel="0" collapsed="false">
      <c r="B26" s="8" t="s">
        <v>36</v>
      </c>
      <c r="C26" s="6" t="s">
        <v>37</v>
      </c>
    </row>
    <row r="27" customFormat="false" ht="15" hidden="false" customHeight="false" outlineLevel="0" collapsed="false">
      <c r="B27" s="8" t="s">
        <v>38</v>
      </c>
      <c r="C27" s="6" t="s">
        <v>39</v>
      </c>
    </row>
    <row r="28" customFormat="false" ht="15" hidden="false" customHeight="false" outlineLevel="0" collapsed="false">
      <c r="B28" s="8" t="s">
        <v>40</v>
      </c>
      <c r="C28" s="6" t="s">
        <v>41</v>
      </c>
    </row>
    <row r="29" customFormat="false" ht="15" hidden="false" customHeight="false" outlineLevel="0" collapsed="false">
      <c r="B29" s="8" t="s">
        <v>42</v>
      </c>
      <c r="C29" s="6" t="s">
        <v>43</v>
      </c>
    </row>
    <row r="30" customFormat="false" ht="15" hidden="false" customHeight="false" outlineLevel="0" collapsed="false">
      <c r="B30" s="8" t="s">
        <v>44</v>
      </c>
      <c r="C30" s="6" t="s">
        <v>45</v>
      </c>
    </row>
    <row r="31" customFormat="false" ht="15" hidden="false" customHeight="false" outlineLevel="0" collapsed="false">
      <c r="B31" s="8" t="s">
        <v>46</v>
      </c>
      <c r="C31" s="6" t="s">
        <v>47</v>
      </c>
    </row>
    <row r="32" customFormat="false" ht="15" hidden="false" customHeight="false" outlineLevel="0" collapsed="false">
      <c r="B32" s="8" t="s">
        <v>48</v>
      </c>
      <c r="C32" s="6" t="s">
        <v>49</v>
      </c>
    </row>
    <row r="33" customFormat="false" ht="15" hidden="false" customHeight="false" outlineLevel="0" collapsed="false">
      <c r="B33" s="8" t="s">
        <v>50</v>
      </c>
      <c r="C33" s="6" t="s">
        <v>51</v>
      </c>
    </row>
    <row r="35" customFormat="false" ht="15" hidden="false" customHeight="false" outlineLevel="0" collapsed="false">
      <c r="B35" s="3" t="s">
        <v>52</v>
      </c>
      <c r="C35" s="4"/>
    </row>
    <row r="36" customFormat="false" ht="15" hidden="false" customHeight="false" outlineLevel="0" collapsed="false">
      <c r="B36" s="8" t="s">
        <v>53</v>
      </c>
      <c r="C36" s="6" t="s">
        <v>54</v>
      </c>
    </row>
    <row r="37" customFormat="false" ht="15" hidden="false" customHeight="false" outlineLevel="0" collapsed="false">
      <c r="B37" s="8" t="s">
        <v>55</v>
      </c>
      <c r="C37" s="6" t="s">
        <v>56</v>
      </c>
    </row>
    <row r="38" customFormat="false" ht="15" hidden="false" customHeight="false" outlineLevel="0" collapsed="false">
      <c r="B38" s="8" t="s">
        <v>57</v>
      </c>
      <c r="C38" s="6" t="s">
        <v>58</v>
      </c>
    </row>
    <row r="39" customFormat="false" ht="15" hidden="false" customHeight="false" outlineLevel="0" collapsed="false">
      <c r="B39" s="9" t="s">
        <v>59</v>
      </c>
      <c r="C39" s="6" t="s">
        <v>60</v>
      </c>
    </row>
    <row r="40" customFormat="false" ht="15" hidden="false" customHeight="false" outlineLevel="0" collapsed="false">
      <c r="B40" s="8" t="s">
        <v>61</v>
      </c>
      <c r="C40" s="6" t="s">
        <v>62</v>
      </c>
    </row>
    <row r="41" customFormat="false" ht="15" hidden="false" customHeight="false" outlineLevel="0" collapsed="false">
      <c r="B41" s="8" t="s">
        <v>63</v>
      </c>
      <c r="C41" s="6" t="s">
        <v>64</v>
      </c>
    </row>
    <row r="42" customFormat="false" ht="15" hidden="false" customHeight="false" outlineLevel="0" collapsed="false">
      <c r="B42" s="8" t="s">
        <v>65</v>
      </c>
      <c r="C42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19.4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B4" s="10" t="s">
        <v>69</v>
      </c>
      <c r="C4" s="11" t="n">
        <f aca="false">DATE(YEAR(設定!$C$5),MONTH(設定!$C$5)-1,1)</f>
        <v>46235</v>
      </c>
      <c r="D4" s="2" t="s">
        <v>70</v>
      </c>
    </row>
    <row r="5" customFormat="false" ht="15" hidden="false" customHeight="false" outlineLevel="0" collapsed="false">
      <c r="B5" s="10" t="s">
        <v>71</v>
      </c>
      <c r="C5" s="12" t="n">
        <f aca="false">設定!$C$5</f>
        <v>46294</v>
      </c>
      <c r="D5" s="2" t="s">
        <v>72</v>
      </c>
    </row>
    <row r="7" customFormat="false" ht="15" hidden="false" customHeight="false" outlineLevel="0" collapsed="false"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</row>
    <row r="8" customFormat="false" ht="15" hidden="false" customHeight="false" outlineLevel="0" collapsed="false">
      <c r="B8" s="14" t="s">
        <v>78</v>
      </c>
      <c r="C8" s="4"/>
      <c r="D8" s="4"/>
      <c r="E8" s="4"/>
      <c r="F8" s="4"/>
    </row>
    <row r="9" customFormat="false" ht="15" hidden="false" customHeight="false" outlineLevel="0" collapsed="false">
      <c r="B9" s="15" t="s">
        <v>79</v>
      </c>
      <c r="C9" s="16" t="n">
        <f aca="false">COUNTIF(請求台帳!$U$5:$U$504,"要入力")</f>
        <v>1</v>
      </c>
      <c r="D9" s="15"/>
      <c r="E9" s="15" t="str">
        <f aca="false">IF(C9=0,"OK","要対応")</f>
        <v>要対応</v>
      </c>
      <c r="F9" s="6" t="s">
        <v>80</v>
      </c>
    </row>
    <row r="10" customFormat="false" ht="15" hidden="false" customHeight="false" outlineLevel="0" collapsed="false">
      <c r="B10" s="15" t="s">
        <v>38</v>
      </c>
      <c r="C10" s="16" t="n">
        <f aca="false">COUNTIF(請求台帳!$U$5:$U$504,"未送付")</f>
        <v>1</v>
      </c>
      <c r="D10" s="17" t="n">
        <f aca="false">SUMIF(請求台帳!$U$5:$U$504,"未送付",請求台帳!$I$5:$I$504)</f>
        <v>110000</v>
      </c>
      <c r="E10" s="15" t="str">
        <f aca="false">IF(C10=0,"OK","要対応")</f>
        <v>要対応</v>
      </c>
      <c r="F10" s="6" t="s">
        <v>81</v>
      </c>
    </row>
    <row r="11" customFormat="false" ht="15" hidden="false" customHeight="false" outlineLevel="0" collapsed="false">
      <c r="B11" s="15" t="s">
        <v>82</v>
      </c>
      <c r="C11" s="16" t="n">
        <f aca="false">COUNTIF(請求台帳!$U$5:$U$504,"期日超過")+COUNTIF(請求台帳!$U$5:$U$504,"一部入金・超過")</f>
        <v>1</v>
      </c>
      <c r="D11" s="17" t="n">
        <f aca="false">SUMIF(請求台帳!$U$5:$U$504,"期日超過",請求台帳!$S$5:$S$504)+SUMIF(請求台帳!$U$5:$U$504,"一部入金・超過",請求台帳!$S$5:$S$504)</f>
        <v>165000</v>
      </c>
      <c r="E11" s="15" t="str">
        <f aca="false">IF(C11=0,"OK","要対応")</f>
        <v>要対応</v>
      </c>
      <c r="F11" s="6" t="s">
        <v>83</v>
      </c>
    </row>
    <row r="12" customFormat="false" ht="15" hidden="false" customHeight="false" outlineLevel="0" collapsed="false">
      <c r="B12" s="15" t="s">
        <v>46</v>
      </c>
      <c r="C12" s="16" t="n">
        <f aca="false">COUNTIF(請求台帳!$U$5:$U$504,"過入金")</f>
        <v>0</v>
      </c>
      <c r="D12" s="17" t="n">
        <f aca="false">SUMIF(請求台帳!$U$5:$U$504,"過入金",請求台帳!$S$5:$S$504)</f>
        <v>0</v>
      </c>
      <c r="E12" s="15" t="str">
        <f aca="false">IF(C12=0,"OK","要対応")</f>
        <v>OK</v>
      </c>
      <c r="F12" s="6" t="s">
        <v>84</v>
      </c>
    </row>
    <row r="13" customFormat="false" ht="15" hidden="false" customHeight="false" outlineLevel="0" collapsed="false">
      <c r="B13" s="15" t="s">
        <v>85</v>
      </c>
      <c r="C13" s="16" t="n">
        <f aca="false">COUNTIF(請求台帳!$U$5:$U$504,"期日間近")</f>
        <v>1</v>
      </c>
      <c r="D13" s="17" t="n">
        <f aca="false">SUMIF(請求台帳!$U$5:$U$504,"期日間近",請求台帳!$S$5:$S$504)</f>
        <v>36300</v>
      </c>
      <c r="E13" s="15" t="s">
        <v>86</v>
      </c>
      <c r="F13" s="6" t="s">
        <v>87</v>
      </c>
    </row>
    <row r="14" customFormat="false" ht="15" hidden="false" customHeight="false" outlineLevel="0" collapsed="false">
      <c r="B14" s="15" t="s">
        <v>88</v>
      </c>
      <c r="C14" s="16" t="n">
        <f aca="false">COUNTIF(請求台帳!$U$5:$U$504,"入金待ち")+COUNTIF(請求台帳!$U$5:$U$504,"一部入金")</f>
        <v>1</v>
      </c>
      <c r="D14" s="17" t="n">
        <f aca="false">SUMIF(請求台帳!$U$5:$U$504,"入金待ち",請求台帳!$S$5:$S$504)+SUMIF(請求台帳!$U$5:$U$504,"一部入金",請求台帳!$S$5:$S$504)</f>
        <v>38000</v>
      </c>
      <c r="E14" s="15" t="s">
        <v>86</v>
      </c>
      <c r="F14" s="6" t="s">
        <v>89</v>
      </c>
    </row>
    <row r="15" customFormat="false" ht="15" hidden="false" customHeight="false" outlineLevel="0" collapsed="false">
      <c r="B15" s="14" t="s">
        <v>90</v>
      </c>
      <c r="C15" s="4"/>
      <c r="D15" s="4"/>
      <c r="E15" s="4"/>
      <c r="F15" s="4"/>
    </row>
    <row r="16" customFormat="false" ht="15" hidden="false" customHeight="false" outlineLevel="0" collapsed="false">
      <c r="B16" s="15" t="s">
        <v>91</v>
      </c>
      <c r="C16" s="16" t="n">
        <f aca="false">COUNTIF(入金明細!$I$5:$I$1004,"未消込")</f>
        <v>1</v>
      </c>
      <c r="D16" s="17" t="n">
        <f aca="false">SUMIF(入金明細!$I$5:$I$1004,"未消込",入金明細!$E$5:$E$1004)</f>
        <v>5500</v>
      </c>
      <c r="E16" s="15" t="str">
        <f aca="false">IF(C16=0,"OK","要対応")</f>
        <v>要対応</v>
      </c>
      <c r="F16" s="6" t="s">
        <v>92</v>
      </c>
    </row>
    <row r="17" customFormat="false" ht="15" hidden="false" customHeight="false" outlineLevel="0" collapsed="false">
      <c r="B17" s="15" t="s">
        <v>93</v>
      </c>
      <c r="C17" s="16" t="n">
        <f aca="false">COUNTIF(入金明細!$I$5:$I$1004,"番号誤り")</f>
        <v>0</v>
      </c>
      <c r="D17" s="17" t="n">
        <f aca="false">SUMIF(入金明細!$I$5:$I$1004,"番号誤り",入金明細!$E$5:$E$1004)</f>
        <v>0</v>
      </c>
      <c r="E17" s="15" t="str">
        <f aca="false">IF(C17=0,"OK","要対応")</f>
        <v>OK</v>
      </c>
      <c r="F17" s="6" t="s">
        <v>94</v>
      </c>
    </row>
    <row r="18" customFormat="false" ht="15" hidden="false" customHeight="false" outlineLevel="0" collapsed="false">
      <c r="B18" s="15" t="s">
        <v>95</v>
      </c>
      <c r="C18" s="16" t="n">
        <f aca="false">COUNTIF(入金明細!$I$5:$I$1004,"取消請求へ消込")</f>
        <v>0</v>
      </c>
      <c r="D18" s="17" t="n">
        <f aca="false">SUMIF(入金明細!$I$5:$I$1004,"取消請求へ消込",入金明細!$E$5:$E$1004)</f>
        <v>0</v>
      </c>
      <c r="E18" s="15" t="str">
        <f aca="false">IF(C18=0,"OK","要対応")</f>
        <v>OK</v>
      </c>
      <c r="F18" s="6" t="s">
        <v>96</v>
      </c>
    </row>
    <row r="19" customFormat="false" ht="15" hidden="false" customHeight="false" outlineLevel="0" collapsed="false">
      <c r="B19" s="15" t="s">
        <v>97</v>
      </c>
      <c r="C19" s="16" t="n">
        <f aca="false">COUNTIF(入金明細!$I$5:$I$1004,"要入力")</f>
        <v>0</v>
      </c>
      <c r="D19" s="15"/>
      <c r="E19" s="15" t="str">
        <f aca="false">IF(C19=0,"OK","要対応")</f>
        <v>OK</v>
      </c>
      <c r="F19" s="6" t="s">
        <v>98</v>
      </c>
    </row>
    <row r="20" customFormat="false" ht="15" hidden="false" customHeight="false" outlineLevel="0" collapsed="false">
      <c r="B20" s="14" t="s">
        <v>99</v>
      </c>
      <c r="C20" s="4"/>
      <c r="D20" s="4"/>
      <c r="E20" s="4"/>
      <c r="F20" s="4"/>
    </row>
    <row r="21" customFormat="false" ht="15" hidden="false" customHeight="false" outlineLevel="0" collapsed="false">
      <c r="B21" s="15" t="s">
        <v>100</v>
      </c>
      <c r="C21" s="16" t="n">
        <f aca="false">COUNTIF(取引先別残高!$J$5:$J$204,"請求漏れ候補")</f>
        <v>1</v>
      </c>
      <c r="D21" s="15"/>
      <c r="E21" s="15" t="str">
        <f aca="false">IF(C21=0,"OK","要対応")</f>
        <v>要対応</v>
      </c>
      <c r="F21" s="6" t="s">
        <v>101</v>
      </c>
    </row>
    <row r="22" customFormat="false" ht="15" hidden="false" customHeight="false" outlineLevel="0" collapsed="false">
      <c r="B22" s="15" t="s">
        <v>102</v>
      </c>
      <c r="C22" s="16" t="n">
        <f aca="false">COUNTIF(取引先マスタ!$L$5:$L$204,"コード重複")</f>
        <v>0</v>
      </c>
      <c r="D22" s="15"/>
      <c r="E22" s="15" t="str">
        <f aca="false">IF(C22=0,"OK","要対応")</f>
        <v>OK</v>
      </c>
      <c r="F22" s="6" t="s">
        <v>103</v>
      </c>
    </row>
    <row r="23" customFormat="false" ht="15" hidden="false" customHeight="false" outlineLevel="0" collapsed="false">
      <c r="B23" s="14" t="s">
        <v>104</v>
      </c>
      <c r="C23" s="4"/>
      <c r="D23" s="4"/>
      <c r="E23" s="4"/>
      <c r="F23" s="4"/>
    </row>
    <row r="24" customFormat="false" ht="15" hidden="false" customHeight="false" outlineLevel="0" collapsed="false">
      <c r="B24" s="15" t="s">
        <v>105</v>
      </c>
      <c r="C24" s="16" t="n">
        <f aca="false">COUNTIFS(請求台帳!$B$5:$B$504,"&gt;="&amp;チェック!$C$4,請求台帳!$B$5:$B$504,"&lt;="&amp;EOMONTH(チェック!$C$4,0),請求台帳!$T$5:$T$504,"&lt;&gt;取消")</f>
        <v>1</v>
      </c>
      <c r="D24" s="17" t="n">
        <f aca="false">SUMIFS(請求台帳!$I$5:$I$504,請求台帳!$B$5:$B$504,"&gt;="&amp;チェック!$C$4,請求台帳!$B$5:$B$504,"&lt;="&amp;EOMONTH(チェック!$C$4,0),請求台帳!$T$5:$T$504,"&lt;&gt;取消")</f>
        <v>88000</v>
      </c>
      <c r="E24" s="15"/>
      <c r="F24" s="6" t="s">
        <v>106</v>
      </c>
    </row>
    <row r="25" customFormat="false" ht="15" hidden="false" customHeight="false" outlineLevel="0" collapsed="false">
      <c r="B25" s="15" t="s">
        <v>107</v>
      </c>
      <c r="C25" s="16" t="n">
        <f aca="false">SUMPRODUCT((入金明細!$B$5:$B$1004&gt;=チェック!$C$4)*(入金明細!$B$5:$B$1004&lt;=EOMONTH(チェック!$C$4,0))*(入金明細!$E$5:$E$1004&lt;&gt;""))</f>
        <v>1</v>
      </c>
      <c r="D25" s="17" t="n">
        <f aca="false">SUMIFS(入金明細!$E$5:$E$1004,入金明細!$B$5:$B$1004,"&gt;="&amp;チェック!$C$4,入金明細!$B$5:$B$1004,"&lt;="&amp;EOMONTH(チェック!$C$4,0))</f>
        <v>110000</v>
      </c>
      <c r="E25" s="15"/>
      <c r="F25" s="6" t="s">
        <v>108</v>
      </c>
    </row>
    <row r="26" customFormat="false" ht="15" hidden="false" customHeight="false" outlineLevel="0" collapsed="false">
      <c r="B26" s="15" t="s">
        <v>109</v>
      </c>
      <c r="C26" s="16" t="n">
        <f aca="false">COUNTIFS(請求台帳!$S$5:$S$504,"&gt;0",請求台帳!$T$5:$T$504,"&lt;&gt;取消")+COUNTIFS(請求台帳!$S$5:$S$504,"&lt;0",請求台帳!$T$5:$T$504,"&lt;&gt;取消")</f>
        <v>4</v>
      </c>
      <c r="D26" s="17" t="n">
        <f aca="false">SUMIF(請求台帳!$T$5:$T$504,"&lt;&gt;取消",請求台帳!$S$5:$S$504)</f>
        <v>349300</v>
      </c>
      <c r="E26" s="15"/>
      <c r="F26" s="6" t="s">
        <v>110</v>
      </c>
    </row>
    <row r="28" customFormat="false" ht="15" hidden="false" customHeight="false" outlineLevel="0" collapsed="false">
      <c r="B28" s="14" t="s">
        <v>111</v>
      </c>
      <c r="C28" s="4"/>
      <c r="D28" s="4"/>
      <c r="E28" s="4"/>
      <c r="F28" s="4"/>
    </row>
    <row r="29" customFormat="false" ht="15" hidden="false" customHeight="false" outlineLevel="0" collapsed="false">
      <c r="B29" s="15" t="s">
        <v>112</v>
      </c>
      <c r="C29" s="15"/>
      <c r="D29" s="18"/>
      <c r="E29" s="15"/>
      <c r="F29" s="15" t="s">
        <v>113</v>
      </c>
    </row>
    <row r="30" customFormat="false" ht="15" hidden="false" customHeight="false" outlineLevel="0" collapsed="false">
      <c r="B30" s="15" t="s">
        <v>114</v>
      </c>
      <c r="C30" s="15"/>
      <c r="D30" s="17" t="str">
        <f aca="false">IF(D29="","",D26-D29)</f>
        <v/>
      </c>
      <c r="E30" s="15" t="str">
        <f aca="false">IF(D29="","未入力",IF(D30=0,"OK","要対応"))</f>
        <v>未入力</v>
      </c>
      <c r="F30" s="15" t="s">
        <v>115</v>
      </c>
    </row>
    <row r="32" customFormat="false" ht="15" hidden="false" customHeight="false" outlineLevel="0" collapsed="false">
      <c r="B32" s="10" t="s">
        <v>116</v>
      </c>
      <c r="C32" s="19" t="str">
        <f aca="false">IF(COUNTIF(E8:E30,"要対応")+COUNTIF(E8:E30,"未入力")=0,"すべてOK","要対応あり")</f>
        <v>要対応あり</v>
      </c>
    </row>
  </sheetData>
  <sheetProtection sheet="true" formatCells="false" formatColumns="false" formatRows="false" autoFilter="false"/>
  <conditionalFormatting sqref="E8:E30">
    <cfRule type="expression" priority="2" aboveAverage="0" equalAverage="0" bottom="0" percent="0" rank="0" text="" dxfId="0">
      <formula>$E8="要対応"</formula>
    </cfRule>
    <cfRule type="expression" priority="3" aboveAverage="0" equalAverage="0" bottom="0" percent="0" rank="0" text="" dxfId="1">
      <formula>$E8="OK"</formula>
    </cfRule>
    <cfRule type="expression" priority="4" aboveAverage="0" equalAverage="0" bottom="0" percent="0" rank="0" text="" dxfId="2">
      <formula>$E8="未入力"</formula>
    </cfRule>
  </conditionalFormatting>
  <conditionalFormatting sqref="C32">
    <cfRule type="expression" priority="5" aboveAverage="0" equalAverage="0" bottom="0" percent="0" rank="0" text="" dxfId="0">
      <formula>$C$32="要対応あり"</formula>
    </cfRule>
    <cfRule type="expression" priority="6" aboveAverage="0" equalAverage="0" bottom="0" percent="0" rank="0" text="" dxfId="1">
      <formula>$C$32="すべてOK"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0" min="20" style="0" width="7"/>
    <col collapsed="false" customWidth="true" hidden="false" outlineLevel="0" max="21" min="21" style="0" width="13"/>
    <col collapsed="false" customWidth="true" hidden="false" outlineLevel="0" max="22" min="22" style="0" width="8"/>
    <col collapsed="false" customWidth="true" hidden="false" outlineLevel="0" max="23" min="23" style="0" width="24"/>
    <col collapsed="false" customWidth="true" hidden="false" outlineLevel="0" max="24" min="24" style="0" width="10"/>
    <col collapsed="false" customWidth="true" hidden="false" outlineLevel="0" max="25" min="25" style="0" width="3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117</v>
      </c>
    </row>
    <row r="4" customFormat="false" ht="31.5" hidden="false" customHeight="true" outlineLevel="0" collapsed="false">
      <c r="A4" s="20" t="s">
        <v>118</v>
      </c>
      <c r="B4" s="13" t="s">
        <v>119</v>
      </c>
      <c r="C4" s="13" t="s">
        <v>120</v>
      </c>
      <c r="D4" s="20" t="s">
        <v>121</v>
      </c>
      <c r="E4" s="13" t="s">
        <v>122</v>
      </c>
      <c r="F4" s="13" t="s">
        <v>123</v>
      </c>
      <c r="G4" s="13" t="s">
        <v>124</v>
      </c>
      <c r="H4" s="20" t="s">
        <v>125</v>
      </c>
      <c r="I4" s="20" t="s">
        <v>126</v>
      </c>
      <c r="J4" s="20" t="s">
        <v>127</v>
      </c>
      <c r="K4" s="13" t="s">
        <v>128</v>
      </c>
      <c r="L4" s="20" t="s">
        <v>129</v>
      </c>
      <c r="M4" s="13" t="s">
        <v>130</v>
      </c>
      <c r="N4" s="13" t="s">
        <v>131</v>
      </c>
      <c r="O4" s="13" t="s">
        <v>132</v>
      </c>
      <c r="P4" s="20" t="s">
        <v>133</v>
      </c>
      <c r="Q4" s="20" t="s">
        <v>134</v>
      </c>
      <c r="R4" s="13" t="s">
        <v>135</v>
      </c>
      <c r="S4" s="20" t="s">
        <v>136</v>
      </c>
      <c r="T4" s="13" t="s">
        <v>50</v>
      </c>
      <c r="U4" s="20" t="s">
        <v>137</v>
      </c>
      <c r="V4" s="20" t="s">
        <v>138</v>
      </c>
      <c r="W4" s="20" t="s">
        <v>139</v>
      </c>
      <c r="X4" s="13" t="s">
        <v>140</v>
      </c>
      <c r="Y4" s="13" t="s">
        <v>141</v>
      </c>
    </row>
    <row r="5" customFormat="false" ht="15" hidden="false" customHeight="false" outlineLevel="0" collapsed="false">
      <c r="A5" s="21" t="str">
        <f aca="false">IF(COUNTA(B5,C5,E5,F5)=0,"",設定!$C$4&amp;TEXT(ROW()-4,"00000"))</f>
        <v>INV-00001</v>
      </c>
      <c r="B5" s="22" t="n">
        <v>46234</v>
      </c>
      <c r="C5" s="23" t="s">
        <v>142</v>
      </c>
      <c r="D5" s="21" t="str">
        <f aca="false">IF(C5="","",IFERROR(INDEX(取引先マスタ!$B$5:$B$204,MATCH($C5,取引先マスタ!$A$5:$A$204,0)),"コード誤り"))</f>
        <v>株式会社サンプル商事</v>
      </c>
      <c r="E5" s="24" t="s">
        <v>143</v>
      </c>
      <c r="F5" s="18" t="n">
        <v>100000</v>
      </c>
      <c r="G5" s="25" t="n">
        <v>0.1</v>
      </c>
      <c r="H5" s="26" t="n">
        <f aca="false">IF(OR(F5="",G5=""),"",ROUNDDOWN(F5*G5,0))</f>
        <v>10000</v>
      </c>
      <c r="I5" s="26" t="n">
        <f aca="false">IF(OR(F5="",G5=""),"",F5+H5)</f>
        <v>110000</v>
      </c>
      <c r="J5" s="27" t="n">
        <f aca="false">IF(OR(B5="",C5="",D5="コード誤り"),"",IFERROR(DATE(YEAR(B5),MONTH(B5)+INDEX(取引先マスタ!$E$5:$E$204,MATCH($C5,取引先マスタ!$A$5:$A$204,0)),MIN(INDEX(取引先マスタ!$F$5:$F$204,MATCH($C5,取引先マスタ!$A$5:$A$204,0)),DAY(EOMONTH(B5,INDEX(取引先マスタ!$E$5:$E$204,MATCH($C5,取引先マスタ!$A$5:$A$204,0)))))),""))</f>
        <v>46265</v>
      </c>
      <c r="K5" s="22"/>
      <c r="L5" s="27" t="n">
        <f aca="false">IF(K5&lt;&gt;"",K5,J5)</f>
        <v>46265</v>
      </c>
      <c r="M5" s="28" t="s">
        <v>144</v>
      </c>
      <c r="N5" s="22" t="n">
        <v>46234</v>
      </c>
      <c r="O5" s="28" t="s">
        <v>145</v>
      </c>
      <c r="P5" s="26" t="n">
        <f aca="false">IF(A5="","",SUMIF(入金明細!$F$5:$F$1004,A5,入金明細!$E$5:$E$1004))</f>
        <v>110000</v>
      </c>
      <c r="Q5" s="27" t="n">
        <f aca="false">IF(OR(A5="",N(P5)=0),"",SUMPRODUCT(MAX((入金明細!$F$5:$F$1004=A5)*入金明細!$B$5:$B$1004)))</f>
        <v>46265</v>
      </c>
      <c r="R5" s="18"/>
      <c r="S5" s="26" t="n">
        <f aca="false">IF(OR(A5="",I5=""),"",I5-N(P5)-N(R5))</f>
        <v>0</v>
      </c>
      <c r="T5" s="24"/>
      <c r="U5" s="29" t="str">
        <f aca="false">IF(A5="","",IF(T5="取消","取消",IF(W5&lt;&gt;"","要入力",IF(N5="","未送付",IF(S5=0,"入金済",IF(S5&lt;0,"過入金",IF(設定!$C$5&gt;L5,IF(P5&gt;0,"一部入金・超過","期日超過"),IF(P5&gt;0,"一部入金",IF(L5-設定!$C$5&lt;=設定!$C$6,"期日間近","入金待ち")))))))))</f>
        <v>入金済</v>
      </c>
      <c r="V5" s="30" t="str">
        <f aca="false">IF(OR(U5="期日超過",U5="一部入金・超過"),設定!$C$5-L5,"")</f>
        <v/>
      </c>
      <c r="W5" s="21" t="str">
        <f aca="false">IF(A5="","",TRIM(IF(B5="","請求日 ","")&amp;IF(C5="","取引先 ",IF(D5="コード誤り","取引先コード誤り ",""))&amp;IF(E5="","件名 ","")&amp;IF(F5="","税抜金額 ","")&amp;IF(G5="","税率 ","")&amp;IF(M5="","送付方法 ","")&amp;IF(AND(N5&lt;&gt;"",O5=""),"送付者 ","")&amp;IF(AND(I5&lt;&gt;"",L5=""),"入金期日 ","")&amp;IF(AND(N5&lt;&gt;"",P5&gt;0,S5&lt;=0,X5=""),"消込確認者 ","")))</f>
        <v/>
      </c>
      <c r="X5" s="28" t="s">
        <v>146</v>
      </c>
      <c r="Y5" s="24" t="s">
        <v>147</v>
      </c>
    </row>
    <row r="6" customFormat="false" ht="15" hidden="false" customHeight="false" outlineLevel="0" collapsed="false">
      <c r="A6" s="21" t="str">
        <f aca="false">IF(COUNTA(B6,C6,E6,F6)=0,"",設定!$C$4&amp;TEXT(ROW()-4,"00000"))</f>
        <v>INV-00002</v>
      </c>
      <c r="B6" s="22" t="n">
        <v>46234</v>
      </c>
      <c r="C6" s="23" t="s">
        <v>148</v>
      </c>
      <c r="D6" s="21" t="str">
        <f aca="false">IF(C6="","",IFERROR(INDEX(取引先マスタ!$B$5:$B$204,MATCH($C6,取引先マスタ!$A$5:$A$204,0)),"コード誤り"))</f>
        <v>有限会社テスト工業</v>
      </c>
      <c r="E6" s="28" t="s">
        <v>149</v>
      </c>
      <c r="F6" s="18" t="n">
        <v>250000</v>
      </c>
      <c r="G6" s="25" t="n">
        <v>0.1</v>
      </c>
      <c r="H6" s="26" t="n">
        <f aca="false">IF(OR(F6="",G6=""),"",ROUNDDOWN(F6*G6,0))</f>
        <v>25000</v>
      </c>
      <c r="I6" s="26" t="n">
        <f aca="false">IF(OR(F6="",G6=""),"",F6+H6)</f>
        <v>275000</v>
      </c>
      <c r="J6" s="27" t="n">
        <f aca="false">IF(OR(B6="",C6="",D6="コード誤り"),"",IFERROR(DATE(YEAR(B6),MONTH(B6)+INDEX(取引先マスタ!$E$5:$E$204,MATCH($C6,取引先マスタ!$A$5:$A$204,0)),MIN(INDEX(取引先マスタ!$F$5:$F$204,MATCH($C6,取引先マスタ!$A$5:$A$204,0)),DAY(EOMONTH(B6,INDEX(取引先マスタ!$E$5:$E$204,MATCH($C6,取引先マスタ!$A$5:$A$204,0)))))),""))</f>
        <v>46275</v>
      </c>
      <c r="K6" s="22"/>
      <c r="L6" s="27" t="n">
        <f aca="false">IF(K6&lt;&gt;"",K6,J6)</f>
        <v>46275</v>
      </c>
      <c r="M6" s="28" t="s">
        <v>150</v>
      </c>
      <c r="N6" s="22" t="n">
        <v>46237</v>
      </c>
      <c r="O6" s="28" t="s">
        <v>145</v>
      </c>
      <c r="P6" s="26" t="n">
        <f aca="false">IF(A6="","",SUMIF(入金明細!$F$5:$F$1004,A6,入金明細!$E$5:$E$1004))</f>
        <v>274560</v>
      </c>
      <c r="Q6" s="27" t="n">
        <f aca="false">IF(OR(A6="",N(P6)=0),"",SUMPRODUCT(MAX((入金明細!$F$5:$F$1004=A6)*入金明細!$B$5:$B$1004)))</f>
        <v>46275</v>
      </c>
      <c r="R6" s="18" t="n">
        <v>440</v>
      </c>
      <c r="S6" s="26" t="n">
        <f aca="false">IF(OR(A6="",I6=""),"",I6-N(P6)-N(R6))</f>
        <v>0</v>
      </c>
      <c r="T6" s="24"/>
      <c r="U6" s="29" t="str">
        <f aca="false">IF(A6="","",IF(T6="取消","取消",IF(W6&lt;&gt;"","要入力",IF(N6="","未送付",IF(S6=0,"入金済",IF(S6&lt;0,"過入金",IF(設定!$C$5&gt;L6,IF(P6&gt;0,"一部入金・超過","期日超過"),IF(P6&gt;0,"一部入金",IF(L6-設定!$C$5&lt;=設定!$C$6,"期日間近","入金待ち")))))))))</f>
        <v>要入力</v>
      </c>
      <c r="V6" s="30" t="str">
        <f aca="false">IF(OR(U6="期日超過",U6="一部入金・超過"),設定!$C$5-L6,"")</f>
        <v/>
      </c>
      <c r="W6" s="21" t="str">
        <f aca="false">IF(A6="","",TRIM(IF(B6="","請求日 ","")&amp;IF(C6="","取引先 ",IF(D6="コード誤り","取引先コード誤り ",""))&amp;IF(E6="","件名 ","")&amp;IF(F6="","税抜金額 ","")&amp;IF(G6="","税率 ","")&amp;IF(M6="","送付方法 ","")&amp;IF(AND(N6&lt;&gt;"",O6=""),"送付者 ","")&amp;IF(AND(I6&lt;&gt;"",L6=""),"入金期日 ","")&amp;IF(AND(N6&lt;&gt;"",P6&gt;0,S6&lt;=0,X6=""),"消込確認者 ","")))</f>
        <v>消込確認者</v>
      </c>
      <c r="X6" s="28"/>
      <c r="Y6" s="24" t="s">
        <v>151</v>
      </c>
    </row>
    <row r="7" customFormat="false" ht="15" hidden="false" customHeight="false" outlineLevel="0" collapsed="false">
      <c r="A7" s="21" t="str">
        <f aca="false">IF(COUNTA(B7,C7,E7,F7)=0,"",設定!$C$4&amp;TEXT(ROW()-4,"00000"))</f>
        <v>INV-00003</v>
      </c>
      <c r="B7" s="22" t="n">
        <v>46203</v>
      </c>
      <c r="C7" s="23" t="s">
        <v>148</v>
      </c>
      <c r="D7" s="21" t="str">
        <f aca="false">IF(C7="","",IFERROR(INDEX(取引先マスタ!$B$5:$B$204,MATCH($C7,取引先マスタ!$A$5:$A$204,0)),"コード誤り"))</f>
        <v>有限会社テスト工業</v>
      </c>
      <c r="E7" s="28" t="s">
        <v>152</v>
      </c>
      <c r="F7" s="18" t="n">
        <v>150000</v>
      </c>
      <c r="G7" s="25" t="n">
        <v>0.1</v>
      </c>
      <c r="H7" s="26" t="n">
        <f aca="false">IF(OR(F7="",G7=""),"",ROUNDDOWN(F7*G7,0))</f>
        <v>15000</v>
      </c>
      <c r="I7" s="26" t="n">
        <f aca="false">IF(OR(F7="",G7=""),"",F7+H7)</f>
        <v>165000</v>
      </c>
      <c r="J7" s="27" t="n">
        <f aca="false">IF(OR(B7="",C7="",D7="コード誤り"),"",IFERROR(DATE(YEAR(B7),MONTH(B7)+INDEX(取引先マスタ!$E$5:$E$204,MATCH($C7,取引先マスタ!$A$5:$A$204,0)),MIN(INDEX(取引先マスタ!$F$5:$F$204,MATCH($C7,取引先マスタ!$A$5:$A$204,0)),DAY(EOMONTH(B7,INDEX(取引先マスタ!$E$5:$E$204,MATCH($C7,取引先マスタ!$A$5:$A$204,0)))))),""))</f>
        <v>46244</v>
      </c>
      <c r="K7" s="22"/>
      <c r="L7" s="27" t="n">
        <f aca="false">IF(K7&lt;&gt;"",K7,J7)</f>
        <v>46244</v>
      </c>
      <c r="M7" s="28" t="s">
        <v>150</v>
      </c>
      <c r="N7" s="22" t="n">
        <v>46204</v>
      </c>
      <c r="O7" s="28" t="s">
        <v>145</v>
      </c>
      <c r="P7" s="26" t="n">
        <f aca="false">IF(A7="","",SUMIF(入金明細!$F$5:$F$1004,A7,入金明細!$E$5:$E$1004))</f>
        <v>0</v>
      </c>
      <c r="Q7" s="27" t="str">
        <f aca="false">IF(OR(A7="",N(P7)=0),"",SUMPRODUCT(MAX((入金明細!$F$5:$F$1004=A7)*入金明細!$B$5:$B$1004)))</f>
        <v/>
      </c>
      <c r="R7" s="18"/>
      <c r="S7" s="26" t="n">
        <f aca="false">IF(OR(A7="",I7=""),"",I7-N(P7)-N(R7))</f>
        <v>165000</v>
      </c>
      <c r="T7" s="24"/>
      <c r="U7" s="29" t="str">
        <f aca="false">IF(A7="","",IF(T7="取消","取消",IF(W7&lt;&gt;"","要入力",IF(N7="","未送付",IF(S7=0,"入金済",IF(S7&lt;0,"過入金",IF(設定!$C$5&gt;L7,IF(P7&gt;0,"一部入金・超過","期日超過"),IF(P7&gt;0,"一部入金",IF(L7-設定!$C$5&lt;=設定!$C$6,"期日間近","入金待ち")))))))))</f>
        <v>期日超過</v>
      </c>
      <c r="V7" s="30" t="n">
        <f aca="false">IF(OR(U7="期日超過",U7="一部入金・超過"),設定!$C$5-L7,"")</f>
        <v>50</v>
      </c>
      <c r="W7" s="21" t="str">
        <f aca="false">IF(A7="","",TRIM(IF(B7="","請求日 ","")&amp;IF(C7="","取引先 ",IF(D7="コード誤り","取引先コード誤り ",""))&amp;IF(E7="","件名 ","")&amp;IF(F7="","税抜金額 ","")&amp;IF(G7="","税率 ","")&amp;IF(M7="","送付方法 ","")&amp;IF(AND(N7&lt;&gt;"",O7=""),"送付者 ","")&amp;IF(AND(I7&lt;&gt;"",L7=""),"入金期日 ","")&amp;IF(AND(N7&lt;&gt;"",P7&gt;0,S7&lt;=0,X7=""),"消込確認者 ","")))</f>
        <v/>
      </c>
      <c r="X7" s="28"/>
      <c r="Y7" s="24" t="s">
        <v>153</v>
      </c>
    </row>
    <row r="8" customFormat="false" ht="15" hidden="false" customHeight="false" outlineLevel="0" collapsed="false">
      <c r="A8" s="21" t="str">
        <f aca="false">IF(COUNTA(B8,C8,E8,F8)=0,"",設定!$C$4&amp;TEXT(ROW()-4,"00000"))</f>
        <v>INV-00004</v>
      </c>
      <c r="B8" s="22" t="n">
        <v>46265</v>
      </c>
      <c r="C8" s="23" t="s">
        <v>154</v>
      </c>
      <c r="D8" s="21" t="str">
        <f aca="false">IF(C8="","",IFERROR(INDEX(取引先マスタ!$B$5:$B$204,MATCH($C8,取引先マスタ!$A$5:$A$204,0)),"コード誤り"))</f>
        <v>合同会社デモ</v>
      </c>
      <c r="E8" s="24" t="s">
        <v>155</v>
      </c>
      <c r="F8" s="18" t="n">
        <v>80000</v>
      </c>
      <c r="G8" s="25" t="n">
        <v>0.1</v>
      </c>
      <c r="H8" s="26" t="n">
        <f aca="false">IF(OR(F8="",G8=""),"",ROUNDDOWN(F8*G8,0))</f>
        <v>8000</v>
      </c>
      <c r="I8" s="26" t="n">
        <f aca="false">IF(OR(F8="",G8=""),"",F8+H8)</f>
        <v>88000</v>
      </c>
      <c r="J8" s="27" t="n">
        <f aca="false">IF(OR(B8="",C8="",D8="コード誤り"),"",IFERROR(DATE(YEAR(B8),MONTH(B8)+INDEX(取引先マスタ!$E$5:$E$204,MATCH($C8,取引先マスタ!$A$5:$A$204,0)),MIN(INDEX(取引先マスタ!$F$5:$F$204,MATCH($C8,取引先マスタ!$A$5:$A$204,0)),DAY(EOMONTH(B8,INDEX(取引先マスタ!$E$5:$E$204,MATCH($C8,取引先マスタ!$A$5:$A$204,0)))))),""))</f>
        <v>46295</v>
      </c>
      <c r="K8" s="22"/>
      <c r="L8" s="27" t="n">
        <f aca="false">IF(K8&lt;&gt;"",K8,J8)</f>
        <v>46295</v>
      </c>
      <c r="M8" s="28" t="s">
        <v>156</v>
      </c>
      <c r="N8" s="22" t="n">
        <v>46266</v>
      </c>
      <c r="O8" s="28" t="s">
        <v>145</v>
      </c>
      <c r="P8" s="26" t="n">
        <f aca="false">IF(A8="","",SUMIF(入金明細!$F$5:$F$1004,A8,入金明細!$E$5:$E$1004))</f>
        <v>50000</v>
      </c>
      <c r="Q8" s="27" t="n">
        <f aca="false">IF(OR(A8="",N(P8)=0),"",SUMPRODUCT(MAX((入金明細!$F$5:$F$1004=A8)*入金明細!$B$5:$B$1004)))</f>
        <v>46295</v>
      </c>
      <c r="R8" s="18"/>
      <c r="S8" s="26" t="n">
        <f aca="false">IF(OR(A8="",I8=""),"",I8-N(P8)-N(R8))</f>
        <v>38000</v>
      </c>
      <c r="T8" s="24"/>
      <c r="U8" s="29" t="str">
        <f aca="false">IF(A8="","",IF(T8="取消","取消",IF(W8&lt;&gt;"","要入力",IF(N8="","未送付",IF(S8=0,"入金済",IF(S8&lt;0,"過入金",IF(設定!$C$5&gt;L8,IF(P8&gt;0,"一部入金・超過","期日超過"),IF(P8&gt;0,"一部入金",IF(L8-設定!$C$5&lt;=設定!$C$6,"期日間近","入金待ち")))))))))</f>
        <v>一部入金</v>
      </c>
      <c r="V8" s="30" t="str">
        <f aca="false">IF(OR(U8="期日超過",U8="一部入金・超過"),設定!$C$5-L8,"")</f>
        <v/>
      </c>
      <c r="W8" s="21" t="str">
        <f aca="false">IF(A8="","",TRIM(IF(B8="","請求日 ","")&amp;IF(C8="","取引先 ",IF(D8="コード誤り","取引先コード誤り ",""))&amp;IF(E8="","件名 ","")&amp;IF(F8="","税抜金額 ","")&amp;IF(G8="","税率 ","")&amp;IF(M8="","送付方法 ","")&amp;IF(AND(N8&lt;&gt;"",O8=""),"送付者 ","")&amp;IF(AND(I8&lt;&gt;"",L8=""),"入金期日 ","")&amp;IF(AND(N8&lt;&gt;"",P8&gt;0,S8&lt;=0,X8=""),"消込確認者 ","")))</f>
        <v/>
      </c>
      <c r="X8" s="28"/>
      <c r="Y8" s="24" t="s">
        <v>157</v>
      </c>
    </row>
    <row r="9" customFormat="false" ht="15" hidden="false" customHeight="false" outlineLevel="0" collapsed="false">
      <c r="A9" s="21" t="str">
        <f aca="false">IF(COUNTA(B9,C9,E9,F9)=0,"",設定!$C$4&amp;TEXT(ROW()-4,"00000"))</f>
        <v>INV-00005</v>
      </c>
      <c r="B9" s="22" t="n">
        <v>46295</v>
      </c>
      <c r="C9" s="23" t="s">
        <v>142</v>
      </c>
      <c r="D9" s="21" t="str">
        <f aca="false">IF(C9="","",IFERROR(INDEX(取引先マスタ!$B$5:$B$204,MATCH($C9,取引先マスタ!$A$5:$A$204,0)),"コード誤り"))</f>
        <v>株式会社サンプル商事</v>
      </c>
      <c r="E9" s="24" t="s">
        <v>158</v>
      </c>
      <c r="F9" s="18" t="n">
        <v>100000</v>
      </c>
      <c r="G9" s="25" t="n">
        <v>0.1</v>
      </c>
      <c r="H9" s="26" t="n">
        <f aca="false">IF(OR(F9="",G9=""),"",ROUNDDOWN(F9*G9,0))</f>
        <v>10000</v>
      </c>
      <c r="I9" s="26" t="n">
        <f aca="false">IF(OR(F9="",G9=""),"",F9+H9)</f>
        <v>110000</v>
      </c>
      <c r="J9" s="27" t="n">
        <f aca="false">IF(OR(B9="",C9="",D9="コード誤り"),"",IFERROR(DATE(YEAR(B9),MONTH(B9)+INDEX(取引先マスタ!$E$5:$E$204,MATCH($C9,取引先マスタ!$A$5:$A$204,0)),MIN(INDEX(取引先マスタ!$F$5:$F$204,MATCH($C9,取引先マスタ!$A$5:$A$204,0)),DAY(EOMONTH(B9,INDEX(取引先マスタ!$E$5:$E$204,MATCH($C9,取引先マスタ!$A$5:$A$204,0)))))),""))</f>
        <v>46326</v>
      </c>
      <c r="K9" s="22"/>
      <c r="L9" s="27" t="n">
        <f aca="false">IF(K9&lt;&gt;"",K9,J9)</f>
        <v>46326</v>
      </c>
      <c r="M9" s="28" t="s">
        <v>144</v>
      </c>
      <c r="N9" s="22"/>
      <c r="O9" s="28"/>
      <c r="P9" s="26" t="n">
        <f aca="false">IF(A9="","",SUMIF(入金明細!$F$5:$F$1004,A9,入金明細!$E$5:$E$1004))</f>
        <v>0</v>
      </c>
      <c r="Q9" s="27" t="str">
        <f aca="false">IF(OR(A9="",N(P9)=0),"",SUMPRODUCT(MAX((入金明細!$F$5:$F$1004=A9)*入金明細!$B$5:$B$1004)))</f>
        <v/>
      </c>
      <c r="R9" s="18"/>
      <c r="S9" s="26" t="n">
        <f aca="false">IF(OR(A9="",I9=""),"",I9-N(P9)-N(R9))</f>
        <v>110000</v>
      </c>
      <c r="T9" s="24"/>
      <c r="U9" s="29" t="str">
        <f aca="false">IF(A9="","",IF(T9="取消","取消",IF(W9&lt;&gt;"","要入力",IF(N9="","未送付",IF(S9=0,"入金済",IF(S9&lt;0,"過入金",IF(設定!$C$5&gt;L9,IF(P9&gt;0,"一部入金・超過","期日超過"),IF(P9&gt;0,"一部入金",IF(L9-設定!$C$5&lt;=設定!$C$6,"期日間近","入金待ち")))))))))</f>
        <v>未送付</v>
      </c>
      <c r="V9" s="30" t="str">
        <f aca="false">IF(OR(U9="期日超過",U9="一部入金・超過"),設定!$C$5-L9,"")</f>
        <v/>
      </c>
      <c r="W9" s="21" t="str">
        <f aca="false">IF(A9="","",TRIM(IF(B9="","請求日 ","")&amp;IF(C9="","取引先 ",IF(D9="コード誤り","取引先コード誤り ",""))&amp;IF(E9="","件名 ","")&amp;IF(F9="","税抜金額 ","")&amp;IF(G9="","税率 ","")&amp;IF(M9="","送付方法 ","")&amp;IF(AND(N9&lt;&gt;"",O9=""),"送付者 ","")&amp;IF(AND(I9&lt;&gt;"",L9=""),"入金期日 ","")&amp;IF(AND(N9&lt;&gt;"",P9&gt;0,S9&lt;=0,X9=""),"消込確認者 ","")))</f>
        <v/>
      </c>
      <c r="X9" s="28"/>
      <c r="Y9" s="24" t="s">
        <v>159</v>
      </c>
    </row>
    <row r="10" customFormat="false" ht="15" hidden="false" customHeight="false" outlineLevel="0" collapsed="false">
      <c r="A10" s="21" t="str">
        <f aca="false">IF(COUNTA(B10,C10,E10,F10)=0,"",設定!$C$4&amp;TEXT(ROW()-4,"00000"))</f>
        <v>INV-00006</v>
      </c>
      <c r="B10" s="22" t="n">
        <v>46280</v>
      </c>
      <c r="C10" s="23" t="s">
        <v>154</v>
      </c>
      <c r="D10" s="21" t="str">
        <f aca="false">IF(C10="","",IFERROR(INDEX(取引先マスタ!$B$5:$B$204,MATCH($C10,取引先マスタ!$A$5:$A$204,0)),"コード誤り"))</f>
        <v>合同会社デモ</v>
      </c>
      <c r="E10" s="28" t="s">
        <v>160</v>
      </c>
      <c r="F10" s="18" t="n">
        <v>30000</v>
      </c>
      <c r="G10" s="25" t="n">
        <v>0.1</v>
      </c>
      <c r="H10" s="26" t="n">
        <f aca="false">IF(OR(F10="",G10=""),"",ROUNDDOWN(F10*G10,0))</f>
        <v>3000</v>
      </c>
      <c r="I10" s="26" t="n">
        <f aca="false">IF(OR(F10="",G10=""),"",F10+H10)</f>
        <v>33000</v>
      </c>
      <c r="J10" s="27" t="n">
        <f aca="false">IF(OR(B10="",C10="",D10="コード誤り"),"",IFERROR(DATE(YEAR(B10),MONTH(B10)+INDEX(取引先マスタ!$E$5:$E$204,MATCH($C10,取引先マスタ!$A$5:$A$204,0)),MIN(INDEX(取引先マスタ!$F$5:$F$204,MATCH($C10,取引先マスタ!$A$5:$A$204,0)),DAY(EOMONTH(B10,INDEX(取引先マスタ!$E$5:$E$204,MATCH($C10,取引先マスタ!$A$5:$A$204,0)))))),""))</f>
        <v>46326</v>
      </c>
      <c r="K10" s="22"/>
      <c r="L10" s="27" t="n">
        <f aca="false">IF(K10&lt;&gt;"",K10,J10)</f>
        <v>46326</v>
      </c>
      <c r="M10" s="28" t="s">
        <v>156</v>
      </c>
      <c r="N10" s="22" t="n">
        <v>46280</v>
      </c>
      <c r="O10" s="28" t="s">
        <v>145</v>
      </c>
      <c r="P10" s="26" t="n">
        <f aca="false">IF(A10="","",SUMIF(入金明細!$F$5:$F$1004,A10,入金明細!$E$5:$E$1004))</f>
        <v>0</v>
      </c>
      <c r="Q10" s="27" t="str">
        <f aca="false">IF(OR(A10="",N(P10)=0),"",SUMPRODUCT(MAX((入金明細!$F$5:$F$1004=A10)*入金明細!$B$5:$B$1004)))</f>
        <v/>
      </c>
      <c r="R10" s="18"/>
      <c r="S10" s="26" t="n">
        <f aca="false">IF(OR(A10="",I10=""),"",I10-N(P10)-N(R10))</f>
        <v>33000</v>
      </c>
      <c r="T10" s="28" t="s">
        <v>50</v>
      </c>
      <c r="U10" s="29" t="str">
        <f aca="false">IF(A10="","",IF(T10="取消","取消",IF(W10&lt;&gt;"","要入力",IF(N10="","未送付",IF(S10=0,"入金済",IF(S10&lt;0,"過入金",IF(設定!$C$5&gt;L10,IF(P10&gt;0,"一部入金・超過","期日超過"),IF(P10&gt;0,"一部入金",IF(L10-設定!$C$5&lt;=設定!$C$6,"期日間近","入金待ち")))))))))</f>
        <v>取消</v>
      </c>
      <c r="V10" s="30" t="str">
        <f aca="false">IF(OR(U10="期日超過",U10="一部入金・超過"),設定!$C$5-L10,"")</f>
        <v/>
      </c>
      <c r="W10" s="21" t="str">
        <f aca="false">IF(A10="","",TRIM(IF(B10="","請求日 ","")&amp;IF(C10="","取引先 ",IF(D10="コード誤り","取引先コード誤り ",""))&amp;IF(E10="","件名 ","")&amp;IF(F10="","税抜金額 ","")&amp;IF(G10="","税率 ","")&amp;IF(M10="","送付方法 ","")&amp;IF(AND(N10&lt;&gt;"",O10=""),"送付者 ","")&amp;IF(AND(I10&lt;&gt;"",L10=""),"入金期日 ","")&amp;IF(AND(N10&lt;&gt;"",P10&gt;0,S10&lt;=0,X10=""),"消込確認者 ","")))</f>
        <v/>
      </c>
      <c r="X10" s="28"/>
      <c r="Y10" s="24" t="s">
        <v>161</v>
      </c>
    </row>
    <row r="11" customFormat="false" ht="15" hidden="false" customHeight="false" outlineLevel="0" collapsed="false">
      <c r="A11" s="21" t="str">
        <f aca="false">IF(COUNTA(B11,C11,E11,F11)=0,"",設定!$C$4&amp;TEXT(ROW()-4,"00000"))</f>
        <v>INV-00007</v>
      </c>
      <c r="B11" s="22" t="n">
        <v>46280</v>
      </c>
      <c r="C11" s="23" t="s">
        <v>154</v>
      </c>
      <c r="D11" s="21" t="str">
        <f aca="false">IF(C11="","",IFERROR(INDEX(取引先マスタ!$B$5:$B$204,MATCH($C11,取引先マスタ!$A$5:$A$204,0)),"コード誤り"))</f>
        <v>合同会社デモ</v>
      </c>
      <c r="E11" s="28" t="s">
        <v>162</v>
      </c>
      <c r="F11" s="18" t="n">
        <v>33000</v>
      </c>
      <c r="G11" s="25" t="n">
        <v>0.1</v>
      </c>
      <c r="H11" s="26" t="n">
        <f aca="false">IF(OR(F11="",G11=""),"",ROUNDDOWN(F11*G11,0))</f>
        <v>3300</v>
      </c>
      <c r="I11" s="26" t="n">
        <f aca="false">IF(OR(F11="",G11=""),"",F11+H11)</f>
        <v>36300</v>
      </c>
      <c r="J11" s="27" t="n">
        <f aca="false">IF(OR(B11="",C11="",D11="コード誤り"),"",IFERROR(DATE(YEAR(B11),MONTH(B11)+INDEX(取引先マスタ!$E$5:$E$204,MATCH($C11,取引先マスタ!$A$5:$A$204,0)),MIN(INDEX(取引先マスタ!$F$5:$F$204,MATCH($C11,取引先マスタ!$A$5:$A$204,0)),DAY(EOMONTH(B11,INDEX(取引先マスタ!$E$5:$E$204,MATCH($C11,取引先マスタ!$A$5:$A$204,0)))))),""))</f>
        <v>46326</v>
      </c>
      <c r="K11" s="22" t="n">
        <v>46300</v>
      </c>
      <c r="L11" s="27" t="n">
        <f aca="false">IF(K11&lt;&gt;"",K11,J11)</f>
        <v>46300</v>
      </c>
      <c r="M11" s="28" t="s">
        <v>156</v>
      </c>
      <c r="N11" s="22" t="n">
        <v>46281</v>
      </c>
      <c r="O11" s="28" t="s">
        <v>145</v>
      </c>
      <c r="P11" s="26" t="n">
        <f aca="false">IF(A11="","",SUMIF(入金明細!$F$5:$F$1004,A11,入金明細!$E$5:$E$1004))</f>
        <v>0</v>
      </c>
      <c r="Q11" s="27" t="str">
        <f aca="false">IF(OR(A11="",N(P11)=0),"",SUMPRODUCT(MAX((入金明細!$F$5:$F$1004=A11)*入金明細!$B$5:$B$1004)))</f>
        <v/>
      </c>
      <c r="R11" s="18"/>
      <c r="S11" s="26" t="n">
        <f aca="false">IF(OR(A11="",I11=""),"",I11-N(P11)-N(R11))</f>
        <v>36300</v>
      </c>
      <c r="T11" s="28"/>
      <c r="U11" s="29" t="str">
        <f aca="false">IF(A11="","",IF(T11="取消","取消",IF(W11&lt;&gt;"","要入力",IF(N11="","未送付",IF(S11=0,"入金済",IF(S11&lt;0,"過入金",IF(設定!$C$5&gt;L11,IF(P11&gt;0,"一部入金・超過","期日超過"),IF(P11&gt;0,"一部入金",IF(L11-設定!$C$5&lt;=設定!$C$6,"期日間近","入金待ち")))))))))</f>
        <v>期日間近</v>
      </c>
      <c r="V11" s="30" t="str">
        <f aca="false">IF(OR(U11="期日超過",U11="一部入金・超過"),設定!$C$5-L11,"")</f>
        <v/>
      </c>
      <c r="W11" s="21" t="str">
        <f aca="false">IF(A11="","",TRIM(IF(B11="","請求日 ","")&amp;IF(C11="","取引先 ",IF(D11="コード誤り","取引先コード誤り ",""))&amp;IF(E11="","件名 ","")&amp;IF(F11="","税抜金額 ","")&amp;IF(G11="","税率 ","")&amp;IF(M11="","送付方法 ","")&amp;IF(AND(N11&lt;&gt;"",O11=""),"送付者 ","")&amp;IF(AND(I11&lt;&gt;"",L11=""),"入金期日 ","")&amp;IF(AND(N11&lt;&gt;"",P11&gt;0,S11&lt;=0,X11=""),"消込確認者 ","")))</f>
        <v/>
      </c>
      <c r="X11" s="28"/>
      <c r="Y11" s="24" t="s">
        <v>163</v>
      </c>
    </row>
    <row r="12" customFormat="false" ht="15" hidden="false" customHeight="false" outlineLevel="0" collapsed="false">
      <c r="A12" s="21" t="str">
        <f aca="false">IF(COUNTA(B12,C12,E12,F12)=0,"",設定!$C$4&amp;TEXT(ROW()-4,"00000"))</f>
        <v/>
      </c>
      <c r="B12" s="22"/>
      <c r="C12" s="23"/>
      <c r="D12" s="21" t="str">
        <f aca="false">IF(C12="","",IFERROR(INDEX(取引先マスタ!$B$5:$B$204,MATCH($C12,取引先マスタ!$A$5:$A$204,0)),"コード誤り"))</f>
        <v/>
      </c>
      <c r="E12" s="28"/>
      <c r="F12" s="18"/>
      <c r="G12" s="25"/>
      <c r="H12" s="26" t="str">
        <f aca="false">IF(OR(F12="",G12=""),"",ROUNDDOWN(F12*G12,0))</f>
        <v/>
      </c>
      <c r="I12" s="26" t="str">
        <f aca="false">IF(OR(F12="",G12=""),"",F12+H12)</f>
        <v/>
      </c>
      <c r="J12" s="27" t="str">
        <f aca="false">IF(OR(B12="",C12="",D12="コード誤り"),"",IFERROR(DATE(YEAR(B12),MONTH(B12)+INDEX(取引先マスタ!$E$5:$E$204,MATCH($C12,取引先マスタ!$A$5:$A$204,0)),MIN(INDEX(取引先マスタ!$F$5:$F$204,MATCH($C12,取引先マスタ!$A$5:$A$204,0)),DAY(EOMONTH(B12,INDEX(取引先マスタ!$E$5:$E$204,MATCH($C12,取引先マスタ!$A$5:$A$204,0)))))),""))</f>
        <v/>
      </c>
      <c r="K12" s="22"/>
      <c r="L12" s="27" t="str">
        <f aca="false">IF(K12&lt;&gt;"",K12,J12)</f>
        <v/>
      </c>
      <c r="M12" s="28"/>
      <c r="N12" s="22"/>
      <c r="O12" s="28"/>
      <c r="P12" s="26" t="str">
        <f aca="false">IF(A12="","",SUMIF(入金明細!$F$5:$F$1004,A12,入金明細!$E$5:$E$1004))</f>
        <v/>
      </c>
      <c r="Q12" s="27" t="str">
        <f aca="false">IF(OR(A12="",N(P12)=0),"",SUMPRODUCT(MAX((入金明細!$F$5:$F$1004=A12)*入金明細!$B$5:$B$1004)))</f>
        <v/>
      </c>
      <c r="R12" s="18"/>
      <c r="S12" s="26" t="str">
        <f aca="false">IF(OR(A12="",I12=""),"",I12-N(P12)-N(R12))</f>
        <v/>
      </c>
      <c r="T12" s="28"/>
      <c r="U12" s="29" t="str">
        <f aca="false">IF(A12="","",IF(T12="取消","取消",IF(W12&lt;&gt;"","要入力",IF(N12="","未送付",IF(S12=0,"入金済",IF(S12&lt;0,"過入金",IF(設定!$C$5&gt;L12,IF(P12&gt;0,"一部入金・超過","期日超過"),IF(P12&gt;0,"一部入金",IF(L12-設定!$C$5&lt;=設定!$C$6,"期日間近","入金待ち")))))))))</f>
        <v/>
      </c>
      <c r="V12" s="30" t="str">
        <f aca="false">IF(OR(U12="期日超過",U12="一部入金・超過"),設定!$C$5-L12,"")</f>
        <v/>
      </c>
      <c r="W12" s="21" t="str">
        <f aca="false">IF(A12="","",TRIM(IF(B12="","請求日 ","")&amp;IF(C12="","取引先 ",IF(D12="コード誤り","取引先コード誤り ",""))&amp;IF(E12="","件名 ","")&amp;IF(F12="","税抜金額 ","")&amp;IF(G12="","税率 ","")&amp;IF(M12="","送付方法 ","")&amp;IF(AND(N12&lt;&gt;"",O12=""),"送付者 ","")&amp;IF(AND(I12&lt;&gt;"",L12=""),"入金期日 ","")&amp;IF(AND(N12&lt;&gt;"",P12&gt;0,S12&lt;=0,X12=""),"消込確認者 ","")))</f>
        <v/>
      </c>
      <c r="X12" s="28"/>
      <c r="Y12" s="28"/>
    </row>
    <row r="13" customFormat="false" ht="15" hidden="false" customHeight="false" outlineLevel="0" collapsed="false">
      <c r="A13" s="21" t="str">
        <f aca="false">IF(COUNTA(B13,C13,E13,F13)=0,"",設定!$C$4&amp;TEXT(ROW()-4,"00000"))</f>
        <v/>
      </c>
      <c r="B13" s="22"/>
      <c r="C13" s="23"/>
      <c r="D13" s="21" t="str">
        <f aca="false">IF(C13="","",IFERROR(INDEX(取引先マスタ!$B$5:$B$204,MATCH($C13,取引先マスタ!$A$5:$A$204,0)),"コード誤り"))</f>
        <v/>
      </c>
      <c r="E13" s="28"/>
      <c r="F13" s="18"/>
      <c r="G13" s="25"/>
      <c r="H13" s="26" t="str">
        <f aca="false">IF(OR(F13="",G13=""),"",ROUNDDOWN(F13*G13,0))</f>
        <v/>
      </c>
      <c r="I13" s="26" t="str">
        <f aca="false">IF(OR(F13="",G13=""),"",F13+H13)</f>
        <v/>
      </c>
      <c r="J13" s="27" t="str">
        <f aca="false">IF(OR(B13="",C13="",D13="コード誤り"),"",IFERROR(DATE(YEAR(B13),MONTH(B13)+INDEX(取引先マスタ!$E$5:$E$204,MATCH($C13,取引先マスタ!$A$5:$A$204,0)),MIN(INDEX(取引先マスタ!$F$5:$F$204,MATCH($C13,取引先マスタ!$A$5:$A$204,0)),DAY(EOMONTH(B13,INDEX(取引先マスタ!$E$5:$E$204,MATCH($C13,取引先マスタ!$A$5:$A$204,0)))))),""))</f>
        <v/>
      </c>
      <c r="K13" s="22"/>
      <c r="L13" s="27" t="str">
        <f aca="false">IF(K13&lt;&gt;"",K13,J13)</f>
        <v/>
      </c>
      <c r="M13" s="28"/>
      <c r="N13" s="22"/>
      <c r="O13" s="28"/>
      <c r="P13" s="26" t="str">
        <f aca="false">IF(A13="","",SUMIF(入金明細!$F$5:$F$1004,A13,入金明細!$E$5:$E$1004))</f>
        <v/>
      </c>
      <c r="Q13" s="27" t="str">
        <f aca="false">IF(OR(A13="",N(P13)=0),"",SUMPRODUCT(MAX((入金明細!$F$5:$F$1004=A13)*入金明細!$B$5:$B$1004)))</f>
        <v/>
      </c>
      <c r="R13" s="18"/>
      <c r="S13" s="26" t="str">
        <f aca="false">IF(OR(A13="",I13=""),"",I13-N(P13)-N(R13))</f>
        <v/>
      </c>
      <c r="T13" s="28"/>
      <c r="U13" s="29" t="str">
        <f aca="false">IF(A13="","",IF(T13="取消","取消",IF(W13&lt;&gt;"","要入力",IF(N13="","未送付",IF(S13=0,"入金済",IF(S13&lt;0,"過入金",IF(設定!$C$5&gt;L13,IF(P13&gt;0,"一部入金・超過","期日超過"),IF(P13&gt;0,"一部入金",IF(L13-設定!$C$5&lt;=設定!$C$6,"期日間近","入金待ち")))))))))</f>
        <v/>
      </c>
      <c r="V13" s="30" t="str">
        <f aca="false">IF(OR(U13="期日超過",U13="一部入金・超過"),設定!$C$5-L13,"")</f>
        <v/>
      </c>
      <c r="W13" s="21" t="str">
        <f aca="false">IF(A13="","",TRIM(IF(B13="","請求日 ","")&amp;IF(C13="","取引先 ",IF(D13="コード誤り","取引先コード誤り ",""))&amp;IF(E13="","件名 ","")&amp;IF(F13="","税抜金額 ","")&amp;IF(G13="","税率 ","")&amp;IF(M13="","送付方法 ","")&amp;IF(AND(N13&lt;&gt;"",O13=""),"送付者 ","")&amp;IF(AND(I13&lt;&gt;"",L13=""),"入金期日 ","")&amp;IF(AND(N13&lt;&gt;"",P13&gt;0,S13&lt;=0,X13=""),"消込確認者 ","")))</f>
        <v/>
      </c>
      <c r="X13" s="28"/>
      <c r="Y13" s="28"/>
    </row>
    <row r="14" customFormat="false" ht="15" hidden="false" customHeight="false" outlineLevel="0" collapsed="false">
      <c r="A14" s="21" t="str">
        <f aca="false">IF(COUNTA(B14,C14,E14,F14)=0,"",設定!$C$4&amp;TEXT(ROW()-4,"00000"))</f>
        <v/>
      </c>
      <c r="B14" s="22"/>
      <c r="C14" s="23"/>
      <c r="D14" s="21" t="str">
        <f aca="false">IF(C14="","",IFERROR(INDEX(取引先マスタ!$B$5:$B$204,MATCH($C14,取引先マスタ!$A$5:$A$204,0)),"コード誤り"))</f>
        <v/>
      </c>
      <c r="E14" s="28"/>
      <c r="F14" s="18"/>
      <c r="G14" s="25"/>
      <c r="H14" s="26" t="str">
        <f aca="false">IF(OR(F14="",G14=""),"",ROUNDDOWN(F14*G14,0))</f>
        <v/>
      </c>
      <c r="I14" s="26" t="str">
        <f aca="false">IF(OR(F14="",G14=""),"",F14+H14)</f>
        <v/>
      </c>
      <c r="J14" s="27" t="str">
        <f aca="false">IF(OR(B14="",C14="",D14="コード誤り"),"",IFERROR(DATE(YEAR(B14),MONTH(B14)+INDEX(取引先マスタ!$E$5:$E$204,MATCH($C14,取引先マスタ!$A$5:$A$204,0)),MIN(INDEX(取引先マスタ!$F$5:$F$204,MATCH($C14,取引先マスタ!$A$5:$A$204,0)),DAY(EOMONTH(B14,INDEX(取引先マスタ!$E$5:$E$204,MATCH($C14,取引先マスタ!$A$5:$A$204,0)))))),""))</f>
        <v/>
      </c>
      <c r="K14" s="22"/>
      <c r="L14" s="27" t="str">
        <f aca="false">IF(K14&lt;&gt;"",K14,J14)</f>
        <v/>
      </c>
      <c r="M14" s="28"/>
      <c r="N14" s="22"/>
      <c r="O14" s="28"/>
      <c r="P14" s="26" t="str">
        <f aca="false">IF(A14="","",SUMIF(入金明細!$F$5:$F$1004,A14,入金明細!$E$5:$E$1004))</f>
        <v/>
      </c>
      <c r="Q14" s="27" t="str">
        <f aca="false">IF(OR(A14="",N(P14)=0),"",SUMPRODUCT(MAX((入金明細!$F$5:$F$1004=A14)*入金明細!$B$5:$B$1004)))</f>
        <v/>
      </c>
      <c r="R14" s="18"/>
      <c r="S14" s="26" t="str">
        <f aca="false">IF(OR(A14="",I14=""),"",I14-N(P14)-N(R14))</f>
        <v/>
      </c>
      <c r="T14" s="28"/>
      <c r="U14" s="29" t="str">
        <f aca="false">IF(A14="","",IF(T14="取消","取消",IF(W14&lt;&gt;"","要入力",IF(N14="","未送付",IF(S14=0,"入金済",IF(S14&lt;0,"過入金",IF(設定!$C$5&gt;L14,IF(P14&gt;0,"一部入金・超過","期日超過"),IF(P14&gt;0,"一部入金",IF(L14-設定!$C$5&lt;=設定!$C$6,"期日間近","入金待ち")))))))))</f>
        <v/>
      </c>
      <c r="V14" s="30" t="str">
        <f aca="false">IF(OR(U14="期日超過",U14="一部入金・超過"),設定!$C$5-L14,"")</f>
        <v/>
      </c>
      <c r="W14" s="21" t="str">
        <f aca="false">IF(A14="","",TRIM(IF(B14="","請求日 ","")&amp;IF(C14="","取引先 ",IF(D14="コード誤り","取引先コード誤り ",""))&amp;IF(E14="","件名 ","")&amp;IF(F14="","税抜金額 ","")&amp;IF(G14="","税率 ","")&amp;IF(M14="","送付方法 ","")&amp;IF(AND(N14&lt;&gt;"",O14=""),"送付者 ","")&amp;IF(AND(I14&lt;&gt;"",L14=""),"入金期日 ","")&amp;IF(AND(N14&lt;&gt;"",P14&gt;0,S14&lt;=0,X14=""),"消込確認者 ","")))</f>
        <v/>
      </c>
      <c r="X14" s="28"/>
      <c r="Y14" s="28"/>
    </row>
    <row r="15" customFormat="false" ht="15" hidden="false" customHeight="false" outlineLevel="0" collapsed="false">
      <c r="A15" s="21" t="str">
        <f aca="false">IF(COUNTA(B15,C15,E15,F15)=0,"",設定!$C$4&amp;TEXT(ROW()-4,"00000"))</f>
        <v/>
      </c>
      <c r="B15" s="22"/>
      <c r="C15" s="23"/>
      <c r="D15" s="21" t="str">
        <f aca="false">IF(C15="","",IFERROR(INDEX(取引先マスタ!$B$5:$B$204,MATCH($C15,取引先マスタ!$A$5:$A$204,0)),"コード誤り"))</f>
        <v/>
      </c>
      <c r="E15" s="28"/>
      <c r="F15" s="18"/>
      <c r="G15" s="25"/>
      <c r="H15" s="26" t="str">
        <f aca="false">IF(OR(F15="",G15=""),"",ROUNDDOWN(F15*G15,0))</f>
        <v/>
      </c>
      <c r="I15" s="26" t="str">
        <f aca="false">IF(OR(F15="",G15=""),"",F15+H15)</f>
        <v/>
      </c>
      <c r="J15" s="27" t="str">
        <f aca="false">IF(OR(B15="",C15="",D15="コード誤り"),"",IFERROR(DATE(YEAR(B15),MONTH(B15)+INDEX(取引先マスタ!$E$5:$E$204,MATCH($C15,取引先マスタ!$A$5:$A$204,0)),MIN(INDEX(取引先マスタ!$F$5:$F$204,MATCH($C15,取引先マスタ!$A$5:$A$204,0)),DAY(EOMONTH(B15,INDEX(取引先マスタ!$E$5:$E$204,MATCH($C15,取引先マスタ!$A$5:$A$204,0)))))),""))</f>
        <v/>
      </c>
      <c r="K15" s="22"/>
      <c r="L15" s="27" t="str">
        <f aca="false">IF(K15&lt;&gt;"",K15,J15)</f>
        <v/>
      </c>
      <c r="M15" s="28"/>
      <c r="N15" s="22"/>
      <c r="O15" s="28"/>
      <c r="P15" s="26" t="str">
        <f aca="false">IF(A15="","",SUMIF(入金明細!$F$5:$F$1004,A15,入金明細!$E$5:$E$1004))</f>
        <v/>
      </c>
      <c r="Q15" s="27" t="str">
        <f aca="false">IF(OR(A15="",N(P15)=0),"",SUMPRODUCT(MAX((入金明細!$F$5:$F$1004=A15)*入金明細!$B$5:$B$1004)))</f>
        <v/>
      </c>
      <c r="R15" s="18"/>
      <c r="S15" s="26" t="str">
        <f aca="false">IF(OR(A15="",I15=""),"",I15-N(P15)-N(R15))</f>
        <v/>
      </c>
      <c r="T15" s="28"/>
      <c r="U15" s="29" t="str">
        <f aca="false">IF(A15="","",IF(T15="取消","取消",IF(W15&lt;&gt;"","要入力",IF(N15="","未送付",IF(S15=0,"入金済",IF(S15&lt;0,"過入金",IF(設定!$C$5&gt;L15,IF(P15&gt;0,"一部入金・超過","期日超過"),IF(P15&gt;0,"一部入金",IF(L15-設定!$C$5&lt;=設定!$C$6,"期日間近","入金待ち")))))))))</f>
        <v/>
      </c>
      <c r="V15" s="30" t="str">
        <f aca="false">IF(OR(U15="期日超過",U15="一部入金・超過"),設定!$C$5-L15,"")</f>
        <v/>
      </c>
      <c r="W15" s="21" t="str">
        <f aca="false">IF(A15="","",TRIM(IF(B15="","請求日 ","")&amp;IF(C15="","取引先 ",IF(D15="コード誤り","取引先コード誤り ",""))&amp;IF(E15="","件名 ","")&amp;IF(F15="","税抜金額 ","")&amp;IF(G15="","税率 ","")&amp;IF(M15="","送付方法 ","")&amp;IF(AND(N15&lt;&gt;"",O15=""),"送付者 ","")&amp;IF(AND(I15&lt;&gt;"",L15=""),"入金期日 ","")&amp;IF(AND(N15&lt;&gt;"",P15&gt;0,S15&lt;=0,X15=""),"消込確認者 ","")))</f>
        <v/>
      </c>
      <c r="X15" s="28"/>
      <c r="Y15" s="28"/>
    </row>
    <row r="16" customFormat="false" ht="15" hidden="false" customHeight="false" outlineLevel="0" collapsed="false">
      <c r="A16" s="21" t="str">
        <f aca="false">IF(COUNTA(B16,C16,E16,F16)=0,"",設定!$C$4&amp;TEXT(ROW()-4,"00000"))</f>
        <v/>
      </c>
      <c r="B16" s="22"/>
      <c r="C16" s="23"/>
      <c r="D16" s="21" t="str">
        <f aca="false">IF(C16="","",IFERROR(INDEX(取引先マスタ!$B$5:$B$204,MATCH($C16,取引先マスタ!$A$5:$A$204,0)),"コード誤り"))</f>
        <v/>
      </c>
      <c r="E16" s="28"/>
      <c r="F16" s="18"/>
      <c r="G16" s="25"/>
      <c r="H16" s="26" t="str">
        <f aca="false">IF(OR(F16="",G16=""),"",ROUNDDOWN(F16*G16,0))</f>
        <v/>
      </c>
      <c r="I16" s="26" t="str">
        <f aca="false">IF(OR(F16="",G16=""),"",F16+H16)</f>
        <v/>
      </c>
      <c r="J16" s="27" t="str">
        <f aca="false">IF(OR(B16="",C16="",D16="コード誤り"),"",IFERROR(DATE(YEAR(B16),MONTH(B16)+INDEX(取引先マスタ!$E$5:$E$204,MATCH($C16,取引先マスタ!$A$5:$A$204,0)),MIN(INDEX(取引先マスタ!$F$5:$F$204,MATCH($C16,取引先マスタ!$A$5:$A$204,0)),DAY(EOMONTH(B16,INDEX(取引先マスタ!$E$5:$E$204,MATCH($C16,取引先マスタ!$A$5:$A$204,0)))))),""))</f>
        <v/>
      </c>
      <c r="K16" s="22"/>
      <c r="L16" s="27" t="str">
        <f aca="false">IF(K16&lt;&gt;"",K16,J16)</f>
        <v/>
      </c>
      <c r="M16" s="28"/>
      <c r="N16" s="22"/>
      <c r="O16" s="28"/>
      <c r="P16" s="26" t="str">
        <f aca="false">IF(A16="","",SUMIF(入金明細!$F$5:$F$1004,A16,入金明細!$E$5:$E$1004))</f>
        <v/>
      </c>
      <c r="Q16" s="27" t="str">
        <f aca="false">IF(OR(A16="",N(P16)=0),"",SUMPRODUCT(MAX((入金明細!$F$5:$F$1004=A16)*入金明細!$B$5:$B$1004)))</f>
        <v/>
      </c>
      <c r="R16" s="18"/>
      <c r="S16" s="26" t="str">
        <f aca="false">IF(OR(A16="",I16=""),"",I16-N(P16)-N(R16))</f>
        <v/>
      </c>
      <c r="T16" s="28"/>
      <c r="U16" s="29" t="str">
        <f aca="false">IF(A16="","",IF(T16="取消","取消",IF(W16&lt;&gt;"","要入力",IF(N16="","未送付",IF(S16=0,"入金済",IF(S16&lt;0,"過入金",IF(設定!$C$5&gt;L16,IF(P16&gt;0,"一部入金・超過","期日超過"),IF(P16&gt;0,"一部入金",IF(L16-設定!$C$5&lt;=設定!$C$6,"期日間近","入金待ち")))))))))</f>
        <v/>
      </c>
      <c r="V16" s="30" t="str">
        <f aca="false">IF(OR(U16="期日超過",U16="一部入金・超過"),設定!$C$5-L16,"")</f>
        <v/>
      </c>
      <c r="W16" s="21" t="str">
        <f aca="false">IF(A16="","",TRIM(IF(B16="","請求日 ","")&amp;IF(C16="","取引先 ",IF(D16="コード誤り","取引先コード誤り ",""))&amp;IF(E16="","件名 ","")&amp;IF(F16="","税抜金額 ","")&amp;IF(G16="","税率 ","")&amp;IF(M16="","送付方法 ","")&amp;IF(AND(N16&lt;&gt;"",O16=""),"送付者 ","")&amp;IF(AND(I16&lt;&gt;"",L16=""),"入金期日 ","")&amp;IF(AND(N16&lt;&gt;"",P16&gt;0,S16&lt;=0,X16=""),"消込確認者 ","")))</f>
        <v/>
      </c>
      <c r="X16" s="28"/>
      <c r="Y16" s="28"/>
    </row>
    <row r="17" customFormat="false" ht="15" hidden="false" customHeight="false" outlineLevel="0" collapsed="false">
      <c r="A17" s="21" t="str">
        <f aca="false">IF(COUNTA(B17,C17,E17,F17)=0,"",設定!$C$4&amp;TEXT(ROW()-4,"00000"))</f>
        <v/>
      </c>
      <c r="B17" s="22"/>
      <c r="C17" s="23"/>
      <c r="D17" s="21" t="str">
        <f aca="false">IF(C17="","",IFERROR(INDEX(取引先マスタ!$B$5:$B$204,MATCH($C17,取引先マスタ!$A$5:$A$204,0)),"コード誤り"))</f>
        <v/>
      </c>
      <c r="E17" s="28"/>
      <c r="F17" s="18"/>
      <c r="G17" s="25"/>
      <c r="H17" s="26" t="str">
        <f aca="false">IF(OR(F17="",G17=""),"",ROUNDDOWN(F17*G17,0))</f>
        <v/>
      </c>
      <c r="I17" s="26" t="str">
        <f aca="false">IF(OR(F17="",G17=""),"",F17+H17)</f>
        <v/>
      </c>
      <c r="J17" s="27" t="str">
        <f aca="false">IF(OR(B17="",C17="",D17="コード誤り"),"",IFERROR(DATE(YEAR(B17),MONTH(B17)+INDEX(取引先マスタ!$E$5:$E$204,MATCH($C17,取引先マスタ!$A$5:$A$204,0)),MIN(INDEX(取引先マスタ!$F$5:$F$204,MATCH($C17,取引先マスタ!$A$5:$A$204,0)),DAY(EOMONTH(B17,INDEX(取引先マスタ!$E$5:$E$204,MATCH($C17,取引先マスタ!$A$5:$A$204,0)))))),""))</f>
        <v/>
      </c>
      <c r="K17" s="22"/>
      <c r="L17" s="27" t="str">
        <f aca="false">IF(K17&lt;&gt;"",K17,J17)</f>
        <v/>
      </c>
      <c r="M17" s="28"/>
      <c r="N17" s="22"/>
      <c r="O17" s="28"/>
      <c r="P17" s="26" t="str">
        <f aca="false">IF(A17="","",SUMIF(入金明細!$F$5:$F$1004,A17,入金明細!$E$5:$E$1004))</f>
        <v/>
      </c>
      <c r="Q17" s="27" t="str">
        <f aca="false">IF(OR(A17="",N(P17)=0),"",SUMPRODUCT(MAX((入金明細!$F$5:$F$1004=A17)*入金明細!$B$5:$B$1004)))</f>
        <v/>
      </c>
      <c r="R17" s="18"/>
      <c r="S17" s="26" t="str">
        <f aca="false">IF(OR(A17="",I17=""),"",I17-N(P17)-N(R17))</f>
        <v/>
      </c>
      <c r="T17" s="28"/>
      <c r="U17" s="29" t="str">
        <f aca="false">IF(A17="","",IF(T17="取消","取消",IF(W17&lt;&gt;"","要入力",IF(N17="","未送付",IF(S17=0,"入金済",IF(S17&lt;0,"過入金",IF(設定!$C$5&gt;L17,IF(P17&gt;0,"一部入金・超過","期日超過"),IF(P17&gt;0,"一部入金",IF(L17-設定!$C$5&lt;=設定!$C$6,"期日間近","入金待ち")))))))))</f>
        <v/>
      </c>
      <c r="V17" s="30" t="str">
        <f aca="false">IF(OR(U17="期日超過",U17="一部入金・超過"),設定!$C$5-L17,"")</f>
        <v/>
      </c>
      <c r="W17" s="21" t="str">
        <f aca="false">IF(A17="","",TRIM(IF(B17="","請求日 ","")&amp;IF(C17="","取引先 ",IF(D17="コード誤り","取引先コード誤り ",""))&amp;IF(E17="","件名 ","")&amp;IF(F17="","税抜金額 ","")&amp;IF(G17="","税率 ","")&amp;IF(M17="","送付方法 ","")&amp;IF(AND(N17&lt;&gt;"",O17=""),"送付者 ","")&amp;IF(AND(I17&lt;&gt;"",L17=""),"入金期日 ","")&amp;IF(AND(N17&lt;&gt;"",P17&gt;0,S17&lt;=0,X17=""),"消込確認者 ","")))</f>
        <v/>
      </c>
      <c r="X17" s="28"/>
      <c r="Y17" s="28"/>
    </row>
    <row r="18" customFormat="false" ht="15" hidden="false" customHeight="false" outlineLevel="0" collapsed="false">
      <c r="A18" s="21" t="str">
        <f aca="false">IF(COUNTA(B18,C18,E18,F18)=0,"",設定!$C$4&amp;TEXT(ROW()-4,"00000"))</f>
        <v/>
      </c>
      <c r="B18" s="22"/>
      <c r="C18" s="23"/>
      <c r="D18" s="21" t="str">
        <f aca="false">IF(C18="","",IFERROR(INDEX(取引先マスタ!$B$5:$B$204,MATCH($C18,取引先マスタ!$A$5:$A$204,0)),"コード誤り"))</f>
        <v/>
      </c>
      <c r="E18" s="28"/>
      <c r="F18" s="18"/>
      <c r="G18" s="25"/>
      <c r="H18" s="26" t="str">
        <f aca="false">IF(OR(F18="",G18=""),"",ROUNDDOWN(F18*G18,0))</f>
        <v/>
      </c>
      <c r="I18" s="26" t="str">
        <f aca="false">IF(OR(F18="",G18=""),"",F18+H18)</f>
        <v/>
      </c>
      <c r="J18" s="27" t="str">
        <f aca="false">IF(OR(B18="",C18="",D18="コード誤り"),"",IFERROR(DATE(YEAR(B18),MONTH(B18)+INDEX(取引先マスタ!$E$5:$E$204,MATCH($C18,取引先マスタ!$A$5:$A$204,0)),MIN(INDEX(取引先マスタ!$F$5:$F$204,MATCH($C18,取引先マスタ!$A$5:$A$204,0)),DAY(EOMONTH(B18,INDEX(取引先マスタ!$E$5:$E$204,MATCH($C18,取引先マスタ!$A$5:$A$204,0)))))),""))</f>
        <v/>
      </c>
      <c r="K18" s="22"/>
      <c r="L18" s="27" t="str">
        <f aca="false">IF(K18&lt;&gt;"",K18,J18)</f>
        <v/>
      </c>
      <c r="M18" s="28"/>
      <c r="N18" s="22"/>
      <c r="O18" s="28"/>
      <c r="P18" s="26" t="str">
        <f aca="false">IF(A18="","",SUMIF(入金明細!$F$5:$F$1004,A18,入金明細!$E$5:$E$1004))</f>
        <v/>
      </c>
      <c r="Q18" s="27" t="str">
        <f aca="false">IF(OR(A18="",N(P18)=0),"",SUMPRODUCT(MAX((入金明細!$F$5:$F$1004=A18)*入金明細!$B$5:$B$1004)))</f>
        <v/>
      </c>
      <c r="R18" s="18"/>
      <c r="S18" s="26" t="str">
        <f aca="false">IF(OR(A18="",I18=""),"",I18-N(P18)-N(R18))</f>
        <v/>
      </c>
      <c r="T18" s="28"/>
      <c r="U18" s="29" t="str">
        <f aca="false">IF(A18="","",IF(T18="取消","取消",IF(W18&lt;&gt;"","要入力",IF(N18="","未送付",IF(S18=0,"入金済",IF(S18&lt;0,"過入金",IF(設定!$C$5&gt;L18,IF(P18&gt;0,"一部入金・超過","期日超過"),IF(P18&gt;0,"一部入金",IF(L18-設定!$C$5&lt;=設定!$C$6,"期日間近","入金待ち")))))))))</f>
        <v/>
      </c>
      <c r="V18" s="30" t="str">
        <f aca="false">IF(OR(U18="期日超過",U18="一部入金・超過"),設定!$C$5-L18,"")</f>
        <v/>
      </c>
      <c r="W18" s="21" t="str">
        <f aca="false">IF(A18="","",TRIM(IF(B18="","請求日 ","")&amp;IF(C18="","取引先 ",IF(D18="コード誤り","取引先コード誤り ",""))&amp;IF(E18="","件名 ","")&amp;IF(F18="","税抜金額 ","")&amp;IF(G18="","税率 ","")&amp;IF(M18="","送付方法 ","")&amp;IF(AND(N18&lt;&gt;"",O18=""),"送付者 ","")&amp;IF(AND(I18&lt;&gt;"",L18=""),"入金期日 ","")&amp;IF(AND(N18&lt;&gt;"",P18&gt;0,S18&lt;=0,X18=""),"消込確認者 ","")))</f>
        <v/>
      </c>
      <c r="X18" s="28"/>
      <c r="Y18" s="28"/>
    </row>
    <row r="19" customFormat="false" ht="15" hidden="false" customHeight="false" outlineLevel="0" collapsed="false">
      <c r="A19" s="21" t="str">
        <f aca="false">IF(COUNTA(B19,C19,E19,F19)=0,"",設定!$C$4&amp;TEXT(ROW()-4,"00000"))</f>
        <v/>
      </c>
      <c r="B19" s="22"/>
      <c r="C19" s="23"/>
      <c r="D19" s="21" t="str">
        <f aca="false">IF(C19="","",IFERROR(INDEX(取引先マスタ!$B$5:$B$204,MATCH($C19,取引先マスタ!$A$5:$A$204,0)),"コード誤り"))</f>
        <v/>
      </c>
      <c r="E19" s="28"/>
      <c r="F19" s="18"/>
      <c r="G19" s="25"/>
      <c r="H19" s="26" t="str">
        <f aca="false">IF(OR(F19="",G19=""),"",ROUNDDOWN(F19*G19,0))</f>
        <v/>
      </c>
      <c r="I19" s="26" t="str">
        <f aca="false">IF(OR(F19="",G19=""),"",F19+H19)</f>
        <v/>
      </c>
      <c r="J19" s="27" t="str">
        <f aca="false">IF(OR(B19="",C19="",D19="コード誤り"),"",IFERROR(DATE(YEAR(B19),MONTH(B19)+INDEX(取引先マスタ!$E$5:$E$204,MATCH($C19,取引先マスタ!$A$5:$A$204,0)),MIN(INDEX(取引先マスタ!$F$5:$F$204,MATCH($C19,取引先マスタ!$A$5:$A$204,0)),DAY(EOMONTH(B19,INDEX(取引先マスタ!$E$5:$E$204,MATCH($C19,取引先マスタ!$A$5:$A$204,0)))))),""))</f>
        <v/>
      </c>
      <c r="K19" s="22"/>
      <c r="L19" s="27" t="str">
        <f aca="false">IF(K19&lt;&gt;"",K19,J19)</f>
        <v/>
      </c>
      <c r="M19" s="28"/>
      <c r="N19" s="22"/>
      <c r="O19" s="28"/>
      <c r="P19" s="26" t="str">
        <f aca="false">IF(A19="","",SUMIF(入金明細!$F$5:$F$1004,A19,入金明細!$E$5:$E$1004))</f>
        <v/>
      </c>
      <c r="Q19" s="27" t="str">
        <f aca="false">IF(OR(A19="",N(P19)=0),"",SUMPRODUCT(MAX((入金明細!$F$5:$F$1004=A19)*入金明細!$B$5:$B$1004)))</f>
        <v/>
      </c>
      <c r="R19" s="18"/>
      <c r="S19" s="26" t="str">
        <f aca="false">IF(OR(A19="",I19=""),"",I19-N(P19)-N(R19))</f>
        <v/>
      </c>
      <c r="T19" s="28"/>
      <c r="U19" s="29" t="str">
        <f aca="false">IF(A19="","",IF(T19="取消","取消",IF(W19&lt;&gt;"","要入力",IF(N19="","未送付",IF(S19=0,"入金済",IF(S19&lt;0,"過入金",IF(設定!$C$5&gt;L19,IF(P19&gt;0,"一部入金・超過","期日超過"),IF(P19&gt;0,"一部入金",IF(L19-設定!$C$5&lt;=設定!$C$6,"期日間近","入金待ち")))))))))</f>
        <v/>
      </c>
      <c r="V19" s="30" t="str">
        <f aca="false">IF(OR(U19="期日超過",U19="一部入金・超過"),設定!$C$5-L19,"")</f>
        <v/>
      </c>
      <c r="W19" s="21" t="str">
        <f aca="false">IF(A19="","",TRIM(IF(B19="","請求日 ","")&amp;IF(C19="","取引先 ",IF(D19="コード誤り","取引先コード誤り ",""))&amp;IF(E19="","件名 ","")&amp;IF(F19="","税抜金額 ","")&amp;IF(G19="","税率 ","")&amp;IF(M19="","送付方法 ","")&amp;IF(AND(N19&lt;&gt;"",O19=""),"送付者 ","")&amp;IF(AND(I19&lt;&gt;"",L19=""),"入金期日 ","")&amp;IF(AND(N19&lt;&gt;"",P19&gt;0,S19&lt;=0,X19=""),"消込確認者 ","")))</f>
        <v/>
      </c>
      <c r="X19" s="28"/>
      <c r="Y19" s="28"/>
    </row>
    <row r="20" customFormat="false" ht="15" hidden="false" customHeight="false" outlineLevel="0" collapsed="false">
      <c r="A20" s="21" t="str">
        <f aca="false">IF(COUNTA(B20,C20,E20,F20)=0,"",設定!$C$4&amp;TEXT(ROW()-4,"00000"))</f>
        <v/>
      </c>
      <c r="B20" s="22"/>
      <c r="C20" s="23"/>
      <c r="D20" s="21" t="str">
        <f aca="false">IF(C20="","",IFERROR(INDEX(取引先マスタ!$B$5:$B$204,MATCH($C20,取引先マスタ!$A$5:$A$204,0)),"コード誤り"))</f>
        <v/>
      </c>
      <c r="E20" s="28"/>
      <c r="F20" s="18"/>
      <c r="G20" s="25"/>
      <c r="H20" s="26" t="str">
        <f aca="false">IF(OR(F20="",G20=""),"",ROUNDDOWN(F20*G20,0))</f>
        <v/>
      </c>
      <c r="I20" s="26" t="str">
        <f aca="false">IF(OR(F20="",G20=""),"",F20+H20)</f>
        <v/>
      </c>
      <c r="J20" s="27" t="str">
        <f aca="false">IF(OR(B20="",C20="",D20="コード誤り"),"",IFERROR(DATE(YEAR(B20),MONTH(B20)+INDEX(取引先マスタ!$E$5:$E$204,MATCH($C20,取引先マスタ!$A$5:$A$204,0)),MIN(INDEX(取引先マスタ!$F$5:$F$204,MATCH($C20,取引先マスタ!$A$5:$A$204,0)),DAY(EOMONTH(B20,INDEX(取引先マスタ!$E$5:$E$204,MATCH($C20,取引先マスタ!$A$5:$A$204,0)))))),""))</f>
        <v/>
      </c>
      <c r="K20" s="22"/>
      <c r="L20" s="27" t="str">
        <f aca="false">IF(K20&lt;&gt;"",K20,J20)</f>
        <v/>
      </c>
      <c r="M20" s="28"/>
      <c r="N20" s="22"/>
      <c r="O20" s="28"/>
      <c r="P20" s="26" t="str">
        <f aca="false">IF(A20="","",SUMIF(入金明細!$F$5:$F$1004,A20,入金明細!$E$5:$E$1004))</f>
        <v/>
      </c>
      <c r="Q20" s="27" t="str">
        <f aca="false">IF(OR(A20="",N(P20)=0),"",SUMPRODUCT(MAX((入金明細!$F$5:$F$1004=A20)*入金明細!$B$5:$B$1004)))</f>
        <v/>
      </c>
      <c r="R20" s="18"/>
      <c r="S20" s="26" t="str">
        <f aca="false">IF(OR(A20="",I20=""),"",I20-N(P20)-N(R20))</f>
        <v/>
      </c>
      <c r="T20" s="28"/>
      <c r="U20" s="29" t="str">
        <f aca="false">IF(A20="","",IF(T20="取消","取消",IF(W20&lt;&gt;"","要入力",IF(N20="","未送付",IF(S20=0,"入金済",IF(S20&lt;0,"過入金",IF(設定!$C$5&gt;L20,IF(P20&gt;0,"一部入金・超過","期日超過"),IF(P20&gt;0,"一部入金",IF(L20-設定!$C$5&lt;=設定!$C$6,"期日間近","入金待ち")))))))))</f>
        <v/>
      </c>
      <c r="V20" s="30" t="str">
        <f aca="false">IF(OR(U20="期日超過",U20="一部入金・超過"),設定!$C$5-L20,"")</f>
        <v/>
      </c>
      <c r="W20" s="21" t="str">
        <f aca="false">IF(A20="","",TRIM(IF(B20="","請求日 ","")&amp;IF(C20="","取引先 ",IF(D20="コード誤り","取引先コード誤り ",""))&amp;IF(E20="","件名 ","")&amp;IF(F20="","税抜金額 ","")&amp;IF(G20="","税率 ","")&amp;IF(M20="","送付方法 ","")&amp;IF(AND(N20&lt;&gt;"",O20=""),"送付者 ","")&amp;IF(AND(I20&lt;&gt;"",L20=""),"入金期日 ","")&amp;IF(AND(N20&lt;&gt;"",P20&gt;0,S20&lt;=0,X20=""),"消込確認者 ","")))</f>
        <v/>
      </c>
      <c r="X20" s="28"/>
      <c r="Y20" s="28"/>
    </row>
    <row r="21" customFormat="false" ht="15" hidden="false" customHeight="false" outlineLevel="0" collapsed="false">
      <c r="A21" s="21" t="str">
        <f aca="false">IF(COUNTA(B21,C21,E21,F21)=0,"",設定!$C$4&amp;TEXT(ROW()-4,"00000"))</f>
        <v/>
      </c>
      <c r="B21" s="22"/>
      <c r="C21" s="23"/>
      <c r="D21" s="21" t="str">
        <f aca="false">IF(C21="","",IFERROR(INDEX(取引先マスタ!$B$5:$B$204,MATCH($C21,取引先マスタ!$A$5:$A$204,0)),"コード誤り"))</f>
        <v/>
      </c>
      <c r="E21" s="28"/>
      <c r="F21" s="18"/>
      <c r="G21" s="25"/>
      <c r="H21" s="26" t="str">
        <f aca="false">IF(OR(F21="",G21=""),"",ROUNDDOWN(F21*G21,0))</f>
        <v/>
      </c>
      <c r="I21" s="26" t="str">
        <f aca="false">IF(OR(F21="",G21=""),"",F21+H21)</f>
        <v/>
      </c>
      <c r="J21" s="27" t="str">
        <f aca="false">IF(OR(B21="",C21="",D21="コード誤り"),"",IFERROR(DATE(YEAR(B21),MONTH(B21)+INDEX(取引先マスタ!$E$5:$E$204,MATCH($C21,取引先マスタ!$A$5:$A$204,0)),MIN(INDEX(取引先マスタ!$F$5:$F$204,MATCH($C21,取引先マスタ!$A$5:$A$204,0)),DAY(EOMONTH(B21,INDEX(取引先マスタ!$E$5:$E$204,MATCH($C21,取引先マスタ!$A$5:$A$204,0)))))),""))</f>
        <v/>
      </c>
      <c r="K21" s="22"/>
      <c r="L21" s="27" t="str">
        <f aca="false">IF(K21&lt;&gt;"",K21,J21)</f>
        <v/>
      </c>
      <c r="M21" s="28"/>
      <c r="N21" s="22"/>
      <c r="O21" s="28"/>
      <c r="P21" s="26" t="str">
        <f aca="false">IF(A21="","",SUMIF(入金明細!$F$5:$F$1004,A21,入金明細!$E$5:$E$1004))</f>
        <v/>
      </c>
      <c r="Q21" s="27" t="str">
        <f aca="false">IF(OR(A21="",N(P21)=0),"",SUMPRODUCT(MAX((入金明細!$F$5:$F$1004=A21)*入金明細!$B$5:$B$1004)))</f>
        <v/>
      </c>
      <c r="R21" s="18"/>
      <c r="S21" s="26" t="str">
        <f aca="false">IF(OR(A21="",I21=""),"",I21-N(P21)-N(R21))</f>
        <v/>
      </c>
      <c r="T21" s="28"/>
      <c r="U21" s="29" t="str">
        <f aca="false">IF(A21="","",IF(T21="取消","取消",IF(W21&lt;&gt;"","要入力",IF(N21="","未送付",IF(S21=0,"入金済",IF(S21&lt;0,"過入金",IF(設定!$C$5&gt;L21,IF(P21&gt;0,"一部入金・超過","期日超過"),IF(P21&gt;0,"一部入金",IF(L21-設定!$C$5&lt;=設定!$C$6,"期日間近","入金待ち")))))))))</f>
        <v/>
      </c>
      <c r="V21" s="30" t="str">
        <f aca="false">IF(OR(U21="期日超過",U21="一部入金・超過"),設定!$C$5-L21,"")</f>
        <v/>
      </c>
      <c r="W21" s="21" t="str">
        <f aca="false">IF(A21="","",TRIM(IF(B21="","請求日 ","")&amp;IF(C21="","取引先 ",IF(D21="コード誤り","取引先コード誤り ",""))&amp;IF(E21="","件名 ","")&amp;IF(F21="","税抜金額 ","")&amp;IF(G21="","税率 ","")&amp;IF(M21="","送付方法 ","")&amp;IF(AND(N21&lt;&gt;"",O21=""),"送付者 ","")&amp;IF(AND(I21&lt;&gt;"",L21=""),"入金期日 ","")&amp;IF(AND(N21&lt;&gt;"",P21&gt;0,S21&lt;=0,X21=""),"消込確認者 ","")))</f>
        <v/>
      </c>
      <c r="X21" s="28"/>
      <c r="Y21" s="28"/>
    </row>
    <row r="22" customFormat="false" ht="15" hidden="false" customHeight="false" outlineLevel="0" collapsed="false">
      <c r="A22" s="21" t="str">
        <f aca="false">IF(COUNTA(B22,C22,E22,F22)=0,"",設定!$C$4&amp;TEXT(ROW()-4,"00000"))</f>
        <v/>
      </c>
      <c r="B22" s="22"/>
      <c r="C22" s="23"/>
      <c r="D22" s="21" t="str">
        <f aca="false">IF(C22="","",IFERROR(INDEX(取引先マスタ!$B$5:$B$204,MATCH($C22,取引先マスタ!$A$5:$A$204,0)),"コード誤り"))</f>
        <v/>
      </c>
      <c r="E22" s="28"/>
      <c r="F22" s="18"/>
      <c r="G22" s="25"/>
      <c r="H22" s="26" t="str">
        <f aca="false">IF(OR(F22="",G22=""),"",ROUNDDOWN(F22*G22,0))</f>
        <v/>
      </c>
      <c r="I22" s="26" t="str">
        <f aca="false">IF(OR(F22="",G22=""),"",F22+H22)</f>
        <v/>
      </c>
      <c r="J22" s="27" t="str">
        <f aca="false">IF(OR(B22="",C22="",D22="コード誤り"),"",IFERROR(DATE(YEAR(B22),MONTH(B22)+INDEX(取引先マスタ!$E$5:$E$204,MATCH($C22,取引先マスタ!$A$5:$A$204,0)),MIN(INDEX(取引先マスタ!$F$5:$F$204,MATCH($C22,取引先マスタ!$A$5:$A$204,0)),DAY(EOMONTH(B22,INDEX(取引先マスタ!$E$5:$E$204,MATCH($C22,取引先マスタ!$A$5:$A$204,0)))))),""))</f>
        <v/>
      </c>
      <c r="K22" s="22"/>
      <c r="L22" s="27" t="str">
        <f aca="false">IF(K22&lt;&gt;"",K22,J22)</f>
        <v/>
      </c>
      <c r="M22" s="28"/>
      <c r="N22" s="22"/>
      <c r="O22" s="28"/>
      <c r="P22" s="26" t="str">
        <f aca="false">IF(A22="","",SUMIF(入金明細!$F$5:$F$1004,A22,入金明細!$E$5:$E$1004))</f>
        <v/>
      </c>
      <c r="Q22" s="27" t="str">
        <f aca="false">IF(OR(A22="",N(P22)=0),"",SUMPRODUCT(MAX((入金明細!$F$5:$F$1004=A22)*入金明細!$B$5:$B$1004)))</f>
        <v/>
      </c>
      <c r="R22" s="18"/>
      <c r="S22" s="26" t="str">
        <f aca="false">IF(OR(A22="",I22=""),"",I22-N(P22)-N(R22))</f>
        <v/>
      </c>
      <c r="T22" s="28"/>
      <c r="U22" s="29" t="str">
        <f aca="false">IF(A22="","",IF(T22="取消","取消",IF(W22&lt;&gt;"","要入力",IF(N22="","未送付",IF(S22=0,"入金済",IF(S22&lt;0,"過入金",IF(設定!$C$5&gt;L22,IF(P22&gt;0,"一部入金・超過","期日超過"),IF(P22&gt;0,"一部入金",IF(L22-設定!$C$5&lt;=設定!$C$6,"期日間近","入金待ち")))))))))</f>
        <v/>
      </c>
      <c r="V22" s="30" t="str">
        <f aca="false">IF(OR(U22="期日超過",U22="一部入金・超過"),設定!$C$5-L22,"")</f>
        <v/>
      </c>
      <c r="W22" s="21" t="str">
        <f aca="false">IF(A22="","",TRIM(IF(B22="","請求日 ","")&amp;IF(C22="","取引先 ",IF(D22="コード誤り","取引先コード誤り ",""))&amp;IF(E22="","件名 ","")&amp;IF(F22="","税抜金額 ","")&amp;IF(G22="","税率 ","")&amp;IF(M22="","送付方法 ","")&amp;IF(AND(N22&lt;&gt;"",O22=""),"送付者 ","")&amp;IF(AND(I22&lt;&gt;"",L22=""),"入金期日 ","")&amp;IF(AND(N22&lt;&gt;"",P22&gt;0,S22&lt;=0,X22=""),"消込確認者 ","")))</f>
        <v/>
      </c>
      <c r="X22" s="28"/>
      <c r="Y22" s="28"/>
    </row>
    <row r="23" customFormat="false" ht="15" hidden="false" customHeight="false" outlineLevel="0" collapsed="false">
      <c r="A23" s="21" t="str">
        <f aca="false">IF(COUNTA(B23,C23,E23,F23)=0,"",設定!$C$4&amp;TEXT(ROW()-4,"00000"))</f>
        <v/>
      </c>
      <c r="B23" s="22"/>
      <c r="C23" s="23"/>
      <c r="D23" s="21" t="str">
        <f aca="false">IF(C23="","",IFERROR(INDEX(取引先マスタ!$B$5:$B$204,MATCH($C23,取引先マスタ!$A$5:$A$204,0)),"コード誤り"))</f>
        <v/>
      </c>
      <c r="E23" s="28"/>
      <c r="F23" s="18"/>
      <c r="G23" s="25"/>
      <c r="H23" s="26" t="str">
        <f aca="false">IF(OR(F23="",G23=""),"",ROUNDDOWN(F23*G23,0))</f>
        <v/>
      </c>
      <c r="I23" s="26" t="str">
        <f aca="false">IF(OR(F23="",G23=""),"",F23+H23)</f>
        <v/>
      </c>
      <c r="J23" s="27" t="str">
        <f aca="false">IF(OR(B23="",C23="",D23="コード誤り"),"",IFERROR(DATE(YEAR(B23),MONTH(B23)+INDEX(取引先マスタ!$E$5:$E$204,MATCH($C23,取引先マスタ!$A$5:$A$204,0)),MIN(INDEX(取引先マスタ!$F$5:$F$204,MATCH($C23,取引先マスタ!$A$5:$A$204,0)),DAY(EOMONTH(B23,INDEX(取引先マスタ!$E$5:$E$204,MATCH($C23,取引先マスタ!$A$5:$A$204,0)))))),""))</f>
        <v/>
      </c>
      <c r="K23" s="22"/>
      <c r="L23" s="27" t="str">
        <f aca="false">IF(K23&lt;&gt;"",K23,J23)</f>
        <v/>
      </c>
      <c r="M23" s="28"/>
      <c r="N23" s="22"/>
      <c r="O23" s="28"/>
      <c r="P23" s="26" t="str">
        <f aca="false">IF(A23="","",SUMIF(入金明細!$F$5:$F$1004,A23,入金明細!$E$5:$E$1004))</f>
        <v/>
      </c>
      <c r="Q23" s="27" t="str">
        <f aca="false">IF(OR(A23="",N(P23)=0),"",SUMPRODUCT(MAX((入金明細!$F$5:$F$1004=A23)*入金明細!$B$5:$B$1004)))</f>
        <v/>
      </c>
      <c r="R23" s="18"/>
      <c r="S23" s="26" t="str">
        <f aca="false">IF(OR(A23="",I23=""),"",I23-N(P23)-N(R23))</f>
        <v/>
      </c>
      <c r="T23" s="28"/>
      <c r="U23" s="29" t="str">
        <f aca="false">IF(A23="","",IF(T23="取消","取消",IF(W23&lt;&gt;"","要入力",IF(N23="","未送付",IF(S23=0,"入金済",IF(S23&lt;0,"過入金",IF(設定!$C$5&gt;L23,IF(P23&gt;0,"一部入金・超過","期日超過"),IF(P23&gt;0,"一部入金",IF(L23-設定!$C$5&lt;=設定!$C$6,"期日間近","入金待ち")))))))))</f>
        <v/>
      </c>
      <c r="V23" s="30" t="str">
        <f aca="false">IF(OR(U23="期日超過",U23="一部入金・超過"),設定!$C$5-L23,"")</f>
        <v/>
      </c>
      <c r="W23" s="21" t="str">
        <f aca="false">IF(A23="","",TRIM(IF(B23="","請求日 ","")&amp;IF(C23="","取引先 ",IF(D23="コード誤り","取引先コード誤り ",""))&amp;IF(E23="","件名 ","")&amp;IF(F23="","税抜金額 ","")&amp;IF(G23="","税率 ","")&amp;IF(M23="","送付方法 ","")&amp;IF(AND(N23&lt;&gt;"",O23=""),"送付者 ","")&amp;IF(AND(I23&lt;&gt;"",L23=""),"入金期日 ","")&amp;IF(AND(N23&lt;&gt;"",P23&gt;0,S23&lt;=0,X23=""),"消込確認者 ","")))</f>
        <v/>
      </c>
      <c r="X23" s="28"/>
      <c r="Y23" s="28"/>
    </row>
    <row r="24" customFormat="false" ht="15" hidden="false" customHeight="false" outlineLevel="0" collapsed="false">
      <c r="A24" s="21" t="str">
        <f aca="false">IF(COUNTA(B24,C24,E24,F24)=0,"",設定!$C$4&amp;TEXT(ROW()-4,"00000"))</f>
        <v/>
      </c>
      <c r="B24" s="22"/>
      <c r="C24" s="23"/>
      <c r="D24" s="21" t="str">
        <f aca="false">IF(C24="","",IFERROR(INDEX(取引先マスタ!$B$5:$B$204,MATCH($C24,取引先マスタ!$A$5:$A$204,0)),"コード誤り"))</f>
        <v/>
      </c>
      <c r="E24" s="28"/>
      <c r="F24" s="18"/>
      <c r="G24" s="25"/>
      <c r="H24" s="26" t="str">
        <f aca="false">IF(OR(F24="",G24=""),"",ROUNDDOWN(F24*G24,0))</f>
        <v/>
      </c>
      <c r="I24" s="26" t="str">
        <f aca="false">IF(OR(F24="",G24=""),"",F24+H24)</f>
        <v/>
      </c>
      <c r="J24" s="27" t="str">
        <f aca="false">IF(OR(B24="",C24="",D24="コード誤り"),"",IFERROR(DATE(YEAR(B24),MONTH(B24)+INDEX(取引先マスタ!$E$5:$E$204,MATCH($C24,取引先マスタ!$A$5:$A$204,0)),MIN(INDEX(取引先マスタ!$F$5:$F$204,MATCH($C24,取引先マスタ!$A$5:$A$204,0)),DAY(EOMONTH(B24,INDEX(取引先マスタ!$E$5:$E$204,MATCH($C24,取引先マスタ!$A$5:$A$204,0)))))),""))</f>
        <v/>
      </c>
      <c r="K24" s="22"/>
      <c r="L24" s="27" t="str">
        <f aca="false">IF(K24&lt;&gt;"",K24,J24)</f>
        <v/>
      </c>
      <c r="M24" s="28"/>
      <c r="N24" s="22"/>
      <c r="O24" s="28"/>
      <c r="P24" s="26" t="str">
        <f aca="false">IF(A24="","",SUMIF(入金明細!$F$5:$F$1004,A24,入金明細!$E$5:$E$1004))</f>
        <v/>
      </c>
      <c r="Q24" s="27" t="str">
        <f aca="false">IF(OR(A24="",N(P24)=0),"",SUMPRODUCT(MAX((入金明細!$F$5:$F$1004=A24)*入金明細!$B$5:$B$1004)))</f>
        <v/>
      </c>
      <c r="R24" s="18"/>
      <c r="S24" s="26" t="str">
        <f aca="false">IF(OR(A24="",I24=""),"",I24-N(P24)-N(R24))</f>
        <v/>
      </c>
      <c r="T24" s="28"/>
      <c r="U24" s="29" t="str">
        <f aca="false">IF(A24="","",IF(T24="取消","取消",IF(W24&lt;&gt;"","要入力",IF(N24="","未送付",IF(S24=0,"入金済",IF(S24&lt;0,"過入金",IF(設定!$C$5&gt;L24,IF(P24&gt;0,"一部入金・超過","期日超過"),IF(P24&gt;0,"一部入金",IF(L24-設定!$C$5&lt;=設定!$C$6,"期日間近","入金待ち")))))))))</f>
        <v/>
      </c>
      <c r="V24" s="30" t="str">
        <f aca="false">IF(OR(U24="期日超過",U24="一部入金・超過"),設定!$C$5-L24,"")</f>
        <v/>
      </c>
      <c r="W24" s="21" t="str">
        <f aca="false">IF(A24="","",TRIM(IF(B24="","請求日 ","")&amp;IF(C24="","取引先 ",IF(D24="コード誤り","取引先コード誤り ",""))&amp;IF(E24="","件名 ","")&amp;IF(F24="","税抜金額 ","")&amp;IF(G24="","税率 ","")&amp;IF(M24="","送付方法 ","")&amp;IF(AND(N24&lt;&gt;"",O24=""),"送付者 ","")&amp;IF(AND(I24&lt;&gt;"",L24=""),"入金期日 ","")&amp;IF(AND(N24&lt;&gt;"",P24&gt;0,S24&lt;=0,X24=""),"消込確認者 ","")))</f>
        <v/>
      </c>
      <c r="X24" s="28"/>
      <c r="Y24" s="28"/>
    </row>
    <row r="25" customFormat="false" ht="15" hidden="false" customHeight="false" outlineLevel="0" collapsed="false">
      <c r="A25" s="21" t="str">
        <f aca="false">IF(COUNTA(B25,C25,E25,F25)=0,"",設定!$C$4&amp;TEXT(ROW()-4,"00000"))</f>
        <v/>
      </c>
      <c r="B25" s="22"/>
      <c r="C25" s="23"/>
      <c r="D25" s="21" t="str">
        <f aca="false">IF(C25="","",IFERROR(INDEX(取引先マスタ!$B$5:$B$204,MATCH($C25,取引先マスタ!$A$5:$A$204,0)),"コード誤り"))</f>
        <v/>
      </c>
      <c r="E25" s="28"/>
      <c r="F25" s="18"/>
      <c r="G25" s="25"/>
      <c r="H25" s="26" t="str">
        <f aca="false">IF(OR(F25="",G25=""),"",ROUNDDOWN(F25*G25,0))</f>
        <v/>
      </c>
      <c r="I25" s="26" t="str">
        <f aca="false">IF(OR(F25="",G25=""),"",F25+H25)</f>
        <v/>
      </c>
      <c r="J25" s="27" t="str">
        <f aca="false">IF(OR(B25="",C25="",D25="コード誤り"),"",IFERROR(DATE(YEAR(B25),MONTH(B25)+INDEX(取引先マスタ!$E$5:$E$204,MATCH($C25,取引先マスタ!$A$5:$A$204,0)),MIN(INDEX(取引先マスタ!$F$5:$F$204,MATCH($C25,取引先マスタ!$A$5:$A$204,0)),DAY(EOMONTH(B25,INDEX(取引先マスタ!$E$5:$E$204,MATCH($C25,取引先マスタ!$A$5:$A$204,0)))))),""))</f>
        <v/>
      </c>
      <c r="K25" s="22"/>
      <c r="L25" s="27" t="str">
        <f aca="false">IF(K25&lt;&gt;"",K25,J25)</f>
        <v/>
      </c>
      <c r="M25" s="28"/>
      <c r="N25" s="22"/>
      <c r="O25" s="28"/>
      <c r="P25" s="26" t="str">
        <f aca="false">IF(A25="","",SUMIF(入金明細!$F$5:$F$1004,A25,入金明細!$E$5:$E$1004))</f>
        <v/>
      </c>
      <c r="Q25" s="27" t="str">
        <f aca="false">IF(OR(A25="",N(P25)=0),"",SUMPRODUCT(MAX((入金明細!$F$5:$F$1004=A25)*入金明細!$B$5:$B$1004)))</f>
        <v/>
      </c>
      <c r="R25" s="18"/>
      <c r="S25" s="26" t="str">
        <f aca="false">IF(OR(A25="",I25=""),"",I25-N(P25)-N(R25))</f>
        <v/>
      </c>
      <c r="T25" s="28"/>
      <c r="U25" s="29" t="str">
        <f aca="false">IF(A25="","",IF(T25="取消","取消",IF(W25&lt;&gt;"","要入力",IF(N25="","未送付",IF(S25=0,"入金済",IF(S25&lt;0,"過入金",IF(設定!$C$5&gt;L25,IF(P25&gt;0,"一部入金・超過","期日超過"),IF(P25&gt;0,"一部入金",IF(L25-設定!$C$5&lt;=設定!$C$6,"期日間近","入金待ち")))))))))</f>
        <v/>
      </c>
      <c r="V25" s="30" t="str">
        <f aca="false">IF(OR(U25="期日超過",U25="一部入金・超過"),設定!$C$5-L25,"")</f>
        <v/>
      </c>
      <c r="W25" s="21" t="str">
        <f aca="false">IF(A25="","",TRIM(IF(B25="","請求日 ","")&amp;IF(C25="","取引先 ",IF(D25="コード誤り","取引先コード誤り ",""))&amp;IF(E25="","件名 ","")&amp;IF(F25="","税抜金額 ","")&amp;IF(G25="","税率 ","")&amp;IF(M25="","送付方法 ","")&amp;IF(AND(N25&lt;&gt;"",O25=""),"送付者 ","")&amp;IF(AND(I25&lt;&gt;"",L25=""),"入金期日 ","")&amp;IF(AND(N25&lt;&gt;"",P25&gt;0,S25&lt;=0,X25=""),"消込確認者 ","")))</f>
        <v/>
      </c>
      <c r="X25" s="28"/>
      <c r="Y25" s="28"/>
    </row>
    <row r="26" customFormat="false" ht="15" hidden="false" customHeight="false" outlineLevel="0" collapsed="false">
      <c r="A26" s="21" t="str">
        <f aca="false">IF(COUNTA(B26,C26,E26,F26)=0,"",設定!$C$4&amp;TEXT(ROW()-4,"00000"))</f>
        <v/>
      </c>
      <c r="B26" s="22"/>
      <c r="C26" s="23"/>
      <c r="D26" s="21" t="str">
        <f aca="false">IF(C26="","",IFERROR(INDEX(取引先マスタ!$B$5:$B$204,MATCH($C26,取引先マスタ!$A$5:$A$204,0)),"コード誤り"))</f>
        <v/>
      </c>
      <c r="E26" s="28"/>
      <c r="F26" s="18"/>
      <c r="G26" s="25"/>
      <c r="H26" s="26" t="str">
        <f aca="false">IF(OR(F26="",G26=""),"",ROUNDDOWN(F26*G26,0))</f>
        <v/>
      </c>
      <c r="I26" s="26" t="str">
        <f aca="false">IF(OR(F26="",G26=""),"",F26+H26)</f>
        <v/>
      </c>
      <c r="J26" s="27" t="str">
        <f aca="false">IF(OR(B26="",C26="",D26="コード誤り"),"",IFERROR(DATE(YEAR(B26),MONTH(B26)+INDEX(取引先マスタ!$E$5:$E$204,MATCH($C26,取引先マスタ!$A$5:$A$204,0)),MIN(INDEX(取引先マスタ!$F$5:$F$204,MATCH($C26,取引先マスタ!$A$5:$A$204,0)),DAY(EOMONTH(B26,INDEX(取引先マスタ!$E$5:$E$204,MATCH($C26,取引先マスタ!$A$5:$A$204,0)))))),""))</f>
        <v/>
      </c>
      <c r="K26" s="22"/>
      <c r="L26" s="27" t="str">
        <f aca="false">IF(K26&lt;&gt;"",K26,J26)</f>
        <v/>
      </c>
      <c r="M26" s="28"/>
      <c r="N26" s="22"/>
      <c r="O26" s="28"/>
      <c r="P26" s="26" t="str">
        <f aca="false">IF(A26="","",SUMIF(入金明細!$F$5:$F$1004,A26,入金明細!$E$5:$E$1004))</f>
        <v/>
      </c>
      <c r="Q26" s="27" t="str">
        <f aca="false">IF(OR(A26="",N(P26)=0),"",SUMPRODUCT(MAX((入金明細!$F$5:$F$1004=A26)*入金明細!$B$5:$B$1004)))</f>
        <v/>
      </c>
      <c r="R26" s="18"/>
      <c r="S26" s="26" t="str">
        <f aca="false">IF(OR(A26="",I26=""),"",I26-N(P26)-N(R26))</f>
        <v/>
      </c>
      <c r="T26" s="28"/>
      <c r="U26" s="29" t="str">
        <f aca="false">IF(A26="","",IF(T26="取消","取消",IF(W26&lt;&gt;"","要入力",IF(N26="","未送付",IF(S26=0,"入金済",IF(S26&lt;0,"過入金",IF(設定!$C$5&gt;L26,IF(P26&gt;0,"一部入金・超過","期日超過"),IF(P26&gt;0,"一部入金",IF(L26-設定!$C$5&lt;=設定!$C$6,"期日間近","入金待ち")))))))))</f>
        <v/>
      </c>
      <c r="V26" s="30" t="str">
        <f aca="false">IF(OR(U26="期日超過",U26="一部入金・超過"),設定!$C$5-L26,"")</f>
        <v/>
      </c>
      <c r="W26" s="21" t="str">
        <f aca="false">IF(A26="","",TRIM(IF(B26="","請求日 ","")&amp;IF(C26="","取引先 ",IF(D26="コード誤り","取引先コード誤り ",""))&amp;IF(E26="","件名 ","")&amp;IF(F26="","税抜金額 ","")&amp;IF(G26="","税率 ","")&amp;IF(M26="","送付方法 ","")&amp;IF(AND(N26&lt;&gt;"",O26=""),"送付者 ","")&amp;IF(AND(I26&lt;&gt;"",L26=""),"入金期日 ","")&amp;IF(AND(N26&lt;&gt;"",P26&gt;0,S26&lt;=0,X26=""),"消込確認者 ","")))</f>
        <v/>
      </c>
      <c r="X26" s="28"/>
      <c r="Y26" s="28"/>
    </row>
    <row r="27" customFormat="false" ht="15" hidden="false" customHeight="false" outlineLevel="0" collapsed="false">
      <c r="A27" s="21" t="str">
        <f aca="false">IF(COUNTA(B27,C27,E27,F27)=0,"",設定!$C$4&amp;TEXT(ROW()-4,"00000"))</f>
        <v/>
      </c>
      <c r="B27" s="22"/>
      <c r="C27" s="23"/>
      <c r="D27" s="21" t="str">
        <f aca="false">IF(C27="","",IFERROR(INDEX(取引先マスタ!$B$5:$B$204,MATCH($C27,取引先マスタ!$A$5:$A$204,0)),"コード誤り"))</f>
        <v/>
      </c>
      <c r="E27" s="28"/>
      <c r="F27" s="18"/>
      <c r="G27" s="25"/>
      <c r="H27" s="26" t="str">
        <f aca="false">IF(OR(F27="",G27=""),"",ROUNDDOWN(F27*G27,0))</f>
        <v/>
      </c>
      <c r="I27" s="26" t="str">
        <f aca="false">IF(OR(F27="",G27=""),"",F27+H27)</f>
        <v/>
      </c>
      <c r="J27" s="27" t="str">
        <f aca="false">IF(OR(B27="",C27="",D27="コード誤り"),"",IFERROR(DATE(YEAR(B27),MONTH(B27)+INDEX(取引先マスタ!$E$5:$E$204,MATCH($C27,取引先マスタ!$A$5:$A$204,0)),MIN(INDEX(取引先マスタ!$F$5:$F$204,MATCH($C27,取引先マスタ!$A$5:$A$204,0)),DAY(EOMONTH(B27,INDEX(取引先マスタ!$E$5:$E$204,MATCH($C27,取引先マスタ!$A$5:$A$204,0)))))),""))</f>
        <v/>
      </c>
      <c r="K27" s="22"/>
      <c r="L27" s="27" t="str">
        <f aca="false">IF(K27&lt;&gt;"",K27,J27)</f>
        <v/>
      </c>
      <c r="M27" s="28"/>
      <c r="N27" s="22"/>
      <c r="O27" s="28"/>
      <c r="P27" s="26" t="str">
        <f aca="false">IF(A27="","",SUMIF(入金明細!$F$5:$F$1004,A27,入金明細!$E$5:$E$1004))</f>
        <v/>
      </c>
      <c r="Q27" s="27" t="str">
        <f aca="false">IF(OR(A27="",N(P27)=0),"",SUMPRODUCT(MAX((入金明細!$F$5:$F$1004=A27)*入金明細!$B$5:$B$1004)))</f>
        <v/>
      </c>
      <c r="R27" s="18"/>
      <c r="S27" s="26" t="str">
        <f aca="false">IF(OR(A27="",I27=""),"",I27-N(P27)-N(R27))</f>
        <v/>
      </c>
      <c r="T27" s="28"/>
      <c r="U27" s="29" t="str">
        <f aca="false">IF(A27="","",IF(T27="取消","取消",IF(W27&lt;&gt;"","要入力",IF(N27="","未送付",IF(S27=0,"入金済",IF(S27&lt;0,"過入金",IF(設定!$C$5&gt;L27,IF(P27&gt;0,"一部入金・超過","期日超過"),IF(P27&gt;0,"一部入金",IF(L27-設定!$C$5&lt;=設定!$C$6,"期日間近","入金待ち")))))))))</f>
        <v/>
      </c>
      <c r="V27" s="30" t="str">
        <f aca="false">IF(OR(U27="期日超過",U27="一部入金・超過"),設定!$C$5-L27,"")</f>
        <v/>
      </c>
      <c r="W27" s="21" t="str">
        <f aca="false">IF(A27="","",TRIM(IF(B27="","請求日 ","")&amp;IF(C27="","取引先 ",IF(D27="コード誤り","取引先コード誤り ",""))&amp;IF(E27="","件名 ","")&amp;IF(F27="","税抜金額 ","")&amp;IF(G27="","税率 ","")&amp;IF(M27="","送付方法 ","")&amp;IF(AND(N27&lt;&gt;"",O27=""),"送付者 ","")&amp;IF(AND(I27&lt;&gt;"",L27=""),"入金期日 ","")&amp;IF(AND(N27&lt;&gt;"",P27&gt;0,S27&lt;=0,X27=""),"消込確認者 ","")))</f>
        <v/>
      </c>
      <c r="X27" s="28"/>
      <c r="Y27" s="28"/>
    </row>
    <row r="28" customFormat="false" ht="15" hidden="false" customHeight="false" outlineLevel="0" collapsed="false">
      <c r="A28" s="21" t="str">
        <f aca="false">IF(COUNTA(B28,C28,E28,F28)=0,"",設定!$C$4&amp;TEXT(ROW()-4,"00000"))</f>
        <v/>
      </c>
      <c r="B28" s="22"/>
      <c r="C28" s="23"/>
      <c r="D28" s="21" t="str">
        <f aca="false">IF(C28="","",IFERROR(INDEX(取引先マスタ!$B$5:$B$204,MATCH($C28,取引先マスタ!$A$5:$A$204,0)),"コード誤り"))</f>
        <v/>
      </c>
      <c r="E28" s="28"/>
      <c r="F28" s="18"/>
      <c r="G28" s="25"/>
      <c r="H28" s="26" t="str">
        <f aca="false">IF(OR(F28="",G28=""),"",ROUNDDOWN(F28*G28,0))</f>
        <v/>
      </c>
      <c r="I28" s="26" t="str">
        <f aca="false">IF(OR(F28="",G28=""),"",F28+H28)</f>
        <v/>
      </c>
      <c r="J28" s="27" t="str">
        <f aca="false">IF(OR(B28="",C28="",D28="コード誤り"),"",IFERROR(DATE(YEAR(B28),MONTH(B28)+INDEX(取引先マスタ!$E$5:$E$204,MATCH($C28,取引先マスタ!$A$5:$A$204,0)),MIN(INDEX(取引先マスタ!$F$5:$F$204,MATCH($C28,取引先マスタ!$A$5:$A$204,0)),DAY(EOMONTH(B28,INDEX(取引先マスタ!$E$5:$E$204,MATCH($C28,取引先マスタ!$A$5:$A$204,0)))))),""))</f>
        <v/>
      </c>
      <c r="K28" s="22"/>
      <c r="L28" s="27" t="str">
        <f aca="false">IF(K28&lt;&gt;"",K28,J28)</f>
        <v/>
      </c>
      <c r="M28" s="28"/>
      <c r="N28" s="22"/>
      <c r="O28" s="28"/>
      <c r="P28" s="26" t="str">
        <f aca="false">IF(A28="","",SUMIF(入金明細!$F$5:$F$1004,A28,入金明細!$E$5:$E$1004))</f>
        <v/>
      </c>
      <c r="Q28" s="27" t="str">
        <f aca="false">IF(OR(A28="",N(P28)=0),"",SUMPRODUCT(MAX((入金明細!$F$5:$F$1004=A28)*入金明細!$B$5:$B$1004)))</f>
        <v/>
      </c>
      <c r="R28" s="18"/>
      <c r="S28" s="26" t="str">
        <f aca="false">IF(OR(A28="",I28=""),"",I28-N(P28)-N(R28))</f>
        <v/>
      </c>
      <c r="T28" s="28"/>
      <c r="U28" s="29" t="str">
        <f aca="false">IF(A28="","",IF(T28="取消","取消",IF(W28&lt;&gt;"","要入力",IF(N28="","未送付",IF(S28=0,"入金済",IF(S28&lt;0,"過入金",IF(設定!$C$5&gt;L28,IF(P28&gt;0,"一部入金・超過","期日超過"),IF(P28&gt;0,"一部入金",IF(L28-設定!$C$5&lt;=設定!$C$6,"期日間近","入金待ち")))))))))</f>
        <v/>
      </c>
      <c r="V28" s="30" t="str">
        <f aca="false">IF(OR(U28="期日超過",U28="一部入金・超過"),設定!$C$5-L28,"")</f>
        <v/>
      </c>
      <c r="W28" s="21" t="str">
        <f aca="false">IF(A28="","",TRIM(IF(B28="","請求日 ","")&amp;IF(C28="","取引先 ",IF(D28="コード誤り","取引先コード誤り ",""))&amp;IF(E28="","件名 ","")&amp;IF(F28="","税抜金額 ","")&amp;IF(G28="","税率 ","")&amp;IF(M28="","送付方法 ","")&amp;IF(AND(N28&lt;&gt;"",O28=""),"送付者 ","")&amp;IF(AND(I28&lt;&gt;"",L28=""),"入金期日 ","")&amp;IF(AND(N28&lt;&gt;"",P28&gt;0,S28&lt;=0,X28=""),"消込確認者 ","")))</f>
        <v/>
      </c>
      <c r="X28" s="28"/>
      <c r="Y28" s="28"/>
    </row>
    <row r="29" customFormat="false" ht="15" hidden="false" customHeight="false" outlineLevel="0" collapsed="false">
      <c r="A29" s="21" t="str">
        <f aca="false">IF(COUNTA(B29,C29,E29,F29)=0,"",設定!$C$4&amp;TEXT(ROW()-4,"00000"))</f>
        <v/>
      </c>
      <c r="B29" s="22"/>
      <c r="C29" s="23"/>
      <c r="D29" s="21" t="str">
        <f aca="false">IF(C29="","",IFERROR(INDEX(取引先マスタ!$B$5:$B$204,MATCH($C29,取引先マスタ!$A$5:$A$204,0)),"コード誤り"))</f>
        <v/>
      </c>
      <c r="E29" s="28"/>
      <c r="F29" s="18"/>
      <c r="G29" s="25"/>
      <c r="H29" s="26" t="str">
        <f aca="false">IF(OR(F29="",G29=""),"",ROUNDDOWN(F29*G29,0))</f>
        <v/>
      </c>
      <c r="I29" s="26" t="str">
        <f aca="false">IF(OR(F29="",G29=""),"",F29+H29)</f>
        <v/>
      </c>
      <c r="J29" s="27" t="str">
        <f aca="false">IF(OR(B29="",C29="",D29="コード誤り"),"",IFERROR(DATE(YEAR(B29),MONTH(B29)+INDEX(取引先マスタ!$E$5:$E$204,MATCH($C29,取引先マスタ!$A$5:$A$204,0)),MIN(INDEX(取引先マスタ!$F$5:$F$204,MATCH($C29,取引先マスタ!$A$5:$A$204,0)),DAY(EOMONTH(B29,INDEX(取引先マスタ!$E$5:$E$204,MATCH($C29,取引先マスタ!$A$5:$A$204,0)))))),""))</f>
        <v/>
      </c>
      <c r="K29" s="22"/>
      <c r="L29" s="27" t="str">
        <f aca="false">IF(K29&lt;&gt;"",K29,J29)</f>
        <v/>
      </c>
      <c r="M29" s="28"/>
      <c r="N29" s="22"/>
      <c r="O29" s="28"/>
      <c r="P29" s="26" t="str">
        <f aca="false">IF(A29="","",SUMIF(入金明細!$F$5:$F$1004,A29,入金明細!$E$5:$E$1004))</f>
        <v/>
      </c>
      <c r="Q29" s="27" t="str">
        <f aca="false">IF(OR(A29="",N(P29)=0),"",SUMPRODUCT(MAX((入金明細!$F$5:$F$1004=A29)*入金明細!$B$5:$B$1004)))</f>
        <v/>
      </c>
      <c r="R29" s="18"/>
      <c r="S29" s="26" t="str">
        <f aca="false">IF(OR(A29="",I29=""),"",I29-N(P29)-N(R29))</f>
        <v/>
      </c>
      <c r="T29" s="28"/>
      <c r="U29" s="29" t="str">
        <f aca="false">IF(A29="","",IF(T29="取消","取消",IF(W29&lt;&gt;"","要入力",IF(N29="","未送付",IF(S29=0,"入金済",IF(S29&lt;0,"過入金",IF(設定!$C$5&gt;L29,IF(P29&gt;0,"一部入金・超過","期日超過"),IF(P29&gt;0,"一部入金",IF(L29-設定!$C$5&lt;=設定!$C$6,"期日間近","入金待ち")))))))))</f>
        <v/>
      </c>
      <c r="V29" s="30" t="str">
        <f aca="false">IF(OR(U29="期日超過",U29="一部入金・超過"),設定!$C$5-L29,"")</f>
        <v/>
      </c>
      <c r="W29" s="21" t="str">
        <f aca="false">IF(A29="","",TRIM(IF(B29="","請求日 ","")&amp;IF(C29="","取引先 ",IF(D29="コード誤り","取引先コード誤り ",""))&amp;IF(E29="","件名 ","")&amp;IF(F29="","税抜金額 ","")&amp;IF(G29="","税率 ","")&amp;IF(M29="","送付方法 ","")&amp;IF(AND(N29&lt;&gt;"",O29=""),"送付者 ","")&amp;IF(AND(I29&lt;&gt;"",L29=""),"入金期日 ","")&amp;IF(AND(N29&lt;&gt;"",P29&gt;0,S29&lt;=0,X29=""),"消込確認者 ","")))</f>
        <v/>
      </c>
      <c r="X29" s="28"/>
      <c r="Y29" s="28"/>
    </row>
    <row r="30" customFormat="false" ht="15" hidden="false" customHeight="false" outlineLevel="0" collapsed="false">
      <c r="A30" s="21" t="str">
        <f aca="false">IF(COUNTA(B30,C30,E30,F30)=0,"",設定!$C$4&amp;TEXT(ROW()-4,"00000"))</f>
        <v/>
      </c>
      <c r="B30" s="22"/>
      <c r="C30" s="23"/>
      <c r="D30" s="21" t="str">
        <f aca="false">IF(C30="","",IFERROR(INDEX(取引先マスタ!$B$5:$B$204,MATCH($C30,取引先マスタ!$A$5:$A$204,0)),"コード誤り"))</f>
        <v/>
      </c>
      <c r="E30" s="28"/>
      <c r="F30" s="18"/>
      <c r="G30" s="25"/>
      <c r="H30" s="26" t="str">
        <f aca="false">IF(OR(F30="",G30=""),"",ROUNDDOWN(F30*G30,0))</f>
        <v/>
      </c>
      <c r="I30" s="26" t="str">
        <f aca="false">IF(OR(F30="",G30=""),"",F30+H30)</f>
        <v/>
      </c>
      <c r="J30" s="27" t="str">
        <f aca="false">IF(OR(B30="",C30="",D30="コード誤り"),"",IFERROR(DATE(YEAR(B30),MONTH(B30)+INDEX(取引先マスタ!$E$5:$E$204,MATCH($C30,取引先マスタ!$A$5:$A$204,0)),MIN(INDEX(取引先マスタ!$F$5:$F$204,MATCH($C30,取引先マスタ!$A$5:$A$204,0)),DAY(EOMONTH(B30,INDEX(取引先マスタ!$E$5:$E$204,MATCH($C30,取引先マスタ!$A$5:$A$204,0)))))),""))</f>
        <v/>
      </c>
      <c r="K30" s="22"/>
      <c r="L30" s="27" t="str">
        <f aca="false">IF(K30&lt;&gt;"",K30,J30)</f>
        <v/>
      </c>
      <c r="M30" s="28"/>
      <c r="N30" s="22"/>
      <c r="O30" s="28"/>
      <c r="P30" s="26" t="str">
        <f aca="false">IF(A30="","",SUMIF(入金明細!$F$5:$F$1004,A30,入金明細!$E$5:$E$1004))</f>
        <v/>
      </c>
      <c r="Q30" s="27" t="str">
        <f aca="false">IF(OR(A30="",N(P30)=0),"",SUMPRODUCT(MAX((入金明細!$F$5:$F$1004=A30)*入金明細!$B$5:$B$1004)))</f>
        <v/>
      </c>
      <c r="R30" s="18"/>
      <c r="S30" s="26" t="str">
        <f aca="false">IF(OR(A30="",I30=""),"",I30-N(P30)-N(R30))</f>
        <v/>
      </c>
      <c r="T30" s="28"/>
      <c r="U30" s="29" t="str">
        <f aca="false">IF(A30="","",IF(T30="取消","取消",IF(W30&lt;&gt;"","要入力",IF(N30="","未送付",IF(S30=0,"入金済",IF(S30&lt;0,"過入金",IF(設定!$C$5&gt;L30,IF(P30&gt;0,"一部入金・超過","期日超過"),IF(P30&gt;0,"一部入金",IF(L30-設定!$C$5&lt;=設定!$C$6,"期日間近","入金待ち")))))))))</f>
        <v/>
      </c>
      <c r="V30" s="30" t="str">
        <f aca="false">IF(OR(U30="期日超過",U30="一部入金・超過"),設定!$C$5-L30,"")</f>
        <v/>
      </c>
      <c r="W30" s="21" t="str">
        <f aca="false">IF(A30="","",TRIM(IF(B30="","請求日 ","")&amp;IF(C30="","取引先 ",IF(D30="コード誤り","取引先コード誤り ",""))&amp;IF(E30="","件名 ","")&amp;IF(F30="","税抜金額 ","")&amp;IF(G30="","税率 ","")&amp;IF(M30="","送付方法 ","")&amp;IF(AND(N30&lt;&gt;"",O30=""),"送付者 ","")&amp;IF(AND(I30&lt;&gt;"",L30=""),"入金期日 ","")&amp;IF(AND(N30&lt;&gt;"",P30&gt;0,S30&lt;=0,X30=""),"消込確認者 ","")))</f>
        <v/>
      </c>
      <c r="X30" s="28"/>
      <c r="Y30" s="28"/>
    </row>
    <row r="31" customFormat="false" ht="15" hidden="false" customHeight="false" outlineLevel="0" collapsed="false">
      <c r="A31" s="21" t="str">
        <f aca="false">IF(COUNTA(B31,C31,E31,F31)=0,"",設定!$C$4&amp;TEXT(ROW()-4,"00000"))</f>
        <v/>
      </c>
      <c r="B31" s="22"/>
      <c r="C31" s="23"/>
      <c r="D31" s="21" t="str">
        <f aca="false">IF(C31="","",IFERROR(INDEX(取引先マスタ!$B$5:$B$204,MATCH($C31,取引先マスタ!$A$5:$A$204,0)),"コード誤り"))</f>
        <v/>
      </c>
      <c r="E31" s="28"/>
      <c r="F31" s="18"/>
      <c r="G31" s="25"/>
      <c r="H31" s="26" t="str">
        <f aca="false">IF(OR(F31="",G31=""),"",ROUNDDOWN(F31*G31,0))</f>
        <v/>
      </c>
      <c r="I31" s="26" t="str">
        <f aca="false">IF(OR(F31="",G31=""),"",F31+H31)</f>
        <v/>
      </c>
      <c r="J31" s="27" t="str">
        <f aca="false">IF(OR(B31="",C31="",D31="コード誤り"),"",IFERROR(DATE(YEAR(B31),MONTH(B31)+INDEX(取引先マスタ!$E$5:$E$204,MATCH($C31,取引先マスタ!$A$5:$A$204,0)),MIN(INDEX(取引先マスタ!$F$5:$F$204,MATCH($C31,取引先マスタ!$A$5:$A$204,0)),DAY(EOMONTH(B31,INDEX(取引先マスタ!$E$5:$E$204,MATCH($C31,取引先マスタ!$A$5:$A$204,0)))))),""))</f>
        <v/>
      </c>
      <c r="K31" s="22"/>
      <c r="L31" s="27" t="str">
        <f aca="false">IF(K31&lt;&gt;"",K31,J31)</f>
        <v/>
      </c>
      <c r="M31" s="28"/>
      <c r="N31" s="22"/>
      <c r="O31" s="28"/>
      <c r="P31" s="26" t="str">
        <f aca="false">IF(A31="","",SUMIF(入金明細!$F$5:$F$1004,A31,入金明細!$E$5:$E$1004))</f>
        <v/>
      </c>
      <c r="Q31" s="27" t="str">
        <f aca="false">IF(OR(A31="",N(P31)=0),"",SUMPRODUCT(MAX((入金明細!$F$5:$F$1004=A31)*入金明細!$B$5:$B$1004)))</f>
        <v/>
      </c>
      <c r="R31" s="18"/>
      <c r="S31" s="26" t="str">
        <f aca="false">IF(OR(A31="",I31=""),"",I31-N(P31)-N(R31))</f>
        <v/>
      </c>
      <c r="T31" s="28"/>
      <c r="U31" s="29" t="str">
        <f aca="false">IF(A31="","",IF(T31="取消","取消",IF(W31&lt;&gt;"","要入力",IF(N31="","未送付",IF(S31=0,"入金済",IF(S31&lt;0,"過入金",IF(設定!$C$5&gt;L31,IF(P31&gt;0,"一部入金・超過","期日超過"),IF(P31&gt;0,"一部入金",IF(L31-設定!$C$5&lt;=設定!$C$6,"期日間近","入金待ち")))))))))</f>
        <v/>
      </c>
      <c r="V31" s="30" t="str">
        <f aca="false">IF(OR(U31="期日超過",U31="一部入金・超過"),設定!$C$5-L31,"")</f>
        <v/>
      </c>
      <c r="W31" s="21" t="str">
        <f aca="false">IF(A31="","",TRIM(IF(B31="","請求日 ","")&amp;IF(C31="","取引先 ",IF(D31="コード誤り","取引先コード誤り ",""))&amp;IF(E31="","件名 ","")&amp;IF(F31="","税抜金額 ","")&amp;IF(G31="","税率 ","")&amp;IF(M31="","送付方法 ","")&amp;IF(AND(N31&lt;&gt;"",O31=""),"送付者 ","")&amp;IF(AND(I31&lt;&gt;"",L31=""),"入金期日 ","")&amp;IF(AND(N31&lt;&gt;"",P31&gt;0,S31&lt;=0,X31=""),"消込確認者 ","")))</f>
        <v/>
      </c>
      <c r="X31" s="28"/>
      <c r="Y31" s="28"/>
    </row>
    <row r="32" customFormat="false" ht="15" hidden="false" customHeight="false" outlineLevel="0" collapsed="false">
      <c r="A32" s="21" t="str">
        <f aca="false">IF(COUNTA(B32,C32,E32,F32)=0,"",設定!$C$4&amp;TEXT(ROW()-4,"00000"))</f>
        <v/>
      </c>
      <c r="B32" s="22"/>
      <c r="C32" s="23"/>
      <c r="D32" s="21" t="str">
        <f aca="false">IF(C32="","",IFERROR(INDEX(取引先マスタ!$B$5:$B$204,MATCH($C32,取引先マスタ!$A$5:$A$204,0)),"コード誤り"))</f>
        <v/>
      </c>
      <c r="E32" s="28"/>
      <c r="F32" s="18"/>
      <c r="G32" s="25"/>
      <c r="H32" s="26" t="str">
        <f aca="false">IF(OR(F32="",G32=""),"",ROUNDDOWN(F32*G32,0))</f>
        <v/>
      </c>
      <c r="I32" s="26" t="str">
        <f aca="false">IF(OR(F32="",G32=""),"",F32+H32)</f>
        <v/>
      </c>
      <c r="J32" s="27" t="str">
        <f aca="false">IF(OR(B32="",C32="",D32="コード誤り"),"",IFERROR(DATE(YEAR(B32),MONTH(B32)+INDEX(取引先マスタ!$E$5:$E$204,MATCH($C32,取引先マスタ!$A$5:$A$204,0)),MIN(INDEX(取引先マスタ!$F$5:$F$204,MATCH($C32,取引先マスタ!$A$5:$A$204,0)),DAY(EOMONTH(B32,INDEX(取引先マスタ!$E$5:$E$204,MATCH($C32,取引先マスタ!$A$5:$A$204,0)))))),""))</f>
        <v/>
      </c>
      <c r="K32" s="22"/>
      <c r="L32" s="27" t="str">
        <f aca="false">IF(K32&lt;&gt;"",K32,J32)</f>
        <v/>
      </c>
      <c r="M32" s="28"/>
      <c r="N32" s="22"/>
      <c r="O32" s="28"/>
      <c r="P32" s="26" t="str">
        <f aca="false">IF(A32="","",SUMIF(入金明細!$F$5:$F$1004,A32,入金明細!$E$5:$E$1004))</f>
        <v/>
      </c>
      <c r="Q32" s="27" t="str">
        <f aca="false">IF(OR(A32="",N(P32)=0),"",SUMPRODUCT(MAX((入金明細!$F$5:$F$1004=A32)*入金明細!$B$5:$B$1004)))</f>
        <v/>
      </c>
      <c r="R32" s="18"/>
      <c r="S32" s="26" t="str">
        <f aca="false">IF(OR(A32="",I32=""),"",I32-N(P32)-N(R32))</f>
        <v/>
      </c>
      <c r="T32" s="28"/>
      <c r="U32" s="29" t="str">
        <f aca="false">IF(A32="","",IF(T32="取消","取消",IF(W32&lt;&gt;"","要入力",IF(N32="","未送付",IF(S32=0,"入金済",IF(S32&lt;0,"過入金",IF(設定!$C$5&gt;L32,IF(P32&gt;0,"一部入金・超過","期日超過"),IF(P32&gt;0,"一部入金",IF(L32-設定!$C$5&lt;=設定!$C$6,"期日間近","入金待ち")))))))))</f>
        <v/>
      </c>
      <c r="V32" s="30" t="str">
        <f aca="false">IF(OR(U32="期日超過",U32="一部入金・超過"),設定!$C$5-L32,"")</f>
        <v/>
      </c>
      <c r="W32" s="21" t="str">
        <f aca="false">IF(A32="","",TRIM(IF(B32="","請求日 ","")&amp;IF(C32="","取引先 ",IF(D32="コード誤り","取引先コード誤り ",""))&amp;IF(E32="","件名 ","")&amp;IF(F32="","税抜金額 ","")&amp;IF(G32="","税率 ","")&amp;IF(M32="","送付方法 ","")&amp;IF(AND(N32&lt;&gt;"",O32=""),"送付者 ","")&amp;IF(AND(I32&lt;&gt;"",L32=""),"入金期日 ","")&amp;IF(AND(N32&lt;&gt;"",P32&gt;0,S32&lt;=0,X32=""),"消込確認者 ","")))</f>
        <v/>
      </c>
      <c r="X32" s="28"/>
      <c r="Y32" s="28"/>
    </row>
    <row r="33" customFormat="false" ht="15" hidden="false" customHeight="false" outlineLevel="0" collapsed="false">
      <c r="A33" s="21" t="str">
        <f aca="false">IF(COUNTA(B33,C33,E33,F33)=0,"",設定!$C$4&amp;TEXT(ROW()-4,"00000"))</f>
        <v/>
      </c>
      <c r="B33" s="22"/>
      <c r="C33" s="23"/>
      <c r="D33" s="21" t="str">
        <f aca="false">IF(C33="","",IFERROR(INDEX(取引先マスタ!$B$5:$B$204,MATCH($C33,取引先マスタ!$A$5:$A$204,0)),"コード誤り"))</f>
        <v/>
      </c>
      <c r="E33" s="28"/>
      <c r="F33" s="18"/>
      <c r="G33" s="25"/>
      <c r="H33" s="26" t="str">
        <f aca="false">IF(OR(F33="",G33=""),"",ROUNDDOWN(F33*G33,0))</f>
        <v/>
      </c>
      <c r="I33" s="26" t="str">
        <f aca="false">IF(OR(F33="",G33=""),"",F33+H33)</f>
        <v/>
      </c>
      <c r="J33" s="27" t="str">
        <f aca="false">IF(OR(B33="",C33="",D33="コード誤り"),"",IFERROR(DATE(YEAR(B33),MONTH(B33)+INDEX(取引先マスタ!$E$5:$E$204,MATCH($C33,取引先マスタ!$A$5:$A$204,0)),MIN(INDEX(取引先マスタ!$F$5:$F$204,MATCH($C33,取引先マスタ!$A$5:$A$204,0)),DAY(EOMONTH(B33,INDEX(取引先マスタ!$E$5:$E$204,MATCH($C33,取引先マスタ!$A$5:$A$204,0)))))),""))</f>
        <v/>
      </c>
      <c r="K33" s="22"/>
      <c r="L33" s="27" t="str">
        <f aca="false">IF(K33&lt;&gt;"",K33,J33)</f>
        <v/>
      </c>
      <c r="M33" s="28"/>
      <c r="N33" s="22"/>
      <c r="O33" s="28"/>
      <c r="P33" s="26" t="str">
        <f aca="false">IF(A33="","",SUMIF(入金明細!$F$5:$F$1004,A33,入金明細!$E$5:$E$1004))</f>
        <v/>
      </c>
      <c r="Q33" s="27" t="str">
        <f aca="false">IF(OR(A33="",N(P33)=0),"",SUMPRODUCT(MAX((入金明細!$F$5:$F$1004=A33)*入金明細!$B$5:$B$1004)))</f>
        <v/>
      </c>
      <c r="R33" s="18"/>
      <c r="S33" s="26" t="str">
        <f aca="false">IF(OR(A33="",I33=""),"",I33-N(P33)-N(R33))</f>
        <v/>
      </c>
      <c r="T33" s="28"/>
      <c r="U33" s="29" t="str">
        <f aca="false">IF(A33="","",IF(T33="取消","取消",IF(W33&lt;&gt;"","要入力",IF(N33="","未送付",IF(S33=0,"入金済",IF(S33&lt;0,"過入金",IF(設定!$C$5&gt;L33,IF(P33&gt;0,"一部入金・超過","期日超過"),IF(P33&gt;0,"一部入金",IF(L33-設定!$C$5&lt;=設定!$C$6,"期日間近","入金待ち")))))))))</f>
        <v/>
      </c>
      <c r="V33" s="30" t="str">
        <f aca="false">IF(OR(U33="期日超過",U33="一部入金・超過"),設定!$C$5-L33,"")</f>
        <v/>
      </c>
      <c r="W33" s="21" t="str">
        <f aca="false">IF(A33="","",TRIM(IF(B33="","請求日 ","")&amp;IF(C33="","取引先 ",IF(D33="コード誤り","取引先コード誤り ",""))&amp;IF(E33="","件名 ","")&amp;IF(F33="","税抜金額 ","")&amp;IF(G33="","税率 ","")&amp;IF(M33="","送付方法 ","")&amp;IF(AND(N33&lt;&gt;"",O33=""),"送付者 ","")&amp;IF(AND(I33&lt;&gt;"",L33=""),"入金期日 ","")&amp;IF(AND(N33&lt;&gt;"",P33&gt;0,S33&lt;=0,X33=""),"消込確認者 ","")))</f>
        <v/>
      </c>
      <c r="X33" s="28"/>
      <c r="Y33" s="28"/>
    </row>
    <row r="34" customFormat="false" ht="15" hidden="false" customHeight="false" outlineLevel="0" collapsed="false">
      <c r="A34" s="21" t="str">
        <f aca="false">IF(COUNTA(B34,C34,E34,F34)=0,"",設定!$C$4&amp;TEXT(ROW()-4,"00000"))</f>
        <v/>
      </c>
      <c r="B34" s="22"/>
      <c r="C34" s="23"/>
      <c r="D34" s="21" t="str">
        <f aca="false">IF(C34="","",IFERROR(INDEX(取引先マスタ!$B$5:$B$204,MATCH($C34,取引先マスタ!$A$5:$A$204,0)),"コード誤り"))</f>
        <v/>
      </c>
      <c r="E34" s="28"/>
      <c r="F34" s="18"/>
      <c r="G34" s="25"/>
      <c r="H34" s="26" t="str">
        <f aca="false">IF(OR(F34="",G34=""),"",ROUNDDOWN(F34*G34,0))</f>
        <v/>
      </c>
      <c r="I34" s="26" t="str">
        <f aca="false">IF(OR(F34="",G34=""),"",F34+H34)</f>
        <v/>
      </c>
      <c r="J34" s="27" t="str">
        <f aca="false">IF(OR(B34="",C34="",D34="コード誤り"),"",IFERROR(DATE(YEAR(B34),MONTH(B34)+INDEX(取引先マスタ!$E$5:$E$204,MATCH($C34,取引先マスタ!$A$5:$A$204,0)),MIN(INDEX(取引先マスタ!$F$5:$F$204,MATCH($C34,取引先マスタ!$A$5:$A$204,0)),DAY(EOMONTH(B34,INDEX(取引先マスタ!$E$5:$E$204,MATCH($C34,取引先マスタ!$A$5:$A$204,0)))))),""))</f>
        <v/>
      </c>
      <c r="K34" s="22"/>
      <c r="L34" s="27" t="str">
        <f aca="false">IF(K34&lt;&gt;"",K34,J34)</f>
        <v/>
      </c>
      <c r="M34" s="28"/>
      <c r="N34" s="22"/>
      <c r="O34" s="28"/>
      <c r="P34" s="26" t="str">
        <f aca="false">IF(A34="","",SUMIF(入金明細!$F$5:$F$1004,A34,入金明細!$E$5:$E$1004))</f>
        <v/>
      </c>
      <c r="Q34" s="27" t="str">
        <f aca="false">IF(OR(A34="",N(P34)=0),"",SUMPRODUCT(MAX((入金明細!$F$5:$F$1004=A34)*入金明細!$B$5:$B$1004)))</f>
        <v/>
      </c>
      <c r="R34" s="18"/>
      <c r="S34" s="26" t="str">
        <f aca="false">IF(OR(A34="",I34=""),"",I34-N(P34)-N(R34))</f>
        <v/>
      </c>
      <c r="T34" s="28"/>
      <c r="U34" s="29" t="str">
        <f aca="false">IF(A34="","",IF(T34="取消","取消",IF(W34&lt;&gt;"","要入力",IF(N34="","未送付",IF(S34=0,"入金済",IF(S34&lt;0,"過入金",IF(設定!$C$5&gt;L34,IF(P34&gt;0,"一部入金・超過","期日超過"),IF(P34&gt;0,"一部入金",IF(L34-設定!$C$5&lt;=設定!$C$6,"期日間近","入金待ち")))))))))</f>
        <v/>
      </c>
      <c r="V34" s="30" t="str">
        <f aca="false">IF(OR(U34="期日超過",U34="一部入金・超過"),設定!$C$5-L34,"")</f>
        <v/>
      </c>
      <c r="W34" s="21" t="str">
        <f aca="false">IF(A34="","",TRIM(IF(B34="","請求日 ","")&amp;IF(C34="","取引先 ",IF(D34="コード誤り","取引先コード誤り ",""))&amp;IF(E34="","件名 ","")&amp;IF(F34="","税抜金額 ","")&amp;IF(G34="","税率 ","")&amp;IF(M34="","送付方法 ","")&amp;IF(AND(N34&lt;&gt;"",O34=""),"送付者 ","")&amp;IF(AND(I34&lt;&gt;"",L34=""),"入金期日 ","")&amp;IF(AND(N34&lt;&gt;"",P34&gt;0,S34&lt;=0,X34=""),"消込確認者 ","")))</f>
        <v/>
      </c>
      <c r="X34" s="28"/>
      <c r="Y34" s="28"/>
    </row>
    <row r="35" customFormat="false" ht="15" hidden="false" customHeight="false" outlineLevel="0" collapsed="false">
      <c r="A35" s="21" t="str">
        <f aca="false">IF(COUNTA(B35,C35,E35,F35)=0,"",設定!$C$4&amp;TEXT(ROW()-4,"00000"))</f>
        <v/>
      </c>
      <c r="B35" s="22"/>
      <c r="C35" s="23"/>
      <c r="D35" s="21" t="str">
        <f aca="false">IF(C35="","",IFERROR(INDEX(取引先マスタ!$B$5:$B$204,MATCH($C35,取引先マスタ!$A$5:$A$204,0)),"コード誤り"))</f>
        <v/>
      </c>
      <c r="E35" s="28"/>
      <c r="F35" s="18"/>
      <c r="G35" s="25"/>
      <c r="H35" s="26" t="str">
        <f aca="false">IF(OR(F35="",G35=""),"",ROUNDDOWN(F35*G35,0))</f>
        <v/>
      </c>
      <c r="I35" s="26" t="str">
        <f aca="false">IF(OR(F35="",G35=""),"",F35+H35)</f>
        <v/>
      </c>
      <c r="J35" s="27" t="str">
        <f aca="false">IF(OR(B35="",C35="",D35="コード誤り"),"",IFERROR(DATE(YEAR(B35),MONTH(B35)+INDEX(取引先マスタ!$E$5:$E$204,MATCH($C35,取引先マスタ!$A$5:$A$204,0)),MIN(INDEX(取引先マスタ!$F$5:$F$204,MATCH($C35,取引先マスタ!$A$5:$A$204,0)),DAY(EOMONTH(B35,INDEX(取引先マスタ!$E$5:$E$204,MATCH($C35,取引先マスタ!$A$5:$A$204,0)))))),""))</f>
        <v/>
      </c>
      <c r="K35" s="22"/>
      <c r="L35" s="27" t="str">
        <f aca="false">IF(K35&lt;&gt;"",K35,J35)</f>
        <v/>
      </c>
      <c r="M35" s="28"/>
      <c r="N35" s="22"/>
      <c r="O35" s="28"/>
      <c r="P35" s="26" t="str">
        <f aca="false">IF(A35="","",SUMIF(入金明細!$F$5:$F$1004,A35,入金明細!$E$5:$E$1004))</f>
        <v/>
      </c>
      <c r="Q35" s="27" t="str">
        <f aca="false">IF(OR(A35="",N(P35)=0),"",SUMPRODUCT(MAX((入金明細!$F$5:$F$1004=A35)*入金明細!$B$5:$B$1004)))</f>
        <v/>
      </c>
      <c r="R35" s="18"/>
      <c r="S35" s="26" t="str">
        <f aca="false">IF(OR(A35="",I35=""),"",I35-N(P35)-N(R35))</f>
        <v/>
      </c>
      <c r="T35" s="28"/>
      <c r="U35" s="29" t="str">
        <f aca="false">IF(A35="","",IF(T35="取消","取消",IF(W35&lt;&gt;"","要入力",IF(N35="","未送付",IF(S35=0,"入金済",IF(S35&lt;0,"過入金",IF(設定!$C$5&gt;L35,IF(P35&gt;0,"一部入金・超過","期日超過"),IF(P35&gt;0,"一部入金",IF(L35-設定!$C$5&lt;=設定!$C$6,"期日間近","入金待ち")))))))))</f>
        <v/>
      </c>
      <c r="V35" s="30" t="str">
        <f aca="false">IF(OR(U35="期日超過",U35="一部入金・超過"),設定!$C$5-L35,"")</f>
        <v/>
      </c>
      <c r="W35" s="21" t="str">
        <f aca="false">IF(A35="","",TRIM(IF(B35="","請求日 ","")&amp;IF(C35="","取引先 ",IF(D35="コード誤り","取引先コード誤り ",""))&amp;IF(E35="","件名 ","")&amp;IF(F35="","税抜金額 ","")&amp;IF(G35="","税率 ","")&amp;IF(M35="","送付方法 ","")&amp;IF(AND(N35&lt;&gt;"",O35=""),"送付者 ","")&amp;IF(AND(I35&lt;&gt;"",L35=""),"入金期日 ","")&amp;IF(AND(N35&lt;&gt;"",P35&gt;0,S35&lt;=0,X35=""),"消込確認者 ","")))</f>
        <v/>
      </c>
      <c r="X35" s="28"/>
      <c r="Y35" s="28"/>
    </row>
    <row r="36" customFormat="false" ht="15" hidden="false" customHeight="false" outlineLevel="0" collapsed="false">
      <c r="A36" s="21" t="str">
        <f aca="false">IF(COUNTA(B36,C36,E36,F36)=0,"",設定!$C$4&amp;TEXT(ROW()-4,"00000"))</f>
        <v/>
      </c>
      <c r="B36" s="22"/>
      <c r="C36" s="23"/>
      <c r="D36" s="21" t="str">
        <f aca="false">IF(C36="","",IFERROR(INDEX(取引先マスタ!$B$5:$B$204,MATCH($C36,取引先マスタ!$A$5:$A$204,0)),"コード誤り"))</f>
        <v/>
      </c>
      <c r="E36" s="28"/>
      <c r="F36" s="18"/>
      <c r="G36" s="25"/>
      <c r="H36" s="26" t="str">
        <f aca="false">IF(OR(F36="",G36=""),"",ROUNDDOWN(F36*G36,0))</f>
        <v/>
      </c>
      <c r="I36" s="26" t="str">
        <f aca="false">IF(OR(F36="",G36=""),"",F36+H36)</f>
        <v/>
      </c>
      <c r="J36" s="27" t="str">
        <f aca="false">IF(OR(B36="",C36="",D36="コード誤り"),"",IFERROR(DATE(YEAR(B36),MONTH(B36)+INDEX(取引先マスタ!$E$5:$E$204,MATCH($C36,取引先マスタ!$A$5:$A$204,0)),MIN(INDEX(取引先マスタ!$F$5:$F$204,MATCH($C36,取引先マスタ!$A$5:$A$204,0)),DAY(EOMONTH(B36,INDEX(取引先マスタ!$E$5:$E$204,MATCH($C36,取引先マスタ!$A$5:$A$204,0)))))),""))</f>
        <v/>
      </c>
      <c r="K36" s="22"/>
      <c r="L36" s="27" t="str">
        <f aca="false">IF(K36&lt;&gt;"",K36,J36)</f>
        <v/>
      </c>
      <c r="M36" s="28"/>
      <c r="N36" s="22"/>
      <c r="O36" s="28"/>
      <c r="P36" s="26" t="str">
        <f aca="false">IF(A36="","",SUMIF(入金明細!$F$5:$F$1004,A36,入金明細!$E$5:$E$1004))</f>
        <v/>
      </c>
      <c r="Q36" s="27" t="str">
        <f aca="false">IF(OR(A36="",N(P36)=0),"",SUMPRODUCT(MAX((入金明細!$F$5:$F$1004=A36)*入金明細!$B$5:$B$1004)))</f>
        <v/>
      </c>
      <c r="R36" s="18"/>
      <c r="S36" s="26" t="str">
        <f aca="false">IF(OR(A36="",I36=""),"",I36-N(P36)-N(R36))</f>
        <v/>
      </c>
      <c r="T36" s="28"/>
      <c r="U36" s="29" t="str">
        <f aca="false">IF(A36="","",IF(T36="取消","取消",IF(W36&lt;&gt;"","要入力",IF(N36="","未送付",IF(S36=0,"入金済",IF(S36&lt;0,"過入金",IF(設定!$C$5&gt;L36,IF(P36&gt;0,"一部入金・超過","期日超過"),IF(P36&gt;0,"一部入金",IF(L36-設定!$C$5&lt;=設定!$C$6,"期日間近","入金待ち")))))))))</f>
        <v/>
      </c>
      <c r="V36" s="30" t="str">
        <f aca="false">IF(OR(U36="期日超過",U36="一部入金・超過"),設定!$C$5-L36,"")</f>
        <v/>
      </c>
      <c r="W36" s="21" t="str">
        <f aca="false">IF(A36="","",TRIM(IF(B36="","請求日 ","")&amp;IF(C36="","取引先 ",IF(D36="コード誤り","取引先コード誤り ",""))&amp;IF(E36="","件名 ","")&amp;IF(F36="","税抜金額 ","")&amp;IF(G36="","税率 ","")&amp;IF(M36="","送付方法 ","")&amp;IF(AND(N36&lt;&gt;"",O36=""),"送付者 ","")&amp;IF(AND(I36&lt;&gt;"",L36=""),"入金期日 ","")&amp;IF(AND(N36&lt;&gt;"",P36&gt;0,S36&lt;=0,X36=""),"消込確認者 ","")))</f>
        <v/>
      </c>
      <c r="X36" s="28"/>
      <c r="Y36" s="28"/>
    </row>
    <row r="37" customFormat="false" ht="15" hidden="false" customHeight="false" outlineLevel="0" collapsed="false">
      <c r="A37" s="21" t="str">
        <f aca="false">IF(COUNTA(B37,C37,E37,F37)=0,"",設定!$C$4&amp;TEXT(ROW()-4,"00000"))</f>
        <v/>
      </c>
      <c r="B37" s="22"/>
      <c r="C37" s="23"/>
      <c r="D37" s="21" t="str">
        <f aca="false">IF(C37="","",IFERROR(INDEX(取引先マスタ!$B$5:$B$204,MATCH($C37,取引先マスタ!$A$5:$A$204,0)),"コード誤り"))</f>
        <v/>
      </c>
      <c r="E37" s="28"/>
      <c r="F37" s="18"/>
      <c r="G37" s="25"/>
      <c r="H37" s="26" t="str">
        <f aca="false">IF(OR(F37="",G37=""),"",ROUNDDOWN(F37*G37,0))</f>
        <v/>
      </c>
      <c r="I37" s="26" t="str">
        <f aca="false">IF(OR(F37="",G37=""),"",F37+H37)</f>
        <v/>
      </c>
      <c r="J37" s="27" t="str">
        <f aca="false">IF(OR(B37="",C37="",D37="コード誤り"),"",IFERROR(DATE(YEAR(B37),MONTH(B37)+INDEX(取引先マスタ!$E$5:$E$204,MATCH($C37,取引先マスタ!$A$5:$A$204,0)),MIN(INDEX(取引先マスタ!$F$5:$F$204,MATCH($C37,取引先マスタ!$A$5:$A$204,0)),DAY(EOMONTH(B37,INDEX(取引先マスタ!$E$5:$E$204,MATCH($C37,取引先マスタ!$A$5:$A$204,0)))))),""))</f>
        <v/>
      </c>
      <c r="K37" s="22"/>
      <c r="L37" s="27" t="str">
        <f aca="false">IF(K37&lt;&gt;"",K37,J37)</f>
        <v/>
      </c>
      <c r="M37" s="28"/>
      <c r="N37" s="22"/>
      <c r="O37" s="28"/>
      <c r="P37" s="26" t="str">
        <f aca="false">IF(A37="","",SUMIF(入金明細!$F$5:$F$1004,A37,入金明細!$E$5:$E$1004))</f>
        <v/>
      </c>
      <c r="Q37" s="27" t="str">
        <f aca="false">IF(OR(A37="",N(P37)=0),"",SUMPRODUCT(MAX((入金明細!$F$5:$F$1004=A37)*入金明細!$B$5:$B$1004)))</f>
        <v/>
      </c>
      <c r="R37" s="18"/>
      <c r="S37" s="26" t="str">
        <f aca="false">IF(OR(A37="",I37=""),"",I37-N(P37)-N(R37))</f>
        <v/>
      </c>
      <c r="T37" s="28"/>
      <c r="U37" s="29" t="str">
        <f aca="false">IF(A37="","",IF(T37="取消","取消",IF(W37&lt;&gt;"","要入力",IF(N37="","未送付",IF(S37=0,"入金済",IF(S37&lt;0,"過入金",IF(設定!$C$5&gt;L37,IF(P37&gt;0,"一部入金・超過","期日超過"),IF(P37&gt;0,"一部入金",IF(L37-設定!$C$5&lt;=設定!$C$6,"期日間近","入金待ち")))))))))</f>
        <v/>
      </c>
      <c r="V37" s="30" t="str">
        <f aca="false">IF(OR(U37="期日超過",U37="一部入金・超過"),設定!$C$5-L37,"")</f>
        <v/>
      </c>
      <c r="W37" s="21" t="str">
        <f aca="false">IF(A37="","",TRIM(IF(B37="","請求日 ","")&amp;IF(C37="","取引先 ",IF(D37="コード誤り","取引先コード誤り ",""))&amp;IF(E37="","件名 ","")&amp;IF(F37="","税抜金額 ","")&amp;IF(G37="","税率 ","")&amp;IF(M37="","送付方法 ","")&amp;IF(AND(N37&lt;&gt;"",O37=""),"送付者 ","")&amp;IF(AND(I37&lt;&gt;"",L37=""),"入金期日 ","")&amp;IF(AND(N37&lt;&gt;"",P37&gt;0,S37&lt;=0,X37=""),"消込確認者 ","")))</f>
        <v/>
      </c>
      <c r="X37" s="28"/>
      <c r="Y37" s="28"/>
    </row>
    <row r="38" customFormat="false" ht="15" hidden="false" customHeight="false" outlineLevel="0" collapsed="false">
      <c r="A38" s="21" t="str">
        <f aca="false">IF(COUNTA(B38,C38,E38,F38)=0,"",設定!$C$4&amp;TEXT(ROW()-4,"00000"))</f>
        <v/>
      </c>
      <c r="B38" s="22"/>
      <c r="C38" s="23"/>
      <c r="D38" s="21" t="str">
        <f aca="false">IF(C38="","",IFERROR(INDEX(取引先マスタ!$B$5:$B$204,MATCH($C38,取引先マスタ!$A$5:$A$204,0)),"コード誤り"))</f>
        <v/>
      </c>
      <c r="E38" s="28"/>
      <c r="F38" s="18"/>
      <c r="G38" s="25"/>
      <c r="H38" s="26" t="str">
        <f aca="false">IF(OR(F38="",G38=""),"",ROUNDDOWN(F38*G38,0))</f>
        <v/>
      </c>
      <c r="I38" s="26" t="str">
        <f aca="false">IF(OR(F38="",G38=""),"",F38+H38)</f>
        <v/>
      </c>
      <c r="J38" s="27" t="str">
        <f aca="false">IF(OR(B38="",C38="",D38="コード誤り"),"",IFERROR(DATE(YEAR(B38),MONTH(B38)+INDEX(取引先マスタ!$E$5:$E$204,MATCH($C38,取引先マスタ!$A$5:$A$204,0)),MIN(INDEX(取引先マスタ!$F$5:$F$204,MATCH($C38,取引先マスタ!$A$5:$A$204,0)),DAY(EOMONTH(B38,INDEX(取引先マスタ!$E$5:$E$204,MATCH($C38,取引先マスタ!$A$5:$A$204,0)))))),""))</f>
        <v/>
      </c>
      <c r="K38" s="22"/>
      <c r="L38" s="27" t="str">
        <f aca="false">IF(K38&lt;&gt;"",K38,J38)</f>
        <v/>
      </c>
      <c r="M38" s="28"/>
      <c r="N38" s="22"/>
      <c r="O38" s="28"/>
      <c r="P38" s="26" t="str">
        <f aca="false">IF(A38="","",SUMIF(入金明細!$F$5:$F$1004,A38,入金明細!$E$5:$E$1004))</f>
        <v/>
      </c>
      <c r="Q38" s="27" t="str">
        <f aca="false">IF(OR(A38="",N(P38)=0),"",SUMPRODUCT(MAX((入金明細!$F$5:$F$1004=A38)*入金明細!$B$5:$B$1004)))</f>
        <v/>
      </c>
      <c r="R38" s="18"/>
      <c r="S38" s="26" t="str">
        <f aca="false">IF(OR(A38="",I38=""),"",I38-N(P38)-N(R38))</f>
        <v/>
      </c>
      <c r="T38" s="28"/>
      <c r="U38" s="29" t="str">
        <f aca="false">IF(A38="","",IF(T38="取消","取消",IF(W38&lt;&gt;"","要入力",IF(N38="","未送付",IF(S38=0,"入金済",IF(S38&lt;0,"過入金",IF(設定!$C$5&gt;L38,IF(P38&gt;0,"一部入金・超過","期日超過"),IF(P38&gt;0,"一部入金",IF(L38-設定!$C$5&lt;=設定!$C$6,"期日間近","入金待ち")))))))))</f>
        <v/>
      </c>
      <c r="V38" s="30" t="str">
        <f aca="false">IF(OR(U38="期日超過",U38="一部入金・超過"),設定!$C$5-L38,"")</f>
        <v/>
      </c>
      <c r="W38" s="21" t="str">
        <f aca="false">IF(A38="","",TRIM(IF(B38="","請求日 ","")&amp;IF(C38="","取引先 ",IF(D38="コード誤り","取引先コード誤り ",""))&amp;IF(E38="","件名 ","")&amp;IF(F38="","税抜金額 ","")&amp;IF(G38="","税率 ","")&amp;IF(M38="","送付方法 ","")&amp;IF(AND(N38&lt;&gt;"",O38=""),"送付者 ","")&amp;IF(AND(I38&lt;&gt;"",L38=""),"入金期日 ","")&amp;IF(AND(N38&lt;&gt;"",P38&gt;0,S38&lt;=0,X38=""),"消込確認者 ","")))</f>
        <v/>
      </c>
      <c r="X38" s="28"/>
      <c r="Y38" s="28"/>
    </row>
    <row r="39" customFormat="false" ht="15" hidden="false" customHeight="false" outlineLevel="0" collapsed="false">
      <c r="A39" s="21" t="str">
        <f aca="false">IF(COUNTA(B39,C39,E39,F39)=0,"",設定!$C$4&amp;TEXT(ROW()-4,"00000"))</f>
        <v/>
      </c>
      <c r="B39" s="22"/>
      <c r="C39" s="23"/>
      <c r="D39" s="21" t="str">
        <f aca="false">IF(C39="","",IFERROR(INDEX(取引先マスタ!$B$5:$B$204,MATCH($C39,取引先マスタ!$A$5:$A$204,0)),"コード誤り"))</f>
        <v/>
      </c>
      <c r="E39" s="28"/>
      <c r="F39" s="18"/>
      <c r="G39" s="25"/>
      <c r="H39" s="26" t="str">
        <f aca="false">IF(OR(F39="",G39=""),"",ROUNDDOWN(F39*G39,0))</f>
        <v/>
      </c>
      <c r="I39" s="26" t="str">
        <f aca="false">IF(OR(F39="",G39=""),"",F39+H39)</f>
        <v/>
      </c>
      <c r="J39" s="27" t="str">
        <f aca="false">IF(OR(B39="",C39="",D39="コード誤り"),"",IFERROR(DATE(YEAR(B39),MONTH(B39)+INDEX(取引先マスタ!$E$5:$E$204,MATCH($C39,取引先マスタ!$A$5:$A$204,0)),MIN(INDEX(取引先マスタ!$F$5:$F$204,MATCH($C39,取引先マスタ!$A$5:$A$204,0)),DAY(EOMONTH(B39,INDEX(取引先マスタ!$E$5:$E$204,MATCH($C39,取引先マスタ!$A$5:$A$204,0)))))),""))</f>
        <v/>
      </c>
      <c r="K39" s="22"/>
      <c r="L39" s="27" t="str">
        <f aca="false">IF(K39&lt;&gt;"",K39,J39)</f>
        <v/>
      </c>
      <c r="M39" s="28"/>
      <c r="N39" s="22"/>
      <c r="O39" s="28"/>
      <c r="P39" s="26" t="str">
        <f aca="false">IF(A39="","",SUMIF(入金明細!$F$5:$F$1004,A39,入金明細!$E$5:$E$1004))</f>
        <v/>
      </c>
      <c r="Q39" s="27" t="str">
        <f aca="false">IF(OR(A39="",N(P39)=0),"",SUMPRODUCT(MAX((入金明細!$F$5:$F$1004=A39)*入金明細!$B$5:$B$1004)))</f>
        <v/>
      </c>
      <c r="R39" s="18"/>
      <c r="S39" s="26" t="str">
        <f aca="false">IF(OR(A39="",I39=""),"",I39-N(P39)-N(R39))</f>
        <v/>
      </c>
      <c r="T39" s="28"/>
      <c r="U39" s="29" t="str">
        <f aca="false">IF(A39="","",IF(T39="取消","取消",IF(W39&lt;&gt;"","要入力",IF(N39="","未送付",IF(S39=0,"入金済",IF(S39&lt;0,"過入金",IF(設定!$C$5&gt;L39,IF(P39&gt;0,"一部入金・超過","期日超過"),IF(P39&gt;0,"一部入金",IF(L39-設定!$C$5&lt;=設定!$C$6,"期日間近","入金待ち")))))))))</f>
        <v/>
      </c>
      <c r="V39" s="30" t="str">
        <f aca="false">IF(OR(U39="期日超過",U39="一部入金・超過"),設定!$C$5-L39,"")</f>
        <v/>
      </c>
      <c r="W39" s="21" t="str">
        <f aca="false">IF(A39="","",TRIM(IF(B39="","請求日 ","")&amp;IF(C39="","取引先 ",IF(D39="コード誤り","取引先コード誤り ",""))&amp;IF(E39="","件名 ","")&amp;IF(F39="","税抜金額 ","")&amp;IF(G39="","税率 ","")&amp;IF(M39="","送付方法 ","")&amp;IF(AND(N39&lt;&gt;"",O39=""),"送付者 ","")&amp;IF(AND(I39&lt;&gt;"",L39=""),"入金期日 ","")&amp;IF(AND(N39&lt;&gt;"",P39&gt;0,S39&lt;=0,X39=""),"消込確認者 ","")))</f>
        <v/>
      </c>
      <c r="X39" s="28"/>
      <c r="Y39" s="28"/>
    </row>
    <row r="40" customFormat="false" ht="15" hidden="false" customHeight="false" outlineLevel="0" collapsed="false">
      <c r="A40" s="21" t="str">
        <f aca="false">IF(COUNTA(B40,C40,E40,F40)=0,"",設定!$C$4&amp;TEXT(ROW()-4,"00000"))</f>
        <v/>
      </c>
      <c r="B40" s="22"/>
      <c r="C40" s="23"/>
      <c r="D40" s="21" t="str">
        <f aca="false">IF(C40="","",IFERROR(INDEX(取引先マスタ!$B$5:$B$204,MATCH($C40,取引先マスタ!$A$5:$A$204,0)),"コード誤り"))</f>
        <v/>
      </c>
      <c r="E40" s="28"/>
      <c r="F40" s="18"/>
      <c r="G40" s="25"/>
      <c r="H40" s="26" t="str">
        <f aca="false">IF(OR(F40="",G40=""),"",ROUNDDOWN(F40*G40,0))</f>
        <v/>
      </c>
      <c r="I40" s="26" t="str">
        <f aca="false">IF(OR(F40="",G40=""),"",F40+H40)</f>
        <v/>
      </c>
      <c r="J40" s="27" t="str">
        <f aca="false">IF(OR(B40="",C40="",D40="コード誤り"),"",IFERROR(DATE(YEAR(B40),MONTH(B40)+INDEX(取引先マスタ!$E$5:$E$204,MATCH($C40,取引先マスタ!$A$5:$A$204,0)),MIN(INDEX(取引先マスタ!$F$5:$F$204,MATCH($C40,取引先マスタ!$A$5:$A$204,0)),DAY(EOMONTH(B40,INDEX(取引先マスタ!$E$5:$E$204,MATCH($C40,取引先マスタ!$A$5:$A$204,0)))))),""))</f>
        <v/>
      </c>
      <c r="K40" s="22"/>
      <c r="L40" s="27" t="str">
        <f aca="false">IF(K40&lt;&gt;"",K40,J40)</f>
        <v/>
      </c>
      <c r="M40" s="28"/>
      <c r="N40" s="22"/>
      <c r="O40" s="28"/>
      <c r="P40" s="26" t="str">
        <f aca="false">IF(A40="","",SUMIF(入金明細!$F$5:$F$1004,A40,入金明細!$E$5:$E$1004))</f>
        <v/>
      </c>
      <c r="Q40" s="27" t="str">
        <f aca="false">IF(OR(A40="",N(P40)=0),"",SUMPRODUCT(MAX((入金明細!$F$5:$F$1004=A40)*入金明細!$B$5:$B$1004)))</f>
        <v/>
      </c>
      <c r="R40" s="18"/>
      <c r="S40" s="26" t="str">
        <f aca="false">IF(OR(A40="",I40=""),"",I40-N(P40)-N(R40))</f>
        <v/>
      </c>
      <c r="T40" s="28"/>
      <c r="U40" s="29" t="str">
        <f aca="false">IF(A40="","",IF(T40="取消","取消",IF(W40&lt;&gt;"","要入力",IF(N40="","未送付",IF(S40=0,"入金済",IF(S40&lt;0,"過入金",IF(設定!$C$5&gt;L40,IF(P40&gt;0,"一部入金・超過","期日超過"),IF(P40&gt;0,"一部入金",IF(L40-設定!$C$5&lt;=設定!$C$6,"期日間近","入金待ち")))))))))</f>
        <v/>
      </c>
      <c r="V40" s="30" t="str">
        <f aca="false">IF(OR(U40="期日超過",U40="一部入金・超過"),設定!$C$5-L40,"")</f>
        <v/>
      </c>
      <c r="W40" s="21" t="str">
        <f aca="false">IF(A40="","",TRIM(IF(B40="","請求日 ","")&amp;IF(C40="","取引先 ",IF(D40="コード誤り","取引先コード誤り ",""))&amp;IF(E40="","件名 ","")&amp;IF(F40="","税抜金額 ","")&amp;IF(G40="","税率 ","")&amp;IF(M40="","送付方法 ","")&amp;IF(AND(N40&lt;&gt;"",O40=""),"送付者 ","")&amp;IF(AND(I40&lt;&gt;"",L40=""),"入金期日 ","")&amp;IF(AND(N40&lt;&gt;"",P40&gt;0,S40&lt;=0,X40=""),"消込確認者 ","")))</f>
        <v/>
      </c>
      <c r="X40" s="28"/>
      <c r="Y40" s="28"/>
    </row>
    <row r="41" customFormat="false" ht="15" hidden="false" customHeight="false" outlineLevel="0" collapsed="false">
      <c r="A41" s="21" t="str">
        <f aca="false">IF(COUNTA(B41,C41,E41,F41)=0,"",設定!$C$4&amp;TEXT(ROW()-4,"00000"))</f>
        <v/>
      </c>
      <c r="B41" s="22"/>
      <c r="C41" s="23"/>
      <c r="D41" s="21" t="str">
        <f aca="false">IF(C41="","",IFERROR(INDEX(取引先マスタ!$B$5:$B$204,MATCH($C41,取引先マスタ!$A$5:$A$204,0)),"コード誤り"))</f>
        <v/>
      </c>
      <c r="E41" s="28"/>
      <c r="F41" s="18"/>
      <c r="G41" s="25"/>
      <c r="H41" s="26" t="str">
        <f aca="false">IF(OR(F41="",G41=""),"",ROUNDDOWN(F41*G41,0))</f>
        <v/>
      </c>
      <c r="I41" s="26" t="str">
        <f aca="false">IF(OR(F41="",G41=""),"",F41+H41)</f>
        <v/>
      </c>
      <c r="J41" s="27" t="str">
        <f aca="false">IF(OR(B41="",C41="",D41="コード誤り"),"",IFERROR(DATE(YEAR(B41),MONTH(B41)+INDEX(取引先マスタ!$E$5:$E$204,MATCH($C41,取引先マスタ!$A$5:$A$204,0)),MIN(INDEX(取引先マスタ!$F$5:$F$204,MATCH($C41,取引先マスタ!$A$5:$A$204,0)),DAY(EOMONTH(B41,INDEX(取引先マスタ!$E$5:$E$204,MATCH($C41,取引先マスタ!$A$5:$A$204,0)))))),""))</f>
        <v/>
      </c>
      <c r="K41" s="22"/>
      <c r="L41" s="27" t="str">
        <f aca="false">IF(K41&lt;&gt;"",K41,J41)</f>
        <v/>
      </c>
      <c r="M41" s="28"/>
      <c r="N41" s="22"/>
      <c r="O41" s="28"/>
      <c r="P41" s="26" t="str">
        <f aca="false">IF(A41="","",SUMIF(入金明細!$F$5:$F$1004,A41,入金明細!$E$5:$E$1004))</f>
        <v/>
      </c>
      <c r="Q41" s="27" t="str">
        <f aca="false">IF(OR(A41="",N(P41)=0),"",SUMPRODUCT(MAX((入金明細!$F$5:$F$1004=A41)*入金明細!$B$5:$B$1004)))</f>
        <v/>
      </c>
      <c r="R41" s="18"/>
      <c r="S41" s="26" t="str">
        <f aca="false">IF(OR(A41="",I41=""),"",I41-N(P41)-N(R41))</f>
        <v/>
      </c>
      <c r="T41" s="28"/>
      <c r="U41" s="29" t="str">
        <f aca="false">IF(A41="","",IF(T41="取消","取消",IF(W41&lt;&gt;"","要入力",IF(N41="","未送付",IF(S41=0,"入金済",IF(S41&lt;0,"過入金",IF(設定!$C$5&gt;L41,IF(P41&gt;0,"一部入金・超過","期日超過"),IF(P41&gt;0,"一部入金",IF(L41-設定!$C$5&lt;=設定!$C$6,"期日間近","入金待ち")))))))))</f>
        <v/>
      </c>
      <c r="V41" s="30" t="str">
        <f aca="false">IF(OR(U41="期日超過",U41="一部入金・超過"),設定!$C$5-L41,"")</f>
        <v/>
      </c>
      <c r="W41" s="21" t="str">
        <f aca="false">IF(A41="","",TRIM(IF(B41="","請求日 ","")&amp;IF(C41="","取引先 ",IF(D41="コード誤り","取引先コード誤り ",""))&amp;IF(E41="","件名 ","")&amp;IF(F41="","税抜金額 ","")&amp;IF(G41="","税率 ","")&amp;IF(M41="","送付方法 ","")&amp;IF(AND(N41&lt;&gt;"",O41=""),"送付者 ","")&amp;IF(AND(I41&lt;&gt;"",L41=""),"入金期日 ","")&amp;IF(AND(N41&lt;&gt;"",P41&gt;0,S41&lt;=0,X41=""),"消込確認者 ","")))</f>
        <v/>
      </c>
      <c r="X41" s="28"/>
      <c r="Y41" s="28"/>
    </row>
    <row r="42" customFormat="false" ht="15" hidden="false" customHeight="false" outlineLevel="0" collapsed="false">
      <c r="A42" s="21" t="str">
        <f aca="false">IF(COUNTA(B42,C42,E42,F42)=0,"",設定!$C$4&amp;TEXT(ROW()-4,"00000"))</f>
        <v/>
      </c>
      <c r="B42" s="22"/>
      <c r="C42" s="23"/>
      <c r="D42" s="21" t="str">
        <f aca="false">IF(C42="","",IFERROR(INDEX(取引先マスタ!$B$5:$B$204,MATCH($C42,取引先マスタ!$A$5:$A$204,0)),"コード誤り"))</f>
        <v/>
      </c>
      <c r="E42" s="28"/>
      <c r="F42" s="18"/>
      <c r="G42" s="25"/>
      <c r="H42" s="26" t="str">
        <f aca="false">IF(OR(F42="",G42=""),"",ROUNDDOWN(F42*G42,0))</f>
        <v/>
      </c>
      <c r="I42" s="26" t="str">
        <f aca="false">IF(OR(F42="",G42=""),"",F42+H42)</f>
        <v/>
      </c>
      <c r="J42" s="27" t="str">
        <f aca="false">IF(OR(B42="",C42="",D42="コード誤り"),"",IFERROR(DATE(YEAR(B42),MONTH(B42)+INDEX(取引先マスタ!$E$5:$E$204,MATCH($C42,取引先マスタ!$A$5:$A$204,0)),MIN(INDEX(取引先マスタ!$F$5:$F$204,MATCH($C42,取引先マスタ!$A$5:$A$204,0)),DAY(EOMONTH(B42,INDEX(取引先マスタ!$E$5:$E$204,MATCH($C42,取引先マスタ!$A$5:$A$204,0)))))),""))</f>
        <v/>
      </c>
      <c r="K42" s="22"/>
      <c r="L42" s="27" t="str">
        <f aca="false">IF(K42&lt;&gt;"",K42,J42)</f>
        <v/>
      </c>
      <c r="M42" s="28"/>
      <c r="N42" s="22"/>
      <c r="O42" s="28"/>
      <c r="P42" s="26" t="str">
        <f aca="false">IF(A42="","",SUMIF(入金明細!$F$5:$F$1004,A42,入金明細!$E$5:$E$1004))</f>
        <v/>
      </c>
      <c r="Q42" s="27" t="str">
        <f aca="false">IF(OR(A42="",N(P42)=0),"",SUMPRODUCT(MAX((入金明細!$F$5:$F$1004=A42)*入金明細!$B$5:$B$1004)))</f>
        <v/>
      </c>
      <c r="R42" s="18"/>
      <c r="S42" s="26" t="str">
        <f aca="false">IF(OR(A42="",I42=""),"",I42-N(P42)-N(R42))</f>
        <v/>
      </c>
      <c r="T42" s="28"/>
      <c r="U42" s="29" t="str">
        <f aca="false">IF(A42="","",IF(T42="取消","取消",IF(W42&lt;&gt;"","要入力",IF(N42="","未送付",IF(S42=0,"入金済",IF(S42&lt;0,"過入金",IF(設定!$C$5&gt;L42,IF(P42&gt;0,"一部入金・超過","期日超過"),IF(P42&gt;0,"一部入金",IF(L42-設定!$C$5&lt;=設定!$C$6,"期日間近","入金待ち")))))))))</f>
        <v/>
      </c>
      <c r="V42" s="30" t="str">
        <f aca="false">IF(OR(U42="期日超過",U42="一部入金・超過"),設定!$C$5-L42,"")</f>
        <v/>
      </c>
      <c r="W42" s="21" t="str">
        <f aca="false">IF(A42="","",TRIM(IF(B42="","請求日 ","")&amp;IF(C42="","取引先 ",IF(D42="コード誤り","取引先コード誤り ",""))&amp;IF(E42="","件名 ","")&amp;IF(F42="","税抜金額 ","")&amp;IF(G42="","税率 ","")&amp;IF(M42="","送付方法 ","")&amp;IF(AND(N42&lt;&gt;"",O42=""),"送付者 ","")&amp;IF(AND(I42&lt;&gt;"",L42=""),"入金期日 ","")&amp;IF(AND(N42&lt;&gt;"",P42&gt;0,S42&lt;=0,X42=""),"消込確認者 ","")))</f>
        <v/>
      </c>
      <c r="X42" s="28"/>
      <c r="Y42" s="28"/>
    </row>
    <row r="43" customFormat="false" ht="15" hidden="false" customHeight="false" outlineLevel="0" collapsed="false">
      <c r="A43" s="21" t="str">
        <f aca="false">IF(COUNTA(B43,C43,E43,F43)=0,"",設定!$C$4&amp;TEXT(ROW()-4,"00000"))</f>
        <v/>
      </c>
      <c r="B43" s="22"/>
      <c r="C43" s="23"/>
      <c r="D43" s="21" t="str">
        <f aca="false">IF(C43="","",IFERROR(INDEX(取引先マスタ!$B$5:$B$204,MATCH($C43,取引先マスタ!$A$5:$A$204,0)),"コード誤り"))</f>
        <v/>
      </c>
      <c r="E43" s="28"/>
      <c r="F43" s="18"/>
      <c r="G43" s="25"/>
      <c r="H43" s="26" t="str">
        <f aca="false">IF(OR(F43="",G43=""),"",ROUNDDOWN(F43*G43,0))</f>
        <v/>
      </c>
      <c r="I43" s="26" t="str">
        <f aca="false">IF(OR(F43="",G43=""),"",F43+H43)</f>
        <v/>
      </c>
      <c r="J43" s="27" t="str">
        <f aca="false">IF(OR(B43="",C43="",D43="コード誤り"),"",IFERROR(DATE(YEAR(B43),MONTH(B43)+INDEX(取引先マスタ!$E$5:$E$204,MATCH($C43,取引先マスタ!$A$5:$A$204,0)),MIN(INDEX(取引先マスタ!$F$5:$F$204,MATCH($C43,取引先マスタ!$A$5:$A$204,0)),DAY(EOMONTH(B43,INDEX(取引先マスタ!$E$5:$E$204,MATCH($C43,取引先マスタ!$A$5:$A$204,0)))))),""))</f>
        <v/>
      </c>
      <c r="K43" s="22"/>
      <c r="L43" s="27" t="str">
        <f aca="false">IF(K43&lt;&gt;"",K43,J43)</f>
        <v/>
      </c>
      <c r="M43" s="28"/>
      <c r="N43" s="22"/>
      <c r="O43" s="28"/>
      <c r="P43" s="26" t="str">
        <f aca="false">IF(A43="","",SUMIF(入金明細!$F$5:$F$1004,A43,入金明細!$E$5:$E$1004))</f>
        <v/>
      </c>
      <c r="Q43" s="27" t="str">
        <f aca="false">IF(OR(A43="",N(P43)=0),"",SUMPRODUCT(MAX((入金明細!$F$5:$F$1004=A43)*入金明細!$B$5:$B$1004)))</f>
        <v/>
      </c>
      <c r="R43" s="18"/>
      <c r="S43" s="26" t="str">
        <f aca="false">IF(OR(A43="",I43=""),"",I43-N(P43)-N(R43))</f>
        <v/>
      </c>
      <c r="T43" s="28"/>
      <c r="U43" s="29" t="str">
        <f aca="false">IF(A43="","",IF(T43="取消","取消",IF(W43&lt;&gt;"","要入力",IF(N43="","未送付",IF(S43=0,"入金済",IF(S43&lt;0,"過入金",IF(設定!$C$5&gt;L43,IF(P43&gt;0,"一部入金・超過","期日超過"),IF(P43&gt;0,"一部入金",IF(L43-設定!$C$5&lt;=設定!$C$6,"期日間近","入金待ち")))))))))</f>
        <v/>
      </c>
      <c r="V43" s="30" t="str">
        <f aca="false">IF(OR(U43="期日超過",U43="一部入金・超過"),設定!$C$5-L43,"")</f>
        <v/>
      </c>
      <c r="W43" s="21" t="str">
        <f aca="false">IF(A43="","",TRIM(IF(B43="","請求日 ","")&amp;IF(C43="","取引先 ",IF(D43="コード誤り","取引先コード誤り ",""))&amp;IF(E43="","件名 ","")&amp;IF(F43="","税抜金額 ","")&amp;IF(G43="","税率 ","")&amp;IF(M43="","送付方法 ","")&amp;IF(AND(N43&lt;&gt;"",O43=""),"送付者 ","")&amp;IF(AND(I43&lt;&gt;"",L43=""),"入金期日 ","")&amp;IF(AND(N43&lt;&gt;"",P43&gt;0,S43&lt;=0,X43=""),"消込確認者 ","")))</f>
        <v/>
      </c>
      <c r="X43" s="28"/>
      <c r="Y43" s="28"/>
    </row>
    <row r="44" customFormat="false" ht="15" hidden="false" customHeight="false" outlineLevel="0" collapsed="false">
      <c r="A44" s="21" t="str">
        <f aca="false">IF(COUNTA(B44,C44,E44,F44)=0,"",設定!$C$4&amp;TEXT(ROW()-4,"00000"))</f>
        <v/>
      </c>
      <c r="B44" s="22"/>
      <c r="C44" s="23"/>
      <c r="D44" s="21" t="str">
        <f aca="false">IF(C44="","",IFERROR(INDEX(取引先マスタ!$B$5:$B$204,MATCH($C44,取引先マスタ!$A$5:$A$204,0)),"コード誤り"))</f>
        <v/>
      </c>
      <c r="E44" s="28"/>
      <c r="F44" s="18"/>
      <c r="G44" s="25"/>
      <c r="H44" s="26" t="str">
        <f aca="false">IF(OR(F44="",G44=""),"",ROUNDDOWN(F44*G44,0))</f>
        <v/>
      </c>
      <c r="I44" s="26" t="str">
        <f aca="false">IF(OR(F44="",G44=""),"",F44+H44)</f>
        <v/>
      </c>
      <c r="J44" s="27" t="str">
        <f aca="false">IF(OR(B44="",C44="",D44="コード誤り"),"",IFERROR(DATE(YEAR(B44),MONTH(B44)+INDEX(取引先マスタ!$E$5:$E$204,MATCH($C44,取引先マスタ!$A$5:$A$204,0)),MIN(INDEX(取引先マスタ!$F$5:$F$204,MATCH($C44,取引先マスタ!$A$5:$A$204,0)),DAY(EOMONTH(B44,INDEX(取引先マスタ!$E$5:$E$204,MATCH($C44,取引先マスタ!$A$5:$A$204,0)))))),""))</f>
        <v/>
      </c>
      <c r="K44" s="22"/>
      <c r="L44" s="27" t="str">
        <f aca="false">IF(K44&lt;&gt;"",K44,J44)</f>
        <v/>
      </c>
      <c r="M44" s="28"/>
      <c r="N44" s="22"/>
      <c r="O44" s="28"/>
      <c r="P44" s="26" t="str">
        <f aca="false">IF(A44="","",SUMIF(入金明細!$F$5:$F$1004,A44,入金明細!$E$5:$E$1004))</f>
        <v/>
      </c>
      <c r="Q44" s="27" t="str">
        <f aca="false">IF(OR(A44="",N(P44)=0),"",SUMPRODUCT(MAX((入金明細!$F$5:$F$1004=A44)*入金明細!$B$5:$B$1004)))</f>
        <v/>
      </c>
      <c r="R44" s="18"/>
      <c r="S44" s="26" t="str">
        <f aca="false">IF(OR(A44="",I44=""),"",I44-N(P44)-N(R44))</f>
        <v/>
      </c>
      <c r="T44" s="28"/>
      <c r="U44" s="29" t="str">
        <f aca="false">IF(A44="","",IF(T44="取消","取消",IF(W44&lt;&gt;"","要入力",IF(N44="","未送付",IF(S44=0,"入金済",IF(S44&lt;0,"過入金",IF(設定!$C$5&gt;L44,IF(P44&gt;0,"一部入金・超過","期日超過"),IF(P44&gt;0,"一部入金",IF(L44-設定!$C$5&lt;=設定!$C$6,"期日間近","入金待ち")))))))))</f>
        <v/>
      </c>
      <c r="V44" s="30" t="str">
        <f aca="false">IF(OR(U44="期日超過",U44="一部入金・超過"),設定!$C$5-L44,"")</f>
        <v/>
      </c>
      <c r="W44" s="21" t="str">
        <f aca="false">IF(A44="","",TRIM(IF(B44="","請求日 ","")&amp;IF(C44="","取引先 ",IF(D44="コード誤り","取引先コード誤り ",""))&amp;IF(E44="","件名 ","")&amp;IF(F44="","税抜金額 ","")&amp;IF(G44="","税率 ","")&amp;IF(M44="","送付方法 ","")&amp;IF(AND(N44&lt;&gt;"",O44=""),"送付者 ","")&amp;IF(AND(I44&lt;&gt;"",L44=""),"入金期日 ","")&amp;IF(AND(N44&lt;&gt;"",P44&gt;0,S44&lt;=0,X44=""),"消込確認者 ","")))</f>
        <v/>
      </c>
      <c r="X44" s="28"/>
      <c r="Y44" s="28"/>
    </row>
    <row r="45" customFormat="false" ht="15" hidden="false" customHeight="false" outlineLevel="0" collapsed="false">
      <c r="A45" s="21" t="str">
        <f aca="false">IF(COUNTA(B45,C45,E45,F45)=0,"",設定!$C$4&amp;TEXT(ROW()-4,"00000"))</f>
        <v/>
      </c>
      <c r="B45" s="22"/>
      <c r="C45" s="23"/>
      <c r="D45" s="21" t="str">
        <f aca="false">IF(C45="","",IFERROR(INDEX(取引先マスタ!$B$5:$B$204,MATCH($C45,取引先マスタ!$A$5:$A$204,0)),"コード誤り"))</f>
        <v/>
      </c>
      <c r="E45" s="28"/>
      <c r="F45" s="18"/>
      <c r="G45" s="25"/>
      <c r="H45" s="26" t="str">
        <f aca="false">IF(OR(F45="",G45=""),"",ROUNDDOWN(F45*G45,0))</f>
        <v/>
      </c>
      <c r="I45" s="26" t="str">
        <f aca="false">IF(OR(F45="",G45=""),"",F45+H45)</f>
        <v/>
      </c>
      <c r="J45" s="27" t="str">
        <f aca="false">IF(OR(B45="",C45="",D45="コード誤り"),"",IFERROR(DATE(YEAR(B45),MONTH(B45)+INDEX(取引先マスタ!$E$5:$E$204,MATCH($C45,取引先マスタ!$A$5:$A$204,0)),MIN(INDEX(取引先マスタ!$F$5:$F$204,MATCH($C45,取引先マスタ!$A$5:$A$204,0)),DAY(EOMONTH(B45,INDEX(取引先マスタ!$E$5:$E$204,MATCH($C45,取引先マスタ!$A$5:$A$204,0)))))),""))</f>
        <v/>
      </c>
      <c r="K45" s="22"/>
      <c r="L45" s="27" t="str">
        <f aca="false">IF(K45&lt;&gt;"",K45,J45)</f>
        <v/>
      </c>
      <c r="M45" s="28"/>
      <c r="N45" s="22"/>
      <c r="O45" s="28"/>
      <c r="P45" s="26" t="str">
        <f aca="false">IF(A45="","",SUMIF(入金明細!$F$5:$F$1004,A45,入金明細!$E$5:$E$1004))</f>
        <v/>
      </c>
      <c r="Q45" s="27" t="str">
        <f aca="false">IF(OR(A45="",N(P45)=0),"",SUMPRODUCT(MAX((入金明細!$F$5:$F$1004=A45)*入金明細!$B$5:$B$1004)))</f>
        <v/>
      </c>
      <c r="R45" s="18"/>
      <c r="S45" s="26" t="str">
        <f aca="false">IF(OR(A45="",I45=""),"",I45-N(P45)-N(R45))</f>
        <v/>
      </c>
      <c r="T45" s="28"/>
      <c r="U45" s="29" t="str">
        <f aca="false">IF(A45="","",IF(T45="取消","取消",IF(W45&lt;&gt;"","要入力",IF(N45="","未送付",IF(S45=0,"入金済",IF(S45&lt;0,"過入金",IF(設定!$C$5&gt;L45,IF(P45&gt;0,"一部入金・超過","期日超過"),IF(P45&gt;0,"一部入金",IF(L45-設定!$C$5&lt;=設定!$C$6,"期日間近","入金待ち")))))))))</f>
        <v/>
      </c>
      <c r="V45" s="30" t="str">
        <f aca="false">IF(OR(U45="期日超過",U45="一部入金・超過"),設定!$C$5-L45,"")</f>
        <v/>
      </c>
      <c r="W45" s="21" t="str">
        <f aca="false">IF(A45="","",TRIM(IF(B45="","請求日 ","")&amp;IF(C45="","取引先 ",IF(D45="コード誤り","取引先コード誤り ",""))&amp;IF(E45="","件名 ","")&amp;IF(F45="","税抜金額 ","")&amp;IF(G45="","税率 ","")&amp;IF(M45="","送付方法 ","")&amp;IF(AND(N45&lt;&gt;"",O45=""),"送付者 ","")&amp;IF(AND(I45&lt;&gt;"",L45=""),"入金期日 ","")&amp;IF(AND(N45&lt;&gt;"",P45&gt;0,S45&lt;=0,X45=""),"消込確認者 ","")))</f>
        <v/>
      </c>
      <c r="X45" s="28"/>
      <c r="Y45" s="28"/>
    </row>
    <row r="46" customFormat="false" ht="15" hidden="false" customHeight="false" outlineLevel="0" collapsed="false">
      <c r="A46" s="21" t="str">
        <f aca="false">IF(COUNTA(B46,C46,E46,F46)=0,"",設定!$C$4&amp;TEXT(ROW()-4,"00000"))</f>
        <v/>
      </c>
      <c r="B46" s="22"/>
      <c r="C46" s="23"/>
      <c r="D46" s="21" t="str">
        <f aca="false">IF(C46="","",IFERROR(INDEX(取引先マスタ!$B$5:$B$204,MATCH($C46,取引先マスタ!$A$5:$A$204,0)),"コード誤り"))</f>
        <v/>
      </c>
      <c r="E46" s="28"/>
      <c r="F46" s="18"/>
      <c r="G46" s="25"/>
      <c r="H46" s="26" t="str">
        <f aca="false">IF(OR(F46="",G46=""),"",ROUNDDOWN(F46*G46,0))</f>
        <v/>
      </c>
      <c r="I46" s="26" t="str">
        <f aca="false">IF(OR(F46="",G46=""),"",F46+H46)</f>
        <v/>
      </c>
      <c r="J46" s="27" t="str">
        <f aca="false">IF(OR(B46="",C46="",D46="コード誤り"),"",IFERROR(DATE(YEAR(B46),MONTH(B46)+INDEX(取引先マスタ!$E$5:$E$204,MATCH($C46,取引先マスタ!$A$5:$A$204,0)),MIN(INDEX(取引先マスタ!$F$5:$F$204,MATCH($C46,取引先マスタ!$A$5:$A$204,0)),DAY(EOMONTH(B46,INDEX(取引先マスタ!$E$5:$E$204,MATCH($C46,取引先マスタ!$A$5:$A$204,0)))))),""))</f>
        <v/>
      </c>
      <c r="K46" s="22"/>
      <c r="L46" s="27" t="str">
        <f aca="false">IF(K46&lt;&gt;"",K46,J46)</f>
        <v/>
      </c>
      <c r="M46" s="28"/>
      <c r="N46" s="22"/>
      <c r="O46" s="28"/>
      <c r="P46" s="26" t="str">
        <f aca="false">IF(A46="","",SUMIF(入金明細!$F$5:$F$1004,A46,入金明細!$E$5:$E$1004))</f>
        <v/>
      </c>
      <c r="Q46" s="27" t="str">
        <f aca="false">IF(OR(A46="",N(P46)=0),"",SUMPRODUCT(MAX((入金明細!$F$5:$F$1004=A46)*入金明細!$B$5:$B$1004)))</f>
        <v/>
      </c>
      <c r="R46" s="18"/>
      <c r="S46" s="26" t="str">
        <f aca="false">IF(OR(A46="",I46=""),"",I46-N(P46)-N(R46))</f>
        <v/>
      </c>
      <c r="T46" s="28"/>
      <c r="U46" s="29" t="str">
        <f aca="false">IF(A46="","",IF(T46="取消","取消",IF(W46&lt;&gt;"","要入力",IF(N46="","未送付",IF(S46=0,"入金済",IF(S46&lt;0,"過入金",IF(設定!$C$5&gt;L46,IF(P46&gt;0,"一部入金・超過","期日超過"),IF(P46&gt;0,"一部入金",IF(L46-設定!$C$5&lt;=設定!$C$6,"期日間近","入金待ち")))))))))</f>
        <v/>
      </c>
      <c r="V46" s="30" t="str">
        <f aca="false">IF(OR(U46="期日超過",U46="一部入金・超過"),設定!$C$5-L46,"")</f>
        <v/>
      </c>
      <c r="W46" s="21" t="str">
        <f aca="false">IF(A46="","",TRIM(IF(B46="","請求日 ","")&amp;IF(C46="","取引先 ",IF(D46="コード誤り","取引先コード誤り ",""))&amp;IF(E46="","件名 ","")&amp;IF(F46="","税抜金額 ","")&amp;IF(G46="","税率 ","")&amp;IF(M46="","送付方法 ","")&amp;IF(AND(N46&lt;&gt;"",O46=""),"送付者 ","")&amp;IF(AND(I46&lt;&gt;"",L46=""),"入金期日 ","")&amp;IF(AND(N46&lt;&gt;"",P46&gt;0,S46&lt;=0,X46=""),"消込確認者 ","")))</f>
        <v/>
      </c>
      <c r="X46" s="28"/>
      <c r="Y46" s="28"/>
    </row>
    <row r="47" customFormat="false" ht="15" hidden="false" customHeight="false" outlineLevel="0" collapsed="false">
      <c r="A47" s="21" t="str">
        <f aca="false">IF(COUNTA(B47,C47,E47,F47)=0,"",設定!$C$4&amp;TEXT(ROW()-4,"00000"))</f>
        <v/>
      </c>
      <c r="B47" s="22"/>
      <c r="C47" s="23"/>
      <c r="D47" s="21" t="str">
        <f aca="false">IF(C47="","",IFERROR(INDEX(取引先マスタ!$B$5:$B$204,MATCH($C47,取引先マスタ!$A$5:$A$204,0)),"コード誤り"))</f>
        <v/>
      </c>
      <c r="E47" s="28"/>
      <c r="F47" s="18"/>
      <c r="G47" s="25"/>
      <c r="H47" s="26" t="str">
        <f aca="false">IF(OR(F47="",G47=""),"",ROUNDDOWN(F47*G47,0))</f>
        <v/>
      </c>
      <c r="I47" s="26" t="str">
        <f aca="false">IF(OR(F47="",G47=""),"",F47+H47)</f>
        <v/>
      </c>
      <c r="J47" s="27" t="str">
        <f aca="false">IF(OR(B47="",C47="",D47="コード誤り"),"",IFERROR(DATE(YEAR(B47),MONTH(B47)+INDEX(取引先マスタ!$E$5:$E$204,MATCH($C47,取引先マスタ!$A$5:$A$204,0)),MIN(INDEX(取引先マスタ!$F$5:$F$204,MATCH($C47,取引先マスタ!$A$5:$A$204,0)),DAY(EOMONTH(B47,INDEX(取引先マスタ!$E$5:$E$204,MATCH($C47,取引先マスタ!$A$5:$A$204,0)))))),""))</f>
        <v/>
      </c>
      <c r="K47" s="22"/>
      <c r="L47" s="27" t="str">
        <f aca="false">IF(K47&lt;&gt;"",K47,J47)</f>
        <v/>
      </c>
      <c r="M47" s="28"/>
      <c r="N47" s="22"/>
      <c r="O47" s="28"/>
      <c r="P47" s="26" t="str">
        <f aca="false">IF(A47="","",SUMIF(入金明細!$F$5:$F$1004,A47,入金明細!$E$5:$E$1004))</f>
        <v/>
      </c>
      <c r="Q47" s="27" t="str">
        <f aca="false">IF(OR(A47="",N(P47)=0),"",SUMPRODUCT(MAX((入金明細!$F$5:$F$1004=A47)*入金明細!$B$5:$B$1004)))</f>
        <v/>
      </c>
      <c r="R47" s="18"/>
      <c r="S47" s="26" t="str">
        <f aca="false">IF(OR(A47="",I47=""),"",I47-N(P47)-N(R47))</f>
        <v/>
      </c>
      <c r="T47" s="28"/>
      <c r="U47" s="29" t="str">
        <f aca="false">IF(A47="","",IF(T47="取消","取消",IF(W47&lt;&gt;"","要入力",IF(N47="","未送付",IF(S47=0,"入金済",IF(S47&lt;0,"過入金",IF(設定!$C$5&gt;L47,IF(P47&gt;0,"一部入金・超過","期日超過"),IF(P47&gt;0,"一部入金",IF(L47-設定!$C$5&lt;=設定!$C$6,"期日間近","入金待ち")))))))))</f>
        <v/>
      </c>
      <c r="V47" s="30" t="str">
        <f aca="false">IF(OR(U47="期日超過",U47="一部入金・超過"),設定!$C$5-L47,"")</f>
        <v/>
      </c>
      <c r="W47" s="21" t="str">
        <f aca="false">IF(A47="","",TRIM(IF(B47="","請求日 ","")&amp;IF(C47="","取引先 ",IF(D47="コード誤り","取引先コード誤り ",""))&amp;IF(E47="","件名 ","")&amp;IF(F47="","税抜金額 ","")&amp;IF(G47="","税率 ","")&amp;IF(M47="","送付方法 ","")&amp;IF(AND(N47&lt;&gt;"",O47=""),"送付者 ","")&amp;IF(AND(I47&lt;&gt;"",L47=""),"入金期日 ","")&amp;IF(AND(N47&lt;&gt;"",P47&gt;0,S47&lt;=0,X47=""),"消込確認者 ","")))</f>
        <v/>
      </c>
      <c r="X47" s="28"/>
      <c r="Y47" s="28"/>
    </row>
    <row r="48" customFormat="false" ht="15" hidden="false" customHeight="false" outlineLevel="0" collapsed="false">
      <c r="A48" s="21" t="str">
        <f aca="false">IF(COUNTA(B48,C48,E48,F48)=0,"",設定!$C$4&amp;TEXT(ROW()-4,"00000"))</f>
        <v/>
      </c>
      <c r="B48" s="22"/>
      <c r="C48" s="23"/>
      <c r="D48" s="21" t="str">
        <f aca="false">IF(C48="","",IFERROR(INDEX(取引先マスタ!$B$5:$B$204,MATCH($C48,取引先マスタ!$A$5:$A$204,0)),"コード誤り"))</f>
        <v/>
      </c>
      <c r="E48" s="28"/>
      <c r="F48" s="18"/>
      <c r="G48" s="25"/>
      <c r="H48" s="26" t="str">
        <f aca="false">IF(OR(F48="",G48=""),"",ROUNDDOWN(F48*G48,0))</f>
        <v/>
      </c>
      <c r="I48" s="26" t="str">
        <f aca="false">IF(OR(F48="",G48=""),"",F48+H48)</f>
        <v/>
      </c>
      <c r="J48" s="27" t="str">
        <f aca="false">IF(OR(B48="",C48="",D48="コード誤り"),"",IFERROR(DATE(YEAR(B48),MONTH(B48)+INDEX(取引先マスタ!$E$5:$E$204,MATCH($C48,取引先マスタ!$A$5:$A$204,0)),MIN(INDEX(取引先マスタ!$F$5:$F$204,MATCH($C48,取引先マスタ!$A$5:$A$204,0)),DAY(EOMONTH(B48,INDEX(取引先マスタ!$E$5:$E$204,MATCH($C48,取引先マスタ!$A$5:$A$204,0)))))),""))</f>
        <v/>
      </c>
      <c r="K48" s="22"/>
      <c r="L48" s="27" t="str">
        <f aca="false">IF(K48&lt;&gt;"",K48,J48)</f>
        <v/>
      </c>
      <c r="M48" s="28"/>
      <c r="N48" s="22"/>
      <c r="O48" s="28"/>
      <c r="P48" s="26" t="str">
        <f aca="false">IF(A48="","",SUMIF(入金明細!$F$5:$F$1004,A48,入金明細!$E$5:$E$1004))</f>
        <v/>
      </c>
      <c r="Q48" s="27" t="str">
        <f aca="false">IF(OR(A48="",N(P48)=0),"",SUMPRODUCT(MAX((入金明細!$F$5:$F$1004=A48)*入金明細!$B$5:$B$1004)))</f>
        <v/>
      </c>
      <c r="R48" s="18"/>
      <c r="S48" s="26" t="str">
        <f aca="false">IF(OR(A48="",I48=""),"",I48-N(P48)-N(R48))</f>
        <v/>
      </c>
      <c r="T48" s="28"/>
      <c r="U48" s="29" t="str">
        <f aca="false">IF(A48="","",IF(T48="取消","取消",IF(W48&lt;&gt;"","要入力",IF(N48="","未送付",IF(S48=0,"入金済",IF(S48&lt;0,"過入金",IF(設定!$C$5&gt;L48,IF(P48&gt;0,"一部入金・超過","期日超過"),IF(P48&gt;0,"一部入金",IF(L48-設定!$C$5&lt;=設定!$C$6,"期日間近","入金待ち")))))))))</f>
        <v/>
      </c>
      <c r="V48" s="30" t="str">
        <f aca="false">IF(OR(U48="期日超過",U48="一部入金・超過"),設定!$C$5-L48,"")</f>
        <v/>
      </c>
      <c r="W48" s="21" t="str">
        <f aca="false">IF(A48="","",TRIM(IF(B48="","請求日 ","")&amp;IF(C48="","取引先 ",IF(D48="コード誤り","取引先コード誤り ",""))&amp;IF(E48="","件名 ","")&amp;IF(F48="","税抜金額 ","")&amp;IF(G48="","税率 ","")&amp;IF(M48="","送付方法 ","")&amp;IF(AND(N48&lt;&gt;"",O48=""),"送付者 ","")&amp;IF(AND(I48&lt;&gt;"",L48=""),"入金期日 ","")&amp;IF(AND(N48&lt;&gt;"",P48&gt;0,S48&lt;=0,X48=""),"消込確認者 ","")))</f>
        <v/>
      </c>
      <c r="X48" s="28"/>
      <c r="Y48" s="28"/>
    </row>
    <row r="49" customFormat="false" ht="15" hidden="false" customHeight="false" outlineLevel="0" collapsed="false">
      <c r="A49" s="21" t="str">
        <f aca="false">IF(COUNTA(B49,C49,E49,F49)=0,"",設定!$C$4&amp;TEXT(ROW()-4,"00000"))</f>
        <v/>
      </c>
      <c r="B49" s="22"/>
      <c r="C49" s="23"/>
      <c r="D49" s="21" t="str">
        <f aca="false">IF(C49="","",IFERROR(INDEX(取引先マスタ!$B$5:$B$204,MATCH($C49,取引先マスタ!$A$5:$A$204,0)),"コード誤り"))</f>
        <v/>
      </c>
      <c r="E49" s="28"/>
      <c r="F49" s="18"/>
      <c r="G49" s="25"/>
      <c r="H49" s="26" t="str">
        <f aca="false">IF(OR(F49="",G49=""),"",ROUNDDOWN(F49*G49,0))</f>
        <v/>
      </c>
      <c r="I49" s="26" t="str">
        <f aca="false">IF(OR(F49="",G49=""),"",F49+H49)</f>
        <v/>
      </c>
      <c r="J49" s="27" t="str">
        <f aca="false">IF(OR(B49="",C49="",D49="コード誤り"),"",IFERROR(DATE(YEAR(B49),MONTH(B49)+INDEX(取引先マスタ!$E$5:$E$204,MATCH($C49,取引先マスタ!$A$5:$A$204,0)),MIN(INDEX(取引先マスタ!$F$5:$F$204,MATCH($C49,取引先マスタ!$A$5:$A$204,0)),DAY(EOMONTH(B49,INDEX(取引先マスタ!$E$5:$E$204,MATCH($C49,取引先マスタ!$A$5:$A$204,0)))))),""))</f>
        <v/>
      </c>
      <c r="K49" s="22"/>
      <c r="L49" s="27" t="str">
        <f aca="false">IF(K49&lt;&gt;"",K49,J49)</f>
        <v/>
      </c>
      <c r="M49" s="28"/>
      <c r="N49" s="22"/>
      <c r="O49" s="28"/>
      <c r="P49" s="26" t="str">
        <f aca="false">IF(A49="","",SUMIF(入金明細!$F$5:$F$1004,A49,入金明細!$E$5:$E$1004))</f>
        <v/>
      </c>
      <c r="Q49" s="27" t="str">
        <f aca="false">IF(OR(A49="",N(P49)=0),"",SUMPRODUCT(MAX((入金明細!$F$5:$F$1004=A49)*入金明細!$B$5:$B$1004)))</f>
        <v/>
      </c>
      <c r="R49" s="18"/>
      <c r="S49" s="26" t="str">
        <f aca="false">IF(OR(A49="",I49=""),"",I49-N(P49)-N(R49))</f>
        <v/>
      </c>
      <c r="T49" s="28"/>
      <c r="U49" s="29" t="str">
        <f aca="false">IF(A49="","",IF(T49="取消","取消",IF(W49&lt;&gt;"","要入力",IF(N49="","未送付",IF(S49=0,"入金済",IF(S49&lt;0,"過入金",IF(設定!$C$5&gt;L49,IF(P49&gt;0,"一部入金・超過","期日超過"),IF(P49&gt;0,"一部入金",IF(L49-設定!$C$5&lt;=設定!$C$6,"期日間近","入金待ち")))))))))</f>
        <v/>
      </c>
      <c r="V49" s="30" t="str">
        <f aca="false">IF(OR(U49="期日超過",U49="一部入金・超過"),設定!$C$5-L49,"")</f>
        <v/>
      </c>
      <c r="W49" s="21" t="str">
        <f aca="false">IF(A49="","",TRIM(IF(B49="","請求日 ","")&amp;IF(C49="","取引先 ",IF(D49="コード誤り","取引先コード誤り ",""))&amp;IF(E49="","件名 ","")&amp;IF(F49="","税抜金額 ","")&amp;IF(G49="","税率 ","")&amp;IF(M49="","送付方法 ","")&amp;IF(AND(N49&lt;&gt;"",O49=""),"送付者 ","")&amp;IF(AND(I49&lt;&gt;"",L49=""),"入金期日 ","")&amp;IF(AND(N49&lt;&gt;"",P49&gt;0,S49&lt;=0,X49=""),"消込確認者 ","")))</f>
        <v/>
      </c>
      <c r="X49" s="28"/>
      <c r="Y49" s="28"/>
    </row>
    <row r="50" customFormat="false" ht="15" hidden="false" customHeight="false" outlineLevel="0" collapsed="false">
      <c r="A50" s="21" t="str">
        <f aca="false">IF(COUNTA(B50,C50,E50,F50)=0,"",設定!$C$4&amp;TEXT(ROW()-4,"00000"))</f>
        <v/>
      </c>
      <c r="B50" s="22"/>
      <c r="C50" s="23"/>
      <c r="D50" s="21" t="str">
        <f aca="false">IF(C50="","",IFERROR(INDEX(取引先マスタ!$B$5:$B$204,MATCH($C50,取引先マスタ!$A$5:$A$204,0)),"コード誤り"))</f>
        <v/>
      </c>
      <c r="E50" s="28"/>
      <c r="F50" s="18"/>
      <c r="G50" s="25"/>
      <c r="H50" s="26" t="str">
        <f aca="false">IF(OR(F50="",G50=""),"",ROUNDDOWN(F50*G50,0))</f>
        <v/>
      </c>
      <c r="I50" s="26" t="str">
        <f aca="false">IF(OR(F50="",G50=""),"",F50+H50)</f>
        <v/>
      </c>
      <c r="J50" s="27" t="str">
        <f aca="false">IF(OR(B50="",C50="",D50="コード誤り"),"",IFERROR(DATE(YEAR(B50),MONTH(B50)+INDEX(取引先マスタ!$E$5:$E$204,MATCH($C50,取引先マスタ!$A$5:$A$204,0)),MIN(INDEX(取引先マスタ!$F$5:$F$204,MATCH($C50,取引先マスタ!$A$5:$A$204,0)),DAY(EOMONTH(B50,INDEX(取引先マスタ!$E$5:$E$204,MATCH($C50,取引先マスタ!$A$5:$A$204,0)))))),""))</f>
        <v/>
      </c>
      <c r="K50" s="22"/>
      <c r="L50" s="27" t="str">
        <f aca="false">IF(K50&lt;&gt;"",K50,J50)</f>
        <v/>
      </c>
      <c r="M50" s="28"/>
      <c r="N50" s="22"/>
      <c r="O50" s="28"/>
      <c r="P50" s="26" t="str">
        <f aca="false">IF(A50="","",SUMIF(入金明細!$F$5:$F$1004,A50,入金明細!$E$5:$E$1004))</f>
        <v/>
      </c>
      <c r="Q50" s="27" t="str">
        <f aca="false">IF(OR(A50="",N(P50)=0),"",SUMPRODUCT(MAX((入金明細!$F$5:$F$1004=A50)*入金明細!$B$5:$B$1004)))</f>
        <v/>
      </c>
      <c r="R50" s="18"/>
      <c r="S50" s="26" t="str">
        <f aca="false">IF(OR(A50="",I50=""),"",I50-N(P50)-N(R50))</f>
        <v/>
      </c>
      <c r="T50" s="28"/>
      <c r="U50" s="29" t="str">
        <f aca="false">IF(A50="","",IF(T50="取消","取消",IF(W50&lt;&gt;"","要入力",IF(N50="","未送付",IF(S50=0,"入金済",IF(S50&lt;0,"過入金",IF(設定!$C$5&gt;L50,IF(P50&gt;0,"一部入金・超過","期日超過"),IF(P50&gt;0,"一部入金",IF(L50-設定!$C$5&lt;=設定!$C$6,"期日間近","入金待ち")))))))))</f>
        <v/>
      </c>
      <c r="V50" s="30" t="str">
        <f aca="false">IF(OR(U50="期日超過",U50="一部入金・超過"),設定!$C$5-L50,"")</f>
        <v/>
      </c>
      <c r="W50" s="21" t="str">
        <f aca="false">IF(A50="","",TRIM(IF(B50="","請求日 ","")&amp;IF(C50="","取引先 ",IF(D50="コード誤り","取引先コード誤り ",""))&amp;IF(E50="","件名 ","")&amp;IF(F50="","税抜金額 ","")&amp;IF(G50="","税率 ","")&amp;IF(M50="","送付方法 ","")&amp;IF(AND(N50&lt;&gt;"",O50=""),"送付者 ","")&amp;IF(AND(I50&lt;&gt;"",L50=""),"入金期日 ","")&amp;IF(AND(N50&lt;&gt;"",P50&gt;0,S50&lt;=0,X50=""),"消込確認者 ","")))</f>
        <v/>
      </c>
      <c r="X50" s="28"/>
      <c r="Y50" s="28"/>
    </row>
    <row r="51" customFormat="false" ht="15" hidden="false" customHeight="false" outlineLevel="0" collapsed="false">
      <c r="A51" s="21" t="str">
        <f aca="false">IF(COUNTA(B51,C51,E51,F51)=0,"",設定!$C$4&amp;TEXT(ROW()-4,"00000"))</f>
        <v/>
      </c>
      <c r="B51" s="22"/>
      <c r="C51" s="23"/>
      <c r="D51" s="21" t="str">
        <f aca="false">IF(C51="","",IFERROR(INDEX(取引先マスタ!$B$5:$B$204,MATCH($C51,取引先マスタ!$A$5:$A$204,0)),"コード誤り"))</f>
        <v/>
      </c>
      <c r="E51" s="28"/>
      <c r="F51" s="18"/>
      <c r="G51" s="25"/>
      <c r="H51" s="26" t="str">
        <f aca="false">IF(OR(F51="",G51=""),"",ROUNDDOWN(F51*G51,0))</f>
        <v/>
      </c>
      <c r="I51" s="26" t="str">
        <f aca="false">IF(OR(F51="",G51=""),"",F51+H51)</f>
        <v/>
      </c>
      <c r="J51" s="27" t="str">
        <f aca="false">IF(OR(B51="",C51="",D51="コード誤り"),"",IFERROR(DATE(YEAR(B51),MONTH(B51)+INDEX(取引先マスタ!$E$5:$E$204,MATCH($C51,取引先マスタ!$A$5:$A$204,0)),MIN(INDEX(取引先マスタ!$F$5:$F$204,MATCH($C51,取引先マスタ!$A$5:$A$204,0)),DAY(EOMONTH(B51,INDEX(取引先マスタ!$E$5:$E$204,MATCH($C51,取引先マスタ!$A$5:$A$204,0)))))),""))</f>
        <v/>
      </c>
      <c r="K51" s="22"/>
      <c r="L51" s="27" t="str">
        <f aca="false">IF(K51&lt;&gt;"",K51,J51)</f>
        <v/>
      </c>
      <c r="M51" s="28"/>
      <c r="N51" s="22"/>
      <c r="O51" s="28"/>
      <c r="P51" s="26" t="str">
        <f aca="false">IF(A51="","",SUMIF(入金明細!$F$5:$F$1004,A51,入金明細!$E$5:$E$1004))</f>
        <v/>
      </c>
      <c r="Q51" s="27" t="str">
        <f aca="false">IF(OR(A51="",N(P51)=0),"",SUMPRODUCT(MAX((入金明細!$F$5:$F$1004=A51)*入金明細!$B$5:$B$1004)))</f>
        <v/>
      </c>
      <c r="R51" s="18"/>
      <c r="S51" s="26" t="str">
        <f aca="false">IF(OR(A51="",I51=""),"",I51-N(P51)-N(R51))</f>
        <v/>
      </c>
      <c r="T51" s="28"/>
      <c r="U51" s="29" t="str">
        <f aca="false">IF(A51="","",IF(T51="取消","取消",IF(W51&lt;&gt;"","要入力",IF(N51="","未送付",IF(S51=0,"入金済",IF(S51&lt;0,"過入金",IF(設定!$C$5&gt;L51,IF(P51&gt;0,"一部入金・超過","期日超過"),IF(P51&gt;0,"一部入金",IF(L51-設定!$C$5&lt;=設定!$C$6,"期日間近","入金待ち")))))))))</f>
        <v/>
      </c>
      <c r="V51" s="30" t="str">
        <f aca="false">IF(OR(U51="期日超過",U51="一部入金・超過"),設定!$C$5-L51,"")</f>
        <v/>
      </c>
      <c r="W51" s="21" t="str">
        <f aca="false">IF(A51="","",TRIM(IF(B51="","請求日 ","")&amp;IF(C51="","取引先 ",IF(D51="コード誤り","取引先コード誤り ",""))&amp;IF(E51="","件名 ","")&amp;IF(F51="","税抜金額 ","")&amp;IF(G51="","税率 ","")&amp;IF(M51="","送付方法 ","")&amp;IF(AND(N51&lt;&gt;"",O51=""),"送付者 ","")&amp;IF(AND(I51&lt;&gt;"",L51=""),"入金期日 ","")&amp;IF(AND(N51&lt;&gt;"",P51&gt;0,S51&lt;=0,X51=""),"消込確認者 ","")))</f>
        <v/>
      </c>
      <c r="X51" s="28"/>
      <c r="Y51" s="28"/>
    </row>
    <row r="52" customFormat="false" ht="15" hidden="false" customHeight="false" outlineLevel="0" collapsed="false">
      <c r="A52" s="21" t="str">
        <f aca="false">IF(COUNTA(B52,C52,E52,F52)=0,"",設定!$C$4&amp;TEXT(ROW()-4,"00000"))</f>
        <v/>
      </c>
      <c r="B52" s="22"/>
      <c r="C52" s="23"/>
      <c r="D52" s="21" t="str">
        <f aca="false">IF(C52="","",IFERROR(INDEX(取引先マスタ!$B$5:$B$204,MATCH($C52,取引先マスタ!$A$5:$A$204,0)),"コード誤り"))</f>
        <v/>
      </c>
      <c r="E52" s="28"/>
      <c r="F52" s="18"/>
      <c r="G52" s="25"/>
      <c r="H52" s="26" t="str">
        <f aca="false">IF(OR(F52="",G52=""),"",ROUNDDOWN(F52*G52,0))</f>
        <v/>
      </c>
      <c r="I52" s="26" t="str">
        <f aca="false">IF(OR(F52="",G52=""),"",F52+H52)</f>
        <v/>
      </c>
      <c r="J52" s="27" t="str">
        <f aca="false">IF(OR(B52="",C52="",D52="コード誤り"),"",IFERROR(DATE(YEAR(B52),MONTH(B52)+INDEX(取引先マスタ!$E$5:$E$204,MATCH($C52,取引先マスタ!$A$5:$A$204,0)),MIN(INDEX(取引先マスタ!$F$5:$F$204,MATCH($C52,取引先マスタ!$A$5:$A$204,0)),DAY(EOMONTH(B52,INDEX(取引先マスタ!$E$5:$E$204,MATCH($C52,取引先マスタ!$A$5:$A$204,0)))))),""))</f>
        <v/>
      </c>
      <c r="K52" s="22"/>
      <c r="L52" s="27" t="str">
        <f aca="false">IF(K52&lt;&gt;"",K52,J52)</f>
        <v/>
      </c>
      <c r="M52" s="28"/>
      <c r="N52" s="22"/>
      <c r="O52" s="28"/>
      <c r="P52" s="26" t="str">
        <f aca="false">IF(A52="","",SUMIF(入金明細!$F$5:$F$1004,A52,入金明細!$E$5:$E$1004))</f>
        <v/>
      </c>
      <c r="Q52" s="27" t="str">
        <f aca="false">IF(OR(A52="",N(P52)=0),"",SUMPRODUCT(MAX((入金明細!$F$5:$F$1004=A52)*入金明細!$B$5:$B$1004)))</f>
        <v/>
      </c>
      <c r="R52" s="18"/>
      <c r="S52" s="26" t="str">
        <f aca="false">IF(OR(A52="",I52=""),"",I52-N(P52)-N(R52))</f>
        <v/>
      </c>
      <c r="T52" s="28"/>
      <c r="U52" s="29" t="str">
        <f aca="false">IF(A52="","",IF(T52="取消","取消",IF(W52&lt;&gt;"","要入力",IF(N52="","未送付",IF(S52=0,"入金済",IF(S52&lt;0,"過入金",IF(設定!$C$5&gt;L52,IF(P52&gt;0,"一部入金・超過","期日超過"),IF(P52&gt;0,"一部入金",IF(L52-設定!$C$5&lt;=設定!$C$6,"期日間近","入金待ち")))))))))</f>
        <v/>
      </c>
      <c r="V52" s="30" t="str">
        <f aca="false">IF(OR(U52="期日超過",U52="一部入金・超過"),設定!$C$5-L52,"")</f>
        <v/>
      </c>
      <c r="W52" s="21" t="str">
        <f aca="false">IF(A52="","",TRIM(IF(B52="","請求日 ","")&amp;IF(C52="","取引先 ",IF(D52="コード誤り","取引先コード誤り ",""))&amp;IF(E52="","件名 ","")&amp;IF(F52="","税抜金額 ","")&amp;IF(G52="","税率 ","")&amp;IF(M52="","送付方法 ","")&amp;IF(AND(N52&lt;&gt;"",O52=""),"送付者 ","")&amp;IF(AND(I52&lt;&gt;"",L52=""),"入金期日 ","")&amp;IF(AND(N52&lt;&gt;"",P52&gt;0,S52&lt;=0,X52=""),"消込確認者 ","")))</f>
        <v/>
      </c>
      <c r="X52" s="28"/>
      <c r="Y52" s="28"/>
    </row>
    <row r="53" customFormat="false" ht="15" hidden="false" customHeight="false" outlineLevel="0" collapsed="false">
      <c r="A53" s="21" t="str">
        <f aca="false">IF(COUNTA(B53,C53,E53,F53)=0,"",設定!$C$4&amp;TEXT(ROW()-4,"00000"))</f>
        <v/>
      </c>
      <c r="B53" s="22"/>
      <c r="C53" s="23"/>
      <c r="D53" s="21" t="str">
        <f aca="false">IF(C53="","",IFERROR(INDEX(取引先マスタ!$B$5:$B$204,MATCH($C53,取引先マスタ!$A$5:$A$204,0)),"コード誤り"))</f>
        <v/>
      </c>
      <c r="E53" s="28"/>
      <c r="F53" s="18"/>
      <c r="G53" s="25"/>
      <c r="H53" s="26" t="str">
        <f aca="false">IF(OR(F53="",G53=""),"",ROUNDDOWN(F53*G53,0))</f>
        <v/>
      </c>
      <c r="I53" s="26" t="str">
        <f aca="false">IF(OR(F53="",G53=""),"",F53+H53)</f>
        <v/>
      </c>
      <c r="J53" s="27" t="str">
        <f aca="false">IF(OR(B53="",C53="",D53="コード誤り"),"",IFERROR(DATE(YEAR(B53),MONTH(B53)+INDEX(取引先マスタ!$E$5:$E$204,MATCH($C53,取引先マスタ!$A$5:$A$204,0)),MIN(INDEX(取引先マスタ!$F$5:$F$204,MATCH($C53,取引先マスタ!$A$5:$A$204,0)),DAY(EOMONTH(B53,INDEX(取引先マスタ!$E$5:$E$204,MATCH($C53,取引先マスタ!$A$5:$A$204,0)))))),""))</f>
        <v/>
      </c>
      <c r="K53" s="22"/>
      <c r="L53" s="27" t="str">
        <f aca="false">IF(K53&lt;&gt;"",K53,J53)</f>
        <v/>
      </c>
      <c r="M53" s="28"/>
      <c r="N53" s="22"/>
      <c r="O53" s="28"/>
      <c r="P53" s="26" t="str">
        <f aca="false">IF(A53="","",SUMIF(入金明細!$F$5:$F$1004,A53,入金明細!$E$5:$E$1004))</f>
        <v/>
      </c>
      <c r="Q53" s="27" t="str">
        <f aca="false">IF(OR(A53="",N(P53)=0),"",SUMPRODUCT(MAX((入金明細!$F$5:$F$1004=A53)*入金明細!$B$5:$B$1004)))</f>
        <v/>
      </c>
      <c r="R53" s="18"/>
      <c r="S53" s="26" t="str">
        <f aca="false">IF(OR(A53="",I53=""),"",I53-N(P53)-N(R53))</f>
        <v/>
      </c>
      <c r="T53" s="28"/>
      <c r="U53" s="29" t="str">
        <f aca="false">IF(A53="","",IF(T53="取消","取消",IF(W53&lt;&gt;"","要入力",IF(N53="","未送付",IF(S53=0,"入金済",IF(S53&lt;0,"過入金",IF(設定!$C$5&gt;L53,IF(P53&gt;0,"一部入金・超過","期日超過"),IF(P53&gt;0,"一部入金",IF(L53-設定!$C$5&lt;=設定!$C$6,"期日間近","入金待ち")))))))))</f>
        <v/>
      </c>
      <c r="V53" s="30" t="str">
        <f aca="false">IF(OR(U53="期日超過",U53="一部入金・超過"),設定!$C$5-L53,"")</f>
        <v/>
      </c>
      <c r="W53" s="21" t="str">
        <f aca="false">IF(A53="","",TRIM(IF(B53="","請求日 ","")&amp;IF(C53="","取引先 ",IF(D53="コード誤り","取引先コード誤り ",""))&amp;IF(E53="","件名 ","")&amp;IF(F53="","税抜金額 ","")&amp;IF(G53="","税率 ","")&amp;IF(M53="","送付方法 ","")&amp;IF(AND(N53&lt;&gt;"",O53=""),"送付者 ","")&amp;IF(AND(I53&lt;&gt;"",L53=""),"入金期日 ","")&amp;IF(AND(N53&lt;&gt;"",P53&gt;0,S53&lt;=0,X53=""),"消込確認者 ","")))</f>
        <v/>
      </c>
      <c r="X53" s="28"/>
      <c r="Y53" s="28"/>
    </row>
    <row r="54" customFormat="false" ht="15" hidden="false" customHeight="false" outlineLevel="0" collapsed="false">
      <c r="A54" s="21" t="str">
        <f aca="false">IF(COUNTA(B54,C54,E54,F54)=0,"",設定!$C$4&amp;TEXT(ROW()-4,"00000"))</f>
        <v/>
      </c>
      <c r="B54" s="22"/>
      <c r="C54" s="23"/>
      <c r="D54" s="21" t="str">
        <f aca="false">IF(C54="","",IFERROR(INDEX(取引先マスタ!$B$5:$B$204,MATCH($C54,取引先マスタ!$A$5:$A$204,0)),"コード誤り"))</f>
        <v/>
      </c>
      <c r="E54" s="28"/>
      <c r="F54" s="18"/>
      <c r="G54" s="25"/>
      <c r="H54" s="26" t="str">
        <f aca="false">IF(OR(F54="",G54=""),"",ROUNDDOWN(F54*G54,0))</f>
        <v/>
      </c>
      <c r="I54" s="26" t="str">
        <f aca="false">IF(OR(F54="",G54=""),"",F54+H54)</f>
        <v/>
      </c>
      <c r="J54" s="27" t="str">
        <f aca="false">IF(OR(B54="",C54="",D54="コード誤り"),"",IFERROR(DATE(YEAR(B54),MONTH(B54)+INDEX(取引先マスタ!$E$5:$E$204,MATCH($C54,取引先マスタ!$A$5:$A$204,0)),MIN(INDEX(取引先マスタ!$F$5:$F$204,MATCH($C54,取引先マスタ!$A$5:$A$204,0)),DAY(EOMONTH(B54,INDEX(取引先マスタ!$E$5:$E$204,MATCH($C54,取引先マスタ!$A$5:$A$204,0)))))),""))</f>
        <v/>
      </c>
      <c r="K54" s="22"/>
      <c r="L54" s="27" t="str">
        <f aca="false">IF(K54&lt;&gt;"",K54,J54)</f>
        <v/>
      </c>
      <c r="M54" s="28"/>
      <c r="N54" s="22"/>
      <c r="O54" s="28"/>
      <c r="P54" s="26" t="str">
        <f aca="false">IF(A54="","",SUMIF(入金明細!$F$5:$F$1004,A54,入金明細!$E$5:$E$1004))</f>
        <v/>
      </c>
      <c r="Q54" s="27" t="str">
        <f aca="false">IF(OR(A54="",N(P54)=0),"",SUMPRODUCT(MAX((入金明細!$F$5:$F$1004=A54)*入金明細!$B$5:$B$1004)))</f>
        <v/>
      </c>
      <c r="R54" s="18"/>
      <c r="S54" s="26" t="str">
        <f aca="false">IF(OR(A54="",I54=""),"",I54-N(P54)-N(R54))</f>
        <v/>
      </c>
      <c r="T54" s="28"/>
      <c r="U54" s="29" t="str">
        <f aca="false">IF(A54="","",IF(T54="取消","取消",IF(W54&lt;&gt;"","要入力",IF(N54="","未送付",IF(S54=0,"入金済",IF(S54&lt;0,"過入金",IF(設定!$C$5&gt;L54,IF(P54&gt;0,"一部入金・超過","期日超過"),IF(P54&gt;0,"一部入金",IF(L54-設定!$C$5&lt;=設定!$C$6,"期日間近","入金待ち")))))))))</f>
        <v/>
      </c>
      <c r="V54" s="30" t="str">
        <f aca="false">IF(OR(U54="期日超過",U54="一部入金・超過"),設定!$C$5-L54,"")</f>
        <v/>
      </c>
      <c r="W54" s="21" t="str">
        <f aca="false">IF(A54="","",TRIM(IF(B54="","請求日 ","")&amp;IF(C54="","取引先 ",IF(D54="コード誤り","取引先コード誤り ",""))&amp;IF(E54="","件名 ","")&amp;IF(F54="","税抜金額 ","")&amp;IF(G54="","税率 ","")&amp;IF(M54="","送付方法 ","")&amp;IF(AND(N54&lt;&gt;"",O54=""),"送付者 ","")&amp;IF(AND(I54&lt;&gt;"",L54=""),"入金期日 ","")&amp;IF(AND(N54&lt;&gt;"",P54&gt;0,S54&lt;=0,X54=""),"消込確認者 ","")))</f>
        <v/>
      </c>
      <c r="X54" s="28"/>
      <c r="Y54" s="28"/>
    </row>
    <row r="55" customFormat="false" ht="15" hidden="false" customHeight="false" outlineLevel="0" collapsed="false">
      <c r="A55" s="21" t="str">
        <f aca="false">IF(COUNTA(B55,C55,E55,F55)=0,"",設定!$C$4&amp;TEXT(ROW()-4,"00000"))</f>
        <v/>
      </c>
      <c r="B55" s="22"/>
      <c r="C55" s="23"/>
      <c r="D55" s="21" t="str">
        <f aca="false">IF(C55="","",IFERROR(INDEX(取引先マスタ!$B$5:$B$204,MATCH($C55,取引先マスタ!$A$5:$A$204,0)),"コード誤り"))</f>
        <v/>
      </c>
      <c r="E55" s="28"/>
      <c r="F55" s="18"/>
      <c r="G55" s="25"/>
      <c r="H55" s="26" t="str">
        <f aca="false">IF(OR(F55="",G55=""),"",ROUNDDOWN(F55*G55,0))</f>
        <v/>
      </c>
      <c r="I55" s="26" t="str">
        <f aca="false">IF(OR(F55="",G55=""),"",F55+H55)</f>
        <v/>
      </c>
      <c r="J55" s="27" t="str">
        <f aca="false">IF(OR(B55="",C55="",D55="コード誤り"),"",IFERROR(DATE(YEAR(B55),MONTH(B55)+INDEX(取引先マスタ!$E$5:$E$204,MATCH($C55,取引先マスタ!$A$5:$A$204,0)),MIN(INDEX(取引先マスタ!$F$5:$F$204,MATCH($C55,取引先マスタ!$A$5:$A$204,0)),DAY(EOMONTH(B55,INDEX(取引先マスタ!$E$5:$E$204,MATCH($C55,取引先マスタ!$A$5:$A$204,0)))))),""))</f>
        <v/>
      </c>
      <c r="K55" s="22"/>
      <c r="L55" s="27" t="str">
        <f aca="false">IF(K55&lt;&gt;"",K55,J55)</f>
        <v/>
      </c>
      <c r="M55" s="28"/>
      <c r="N55" s="22"/>
      <c r="O55" s="28"/>
      <c r="P55" s="26" t="str">
        <f aca="false">IF(A55="","",SUMIF(入金明細!$F$5:$F$1004,A55,入金明細!$E$5:$E$1004))</f>
        <v/>
      </c>
      <c r="Q55" s="27" t="str">
        <f aca="false">IF(OR(A55="",N(P55)=0),"",SUMPRODUCT(MAX((入金明細!$F$5:$F$1004=A55)*入金明細!$B$5:$B$1004)))</f>
        <v/>
      </c>
      <c r="R55" s="18"/>
      <c r="S55" s="26" t="str">
        <f aca="false">IF(OR(A55="",I55=""),"",I55-N(P55)-N(R55))</f>
        <v/>
      </c>
      <c r="T55" s="28"/>
      <c r="U55" s="29" t="str">
        <f aca="false">IF(A55="","",IF(T55="取消","取消",IF(W55&lt;&gt;"","要入力",IF(N55="","未送付",IF(S55=0,"入金済",IF(S55&lt;0,"過入金",IF(設定!$C$5&gt;L55,IF(P55&gt;0,"一部入金・超過","期日超過"),IF(P55&gt;0,"一部入金",IF(L55-設定!$C$5&lt;=設定!$C$6,"期日間近","入金待ち")))))))))</f>
        <v/>
      </c>
      <c r="V55" s="30" t="str">
        <f aca="false">IF(OR(U55="期日超過",U55="一部入金・超過"),設定!$C$5-L55,"")</f>
        <v/>
      </c>
      <c r="W55" s="21" t="str">
        <f aca="false">IF(A55="","",TRIM(IF(B55="","請求日 ","")&amp;IF(C55="","取引先 ",IF(D55="コード誤り","取引先コード誤り ",""))&amp;IF(E55="","件名 ","")&amp;IF(F55="","税抜金額 ","")&amp;IF(G55="","税率 ","")&amp;IF(M55="","送付方法 ","")&amp;IF(AND(N55&lt;&gt;"",O55=""),"送付者 ","")&amp;IF(AND(I55&lt;&gt;"",L55=""),"入金期日 ","")&amp;IF(AND(N55&lt;&gt;"",P55&gt;0,S55&lt;=0,X55=""),"消込確認者 ","")))</f>
        <v/>
      </c>
      <c r="X55" s="28"/>
      <c r="Y55" s="28"/>
    </row>
    <row r="56" customFormat="false" ht="15" hidden="false" customHeight="false" outlineLevel="0" collapsed="false">
      <c r="A56" s="21" t="str">
        <f aca="false">IF(COUNTA(B56,C56,E56,F56)=0,"",設定!$C$4&amp;TEXT(ROW()-4,"00000"))</f>
        <v/>
      </c>
      <c r="B56" s="22"/>
      <c r="C56" s="23"/>
      <c r="D56" s="21" t="str">
        <f aca="false">IF(C56="","",IFERROR(INDEX(取引先マスタ!$B$5:$B$204,MATCH($C56,取引先マスタ!$A$5:$A$204,0)),"コード誤り"))</f>
        <v/>
      </c>
      <c r="E56" s="28"/>
      <c r="F56" s="18"/>
      <c r="G56" s="25"/>
      <c r="H56" s="26" t="str">
        <f aca="false">IF(OR(F56="",G56=""),"",ROUNDDOWN(F56*G56,0))</f>
        <v/>
      </c>
      <c r="I56" s="26" t="str">
        <f aca="false">IF(OR(F56="",G56=""),"",F56+H56)</f>
        <v/>
      </c>
      <c r="J56" s="27" t="str">
        <f aca="false">IF(OR(B56="",C56="",D56="コード誤り"),"",IFERROR(DATE(YEAR(B56),MONTH(B56)+INDEX(取引先マスタ!$E$5:$E$204,MATCH($C56,取引先マスタ!$A$5:$A$204,0)),MIN(INDEX(取引先マスタ!$F$5:$F$204,MATCH($C56,取引先マスタ!$A$5:$A$204,0)),DAY(EOMONTH(B56,INDEX(取引先マスタ!$E$5:$E$204,MATCH($C56,取引先マスタ!$A$5:$A$204,0)))))),""))</f>
        <v/>
      </c>
      <c r="K56" s="22"/>
      <c r="L56" s="27" t="str">
        <f aca="false">IF(K56&lt;&gt;"",K56,J56)</f>
        <v/>
      </c>
      <c r="M56" s="28"/>
      <c r="N56" s="22"/>
      <c r="O56" s="28"/>
      <c r="P56" s="26" t="str">
        <f aca="false">IF(A56="","",SUMIF(入金明細!$F$5:$F$1004,A56,入金明細!$E$5:$E$1004))</f>
        <v/>
      </c>
      <c r="Q56" s="27" t="str">
        <f aca="false">IF(OR(A56="",N(P56)=0),"",SUMPRODUCT(MAX((入金明細!$F$5:$F$1004=A56)*入金明細!$B$5:$B$1004)))</f>
        <v/>
      </c>
      <c r="R56" s="18"/>
      <c r="S56" s="26" t="str">
        <f aca="false">IF(OR(A56="",I56=""),"",I56-N(P56)-N(R56))</f>
        <v/>
      </c>
      <c r="T56" s="28"/>
      <c r="U56" s="29" t="str">
        <f aca="false">IF(A56="","",IF(T56="取消","取消",IF(W56&lt;&gt;"","要入力",IF(N56="","未送付",IF(S56=0,"入金済",IF(S56&lt;0,"過入金",IF(設定!$C$5&gt;L56,IF(P56&gt;0,"一部入金・超過","期日超過"),IF(P56&gt;0,"一部入金",IF(L56-設定!$C$5&lt;=設定!$C$6,"期日間近","入金待ち")))))))))</f>
        <v/>
      </c>
      <c r="V56" s="30" t="str">
        <f aca="false">IF(OR(U56="期日超過",U56="一部入金・超過"),設定!$C$5-L56,"")</f>
        <v/>
      </c>
      <c r="W56" s="21" t="str">
        <f aca="false">IF(A56="","",TRIM(IF(B56="","請求日 ","")&amp;IF(C56="","取引先 ",IF(D56="コード誤り","取引先コード誤り ",""))&amp;IF(E56="","件名 ","")&amp;IF(F56="","税抜金額 ","")&amp;IF(G56="","税率 ","")&amp;IF(M56="","送付方法 ","")&amp;IF(AND(N56&lt;&gt;"",O56=""),"送付者 ","")&amp;IF(AND(I56&lt;&gt;"",L56=""),"入金期日 ","")&amp;IF(AND(N56&lt;&gt;"",P56&gt;0,S56&lt;=0,X56=""),"消込確認者 ","")))</f>
        <v/>
      </c>
      <c r="X56" s="28"/>
      <c r="Y56" s="28"/>
    </row>
    <row r="57" customFormat="false" ht="15" hidden="false" customHeight="false" outlineLevel="0" collapsed="false">
      <c r="A57" s="21" t="str">
        <f aca="false">IF(COUNTA(B57,C57,E57,F57)=0,"",設定!$C$4&amp;TEXT(ROW()-4,"00000"))</f>
        <v/>
      </c>
      <c r="B57" s="22"/>
      <c r="C57" s="23"/>
      <c r="D57" s="21" t="str">
        <f aca="false">IF(C57="","",IFERROR(INDEX(取引先マスタ!$B$5:$B$204,MATCH($C57,取引先マスタ!$A$5:$A$204,0)),"コード誤り"))</f>
        <v/>
      </c>
      <c r="E57" s="28"/>
      <c r="F57" s="18"/>
      <c r="G57" s="25"/>
      <c r="H57" s="26" t="str">
        <f aca="false">IF(OR(F57="",G57=""),"",ROUNDDOWN(F57*G57,0))</f>
        <v/>
      </c>
      <c r="I57" s="26" t="str">
        <f aca="false">IF(OR(F57="",G57=""),"",F57+H57)</f>
        <v/>
      </c>
      <c r="J57" s="27" t="str">
        <f aca="false">IF(OR(B57="",C57="",D57="コード誤り"),"",IFERROR(DATE(YEAR(B57),MONTH(B57)+INDEX(取引先マスタ!$E$5:$E$204,MATCH($C57,取引先マスタ!$A$5:$A$204,0)),MIN(INDEX(取引先マスタ!$F$5:$F$204,MATCH($C57,取引先マスタ!$A$5:$A$204,0)),DAY(EOMONTH(B57,INDEX(取引先マスタ!$E$5:$E$204,MATCH($C57,取引先マスタ!$A$5:$A$204,0)))))),""))</f>
        <v/>
      </c>
      <c r="K57" s="22"/>
      <c r="L57" s="27" t="str">
        <f aca="false">IF(K57&lt;&gt;"",K57,J57)</f>
        <v/>
      </c>
      <c r="M57" s="28"/>
      <c r="N57" s="22"/>
      <c r="O57" s="28"/>
      <c r="P57" s="26" t="str">
        <f aca="false">IF(A57="","",SUMIF(入金明細!$F$5:$F$1004,A57,入金明細!$E$5:$E$1004))</f>
        <v/>
      </c>
      <c r="Q57" s="27" t="str">
        <f aca="false">IF(OR(A57="",N(P57)=0),"",SUMPRODUCT(MAX((入金明細!$F$5:$F$1004=A57)*入金明細!$B$5:$B$1004)))</f>
        <v/>
      </c>
      <c r="R57" s="18"/>
      <c r="S57" s="26" t="str">
        <f aca="false">IF(OR(A57="",I57=""),"",I57-N(P57)-N(R57))</f>
        <v/>
      </c>
      <c r="T57" s="28"/>
      <c r="U57" s="29" t="str">
        <f aca="false">IF(A57="","",IF(T57="取消","取消",IF(W57&lt;&gt;"","要入力",IF(N57="","未送付",IF(S57=0,"入金済",IF(S57&lt;0,"過入金",IF(設定!$C$5&gt;L57,IF(P57&gt;0,"一部入金・超過","期日超過"),IF(P57&gt;0,"一部入金",IF(L57-設定!$C$5&lt;=設定!$C$6,"期日間近","入金待ち")))))))))</f>
        <v/>
      </c>
      <c r="V57" s="30" t="str">
        <f aca="false">IF(OR(U57="期日超過",U57="一部入金・超過"),設定!$C$5-L57,"")</f>
        <v/>
      </c>
      <c r="W57" s="21" t="str">
        <f aca="false">IF(A57="","",TRIM(IF(B57="","請求日 ","")&amp;IF(C57="","取引先 ",IF(D57="コード誤り","取引先コード誤り ",""))&amp;IF(E57="","件名 ","")&amp;IF(F57="","税抜金額 ","")&amp;IF(G57="","税率 ","")&amp;IF(M57="","送付方法 ","")&amp;IF(AND(N57&lt;&gt;"",O57=""),"送付者 ","")&amp;IF(AND(I57&lt;&gt;"",L57=""),"入金期日 ","")&amp;IF(AND(N57&lt;&gt;"",P57&gt;0,S57&lt;=0,X57=""),"消込確認者 ","")))</f>
        <v/>
      </c>
      <c r="X57" s="28"/>
      <c r="Y57" s="28"/>
    </row>
    <row r="58" customFormat="false" ht="15" hidden="false" customHeight="false" outlineLevel="0" collapsed="false">
      <c r="A58" s="21" t="str">
        <f aca="false">IF(COUNTA(B58,C58,E58,F58)=0,"",設定!$C$4&amp;TEXT(ROW()-4,"00000"))</f>
        <v/>
      </c>
      <c r="B58" s="22"/>
      <c r="C58" s="23"/>
      <c r="D58" s="21" t="str">
        <f aca="false">IF(C58="","",IFERROR(INDEX(取引先マスタ!$B$5:$B$204,MATCH($C58,取引先マスタ!$A$5:$A$204,0)),"コード誤り"))</f>
        <v/>
      </c>
      <c r="E58" s="28"/>
      <c r="F58" s="18"/>
      <c r="G58" s="25"/>
      <c r="H58" s="26" t="str">
        <f aca="false">IF(OR(F58="",G58=""),"",ROUNDDOWN(F58*G58,0))</f>
        <v/>
      </c>
      <c r="I58" s="26" t="str">
        <f aca="false">IF(OR(F58="",G58=""),"",F58+H58)</f>
        <v/>
      </c>
      <c r="J58" s="27" t="str">
        <f aca="false">IF(OR(B58="",C58="",D58="コード誤り"),"",IFERROR(DATE(YEAR(B58),MONTH(B58)+INDEX(取引先マスタ!$E$5:$E$204,MATCH($C58,取引先マスタ!$A$5:$A$204,0)),MIN(INDEX(取引先マスタ!$F$5:$F$204,MATCH($C58,取引先マスタ!$A$5:$A$204,0)),DAY(EOMONTH(B58,INDEX(取引先マスタ!$E$5:$E$204,MATCH($C58,取引先マスタ!$A$5:$A$204,0)))))),""))</f>
        <v/>
      </c>
      <c r="K58" s="22"/>
      <c r="L58" s="27" t="str">
        <f aca="false">IF(K58&lt;&gt;"",K58,J58)</f>
        <v/>
      </c>
      <c r="M58" s="28"/>
      <c r="N58" s="22"/>
      <c r="O58" s="28"/>
      <c r="P58" s="26" t="str">
        <f aca="false">IF(A58="","",SUMIF(入金明細!$F$5:$F$1004,A58,入金明細!$E$5:$E$1004))</f>
        <v/>
      </c>
      <c r="Q58" s="27" t="str">
        <f aca="false">IF(OR(A58="",N(P58)=0),"",SUMPRODUCT(MAX((入金明細!$F$5:$F$1004=A58)*入金明細!$B$5:$B$1004)))</f>
        <v/>
      </c>
      <c r="R58" s="18"/>
      <c r="S58" s="26" t="str">
        <f aca="false">IF(OR(A58="",I58=""),"",I58-N(P58)-N(R58))</f>
        <v/>
      </c>
      <c r="T58" s="28"/>
      <c r="U58" s="29" t="str">
        <f aca="false">IF(A58="","",IF(T58="取消","取消",IF(W58&lt;&gt;"","要入力",IF(N58="","未送付",IF(S58=0,"入金済",IF(S58&lt;0,"過入金",IF(設定!$C$5&gt;L58,IF(P58&gt;0,"一部入金・超過","期日超過"),IF(P58&gt;0,"一部入金",IF(L58-設定!$C$5&lt;=設定!$C$6,"期日間近","入金待ち")))))))))</f>
        <v/>
      </c>
      <c r="V58" s="30" t="str">
        <f aca="false">IF(OR(U58="期日超過",U58="一部入金・超過"),設定!$C$5-L58,"")</f>
        <v/>
      </c>
      <c r="W58" s="21" t="str">
        <f aca="false">IF(A58="","",TRIM(IF(B58="","請求日 ","")&amp;IF(C58="","取引先 ",IF(D58="コード誤り","取引先コード誤り ",""))&amp;IF(E58="","件名 ","")&amp;IF(F58="","税抜金額 ","")&amp;IF(G58="","税率 ","")&amp;IF(M58="","送付方法 ","")&amp;IF(AND(N58&lt;&gt;"",O58=""),"送付者 ","")&amp;IF(AND(I58&lt;&gt;"",L58=""),"入金期日 ","")&amp;IF(AND(N58&lt;&gt;"",P58&gt;0,S58&lt;=0,X58=""),"消込確認者 ","")))</f>
        <v/>
      </c>
      <c r="X58" s="28"/>
      <c r="Y58" s="28"/>
    </row>
    <row r="59" customFormat="false" ht="15" hidden="false" customHeight="false" outlineLevel="0" collapsed="false">
      <c r="A59" s="21" t="str">
        <f aca="false">IF(COUNTA(B59,C59,E59,F59)=0,"",設定!$C$4&amp;TEXT(ROW()-4,"00000"))</f>
        <v/>
      </c>
      <c r="B59" s="22"/>
      <c r="C59" s="23"/>
      <c r="D59" s="21" t="str">
        <f aca="false">IF(C59="","",IFERROR(INDEX(取引先マスタ!$B$5:$B$204,MATCH($C59,取引先マスタ!$A$5:$A$204,0)),"コード誤り"))</f>
        <v/>
      </c>
      <c r="E59" s="28"/>
      <c r="F59" s="18"/>
      <c r="G59" s="25"/>
      <c r="H59" s="26" t="str">
        <f aca="false">IF(OR(F59="",G59=""),"",ROUNDDOWN(F59*G59,0))</f>
        <v/>
      </c>
      <c r="I59" s="26" t="str">
        <f aca="false">IF(OR(F59="",G59=""),"",F59+H59)</f>
        <v/>
      </c>
      <c r="J59" s="27" t="str">
        <f aca="false">IF(OR(B59="",C59="",D59="コード誤り"),"",IFERROR(DATE(YEAR(B59),MONTH(B59)+INDEX(取引先マスタ!$E$5:$E$204,MATCH($C59,取引先マスタ!$A$5:$A$204,0)),MIN(INDEX(取引先マスタ!$F$5:$F$204,MATCH($C59,取引先マスタ!$A$5:$A$204,0)),DAY(EOMONTH(B59,INDEX(取引先マスタ!$E$5:$E$204,MATCH($C59,取引先マスタ!$A$5:$A$204,0)))))),""))</f>
        <v/>
      </c>
      <c r="K59" s="22"/>
      <c r="L59" s="27" t="str">
        <f aca="false">IF(K59&lt;&gt;"",K59,J59)</f>
        <v/>
      </c>
      <c r="M59" s="28"/>
      <c r="N59" s="22"/>
      <c r="O59" s="28"/>
      <c r="P59" s="26" t="str">
        <f aca="false">IF(A59="","",SUMIF(入金明細!$F$5:$F$1004,A59,入金明細!$E$5:$E$1004))</f>
        <v/>
      </c>
      <c r="Q59" s="27" t="str">
        <f aca="false">IF(OR(A59="",N(P59)=0),"",SUMPRODUCT(MAX((入金明細!$F$5:$F$1004=A59)*入金明細!$B$5:$B$1004)))</f>
        <v/>
      </c>
      <c r="R59" s="18"/>
      <c r="S59" s="26" t="str">
        <f aca="false">IF(OR(A59="",I59=""),"",I59-N(P59)-N(R59))</f>
        <v/>
      </c>
      <c r="T59" s="28"/>
      <c r="U59" s="29" t="str">
        <f aca="false">IF(A59="","",IF(T59="取消","取消",IF(W59&lt;&gt;"","要入力",IF(N59="","未送付",IF(S59=0,"入金済",IF(S59&lt;0,"過入金",IF(設定!$C$5&gt;L59,IF(P59&gt;0,"一部入金・超過","期日超過"),IF(P59&gt;0,"一部入金",IF(L59-設定!$C$5&lt;=設定!$C$6,"期日間近","入金待ち")))))))))</f>
        <v/>
      </c>
      <c r="V59" s="30" t="str">
        <f aca="false">IF(OR(U59="期日超過",U59="一部入金・超過"),設定!$C$5-L59,"")</f>
        <v/>
      </c>
      <c r="W59" s="21" t="str">
        <f aca="false">IF(A59="","",TRIM(IF(B59="","請求日 ","")&amp;IF(C59="","取引先 ",IF(D59="コード誤り","取引先コード誤り ",""))&amp;IF(E59="","件名 ","")&amp;IF(F59="","税抜金額 ","")&amp;IF(G59="","税率 ","")&amp;IF(M59="","送付方法 ","")&amp;IF(AND(N59&lt;&gt;"",O59=""),"送付者 ","")&amp;IF(AND(I59&lt;&gt;"",L59=""),"入金期日 ","")&amp;IF(AND(N59&lt;&gt;"",P59&gt;0,S59&lt;=0,X59=""),"消込確認者 ","")))</f>
        <v/>
      </c>
      <c r="X59" s="28"/>
      <c r="Y59" s="28"/>
    </row>
    <row r="60" customFormat="false" ht="15" hidden="false" customHeight="false" outlineLevel="0" collapsed="false">
      <c r="A60" s="21" t="str">
        <f aca="false">IF(COUNTA(B60,C60,E60,F60)=0,"",設定!$C$4&amp;TEXT(ROW()-4,"00000"))</f>
        <v/>
      </c>
      <c r="B60" s="22"/>
      <c r="C60" s="23"/>
      <c r="D60" s="21" t="str">
        <f aca="false">IF(C60="","",IFERROR(INDEX(取引先マスタ!$B$5:$B$204,MATCH($C60,取引先マスタ!$A$5:$A$204,0)),"コード誤り"))</f>
        <v/>
      </c>
      <c r="E60" s="28"/>
      <c r="F60" s="18"/>
      <c r="G60" s="25"/>
      <c r="H60" s="26" t="str">
        <f aca="false">IF(OR(F60="",G60=""),"",ROUNDDOWN(F60*G60,0))</f>
        <v/>
      </c>
      <c r="I60" s="26" t="str">
        <f aca="false">IF(OR(F60="",G60=""),"",F60+H60)</f>
        <v/>
      </c>
      <c r="J60" s="27" t="str">
        <f aca="false">IF(OR(B60="",C60="",D60="コード誤り"),"",IFERROR(DATE(YEAR(B60),MONTH(B60)+INDEX(取引先マスタ!$E$5:$E$204,MATCH($C60,取引先マスタ!$A$5:$A$204,0)),MIN(INDEX(取引先マスタ!$F$5:$F$204,MATCH($C60,取引先マスタ!$A$5:$A$204,0)),DAY(EOMONTH(B60,INDEX(取引先マスタ!$E$5:$E$204,MATCH($C60,取引先マスタ!$A$5:$A$204,0)))))),""))</f>
        <v/>
      </c>
      <c r="K60" s="22"/>
      <c r="L60" s="27" t="str">
        <f aca="false">IF(K60&lt;&gt;"",K60,J60)</f>
        <v/>
      </c>
      <c r="M60" s="28"/>
      <c r="N60" s="22"/>
      <c r="O60" s="28"/>
      <c r="P60" s="26" t="str">
        <f aca="false">IF(A60="","",SUMIF(入金明細!$F$5:$F$1004,A60,入金明細!$E$5:$E$1004))</f>
        <v/>
      </c>
      <c r="Q60" s="27" t="str">
        <f aca="false">IF(OR(A60="",N(P60)=0),"",SUMPRODUCT(MAX((入金明細!$F$5:$F$1004=A60)*入金明細!$B$5:$B$1004)))</f>
        <v/>
      </c>
      <c r="R60" s="18"/>
      <c r="S60" s="26" t="str">
        <f aca="false">IF(OR(A60="",I60=""),"",I60-N(P60)-N(R60))</f>
        <v/>
      </c>
      <c r="T60" s="28"/>
      <c r="U60" s="29" t="str">
        <f aca="false">IF(A60="","",IF(T60="取消","取消",IF(W60&lt;&gt;"","要入力",IF(N60="","未送付",IF(S60=0,"入金済",IF(S60&lt;0,"過入金",IF(設定!$C$5&gt;L60,IF(P60&gt;0,"一部入金・超過","期日超過"),IF(P60&gt;0,"一部入金",IF(L60-設定!$C$5&lt;=設定!$C$6,"期日間近","入金待ち")))))))))</f>
        <v/>
      </c>
      <c r="V60" s="30" t="str">
        <f aca="false">IF(OR(U60="期日超過",U60="一部入金・超過"),設定!$C$5-L60,"")</f>
        <v/>
      </c>
      <c r="W60" s="21" t="str">
        <f aca="false">IF(A60="","",TRIM(IF(B60="","請求日 ","")&amp;IF(C60="","取引先 ",IF(D60="コード誤り","取引先コード誤り ",""))&amp;IF(E60="","件名 ","")&amp;IF(F60="","税抜金額 ","")&amp;IF(G60="","税率 ","")&amp;IF(M60="","送付方法 ","")&amp;IF(AND(N60&lt;&gt;"",O60=""),"送付者 ","")&amp;IF(AND(I60&lt;&gt;"",L60=""),"入金期日 ","")&amp;IF(AND(N60&lt;&gt;"",P60&gt;0,S60&lt;=0,X60=""),"消込確認者 ","")))</f>
        <v/>
      </c>
      <c r="X60" s="28"/>
      <c r="Y60" s="28"/>
    </row>
    <row r="61" customFormat="false" ht="15" hidden="false" customHeight="false" outlineLevel="0" collapsed="false">
      <c r="A61" s="21" t="str">
        <f aca="false">IF(COUNTA(B61,C61,E61,F61)=0,"",設定!$C$4&amp;TEXT(ROW()-4,"00000"))</f>
        <v/>
      </c>
      <c r="B61" s="22"/>
      <c r="C61" s="23"/>
      <c r="D61" s="21" t="str">
        <f aca="false">IF(C61="","",IFERROR(INDEX(取引先マスタ!$B$5:$B$204,MATCH($C61,取引先マスタ!$A$5:$A$204,0)),"コード誤り"))</f>
        <v/>
      </c>
      <c r="E61" s="28"/>
      <c r="F61" s="18"/>
      <c r="G61" s="25"/>
      <c r="H61" s="26" t="str">
        <f aca="false">IF(OR(F61="",G61=""),"",ROUNDDOWN(F61*G61,0))</f>
        <v/>
      </c>
      <c r="I61" s="26" t="str">
        <f aca="false">IF(OR(F61="",G61=""),"",F61+H61)</f>
        <v/>
      </c>
      <c r="J61" s="27" t="str">
        <f aca="false">IF(OR(B61="",C61="",D61="コード誤り"),"",IFERROR(DATE(YEAR(B61),MONTH(B61)+INDEX(取引先マスタ!$E$5:$E$204,MATCH($C61,取引先マスタ!$A$5:$A$204,0)),MIN(INDEX(取引先マスタ!$F$5:$F$204,MATCH($C61,取引先マスタ!$A$5:$A$204,0)),DAY(EOMONTH(B61,INDEX(取引先マスタ!$E$5:$E$204,MATCH($C61,取引先マスタ!$A$5:$A$204,0)))))),""))</f>
        <v/>
      </c>
      <c r="K61" s="22"/>
      <c r="L61" s="27" t="str">
        <f aca="false">IF(K61&lt;&gt;"",K61,J61)</f>
        <v/>
      </c>
      <c r="M61" s="28"/>
      <c r="N61" s="22"/>
      <c r="O61" s="28"/>
      <c r="P61" s="26" t="str">
        <f aca="false">IF(A61="","",SUMIF(入金明細!$F$5:$F$1004,A61,入金明細!$E$5:$E$1004))</f>
        <v/>
      </c>
      <c r="Q61" s="27" t="str">
        <f aca="false">IF(OR(A61="",N(P61)=0),"",SUMPRODUCT(MAX((入金明細!$F$5:$F$1004=A61)*入金明細!$B$5:$B$1004)))</f>
        <v/>
      </c>
      <c r="R61" s="18"/>
      <c r="S61" s="26" t="str">
        <f aca="false">IF(OR(A61="",I61=""),"",I61-N(P61)-N(R61))</f>
        <v/>
      </c>
      <c r="T61" s="28"/>
      <c r="U61" s="29" t="str">
        <f aca="false">IF(A61="","",IF(T61="取消","取消",IF(W61&lt;&gt;"","要入力",IF(N61="","未送付",IF(S61=0,"入金済",IF(S61&lt;0,"過入金",IF(設定!$C$5&gt;L61,IF(P61&gt;0,"一部入金・超過","期日超過"),IF(P61&gt;0,"一部入金",IF(L61-設定!$C$5&lt;=設定!$C$6,"期日間近","入金待ち")))))))))</f>
        <v/>
      </c>
      <c r="V61" s="30" t="str">
        <f aca="false">IF(OR(U61="期日超過",U61="一部入金・超過"),設定!$C$5-L61,"")</f>
        <v/>
      </c>
      <c r="W61" s="21" t="str">
        <f aca="false">IF(A61="","",TRIM(IF(B61="","請求日 ","")&amp;IF(C61="","取引先 ",IF(D61="コード誤り","取引先コード誤り ",""))&amp;IF(E61="","件名 ","")&amp;IF(F61="","税抜金額 ","")&amp;IF(G61="","税率 ","")&amp;IF(M61="","送付方法 ","")&amp;IF(AND(N61&lt;&gt;"",O61=""),"送付者 ","")&amp;IF(AND(I61&lt;&gt;"",L61=""),"入金期日 ","")&amp;IF(AND(N61&lt;&gt;"",P61&gt;0,S61&lt;=0,X61=""),"消込確認者 ","")))</f>
        <v/>
      </c>
      <c r="X61" s="28"/>
      <c r="Y61" s="28"/>
    </row>
    <row r="62" customFormat="false" ht="15" hidden="false" customHeight="false" outlineLevel="0" collapsed="false">
      <c r="A62" s="21" t="str">
        <f aca="false">IF(COUNTA(B62,C62,E62,F62)=0,"",設定!$C$4&amp;TEXT(ROW()-4,"00000"))</f>
        <v/>
      </c>
      <c r="B62" s="22"/>
      <c r="C62" s="23"/>
      <c r="D62" s="21" t="str">
        <f aca="false">IF(C62="","",IFERROR(INDEX(取引先マスタ!$B$5:$B$204,MATCH($C62,取引先マスタ!$A$5:$A$204,0)),"コード誤り"))</f>
        <v/>
      </c>
      <c r="E62" s="28"/>
      <c r="F62" s="18"/>
      <c r="G62" s="25"/>
      <c r="H62" s="26" t="str">
        <f aca="false">IF(OR(F62="",G62=""),"",ROUNDDOWN(F62*G62,0))</f>
        <v/>
      </c>
      <c r="I62" s="26" t="str">
        <f aca="false">IF(OR(F62="",G62=""),"",F62+H62)</f>
        <v/>
      </c>
      <c r="J62" s="27" t="str">
        <f aca="false">IF(OR(B62="",C62="",D62="コード誤り"),"",IFERROR(DATE(YEAR(B62),MONTH(B62)+INDEX(取引先マスタ!$E$5:$E$204,MATCH($C62,取引先マスタ!$A$5:$A$204,0)),MIN(INDEX(取引先マスタ!$F$5:$F$204,MATCH($C62,取引先マスタ!$A$5:$A$204,0)),DAY(EOMONTH(B62,INDEX(取引先マスタ!$E$5:$E$204,MATCH($C62,取引先マスタ!$A$5:$A$204,0)))))),""))</f>
        <v/>
      </c>
      <c r="K62" s="22"/>
      <c r="L62" s="27" t="str">
        <f aca="false">IF(K62&lt;&gt;"",K62,J62)</f>
        <v/>
      </c>
      <c r="M62" s="28"/>
      <c r="N62" s="22"/>
      <c r="O62" s="28"/>
      <c r="P62" s="26" t="str">
        <f aca="false">IF(A62="","",SUMIF(入金明細!$F$5:$F$1004,A62,入金明細!$E$5:$E$1004))</f>
        <v/>
      </c>
      <c r="Q62" s="27" t="str">
        <f aca="false">IF(OR(A62="",N(P62)=0),"",SUMPRODUCT(MAX((入金明細!$F$5:$F$1004=A62)*入金明細!$B$5:$B$1004)))</f>
        <v/>
      </c>
      <c r="R62" s="18"/>
      <c r="S62" s="26" t="str">
        <f aca="false">IF(OR(A62="",I62=""),"",I62-N(P62)-N(R62))</f>
        <v/>
      </c>
      <c r="T62" s="28"/>
      <c r="U62" s="29" t="str">
        <f aca="false">IF(A62="","",IF(T62="取消","取消",IF(W62&lt;&gt;"","要入力",IF(N62="","未送付",IF(S62=0,"入金済",IF(S62&lt;0,"過入金",IF(設定!$C$5&gt;L62,IF(P62&gt;0,"一部入金・超過","期日超過"),IF(P62&gt;0,"一部入金",IF(L62-設定!$C$5&lt;=設定!$C$6,"期日間近","入金待ち")))))))))</f>
        <v/>
      </c>
      <c r="V62" s="30" t="str">
        <f aca="false">IF(OR(U62="期日超過",U62="一部入金・超過"),設定!$C$5-L62,"")</f>
        <v/>
      </c>
      <c r="W62" s="21" t="str">
        <f aca="false">IF(A62="","",TRIM(IF(B62="","請求日 ","")&amp;IF(C62="","取引先 ",IF(D62="コード誤り","取引先コード誤り ",""))&amp;IF(E62="","件名 ","")&amp;IF(F62="","税抜金額 ","")&amp;IF(G62="","税率 ","")&amp;IF(M62="","送付方法 ","")&amp;IF(AND(N62&lt;&gt;"",O62=""),"送付者 ","")&amp;IF(AND(I62&lt;&gt;"",L62=""),"入金期日 ","")&amp;IF(AND(N62&lt;&gt;"",P62&gt;0,S62&lt;=0,X62=""),"消込確認者 ","")))</f>
        <v/>
      </c>
      <c r="X62" s="28"/>
      <c r="Y62" s="28"/>
    </row>
    <row r="63" customFormat="false" ht="15" hidden="false" customHeight="false" outlineLevel="0" collapsed="false">
      <c r="A63" s="21" t="str">
        <f aca="false">IF(COUNTA(B63,C63,E63,F63)=0,"",設定!$C$4&amp;TEXT(ROW()-4,"00000"))</f>
        <v/>
      </c>
      <c r="B63" s="22"/>
      <c r="C63" s="23"/>
      <c r="D63" s="21" t="str">
        <f aca="false">IF(C63="","",IFERROR(INDEX(取引先マスタ!$B$5:$B$204,MATCH($C63,取引先マスタ!$A$5:$A$204,0)),"コード誤り"))</f>
        <v/>
      </c>
      <c r="E63" s="28"/>
      <c r="F63" s="18"/>
      <c r="G63" s="25"/>
      <c r="H63" s="26" t="str">
        <f aca="false">IF(OR(F63="",G63=""),"",ROUNDDOWN(F63*G63,0))</f>
        <v/>
      </c>
      <c r="I63" s="26" t="str">
        <f aca="false">IF(OR(F63="",G63=""),"",F63+H63)</f>
        <v/>
      </c>
      <c r="J63" s="27" t="str">
        <f aca="false">IF(OR(B63="",C63="",D63="コード誤り"),"",IFERROR(DATE(YEAR(B63),MONTH(B63)+INDEX(取引先マスタ!$E$5:$E$204,MATCH($C63,取引先マスタ!$A$5:$A$204,0)),MIN(INDEX(取引先マスタ!$F$5:$F$204,MATCH($C63,取引先マスタ!$A$5:$A$204,0)),DAY(EOMONTH(B63,INDEX(取引先マスタ!$E$5:$E$204,MATCH($C63,取引先マスタ!$A$5:$A$204,0)))))),""))</f>
        <v/>
      </c>
      <c r="K63" s="22"/>
      <c r="L63" s="27" t="str">
        <f aca="false">IF(K63&lt;&gt;"",K63,J63)</f>
        <v/>
      </c>
      <c r="M63" s="28"/>
      <c r="N63" s="22"/>
      <c r="O63" s="28"/>
      <c r="P63" s="26" t="str">
        <f aca="false">IF(A63="","",SUMIF(入金明細!$F$5:$F$1004,A63,入金明細!$E$5:$E$1004))</f>
        <v/>
      </c>
      <c r="Q63" s="27" t="str">
        <f aca="false">IF(OR(A63="",N(P63)=0),"",SUMPRODUCT(MAX((入金明細!$F$5:$F$1004=A63)*入金明細!$B$5:$B$1004)))</f>
        <v/>
      </c>
      <c r="R63" s="18"/>
      <c r="S63" s="26" t="str">
        <f aca="false">IF(OR(A63="",I63=""),"",I63-N(P63)-N(R63))</f>
        <v/>
      </c>
      <c r="T63" s="28"/>
      <c r="U63" s="29" t="str">
        <f aca="false">IF(A63="","",IF(T63="取消","取消",IF(W63&lt;&gt;"","要入力",IF(N63="","未送付",IF(S63=0,"入金済",IF(S63&lt;0,"過入金",IF(設定!$C$5&gt;L63,IF(P63&gt;0,"一部入金・超過","期日超過"),IF(P63&gt;0,"一部入金",IF(L63-設定!$C$5&lt;=設定!$C$6,"期日間近","入金待ち")))))))))</f>
        <v/>
      </c>
      <c r="V63" s="30" t="str">
        <f aca="false">IF(OR(U63="期日超過",U63="一部入金・超過"),設定!$C$5-L63,"")</f>
        <v/>
      </c>
      <c r="W63" s="21" t="str">
        <f aca="false">IF(A63="","",TRIM(IF(B63="","請求日 ","")&amp;IF(C63="","取引先 ",IF(D63="コード誤り","取引先コード誤り ",""))&amp;IF(E63="","件名 ","")&amp;IF(F63="","税抜金額 ","")&amp;IF(G63="","税率 ","")&amp;IF(M63="","送付方法 ","")&amp;IF(AND(N63&lt;&gt;"",O63=""),"送付者 ","")&amp;IF(AND(I63&lt;&gt;"",L63=""),"入金期日 ","")&amp;IF(AND(N63&lt;&gt;"",P63&gt;0,S63&lt;=0,X63=""),"消込確認者 ","")))</f>
        <v/>
      </c>
      <c r="X63" s="28"/>
      <c r="Y63" s="28"/>
    </row>
    <row r="64" customFormat="false" ht="15" hidden="false" customHeight="false" outlineLevel="0" collapsed="false">
      <c r="A64" s="21" t="str">
        <f aca="false">IF(COUNTA(B64,C64,E64,F64)=0,"",設定!$C$4&amp;TEXT(ROW()-4,"00000"))</f>
        <v/>
      </c>
      <c r="B64" s="22"/>
      <c r="C64" s="23"/>
      <c r="D64" s="21" t="str">
        <f aca="false">IF(C64="","",IFERROR(INDEX(取引先マスタ!$B$5:$B$204,MATCH($C64,取引先マスタ!$A$5:$A$204,0)),"コード誤り"))</f>
        <v/>
      </c>
      <c r="E64" s="28"/>
      <c r="F64" s="18"/>
      <c r="G64" s="25"/>
      <c r="H64" s="26" t="str">
        <f aca="false">IF(OR(F64="",G64=""),"",ROUNDDOWN(F64*G64,0))</f>
        <v/>
      </c>
      <c r="I64" s="26" t="str">
        <f aca="false">IF(OR(F64="",G64=""),"",F64+H64)</f>
        <v/>
      </c>
      <c r="J64" s="27" t="str">
        <f aca="false">IF(OR(B64="",C64="",D64="コード誤り"),"",IFERROR(DATE(YEAR(B64),MONTH(B64)+INDEX(取引先マスタ!$E$5:$E$204,MATCH($C64,取引先マスタ!$A$5:$A$204,0)),MIN(INDEX(取引先マスタ!$F$5:$F$204,MATCH($C64,取引先マスタ!$A$5:$A$204,0)),DAY(EOMONTH(B64,INDEX(取引先マスタ!$E$5:$E$204,MATCH($C64,取引先マスタ!$A$5:$A$204,0)))))),""))</f>
        <v/>
      </c>
      <c r="K64" s="22"/>
      <c r="L64" s="27" t="str">
        <f aca="false">IF(K64&lt;&gt;"",K64,J64)</f>
        <v/>
      </c>
      <c r="M64" s="28"/>
      <c r="N64" s="22"/>
      <c r="O64" s="28"/>
      <c r="P64" s="26" t="str">
        <f aca="false">IF(A64="","",SUMIF(入金明細!$F$5:$F$1004,A64,入金明細!$E$5:$E$1004))</f>
        <v/>
      </c>
      <c r="Q64" s="27" t="str">
        <f aca="false">IF(OR(A64="",N(P64)=0),"",SUMPRODUCT(MAX((入金明細!$F$5:$F$1004=A64)*入金明細!$B$5:$B$1004)))</f>
        <v/>
      </c>
      <c r="R64" s="18"/>
      <c r="S64" s="26" t="str">
        <f aca="false">IF(OR(A64="",I64=""),"",I64-N(P64)-N(R64))</f>
        <v/>
      </c>
      <c r="T64" s="28"/>
      <c r="U64" s="29" t="str">
        <f aca="false">IF(A64="","",IF(T64="取消","取消",IF(W64&lt;&gt;"","要入力",IF(N64="","未送付",IF(S64=0,"入金済",IF(S64&lt;0,"過入金",IF(設定!$C$5&gt;L64,IF(P64&gt;0,"一部入金・超過","期日超過"),IF(P64&gt;0,"一部入金",IF(L64-設定!$C$5&lt;=設定!$C$6,"期日間近","入金待ち")))))))))</f>
        <v/>
      </c>
      <c r="V64" s="30" t="str">
        <f aca="false">IF(OR(U64="期日超過",U64="一部入金・超過"),設定!$C$5-L64,"")</f>
        <v/>
      </c>
      <c r="W64" s="21" t="str">
        <f aca="false">IF(A64="","",TRIM(IF(B64="","請求日 ","")&amp;IF(C64="","取引先 ",IF(D64="コード誤り","取引先コード誤り ",""))&amp;IF(E64="","件名 ","")&amp;IF(F64="","税抜金額 ","")&amp;IF(G64="","税率 ","")&amp;IF(M64="","送付方法 ","")&amp;IF(AND(N64&lt;&gt;"",O64=""),"送付者 ","")&amp;IF(AND(I64&lt;&gt;"",L64=""),"入金期日 ","")&amp;IF(AND(N64&lt;&gt;"",P64&gt;0,S64&lt;=0,X64=""),"消込確認者 ","")))</f>
        <v/>
      </c>
      <c r="X64" s="28"/>
      <c r="Y64" s="28"/>
    </row>
    <row r="65" customFormat="false" ht="15" hidden="false" customHeight="false" outlineLevel="0" collapsed="false">
      <c r="A65" s="21" t="str">
        <f aca="false">IF(COUNTA(B65,C65,E65,F65)=0,"",設定!$C$4&amp;TEXT(ROW()-4,"00000"))</f>
        <v/>
      </c>
      <c r="B65" s="22"/>
      <c r="C65" s="23"/>
      <c r="D65" s="21" t="str">
        <f aca="false">IF(C65="","",IFERROR(INDEX(取引先マスタ!$B$5:$B$204,MATCH($C65,取引先マスタ!$A$5:$A$204,0)),"コード誤り"))</f>
        <v/>
      </c>
      <c r="E65" s="28"/>
      <c r="F65" s="18"/>
      <c r="G65" s="25"/>
      <c r="H65" s="26" t="str">
        <f aca="false">IF(OR(F65="",G65=""),"",ROUNDDOWN(F65*G65,0))</f>
        <v/>
      </c>
      <c r="I65" s="26" t="str">
        <f aca="false">IF(OR(F65="",G65=""),"",F65+H65)</f>
        <v/>
      </c>
      <c r="J65" s="27" t="str">
        <f aca="false">IF(OR(B65="",C65="",D65="コード誤り"),"",IFERROR(DATE(YEAR(B65),MONTH(B65)+INDEX(取引先マスタ!$E$5:$E$204,MATCH($C65,取引先マスタ!$A$5:$A$204,0)),MIN(INDEX(取引先マスタ!$F$5:$F$204,MATCH($C65,取引先マスタ!$A$5:$A$204,0)),DAY(EOMONTH(B65,INDEX(取引先マスタ!$E$5:$E$204,MATCH($C65,取引先マスタ!$A$5:$A$204,0)))))),""))</f>
        <v/>
      </c>
      <c r="K65" s="22"/>
      <c r="L65" s="27" t="str">
        <f aca="false">IF(K65&lt;&gt;"",K65,J65)</f>
        <v/>
      </c>
      <c r="M65" s="28"/>
      <c r="N65" s="22"/>
      <c r="O65" s="28"/>
      <c r="P65" s="26" t="str">
        <f aca="false">IF(A65="","",SUMIF(入金明細!$F$5:$F$1004,A65,入金明細!$E$5:$E$1004))</f>
        <v/>
      </c>
      <c r="Q65" s="27" t="str">
        <f aca="false">IF(OR(A65="",N(P65)=0),"",SUMPRODUCT(MAX((入金明細!$F$5:$F$1004=A65)*入金明細!$B$5:$B$1004)))</f>
        <v/>
      </c>
      <c r="R65" s="18"/>
      <c r="S65" s="26" t="str">
        <f aca="false">IF(OR(A65="",I65=""),"",I65-N(P65)-N(R65))</f>
        <v/>
      </c>
      <c r="T65" s="28"/>
      <c r="U65" s="29" t="str">
        <f aca="false">IF(A65="","",IF(T65="取消","取消",IF(W65&lt;&gt;"","要入力",IF(N65="","未送付",IF(S65=0,"入金済",IF(S65&lt;0,"過入金",IF(設定!$C$5&gt;L65,IF(P65&gt;0,"一部入金・超過","期日超過"),IF(P65&gt;0,"一部入金",IF(L65-設定!$C$5&lt;=設定!$C$6,"期日間近","入金待ち")))))))))</f>
        <v/>
      </c>
      <c r="V65" s="30" t="str">
        <f aca="false">IF(OR(U65="期日超過",U65="一部入金・超過"),設定!$C$5-L65,"")</f>
        <v/>
      </c>
      <c r="W65" s="21" t="str">
        <f aca="false">IF(A65="","",TRIM(IF(B65="","請求日 ","")&amp;IF(C65="","取引先 ",IF(D65="コード誤り","取引先コード誤り ",""))&amp;IF(E65="","件名 ","")&amp;IF(F65="","税抜金額 ","")&amp;IF(G65="","税率 ","")&amp;IF(M65="","送付方法 ","")&amp;IF(AND(N65&lt;&gt;"",O65=""),"送付者 ","")&amp;IF(AND(I65&lt;&gt;"",L65=""),"入金期日 ","")&amp;IF(AND(N65&lt;&gt;"",P65&gt;0,S65&lt;=0,X65=""),"消込確認者 ","")))</f>
        <v/>
      </c>
      <c r="X65" s="28"/>
      <c r="Y65" s="28"/>
    </row>
    <row r="66" customFormat="false" ht="15" hidden="false" customHeight="false" outlineLevel="0" collapsed="false">
      <c r="A66" s="21" t="str">
        <f aca="false">IF(COUNTA(B66,C66,E66,F66)=0,"",設定!$C$4&amp;TEXT(ROW()-4,"00000"))</f>
        <v/>
      </c>
      <c r="B66" s="22"/>
      <c r="C66" s="23"/>
      <c r="D66" s="21" t="str">
        <f aca="false">IF(C66="","",IFERROR(INDEX(取引先マスタ!$B$5:$B$204,MATCH($C66,取引先マスタ!$A$5:$A$204,0)),"コード誤り"))</f>
        <v/>
      </c>
      <c r="E66" s="28"/>
      <c r="F66" s="18"/>
      <c r="G66" s="25"/>
      <c r="H66" s="26" t="str">
        <f aca="false">IF(OR(F66="",G66=""),"",ROUNDDOWN(F66*G66,0))</f>
        <v/>
      </c>
      <c r="I66" s="26" t="str">
        <f aca="false">IF(OR(F66="",G66=""),"",F66+H66)</f>
        <v/>
      </c>
      <c r="J66" s="27" t="str">
        <f aca="false">IF(OR(B66="",C66="",D66="コード誤り"),"",IFERROR(DATE(YEAR(B66),MONTH(B66)+INDEX(取引先マスタ!$E$5:$E$204,MATCH($C66,取引先マスタ!$A$5:$A$204,0)),MIN(INDEX(取引先マスタ!$F$5:$F$204,MATCH($C66,取引先マスタ!$A$5:$A$204,0)),DAY(EOMONTH(B66,INDEX(取引先マスタ!$E$5:$E$204,MATCH($C66,取引先マスタ!$A$5:$A$204,0)))))),""))</f>
        <v/>
      </c>
      <c r="K66" s="22"/>
      <c r="L66" s="27" t="str">
        <f aca="false">IF(K66&lt;&gt;"",K66,J66)</f>
        <v/>
      </c>
      <c r="M66" s="28"/>
      <c r="N66" s="22"/>
      <c r="O66" s="28"/>
      <c r="P66" s="26" t="str">
        <f aca="false">IF(A66="","",SUMIF(入金明細!$F$5:$F$1004,A66,入金明細!$E$5:$E$1004))</f>
        <v/>
      </c>
      <c r="Q66" s="27" t="str">
        <f aca="false">IF(OR(A66="",N(P66)=0),"",SUMPRODUCT(MAX((入金明細!$F$5:$F$1004=A66)*入金明細!$B$5:$B$1004)))</f>
        <v/>
      </c>
      <c r="R66" s="18"/>
      <c r="S66" s="26" t="str">
        <f aca="false">IF(OR(A66="",I66=""),"",I66-N(P66)-N(R66))</f>
        <v/>
      </c>
      <c r="T66" s="28"/>
      <c r="U66" s="29" t="str">
        <f aca="false">IF(A66="","",IF(T66="取消","取消",IF(W66&lt;&gt;"","要入力",IF(N66="","未送付",IF(S66=0,"入金済",IF(S66&lt;0,"過入金",IF(設定!$C$5&gt;L66,IF(P66&gt;0,"一部入金・超過","期日超過"),IF(P66&gt;0,"一部入金",IF(L66-設定!$C$5&lt;=設定!$C$6,"期日間近","入金待ち")))))))))</f>
        <v/>
      </c>
      <c r="V66" s="30" t="str">
        <f aca="false">IF(OR(U66="期日超過",U66="一部入金・超過"),設定!$C$5-L66,"")</f>
        <v/>
      </c>
      <c r="W66" s="21" t="str">
        <f aca="false">IF(A66="","",TRIM(IF(B66="","請求日 ","")&amp;IF(C66="","取引先 ",IF(D66="コード誤り","取引先コード誤り ",""))&amp;IF(E66="","件名 ","")&amp;IF(F66="","税抜金額 ","")&amp;IF(G66="","税率 ","")&amp;IF(M66="","送付方法 ","")&amp;IF(AND(N66&lt;&gt;"",O66=""),"送付者 ","")&amp;IF(AND(I66&lt;&gt;"",L66=""),"入金期日 ","")&amp;IF(AND(N66&lt;&gt;"",P66&gt;0,S66&lt;=0,X66=""),"消込確認者 ","")))</f>
        <v/>
      </c>
      <c r="X66" s="28"/>
      <c r="Y66" s="28"/>
    </row>
    <row r="67" customFormat="false" ht="15" hidden="false" customHeight="false" outlineLevel="0" collapsed="false">
      <c r="A67" s="21" t="str">
        <f aca="false">IF(COUNTA(B67,C67,E67,F67)=0,"",設定!$C$4&amp;TEXT(ROW()-4,"00000"))</f>
        <v/>
      </c>
      <c r="B67" s="22"/>
      <c r="C67" s="23"/>
      <c r="D67" s="21" t="str">
        <f aca="false">IF(C67="","",IFERROR(INDEX(取引先マスタ!$B$5:$B$204,MATCH($C67,取引先マスタ!$A$5:$A$204,0)),"コード誤り"))</f>
        <v/>
      </c>
      <c r="E67" s="28"/>
      <c r="F67" s="18"/>
      <c r="G67" s="25"/>
      <c r="H67" s="26" t="str">
        <f aca="false">IF(OR(F67="",G67=""),"",ROUNDDOWN(F67*G67,0))</f>
        <v/>
      </c>
      <c r="I67" s="26" t="str">
        <f aca="false">IF(OR(F67="",G67=""),"",F67+H67)</f>
        <v/>
      </c>
      <c r="J67" s="27" t="str">
        <f aca="false">IF(OR(B67="",C67="",D67="コード誤り"),"",IFERROR(DATE(YEAR(B67),MONTH(B67)+INDEX(取引先マスタ!$E$5:$E$204,MATCH($C67,取引先マスタ!$A$5:$A$204,0)),MIN(INDEX(取引先マスタ!$F$5:$F$204,MATCH($C67,取引先マスタ!$A$5:$A$204,0)),DAY(EOMONTH(B67,INDEX(取引先マスタ!$E$5:$E$204,MATCH($C67,取引先マスタ!$A$5:$A$204,0)))))),""))</f>
        <v/>
      </c>
      <c r="K67" s="22"/>
      <c r="L67" s="27" t="str">
        <f aca="false">IF(K67&lt;&gt;"",K67,J67)</f>
        <v/>
      </c>
      <c r="M67" s="28"/>
      <c r="N67" s="22"/>
      <c r="O67" s="28"/>
      <c r="P67" s="26" t="str">
        <f aca="false">IF(A67="","",SUMIF(入金明細!$F$5:$F$1004,A67,入金明細!$E$5:$E$1004))</f>
        <v/>
      </c>
      <c r="Q67" s="27" t="str">
        <f aca="false">IF(OR(A67="",N(P67)=0),"",SUMPRODUCT(MAX((入金明細!$F$5:$F$1004=A67)*入金明細!$B$5:$B$1004)))</f>
        <v/>
      </c>
      <c r="R67" s="18"/>
      <c r="S67" s="26" t="str">
        <f aca="false">IF(OR(A67="",I67=""),"",I67-N(P67)-N(R67))</f>
        <v/>
      </c>
      <c r="T67" s="28"/>
      <c r="U67" s="29" t="str">
        <f aca="false">IF(A67="","",IF(T67="取消","取消",IF(W67&lt;&gt;"","要入力",IF(N67="","未送付",IF(S67=0,"入金済",IF(S67&lt;0,"過入金",IF(設定!$C$5&gt;L67,IF(P67&gt;0,"一部入金・超過","期日超過"),IF(P67&gt;0,"一部入金",IF(L67-設定!$C$5&lt;=設定!$C$6,"期日間近","入金待ち")))))))))</f>
        <v/>
      </c>
      <c r="V67" s="30" t="str">
        <f aca="false">IF(OR(U67="期日超過",U67="一部入金・超過"),設定!$C$5-L67,"")</f>
        <v/>
      </c>
      <c r="W67" s="21" t="str">
        <f aca="false">IF(A67="","",TRIM(IF(B67="","請求日 ","")&amp;IF(C67="","取引先 ",IF(D67="コード誤り","取引先コード誤り ",""))&amp;IF(E67="","件名 ","")&amp;IF(F67="","税抜金額 ","")&amp;IF(G67="","税率 ","")&amp;IF(M67="","送付方法 ","")&amp;IF(AND(N67&lt;&gt;"",O67=""),"送付者 ","")&amp;IF(AND(I67&lt;&gt;"",L67=""),"入金期日 ","")&amp;IF(AND(N67&lt;&gt;"",P67&gt;0,S67&lt;=0,X67=""),"消込確認者 ","")))</f>
        <v/>
      </c>
      <c r="X67" s="28"/>
      <c r="Y67" s="28"/>
    </row>
    <row r="68" customFormat="false" ht="15" hidden="false" customHeight="false" outlineLevel="0" collapsed="false">
      <c r="A68" s="21" t="str">
        <f aca="false">IF(COUNTA(B68,C68,E68,F68)=0,"",設定!$C$4&amp;TEXT(ROW()-4,"00000"))</f>
        <v/>
      </c>
      <c r="B68" s="22"/>
      <c r="C68" s="23"/>
      <c r="D68" s="21" t="str">
        <f aca="false">IF(C68="","",IFERROR(INDEX(取引先マスタ!$B$5:$B$204,MATCH($C68,取引先マスタ!$A$5:$A$204,0)),"コード誤り"))</f>
        <v/>
      </c>
      <c r="E68" s="28"/>
      <c r="F68" s="18"/>
      <c r="G68" s="25"/>
      <c r="H68" s="26" t="str">
        <f aca="false">IF(OR(F68="",G68=""),"",ROUNDDOWN(F68*G68,0))</f>
        <v/>
      </c>
      <c r="I68" s="26" t="str">
        <f aca="false">IF(OR(F68="",G68=""),"",F68+H68)</f>
        <v/>
      </c>
      <c r="J68" s="27" t="str">
        <f aca="false">IF(OR(B68="",C68="",D68="コード誤り"),"",IFERROR(DATE(YEAR(B68),MONTH(B68)+INDEX(取引先マスタ!$E$5:$E$204,MATCH($C68,取引先マスタ!$A$5:$A$204,0)),MIN(INDEX(取引先マスタ!$F$5:$F$204,MATCH($C68,取引先マスタ!$A$5:$A$204,0)),DAY(EOMONTH(B68,INDEX(取引先マスタ!$E$5:$E$204,MATCH($C68,取引先マスタ!$A$5:$A$204,0)))))),""))</f>
        <v/>
      </c>
      <c r="K68" s="22"/>
      <c r="L68" s="27" t="str">
        <f aca="false">IF(K68&lt;&gt;"",K68,J68)</f>
        <v/>
      </c>
      <c r="M68" s="28"/>
      <c r="N68" s="22"/>
      <c r="O68" s="28"/>
      <c r="P68" s="26" t="str">
        <f aca="false">IF(A68="","",SUMIF(入金明細!$F$5:$F$1004,A68,入金明細!$E$5:$E$1004))</f>
        <v/>
      </c>
      <c r="Q68" s="27" t="str">
        <f aca="false">IF(OR(A68="",N(P68)=0),"",SUMPRODUCT(MAX((入金明細!$F$5:$F$1004=A68)*入金明細!$B$5:$B$1004)))</f>
        <v/>
      </c>
      <c r="R68" s="18"/>
      <c r="S68" s="26" t="str">
        <f aca="false">IF(OR(A68="",I68=""),"",I68-N(P68)-N(R68))</f>
        <v/>
      </c>
      <c r="T68" s="28"/>
      <c r="U68" s="29" t="str">
        <f aca="false">IF(A68="","",IF(T68="取消","取消",IF(W68&lt;&gt;"","要入力",IF(N68="","未送付",IF(S68=0,"入金済",IF(S68&lt;0,"過入金",IF(設定!$C$5&gt;L68,IF(P68&gt;0,"一部入金・超過","期日超過"),IF(P68&gt;0,"一部入金",IF(L68-設定!$C$5&lt;=設定!$C$6,"期日間近","入金待ち")))))))))</f>
        <v/>
      </c>
      <c r="V68" s="30" t="str">
        <f aca="false">IF(OR(U68="期日超過",U68="一部入金・超過"),設定!$C$5-L68,"")</f>
        <v/>
      </c>
      <c r="W68" s="21" t="str">
        <f aca="false">IF(A68="","",TRIM(IF(B68="","請求日 ","")&amp;IF(C68="","取引先 ",IF(D68="コード誤り","取引先コード誤り ",""))&amp;IF(E68="","件名 ","")&amp;IF(F68="","税抜金額 ","")&amp;IF(G68="","税率 ","")&amp;IF(M68="","送付方法 ","")&amp;IF(AND(N68&lt;&gt;"",O68=""),"送付者 ","")&amp;IF(AND(I68&lt;&gt;"",L68=""),"入金期日 ","")&amp;IF(AND(N68&lt;&gt;"",P68&gt;0,S68&lt;=0,X68=""),"消込確認者 ","")))</f>
        <v/>
      </c>
      <c r="X68" s="28"/>
      <c r="Y68" s="28"/>
    </row>
    <row r="69" customFormat="false" ht="15" hidden="false" customHeight="false" outlineLevel="0" collapsed="false">
      <c r="A69" s="21" t="str">
        <f aca="false">IF(COUNTA(B69,C69,E69,F69)=0,"",設定!$C$4&amp;TEXT(ROW()-4,"00000"))</f>
        <v/>
      </c>
      <c r="B69" s="22"/>
      <c r="C69" s="23"/>
      <c r="D69" s="21" t="str">
        <f aca="false">IF(C69="","",IFERROR(INDEX(取引先マスタ!$B$5:$B$204,MATCH($C69,取引先マスタ!$A$5:$A$204,0)),"コード誤り"))</f>
        <v/>
      </c>
      <c r="E69" s="28"/>
      <c r="F69" s="18"/>
      <c r="G69" s="25"/>
      <c r="H69" s="26" t="str">
        <f aca="false">IF(OR(F69="",G69=""),"",ROUNDDOWN(F69*G69,0))</f>
        <v/>
      </c>
      <c r="I69" s="26" t="str">
        <f aca="false">IF(OR(F69="",G69=""),"",F69+H69)</f>
        <v/>
      </c>
      <c r="J69" s="27" t="str">
        <f aca="false">IF(OR(B69="",C69="",D69="コード誤り"),"",IFERROR(DATE(YEAR(B69),MONTH(B69)+INDEX(取引先マスタ!$E$5:$E$204,MATCH($C69,取引先マスタ!$A$5:$A$204,0)),MIN(INDEX(取引先マスタ!$F$5:$F$204,MATCH($C69,取引先マスタ!$A$5:$A$204,0)),DAY(EOMONTH(B69,INDEX(取引先マスタ!$E$5:$E$204,MATCH($C69,取引先マスタ!$A$5:$A$204,0)))))),""))</f>
        <v/>
      </c>
      <c r="K69" s="22"/>
      <c r="L69" s="27" t="str">
        <f aca="false">IF(K69&lt;&gt;"",K69,J69)</f>
        <v/>
      </c>
      <c r="M69" s="28"/>
      <c r="N69" s="22"/>
      <c r="O69" s="28"/>
      <c r="P69" s="26" t="str">
        <f aca="false">IF(A69="","",SUMIF(入金明細!$F$5:$F$1004,A69,入金明細!$E$5:$E$1004))</f>
        <v/>
      </c>
      <c r="Q69" s="27" t="str">
        <f aca="false">IF(OR(A69="",N(P69)=0),"",SUMPRODUCT(MAX((入金明細!$F$5:$F$1004=A69)*入金明細!$B$5:$B$1004)))</f>
        <v/>
      </c>
      <c r="R69" s="18"/>
      <c r="S69" s="26" t="str">
        <f aca="false">IF(OR(A69="",I69=""),"",I69-N(P69)-N(R69))</f>
        <v/>
      </c>
      <c r="T69" s="28"/>
      <c r="U69" s="29" t="str">
        <f aca="false">IF(A69="","",IF(T69="取消","取消",IF(W69&lt;&gt;"","要入力",IF(N69="","未送付",IF(S69=0,"入金済",IF(S69&lt;0,"過入金",IF(設定!$C$5&gt;L69,IF(P69&gt;0,"一部入金・超過","期日超過"),IF(P69&gt;0,"一部入金",IF(L69-設定!$C$5&lt;=設定!$C$6,"期日間近","入金待ち")))))))))</f>
        <v/>
      </c>
      <c r="V69" s="30" t="str">
        <f aca="false">IF(OR(U69="期日超過",U69="一部入金・超過"),設定!$C$5-L69,"")</f>
        <v/>
      </c>
      <c r="W69" s="21" t="str">
        <f aca="false">IF(A69="","",TRIM(IF(B69="","請求日 ","")&amp;IF(C69="","取引先 ",IF(D69="コード誤り","取引先コード誤り ",""))&amp;IF(E69="","件名 ","")&amp;IF(F69="","税抜金額 ","")&amp;IF(G69="","税率 ","")&amp;IF(M69="","送付方法 ","")&amp;IF(AND(N69&lt;&gt;"",O69=""),"送付者 ","")&amp;IF(AND(I69&lt;&gt;"",L69=""),"入金期日 ","")&amp;IF(AND(N69&lt;&gt;"",P69&gt;0,S69&lt;=0,X69=""),"消込確認者 ","")))</f>
        <v/>
      </c>
      <c r="X69" s="28"/>
      <c r="Y69" s="28"/>
    </row>
    <row r="70" customFormat="false" ht="15" hidden="false" customHeight="false" outlineLevel="0" collapsed="false">
      <c r="A70" s="21" t="str">
        <f aca="false">IF(COUNTA(B70,C70,E70,F70)=0,"",設定!$C$4&amp;TEXT(ROW()-4,"00000"))</f>
        <v/>
      </c>
      <c r="B70" s="22"/>
      <c r="C70" s="23"/>
      <c r="D70" s="21" t="str">
        <f aca="false">IF(C70="","",IFERROR(INDEX(取引先マスタ!$B$5:$B$204,MATCH($C70,取引先マスタ!$A$5:$A$204,0)),"コード誤り"))</f>
        <v/>
      </c>
      <c r="E70" s="28"/>
      <c r="F70" s="18"/>
      <c r="G70" s="25"/>
      <c r="H70" s="26" t="str">
        <f aca="false">IF(OR(F70="",G70=""),"",ROUNDDOWN(F70*G70,0))</f>
        <v/>
      </c>
      <c r="I70" s="26" t="str">
        <f aca="false">IF(OR(F70="",G70=""),"",F70+H70)</f>
        <v/>
      </c>
      <c r="J70" s="27" t="str">
        <f aca="false">IF(OR(B70="",C70="",D70="コード誤り"),"",IFERROR(DATE(YEAR(B70),MONTH(B70)+INDEX(取引先マスタ!$E$5:$E$204,MATCH($C70,取引先マスタ!$A$5:$A$204,0)),MIN(INDEX(取引先マスタ!$F$5:$F$204,MATCH($C70,取引先マスタ!$A$5:$A$204,0)),DAY(EOMONTH(B70,INDEX(取引先マスタ!$E$5:$E$204,MATCH($C70,取引先マスタ!$A$5:$A$204,0)))))),""))</f>
        <v/>
      </c>
      <c r="K70" s="22"/>
      <c r="L70" s="27" t="str">
        <f aca="false">IF(K70&lt;&gt;"",K70,J70)</f>
        <v/>
      </c>
      <c r="M70" s="28"/>
      <c r="N70" s="22"/>
      <c r="O70" s="28"/>
      <c r="P70" s="26" t="str">
        <f aca="false">IF(A70="","",SUMIF(入金明細!$F$5:$F$1004,A70,入金明細!$E$5:$E$1004))</f>
        <v/>
      </c>
      <c r="Q70" s="27" t="str">
        <f aca="false">IF(OR(A70="",N(P70)=0),"",SUMPRODUCT(MAX((入金明細!$F$5:$F$1004=A70)*入金明細!$B$5:$B$1004)))</f>
        <v/>
      </c>
      <c r="R70" s="18"/>
      <c r="S70" s="26" t="str">
        <f aca="false">IF(OR(A70="",I70=""),"",I70-N(P70)-N(R70))</f>
        <v/>
      </c>
      <c r="T70" s="28"/>
      <c r="U70" s="29" t="str">
        <f aca="false">IF(A70="","",IF(T70="取消","取消",IF(W70&lt;&gt;"","要入力",IF(N70="","未送付",IF(S70=0,"入金済",IF(S70&lt;0,"過入金",IF(設定!$C$5&gt;L70,IF(P70&gt;0,"一部入金・超過","期日超過"),IF(P70&gt;0,"一部入金",IF(L70-設定!$C$5&lt;=設定!$C$6,"期日間近","入金待ち")))))))))</f>
        <v/>
      </c>
      <c r="V70" s="30" t="str">
        <f aca="false">IF(OR(U70="期日超過",U70="一部入金・超過"),設定!$C$5-L70,"")</f>
        <v/>
      </c>
      <c r="W70" s="21" t="str">
        <f aca="false">IF(A70="","",TRIM(IF(B70="","請求日 ","")&amp;IF(C70="","取引先 ",IF(D70="コード誤り","取引先コード誤り ",""))&amp;IF(E70="","件名 ","")&amp;IF(F70="","税抜金額 ","")&amp;IF(G70="","税率 ","")&amp;IF(M70="","送付方法 ","")&amp;IF(AND(N70&lt;&gt;"",O70=""),"送付者 ","")&amp;IF(AND(I70&lt;&gt;"",L70=""),"入金期日 ","")&amp;IF(AND(N70&lt;&gt;"",P70&gt;0,S70&lt;=0,X70=""),"消込確認者 ","")))</f>
        <v/>
      </c>
      <c r="X70" s="28"/>
      <c r="Y70" s="28"/>
    </row>
    <row r="71" customFormat="false" ht="15" hidden="false" customHeight="false" outlineLevel="0" collapsed="false">
      <c r="A71" s="21" t="str">
        <f aca="false">IF(COUNTA(B71,C71,E71,F71)=0,"",設定!$C$4&amp;TEXT(ROW()-4,"00000"))</f>
        <v/>
      </c>
      <c r="B71" s="22"/>
      <c r="C71" s="23"/>
      <c r="D71" s="21" t="str">
        <f aca="false">IF(C71="","",IFERROR(INDEX(取引先マスタ!$B$5:$B$204,MATCH($C71,取引先マスタ!$A$5:$A$204,0)),"コード誤り"))</f>
        <v/>
      </c>
      <c r="E71" s="28"/>
      <c r="F71" s="18"/>
      <c r="G71" s="25"/>
      <c r="H71" s="26" t="str">
        <f aca="false">IF(OR(F71="",G71=""),"",ROUNDDOWN(F71*G71,0))</f>
        <v/>
      </c>
      <c r="I71" s="26" t="str">
        <f aca="false">IF(OR(F71="",G71=""),"",F71+H71)</f>
        <v/>
      </c>
      <c r="J71" s="27" t="str">
        <f aca="false">IF(OR(B71="",C71="",D71="コード誤り"),"",IFERROR(DATE(YEAR(B71),MONTH(B71)+INDEX(取引先マスタ!$E$5:$E$204,MATCH($C71,取引先マスタ!$A$5:$A$204,0)),MIN(INDEX(取引先マスタ!$F$5:$F$204,MATCH($C71,取引先マスタ!$A$5:$A$204,0)),DAY(EOMONTH(B71,INDEX(取引先マスタ!$E$5:$E$204,MATCH($C71,取引先マスタ!$A$5:$A$204,0)))))),""))</f>
        <v/>
      </c>
      <c r="K71" s="22"/>
      <c r="L71" s="27" t="str">
        <f aca="false">IF(K71&lt;&gt;"",K71,J71)</f>
        <v/>
      </c>
      <c r="M71" s="28"/>
      <c r="N71" s="22"/>
      <c r="O71" s="28"/>
      <c r="P71" s="26" t="str">
        <f aca="false">IF(A71="","",SUMIF(入金明細!$F$5:$F$1004,A71,入金明細!$E$5:$E$1004))</f>
        <v/>
      </c>
      <c r="Q71" s="27" t="str">
        <f aca="false">IF(OR(A71="",N(P71)=0),"",SUMPRODUCT(MAX((入金明細!$F$5:$F$1004=A71)*入金明細!$B$5:$B$1004)))</f>
        <v/>
      </c>
      <c r="R71" s="18"/>
      <c r="S71" s="26" t="str">
        <f aca="false">IF(OR(A71="",I71=""),"",I71-N(P71)-N(R71))</f>
        <v/>
      </c>
      <c r="T71" s="28"/>
      <c r="U71" s="29" t="str">
        <f aca="false">IF(A71="","",IF(T71="取消","取消",IF(W71&lt;&gt;"","要入力",IF(N71="","未送付",IF(S71=0,"入金済",IF(S71&lt;0,"過入金",IF(設定!$C$5&gt;L71,IF(P71&gt;0,"一部入金・超過","期日超過"),IF(P71&gt;0,"一部入金",IF(L71-設定!$C$5&lt;=設定!$C$6,"期日間近","入金待ち")))))))))</f>
        <v/>
      </c>
      <c r="V71" s="30" t="str">
        <f aca="false">IF(OR(U71="期日超過",U71="一部入金・超過"),設定!$C$5-L71,"")</f>
        <v/>
      </c>
      <c r="W71" s="21" t="str">
        <f aca="false">IF(A71="","",TRIM(IF(B71="","請求日 ","")&amp;IF(C71="","取引先 ",IF(D71="コード誤り","取引先コード誤り ",""))&amp;IF(E71="","件名 ","")&amp;IF(F71="","税抜金額 ","")&amp;IF(G71="","税率 ","")&amp;IF(M71="","送付方法 ","")&amp;IF(AND(N71&lt;&gt;"",O71=""),"送付者 ","")&amp;IF(AND(I71&lt;&gt;"",L71=""),"入金期日 ","")&amp;IF(AND(N71&lt;&gt;"",P71&gt;0,S71&lt;=0,X71=""),"消込確認者 ","")))</f>
        <v/>
      </c>
      <c r="X71" s="28"/>
      <c r="Y71" s="28"/>
    </row>
    <row r="72" customFormat="false" ht="15" hidden="false" customHeight="false" outlineLevel="0" collapsed="false">
      <c r="A72" s="21" t="str">
        <f aca="false">IF(COUNTA(B72,C72,E72,F72)=0,"",設定!$C$4&amp;TEXT(ROW()-4,"00000"))</f>
        <v/>
      </c>
      <c r="B72" s="22"/>
      <c r="C72" s="23"/>
      <c r="D72" s="21" t="str">
        <f aca="false">IF(C72="","",IFERROR(INDEX(取引先マスタ!$B$5:$B$204,MATCH($C72,取引先マスタ!$A$5:$A$204,0)),"コード誤り"))</f>
        <v/>
      </c>
      <c r="E72" s="28"/>
      <c r="F72" s="18"/>
      <c r="G72" s="25"/>
      <c r="H72" s="26" t="str">
        <f aca="false">IF(OR(F72="",G72=""),"",ROUNDDOWN(F72*G72,0))</f>
        <v/>
      </c>
      <c r="I72" s="26" t="str">
        <f aca="false">IF(OR(F72="",G72=""),"",F72+H72)</f>
        <v/>
      </c>
      <c r="J72" s="27" t="str">
        <f aca="false">IF(OR(B72="",C72="",D72="コード誤り"),"",IFERROR(DATE(YEAR(B72),MONTH(B72)+INDEX(取引先マスタ!$E$5:$E$204,MATCH($C72,取引先マスタ!$A$5:$A$204,0)),MIN(INDEX(取引先マスタ!$F$5:$F$204,MATCH($C72,取引先マスタ!$A$5:$A$204,0)),DAY(EOMONTH(B72,INDEX(取引先マスタ!$E$5:$E$204,MATCH($C72,取引先マスタ!$A$5:$A$204,0)))))),""))</f>
        <v/>
      </c>
      <c r="K72" s="22"/>
      <c r="L72" s="27" t="str">
        <f aca="false">IF(K72&lt;&gt;"",K72,J72)</f>
        <v/>
      </c>
      <c r="M72" s="28"/>
      <c r="N72" s="22"/>
      <c r="O72" s="28"/>
      <c r="P72" s="26" t="str">
        <f aca="false">IF(A72="","",SUMIF(入金明細!$F$5:$F$1004,A72,入金明細!$E$5:$E$1004))</f>
        <v/>
      </c>
      <c r="Q72" s="27" t="str">
        <f aca="false">IF(OR(A72="",N(P72)=0),"",SUMPRODUCT(MAX((入金明細!$F$5:$F$1004=A72)*入金明細!$B$5:$B$1004)))</f>
        <v/>
      </c>
      <c r="R72" s="18"/>
      <c r="S72" s="26" t="str">
        <f aca="false">IF(OR(A72="",I72=""),"",I72-N(P72)-N(R72))</f>
        <v/>
      </c>
      <c r="T72" s="28"/>
      <c r="U72" s="29" t="str">
        <f aca="false">IF(A72="","",IF(T72="取消","取消",IF(W72&lt;&gt;"","要入力",IF(N72="","未送付",IF(S72=0,"入金済",IF(S72&lt;0,"過入金",IF(設定!$C$5&gt;L72,IF(P72&gt;0,"一部入金・超過","期日超過"),IF(P72&gt;0,"一部入金",IF(L72-設定!$C$5&lt;=設定!$C$6,"期日間近","入金待ち")))))))))</f>
        <v/>
      </c>
      <c r="V72" s="30" t="str">
        <f aca="false">IF(OR(U72="期日超過",U72="一部入金・超過"),設定!$C$5-L72,"")</f>
        <v/>
      </c>
      <c r="W72" s="21" t="str">
        <f aca="false">IF(A72="","",TRIM(IF(B72="","請求日 ","")&amp;IF(C72="","取引先 ",IF(D72="コード誤り","取引先コード誤り ",""))&amp;IF(E72="","件名 ","")&amp;IF(F72="","税抜金額 ","")&amp;IF(G72="","税率 ","")&amp;IF(M72="","送付方法 ","")&amp;IF(AND(N72&lt;&gt;"",O72=""),"送付者 ","")&amp;IF(AND(I72&lt;&gt;"",L72=""),"入金期日 ","")&amp;IF(AND(N72&lt;&gt;"",P72&gt;0,S72&lt;=0,X72=""),"消込確認者 ","")))</f>
        <v/>
      </c>
      <c r="X72" s="28"/>
      <c r="Y72" s="28"/>
    </row>
    <row r="73" customFormat="false" ht="15" hidden="false" customHeight="false" outlineLevel="0" collapsed="false">
      <c r="A73" s="21" t="str">
        <f aca="false">IF(COUNTA(B73,C73,E73,F73)=0,"",設定!$C$4&amp;TEXT(ROW()-4,"00000"))</f>
        <v/>
      </c>
      <c r="B73" s="22"/>
      <c r="C73" s="23"/>
      <c r="D73" s="21" t="str">
        <f aca="false">IF(C73="","",IFERROR(INDEX(取引先マスタ!$B$5:$B$204,MATCH($C73,取引先マスタ!$A$5:$A$204,0)),"コード誤り"))</f>
        <v/>
      </c>
      <c r="E73" s="28"/>
      <c r="F73" s="18"/>
      <c r="G73" s="25"/>
      <c r="H73" s="26" t="str">
        <f aca="false">IF(OR(F73="",G73=""),"",ROUNDDOWN(F73*G73,0))</f>
        <v/>
      </c>
      <c r="I73" s="26" t="str">
        <f aca="false">IF(OR(F73="",G73=""),"",F73+H73)</f>
        <v/>
      </c>
      <c r="J73" s="27" t="str">
        <f aca="false">IF(OR(B73="",C73="",D73="コード誤り"),"",IFERROR(DATE(YEAR(B73),MONTH(B73)+INDEX(取引先マスタ!$E$5:$E$204,MATCH($C73,取引先マスタ!$A$5:$A$204,0)),MIN(INDEX(取引先マスタ!$F$5:$F$204,MATCH($C73,取引先マスタ!$A$5:$A$204,0)),DAY(EOMONTH(B73,INDEX(取引先マスタ!$E$5:$E$204,MATCH($C73,取引先マスタ!$A$5:$A$204,0)))))),""))</f>
        <v/>
      </c>
      <c r="K73" s="22"/>
      <c r="L73" s="27" t="str">
        <f aca="false">IF(K73&lt;&gt;"",K73,J73)</f>
        <v/>
      </c>
      <c r="M73" s="28"/>
      <c r="N73" s="22"/>
      <c r="O73" s="28"/>
      <c r="P73" s="26" t="str">
        <f aca="false">IF(A73="","",SUMIF(入金明細!$F$5:$F$1004,A73,入金明細!$E$5:$E$1004))</f>
        <v/>
      </c>
      <c r="Q73" s="27" t="str">
        <f aca="false">IF(OR(A73="",N(P73)=0),"",SUMPRODUCT(MAX((入金明細!$F$5:$F$1004=A73)*入金明細!$B$5:$B$1004)))</f>
        <v/>
      </c>
      <c r="R73" s="18"/>
      <c r="S73" s="26" t="str">
        <f aca="false">IF(OR(A73="",I73=""),"",I73-N(P73)-N(R73))</f>
        <v/>
      </c>
      <c r="T73" s="28"/>
      <c r="U73" s="29" t="str">
        <f aca="false">IF(A73="","",IF(T73="取消","取消",IF(W73&lt;&gt;"","要入力",IF(N73="","未送付",IF(S73=0,"入金済",IF(S73&lt;0,"過入金",IF(設定!$C$5&gt;L73,IF(P73&gt;0,"一部入金・超過","期日超過"),IF(P73&gt;0,"一部入金",IF(L73-設定!$C$5&lt;=設定!$C$6,"期日間近","入金待ち")))))))))</f>
        <v/>
      </c>
      <c r="V73" s="30" t="str">
        <f aca="false">IF(OR(U73="期日超過",U73="一部入金・超過"),設定!$C$5-L73,"")</f>
        <v/>
      </c>
      <c r="W73" s="21" t="str">
        <f aca="false">IF(A73="","",TRIM(IF(B73="","請求日 ","")&amp;IF(C73="","取引先 ",IF(D73="コード誤り","取引先コード誤り ",""))&amp;IF(E73="","件名 ","")&amp;IF(F73="","税抜金額 ","")&amp;IF(G73="","税率 ","")&amp;IF(M73="","送付方法 ","")&amp;IF(AND(N73&lt;&gt;"",O73=""),"送付者 ","")&amp;IF(AND(I73&lt;&gt;"",L73=""),"入金期日 ","")&amp;IF(AND(N73&lt;&gt;"",P73&gt;0,S73&lt;=0,X73=""),"消込確認者 ","")))</f>
        <v/>
      </c>
      <c r="X73" s="28"/>
      <c r="Y73" s="28"/>
    </row>
    <row r="74" customFormat="false" ht="15" hidden="false" customHeight="false" outlineLevel="0" collapsed="false">
      <c r="A74" s="21" t="str">
        <f aca="false">IF(COUNTA(B74,C74,E74,F74)=0,"",設定!$C$4&amp;TEXT(ROW()-4,"00000"))</f>
        <v/>
      </c>
      <c r="B74" s="22"/>
      <c r="C74" s="23"/>
      <c r="D74" s="21" t="str">
        <f aca="false">IF(C74="","",IFERROR(INDEX(取引先マスタ!$B$5:$B$204,MATCH($C74,取引先マスタ!$A$5:$A$204,0)),"コード誤り"))</f>
        <v/>
      </c>
      <c r="E74" s="28"/>
      <c r="F74" s="18"/>
      <c r="G74" s="25"/>
      <c r="H74" s="26" t="str">
        <f aca="false">IF(OR(F74="",G74=""),"",ROUNDDOWN(F74*G74,0))</f>
        <v/>
      </c>
      <c r="I74" s="26" t="str">
        <f aca="false">IF(OR(F74="",G74=""),"",F74+H74)</f>
        <v/>
      </c>
      <c r="J74" s="27" t="str">
        <f aca="false">IF(OR(B74="",C74="",D74="コード誤り"),"",IFERROR(DATE(YEAR(B74),MONTH(B74)+INDEX(取引先マスタ!$E$5:$E$204,MATCH($C74,取引先マスタ!$A$5:$A$204,0)),MIN(INDEX(取引先マスタ!$F$5:$F$204,MATCH($C74,取引先マスタ!$A$5:$A$204,0)),DAY(EOMONTH(B74,INDEX(取引先マスタ!$E$5:$E$204,MATCH($C74,取引先マスタ!$A$5:$A$204,0)))))),""))</f>
        <v/>
      </c>
      <c r="K74" s="22"/>
      <c r="L74" s="27" t="str">
        <f aca="false">IF(K74&lt;&gt;"",K74,J74)</f>
        <v/>
      </c>
      <c r="M74" s="28"/>
      <c r="N74" s="22"/>
      <c r="O74" s="28"/>
      <c r="P74" s="26" t="str">
        <f aca="false">IF(A74="","",SUMIF(入金明細!$F$5:$F$1004,A74,入金明細!$E$5:$E$1004))</f>
        <v/>
      </c>
      <c r="Q74" s="27" t="str">
        <f aca="false">IF(OR(A74="",N(P74)=0),"",SUMPRODUCT(MAX((入金明細!$F$5:$F$1004=A74)*入金明細!$B$5:$B$1004)))</f>
        <v/>
      </c>
      <c r="R74" s="18"/>
      <c r="S74" s="26" t="str">
        <f aca="false">IF(OR(A74="",I74=""),"",I74-N(P74)-N(R74))</f>
        <v/>
      </c>
      <c r="T74" s="28"/>
      <c r="U74" s="29" t="str">
        <f aca="false">IF(A74="","",IF(T74="取消","取消",IF(W74&lt;&gt;"","要入力",IF(N74="","未送付",IF(S74=0,"入金済",IF(S74&lt;0,"過入金",IF(設定!$C$5&gt;L74,IF(P74&gt;0,"一部入金・超過","期日超過"),IF(P74&gt;0,"一部入金",IF(L74-設定!$C$5&lt;=設定!$C$6,"期日間近","入金待ち")))))))))</f>
        <v/>
      </c>
      <c r="V74" s="30" t="str">
        <f aca="false">IF(OR(U74="期日超過",U74="一部入金・超過"),設定!$C$5-L74,"")</f>
        <v/>
      </c>
      <c r="W74" s="21" t="str">
        <f aca="false">IF(A74="","",TRIM(IF(B74="","請求日 ","")&amp;IF(C74="","取引先 ",IF(D74="コード誤り","取引先コード誤り ",""))&amp;IF(E74="","件名 ","")&amp;IF(F74="","税抜金額 ","")&amp;IF(G74="","税率 ","")&amp;IF(M74="","送付方法 ","")&amp;IF(AND(N74&lt;&gt;"",O74=""),"送付者 ","")&amp;IF(AND(I74&lt;&gt;"",L74=""),"入金期日 ","")&amp;IF(AND(N74&lt;&gt;"",P74&gt;0,S74&lt;=0,X74=""),"消込確認者 ","")))</f>
        <v/>
      </c>
      <c r="X74" s="28"/>
      <c r="Y74" s="28"/>
    </row>
    <row r="75" customFormat="false" ht="15" hidden="false" customHeight="false" outlineLevel="0" collapsed="false">
      <c r="A75" s="21" t="str">
        <f aca="false">IF(COUNTA(B75,C75,E75,F75)=0,"",設定!$C$4&amp;TEXT(ROW()-4,"00000"))</f>
        <v/>
      </c>
      <c r="B75" s="22"/>
      <c r="C75" s="23"/>
      <c r="D75" s="21" t="str">
        <f aca="false">IF(C75="","",IFERROR(INDEX(取引先マスタ!$B$5:$B$204,MATCH($C75,取引先マスタ!$A$5:$A$204,0)),"コード誤り"))</f>
        <v/>
      </c>
      <c r="E75" s="28"/>
      <c r="F75" s="18"/>
      <c r="G75" s="25"/>
      <c r="H75" s="26" t="str">
        <f aca="false">IF(OR(F75="",G75=""),"",ROUNDDOWN(F75*G75,0))</f>
        <v/>
      </c>
      <c r="I75" s="26" t="str">
        <f aca="false">IF(OR(F75="",G75=""),"",F75+H75)</f>
        <v/>
      </c>
      <c r="J75" s="27" t="str">
        <f aca="false">IF(OR(B75="",C75="",D75="コード誤り"),"",IFERROR(DATE(YEAR(B75),MONTH(B75)+INDEX(取引先マスタ!$E$5:$E$204,MATCH($C75,取引先マスタ!$A$5:$A$204,0)),MIN(INDEX(取引先マスタ!$F$5:$F$204,MATCH($C75,取引先マスタ!$A$5:$A$204,0)),DAY(EOMONTH(B75,INDEX(取引先マスタ!$E$5:$E$204,MATCH($C75,取引先マスタ!$A$5:$A$204,0)))))),""))</f>
        <v/>
      </c>
      <c r="K75" s="22"/>
      <c r="L75" s="27" t="str">
        <f aca="false">IF(K75&lt;&gt;"",K75,J75)</f>
        <v/>
      </c>
      <c r="M75" s="28"/>
      <c r="N75" s="22"/>
      <c r="O75" s="28"/>
      <c r="P75" s="26" t="str">
        <f aca="false">IF(A75="","",SUMIF(入金明細!$F$5:$F$1004,A75,入金明細!$E$5:$E$1004))</f>
        <v/>
      </c>
      <c r="Q75" s="27" t="str">
        <f aca="false">IF(OR(A75="",N(P75)=0),"",SUMPRODUCT(MAX((入金明細!$F$5:$F$1004=A75)*入金明細!$B$5:$B$1004)))</f>
        <v/>
      </c>
      <c r="R75" s="18"/>
      <c r="S75" s="26" t="str">
        <f aca="false">IF(OR(A75="",I75=""),"",I75-N(P75)-N(R75))</f>
        <v/>
      </c>
      <c r="T75" s="28"/>
      <c r="U75" s="29" t="str">
        <f aca="false">IF(A75="","",IF(T75="取消","取消",IF(W75&lt;&gt;"","要入力",IF(N75="","未送付",IF(S75=0,"入金済",IF(S75&lt;0,"過入金",IF(設定!$C$5&gt;L75,IF(P75&gt;0,"一部入金・超過","期日超過"),IF(P75&gt;0,"一部入金",IF(L75-設定!$C$5&lt;=設定!$C$6,"期日間近","入金待ち")))))))))</f>
        <v/>
      </c>
      <c r="V75" s="30" t="str">
        <f aca="false">IF(OR(U75="期日超過",U75="一部入金・超過"),設定!$C$5-L75,"")</f>
        <v/>
      </c>
      <c r="W75" s="21" t="str">
        <f aca="false">IF(A75="","",TRIM(IF(B75="","請求日 ","")&amp;IF(C75="","取引先 ",IF(D75="コード誤り","取引先コード誤り ",""))&amp;IF(E75="","件名 ","")&amp;IF(F75="","税抜金額 ","")&amp;IF(G75="","税率 ","")&amp;IF(M75="","送付方法 ","")&amp;IF(AND(N75&lt;&gt;"",O75=""),"送付者 ","")&amp;IF(AND(I75&lt;&gt;"",L75=""),"入金期日 ","")&amp;IF(AND(N75&lt;&gt;"",P75&gt;0,S75&lt;=0,X75=""),"消込確認者 ","")))</f>
        <v/>
      </c>
      <c r="X75" s="28"/>
      <c r="Y75" s="28"/>
    </row>
    <row r="76" customFormat="false" ht="15" hidden="false" customHeight="false" outlineLevel="0" collapsed="false">
      <c r="A76" s="21" t="str">
        <f aca="false">IF(COUNTA(B76,C76,E76,F76)=0,"",設定!$C$4&amp;TEXT(ROW()-4,"00000"))</f>
        <v/>
      </c>
      <c r="B76" s="22"/>
      <c r="C76" s="23"/>
      <c r="D76" s="21" t="str">
        <f aca="false">IF(C76="","",IFERROR(INDEX(取引先マスタ!$B$5:$B$204,MATCH($C76,取引先マスタ!$A$5:$A$204,0)),"コード誤り"))</f>
        <v/>
      </c>
      <c r="E76" s="28"/>
      <c r="F76" s="18"/>
      <c r="G76" s="25"/>
      <c r="H76" s="26" t="str">
        <f aca="false">IF(OR(F76="",G76=""),"",ROUNDDOWN(F76*G76,0))</f>
        <v/>
      </c>
      <c r="I76" s="26" t="str">
        <f aca="false">IF(OR(F76="",G76=""),"",F76+H76)</f>
        <v/>
      </c>
      <c r="J76" s="27" t="str">
        <f aca="false">IF(OR(B76="",C76="",D76="コード誤り"),"",IFERROR(DATE(YEAR(B76),MONTH(B76)+INDEX(取引先マスタ!$E$5:$E$204,MATCH($C76,取引先マスタ!$A$5:$A$204,0)),MIN(INDEX(取引先マスタ!$F$5:$F$204,MATCH($C76,取引先マスタ!$A$5:$A$204,0)),DAY(EOMONTH(B76,INDEX(取引先マスタ!$E$5:$E$204,MATCH($C76,取引先マスタ!$A$5:$A$204,0)))))),""))</f>
        <v/>
      </c>
      <c r="K76" s="22"/>
      <c r="L76" s="27" t="str">
        <f aca="false">IF(K76&lt;&gt;"",K76,J76)</f>
        <v/>
      </c>
      <c r="M76" s="28"/>
      <c r="N76" s="22"/>
      <c r="O76" s="28"/>
      <c r="P76" s="26" t="str">
        <f aca="false">IF(A76="","",SUMIF(入金明細!$F$5:$F$1004,A76,入金明細!$E$5:$E$1004))</f>
        <v/>
      </c>
      <c r="Q76" s="27" t="str">
        <f aca="false">IF(OR(A76="",N(P76)=0),"",SUMPRODUCT(MAX((入金明細!$F$5:$F$1004=A76)*入金明細!$B$5:$B$1004)))</f>
        <v/>
      </c>
      <c r="R76" s="18"/>
      <c r="S76" s="26" t="str">
        <f aca="false">IF(OR(A76="",I76=""),"",I76-N(P76)-N(R76))</f>
        <v/>
      </c>
      <c r="T76" s="28"/>
      <c r="U76" s="29" t="str">
        <f aca="false">IF(A76="","",IF(T76="取消","取消",IF(W76&lt;&gt;"","要入力",IF(N76="","未送付",IF(S76=0,"入金済",IF(S76&lt;0,"過入金",IF(設定!$C$5&gt;L76,IF(P76&gt;0,"一部入金・超過","期日超過"),IF(P76&gt;0,"一部入金",IF(L76-設定!$C$5&lt;=設定!$C$6,"期日間近","入金待ち")))))))))</f>
        <v/>
      </c>
      <c r="V76" s="30" t="str">
        <f aca="false">IF(OR(U76="期日超過",U76="一部入金・超過"),設定!$C$5-L76,"")</f>
        <v/>
      </c>
      <c r="W76" s="21" t="str">
        <f aca="false">IF(A76="","",TRIM(IF(B76="","請求日 ","")&amp;IF(C76="","取引先 ",IF(D76="コード誤り","取引先コード誤り ",""))&amp;IF(E76="","件名 ","")&amp;IF(F76="","税抜金額 ","")&amp;IF(G76="","税率 ","")&amp;IF(M76="","送付方法 ","")&amp;IF(AND(N76&lt;&gt;"",O76=""),"送付者 ","")&amp;IF(AND(I76&lt;&gt;"",L76=""),"入金期日 ","")&amp;IF(AND(N76&lt;&gt;"",P76&gt;0,S76&lt;=0,X76=""),"消込確認者 ","")))</f>
        <v/>
      </c>
      <c r="X76" s="28"/>
      <c r="Y76" s="28"/>
    </row>
    <row r="77" customFormat="false" ht="15" hidden="false" customHeight="false" outlineLevel="0" collapsed="false">
      <c r="A77" s="21" t="str">
        <f aca="false">IF(COUNTA(B77,C77,E77,F77)=0,"",設定!$C$4&amp;TEXT(ROW()-4,"00000"))</f>
        <v/>
      </c>
      <c r="B77" s="22"/>
      <c r="C77" s="23"/>
      <c r="D77" s="21" t="str">
        <f aca="false">IF(C77="","",IFERROR(INDEX(取引先マスタ!$B$5:$B$204,MATCH($C77,取引先マスタ!$A$5:$A$204,0)),"コード誤り"))</f>
        <v/>
      </c>
      <c r="E77" s="28"/>
      <c r="F77" s="18"/>
      <c r="G77" s="25"/>
      <c r="H77" s="26" t="str">
        <f aca="false">IF(OR(F77="",G77=""),"",ROUNDDOWN(F77*G77,0))</f>
        <v/>
      </c>
      <c r="I77" s="26" t="str">
        <f aca="false">IF(OR(F77="",G77=""),"",F77+H77)</f>
        <v/>
      </c>
      <c r="J77" s="27" t="str">
        <f aca="false">IF(OR(B77="",C77="",D77="コード誤り"),"",IFERROR(DATE(YEAR(B77),MONTH(B77)+INDEX(取引先マスタ!$E$5:$E$204,MATCH($C77,取引先マスタ!$A$5:$A$204,0)),MIN(INDEX(取引先マスタ!$F$5:$F$204,MATCH($C77,取引先マスタ!$A$5:$A$204,0)),DAY(EOMONTH(B77,INDEX(取引先マスタ!$E$5:$E$204,MATCH($C77,取引先マスタ!$A$5:$A$204,0)))))),""))</f>
        <v/>
      </c>
      <c r="K77" s="22"/>
      <c r="L77" s="27" t="str">
        <f aca="false">IF(K77&lt;&gt;"",K77,J77)</f>
        <v/>
      </c>
      <c r="M77" s="28"/>
      <c r="N77" s="22"/>
      <c r="O77" s="28"/>
      <c r="P77" s="26" t="str">
        <f aca="false">IF(A77="","",SUMIF(入金明細!$F$5:$F$1004,A77,入金明細!$E$5:$E$1004))</f>
        <v/>
      </c>
      <c r="Q77" s="27" t="str">
        <f aca="false">IF(OR(A77="",N(P77)=0),"",SUMPRODUCT(MAX((入金明細!$F$5:$F$1004=A77)*入金明細!$B$5:$B$1004)))</f>
        <v/>
      </c>
      <c r="R77" s="18"/>
      <c r="S77" s="26" t="str">
        <f aca="false">IF(OR(A77="",I77=""),"",I77-N(P77)-N(R77))</f>
        <v/>
      </c>
      <c r="T77" s="28"/>
      <c r="U77" s="29" t="str">
        <f aca="false">IF(A77="","",IF(T77="取消","取消",IF(W77&lt;&gt;"","要入力",IF(N77="","未送付",IF(S77=0,"入金済",IF(S77&lt;0,"過入金",IF(設定!$C$5&gt;L77,IF(P77&gt;0,"一部入金・超過","期日超過"),IF(P77&gt;0,"一部入金",IF(L77-設定!$C$5&lt;=設定!$C$6,"期日間近","入金待ち")))))))))</f>
        <v/>
      </c>
      <c r="V77" s="30" t="str">
        <f aca="false">IF(OR(U77="期日超過",U77="一部入金・超過"),設定!$C$5-L77,"")</f>
        <v/>
      </c>
      <c r="W77" s="21" t="str">
        <f aca="false">IF(A77="","",TRIM(IF(B77="","請求日 ","")&amp;IF(C77="","取引先 ",IF(D77="コード誤り","取引先コード誤り ",""))&amp;IF(E77="","件名 ","")&amp;IF(F77="","税抜金額 ","")&amp;IF(G77="","税率 ","")&amp;IF(M77="","送付方法 ","")&amp;IF(AND(N77&lt;&gt;"",O77=""),"送付者 ","")&amp;IF(AND(I77&lt;&gt;"",L77=""),"入金期日 ","")&amp;IF(AND(N77&lt;&gt;"",P77&gt;0,S77&lt;=0,X77=""),"消込確認者 ","")))</f>
        <v/>
      </c>
      <c r="X77" s="28"/>
      <c r="Y77" s="28"/>
    </row>
    <row r="78" customFormat="false" ht="15" hidden="false" customHeight="false" outlineLevel="0" collapsed="false">
      <c r="A78" s="21" t="str">
        <f aca="false">IF(COUNTA(B78,C78,E78,F78)=0,"",設定!$C$4&amp;TEXT(ROW()-4,"00000"))</f>
        <v/>
      </c>
      <c r="B78" s="22"/>
      <c r="C78" s="23"/>
      <c r="D78" s="21" t="str">
        <f aca="false">IF(C78="","",IFERROR(INDEX(取引先マスタ!$B$5:$B$204,MATCH($C78,取引先マスタ!$A$5:$A$204,0)),"コード誤り"))</f>
        <v/>
      </c>
      <c r="E78" s="28"/>
      <c r="F78" s="18"/>
      <c r="G78" s="25"/>
      <c r="H78" s="26" t="str">
        <f aca="false">IF(OR(F78="",G78=""),"",ROUNDDOWN(F78*G78,0))</f>
        <v/>
      </c>
      <c r="I78" s="26" t="str">
        <f aca="false">IF(OR(F78="",G78=""),"",F78+H78)</f>
        <v/>
      </c>
      <c r="J78" s="27" t="str">
        <f aca="false">IF(OR(B78="",C78="",D78="コード誤り"),"",IFERROR(DATE(YEAR(B78),MONTH(B78)+INDEX(取引先マスタ!$E$5:$E$204,MATCH($C78,取引先マスタ!$A$5:$A$204,0)),MIN(INDEX(取引先マスタ!$F$5:$F$204,MATCH($C78,取引先マスタ!$A$5:$A$204,0)),DAY(EOMONTH(B78,INDEX(取引先マスタ!$E$5:$E$204,MATCH($C78,取引先マスタ!$A$5:$A$204,0)))))),""))</f>
        <v/>
      </c>
      <c r="K78" s="22"/>
      <c r="L78" s="27" t="str">
        <f aca="false">IF(K78&lt;&gt;"",K78,J78)</f>
        <v/>
      </c>
      <c r="M78" s="28"/>
      <c r="N78" s="22"/>
      <c r="O78" s="28"/>
      <c r="P78" s="26" t="str">
        <f aca="false">IF(A78="","",SUMIF(入金明細!$F$5:$F$1004,A78,入金明細!$E$5:$E$1004))</f>
        <v/>
      </c>
      <c r="Q78" s="27" t="str">
        <f aca="false">IF(OR(A78="",N(P78)=0),"",SUMPRODUCT(MAX((入金明細!$F$5:$F$1004=A78)*入金明細!$B$5:$B$1004)))</f>
        <v/>
      </c>
      <c r="R78" s="18"/>
      <c r="S78" s="26" t="str">
        <f aca="false">IF(OR(A78="",I78=""),"",I78-N(P78)-N(R78))</f>
        <v/>
      </c>
      <c r="T78" s="28"/>
      <c r="U78" s="29" t="str">
        <f aca="false">IF(A78="","",IF(T78="取消","取消",IF(W78&lt;&gt;"","要入力",IF(N78="","未送付",IF(S78=0,"入金済",IF(S78&lt;0,"過入金",IF(設定!$C$5&gt;L78,IF(P78&gt;0,"一部入金・超過","期日超過"),IF(P78&gt;0,"一部入金",IF(L78-設定!$C$5&lt;=設定!$C$6,"期日間近","入金待ち")))))))))</f>
        <v/>
      </c>
      <c r="V78" s="30" t="str">
        <f aca="false">IF(OR(U78="期日超過",U78="一部入金・超過"),設定!$C$5-L78,"")</f>
        <v/>
      </c>
      <c r="W78" s="21" t="str">
        <f aca="false">IF(A78="","",TRIM(IF(B78="","請求日 ","")&amp;IF(C78="","取引先 ",IF(D78="コード誤り","取引先コード誤り ",""))&amp;IF(E78="","件名 ","")&amp;IF(F78="","税抜金額 ","")&amp;IF(G78="","税率 ","")&amp;IF(M78="","送付方法 ","")&amp;IF(AND(N78&lt;&gt;"",O78=""),"送付者 ","")&amp;IF(AND(I78&lt;&gt;"",L78=""),"入金期日 ","")&amp;IF(AND(N78&lt;&gt;"",P78&gt;0,S78&lt;=0,X78=""),"消込確認者 ","")))</f>
        <v/>
      </c>
      <c r="X78" s="28"/>
      <c r="Y78" s="28"/>
    </row>
    <row r="79" customFormat="false" ht="15" hidden="false" customHeight="false" outlineLevel="0" collapsed="false">
      <c r="A79" s="21" t="str">
        <f aca="false">IF(COUNTA(B79,C79,E79,F79)=0,"",設定!$C$4&amp;TEXT(ROW()-4,"00000"))</f>
        <v/>
      </c>
      <c r="B79" s="22"/>
      <c r="C79" s="23"/>
      <c r="D79" s="21" t="str">
        <f aca="false">IF(C79="","",IFERROR(INDEX(取引先マスタ!$B$5:$B$204,MATCH($C79,取引先マスタ!$A$5:$A$204,0)),"コード誤り"))</f>
        <v/>
      </c>
      <c r="E79" s="28"/>
      <c r="F79" s="18"/>
      <c r="G79" s="25"/>
      <c r="H79" s="26" t="str">
        <f aca="false">IF(OR(F79="",G79=""),"",ROUNDDOWN(F79*G79,0))</f>
        <v/>
      </c>
      <c r="I79" s="26" t="str">
        <f aca="false">IF(OR(F79="",G79=""),"",F79+H79)</f>
        <v/>
      </c>
      <c r="J79" s="27" t="str">
        <f aca="false">IF(OR(B79="",C79="",D79="コード誤り"),"",IFERROR(DATE(YEAR(B79),MONTH(B79)+INDEX(取引先マスタ!$E$5:$E$204,MATCH($C79,取引先マスタ!$A$5:$A$204,0)),MIN(INDEX(取引先マスタ!$F$5:$F$204,MATCH($C79,取引先マスタ!$A$5:$A$204,0)),DAY(EOMONTH(B79,INDEX(取引先マスタ!$E$5:$E$204,MATCH($C79,取引先マスタ!$A$5:$A$204,0)))))),""))</f>
        <v/>
      </c>
      <c r="K79" s="22"/>
      <c r="L79" s="27" t="str">
        <f aca="false">IF(K79&lt;&gt;"",K79,J79)</f>
        <v/>
      </c>
      <c r="M79" s="28"/>
      <c r="N79" s="22"/>
      <c r="O79" s="28"/>
      <c r="P79" s="26" t="str">
        <f aca="false">IF(A79="","",SUMIF(入金明細!$F$5:$F$1004,A79,入金明細!$E$5:$E$1004))</f>
        <v/>
      </c>
      <c r="Q79" s="27" t="str">
        <f aca="false">IF(OR(A79="",N(P79)=0),"",SUMPRODUCT(MAX((入金明細!$F$5:$F$1004=A79)*入金明細!$B$5:$B$1004)))</f>
        <v/>
      </c>
      <c r="R79" s="18"/>
      <c r="S79" s="26" t="str">
        <f aca="false">IF(OR(A79="",I79=""),"",I79-N(P79)-N(R79))</f>
        <v/>
      </c>
      <c r="T79" s="28"/>
      <c r="U79" s="29" t="str">
        <f aca="false">IF(A79="","",IF(T79="取消","取消",IF(W79&lt;&gt;"","要入力",IF(N79="","未送付",IF(S79=0,"入金済",IF(S79&lt;0,"過入金",IF(設定!$C$5&gt;L79,IF(P79&gt;0,"一部入金・超過","期日超過"),IF(P79&gt;0,"一部入金",IF(L79-設定!$C$5&lt;=設定!$C$6,"期日間近","入金待ち")))))))))</f>
        <v/>
      </c>
      <c r="V79" s="30" t="str">
        <f aca="false">IF(OR(U79="期日超過",U79="一部入金・超過"),設定!$C$5-L79,"")</f>
        <v/>
      </c>
      <c r="W79" s="21" t="str">
        <f aca="false">IF(A79="","",TRIM(IF(B79="","請求日 ","")&amp;IF(C79="","取引先 ",IF(D79="コード誤り","取引先コード誤り ",""))&amp;IF(E79="","件名 ","")&amp;IF(F79="","税抜金額 ","")&amp;IF(G79="","税率 ","")&amp;IF(M79="","送付方法 ","")&amp;IF(AND(N79&lt;&gt;"",O79=""),"送付者 ","")&amp;IF(AND(I79&lt;&gt;"",L79=""),"入金期日 ","")&amp;IF(AND(N79&lt;&gt;"",P79&gt;0,S79&lt;=0,X79=""),"消込確認者 ","")))</f>
        <v/>
      </c>
      <c r="X79" s="28"/>
      <c r="Y79" s="28"/>
    </row>
    <row r="80" customFormat="false" ht="15" hidden="false" customHeight="false" outlineLevel="0" collapsed="false">
      <c r="A80" s="21" t="str">
        <f aca="false">IF(COUNTA(B80,C80,E80,F80)=0,"",設定!$C$4&amp;TEXT(ROW()-4,"00000"))</f>
        <v/>
      </c>
      <c r="B80" s="22"/>
      <c r="C80" s="23"/>
      <c r="D80" s="21" t="str">
        <f aca="false">IF(C80="","",IFERROR(INDEX(取引先マスタ!$B$5:$B$204,MATCH($C80,取引先マスタ!$A$5:$A$204,0)),"コード誤り"))</f>
        <v/>
      </c>
      <c r="E80" s="28"/>
      <c r="F80" s="18"/>
      <c r="G80" s="25"/>
      <c r="H80" s="26" t="str">
        <f aca="false">IF(OR(F80="",G80=""),"",ROUNDDOWN(F80*G80,0))</f>
        <v/>
      </c>
      <c r="I80" s="26" t="str">
        <f aca="false">IF(OR(F80="",G80=""),"",F80+H80)</f>
        <v/>
      </c>
      <c r="J80" s="27" t="str">
        <f aca="false">IF(OR(B80="",C80="",D80="コード誤り"),"",IFERROR(DATE(YEAR(B80),MONTH(B80)+INDEX(取引先マスタ!$E$5:$E$204,MATCH($C80,取引先マスタ!$A$5:$A$204,0)),MIN(INDEX(取引先マスタ!$F$5:$F$204,MATCH($C80,取引先マスタ!$A$5:$A$204,0)),DAY(EOMONTH(B80,INDEX(取引先マスタ!$E$5:$E$204,MATCH($C80,取引先マスタ!$A$5:$A$204,0)))))),""))</f>
        <v/>
      </c>
      <c r="K80" s="22"/>
      <c r="L80" s="27" t="str">
        <f aca="false">IF(K80&lt;&gt;"",K80,J80)</f>
        <v/>
      </c>
      <c r="M80" s="28"/>
      <c r="N80" s="22"/>
      <c r="O80" s="28"/>
      <c r="P80" s="26" t="str">
        <f aca="false">IF(A80="","",SUMIF(入金明細!$F$5:$F$1004,A80,入金明細!$E$5:$E$1004))</f>
        <v/>
      </c>
      <c r="Q80" s="27" t="str">
        <f aca="false">IF(OR(A80="",N(P80)=0),"",SUMPRODUCT(MAX((入金明細!$F$5:$F$1004=A80)*入金明細!$B$5:$B$1004)))</f>
        <v/>
      </c>
      <c r="R80" s="18"/>
      <c r="S80" s="26" t="str">
        <f aca="false">IF(OR(A80="",I80=""),"",I80-N(P80)-N(R80))</f>
        <v/>
      </c>
      <c r="T80" s="28"/>
      <c r="U80" s="29" t="str">
        <f aca="false">IF(A80="","",IF(T80="取消","取消",IF(W80&lt;&gt;"","要入力",IF(N80="","未送付",IF(S80=0,"入金済",IF(S80&lt;0,"過入金",IF(設定!$C$5&gt;L80,IF(P80&gt;0,"一部入金・超過","期日超過"),IF(P80&gt;0,"一部入金",IF(L80-設定!$C$5&lt;=設定!$C$6,"期日間近","入金待ち")))))))))</f>
        <v/>
      </c>
      <c r="V80" s="30" t="str">
        <f aca="false">IF(OR(U80="期日超過",U80="一部入金・超過"),設定!$C$5-L80,"")</f>
        <v/>
      </c>
      <c r="W80" s="21" t="str">
        <f aca="false">IF(A80="","",TRIM(IF(B80="","請求日 ","")&amp;IF(C80="","取引先 ",IF(D80="コード誤り","取引先コード誤り ",""))&amp;IF(E80="","件名 ","")&amp;IF(F80="","税抜金額 ","")&amp;IF(G80="","税率 ","")&amp;IF(M80="","送付方法 ","")&amp;IF(AND(N80&lt;&gt;"",O80=""),"送付者 ","")&amp;IF(AND(I80&lt;&gt;"",L80=""),"入金期日 ","")&amp;IF(AND(N80&lt;&gt;"",P80&gt;0,S80&lt;=0,X80=""),"消込確認者 ","")))</f>
        <v/>
      </c>
      <c r="X80" s="28"/>
      <c r="Y80" s="28"/>
    </row>
    <row r="81" customFormat="false" ht="15" hidden="false" customHeight="false" outlineLevel="0" collapsed="false">
      <c r="A81" s="21" t="str">
        <f aca="false">IF(COUNTA(B81,C81,E81,F81)=0,"",設定!$C$4&amp;TEXT(ROW()-4,"00000"))</f>
        <v/>
      </c>
      <c r="B81" s="22"/>
      <c r="C81" s="23"/>
      <c r="D81" s="21" t="str">
        <f aca="false">IF(C81="","",IFERROR(INDEX(取引先マスタ!$B$5:$B$204,MATCH($C81,取引先マスタ!$A$5:$A$204,0)),"コード誤り"))</f>
        <v/>
      </c>
      <c r="E81" s="28"/>
      <c r="F81" s="18"/>
      <c r="G81" s="25"/>
      <c r="H81" s="26" t="str">
        <f aca="false">IF(OR(F81="",G81=""),"",ROUNDDOWN(F81*G81,0))</f>
        <v/>
      </c>
      <c r="I81" s="26" t="str">
        <f aca="false">IF(OR(F81="",G81=""),"",F81+H81)</f>
        <v/>
      </c>
      <c r="J81" s="27" t="str">
        <f aca="false">IF(OR(B81="",C81="",D81="コード誤り"),"",IFERROR(DATE(YEAR(B81),MONTH(B81)+INDEX(取引先マスタ!$E$5:$E$204,MATCH($C81,取引先マスタ!$A$5:$A$204,0)),MIN(INDEX(取引先マスタ!$F$5:$F$204,MATCH($C81,取引先マスタ!$A$5:$A$204,0)),DAY(EOMONTH(B81,INDEX(取引先マスタ!$E$5:$E$204,MATCH($C81,取引先マスタ!$A$5:$A$204,0)))))),""))</f>
        <v/>
      </c>
      <c r="K81" s="22"/>
      <c r="L81" s="27" t="str">
        <f aca="false">IF(K81&lt;&gt;"",K81,J81)</f>
        <v/>
      </c>
      <c r="M81" s="28"/>
      <c r="N81" s="22"/>
      <c r="O81" s="28"/>
      <c r="P81" s="26" t="str">
        <f aca="false">IF(A81="","",SUMIF(入金明細!$F$5:$F$1004,A81,入金明細!$E$5:$E$1004))</f>
        <v/>
      </c>
      <c r="Q81" s="27" t="str">
        <f aca="false">IF(OR(A81="",N(P81)=0),"",SUMPRODUCT(MAX((入金明細!$F$5:$F$1004=A81)*入金明細!$B$5:$B$1004)))</f>
        <v/>
      </c>
      <c r="R81" s="18"/>
      <c r="S81" s="26" t="str">
        <f aca="false">IF(OR(A81="",I81=""),"",I81-N(P81)-N(R81))</f>
        <v/>
      </c>
      <c r="T81" s="28"/>
      <c r="U81" s="29" t="str">
        <f aca="false">IF(A81="","",IF(T81="取消","取消",IF(W81&lt;&gt;"","要入力",IF(N81="","未送付",IF(S81=0,"入金済",IF(S81&lt;0,"過入金",IF(設定!$C$5&gt;L81,IF(P81&gt;0,"一部入金・超過","期日超過"),IF(P81&gt;0,"一部入金",IF(L81-設定!$C$5&lt;=設定!$C$6,"期日間近","入金待ち")))))))))</f>
        <v/>
      </c>
      <c r="V81" s="30" t="str">
        <f aca="false">IF(OR(U81="期日超過",U81="一部入金・超過"),設定!$C$5-L81,"")</f>
        <v/>
      </c>
      <c r="W81" s="21" t="str">
        <f aca="false">IF(A81="","",TRIM(IF(B81="","請求日 ","")&amp;IF(C81="","取引先 ",IF(D81="コード誤り","取引先コード誤り ",""))&amp;IF(E81="","件名 ","")&amp;IF(F81="","税抜金額 ","")&amp;IF(G81="","税率 ","")&amp;IF(M81="","送付方法 ","")&amp;IF(AND(N81&lt;&gt;"",O81=""),"送付者 ","")&amp;IF(AND(I81&lt;&gt;"",L81=""),"入金期日 ","")&amp;IF(AND(N81&lt;&gt;"",P81&gt;0,S81&lt;=0,X81=""),"消込確認者 ","")))</f>
        <v/>
      </c>
      <c r="X81" s="28"/>
      <c r="Y81" s="28"/>
    </row>
    <row r="82" customFormat="false" ht="15" hidden="false" customHeight="false" outlineLevel="0" collapsed="false">
      <c r="A82" s="21" t="str">
        <f aca="false">IF(COUNTA(B82,C82,E82,F82)=0,"",設定!$C$4&amp;TEXT(ROW()-4,"00000"))</f>
        <v/>
      </c>
      <c r="B82" s="22"/>
      <c r="C82" s="23"/>
      <c r="D82" s="21" t="str">
        <f aca="false">IF(C82="","",IFERROR(INDEX(取引先マスタ!$B$5:$B$204,MATCH($C82,取引先マスタ!$A$5:$A$204,0)),"コード誤り"))</f>
        <v/>
      </c>
      <c r="E82" s="28"/>
      <c r="F82" s="18"/>
      <c r="G82" s="25"/>
      <c r="H82" s="26" t="str">
        <f aca="false">IF(OR(F82="",G82=""),"",ROUNDDOWN(F82*G82,0))</f>
        <v/>
      </c>
      <c r="I82" s="26" t="str">
        <f aca="false">IF(OR(F82="",G82=""),"",F82+H82)</f>
        <v/>
      </c>
      <c r="J82" s="27" t="str">
        <f aca="false">IF(OR(B82="",C82="",D82="コード誤り"),"",IFERROR(DATE(YEAR(B82),MONTH(B82)+INDEX(取引先マスタ!$E$5:$E$204,MATCH($C82,取引先マスタ!$A$5:$A$204,0)),MIN(INDEX(取引先マスタ!$F$5:$F$204,MATCH($C82,取引先マスタ!$A$5:$A$204,0)),DAY(EOMONTH(B82,INDEX(取引先マスタ!$E$5:$E$204,MATCH($C82,取引先マスタ!$A$5:$A$204,0)))))),""))</f>
        <v/>
      </c>
      <c r="K82" s="22"/>
      <c r="L82" s="27" t="str">
        <f aca="false">IF(K82&lt;&gt;"",K82,J82)</f>
        <v/>
      </c>
      <c r="M82" s="28"/>
      <c r="N82" s="22"/>
      <c r="O82" s="28"/>
      <c r="P82" s="26" t="str">
        <f aca="false">IF(A82="","",SUMIF(入金明細!$F$5:$F$1004,A82,入金明細!$E$5:$E$1004))</f>
        <v/>
      </c>
      <c r="Q82" s="27" t="str">
        <f aca="false">IF(OR(A82="",N(P82)=0),"",SUMPRODUCT(MAX((入金明細!$F$5:$F$1004=A82)*入金明細!$B$5:$B$1004)))</f>
        <v/>
      </c>
      <c r="R82" s="18"/>
      <c r="S82" s="26" t="str">
        <f aca="false">IF(OR(A82="",I82=""),"",I82-N(P82)-N(R82))</f>
        <v/>
      </c>
      <c r="T82" s="28"/>
      <c r="U82" s="29" t="str">
        <f aca="false">IF(A82="","",IF(T82="取消","取消",IF(W82&lt;&gt;"","要入力",IF(N82="","未送付",IF(S82=0,"入金済",IF(S82&lt;0,"過入金",IF(設定!$C$5&gt;L82,IF(P82&gt;0,"一部入金・超過","期日超過"),IF(P82&gt;0,"一部入金",IF(L82-設定!$C$5&lt;=設定!$C$6,"期日間近","入金待ち")))))))))</f>
        <v/>
      </c>
      <c r="V82" s="30" t="str">
        <f aca="false">IF(OR(U82="期日超過",U82="一部入金・超過"),設定!$C$5-L82,"")</f>
        <v/>
      </c>
      <c r="W82" s="21" t="str">
        <f aca="false">IF(A82="","",TRIM(IF(B82="","請求日 ","")&amp;IF(C82="","取引先 ",IF(D82="コード誤り","取引先コード誤り ",""))&amp;IF(E82="","件名 ","")&amp;IF(F82="","税抜金額 ","")&amp;IF(G82="","税率 ","")&amp;IF(M82="","送付方法 ","")&amp;IF(AND(N82&lt;&gt;"",O82=""),"送付者 ","")&amp;IF(AND(I82&lt;&gt;"",L82=""),"入金期日 ","")&amp;IF(AND(N82&lt;&gt;"",P82&gt;0,S82&lt;=0,X82=""),"消込確認者 ","")))</f>
        <v/>
      </c>
      <c r="X82" s="28"/>
      <c r="Y82" s="28"/>
    </row>
    <row r="83" customFormat="false" ht="15" hidden="false" customHeight="false" outlineLevel="0" collapsed="false">
      <c r="A83" s="21" t="str">
        <f aca="false">IF(COUNTA(B83,C83,E83,F83)=0,"",設定!$C$4&amp;TEXT(ROW()-4,"00000"))</f>
        <v/>
      </c>
      <c r="B83" s="22"/>
      <c r="C83" s="23"/>
      <c r="D83" s="21" t="str">
        <f aca="false">IF(C83="","",IFERROR(INDEX(取引先マスタ!$B$5:$B$204,MATCH($C83,取引先マスタ!$A$5:$A$204,0)),"コード誤り"))</f>
        <v/>
      </c>
      <c r="E83" s="28"/>
      <c r="F83" s="18"/>
      <c r="G83" s="25"/>
      <c r="H83" s="26" t="str">
        <f aca="false">IF(OR(F83="",G83=""),"",ROUNDDOWN(F83*G83,0))</f>
        <v/>
      </c>
      <c r="I83" s="26" t="str">
        <f aca="false">IF(OR(F83="",G83=""),"",F83+H83)</f>
        <v/>
      </c>
      <c r="J83" s="27" t="str">
        <f aca="false">IF(OR(B83="",C83="",D83="コード誤り"),"",IFERROR(DATE(YEAR(B83),MONTH(B83)+INDEX(取引先マスタ!$E$5:$E$204,MATCH($C83,取引先マスタ!$A$5:$A$204,0)),MIN(INDEX(取引先マスタ!$F$5:$F$204,MATCH($C83,取引先マスタ!$A$5:$A$204,0)),DAY(EOMONTH(B83,INDEX(取引先マスタ!$E$5:$E$204,MATCH($C83,取引先マスタ!$A$5:$A$204,0)))))),""))</f>
        <v/>
      </c>
      <c r="K83" s="22"/>
      <c r="L83" s="27" t="str">
        <f aca="false">IF(K83&lt;&gt;"",K83,J83)</f>
        <v/>
      </c>
      <c r="M83" s="28"/>
      <c r="N83" s="22"/>
      <c r="O83" s="28"/>
      <c r="P83" s="26" t="str">
        <f aca="false">IF(A83="","",SUMIF(入金明細!$F$5:$F$1004,A83,入金明細!$E$5:$E$1004))</f>
        <v/>
      </c>
      <c r="Q83" s="27" t="str">
        <f aca="false">IF(OR(A83="",N(P83)=0),"",SUMPRODUCT(MAX((入金明細!$F$5:$F$1004=A83)*入金明細!$B$5:$B$1004)))</f>
        <v/>
      </c>
      <c r="R83" s="18"/>
      <c r="S83" s="26" t="str">
        <f aca="false">IF(OR(A83="",I83=""),"",I83-N(P83)-N(R83))</f>
        <v/>
      </c>
      <c r="T83" s="28"/>
      <c r="U83" s="29" t="str">
        <f aca="false">IF(A83="","",IF(T83="取消","取消",IF(W83&lt;&gt;"","要入力",IF(N83="","未送付",IF(S83=0,"入金済",IF(S83&lt;0,"過入金",IF(設定!$C$5&gt;L83,IF(P83&gt;0,"一部入金・超過","期日超過"),IF(P83&gt;0,"一部入金",IF(L83-設定!$C$5&lt;=設定!$C$6,"期日間近","入金待ち")))))))))</f>
        <v/>
      </c>
      <c r="V83" s="30" t="str">
        <f aca="false">IF(OR(U83="期日超過",U83="一部入金・超過"),設定!$C$5-L83,"")</f>
        <v/>
      </c>
      <c r="W83" s="21" t="str">
        <f aca="false">IF(A83="","",TRIM(IF(B83="","請求日 ","")&amp;IF(C83="","取引先 ",IF(D83="コード誤り","取引先コード誤り ",""))&amp;IF(E83="","件名 ","")&amp;IF(F83="","税抜金額 ","")&amp;IF(G83="","税率 ","")&amp;IF(M83="","送付方法 ","")&amp;IF(AND(N83&lt;&gt;"",O83=""),"送付者 ","")&amp;IF(AND(I83&lt;&gt;"",L83=""),"入金期日 ","")&amp;IF(AND(N83&lt;&gt;"",P83&gt;0,S83&lt;=0,X83=""),"消込確認者 ","")))</f>
        <v/>
      </c>
      <c r="X83" s="28"/>
      <c r="Y83" s="28"/>
    </row>
    <row r="84" customFormat="false" ht="15" hidden="false" customHeight="false" outlineLevel="0" collapsed="false">
      <c r="A84" s="21" t="str">
        <f aca="false">IF(COUNTA(B84,C84,E84,F84)=0,"",設定!$C$4&amp;TEXT(ROW()-4,"00000"))</f>
        <v/>
      </c>
      <c r="B84" s="22"/>
      <c r="C84" s="23"/>
      <c r="D84" s="21" t="str">
        <f aca="false">IF(C84="","",IFERROR(INDEX(取引先マスタ!$B$5:$B$204,MATCH($C84,取引先マスタ!$A$5:$A$204,0)),"コード誤り"))</f>
        <v/>
      </c>
      <c r="E84" s="28"/>
      <c r="F84" s="18"/>
      <c r="G84" s="25"/>
      <c r="H84" s="26" t="str">
        <f aca="false">IF(OR(F84="",G84=""),"",ROUNDDOWN(F84*G84,0))</f>
        <v/>
      </c>
      <c r="I84" s="26" t="str">
        <f aca="false">IF(OR(F84="",G84=""),"",F84+H84)</f>
        <v/>
      </c>
      <c r="J84" s="27" t="str">
        <f aca="false">IF(OR(B84="",C84="",D84="コード誤り"),"",IFERROR(DATE(YEAR(B84),MONTH(B84)+INDEX(取引先マスタ!$E$5:$E$204,MATCH($C84,取引先マスタ!$A$5:$A$204,0)),MIN(INDEX(取引先マスタ!$F$5:$F$204,MATCH($C84,取引先マスタ!$A$5:$A$204,0)),DAY(EOMONTH(B84,INDEX(取引先マスタ!$E$5:$E$204,MATCH($C84,取引先マスタ!$A$5:$A$204,0)))))),""))</f>
        <v/>
      </c>
      <c r="K84" s="22"/>
      <c r="L84" s="27" t="str">
        <f aca="false">IF(K84&lt;&gt;"",K84,J84)</f>
        <v/>
      </c>
      <c r="M84" s="28"/>
      <c r="N84" s="22"/>
      <c r="O84" s="28"/>
      <c r="P84" s="26" t="str">
        <f aca="false">IF(A84="","",SUMIF(入金明細!$F$5:$F$1004,A84,入金明細!$E$5:$E$1004))</f>
        <v/>
      </c>
      <c r="Q84" s="27" t="str">
        <f aca="false">IF(OR(A84="",N(P84)=0),"",SUMPRODUCT(MAX((入金明細!$F$5:$F$1004=A84)*入金明細!$B$5:$B$1004)))</f>
        <v/>
      </c>
      <c r="R84" s="18"/>
      <c r="S84" s="26" t="str">
        <f aca="false">IF(OR(A84="",I84=""),"",I84-N(P84)-N(R84))</f>
        <v/>
      </c>
      <c r="T84" s="28"/>
      <c r="U84" s="29" t="str">
        <f aca="false">IF(A84="","",IF(T84="取消","取消",IF(W84&lt;&gt;"","要入力",IF(N84="","未送付",IF(S84=0,"入金済",IF(S84&lt;0,"過入金",IF(設定!$C$5&gt;L84,IF(P84&gt;0,"一部入金・超過","期日超過"),IF(P84&gt;0,"一部入金",IF(L84-設定!$C$5&lt;=設定!$C$6,"期日間近","入金待ち")))))))))</f>
        <v/>
      </c>
      <c r="V84" s="30" t="str">
        <f aca="false">IF(OR(U84="期日超過",U84="一部入金・超過"),設定!$C$5-L84,"")</f>
        <v/>
      </c>
      <c r="W84" s="21" t="str">
        <f aca="false">IF(A84="","",TRIM(IF(B84="","請求日 ","")&amp;IF(C84="","取引先 ",IF(D84="コード誤り","取引先コード誤り ",""))&amp;IF(E84="","件名 ","")&amp;IF(F84="","税抜金額 ","")&amp;IF(G84="","税率 ","")&amp;IF(M84="","送付方法 ","")&amp;IF(AND(N84&lt;&gt;"",O84=""),"送付者 ","")&amp;IF(AND(I84&lt;&gt;"",L84=""),"入金期日 ","")&amp;IF(AND(N84&lt;&gt;"",P84&gt;0,S84&lt;=0,X84=""),"消込確認者 ","")))</f>
        <v/>
      </c>
      <c r="X84" s="28"/>
      <c r="Y84" s="28"/>
    </row>
    <row r="85" customFormat="false" ht="15" hidden="false" customHeight="false" outlineLevel="0" collapsed="false">
      <c r="A85" s="21" t="str">
        <f aca="false">IF(COUNTA(B85,C85,E85,F85)=0,"",設定!$C$4&amp;TEXT(ROW()-4,"00000"))</f>
        <v/>
      </c>
      <c r="B85" s="22"/>
      <c r="C85" s="23"/>
      <c r="D85" s="21" t="str">
        <f aca="false">IF(C85="","",IFERROR(INDEX(取引先マスタ!$B$5:$B$204,MATCH($C85,取引先マスタ!$A$5:$A$204,0)),"コード誤り"))</f>
        <v/>
      </c>
      <c r="E85" s="28"/>
      <c r="F85" s="18"/>
      <c r="G85" s="25"/>
      <c r="H85" s="26" t="str">
        <f aca="false">IF(OR(F85="",G85=""),"",ROUNDDOWN(F85*G85,0))</f>
        <v/>
      </c>
      <c r="I85" s="26" t="str">
        <f aca="false">IF(OR(F85="",G85=""),"",F85+H85)</f>
        <v/>
      </c>
      <c r="J85" s="27" t="str">
        <f aca="false">IF(OR(B85="",C85="",D85="コード誤り"),"",IFERROR(DATE(YEAR(B85),MONTH(B85)+INDEX(取引先マスタ!$E$5:$E$204,MATCH($C85,取引先マスタ!$A$5:$A$204,0)),MIN(INDEX(取引先マスタ!$F$5:$F$204,MATCH($C85,取引先マスタ!$A$5:$A$204,0)),DAY(EOMONTH(B85,INDEX(取引先マスタ!$E$5:$E$204,MATCH($C85,取引先マスタ!$A$5:$A$204,0)))))),""))</f>
        <v/>
      </c>
      <c r="K85" s="22"/>
      <c r="L85" s="27" t="str">
        <f aca="false">IF(K85&lt;&gt;"",K85,J85)</f>
        <v/>
      </c>
      <c r="M85" s="28"/>
      <c r="N85" s="22"/>
      <c r="O85" s="28"/>
      <c r="P85" s="26" t="str">
        <f aca="false">IF(A85="","",SUMIF(入金明細!$F$5:$F$1004,A85,入金明細!$E$5:$E$1004))</f>
        <v/>
      </c>
      <c r="Q85" s="27" t="str">
        <f aca="false">IF(OR(A85="",N(P85)=0),"",SUMPRODUCT(MAX((入金明細!$F$5:$F$1004=A85)*入金明細!$B$5:$B$1004)))</f>
        <v/>
      </c>
      <c r="R85" s="18"/>
      <c r="S85" s="26" t="str">
        <f aca="false">IF(OR(A85="",I85=""),"",I85-N(P85)-N(R85))</f>
        <v/>
      </c>
      <c r="T85" s="28"/>
      <c r="U85" s="29" t="str">
        <f aca="false">IF(A85="","",IF(T85="取消","取消",IF(W85&lt;&gt;"","要入力",IF(N85="","未送付",IF(S85=0,"入金済",IF(S85&lt;0,"過入金",IF(設定!$C$5&gt;L85,IF(P85&gt;0,"一部入金・超過","期日超過"),IF(P85&gt;0,"一部入金",IF(L85-設定!$C$5&lt;=設定!$C$6,"期日間近","入金待ち")))))))))</f>
        <v/>
      </c>
      <c r="V85" s="30" t="str">
        <f aca="false">IF(OR(U85="期日超過",U85="一部入金・超過"),設定!$C$5-L85,"")</f>
        <v/>
      </c>
      <c r="W85" s="21" t="str">
        <f aca="false">IF(A85="","",TRIM(IF(B85="","請求日 ","")&amp;IF(C85="","取引先 ",IF(D85="コード誤り","取引先コード誤り ",""))&amp;IF(E85="","件名 ","")&amp;IF(F85="","税抜金額 ","")&amp;IF(G85="","税率 ","")&amp;IF(M85="","送付方法 ","")&amp;IF(AND(N85&lt;&gt;"",O85=""),"送付者 ","")&amp;IF(AND(I85&lt;&gt;"",L85=""),"入金期日 ","")&amp;IF(AND(N85&lt;&gt;"",P85&gt;0,S85&lt;=0,X85=""),"消込確認者 ","")))</f>
        <v/>
      </c>
      <c r="X85" s="28"/>
      <c r="Y85" s="28"/>
    </row>
    <row r="86" customFormat="false" ht="15" hidden="false" customHeight="false" outlineLevel="0" collapsed="false">
      <c r="A86" s="21" t="str">
        <f aca="false">IF(COUNTA(B86,C86,E86,F86)=0,"",設定!$C$4&amp;TEXT(ROW()-4,"00000"))</f>
        <v/>
      </c>
      <c r="B86" s="22"/>
      <c r="C86" s="23"/>
      <c r="D86" s="21" t="str">
        <f aca="false">IF(C86="","",IFERROR(INDEX(取引先マスタ!$B$5:$B$204,MATCH($C86,取引先マスタ!$A$5:$A$204,0)),"コード誤り"))</f>
        <v/>
      </c>
      <c r="E86" s="28"/>
      <c r="F86" s="18"/>
      <c r="G86" s="25"/>
      <c r="H86" s="26" t="str">
        <f aca="false">IF(OR(F86="",G86=""),"",ROUNDDOWN(F86*G86,0))</f>
        <v/>
      </c>
      <c r="I86" s="26" t="str">
        <f aca="false">IF(OR(F86="",G86=""),"",F86+H86)</f>
        <v/>
      </c>
      <c r="J86" s="27" t="str">
        <f aca="false">IF(OR(B86="",C86="",D86="コード誤り"),"",IFERROR(DATE(YEAR(B86),MONTH(B86)+INDEX(取引先マスタ!$E$5:$E$204,MATCH($C86,取引先マスタ!$A$5:$A$204,0)),MIN(INDEX(取引先マスタ!$F$5:$F$204,MATCH($C86,取引先マスタ!$A$5:$A$204,0)),DAY(EOMONTH(B86,INDEX(取引先マスタ!$E$5:$E$204,MATCH($C86,取引先マスタ!$A$5:$A$204,0)))))),""))</f>
        <v/>
      </c>
      <c r="K86" s="22"/>
      <c r="L86" s="27" t="str">
        <f aca="false">IF(K86&lt;&gt;"",K86,J86)</f>
        <v/>
      </c>
      <c r="M86" s="28"/>
      <c r="N86" s="22"/>
      <c r="O86" s="28"/>
      <c r="P86" s="26" t="str">
        <f aca="false">IF(A86="","",SUMIF(入金明細!$F$5:$F$1004,A86,入金明細!$E$5:$E$1004))</f>
        <v/>
      </c>
      <c r="Q86" s="27" t="str">
        <f aca="false">IF(OR(A86="",N(P86)=0),"",SUMPRODUCT(MAX((入金明細!$F$5:$F$1004=A86)*入金明細!$B$5:$B$1004)))</f>
        <v/>
      </c>
      <c r="R86" s="18"/>
      <c r="S86" s="26" t="str">
        <f aca="false">IF(OR(A86="",I86=""),"",I86-N(P86)-N(R86))</f>
        <v/>
      </c>
      <c r="T86" s="28"/>
      <c r="U86" s="29" t="str">
        <f aca="false">IF(A86="","",IF(T86="取消","取消",IF(W86&lt;&gt;"","要入力",IF(N86="","未送付",IF(S86=0,"入金済",IF(S86&lt;0,"過入金",IF(設定!$C$5&gt;L86,IF(P86&gt;0,"一部入金・超過","期日超過"),IF(P86&gt;0,"一部入金",IF(L86-設定!$C$5&lt;=設定!$C$6,"期日間近","入金待ち")))))))))</f>
        <v/>
      </c>
      <c r="V86" s="30" t="str">
        <f aca="false">IF(OR(U86="期日超過",U86="一部入金・超過"),設定!$C$5-L86,"")</f>
        <v/>
      </c>
      <c r="W86" s="21" t="str">
        <f aca="false">IF(A86="","",TRIM(IF(B86="","請求日 ","")&amp;IF(C86="","取引先 ",IF(D86="コード誤り","取引先コード誤り ",""))&amp;IF(E86="","件名 ","")&amp;IF(F86="","税抜金額 ","")&amp;IF(G86="","税率 ","")&amp;IF(M86="","送付方法 ","")&amp;IF(AND(N86&lt;&gt;"",O86=""),"送付者 ","")&amp;IF(AND(I86&lt;&gt;"",L86=""),"入金期日 ","")&amp;IF(AND(N86&lt;&gt;"",P86&gt;0,S86&lt;=0,X86=""),"消込確認者 ","")))</f>
        <v/>
      </c>
      <c r="X86" s="28"/>
      <c r="Y86" s="28"/>
    </row>
    <row r="87" customFormat="false" ht="15" hidden="false" customHeight="false" outlineLevel="0" collapsed="false">
      <c r="A87" s="21" t="str">
        <f aca="false">IF(COUNTA(B87,C87,E87,F87)=0,"",設定!$C$4&amp;TEXT(ROW()-4,"00000"))</f>
        <v/>
      </c>
      <c r="B87" s="22"/>
      <c r="C87" s="23"/>
      <c r="D87" s="21" t="str">
        <f aca="false">IF(C87="","",IFERROR(INDEX(取引先マスタ!$B$5:$B$204,MATCH($C87,取引先マスタ!$A$5:$A$204,0)),"コード誤り"))</f>
        <v/>
      </c>
      <c r="E87" s="28"/>
      <c r="F87" s="18"/>
      <c r="G87" s="25"/>
      <c r="H87" s="26" t="str">
        <f aca="false">IF(OR(F87="",G87=""),"",ROUNDDOWN(F87*G87,0))</f>
        <v/>
      </c>
      <c r="I87" s="26" t="str">
        <f aca="false">IF(OR(F87="",G87=""),"",F87+H87)</f>
        <v/>
      </c>
      <c r="J87" s="27" t="str">
        <f aca="false">IF(OR(B87="",C87="",D87="コード誤り"),"",IFERROR(DATE(YEAR(B87),MONTH(B87)+INDEX(取引先マスタ!$E$5:$E$204,MATCH($C87,取引先マスタ!$A$5:$A$204,0)),MIN(INDEX(取引先マスタ!$F$5:$F$204,MATCH($C87,取引先マスタ!$A$5:$A$204,0)),DAY(EOMONTH(B87,INDEX(取引先マスタ!$E$5:$E$204,MATCH($C87,取引先マスタ!$A$5:$A$204,0)))))),""))</f>
        <v/>
      </c>
      <c r="K87" s="22"/>
      <c r="L87" s="27" t="str">
        <f aca="false">IF(K87&lt;&gt;"",K87,J87)</f>
        <v/>
      </c>
      <c r="M87" s="28"/>
      <c r="N87" s="22"/>
      <c r="O87" s="28"/>
      <c r="P87" s="26" t="str">
        <f aca="false">IF(A87="","",SUMIF(入金明細!$F$5:$F$1004,A87,入金明細!$E$5:$E$1004))</f>
        <v/>
      </c>
      <c r="Q87" s="27" t="str">
        <f aca="false">IF(OR(A87="",N(P87)=0),"",SUMPRODUCT(MAX((入金明細!$F$5:$F$1004=A87)*入金明細!$B$5:$B$1004)))</f>
        <v/>
      </c>
      <c r="R87" s="18"/>
      <c r="S87" s="26" t="str">
        <f aca="false">IF(OR(A87="",I87=""),"",I87-N(P87)-N(R87))</f>
        <v/>
      </c>
      <c r="T87" s="28"/>
      <c r="U87" s="29" t="str">
        <f aca="false">IF(A87="","",IF(T87="取消","取消",IF(W87&lt;&gt;"","要入力",IF(N87="","未送付",IF(S87=0,"入金済",IF(S87&lt;0,"過入金",IF(設定!$C$5&gt;L87,IF(P87&gt;0,"一部入金・超過","期日超過"),IF(P87&gt;0,"一部入金",IF(L87-設定!$C$5&lt;=設定!$C$6,"期日間近","入金待ち")))))))))</f>
        <v/>
      </c>
      <c r="V87" s="30" t="str">
        <f aca="false">IF(OR(U87="期日超過",U87="一部入金・超過"),設定!$C$5-L87,"")</f>
        <v/>
      </c>
      <c r="W87" s="21" t="str">
        <f aca="false">IF(A87="","",TRIM(IF(B87="","請求日 ","")&amp;IF(C87="","取引先 ",IF(D87="コード誤り","取引先コード誤り ",""))&amp;IF(E87="","件名 ","")&amp;IF(F87="","税抜金額 ","")&amp;IF(G87="","税率 ","")&amp;IF(M87="","送付方法 ","")&amp;IF(AND(N87&lt;&gt;"",O87=""),"送付者 ","")&amp;IF(AND(I87&lt;&gt;"",L87=""),"入金期日 ","")&amp;IF(AND(N87&lt;&gt;"",P87&gt;0,S87&lt;=0,X87=""),"消込確認者 ","")))</f>
        <v/>
      </c>
      <c r="X87" s="28"/>
      <c r="Y87" s="28"/>
    </row>
    <row r="88" customFormat="false" ht="15" hidden="false" customHeight="false" outlineLevel="0" collapsed="false">
      <c r="A88" s="21" t="str">
        <f aca="false">IF(COUNTA(B88,C88,E88,F88)=0,"",設定!$C$4&amp;TEXT(ROW()-4,"00000"))</f>
        <v/>
      </c>
      <c r="B88" s="22"/>
      <c r="C88" s="23"/>
      <c r="D88" s="21" t="str">
        <f aca="false">IF(C88="","",IFERROR(INDEX(取引先マスタ!$B$5:$B$204,MATCH($C88,取引先マスタ!$A$5:$A$204,0)),"コード誤り"))</f>
        <v/>
      </c>
      <c r="E88" s="28"/>
      <c r="F88" s="18"/>
      <c r="G88" s="25"/>
      <c r="H88" s="26" t="str">
        <f aca="false">IF(OR(F88="",G88=""),"",ROUNDDOWN(F88*G88,0))</f>
        <v/>
      </c>
      <c r="I88" s="26" t="str">
        <f aca="false">IF(OR(F88="",G88=""),"",F88+H88)</f>
        <v/>
      </c>
      <c r="J88" s="27" t="str">
        <f aca="false">IF(OR(B88="",C88="",D88="コード誤り"),"",IFERROR(DATE(YEAR(B88),MONTH(B88)+INDEX(取引先マスタ!$E$5:$E$204,MATCH($C88,取引先マスタ!$A$5:$A$204,0)),MIN(INDEX(取引先マスタ!$F$5:$F$204,MATCH($C88,取引先マスタ!$A$5:$A$204,0)),DAY(EOMONTH(B88,INDEX(取引先マスタ!$E$5:$E$204,MATCH($C88,取引先マスタ!$A$5:$A$204,0)))))),""))</f>
        <v/>
      </c>
      <c r="K88" s="22"/>
      <c r="L88" s="27" t="str">
        <f aca="false">IF(K88&lt;&gt;"",K88,J88)</f>
        <v/>
      </c>
      <c r="M88" s="28"/>
      <c r="N88" s="22"/>
      <c r="O88" s="28"/>
      <c r="P88" s="26" t="str">
        <f aca="false">IF(A88="","",SUMIF(入金明細!$F$5:$F$1004,A88,入金明細!$E$5:$E$1004))</f>
        <v/>
      </c>
      <c r="Q88" s="27" t="str">
        <f aca="false">IF(OR(A88="",N(P88)=0),"",SUMPRODUCT(MAX((入金明細!$F$5:$F$1004=A88)*入金明細!$B$5:$B$1004)))</f>
        <v/>
      </c>
      <c r="R88" s="18"/>
      <c r="S88" s="26" t="str">
        <f aca="false">IF(OR(A88="",I88=""),"",I88-N(P88)-N(R88))</f>
        <v/>
      </c>
      <c r="T88" s="28"/>
      <c r="U88" s="29" t="str">
        <f aca="false">IF(A88="","",IF(T88="取消","取消",IF(W88&lt;&gt;"","要入力",IF(N88="","未送付",IF(S88=0,"入金済",IF(S88&lt;0,"過入金",IF(設定!$C$5&gt;L88,IF(P88&gt;0,"一部入金・超過","期日超過"),IF(P88&gt;0,"一部入金",IF(L88-設定!$C$5&lt;=設定!$C$6,"期日間近","入金待ち")))))))))</f>
        <v/>
      </c>
      <c r="V88" s="30" t="str">
        <f aca="false">IF(OR(U88="期日超過",U88="一部入金・超過"),設定!$C$5-L88,"")</f>
        <v/>
      </c>
      <c r="W88" s="21" t="str">
        <f aca="false">IF(A88="","",TRIM(IF(B88="","請求日 ","")&amp;IF(C88="","取引先 ",IF(D88="コード誤り","取引先コード誤り ",""))&amp;IF(E88="","件名 ","")&amp;IF(F88="","税抜金額 ","")&amp;IF(G88="","税率 ","")&amp;IF(M88="","送付方法 ","")&amp;IF(AND(N88&lt;&gt;"",O88=""),"送付者 ","")&amp;IF(AND(I88&lt;&gt;"",L88=""),"入金期日 ","")&amp;IF(AND(N88&lt;&gt;"",P88&gt;0,S88&lt;=0,X88=""),"消込確認者 ","")))</f>
        <v/>
      </c>
      <c r="X88" s="28"/>
      <c r="Y88" s="28"/>
    </row>
    <row r="89" customFormat="false" ht="15" hidden="false" customHeight="false" outlineLevel="0" collapsed="false">
      <c r="A89" s="21" t="str">
        <f aca="false">IF(COUNTA(B89,C89,E89,F89)=0,"",設定!$C$4&amp;TEXT(ROW()-4,"00000"))</f>
        <v/>
      </c>
      <c r="B89" s="22"/>
      <c r="C89" s="23"/>
      <c r="D89" s="21" t="str">
        <f aca="false">IF(C89="","",IFERROR(INDEX(取引先マスタ!$B$5:$B$204,MATCH($C89,取引先マスタ!$A$5:$A$204,0)),"コード誤り"))</f>
        <v/>
      </c>
      <c r="E89" s="28"/>
      <c r="F89" s="18"/>
      <c r="G89" s="25"/>
      <c r="H89" s="26" t="str">
        <f aca="false">IF(OR(F89="",G89=""),"",ROUNDDOWN(F89*G89,0))</f>
        <v/>
      </c>
      <c r="I89" s="26" t="str">
        <f aca="false">IF(OR(F89="",G89=""),"",F89+H89)</f>
        <v/>
      </c>
      <c r="J89" s="27" t="str">
        <f aca="false">IF(OR(B89="",C89="",D89="コード誤り"),"",IFERROR(DATE(YEAR(B89),MONTH(B89)+INDEX(取引先マスタ!$E$5:$E$204,MATCH($C89,取引先マスタ!$A$5:$A$204,0)),MIN(INDEX(取引先マスタ!$F$5:$F$204,MATCH($C89,取引先マスタ!$A$5:$A$204,0)),DAY(EOMONTH(B89,INDEX(取引先マスタ!$E$5:$E$204,MATCH($C89,取引先マスタ!$A$5:$A$204,0)))))),""))</f>
        <v/>
      </c>
      <c r="K89" s="22"/>
      <c r="L89" s="27" t="str">
        <f aca="false">IF(K89&lt;&gt;"",K89,J89)</f>
        <v/>
      </c>
      <c r="M89" s="28"/>
      <c r="N89" s="22"/>
      <c r="O89" s="28"/>
      <c r="P89" s="26" t="str">
        <f aca="false">IF(A89="","",SUMIF(入金明細!$F$5:$F$1004,A89,入金明細!$E$5:$E$1004))</f>
        <v/>
      </c>
      <c r="Q89" s="27" t="str">
        <f aca="false">IF(OR(A89="",N(P89)=0),"",SUMPRODUCT(MAX((入金明細!$F$5:$F$1004=A89)*入金明細!$B$5:$B$1004)))</f>
        <v/>
      </c>
      <c r="R89" s="18"/>
      <c r="S89" s="26" t="str">
        <f aca="false">IF(OR(A89="",I89=""),"",I89-N(P89)-N(R89))</f>
        <v/>
      </c>
      <c r="T89" s="28"/>
      <c r="U89" s="29" t="str">
        <f aca="false">IF(A89="","",IF(T89="取消","取消",IF(W89&lt;&gt;"","要入力",IF(N89="","未送付",IF(S89=0,"入金済",IF(S89&lt;0,"過入金",IF(設定!$C$5&gt;L89,IF(P89&gt;0,"一部入金・超過","期日超過"),IF(P89&gt;0,"一部入金",IF(L89-設定!$C$5&lt;=設定!$C$6,"期日間近","入金待ち")))))))))</f>
        <v/>
      </c>
      <c r="V89" s="30" t="str">
        <f aca="false">IF(OR(U89="期日超過",U89="一部入金・超過"),設定!$C$5-L89,"")</f>
        <v/>
      </c>
      <c r="W89" s="21" t="str">
        <f aca="false">IF(A89="","",TRIM(IF(B89="","請求日 ","")&amp;IF(C89="","取引先 ",IF(D89="コード誤り","取引先コード誤り ",""))&amp;IF(E89="","件名 ","")&amp;IF(F89="","税抜金額 ","")&amp;IF(G89="","税率 ","")&amp;IF(M89="","送付方法 ","")&amp;IF(AND(N89&lt;&gt;"",O89=""),"送付者 ","")&amp;IF(AND(I89&lt;&gt;"",L89=""),"入金期日 ","")&amp;IF(AND(N89&lt;&gt;"",P89&gt;0,S89&lt;=0,X89=""),"消込確認者 ","")))</f>
        <v/>
      </c>
      <c r="X89" s="28"/>
      <c r="Y89" s="28"/>
    </row>
    <row r="90" customFormat="false" ht="15" hidden="false" customHeight="false" outlineLevel="0" collapsed="false">
      <c r="A90" s="21" t="str">
        <f aca="false">IF(COUNTA(B90,C90,E90,F90)=0,"",設定!$C$4&amp;TEXT(ROW()-4,"00000"))</f>
        <v/>
      </c>
      <c r="B90" s="22"/>
      <c r="C90" s="23"/>
      <c r="D90" s="21" t="str">
        <f aca="false">IF(C90="","",IFERROR(INDEX(取引先マスタ!$B$5:$B$204,MATCH($C90,取引先マスタ!$A$5:$A$204,0)),"コード誤り"))</f>
        <v/>
      </c>
      <c r="E90" s="28"/>
      <c r="F90" s="18"/>
      <c r="G90" s="25"/>
      <c r="H90" s="26" t="str">
        <f aca="false">IF(OR(F90="",G90=""),"",ROUNDDOWN(F90*G90,0))</f>
        <v/>
      </c>
      <c r="I90" s="26" t="str">
        <f aca="false">IF(OR(F90="",G90=""),"",F90+H90)</f>
        <v/>
      </c>
      <c r="J90" s="27" t="str">
        <f aca="false">IF(OR(B90="",C90="",D90="コード誤り"),"",IFERROR(DATE(YEAR(B90),MONTH(B90)+INDEX(取引先マスタ!$E$5:$E$204,MATCH($C90,取引先マスタ!$A$5:$A$204,0)),MIN(INDEX(取引先マスタ!$F$5:$F$204,MATCH($C90,取引先マスタ!$A$5:$A$204,0)),DAY(EOMONTH(B90,INDEX(取引先マスタ!$E$5:$E$204,MATCH($C90,取引先マスタ!$A$5:$A$204,0)))))),""))</f>
        <v/>
      </c>
      <c r="K90" s="22"/>
      <c r="L90" s="27" t="str">
        <f aca="false">IF(K90&lt;&gt;"",K90,J90)</f>
        <v/>
      </c>
      <c r="M90" s="28"/>
      <c r="N90" s="22"/>
      <c r="O90" s="28"/>
      <c r="P90" s="26" t="str">
        <f aca="false">IF(A90="","",SUMIF(入金明細!$F$5:$F$1004,A90,入金明細!$E$5:$E$1004))</f>
        <v/>
      </c>
      <c r="Q90" s="27" t="str">
        <f aca="false">IF(OR(A90="",N(P90)=0),"",SUMPRODUCT(MAX((入金明細!$F$5:$F$1004=A90)*入金明細!$B$5:$B$1004)))</f>
        <v/>
      </c>
      <c r="R90" s="18"/>
      <c r="S90" s="26" t="str">
        <f aca="false">IF(OR(A90="",I90=""),"",I90-N(P90)-N(R90))</f>
        <v/>
      </c>
      <c r="T90" s="28"/>
      <c r="U90" s="29" t="str">
        <f aca="false">IF(A90="","",IF(T90="取消","取消",IF(W90&lt;&gt;"","要入力",IF(N90="","未送付",IF(S90=0,"入金済",IF(S90&lt;0,"過入金",IF(設定!$C$5&gt;L90,IF(P90&gt;0,"一部入金・超過","期日超過"),IF(P90&gt;0,"一部入金",IF(L90-設定!$C$5&lt;=設定!$C$6,"期日間近","入金待ち")))))))))</f>
        <v/>
      </c>
      <c r="V90" s="30" t="str">
        <f aca="false">IF(OR(U90="期日超過",U90="一部入金・超過"),設定!$C$5-L90,"")</f>
        <v/>
      </c>
      <c r="W90" s="21" t="str">
        <f aca="false">IF(A90="","",TRIM(IF(B90="","請求日 ","")&amp;IF(C90="","取引先 ",IF(D90="コード誤り","取引先コード誤り ",""))&amp;IF(E90="","件名 ","")&amp;IF(F90="","税抜金額 ","")&amp;IF(G90="","税率 ","")&amp;IF(M90="","送付方法 ","")&amp;IF(AND(N90&lt;&gt;"",O90=""),"送付者 ","")&amp;IF(AND(I90&lt;&gt;"",L90=""),"入金期日 ","")&amp;IF(AND(N90&lt;&gt;"",P90&gt;0,S90&lt;=0,X90=""),"消込確認者 ","")))</f>
        <v/>
      </c>
      <c r="X90" s="28"/>
      <c r="Y90" s="28"/>
    </row>
    <row r="91" customFormat="false" ht="15" hidden="false" customHeight="false" outlineLevel="0" collapsed="false">
      <c r="A91" s="21" t="str">
        <f aca="false">IF(COUNTA(B91,C91,E91,F91)=0,"",設定!$C$4&amp;TEXT(ROW()-4,"00000"))</f>
        <v/>
      </c>
      <c r="B91" s="22"/>
      <c r="C91" s="23"/>
      <c r="D91" s="21" t="str">
        <f aca="false">IF(C91="","",IFERROR(INDEX(取引先マスタ!$B$5:$B$204,MATCH($C91,取引先マスタ!$A$5:$A$204,0)),"コード誤り"))</f>
        <v/>
      </c>
      <c r="E91" s="28"/>
      <c r="F91" s="18"/>
      <c r="G91" s="25"/>
      <c r="H91" s="26" t="str">
        <f aca="false">IF(OR(F91="",G91=""),"",ROUNDDOWN(F91*G91,0))</f>
        <v/>
      </c>
      <c r="I91" s="26" t="str">
        <f aca="false">IF(OR(F91="",G91=""),"",F91+H91)</f>
        <v/>
      </c>
      <c r="J91" s="27" t="str">
        <f aca="false">IF(OR(B91="",C91="",D91="コード誤り"),"",IFERROR(DATE(YEAR(B91),MONTH(B91)+INDEX(取引先マスタ!$E$5:$E$204,MATCH($C91,取引先マスタ!$A$5:$A$204,0)),MIN(INDEX(取引先マスタ!$F$5:$F$204,MATCH($C91,取引先マスタ!$A$5:$A$204,0)),DAY(EOMONTH(B91,INDEX(取引先マスタ!$E$5:$E$204,MATCH($C91,取引先マスタ!$A$5:$A$204,0)))))),""))</f>
        <v/>
      </c>
      <c r="K91" s="22"/>
      <c r="L91" s="27" t="str">
        <f aca="false">IF(K91&lt;&gt;"",K91,J91)</f>
        <v/>
      </c>
      <c r="M91" s="28"/>
      <c r="N91" s="22"/>
      <c r="O91" s="28"/>
      <c r="P91" s="26" t="str">
        <f aca="false">IF(A91="","",SUMIF(入金明細!$F$5:$F$1004,A91,入金明細!$E$5:$E$1004))</f>
        <v/>
      </c>
      <c r="Q91" s="27" t="str">
        <f aca="false">IF(OR(A91="",N(P91)=0),"",SUMPRODUCT(MAX((入金明細!$F$5:$F$1004=A91)*入金明細!$B$5:$B$1004)))</f>
        <v/>
      </c>
      <c r="R91" s="18"/>
      <c r="S91" s="26" t="str">
        <f aca="false">IF(OR(A91="",I91=""),"",I91-N(P91)-N(R91))</f>
        <v/>
      </c>
      <c r="T91" s="28"/>
      <c r="U91" s="29" t="str">
        <f aca="false">IF(A91="","",IF(T91="取消","取消",IF(W91&lt;&gt;"","要入力",IF(N91="","未送付",IF(S91=0,"入金済",IF(S91&lt;0,"過入金",IF(設定!$C$5&gt;L91,IF(P91&gt;0,"一部入金・超過","期日超過"),IF(P91&gt;0,"一部入金",IF(L91-設定!$C$5&lt;=設定!$C$6,"期日間近","入金待ち")))))))))</f>
        <v/>
      </c>
      <c r="V91" s="30" t="str">
        <f aca="false">IF(OR(U91="期日超過",U91="一部入金・超過"),設定!$C$5-L91,"")</f>
        <v/>
      </c>
      <c r="W91" s="21" t="str">
        <f aca="false">IF(A91="","",TRIM(IF(B91="","請求日 ","")&amp;IF(C91="","取引先 ",IF(D91="コード誤り","取引先コード誤り ",""))&amp;IF(E91="","件名 ","")&amp;IF(F91="","税抜金額 ","")&amp;IF(G91="","税率 ","")&amp;IF(M91="","送付方法 ","")&amp;IF(AND(N91&lt;&gt;"",O91=""),"送付者 ","")&amp;IF(AND(I91&lt;&gt;"",L91=""),"入金期日 ","")&amp;IF(AND(N91&lt;&gt;"",P91&gt;0,S91&lt;=0,X91=""),"消込確認者 ","")))</f>
        <v/>
      </c>
      <c r="X91" s="28"/>
      <c r="Y91" s="28"/>
    </row>
    <row r="92" customFormat="false" ht="15" hidden="false" customHeight="false" outlineLevel="0" collapsed="false">
      <c r="A92" s="21" t="str">
        <f aca="false">IF(COUNTA(B92,C92,E92,F92)=0,"",設定!$C$4&amp;TEXT(ROW()-4,"00000"))</f>
        <v/>
      </c>
      <c r="B92" s="22"/>
      <c r="C92" s="23"/>
      <c r="D92" s="21" t="str">
        <f aca="false">IF(C92="","",IFERROR(INDEX(取引先マスタ!$B$5:$B$204,MATCH($C92,取引先マスタ!$A$5:$A$204,0)),"コード誤り"))</f>
        <v/>
      </c>
      <c r="E92" s="28"/>
      <c r="F92" s="18"/>
      <c r="G92" s="25"/>
      <c r="H92" s="26" t="str">
        <f aca="false">IF(OR(F92="",G92=""),"",ROUNDDOWN(F92*G92,0))</f>
        <v/>
      </c>
      <c r="I92" s="26" t="str">
        <f aca="false">IF(OR(F92="",G92=""),"",F92+H92)</f>
        <v/>
      </c>
      <c r="J92" s="27" t="str">
        <f aca="false">IF(OR(B92="",C92="",D92="コード誤り"),"",IFERROR(DATE(YEAR(B92),MONTH(B92)+INDEX(取引先マスタ!$E$5:$E$204,MATCH($C92,取引先マスタ!$A$5:$A$204,0)),MIN(INDEX(取引先マスタ!$F$5:$F$204,MATCH($C92,取引先マスタ!$A$5:$A$204,0)),DAY(EOMONTH(B92,INDEX(取引先マスタ!$E$5:$E$204,MATCH($C92,取引先マスタ!$A$5:$A$204,0)))))),""))</f>
        <v/>
      </c>
      <c r="K92" s="22"/>
      <c r="L92" s="27" t="str">
        <f aca="false">IF(K92&lt;&gt;"",K92,J92)</f>
        <v/>
      </c>
      <c r="M92" s="28"/>
      <c r="N92" s="22"/>
      <c r="O92" s="28"/>
      <c r="P92" s="26" t="str">
        <f aca="false">IF(A92="","",SUMIF(入金明細!$F$5:$F$1004,A92,入金明細!$E$5:$E$1004))</f>
        <v/>
      </c>
      <c r="Q92" s="27" t="str">
        <f aca="false">IF(OR(A92="",N(P92)=0),"",SUMPRODUCT(MAX((入金明細!$F$5:$F$1004=A92)*入金明細!$B$5:$B$1004)))</f>
        <v/>
      </c>
      <c r="R92" s="18"/>
      <c r="S92" s="26" t="str">
        <f aca="false">IF(OR(A92="",I92=""),"",I92-N(P92)-N(R92))</f>
        <v/>
      </c>
      <c r="T92" s="28"/>
      <c r="U92" s="29" t="str">
        <f aca="false">IF(A92="","",IF(T92="取消","取消",IF(W92&lt;&gt;"","要入力",IF(N92="","未送付",IF(S92=0,"入金済",IF(S92&lt;0,"過入金",IF(設定!$C$5&gt;L92,IF(P92&gt;0,"一部入金・超過","期日超過"),IF(P92&gt;0,"一部入金",IF(L92-設定!$C$5&lt;=設定!$C$6,"期日間近","入金待ち")))))))))</f>
        <v/>
      </c>
      <c r="V92" s="30" t="str">
        <f aca="false">IF(OR(U92="期日超過",U92="一部入金・超過"),設定!$C$5-L92,"")</f>
        <v/>
      </c>
      <c r="W92" s="21" t="str">
        <f aca="false">IF(A92="","",TRIM(IF(B92="","請求日 ","")&amp;IF(C92="","取引先 ",IF(D92="コード誤り","取引先コード誤り ",""))&amp;IF(E92="","件名 ","")&amp;IF(F92="","税抜金額 ","")&amp;IF(G92="","税率 ","")&amp;IF(M92="","送付方法 ","")&amp;IF(AND(N92&lt;&gt;"",O92=""),"送付者 ","")&amp;IF(AND(I92&lt;&gt;"",L92=""),"入金期日 ","")&amp;IF(AND(N92&lt;&gt;"",P92&gt;0,S92&lt;=0,X92=""),"消込確認者 ","")))</f>
        <v/>
      </c>
      <c r="X92" s="28"/>
      <c r="Y92" s="28"/>
    </row>
    <row r="93" customFormat="false" ht="15" hidden="false" customHeight="false" outlineLevel="0" collapsed="false">
      <c r="A93" s="21" t="str">
        <f aca="false">IF(COUNTA(B93,C93,E93,F93)=0,"",設定!$C$4&amp;TEXT(ROW()-4,"00000"))</f>
        <v/>
      </c>
      <c r="B93" s="22"/>
      <c r="C93" s="23"/>
      <c r="D93" s="21" t="str">
        <f aca="false">IF(C93="","",IFERROR(INDEX(取引先マスタ!$B$5:$B$204,MATCH($C93,取引先マスタ!$A$5:$A$204,0)),"コード誤り"))</f>
        <v/>
      </c>
      <c r="E93" s="28"/>
      <c r="F93" s="18"/>
      <c r="G93" s="25"/>
      <c r="H93" s="26" t="str">
        <f aca="false">IF(OR(F93="",G93=""),"",ROUNDDOWN(F93*G93,0))</f>
        <v/>
      </c>
      <c r="I93" s="26" t="str">
        <f aca="false">IF(OR(F93="",G93=""),"",F93+H93)</f>
        <v/>
      </c>
      <c r="J93" s="27" t="str">
        <f aca="false">IF(OR(B93="",C93="",D93="コード誤り"),"",IFERROR(DATE(YEAR(B93),MONTH(B93)+INDEX(取引先マスタ!$E$5:$E$204,MATCH($C93,取引先マスタ!$A$5:$A$204,0)),MIN(INDEX(取引先マスタ!$F$5:$F$204,MATCH($C93,取引先マスタ!$A$5:$A$204,0)),DAY(EOMONTH(B93,INDEX(取引先マスタ!$E$5:$E$204,MATCH($C93,取引先マスタ!$A$5:$A$204,0)))))),""))</f>
        <v/>
      </c>
      <c r="K93" s="22"/>
      <c r="L93" s="27" t="str">
        <f aca="false">IF(K93&lt;&gt;"",K93,J93)</f>
        <v/>
      </c>
      <c r="M93" s="28"/>
      <c r="N93" s="22"/>
      <c r="O93" s="28"/>
      <c r="P93" s="26" t="str">
        <f aca="false">IF(A93="","",SUMIF(入金明細!$F$5:$F$1004,A93,入金明細!$E$5:$E$1004))</f>
        <v/>
      </c>
      <c r="Q93" s="27" t="str">
        <f aca="false">IF(OR(A93="",N(P93)=0),"",SUMPRODUCT(MAX((入金明細!$F$5:$F$1004=A93)*入金明細!$B$5:$B$1004)))</f>
        <v/>
      </c>
      <c r="R93" s="18"/>
      <c r="S93" s="26" t="str">
        <f aca="false">IF(OR(A93="",I93=""),"",I93-N(P93)-N(R93))</f>
        <v/>
      </c>
      <c r="T93" s="28"/>
      <c r="U93" s="29" t="str">
        <f aca="false">IF(A93="","",IF(T93="取消","取消",IF(W93&lt;&gt;"","要入力",IF(N93="","未送付",IF(S93=0,"入金済",IF(S93&lt;0,"過入金",IF(設定!$C$5&gt;L93,IF(P93&gt;0,"一部入金・超過","期日超過"),IF(P93&gt;0,"一部入金",IF(L93-設定!$C$5&lt;=設定!$C$6,"期日間近","入金待ち")))))))))</f>
        <v/>
      </c>
      <c r="V93" s="30" t="str">
        <f aca="false">IF(OR(U93="期日超過",U93="一部入金・超過"),設定!$C$5-L93,"")</f>
        <v/>
      </c>
      <c r="W93" s="21" t="str">
        <f aca="false">IF(A93="","",TRIM(IF(B93="","請求日 ","")&amp;IF(C93="","取引先 ",IF(D93="コード誤り","取引先コード誤り ",""))&amp;IF(E93="","件名 ","")&amp;IF(F93="","税抜金額 ","")&amp;IF(G93="","税率 ","")&amp;IF(M93="","送付方法 ","")&amp;IF(AND(N93&lt;&gt;"",O93=""),"送付者 ","")&amp;IF(AND(I93&lt;&gt;"",L93=""),"入金期日 ","")&amp;IF(AND(N93&lt;&gt;"",P93&gt;0,S93&lt;=0,X93=""),"消込確認者 ","")))</f>
        <v/>
      </c>
      <c r="X93" s="28"/>
      <c r="Y93" s="28"/>
    </row>
    <row r="94" customFormat="false" ht="15" hidden="false" customHeight="false" outlineLevel="0" collapsed="false">
      <c r="A94" s="21" t="str">
        <f aca="false">IF(COUNTA(B94,C94,E94,F94)=0,"",設定!$C$4&amp;TEXT(ROW()-4,"00000"))</f>
        <v/>
      </c>
      <c r="B94" s="22"/>
      <c r="C94" s="23"/>
      <c r="D94" s="21" t="str">
        <f aca="false">IF(C94="","",IFERROR(INDEX(取引先マスタ!$B$5:$B$204,MATCH($C94,取引先マスタ!$A$5:$A$204,0)),"コード誤り"))</f>
        <v/>
      </c>
      <c r="E94" s="28"/>
      <c r="F94" s="18"/>
      <c r="G94" s="25"/>
      <c r="H94" s="26" t="str">
        <f aca="false">IF(OR(F94="",G94=""),"",ROUNDDOWN(F94*G94,0))</f>
        <v/>
      </c>
      <c r="I94" s="26" t="str">
        <f aca="false">IF(OR(F94="",G94=""),"",F94+H94)</f>
        <v/>
      </c>
      <c r="J94" s="27" t="str">
        <f aca="false">IF(OR(B94="",C94="",D94="コード誤り"),"",IFERROR(DATE(YEAR(B94),MONTH(B94)+INDEX(取引先マスタ!$E$5:$E$204,MATCH($C94,取引先マスタ!$A$5:$A$204,0)),MIN(INDEX(取引先マスタ!$F$5:$F$204,MATCH($C94,取引先マスタ!$A$5:$A$204,0)),DAY(EOMONTH(B94,INDEX(取引先マスタ!$E$5:$E$204,MATCH($C94,取引先マスタ!$A$5:$A$204,0)))))),""))</f>
        <v/>
      </c>
      <c r="K94" s="22"/>
      <c r="L94" s="27" t="str">
        <f aca="false">IF(K94&lt;&gt;"",K94,J94)</f>
        <v/>
      </c>
      <c r="M94" s="28"/>
      <c r="N94" s="22"/>
      <c r="O94" s="28"/>
      <c r="P94" s="26" t="str">
        <f aca="false">IF(A94="","",SUMIF(入金明細!$F$5:$F$1004,A94,入金明細!$E$5:$E$1004))</f>
        <v/>
      </c>
      <c r="Q94" s="27" t="str">
        <f aca="false">IF(OR(A94="",N(P94)=0),"",SUMPRODUCT(MAX((入金明細!$F$5:$F$1004=A94)*入金明細!$B$5:$B$1004)))</f>
        <v/>
      </c>
      <c r="R94" s="18"/>
      <c r="S94" s="26" t="str">
        <f aca="false">IF(OR(A94="",I94=""),"",I94-N(P94)-N(R94))</f>
        <v/>
      </c>
      <c r="T94" s="28"/>
      <c r="U94" s="29" t="str">
        <f aca="false">IF(A94="","",IF(T94="取消","取消",IF(W94&lt;&gt;"","要入力",IF(N94="","未送付",IF(S94=0,"入金済",IF(S94&lt;0,"過入金",IF(設定!$C$5&gt;L94,IF(P94&gt;0,"一部入金・超過","期日超過"),IF(P94&gt;0,"一部入金",IF(L94-設定!$C$5&lt;=設定!$C$6,"期日間近","入金待ち")))))))))</f>
        <v/>
      </c>
      <c r="V94" s="30" t="str">
        <f aca="false">IF(OR(U94="期日超過",U94="一部入金・超過"),設定!$C$5-L94,"")</f>
        <v/>
      </c>
      <c r="W94" s="21" t="str">
        <f aca="false">IF(A94="","",TRIM(IF(B94="","請求日 ","")&amp;IF(C94="","取引先 ",IF(D94="コード誤り","取引先コード誤り ",""))&amp;IF(E94="","件名 ","")&amp;IF(F94="","税抜金額 ","")&amp;IF(G94="","税率 ","")&amp;IF(M94="","送付方法 ","")&amp;IF(AND(N94&lt;&gt;"",O94=""),"送付者 ","")&amp;IF(AND(I94&lt;&gt;"",L94=""),"入金期日 ","")&amp;IF(AND(N94&lt;&gt;"",P94&gt;0,S94&lt;=0,X94=""),"消込確認者 ","")))</f>
        <v/>
      </c>
      <c r="X94" s="28"/>
      <c r="Y94" s="28"/>
    </row>
    <row r="95" customFormat="false" ht="15" hidden="false" customHeight="false" outlineLevel="0" collapsed="false">
      <c r="A95" s="21" t="str">
        <f aca="false">IF(COUNTA(B95,C95,E95,F95)=0,"",設定!$C$4&amp;TEXT(ROW()-4,"00000"))</f>
        <v/>
      </c>
      <c r="B95" s="22"/>
      <c r="C95" s="23"/>
      <c r="D95" s="21" t="str">
        <f aca="false">IF(C95="","",IFERROR(INDEX(取引先マスタ!$B$5:$B$204,MATCH($C95,取引先マスタ!$A$5:$A$204,0)),"コード誤り"))</f>
        <v/>
      </c>
      <c r="E95" s="28"/>
      <c r="F95" s="18"/>
      <c r="G95" s="25"/>
      <c r="H95" s="26" t="str">
        <f aca="false">IF(OR(F95="",G95=""),"",ROUNDDOWN(F95*G95,0))</f>
        <v/>
      </c>
      <c r="I95" s="26" t="str">
        <f aca="false">IF(OR(F95="",G95=""),"",F95+H95)</f>
        <v/>
      </c>
      <c r="J95" s="27" t="str">
        <f aca="false">IF(OR(B95="",C95="",D95="コード誤り"),"",IFERROR(DATE(YEAR(B95),MONTH(B95)+INDEX(取引先マスタ!$E$5:$E$204,MATCH($C95,取引先マスタ!$A$5:$A$204,0)),MIN(INDEX(取引先マスタ!$F$5:$F$204,MATCH($C95,取引先マスタ!$A$5:$A$204,0)),DAY(EOMONTH(B95,INDEX(取引先マスタ!$E$5:$E$204,MATCH($C95,取引先マスタ!$A$5:$A$204,0)))))),""))</f>
        <v/>
      </c>
      <c r="K95" s="22"/>
      <c r="L95" s="27" t="str">
        <f aca="false">IF(K95&lt;&gt;"",K95,J95)</f>
        <v/>
      </c>
      <c r="M95" s="28"/>
      <c r="N95" s="22"/>
      <c r="O95" s="28"/>
      <c r="P95" s="26" t="str">
        <f aca="false">IF(A95="","",SUMIF(入金明細!$F$5:$F$1004,A95,入金明細!$E$5:$E$1004))</f>
        <v/>
      </c>
      <c r="Q95" s="27" t="str">
        <f aca="false">IF(OR(A95="",N(P95)=0),"",SUMPRODUCT(MAX((入金明細!$F$5:$F$1004=A95)*入金明細!$B$5:$B$1004)))</f>
        <v/>
      </c>
      <c r="R95" s="18"/>
      <c r="S95" s="26" t="str">
        <f aca="false">IF(OR(A95="",I95=""),"",I95-N(P95)-N(R95))</f>
        <v/>
      </c>
      <c r="T95" s="28"/>
      <c r="U95" s="29" t="str">
        <f aca="false">IF(A95="","",IF(T95="取消","取消",IF(W95&lt;&gt;"","要入力",IF(N95="","未送付",IF(S95=0,"入金済",IF(S95&lt;0,"過入金",IF(設定!$C$5&gt;L95,IF(P95&gt;0,"一部入金・超過","期日超過"),IF(P95&gt;0,"一部入金",IF(L95-設定!$C$5&lt;=設定!$C$6,"期日間近","入金待ち")))))))))</f>
        <v/>
      </c>
      <c r="V95" s="30" t="str">
        <f aca="false">IF(OR(U95="期日超過",U95="一部入金・超過"),設定!$C$5-L95,"")</f>
        <v/>
      </c>
      <c r="W95" s="21" t="str">
        <f aca="false">IF(A95="","",TRIM(IF(B95="","請求日 ","")&amp;IF(C95="","取引先 ",IF(D95="コード誤り","取引先コード誤り ",""))&amp;IF(E95="","件名 ","")&amp;IF(F95="","税抜金額 ","")&amp;IF(G95="","税率 ","")&amp;IF(M95="","送付方法 ","")&amp;IF(AND(N95&lt;&gt;"",O95=""),"送付者 ","")&amp;IF(AND(I95&lt;&gt;"",L95=""),"入金期日 ","")&amp;IF(AND(N95&lt;&gt;"",P95&gt;0,S95&lt;=0,X95=""),"消込確認者 ","")))</f>
        <v/>
      </c>
      <c r="X95" s="28"/>
      <c r="Y95" s="28"/>
    </row>
    <row r="96" customFormat="false" ht="15" hidden="false" customHeight="false" outlineLevel="0" collapsed="false">
      <c r="A96" s="21" t="str">
        <f aca="false">IF(COUNTA(B96,C96,E96,F96)=0,"",設定!$C$4&amp;TEXT(ROW()-4,"00000"))</f>
        <v/>
      </c>
      <c r="B96" s="22"/>
      <c r="C96" s="23"/>
      <c r="D96" s="21" t="str">
        <f aca="false">IF(C96="","",IFERROR(INDEX(取引先マスタ!$B$5:$B$204,MATCH($C96,取引先マスタ!$A$5:$A$204,0)),"コード誤り"))</f>
        <v/>
      </c>
      <c r="E96" s="28"/>
      <c r="F96" s="18"/>
      <c r="G96" s="25"/>
      <c r="H96" s="26" t="str">
        <f aca="false">IF(OR(F96="",G96=""),"",ROUNDDOWN(F96*G96,0))</f>
        <v/>
      </c>
      <c r="I96" s="26" t="str">
        <f aca="false">IF(OR(F96="",G96=""),"",F96+H96)</f>
        <v/>
      </c>
      <c r="J96" s="27" t="str">
        <f aca="false">IF(OR(B96="",C96="",D96="コード誤り"),"",IFERROR(DATE(YEAR(B96),MONTH(B96)+INDEX(取引先マスタ!$E$5:$E$204,MATCH($C96,取引先マスタ!$A$5:$A$204,0)),MIN(INDEX(取引先マスタ!$F$5:$F$204,MATCH($C96,取引先マスタ!$A$5:$A$204,0)),DAY(EOMONTH(B96,INDEX(取引先マスタ!$E$5:$E$204,MATCH($C96,取引先マスタ!$A$5:$A$204,0)))))),""))</f>
        <v/>
      </c>
      <c r="K96" s="22"/>
      <c r="L96" s="27" t="str">
        <f aca="false">IF(K96&lt;&gt;"",K96,J96)</f>
        <v/>
      </c>
      <c r="M96" s="28"/>
      <c r="N96" s="22"/>
      <c r="O96" s="28"/>
      <c r="P96" s="26" t="str">
        <f aca="false">IF(A96="","",SUMIF(入金明細!$F$5:$F$1004,A96,入金明細!$E$5:$E$1004))</f>
        <v/>
      </c>
      <c r="Q96" s="27" t="str">
        <f aca="false">IF(OR(A96="",N(P96)=0),"",SUMPRODUCT(MAX((入金明細!$F$5:$F$1004=A96)*入金明細!$B$5:$B$1004)))</f>
        <v/>
      </c>
      <c r="R96" s="18"/>
      <c r="S96" s="26" t="str">
        <f aca="false">IF(OR(A96="",I96=""),"",I96-N(P96)-N(R96))</f>
        <v/>
      </c>
      <c r="T96" s="28"/>
      <c r="U96" s="29" t="str">
        <f aca="false">IF(A96="","",IF(T96="取消","取消",IF(W96&lt;&gt;"","要入力",IF(N96="","未送付",IF(S96=0,"入金済",IF(S96&lt;0,"過入金",IF(設定!$C$5&gt;L96,IF(P96&gt;0,"一部入金・超過","期日超過"),IF(P96&gt;0,"一部入金",IF(L96-設定!$C$5&lt;=設定!$C$6,"期日間近","入金待ち")))))))))</f>
        <v/>
      </c>
      <c r="V96" s="30" t="str">
        <f aca="false">IF(OR(U96="期日超過",U96="一部入金・超過"),設定!$C$5-L96,"")</f>
        <v/>
      </c>
      <c r="W96" s="21" t="str">
        <f aca="false">IF(A96="","",TRIM(IF(B96="","請求日 ","")&amp;IF(C96="","取引先 ",IF(D96="コード誤り","取引先コード誤り ",""))&amp;IF(E96="","件名 ","")&amp;IF(F96="","税抜金額 ","")&amp;IF(G96="","税率 ","")&amp;IF(M96="","送付方法 ","")&amp;IF(AND(N96&lt;&gt;"",O96=""),"送付者 ","")&amp;IF(AND(I96&lt;&gt;"",L96=""),"入金期日 ","")&amp;IF(AND(N96&lt;&gt;"",P96&gt;0,S96&lt;=0,X96=""),"消込確認者 ","")))</f>
        <v/>
      </c>
      <c r="X96" s="28"/>
      <c r="Y96" s="28"/>
    </row>
    <row r="97" customFormat="false" ht="15" hidden="false" customHeight="false" outlineLevel="0" collapsed="false">
      <c r="A97" s="21" t="str">
        <f aca="false">IF(COUNTA(B97,C97,E97,F97)=0,"",設定!$C$4&amp;TEXT(ROW()-4,"00000"))</f>
        <v/>
      </c>
      <c r="B97" s="22"/>
      <c r="C97" s="23"/>
      <c r="D97" s="21" t="str">
        <f aca="false">IF(C97="","",IFERROR(INDEX(取引先マスタ!$B$5:$B$204,MATCH($C97,取引先マスタ!$A$5:$A$204,0)),"コード誤り"))</f>
        <v/>
      </c>
      <c r="E97" s="28"/>
      <c r="F97" s="18"/>
      <c r="G97" s="25"/>
      <c r="H97" s="26" t="str">
        <f aca="false">IF(OR(F97="",G97=""),"",ROUNDDOWN(F97*G97,0))</f>
        <v/>
      </c>
      <c r="I97" s="26" t="str">
        <f aca="false">IF(OR(F97="",G97=""),"",F97+H97)</f>
        <v/>
      </c>
      <c r="J97" s="27" t="str">
        <f aca="false">IF(OR(B97="",C97="",D97="コード誤り"),"",IFERROR(DATE(YEAR(B97),MONTH(B97)+INDEX(取引先マスタ!$E$5:$E$204,MATCH($C97,取引先マスタ!$A$5:$A$204,0)),MIN(INDEX(取引先マスタ!$F$5:$F$204,MATCH($C97,取引先マスタ!$A$5:$A$204,0)),DAY(EOMONTH(B97,INDEX(取引先マスタ!$E$5:$E$204,MATCH($C97,取引先マスタ!$A$5:$A$204,0)))))),""))</f>
        <v/>
      </c>
      <c r="K97" s="22"/>
      <c r="L97" s="27" t="str">
        <f aca="false">IF(K97&lt;&gt;"",K97,J97)</f>
        <v/>
      </c>
      <c r="M97" s="28"/>
      <c r="N97" s="22"/>
      <c r="O97" s="28"/>
      <c r="P97" s="26" t="str">
        <f aca="false">IF(A97="","",SUMIF(入金明細!$F$5:$F$1004,A97,入金明細!$E$5:$E$1004))</f>
        <v/>
      </c>
      <c r="Q97" s="27" t="str">
        <f aca="false">IF(OR(A97="",N(P97)=0),"",SUMPRODUCT(MAX((入金明細!$F$5:$F$1004=A97)*入金明細!$B$5:$B$1004)))</f>
        <v/>
      </c>
      <c r="R97" s="18"/>
      <c r="S97" s="26" t="str">
        <f aca="false">IF(OR(A97="",I97=""),"",I97-N(P97)-N(R97))</f>
        <v/>
      </c>
      <c r="T97" s="28"/>
      <c r="U97" s="29" t="str">
        <f aca="false">IF(A97="","",IF(T97="取消","取消",IF(W97&lt;&gt;"","要入力",IF(N97="","未送付",IF(S97=0,"入金済",IF(S97&lt;0,"過入金",IF(設定!$C$5&gt;L97,IF(P97&gt;0,"一部入金・超過","期日超過"),IF(P97&gt;0,"一部入金",IF(L97-設定!$C$5&lt;=設定!$C$6,"期日間近","入金待ち")))))))))</f>
        <v/>
      </c>
      <c r="V97" s="30" t="str">
        <f aca="false">IF(OR(U97="期日超過",U97="一部入金・超過"),設定!$C$5-L97,"")</f>
        <v/>
      </c>
      <c r="W97" s="21" t="str">
        <f aca="false">IF(A97="","",TRIM(IF(B97="","請求日 ","")&amp;IF(C97="","取引先 ",IF(D97="コード誤り","取引先コード誤り ",""))&amp;IF(E97="","件名 ","")&amp;IF(F97="","税抜金額 ","")&amp;IF(G97="","税率 ","")&amp;IF(M97="","送付方法 ","")&amp;IF(AND(N97&lt;&gt;"",O97=""),"送付者 ","")&amp;IF(AND(I97&lt;&gt;"",L97=""),"入金期日 ","")&amp;IF(AND(N97&lt;&gt;"",P97&gt;0,S97&lt;=0,X97=""),"消込確認者 ","")))</f>
        <v/>
      </c>
      <c r="X97" s="28"/>
      <c r="Y97" s="28"/>
    </row>
    <row r="98" customFormat="false" ht="15" hidden="false" customHeight="false" outlineLevel="0" collapsed="false">
      <c r="A98" s="21" t="str">
        <f aca="false">IF(COUNTA(B98,C98,E98,F98)=0,"",設定!$C$4&amp;TEXT(ROW()-4,"00000"))</f>
        <v/>
      </c>
      <c r="B98" s="22"/>
      <c r="C98" s="23"/>
      <c r="D98" s="21" t="str">
        <f aca="false">IF(C98="","",IFERROR(INDEX(取引先マスタ!$B$5:$B$204,MATCH($C98,取引先マスタ!$A$5:$A$204,0)),"コード誤り"))</f>
        <v/>
      </c>
      <c r="E98" s="28"/>
      <c r="F98" s="18"/>
      <c r="G98" s="25"/>
      <c r="H98" s="26" t="str">
        <f aca="false">IF(OR(F98="",G98=""),"",ROUNDDOWN(F98*G98,0))</f>
        <v/>
      </c>
      <c r="I98" s="26" t="str">
        <f aca="false">IF(OR(F98="",G98=""),"",F98+H98)</f>
        <v/>
      </c>
      <c r="J98" s="27" t="str">
        <f aca="false">IF(OR(B98="",C98="",D98="コード誤り"),"",IFERROR(DATE(YEAR(B98),MONTH(B98)+INDEX(取引先マスタ!$E$5:$E$204,MATCH($C98,取引先マスタ!$A$5:$A$204,0)),MIN(INDEX(取引先マスタ!$F$5:$F$204,MATCH($C98,取引先マスタ!$A$5:$A$204,0)),DAY(EOMONTH(B98,INDEX(取引先マスタ!$E$5:$E$204,MATCH($C98,取引先マスタ!$A$5:$A$204,0)))))),""))</f>
        <v/>
      </c>
      <c r="K98" s="22"/>
      <c r="L98" s="27" t="str">
        <f aca="false">IF(K98&lt;&gt;"",K98,J98)</f>
        <v/>
      </c>
      <c r="M98" s="28"/>
      <c r="N98" s="22"/>
      <c r="O98" s="28"/>
      <c r="P98" s="26" t="str">
        <f aca="false">IF(A98="","",SUMIF(入金明細!$F$5:$F$1004,A98,入金明細!$E$5:$E$1004))</f>
        <v/>
      </c>
      <c r="Q98" s="27" t="str">
        <f aca="false">IF(OR(A98="",N(P98)=0),"",SUMPRODUCT(MAX((入金明細!$F$5:$F$1004=A98)*入金明細!$B$5:$B$1004)))</f>
        <v/>
      </c>
      <c r="R98" s="18"/>
      <c r="S98" s="26" t="str">
        <f aca="false">IF(OR(A98="",I98=""),"",I98-N(P98)-N(R98))</f>
        <v/>
      </c>
      <c r="T98" s="28"/>
      <c r="U98" s="29" t="str">
        <f aca="false">IF(A98="","",IF(T98="取消","取消",IF(W98&lt;&gt;"","要入力",IF(N98="","未送付",IF(S98=0,"入金済",IF(S98&lt;0,"過入金",IF(設定!$C$5&gt;L98,IF(P98&gt;0,"一部入金・超過","期日超過"),IF(P98&gt;0,"一部入金",IF(L98-設定!$C$5&lt;=設定!$C$6,"期日間近","入金待ち")))))))))</f>
        <v/>
      </c>
      <c r="V98" s="30" t="str">
        <f aca="false">IF(OR(U98="期日超過",U98="一部入金・超過"),設定!$C$5-L98,"")</f>
        <v/>
      </c>
      <c r="W98" s="21" t="str">
        <f aca="false">IF(A98="","",TRIM(IF(B98="","請求日 ","")&amp;IF(C98="","取引先 ",IF(D98="コード誤り","取引先コード誤り ",""))&amp;IF(E98="","件名 ","")&amp;IF(F98="","税抜金額 ","")&amp;IF(G98="","税率 ","")&amp;IF(M98="","送付方法 ","")&amp;IF(AND(N98&lt;&gt;"",O98=""),"送付者 ","")&amp;IF(AND(I98&lt;&gt;"",L98=""),"入金期日 ","")&amp;IF(AND(N98&lt;&gt;"",P98&gt;0,S98&lt;=0,X98=""),"消込確認者 ","")))</f>
        <v/>
      </c>
      <c r="X98" s="28"/>
      <c r="Y98" s="28"/>
    </row>
    <row r="99" customFormat="false" ht="15" hidden="false" customHeight="false" outlineLevel="0" collapsed="false">
      <c r="A99" s="21" t="str">
        <f aca="false">IF(COUNTA(B99,C99,E99,F99)=0,"",設定!$C$4&amp;TEXT(ROW()-4,"00000"))</f>
        <v/>
      </c>
      <c r="B99" s="22"/>
      <c r="C99" s="23"/>
      <c r="D99" s="21" t="str">
        <f aca="false">IF(C99="","",IFERROR(INDEX(取引先マスタ!$B$5:$B$204,MATCH($C99,取引先マスタ!$A$5:$A$204,0)),"コード誤り"))</f>
        <v/>
      </c>
      <c r="E99" s="28"/>
      <c r="F99" s="18"/>
      <c r="G99" s="25"/>
      <c r="H99" s="26" t="str">
        <f aca="false">IF(OR(F99="",G99=""),"",ROUNDDOWN(F99*G99,0))</f>
        <v/>
      </c>
      <c r="I99" s="26" t="str">
        <f aca="false">IF(OR(F99="",G99=""),"",F99+H99)</f>
        <v/>
      </c>
      <c r="J99" s="27" t="str">
        <f aca="false">IF(OR(B99="",C99="",D99="コード誤り"),"",IFERROR(DATE(YEAR(B99),MONTH(B99)+INDEX(取引先マスタ!$E$5:$E$204,MATCH($C99,取引先マスタ!$A$5:$A$204,0)),MIN(INDEX(取引先マスタ!$F$5:$F$204,MATCH($C99,取引先マスタ!$A$5:$A$204,0)),DAY(EOMONTH(B99,INDEX(取引先マスタ!$E$5:$E$204,MATCH($C99,取引先マスタ!$A$5:$A$204,0)))))),""))</f>
        <v/>
      </c>
      <c r="K99" s="22"/>
      <c r="L99" s="27" t="str">
        <f aca="false">IF(K99&lt;&gt;"",K99,J99)</f>
        <v/>
      </c>
      <c r="M99" s="28"/>
      <c r="N99" s="22"/>
      <c r="O99" s="28"/>
      <c r="P99" s="26" t="str">
        <f aca="false">IF(A99="","",SUMIF(入金明細!$F$5:$F$1004,A99,入金明細!$E$5:$E$1004))</f>
        <v/>
      </c>
      <c r="Q99" s="27" t="str">
        <f aca="false">IF(OR(A99="",N(P99)=0),"",SUMPRODUCT(MAX((入金明細!$F$5:$F$1004=A99)*入金明細!$B$5:$B$1004)))</f>
        <v/>
      </c>
      <c r="R99" s="18"/>
      <c r="S99" s="26" t="str">
        <f aca="false">IF(OR(A99="",I99=""),"",I99-N(P99)-N(R99))</f>
        <v/>
      </c>
      <c r="T99" s="28"/>
      <c r="U99" s="29" t="str">
        <f aca="false">IF(A99="","",IF(T99="取消","取消",IF(W99&lt;&gt;"","要入力",IF(N99="","未送付",IF(S99=0,"入金済",IF(S99&lt;0,"過入金",IF(設定!$C$5&gt;L99,IF(P99&gt;0,"一部入金・超過","期日超過"),IF(P99&gt;0,"一部入金",IF(L99-設定!$C$5&lt;=設定!$C$6,"期日間近","入金待ち")))))))))</f>
        <v/>
      </c>
      <c r="V99" s="30" t="str">
        <f aca="false">IF(OR(U99="期日超過",U99="一部入金・超過"),設定!$C$5-L99,"")</f>
        <v/>
      </c>
      <c r="W99" s="21" t="str">
        <f aca="false">IF(A99="","",TRIM(IF(B99="","請求日 ","")&amp;IF(C99="","取引先 ",IF(D99="コード誤り","取引先コード誤り ",""))&amp;IF(E99="","件名 ","")&amp;IF(F99="","税抜金額 ","")&amp;IF(G99="","税率 ","")&amp;IF(M99="","送付方法 ","")&amp;IF(AND(N99&lt;&gt;"",O99=""),"送付者 ","")&amp;IF(AND(I99&lt;&gt;"",L99=""),"入金期日 ","")&amp;IF(AND(N99&lt;&gt;"",P99&gt;0,S99&lt;=0,X99=""),"消込確認者 ","")))</f>
        <v/>
      </c>
      <c r="X99" s="28"/>
      <c r="Y99" s="28"/>
    </row>
    <row r="100" customFormat="false" ht="15" hidden="false" customHeight="false" outlineLevel="0" collapsed="false">
      <c r="A100" s="21" t="str">
        <f aca="false">IF(COUNTA(B100,C100,E100,F100)=0,"",設定!$C$4&amp;TEXT(ROW()-4,"00000"))</f>
        <v/>
      </c>
      <c r="B100" s="22"/>
      <c r="C100" s="23"/>
      <c r="D100" s="21" t="str">
        <f aca="false">IF(C100="","",IFERROR(INDEX(取引先マスタ!$B$5:$B$204,MATCH($C100,取引先マスタ!$A$5:$A$204,0)),"コード誤り"))</f>
        <v/>
      </c>
      <c r="E100" s="28"/>
      <c r="F100" s="18"/>
      <c r="G100" s="25"/>
      <c r="H100" s="26" t="str">
        <f aca="false">IF(OR(F100="",G100=""),"",ROUNDDOWN(F100*G100,0))</f>
        <v/>
      </c>
      <c r="I100" s="26" t="str">
        <f aca="false">IF(OR(F100="",G100=""),"",F100+H100)</f>
        <v/>
      </c>
      <c r="J100" s="27" t="str">
        <f aca="false">IF(OR(B100="",C100="",D100="コード誤り"),"",IFERROR(DATE(YEAR(B100),MONTH(B100)+INDEX(取引先マスタ!$E$5:$E$204,MATCH($C100,取引先マスタ!$A$5:$A$204,0)),MIN(INDEX(取引先マスタ!$F$5:$F$204,MATCH($C100,取引先マスタ!$A$5:$A$204,0)),DAY(EOMONTH(B100,INDEX(取引先マスタ!$E$5:$E$204,MATCH($C100,取引先マスタ!$A$5:$A$204,0)))))),""))</f>
        <v/>
      </c>
      <c r="K100" s="22"/>
      <c r="L100" s="27" t="str">
        <f aca="false">IF(K100&lt;&gt;"",K100,J100)</f>
        <v/>
      </c>
      <c r="M100" s="28"/>
      <c r="N100" s="22"/>
      <c r="O100" s="28"/>
      <c r="P100" s="26" t="str">
        <f aca="false">IF(A100="","",SUMIF(入金明細!$F$5:$F$1004,A100,入金明細!$E$5:$E$1004))</f>
        <v/>
      </c>
      <c r="Q100" s="27" t="str">
        <f aca="false">IF(OR(A100="",N(P100)=0),"",SUMPRODUCT(MAX((入金明細!$F$5:$F$1004=A100)*入金明細!$B$5:$B$1004)))</f>
        <v/>
      </c>
      <c r="R100" s="18"/>
      <c r="S100" s="26" t="str">
        <f aca="false">IF(OR(A100="",I100=""),"",I100-N(P100)-N(R100))</f>
        <v/>
      </c>
      <c r="T100" s="28"/>
      <c r="U100" s="29" t="str">
        <f aca="false">IF(A100="","",IF(T100="取消","取消",IF(W100&lt;&gt;"","要入力",IF(N100="","未送付",IF(S100=0,"入金済",IF(S100&lt;0,"過入金",IF(設定!$C$5&gt;L100,IF(P100&gt;0,"一部入金・超過","期日超過"),IF(P100&gt;0,"一部入金",IF(L100-設定!$C$5&lt;=設定!$C$6,"期日間近","入金待ち")))))))))</f>
        <v/>
      </c>
      <c r="V100" s="30" t="str">
        <f aca="false">IF(OR(U100="期日超過",U100="一部入金・超過"),設定!$C$5-L100,"")</f>
        <v/>
      </c>
      <c r="W100" s="21" t="str">
        <f aca="false">IF(A100="","",TRIM(IF(B100="","請求日 ","")&amp;IF(C100="","取引先 ",IF(D100="コード誤り","取引先コード誤り ",""))&amp;IF(E100="","件名 ","")&amp;IF(F100="","税抜金額 ","")&amp;IF(G100="","税率 ","")&amp;IF(M100="","送付方法 ","")&amp;IF(AND(N100&lt;&gt;"",O100=""),"送付者 ","")&amp;IF(AND(I100&lt;&gt;"",L100=""),"入金期日 ","")&amp;IF(AND(N100&lt;&gt;"",P100&gt;0,S100&lt;=0,X100=""),"消込確認者 ","")))</f>
        <v/>
      </c>
      <c r="X100" s="28"/>
      <c r="Y100" s="28"/>
    </row>
    <row r="101" customFormat="false" ht="15" hidden="false" customHeight="false" outlineLevel="0" collapsed="false">
      <c r="A101" s="21" t="str">
        <f aca="false">IF(COUNTA(B101,C101,E101,F101)=0,"",設定!$C$4&amp;TEXT(ROW()-4,"00000"))</f>
        <v/>
      </c>
      <c r="B101" s="22"/>
      <c r="C101" s="23"/>
      <c r="D101" s="21" t="str">
        <f aca="false">IF(C101="","",IFERROR(INDEX(取引先マスタ!$B$5:$B$204,MATCH($C101,取引先マスタ!$A$5:$A$204,0)),"コード誤り"))</f>
        <v/>
      </c>
      <c r="E101" s="28"/>
      <c r="F101" s="18"/>
      <c r="G101" s="25"/>
      <c r="H101" s="26" t="str">
        <f aca="false">IF(OR(F101="",G101=""),"",ROUNDDOWN(F101*G101,0))</f>
        <v/>
      </c>
      <c r="I101" s="26" t="str">
        <f aca="false">IF(OR(F101="",G101=""),"",F101+H101)</f>
        <v/>
      </c>
      <c r="J101" s="27" t="str">
        <f aca="false">IF(OR(B101="",C101="",D101="コード誤り"),"",IFERROR(DATE(YEAR(B101),MONTH(B101)+INDEX(取引先マスタ!$E$5:$E$204,MATCH($C101,取引先マスタ!$A$5:$A$204,0)),MIN(INDEX(取引先マスタ!$F$5:$F$204,MATCH($C101,取引先マスタ!$A$5:$A$204,0)),DAY(EOMONTH(B101,INDEX(取引先マスタ!$E$5:$E$204,MATCH($C101,取引先マスタ!$A$5:$A$204,0)))))),""))</f>
        <v/>
      </c>
      <c r="K101" s="22"/>
      <c r="L101" s="27" t="str">
        <f aca="false">IF(K101&lt;&gt;"",K101,J101)</f>
        <v/>
      </c>
      <c r="M101" s="28"/>
      <c r="N101" s="22"/>
      <c r="O101" s="28"/>
      <c r="P101" s="26" t="str">
        <f aca="false">IF(A101="","",SUMIF(入金明細!$F$5:$F$1004,A101,入金明細!$E$5:$E$1004))</f>
        <v/>
      </c>
      <c r="Q101" s="27" t="str">
        <f aca="false">IF(OR(A101="",N(P101)=0),"",SUMPRODUCT(MAX((入金明細!$F$5:$F$1004=A101)*入金明細!$B$5:$B$1004)))</f>
        <v/>
      </c>
      <c r="R101" s="18"/>
      <c r="S101" s="26" t="str">
        <f aca="false">IF(OR(A101="",I101=""),"",I101-N(P101)-N(R101))</f>
        <v/>
      </c>
      <c r="T101" s="28"/>
      <c r="U101" s="29" t="str">
        <f aca="false">IF(A101="","",IF(T101="取消","取消",IF(W101&lt;&gt;"","要入力",IF(N101="","未送付",IF(S101=0,"入金済",IF(S101&lt;0,"過入金",IF(設定!$C$5&gt;L101,IF(P101&gt;0,"一部入金・超過","期日超過"),IF(P101&gt;0,"一部入金",IF(L101-設定!$C$5&lt;=設定!$C$6,"期日間近","入金待ち")))))))))</f>
        <v/>
      </c>
      <c r="V101" s="30" t="str">
        <f aca="false">IF(OR(U101="期日超過",U101="一部入金・超過"),設定!$C$5-L101,"")</f>
        <v/>
      </c>
      <c r="W101" s="21" t="str">
        <f aca="false">IF(A101="","",TRIM(IF(B101="","請求日 ","")&amp;IF(C101="","取引先 ",IF(D101="コード誤り","取引先コード誤り ",""))&amp;IF(E101="","件名 ","")&amp;IF(F101="","税抜金額 ","")&amp;IF(G101="","税率 ","")&amp;IF(M101="","送付方法 ","")&amp;IF(AND(N101&lt;&gt;"",O101=""),"送付者 ","")&amp;IF(AND(I101&lt;&gt;"",L101=""),"入金期日 ","")&amp;IF(AND(N101&lt;&gt;"",P101&gt;0,S101&lt;=0,X101=""),"消込確認者 ","")))</f>
        <v/>
      </c>
      <c r="X101" s="28"/>
      <c r="Y101" s="28"/>
    </row>
    <row r="102" customFormat="false" ht="15" hidden="false" customHeight="false" outlineLevel="0" collapsed="false">
      <c r="A102" s="21" t="str">
        <f aca="false">IF(COUNTA(B102,C102,E102,F102)=0,"",設定!$C$4&amp;TEXT(ROW()-4,"00000"))</f>
        <v/>
      </c>
      <c r="B102" s="22"/>
      <c r="C102" s="23"/>
      <c r="D102" s="21" t="str">
        <f aca="false">IF(C102="","",IFERROR(INDEX(取引先マスタ!$B$5:$B$204,MATCH($C102,取引先マスタ!$A$5:$A$204,0)),"コード誤り"))</f>
        <v/>
      </c>
      <c r="E102" s="28"/>
      <c r="F102" s="18"/>
      <c r="G102" s="25"/>
      <c r="H102" s="26" t="str">
        <f aca="false">IF(OR(F102="",G102=""),"",ROUNDDOWN(F102*G102,0))</f>
        <v/>
      </c>
      <c r="I102" s="26" t="str">
        <f aca="false">IF(OR(F102="",G102=""),"",F102+H102)</f>
        <v/>
      </c>
      <c r="J102" s="27" t="str">
        <f aca="false">IF(OR(B102="",C102="",D102="コード誤り"),"",IFERROR(DATE(YEAR(B102),MONTH(B102)+INDEX(取引先マスタ!$E$5:$E$204,MATCH($C102,取引先マスタ!$A$5:$A$204,0)),MIN(INDEX(取引先マスタ!$F$5:$F$204,MATCH($C102,取引先マスタ!$A$5:$A$204,0)),DAY(EOMONTH(B102,INDEX(取引先マスタ!$E$5:$E$204,MATCH($C102,取引先マスタ!$A$5:$A$204,0)))))),""))</f>
        <v/>
      </c>
      <c r="K102" s="22"/>
      <c r="L102" s="27" t="str">
        <f aca="false">IF(K102&lt;&gt;"",K102,J102)</f>
        <v/>
      </c>
      <c r="M102" s="28"/>
      <c r="N102" s="22"/>
      <c r="O102" s="28"/>
      <c r="P102" s="26" t="str">
        <f aca="false">IF(A102="","",SUMIF(入金明細!$F$5:$F$1004,A102,入金明細!$E$5:$E$1004))</f>
        <v/>
      </c>
      <c r="Q102" s="27" t="str">
        <f aca="false">IF(OR(A102="",N(P102)=0),"",SUMPRODUCT(MAX((入金明細!$F$5:$F$1004=A102)*入金明細!$B$5:$B$1004)))</f>
        <v/>
      </c>
      <c r="R102" s="18"/>
      <c r="S102" s="26" t="str">
        <f aca="false">IF(OR(A102="",I102=""),"",I102-N(P102)-N(R102))</f>
        <v/>
      </c>
      <c r="T102" s="28"/>
      <c r="U102" s="29" t="str">
        <f aca="false">IF(A102="","",IF(T102="取消","取消",IF(W102&lt;&gt;"","要入力",IF(N102="","未送付",IF(S102=0,"入金済",IF(S102&lt;0,"過入金",IF(設定!$C$5&gt;L102,IF(P102&gt;0,"一部入金・超過","期日超過"),IF(P102&gt;0,"一部入金",IF(L102-設定!$C$5&lt;=設定!$C$6,"期日間近","入金待ち")))))))))</f>
        <v/>
      </c>
      <c r="V102" s="30" t="str">
        <f aca="false">IF(OR(U102="期日超過",U102="一部入金・超過"),設定!$C$5-L102,"")</f>
        <v/>
      </c>
      <c r="W102" s="21" t="str">
        <f aca="false">IF(A102="","",TRIM(IF(B102="","請求日 ","")&amp;IF(C102="","取引先 ",IF(D102="コード誤り","取引先コード誤り ",""))&amp;IF(E102="","件名 ","")&amp;IF(F102="","税抜金額 ","")&amp;IF(G102="","税率 ","")&amp;IF(M102="","送付方法 ","")&amp;IF(AND(N102&lt;&gt;"",O102=""),"送付者 ","")&amp;IF(AND(I102&lt;&gt;"",L102=""),"入金期日 ","")&amp;IF(AND(N102&lt;&gt;"",P102&gt;0,S102&lt;=0,X102=""),"消込確認者 ","")))</f>
        <v/>
      </c>
      <c r="X102" s="28"/>
      <c r="Y102" s="28"/>
    </row>
    <row r="103" customFormat="false" ht="15" hidden="false" customHeight="false" outlineLevel="0" collapsed="false">
      <c r="A103" s="21" t="str">
        <f aca="false">IF(COUNTA(B103,C103,E103,F103)=0,"",設定!$C$4&amp;TEXT(ROW()-4,"00000"))</f>
        <v/>
      </c>
      <c r="B103" s="22"/>
      <c r="C103" s="23"/>
      <c r="D103" s="21" t="str">
        <f aca="false">IF(C103="","",IFERROR(INDEX(取引先マスタ!$B$5:$B$204,MATCH($C103,取引先マスタ!$A$5:$A$204,0)),"コード誤り"))</f>
        <v/>
      </c>
      <c r="E103" s="28"/>
      <c r="F103" s="18"/>
      <c r="G103" s="25"/>
      <c r="H103" s="26" t="str">
        <f aca="false">IF(OR(F103="",G103=""),"",ROUNDDOWN(F103*G103,0))</f>
        <v/>
      </c>
      <c r="I103" s="26" t="str">
        <f aca="false">IF(OR(F103="",G103=""),"",F103+H103)</f>
        <v/>
      </c>
      <c r="J103" s="27" t="str">
        <f aca="false">IF(OR(B103="",C103="",D103="コード誤り"),"",IFERROR(DATE(YEAR(B103),MONTH(B103)+INDEX(取引先マスタ!$E$5:$E$204,MATCH($C103,取引先マスタ!$A$5:$A$204,0)),MIN(INDEX(取引先マスタ!$F$5:$F$204,MATCH($C103,取引先マスタ!$A$5:$A$204,0)),DAY(EOMONTH(B103,INDEX(取引先マスタ!$E$5:$E$204,MATCH($C103,取引先マスタ!$A$5:$A$204,0)))))),""))</f>
        <v/>
      </c>
      <c r="K103" s="22"/>
      <c r="L103" s="27" t="str">
        <f aca="false">IF(K103&lt;&gt;"",K103,J103)</f>
        <v/>
      </c>
      <c r="M103" s="28"/>
      <c r="N103" s="22"/>
      <c r="O103" s="28"/>
      <c r="P103" s="26" t="str">
        <f aca="false">IF(A103="","",SUMIF(入金明細!$F$5:$F$1004,A103,入金明細!$E$5:$E$1004))</f>
        <v/>
      </c>
      <c r="Q103" s="27" t="str">
        <f aca="false">IF(OR(A103="",N(P103)=0),"",SUMPRODUCT(MAX((入金明細!$F$5:$F$1004=A103)*入金明細!$B$5:$B$1004)))</f>
        <v/>
      </c>
      <c r="R103" s="18"/>
      <c r="S103" s="26" t="str">
        <f aca="false">IF(OR(A103="",I103=""),"",I103-N(P103)-N(R103))</f>
        <v/>
      </c>
      <c r="T103" s="28"/>
      <c r="U103" s="29" t="str">
        <f aca="false">IF(A103="","",IF(T103="取消","取消",IF(W103&lt;&gt;"","要入力",IF(N103="","未送付",IF(S103=0,"入金済",IF(S103&lt;0,"過入金",IF(設定!$C$5&gt;L103,IF(P103&gt;0,"一部入金・超過","期日超過"),IF(P103&gt;0,"一部入金",IF(L103-設定!$C$5&lt;=設定!$C$6,"期日間近","入金待ち")))))))))</f>
        <v/>
      </c>
      <c r="V103" s="30" t="str">
        <f aca="false">IF(OR(U103="期日超過",U103="一部入金・超過"),設定!$C$5-L103,"")</f>
        <v/>
      </c>
      <c r="W103" s="21" t="str">
        <f aca="false">IF(A103="","",TRIM(IF(B103="","請求日 ","")&amp;IF(C103="","取引先 ",IF(D103="コード誤り","取引先コード誤り ",""))&amp;IF(E103="","件名 ","")&amp;IF(F103="","税抜金額 ","")&amp;IF(G103="","税率 ","")&amp;IF(M103="","送付方法 ","")&amp;IF(AND(N103&lt;&gt;"",O103=""),"送付者 ","")&amp;IF(AND(I103&lt;&gt;"",L103=""),"入金期日 ","")&amp;IF(AND(N103&lt;&gt;"",P103&gt;0,S103&lt;=0,X103=""),"消込確認者 ","")))</f>
        <v/>
      </c>
      <c r="X103" s="28"/>
      <c r="Y103" s="28"/>
    </row>
    <row r="104" customFormat="false" ht="15" hidden="false" customHeight="false" outlineLevel="0" collapsed="false">
      <c r="A104" s="21" t="str">
        <f aca="false">IF(COUNTA(B104,C104,E104,F104)=0,"",設定!$C$4&amp;TEXT(ROW()-4,"00000"))</f>
        <v/>
      </c>
      <c r="B104" s="22"/>
      <c r="C104" s="23"/>
      <c r="D104" s="21" t="str">
        <f aca="false">IF(C104="","",IFERROR(INDEX(取引先マスタ!$B$5:$B$204,MATCH($C104,取引先マスタ!$A$5:$A$204,0)),"コード誤り"))</f>
        <v/>
      </c>
      <c r="E104" s="28"/>
      <c r="F104" s="18"/>
      <c r="G104" s="25"/>
      <c r="H104" s="26" t="str">
        <f aca="false">IF(OR(F104="",G104=""),"",ROUNDDOWN(F104*G104,0))</f>
        <v/>
      </c>
      <c r="I104" s="26" t="str">
        <f aca="false">IF(OR(F104="",G104=""),"",F104+H104)</f>
        <v/>
      </c>
      <c r="J104" s="27" t="str">
        <f aca="false">IF(OR(B104="",C104="",D104="コード誤り"),"",IFERROR(DATE(YEAR(B104),MONTH(B104)+INDEX(取引先マスタ!$E$5:$E$204,MATCH($C104,取引先マスタ!$A$5:$A$204,0)),MIN(INDEX(取引先マスタ!$F$5:$F$204,MATCH($C104,取引先マスタ!$A$5:$A$204,0)),DAY(EOMONTH(B104,INDEX(取引先マスタ!$E$5:$E$204,MATCH($C104,取引先マスタ!$A$5:$A$204,0)))))),""))</f>
        <v/>
      </c>
      <c r="K104" s="22"/>
      <c r="L104" s="27" t="str">
        <f aca="false">IF(K104&lt;&gt;"",K104,J104)</f>
        <v/>
      </c>
      <c r="M104" s="28"/>
      <c r="N104" s="22"/>
      <c r="O104" s="28"/>
      <c r="P104" s="26" t="str">
        <f aca="false">IF(A104="","",SUMIF(入金明細!$F$5:$F$1004,A104,入金明細!$E$5:$E$1004))</f>
        <v/>
      </c>
      <c r="Q104" s="27" t="str">
        <f aca="false">IF(OR(A104="",N(P104)=0),"",SUMPRODUCT(MAX((入金明細!$F$5:$F$1004=A104)*入金明細!$B$5:$B$1004)))</f>
        <v/>
      </c>
      <c r="R104" s="18"/>
      <c r="S104" s="26" t="str">
        <f aca="false">IF(OR(A104="",I104=""),"",I104-N(P104)-N(R104))</f>
        <v/>
      </c>
      <c r="T104" s="28"/>
      <c r="U104" s="29" t="str">
        <f aca="false">IF(A104="","",IF(T104="取消","取消",IF(W104&lt;&gt;"","要入力",IF(N104="","未送付",IF(S104=0,"入金済",IF(S104&lt;0,"過入金",IF(設定!$C$5&gt;L104,IF(P104&gt;0,"一部入金・超過","期日超過"),IF(P104&gt;0,"一部入金",IF(L104-設定!$C$5&lt;=設定!$C$6,"期日間近","入金待ち")))))))))</f>
        <v/>
      </c>
      <c r="V104" s="30" t="str">
        <f aca="false">IF(OR(U104="期日超過",U104="一部入金・超過"),設定!$C$5-L104,"")</f>
        <v/>
      </c>
      <c r="W104" s="21" t="str">
        <f aca="false">IF(A104="","",TRIM(IF(B104="","請求日 ","")&amp;IF(C104="","取引先 ",IF(D104="コード誤り","取引先コード誤り ",""))&amp;IF(E104="","件名 ","")&amp;IF(F104="","税抜金額 ","")&amp;IF(G104="","税率 ","")&amp;IF(M104="","送付方法 ","")&amp;IF(AND(N104&lt;&gt;"",O104=""),"送付者 ","")&amp;IF(AND(I104&lt;&gt;"",L104=""),"入金期日 ","")&amp;IF(AND(N104&lt;&gt;"",P104&gt;0,S104&lt;=0,X104=""),"消込確認者 ","")))</f>
        <v/>
      </c>
      <c r="X104" s="28"/>
      <c r="Y104" s="28"/>
    </row>
    <row r="105" customFormat="false" ht="15" hidden="false" customHeight="false" outlineLevel="0" collapsed="false">
      <c r="A105" s="21" t="str">
        <f aca="false">IF(COUNTA(B105,C105,E105,F105)=0,"",設定!$C$4&amp;TEXT(ROW()-4,"00000"))</f>
        <v/>
      </c>
      <c r="B105" s="22"/>
      <c r="C105" s="23"/>
      <c r="D105" s="21" t="str">
        <f aca="false">IF(C105="","",IFERROR(INDEX(取引先マスタ!$B$5:$B$204,MATCH($C105,取引先マスタ!$A$5:$A$204,0)),"コード誤り"))</f>
        <v/>
      </c>
      <c r="E105" s="28"/>
      <c r="F105" s="18"/>
      <c r="G105" s="25"/>
      <c r="H105" s="26" t="str">
        <f aca="false">IF(OR(F105="",G105=""),"",ROUNDDOWN(F105*G105,0))</f>
        <v/>
      </c>
      <c r="I105" s="26" t="str">
        <f aca="false">IF(OR(F105="",G105=""),"",F105+H105)</f>
        <v/>
      </c>
      <c r="J105" s="27" t="str">
        <f aca="false">IF(OR(B105="",C105="",D105="コード誤り"),"",IFERROR(DATE(YEAR(B105),MONTH(B105)+INDEX(取引先マスタ!$E$5:$E$204,MATCH($C105,取引先マスタ!$A$5:$A$204,0)),MIN(INDEX(取引先マスタ!$F$5:$F$204,MATCH($C105,取引先マスタ!$A$5:$A$204,0)),DAY(EOMONTH(B105,INDEX(取引先マスタ!$E$5:$E$204,MATCH($C105,取引先マスタ!$A$5:$A$204,0)))))),""))</f>
        <v/>
      </c>
      <c r="K105" s="22"/>
      <c r="L105" s="27" t="str">
        <f aca="false">IF(K105&lt;&gt;"",K105,J105)</f>
        <v/>
      </c>
      <c r="M105" s="28"/>
      <c r="N105" s="22"/>
      <c r="O105" s="28"/>
      <c r="P105" s="26" t="str">
        <f aca="false">IF(A105="","",SUMIF(入金明細!$F$5:$F$1004,A105,入金明細!$E$5:$E$1004))</f>
        <v/>
      </c>
      <c r="Q105" s="27" t="str">
        <f aca="false">IF(OR(A105="",N(P105)=0),"",SUMPRODUCT(MAX((入金明細!$F$5:$F$1004=A105)*入金明細!$B$5:$B$1004)))</f>
        <v/>
      </c>
      <c r="R105" s="18"/>
      <c r="S105" s="26" t="str">
        <f aca="false">IF(OR(A105="",I105=""),"",I105-N(P105)-N(R105))</f>
        <v/>
      </c>
      <c r="T105" s="28"/>
      <c r="U105" s="29" t="str">
        <f aca="false">IF(A105="","",IF(T105="取消","取消",IF(W105&lt;&gt;"","要入力",IF(N105="","未送付",IF(S105=0,"入金済",IF(S105&lt;0,"過入金",IF(設定!$C$5&gt;L105,IF(P105&gt;0,"一部入金・超過","期日超過"),IF(P105&gt;0,"一部入金",IF(L105-設定!$C$5&lt;=設定!$C$6,"期日間近","入金待ち")))))))))</f>
        <v/>
      </c>
      <c r="V105" s="30" t="str">
        <f aca="false">IF(OR(U105="期日超過",U105="一部入金・超過"),設定!$C$5-L105,"")</f>
        <v/>
      </c>
      <c r="W105" s="21" t="str">
        <f aca="false">IF(A105="","",TRIM(IF(B105="","請求日 ","")&amp;IF(C105="","取引先 ",IF(D105="コード誤り","取引先コード誤り ",""))&amp;IF(E105="","件名 ","")&amp;IF(F105="","税抜金額 ","")&amp;IF(G105="","税率 ","")&amp;IF(M105="","送付方法 ","")&amp;IF(AND(N105&lt;&gt;"",O105=""),"送付者 ","")&amp;IF(AND(I105&lt;&gt;"",L105=""),"入金期日 ","")&amp;IF(AND(N105&lt;&gt;"",P105&gt;0,S105&lt;=0,X105=""),"消込確認者 ","")))</f>
        <v/>
      </c>
      <c r="X105" s="28"/>
      <c r="Y105" s="28"/>
    </row>
    <row r="106" customFormat="false" ht="15" hidden="false" customHeight="false" outlineLevel="0" collapsed="false">
      <c r="A106" s="21" t="str">
        <f aca="false">IF(COUNTA(B106,C106,E106,F106)=0,"",設定!$C$4&amp;TEXT(ROW()-4,"00000"))</f>
        <v/>
      </c>
      <c r="B106" s="22"/>
      <c r="C106" s="23"/>
      <c r="D106" s="21" t="str">
        <f aca="false">IF(C106="","",IFERROR(INDEX(取引先マスタ!$B$5:$B$204,MATCH($C106,取引先マスタ!$A$5:$A$204,0)),"コード誤り"))</f>
        <v/>
      </c>
      <c r="E106" s="28"/>
      <c r="F106" s="18"/>
      <c r="G106" s="25"/>
      <c r="H106" s="26" t="str">
        <f aca="false">IF(OR(F106="",G106=""),"",ROUNDDOWN(F106*G106,0))</f>
        <v/>
      </c>
      <c r="I106" s="26" t="str">
        <f aca="false">IF(OR(F106="",G106=""),"",F106+H106)</f>
        <v/>
      </c>
      <c r="J106" s="27" t="str">
        <f aca="false">IF(OR(B106="",C106="",D106="コード誤り"),"",IFERROR(DATE(YEAR(B106),MONTH(B106)+INDEX(取引先マスタ!$E$5:$E$204,MATCH($C106,取引先マスタ!$A$5:$A$204,0)),MIN(INDEX(取引先マスタ!$F$5:$F$204,MATCH($C106,取引先マスタ!$A$5:$A$204,0)),DAY(EOMONTH(B106,INDEX(取引先マスタ!$E$5:$E$204,MATCH($C106,取引先マスタ!$A$5:$A$204,0)))))),""))</f>
        <v/>
      </c>
      <c r="K106" s="22"/>
      <c r="L106" s="27" t="str">
        <f aca="false">IF(K106&lt;&gt;"",K106,J106)</f>
        <v/>
      </c>
      <c r="M106" s="28"/>
      <c r="N106" s="22"/>
      <c r="O106" s="28"/>
      <c r="P106" s="26" t="str">
        <f aca="false">IF(A106="","",SUMIF(入金明細!$F$5:$F$1004,A106,入金明細!$E$5:$E$1004))</f>
        <v/>
      </c>
      <c r="Q106" s="27" t="str">
        <f aca="false">IF(OR(A106="",N(P106)=0),"",SUMPRODUCT(MAX((入金明細!$F$5:$F$1004=A106)*入金明細!$B$5:$B$1004)))</f>
        <v/>
      </c>
      <c r="R106" s="18"/>
      <c r="S106" s="26" t="str">
        <f aca="false">IF(OR(A106="",I106=""),"",I106-N(P106)-N(R106))</f>
        <v/>
      </c>
      <c r="T106" s="28"/>
      <c r="U106" s="29" t="str">
        <f aca="false">IF(A106="","",IF(T106="取消","取消",IF(W106&lt;&gt;"","要入力",IF(N106="","未送付",IF(S106=0,"入金済",IF(S106&lt;0,"過入金",IF(設定!$C$5&gt;L106,IF(P106&gt;0,"一部入金・超過","期日超過"),IF(P106&gt;0,"一部入金",IF(L106-設定!$C$5&lt;=設定!$C$6,"期日間近","入金待ち")))))))))</f>
        <v/>
      </c>
      <c r="V106" s="30" t="str">
        <f aca="false">IF(OR(U106="期日超過",U106="一部入金・超過"),設定!$C$5-L106,"")</f>
        <v/>
      </c>
      <c r="W106" s="21" t="str">
        <f aca="false">IF(A106="","",TRIM(IF(B106="","請求日 ","")&amp;IF(C106="","取引先 ",IF(D106="コード誤り","取引先コード誤り ",""))&amp;IF(E106="","件名 ","")&amp;IF(F106="","税抜金額 ","")&amp;IF(G106="","税率 ","")&amp;IF(M106="","送付方法 ","")&amp;IF(AND(N106&lt;&gt;"",O106=""),"送付者 ","")&amp;IF(AND(I106&lt;&gt;"",L106=""),"入金期日 ","")&amp;IF(AND(N106&lt;&gt;"",P106&gt;0,S106&lt;=0,X106=""),"消込確認者 ","")))</f>
        <v/>
      </c>
      <c r="X106" s="28"/>
      <c r="Y106" s="28"/>
    </row>
    <row r="107" customFormat="false" ht="15" hidden="false" customHeight="false" outlineLevel="0" collapsed="false">
      <c r="A107" s="21" t="str">
        <f aca="false">IF(COUNTA(B107,C107,E107,F107)=0,"",設定!$C$4&amp;TEXT(ROW()-4,"00000"))</f>
        <v/>
      </c>
      <c r="B107" s="22"/>
      <c r="C107" s="23"/>
      <c r="D107" s="21" t="str">
        <f aca="false">IF(C107="","",IFERROR(INDEX(取引先マスタ!$B$5:$B$204,MATCH($C107,取引先マスタ!$A$5:$A$204,0)),"コード誤り"))</f>
        <v/>
      </c>
      <c r="E107" s="28"/>
      <c r="F107" s="18"/>
      <c r="G107" s="25"/>
      <c r="H107" s="26" t="str">
        <f aca="false">IF(OR(F107="",G107=""),"",ROUNDDOWN(F107*G107,0))</f>
        <v/>
      </c>
      <c r="I107" s="26" t="str">
        <f aca="false">IF(OR(F107="",G107=""),"",F107+H107)</f>
        <v/>
      </c>
      <c r="J107" s="27" t="str">
        <f aca="false">IF(OR(B107="",C107="",D107="コード誤り"),"",IFERROR(DATE(YEAR(B107),MONTH(B107)+INDEX(取引先マスタ!$E$5:$E$204,MATCH($C107,取引先マスタ!$A$5:$A$204,0)),MIN(INDEX(取引先マスタ!$F$5:$F$204,MATCH($C107,取引先マスタ!$A$5:$A$204,0)),DAY(EOMONTH(B107,INDEX(取引先マスタ!$E$5:$E$204,MATCH($C107,取引先マスタ!$A$5:$A$204,0)))))),""))</f>
        <v/>
      </c>
      <c r="K107" s="22"/>
      <c r="L107" s="27" t="str">
        <f aca="false">IF(K107&lt;&gt;"",K107,J107)</f>
        <v/>
      </c>
      <c r="M107" s="28"/>
      <c r="N107" s="22"/>
      <c r="O107" s="28"/>
      <c r="P107" s="26" t="str">
        <f aca="false">IF(A107="","",SUMIF(入金明細!$F$5:$F$1004,A107,入金明細!$E$5:$E$1004))</f>
        <v/>
      </c>
      <c r="Q107" s="27" t="str">
        <f aca="false">IF(OR(A107="",N(P107)=0),"",SUMPRODUCT(MAX((入金明細!$F$5:$F$1004=A107)*入金明細!$B$5:$B$1004)))</f>
        <v/>
      </c>
      <c r="R107" s="18"/>
      <c r="S107" s="26" t="str">
        <f aca="false">IF(OR(A107="",I107=""),"",I107-N(P107)-N(R107))</f>
        <v/>
      </c>
      <c r="T107" s="28"/>
      <c r="U107" s="29" t="str">
        <f aca="false">IF(A107="","",IF(T107="取消","取消",IF(W107&lt;&gt;"","要入力",IF(N107="","未送付",IF(S107=0,"入金済",IF(S107&lt;0,"過入金",IF(設定!$C$5&gt;L107,IF(P107&gt;0,"一部入金・超過","期日超過"),IF(P107&gt;0,"一部入金",IF(L107-設定!$C$5&lt;=設定!$C$6,"期日間近","入金待ち")))))))))</f>
        <v/>
      </c>
      <c r="V107" s="30" t="str">
        <f aca="false">IF(OR(U107="期日超過",U107="一部入金・超過"),設定!$C$5-L107,"")</f>
        <v/>
      </c>
      <c r="W107" s="21" t="str">
        <f aca="false">IF(A107="","",TRIM(IF(B107="","請求日 ","")&amp;IF(C107="","取引先 ",IF(D107="コード誤り","取引先コード誤り ",""))&amp;IF(E107="","件名 ","")&amp;IF(F107="","税抜金額 ","")&amp;IF(G107="","税率 ","")&amp;IF(M107="","送付方法 ","")&amp;IF(AND(N107&lt;&gt;"",O107=""),"送付者 ","")&amp;IF(AND(I107&lt;&gt;"",L107=""),"入金期日 ","")&amp;IF(AND(N107&lt;&gt;"",P107&gt;0,S107&lt;=0,X107=""),"消込確認者 ","")))</f>
        <v/>
      </c>
      <c r="X107" s="28"/>
      <c r="Y107" s="28"/>
    </row>
    <row r="108" customFormat="false" ht="15" hidden="false" customHeight="false" outlineLevel="0" collapsed="false">
      <c r="A108" s="21" t="str">
        <f aca="false">IF(COUNTA(B108,C108,E108,F108)=0,"",設定!$C$4&amp;TEXT(ROW()-4,"00000"))</f>
        <v/>
      </c>
      <c r="B108" s="22"/>
      <c r="C108" s="23"/>
      <c r="D108" s="21" t="str">
        <f aca="false">IF(C108="","",IFERROR(INDEX(取引先マスタ!$B$5:$B$204,MATCH($C108,取引先マスタ!$A$5:$A$204,0)),"コード誤り"))</f>
        <v/>
      </c>
      <c r="E108" s="28"/>
      <c r="F108" s="18"/>
      <c r="G108" s="25"/>
      <c r="H108" s="26" t="str">
        <f aca="false">IF(OR(F108="",G108=""),"",ROUNDDOWN(F108*G108,0))</f>
        <v/>
      </c>
      <c r="I108" s="26" t="str">
        <f aca="false">IF(OR(F108="",G108=""),"",F108+H108)</f>
        <v/>
      </c>
      <c r="J108" s="27" t="str">
        <f aca="false">IF(OR(B108="",C108="",D108="コード誤り"),"",IFERROR(DATE(YEAR(B108),MONTH(B108)+INDEX(取引先マスタ!$E$5:$E$204,MATCH($C108,取引先マスタ!$A$5:$A$204,0)),MIN(INDEX(取引先マスタ!$F$5:$F$204,MATCH($C108,取引先マスタ!$A$5:$A$204,0)),DAY(EOMONTH(B108,INDEX(取引先マスタ!$E$5:$E$204,MATCH($C108,取引先マスタ!$A$5:$A$204,0)))))),""))</f>
        <v/>
      </c>
      <c r="K108" s="22"/>
      <c r="L108" s="27" t="str">
        <f aca="false">IF(K108&lt;&gt;"",K108,J108)</f>
        <v/>
      </c>
      <c r="M108" s="28"/>
      <c r="N108" s="22"/>
      <c r="O108" s="28"/>
      <c r="P108" s="26" t="str">
        <f aca="false">IF(A108="","",SUMIF(入金明細!$F$5:$F$1004,A108,入金明細!$E$5:$E$1004))</f>
        <v/>
      </c>
      <c r="Q108" s="27" t="str">
        <f aca="false">IF(OR(A108="",N(P108)=0),"",SUMPRODUCT(MAX((入金明細!$F$5:$F$1004=A108)*入金明細!$B$5:$B$1004)))</f>
        <v/>
      </c>
      <c r="R108" s="18"/>
      <c r="S108" s="26" t="str">
        <f aca="false">IF(OR(A108="",I108=""),"",I108-N(P108)-N(R108))</f>
        <v/>
      </c>
      <c r="T108" s="28"/>
      <c r="U108" s="29" t="str">
        <f aca="false">IF(A108="","",IF(T108="取消","取消",IF(W108&lt;&gt;"","要入力",IF(N108="","未送付",IF(S108=0,"入金済",IF(S108&lt;0,"過入金",IF(設定!$C$5&gt;L108,IF(P108&gt;0,"一部入金・超過","期日超過"),IF(P108&gt;0,"一部入金",IF(L108-設定!$C$5&lt;=設定!$C$6,"期日間近","入金待ち")))))))))</f>
        <v/>
      </c>
      <c r="V108" s="30" t="str">
        <f aca="false">IF(OR(U108="期日超過",U108="一部入金・超過"),設定!$C$5-L108,"")</f>
        <v/>
      </c>
      <c r="W108" s="21" t="str">
        <f aca="false">IF(A108="","",TRIM(IF(B108="","請求日 ","")&amp;IF(C108="","取引先 ",IF(D108="コード誤り","取引先コード誤り ",""))&amp;IF(E108="","件名 ","")&amp;IF(F108="","税抜金額 ","")&amp;IF(G108="","税率 ","")&amp;IF(M108="","送付方法 ","")&amp;IF(AND(N108&lt;&gt;"",O108=""),"送付者 ","")&amp;IF(AND(I108&lt;&gt;"",L108=""),"入金期日 ","")&amp;IF(AND(N108&lt;&gt;"",P108&gt;0,S108&lt;=0,X108=""),"消込確認者 ","")))</f>
        <v/>
      </c>
      <c r="X108" s="28"/>
      <c r="Y108" s="28"/>
    </row>
    <row r="109" customFormat="false" ht="15" hidden="false" customHeight="false" outlineLevel="0" collapsed="false">
      <c r="A109" s="21" t="str">
        <f aca="false">IF(COUNTA(B109,C109,E109,F109)=0,"",設定!$C$4&amp;TEXT(ROW()-4,"00000"))</f>
        <v/>
      </c>
      <c r="B109" s="22"/>
      <c r="C109" s="23"/>
      <c r="D109" s="21" t="str">
        <f aca="false">IF(C109="","",IFERROR(INDEX(取引先マスタ!$B$5:$B$204,MATCH($C109,取引先マスタ!$A$5:$A$204,0)),"コード誤り"))</f>
        <v/>
      </c>
      <c r="E109" s="28"/>
      <c r="F109" s="18"/>
      <c r="G109" s="25"/>
      <c r="H109" s="26" t="str">
        <f aca="false">IF(OR(F109="",G109=""),"",ROUNDDOWN(F109*G109,0))</f>
        <v/>
      </c>
      <c r="I109" s="26" t="str">
        <f aca="false">IF(OR(F109="",G109=""),"",F109+H109)</f>
        <v/>
      </c>
      <c r="J109" s="27" t="str">
        <f aca="false">IF(OR(B109="",C109="",D109="コード誤り"),"",IFERROR(DATE(YEAR(B109),MONTH(B109)+INDEX(取引先マスタ!$E$5:$E$204,MATCH($C109,取引先マスタ!$A$5:$A$204,0)),MIN(INDEX(取引先マスタ!$F$5:$F$204,MATCH($C109,取引先マスタ!$A$5:$A$204,0)),DAY(EOMONTH(B109,INDEX(取引先マスタ!$E$5:$E$204,MATCH($C109,取引先マスタ!$A$5:$A$204,0)))))),""))</f>
        <v/>
      </c>
      <c r="K109" s="22"/>
      <c r="L109" s="27" t="str">
        <f aca="false">IF(K109&lt;&gt;"",K109,J109)</f>
        <v/>
      </c>
      <c r="M109" s="28"/>
      <c r="N109" s="22"/>
      <c r="O109" s="28"/>
      <c r="P109" s="26" t="str">
        <f aca="false">IF(A109="","",SUMIF(入金明細!$F$5:$F$1004,A109,入金明細!$E$5:$E$1004))</f>
        <v/>
      </c>
      <c r="Q109" s="27" t="str">
        <f aca="false">IF(OR(A109="",N(P109)=0),"",SUMPRODUCT(MAX((入金明細!$F$5:$F$1004=A109)*入金明細!$B$5:$B$1004)))</f>
        <v/>
      </c>
      <c r="R109" s="18"/>
      <c r="S109" s="26" t="str">
        <f aca="false">IF(OR(A109="",I109=""),"",I109-N(P109)-N(R109))</f>
        <v/>
      </c>
      <c r="T109" s="28"/>
      <c r="U109" s="29" t="str">
        <f aca="false">IF(A109="","",IF(T109="取消","取消",IF(W109&lt;&gt;"","要入力",IF(N109="","未送付",IF(S109=0,"入金済",IF(S109&lt;0,"過入金",IF(設定!$C$5&gt;L109,IF(P109&gt;0,"一部入金・超過","期日超過"),IF(P109&gt;0,"一部入金",IF(L109-設定!$C$5&lt;=設定!$C$6,"期日間近","入金待ち")))))))))</f>
        <v/>
      </c>
      <c r="V109" s="30" t="str">
        <f aca="false">IF(OR(U109="期日超過",U109="一部入金・超過"),設定!$C$5-L109,"")</f>
        <v/>
      </c>
      <c r="W109" s="21" t="str">
        <f aca="false">IF(A109="","",TRIM(IF(B109="","請求日 ","")&amp;IF(C109="","取引先 ",IF(D109="コード誤り","取引先コード誤り ",""))&amp;IF(E109="","件名 ","")&amp;IF(F109="","税抜金額 ","")&amp;IF(G109="","税率 ","")&amp;IF(M109="","送付方法 ","")&amp;IF(AND(N109&lt;&gt;"",O109=""),"送付者 ","")&amp;IF(AND(I109&lt;&gt;"",L109=""),"入金期日 ","")&amp;IF(AND(N109&lt;&gt;"",P109&gt;0,S109&lt;=0,X109=""),"消込確認者 ","")))</f>
        <v/>
      </c>
      <c r="X109" s="28"/>
      <c r="Y109" s="28"/>
    </row>
    <row r="110" customFormat="false" ht="15" hidden="false" customHeight="false" outlineLevel="0" collapsed="false">
      <c r="A110" s="21" t="str">
        <f aca="false">IF(COUNTA(B110,C110,E110,F110)=0,"",設定!$C$4&amp;TEXT(ROW()-4,"00000"))</f>
        <v/>
      </c>
      <c r="B110" s="22"/>
      <c r="C110" s="23"/>
      <c r="D110" s="21" t="str">
        <f aca="false">IF(C110="","",IFERROR(INDEX(取引先マスタ!$B$5:$B$204,MATCH($C110,取引先マスタ!$A$5:$A$204,0)),"コード誤り"))</f>
        <v/>
      </c>
      <c r="E110" s="28"/>
      <c r="F110" s="18"/>
      <c r="G110" s="25"/>
      <c r="H110" s="26" t="str">
        <f aca="false">IF(OR(F110="",G110=""),"",ROUNDDOWN(F110*G110,0))</f>
        <v/>
      </c>
      <c r="I110" s="26" t="str">
        <f aca="false">IF(OR(F110="",G110=""),"",F110+H110)</f>
        <v/>
      </c>
      <c r="J110" s="27" t="str">
        <f aca="false">IF(OR(B110="",C110="",D110="コード誤り"),"",IFERROR(DATE(YEAR(B110),MONTH(B110)+INDEX(取引先マスタ!$E$5:$E$204,MATCH($C110,取引先マスタ!$A$5:$A$204,0)),MIN(INDEX(取引先マスタ!$F$5:$F$204,MATCH($C110,取引先マスタ!$A$5:$A$204,0)),DAY(EOMONTH(B110,INDEX(取引先マスタ!$E$5:$E$204,MATCH($C110,取引先マスタ!$A$5:$A$204,0)))))),""))</f>
        <v/>
      </c>
      <c r="K110" s="22"/>
      <c r="L110" s="27" t="str">
        <f aca="false">IF(K110&lt;&gt;"",K110,J110)</f>
        <v/>
      </c>
      <c r="M110" s="28"/>
      <c r="N110" s="22"/>
      <c r="O110" s="28"/>
      <c r="P110" s="26" t="str">
        <f aca="false">IF(A110="","",SUMIF(入金明細!$F$5:$F$1004,A110,入金明細!$E$5:$E$1004))</f>
        <v/>
      </c>
      <c r="Q110" s="27" t="str">
        <f aca="false">IF(OR(A110="",N(P110)=0),"",SUMPRODUCT(MAX((入金明細!$F$5:$F$1004=A110)*入金明細!$B$5:$B$1004)))</f>
        <v/>
      </c>
      <c r="R110" s="18"/>
      <c r="S110" s="26" t="str">
        <f aca="false">IF(OR(A110="",I110=""),"",I110-N(P110)-N(R110))</f>
        <v/>
      </c>
      <c r="T110" s="28"/>
      <c r="U110" s="29" t="str">
        <f aca="false">IF(A110="","",IF(T110="取消","取消",IF(W110&lt;&gt;"","要入力",IF(N110="","未送付",IF(S110=0,"入金済",IF(S110&lt;0,"過入金",IF(設定!$C$5&gt;L110,IF(P110&gt;0,"一部入金・超過","期日超過"),IF(P110&gt;0,"一部入金",IF(L110-設定!$C$5&lt;=設定!$C$6,"期日間近","入金待ち")))))))))</f>
        <v/>
      </c>
      <c r="V110" s="30" t="str">
        <f aca="false">IF(OR(U110="期日超過",U110="一部入金・超過"),設定!$C$5-L110,"")</f>
        <v/>
      </c>
      <c r="W110" s="21" t="str">
        <f aca="false">IF(A110="","",TRIM(IF(B110="","請求日 ","")&amp;IF(C110="","取引先 ",IF(D110="コード誤り","取引先コード誤り ",""))&amp;IF(E110="","件名 ","")&amp;IF(F110="","税抜金額 ","")&amp;IF(G110="","税率 ","")&amp;IF(M110="","送付方法 ","")&amp;IF(AND(N110&lt;&gt;"",O110=""),"送付者 ","")&amp;IF(AND(I110&lt;&gt;"",L110=""),"入金期日 ","")&amp;IF(AND(N110&lt;&gt;"",P110&gt;0,S110&lt;=0,X110=""),"消込確認者 ","")))</f>
        <v/>
      </c>
      <c r="X110" s="28"/>
      <c r="Y110" s="28"/>
    </row>
    <row r="111" customFormat="false" ht="15" hidden="false" customHeight="false" outlineLevel="0" collapsed="false">
      <c r="A111" s="21" t="str">
        <f aca="false">IF(COUNTA(B111,C111,E111,F111)=0,"",設定!$C$4&amp;TEXT(ROW()-4,"00000"))</f>
        <v/>
      </c>
      <c r="B111" s="22"/>
      <c r="C111" s="23"/>
      <c r="D111" s="21" t="str">
        <f aca="false">IF(C111="","",IFERROR(INDEX(取引先マスタ!$B$5:$B$204,MATCH($C111,取引先マスタ!$A$5:$A$204,0)),"コード誤り"))</f>
        <v/>
      </c>
      <c r="E111" s="28"/>
      <c r="F111" s="18"/>
      <c r="G111" s="25"/>
      <c r="H111" s="26" t="str">
        <f aca="false">IF(OR(F111="",G111=""),"",ROUNDDOWN(F111*G111,0))</f>
        <v/>
      </c>
      <c r="I111" s="26" t="str">
        <f aca="false">IF(OR(F111="",G111=""),"",F111+H111)</f>
        <v/>
      </c>
      <c r="J111" s="27" t="str">
        <f aca="false">IF(OR(B111="",C111="",D111="コード誤り"),"",IFERROR(DATE(YEAR(B111),MONTH(B111)+INDEX(取引先マスタ!$E$5:$E$204,MATCH($C111,取引先マスタ!$A$5:$A$204,0)),MIN(INDEX(取引先マスタ!$F$5:$F$204,MATCH($C111,取引先マスタ!$A$5:$A$204,0)),DAY(EOMONTH(B111,INDEX(取引先マスタ!$E$5:$E$204,MATCH($C111,取引先マスタ!$A$5:$A$204,0)))))),""))</f>
        <v/>
      </c>
      <c r="K111" s="22"/>
      <c r="L111" s="27" t="str">
        <f aca="false">IF(K111&lt;&gt;"",K111,J111)</f>
        <v/>
      </c>
      <c r="M111" s="28"/>
      <c r="N111" s="22"/>
      <c r="O111" s="28"/>
      <c r="P111" s="26" t="str">
        <f aca="false">IF(A111="","",SUMIF(入金明細!$F$5:$F$1004,A111,入金明細!$E$5:$E$1004))</f>
        <v/>
      </c>
      <c r="Q111" s="27" t="str">
        <f aca="false">IF(OR(A111="",N(P111)=0),"",SUMPRODUCT(MAX((入金明細!$F$5:$F$1004=A111)*入金明細!$B$5:$B$1004)))</f>
        <v/>
      </c>
      <c r="R111" s="18"/>
      <c r="S111" s="26" t="str">
        <f aca="false">IF(OR(A111="",I111=""),"",I111-N(P111)-N(R111))</f>
        <v/>
      </c>
      <c r="T111" s="28"/>
      <c r="U111" s="29" t="str">
        <f aca="false">IF(A111="","",IF(T111="取消","取消",IF(W111&lt;&gt;"","要入力",IF(N111="","未送付",IF(S111=0,"入金済",IF(S111&lt;0,"過入金",IF(設定!$C$5&gt;L111,IF(P111&gt;0,"一部入金・超過","期日超過"),IF(P111&gt;0,"一部入金",IF(L111-設定!$C$5&lt;=設定!$C$6,"期日間近","入金待ち")))))))))</f>
        <v/>
      </c>
      <c r="V111" s="30" t="str">
        <f aca="false">IF(OR(U111="期日超過",U111="一部入金・超過"),設定!$C$5-L111,"")</f>
        <v/>
      </c>
      <c r="W111" s="21" t="str">
        <f aca="false">IF(A111="","",TRIM(IF(B111="","請求日 ","")&amp;IF(C111="","取引先 ",IF(D111="コード誤り","取引先コード誤り ",""))&amp;IF(E111="","件名 ","")&amp;IF(F111="","税抜金額 ","")&amp;IF(G111="","税率 ","")&amp;IF(M111="","送付方法 ","")&amp;IF(AND(N111&lt;&gt;"",O111=""),"送付者 ","")&amp;IF(AND(I111&lt;&gt;"",L111=""),"入金期日 ","")&amp;IF(AND(N111&lt;&gt;"",P111&gt;0,S111&lt;=0,X111=""),"消込確認者 ","")))</f>
        <v/>
      </c>
      <c r="X111" s="28"/>
      <c r="Y111" s="28"/>
    </row>
    <row r="112" customFormat="false" ht="15" hidden="false" customHeight="false" outlineLevel="0" collapsed="false">
      <c r="A112" s="21" t="str">
        <f aca="false">IF(COUNTA(B112,C112,E112,F112)=0,"",設定!$C$4&amp;TEXT(ROW()-4,"00000"))</f>
        <v/>
      </c>
      <c r="B112" s="22"/>
      <c r="C112" s="23"/>
      <c r="D112" s="21" t="str">
        <f aca="false">IF(C112="","",IFERROR(INDEX(取引先マスタ!$B$5:$B$204,MATCH($C112,取引先マスタ!$A$5:$A$204,0)),"コード誤り"))</f>
        <v/>
      </c>
      <c r="E112" s="28"/>
      <c r="F112" s="18"/>
      <c r="G112" s="25"/>
      <c r="H112" s="26" t="str">
        <f aca="false">IF(OR(F112="",G112=""),"",ROUNDDOWN(F112*G112,0))</f>
        <v/>
      </c>
      <c r="I112" s="26" t="str">
        <f aca="false">IF(OR(F112="",G112=""),"",F112+H112)</f>
        <v/>
      </c>
      <c r="J112" s="27" t="str">
        <f aca="false">IF(OR(B112="",C112="",D112="コード誤り"),"",IFERROR(DATE(YEAR(B112),MONTH(B112)+INDEX(取引先マスタ!$E$5:$E$204,MATCH($C112,取引先マスタ!$A$5:$A$204,0)),MIN(INDEX(取引先マスタ!$F$5:$F$204,MATCH($C112,取引先マスタ!$A$5:$A$204,0)),DAY(EOMONTH(B112,INDEX(取引先マスタ!$E$5:$E$204,MATCH($C112,取引先マスタ!$A$5:$A$204,0)))))),""))</f>
        <v/>
      </c>
      <c r="K112" s="22"/>
      <c r="L112" s="27" t="str">
        <f aca="false">IF(K112&lt;&gt;"",K112,J112)</f>
        <v/>
      </c>
      <c r="M112" s="28"/>
      <c r="N112" s="22"/>
      <c r="O112" s="28"/>
      <c r="P112" s="26" t="str">
        <f aca="false">IF(A112="","",SUMIF(入金明細!$F$5:$F$1004,A112,入金明細!$E$5:$E$1004))</f>
        <v/>
      </c>
      <c r="Q112" s="27" t="str">
        <f aca="false">IF(OR(A112="",N(P112)=0),"",SUMPRODUCT(MAX((入金明細!$F$5:$F$1004=A112)*入金明細!$B$5:$B$1004)))</f>
        <v/>
      </c>
      <c r="R112" s="18"/>
      <c r="S112" s="26" t="str">
        <f aca="false">IF(OR(A112="",I112=""),"",I112-N(P112)-N(R112))</f>
        <v/>
      </c>
      <c r="T112" s="28"/>
      <c r="U112" s="29" t="str">
        <f aca="false">IF(A112="","",IF(T112="取消","取消",IF(W112&lt;&gt;"","要入力",IF(N112="","未送付",IF(S112=0,"入金済",IF(S112&lt;0,"過入金",IF(設定!$C$5&gt;L112,IF(P112&gt;0,"一部入金・超過","期日超過"),IF(P112&gt;0,"一部入金",IF(L112-設定!$C$5&lt;=設定!$C$6,"期日間近","入金待ち")))))))))</f>
        <v/>
      </c>
      <c r="V112" s="30" t="str">
        <f aca="false">IF(OR(U112="期日超過",U112="一部入金・超過"),設定!$C$5-L112,"")</f>
        <v/>
      </c>
      <c r="W112" s="21" t="str">
        <f aca="false">IF(A112="","",TRIM(IF(B112="","請求日 ","")&amp;IF(C112="","取引先 ",IF(D112="コード誤り","取引先コード誤り ",""))&amp;IF(E112="","件名 ","")&amp;IF(F112="","税抜金額 ","")&amp;IF(G112="","税率 ","")&amp;IF(M112="","送付方法 ","")&amp;IF(AND(N112&lt;&gt;"",O112=""),"送付者 ","")&amp;IF(AND(I112&lt;&gt;"",L112=""),"入金期日 ","")&amp;IF(AND(N112&lt;&gt;"",P112&gt;0,S112&lt;=0,X112=""),"消込確認者 ","")))</f>
        <v/>
      </c>
      <c r="X112" s="28"/>
      <c r="Y112" s="28"/>
    </row>
    <row r="113" customFormat="false" ht="15" hidden="false" customHeight="false" outlineLevel="0" collapsed="false">
      <c r="A113" s="21" t="str">
        <f aca="false">IF(COUNTA(B113,C113,E113,F113)=0,"",設定!$C$4&amp;TEXT(ROW()-4,"00000"))</f>
        <v/>
      </c>
      <c r="B113" s="22"/>
      <c r="C113" s="23"/>
      <c r="D113" s="21" t="str">
        <f aca="false">IF(C113="","",IFERROR(INDEX(取引先マスタ!$B$5:$B$204,MATCH($C113,取引先マスタ!$A$5:$A$204,0)),"コード誤り"))</f>
        <v/>
      </c>
      <c r="E113" s="28"/>
      <c r="F113" s="18"/>
      <c r="G113" s="25"/>
      <c r="H113" s="26" t="str">
        <f aca="false">IF(OR(F113="",G113=""),"",ROUNDDOWN(F113*G113,0))</f>
        <v/>
      </c>
      <c r="I113" s="26" t="str">
        <f aca="false">IF(OR(F113="",G113=""),"",F113+H113)</f>
        <v/>
      </c>
      <c r="J113" s="27" t="str">
        <f aca="false">IF(OR(B113="",C113="",D113="コード誤り"),"",IFERROR(DATE(YEAR(B113),MONTH(B113)+INDEX(取引先マスタ!$E$5:$E$204,MATCH($C113,取引先マスタ!$A$5:$A$204,0)),MIN(INDEX(取引先マスタ!$F$5:$F$204,MATCH($C113,取引先マスタ!$A$5:$A$204,0)),DAY(EOMONTH(B113,INDEX(取引先マスタ!$E$5:$E$204,MATCH($C113,取引先マスタ!$A$5:$A$204,0)))))),""))</f>
        <v/>
      </c>
      <c r="K113" s="22"/>
      <c r="L113" s="27" t="str">
        <f aca="false">IF(K113&lt;&gt;"",K113,J113)</f>
        <v/>
      </c>
      <c r="M113" s="28"/>
      <c r="N113" s="22"/>
      <c r="O113" s="28"/>
      <c r="P113" s="26" t="str">
        <f aca="false">IF(A113="","",SUMIF(入金明細!$F$5:$F$1004,A113,入金明細!$E$5:$E$1004))</f>
        <v/>
      </c>
      <c r="Q113" s="27" t="str">
        <f aca="false">IF(OR(A113="",N(P113)=0),"",SUMPRODUCT(MAX((入金明細!$F$5:$F$1004=A113)*入金明細!$B$5:$B$1004)))</f>
        <v/>
      </c>
      <c r="R113" s="18"/>
      <c r="S113" s="26" t="str">
        <f aca="false">IF(OR(A113="",I113=""),"",I113-N(P113)-N(R113))</f>
        <v/>
      </c>
      <c r="T113" s="28"/>
      <c r="U113" s="29" t="str">
        <f aca="false">IF(A113="","",IF(T113="取消","取消",IF(W113&lt;&gt;"","要入力",IF(N113="","未送付",IF(S113=0,"入金済",IF(S113&lt;0,"過入金",IF(設定!$C$5&gt;L113,IF(P113&gt;0,"一部入金・超過","期日超過"),IF(P113&gt;0,"一部入金",IF(L113-設定!$C$5&lt;=設定!$C$6,"期日間近","入金待ち")))))))))</f>
        <v/>
      </c>
      <c r="V113" s="30" t="str">
        <f aca="false">IF(OR(U113="期日超過",U113="一部入金・超過"),設定!$C$5-L113,"")</f>
        <v/>
      </c>
      <c r="W113" s="21" t="str">
        <f aca="false">IF(A113="","",TRIM(IF(B113="","請求日 ","")&amp;IF(C113="","取引先 ",IF(D113="コード誤り","取引先コード誤り ",""))&amp;IF(E113="","件名 ","")&amp;IF(F113="","税抜金額 ","")&amp;IF(G113="","税率 ","")&amp;IF(M113="","送付方法 ","")&amp;IF(AND(N113&lt;&gt;"",O113=""),"送付者 ","")&amp;IF(AND(I113&lt;&gt;"",L113=""),"入金期日 ","")&amp;IF(AND(N113&lt;&gt;"",P113&gt;0,S113&lt;=0,X113=""),"消込確認者 ","")))</f>
        <v/>
      </c>
      <c r="X113" s="28"/>
      <c r="Y113" s="28"/>
    </row>
    <row r="114" customFormat="false" ht="15" hidden="false" customHeight="false" outlineLevel="0" collapsed="false">
      <c r="A114" s="21" t="str">
        <f aca="false">IF(COUNTA(B114,C114,E114,F114)=0,"",設定!$C$4&amp;TEXT(ROW()-4,"00000"))</f>
        <v/>
      </c>
      <c r="B114" s="22"/>
      <c r="C114" s="23"/>
      <c r="D114" s="21" t="str">
        <f aca="false">IF(C114="","",IFERROR(INDEX(取引先マスタ!$B$5:$B$204,MATCH($C114,取引先マスタ!$A$5:$A$204,0)),"コード誤り"))</f>
        <v/>
      </c>
      <c r="E114" s="28"/>
      <c r="F114" s="18"/>
      <c r="G114" s="25"/>
      <c r="H114" s="26" t="str">
        <f aca="false">IF(OR(F114="",G114=""),"",ROUNDDOWN(F114*G114,0))</f>
        <v/>
      </c>
      <c r="I114" s="26" t="str">
        <f aca="false">IF(OR(F114="",G114=""),"",F114+H114)</f>
        <v/>
      </c>
      <c r="J114" s="27" t="str">
        <f aca="false">IF(OR(B114="",C114="",D114="コード誤り"),"",IFERROR(DATE(YEAR(B114),MONTH(B114)+INDEX(取引先マスタ!$E$5:$E$204,MATCH($C114,取引先マスタ!$A$5:$A$204,0)),MIN(INDEX(取引先マスタ!$F$5:$F$204,MATCH($C114,取引先マスタ!$A$5:$A$204,0)),DAY(EOMONTH(B114,INDEX(取引先マスタ!$E$5:$E$204,MATCH($C114,取引先マスタ!$A$5:$A$204,0)))))),""))</f>
        <v/>
      </c>
      <c r="K114" s="22"/>
      <c r="L114" s="27" t="str">
        <f aca="false">IF(K114&lt;&gt;"",K114,J114)</f>
        <v/>
      </c>
      <c r="M114" s="28"/>
      <c r="N114" s="22"/>
      <c r="O114" s="28"/>
      <c r="P114" s="26" t="str">
        <f aca="false">IF(A114="","",SUMIF(入金明細!$F$5:$F$1004,A114,入金明細!$E$5:$E$1004))</f>
        <v/>
      </c>
      <c r="Q114" s="27" t="str">
        <f aca="false">IF(OR(A114="",N(P114)=0),"",SUMPRODUCT(MAX((入金明細!$F$5:$F$1004=A114)*入金明細!$B$5:$B$1004)))</f>
        <v/>
      </c>
      <c r="R114" s="18"/>
      <c r="S114" s="26" t="str">
        <f aca="false">IF(OR(A114="",I114=""),"",I114-N(P114)-N(R114))</f>
        <v/>
      </c>
      <c r="T114" s="28"/>
      <c r="U114" s="29" t="str">
        <f aca="false">IF(A114="","",IF(T114="取消","取消",IF(W114&lt;&gt;"","要入力",IF(N114="","未送付",IF(S114=0,"入金済",IF(S114&lt;0,"過入金",IF(設定!$C$5&gt;L114,IF(P114&gt;0,"一部入金・超過","期日超過"),IF(P114&gt;0,"一部入金",IF(L114-設定!$C$5&lt;=設定!$C$6,"期日間近","入金待ち")))))))))</f>
        <v/>
      </c>
      <c r="V114" s="30" t="str">
        <f aca="false">IF(OR(U114="期日超過",U114="一部入金・超過"),設定!$C$5-L114,"")</f>
        <v/>
      </c>
      <c r="W114" s="21" t="str">
        <f aca="false">IF(A114="","",TRIM(IF(B114="","請求日 ","")&amp;IF(C114="","取引先 ",IF(D114="コード誤り","取引先コード誤り ",""))&amp;IF(E114="","件名 ","")&amp;IF(F114="","税抜金額 ","")&amp;IF(G114="","税率 ","")&amp;IF(M114="","送付方法 ","")&amp;IF(AND(N114&lt;&gt;"",O114=""),"送付者 ","")&amp;IF(AND(I114&lt;&gt;"",L114=""),"入金期日 ","")&amp;IF(AND(N114&lt;&gt;"",P114&gt;0,S114&lt;=0,X114=""),"消込確認者 ","")))</f>
        <v/>
      </c>
      <c r="X114" s="28"/>
      <c r="Y114" s="28"/>
    </row>
    <row r="115" customFormat="false" ht="15" hidden="false" customHeight="false" outlineLevel="0" collapsed="false">
      <c r="A115" s="21" t="str">
        <f aca="false">IF(COUNTA(B115,C115,E115,F115)=0,"",設定!$C$4&amp;TEXT(ROW()-4,"00000"))</f>
        <v/>
      </c>
      <c r="B115" s="22"/>
      <c r="C115" s="23"/>
      <c r="D115" s="21" t="str">
        <f aca="false">IF(C115="","",IFERROR(INDEX(取引先マスタ!$B$5:$B$204,MATCH($C115,取引先マスタ!$A$5:$A$204,0)),"コード誤り"))</f>
        <v/>
      </c>
      <c r="E115" s="28"/>
      <c r="F115" s="18"/>
      <c r="G115" s="25"/>
      <c r="H115" s="26" t="str">
        <f aca="false">IF(OR(F115="",G115=""),"",ROUNDDOWN(F115*G115,0))</f>
        <v/>
      </c>
      <c r="I115" s="26" t="str">
        <f aca="false">IF(OR(F115="",G115=""),"",F115+H115)</f>
        <v/>
      </c>
      <c r="J115" s="27" t="str">
        <f aca="false">IF(OR(B115="",C115="",D115="コード誤り"),"",IFERROR(DATE(YEAR(B115),MONTH(B115)+INDEX(取引先マスタ!$E$5:$E$204,MATCH($C115,取引先マスタ!$A$5:$A$204,0)),MIN(INDEX(取引先マスタ!$F$5:$F$204,MATCH($C115,取引先マスタ!$A$5:$A$204,0)),DAY(EOMONTH(B115,INDEX(取引先マスタ!$E$5:$E$204,MATCH($C115,取引先マスタ!$A$5:$A$204,0)))))),""))</f>
        <v/>
      </c>
      <c r="K115" s="22"/>
      <c r="L115" s="27" t="str">
        <f aca="false">IF(K115&lt;&gt;"",K115,J115)</f>
        <v/>
      </c>
      <c r="M115" s="28"/>
      <c r="N115" s="22"/>
      <c r="O115" s="28"/>
      <c r="P115" s="26" t="str">
        <f aca="false">IF(A115="","",SUMIF(入金明細!$F$5:$F$1004,A115,入金明細!$E$5:$E$1004))</f>
        <v/>
      </c>
      <c r="Q115" s="27" t="str">
        <f aca="false">IF(OR(A115="",N(P115)=0),"",SUMPRODUCT(MAX((入金明細!$F$5:$F$1004=A115)*入金明細!$B$5:$B$1004)))</f>
        <v/>
      </c>
      <c r="R115" s="18"/>
      <c r="S115" s="26" t="str">
        <f aca="false">IF(OR(A115="",I115=""),"",I115-N(P115)-N(R115))</f>
        <v/>
      </c>
      <c r="T115" s="28"/>
      <c r="U115" s="29" t="str">
        <f aca="false">IF(A115="","",IF(T115="取消","取消",IF(W115&lt;&gt;"","要入力",IF(N115="","未送付",IF(S115=0,"入金済",IF(S115&lt;0,"過入金",IF(設定!$C$5&gt;L115,IF(P115&gt;0,"一部入金・超過","期日超過"),IF(P115&gt;0,"一部入金",IF(L115-設定!$C$5&lt;=設定!$C$6,"期日間近","入金待ち")))))))))</f>
        <v/>
      </c>
      <c r="V115" s="30" t="str">
        <f aca="false">IF(OR(U115="期日超過",U115="一部入金・超過"),設定!$C$5-L115,"")</f>
        <v/>
      </c>
      <c r="W115" s="21" t="str">
        <f aca="false">IF(A115="","",TRIM(IF(B115="","請求日 ","")&amp;IF(C115="","取引先 ",IF(D115="コード誤り","取引先コード誤り ",""))&amp;IF(E115="","件名 ","")&amp;IF(F115="","税抜金額 ","")&amp;IF(G115="","税率 ","")&amp;IF(M115="","送付方法 ","")&amp;IF(AND(N115&lt;&gt;"",O115=""),"送付者 ","")&amp;IF(AND(I115&lt;&gt;"",L115=""),"入金期日 ","")&amp;IF(AND(N115&lt;&gt;"",P115&gt;0,S115&lt;=0,X115=""),"消込確認者 ","")))</f>
        <v/>
      </c>
      <c r="X115" s="28"/>
      <c r="Y115" s="28"/>
    </row>
    <row r="116" customFormat="false" ht="15" hidden="false" customHeight="false" outlineLevel="0" collapsed="false">
      <c r="A116" s="21" t="str">
        <f aca="false">IF(COUNTA(B116,C116,E116,F116)=0,"",設定!$C$4&amp;TEXT(ROW()-4,"00000"))</f>
        <v/>
      </c>
      <c r="B116" s="22"/>
      <c r="C116" s="23"/>
      <c r="D116" s="21" t="str">
        <f aca="false">IF(C116="","",IFERROR(INDEX(取引先マスタ!$B$5:$B$204,MATCH($C116,取引先マスタ!$A$5:$A$204,0)),"コード誤り"))</f>
        <v/>
      </c>
      <c r="E116" s="28"/>
      <c r="F116" s="18"/>
      <c r="G116" s="25"/>
      <c r="H116" s="26" t="str">
        <f aca="false">IF(OR(F116="",G116=""),"",ROUNDDOWN(F116*G116,0))</f>
        <v/>
      </c>
      <c r="I116" s="26" t="str">
        <f aca="false">IF(OR(F116="",G116=""),"",F116+H116)</f>
        <v/>
      </c>
      <c r="J116" s="27" t="str">
        <f aca="false">IF(OR(B116="",C116="",D116="コード誤り"),"",IFERROR(DATE(YEAR(B116),MONTH(B116)+INDEX(取引先マスタ!$E$5:$E$204,MATCH($C116,取引先マスタ!$A$5:$A$204,0)),MIN(INDEX(取引先マスタ!$F$5:$F$204,MATCH($C116,取引先マスタ!$A$5:$A$204,0)),DAY(EOMONTH(B116,INDEX(取引先マスタ!$E$5:$E$204,MATCH($C116,取引先マスタ!$A$5:$A$204,0)))))),""))</f>
        <v/>
      </c>
      <c r="K116" s="22"/>
      <c r="L116" s="27" t="str">
        <f aca="false">IF(K116&lt;&gt;"",K116,J116)</f>
        <v/>
      </c>
      <c r="M116" s="28"/>
      <c r="N116" s="22"/>
      <c r="O116" s="28"/>
      <c r="P116" s="26" t="str">
        <f aca="false">IF(A116="","",SUMIF(入金明細!$F$5:$F$1004,A116,入金明細!$E$5:$E$1004))</f>
        <v/>
      </c>
      <c r="Q116" s="27" t="str">
        <f aca="false">IF(OR(A116="",N(P116)=0),"",SUMPRODUCT(MAX((入金明細!$F$5:$F$1004=A116)*入金明細!$B$5:$B$1004)))</f>
        <v/>
      </c>
      <c r="R116" s="18"/>
      <c r="S116" s="26" t="str">
        <f aca="false">IF(OR(A116="",I116=""),"",I116-N(P116)-N(R116))</f>
        <v/>
      </c>
      <c r="T116" s="28"/>
      <c r="U116" s="29" t="str">
        <f aca="false">IF(A116="","",IF(T116="取消","取消",IF(W116&lt;&gt;"","要入力",IF(N116="","未送付",IF(S116=0,"入金済",IF(S116&lt;0,"過入金",IF(設定!$C$5&gt;L116,IF(P116&gt;0,"一部入金・超過","期日超過"),IF(P116&gt;0,"一部入金",IF(L116-設定!$C$5&lt;=設定!$C$6,"期日間近","入金待ち")))))))))</f>
        <v/>
      </c>
      <c r="V116" s="30" t="str">
        <f aca="false">IF(OR(U116="期日超過",U116="一部入金・超過"),設定!$C$5-L116,"")</f>
        <v/>
      </c>
      <c r="W116" s="21" t="str">
        <f aca="false">IF(A116="","",TRIM(IF(B116="","請求日 ","")&amp;IF(C116="","取引先 ",IF(D116="コード誤り","取引先コード誤り ",""))&amp;IF(E116="","件名 ","")&amp;IF(F116="","税抜金額 ","")&amp;IF(G116="","税率 ","")&amp;IF(M116="","送付方法 ","")&amp;IF(AND(N116&lt;&gt;"",O116=""),"送付者 ","")&amp;IF(AND(I116&lt;&gt;"",L116=""),"入金期日 ","")&amp;IF(AND(N116&lt;&gt;"",P116&gt;0,S116&lt;=0,X116=""),"消込確認者 ","")))</f>
        <v/>
      </c>
      <c r="X116" s="28"/>
      <c r="Y116" s="28"/>
    </row>
    <row r="117" customFormat="false" ht="15" hidden="false" customHeight="false" outlineLevel="0" collapsed="false">
      <c r="A117" s="21" t="str">
        <f aca="false">IF(COUNTA(B117,C117,E117,F117)=0,"",設定!$C$4&amp;TEXT(ROW()-4,"00000"))</f>
        <v/>
      </c>
      <c r="B117" s="22"/>
      <c r="C117" s="23"/>
      <c r="D117" s="21" t="str">
        <f aca="false">IF(C117="","",IFERROR(INDEX(取引先マスタ!$B$5:$B$204,MATCH($C117,取引先マスタ!$A$5:$A$204,0)),"コード誤り"))</f>
        <v/>
      </c>
      <c r="E117" s="28"/>
      <c r="F117" s="18"/>
      <c r="G117" s="25"/>
      <c r="H117" s="26" t="str">
        <f aca="false">IF(OR(F117="",G117=""),"",ROUNDDOWN(F117*G117,0))</f>
        <v/>
      </c>
      <c r="I117" s="26" t="str">
        <f aca="false">IF(OR(F117="",G117=""),"",F117+H117)</f>
        <v/>
      </c>
      <c r="J117" s="27" t="str">
        <f aca="false">IF(OR(B117="",C117="",D117="コード誤り"),"",IFERROR(DATE(YEAR(B117),MONTH(B117)+INDEX(取引先マスタ!$E$5:$E$204,MATCH($C117,取引先マスタ!$A$5:$A$204,0)),MIN(INDEX(取引先マスタ!$F$5:$F$204,MATCH($C117,取引先マスタ!$A$5:$A$204,0)),DAY(EOMONTH(B117,INDEX(取引先マスタ!$E$5:$E$204,MATCH($C117,取引先マスタ!$A$5:$A$204,0)))))),""))</f>
        <v/>
      </c>
      <c r="K117" s="22"/>
      <c r="L117" s="27" t="str">
        <f aca="false">IF(K117&lt;&gt;"",K117,J117)</f>
        <v/>
      </c>
      <c r="M117" s="28"/>
      <c r="N117" s="22"/>
      <c r="O117" s="28"/>
      <c r="P117" s="26" t="str">
        <f aca="false">IF(A117="","",SUMIF(入金明細!$F$5:$F$1004,A117,入金明細!$E$5:$E$1004))</f>
        <v/>
      </c>
      <c r="Q117" s="27" t="str">
        <f aca="false">IF(OR(A117="",N(P117)=0),"",SUMPRODUCT(MAX((入金明細!$F$5:$F$1004=A117)*入金明細!$B$5:$B$1004)))</f>
        <v/>
      </c>
      <c r="R117" s="18"/>
      <c r="S117" s="26" t="str">
        <f aca="false">IF(OR(A117="",I117=""),"",I117-N(P117)-N(R117))</f>
        <v/>
      </c>
      <c r="T117" s="28"/>
      <c r="U117" s="29" t="str">
        <f aca="false">IF(A117="","",IF(T117="取消","取消",IF(W117&lt;&gt;"","要入力",IF(N117="","未送付",IF(S117=0,"入金済",IF(S117&lt;0,"過入金",IF(設定!$C$5&gt;L117,IF(P117&gt;0,"一部入金・超過","期日超過"),IF(P117&gt;0,"一部入金",IF(L117-設定!$C$5&lt;=設定!$C$6,"期日間近","入金待ち")))))))))</f>
        <v/>
      </c>
      <c r="V117" s="30" t="str">
        <f aca="false">IF(OR(U117="期日超過",U117="一部入金・超過"),設定!$C$5-L117,"")</f>
        <v/>
      </c>
      <c r="W117" s="21" t="str">
        <f aca="false">IF(A117="","",TRIM(IF(B117="","請求日 ","")&amp;IF(C117="","取引先 ",IF(D117="コード誤り","取引先コード誤り ",""))&amp;IF(E117="","件名 ","")&amp;IF(F117="","税抜金額 ","")&amp;IF(G117="","税率 ","")&amp;IF(M117="","送付方法 ","")&amp;IF(AND(N117&lt;&gt;"",O117=""),"送付者 ","")&amp;IF(AND(I117&lt;&gt;"",L117=""),"入金期日 ","")&amp;IF(AND(N117&lt;&gt;"",P117&gt;0,S117&lt;=0,X117=""),"消込確認者 ","")))</f>
        <v/>
      </c>
      <c r="X117" s="28"/>
      <c r="Y117" s="28"/>
    </row>
    <row r="118" customFormat="false" ht="15" hidden="false" customHeight="false" outlineLevel="0" collapsed="false">
      <c r="A118" s="21" t="str">
        <f aca="false">IF(COUNTA(B118,C118,E118,F118)=0,"",設定!$C$4&amp;TEXT(ROW()-4,"00000"))</f>
        <v/>
      </c>
      <c r="B118" s="22"/>
      <c r="C118" s="23"/>
      <c r="D118" s="21" t="str">
        <f aca="false">IF(C118="","",IFERROR(INDEX(取引先マスタ!$B$5:$B$204,MATCH($C118,取引先マスタ!$A$5:$A$204,0)),"コード誤り"))</f>
        <v/>
      </c>
      <c r="E118" s="28"/>
      <c r="F118" s="18"/>
      <c r="G118" s="25"/>
      <c r="H118" s="26" t="str">
        <f aca="false">IF(OR(F118="",G118=""),"",ROUNDDOWN(F118*G118,0))</f>
        <v/>
      </c>
      <c r="I118" s="26" t="str">
        <f aca="false">IF(OR(F118="",G118=""),"",F118+H118)</f>
        <v/>
      </c>
      <c r="J118" s="27" t="str">
        <f aca="false">IF(OR(B118="",C118="",D118="コード誤り"),"",IFERROR(DATE(YEAR(B118),MONTH(B118)+INDEX(取引先マスタ!$E$5:$E$204,MATCH($C118,取引先マスタ!$A$5:$A$204,0)),MIN(INDEX(取引先マスタ!$F$5:$F$204,MATCH($C118,取引先マスタ!$A$5:$A$204,0)),DAY(EOMONTH(B118,INDEX(取引先マスタ!$E$5:$E$204,MATCH($C118,取引先マスタ!$A$5:$A$204,0)))))),""))</f>
        <v/>
      </c>
      <c r="K118" s="22"/>
      <c r="L118" s="27" t="str">
        <f aca="false">IF(K118&lt;&gt;"",K118,J118)</f>
        <v/>
      </c>
      <c r="M118" s="28"/>
      <c r="N118" s="22"/>
      <c r="O118" s="28"/>
      <c r="P118" s="26" t="str">
        <f aca="false">IF(A118="","",SUMIF(入金明細!$F$5:$F$1004,A118,入金明細!$E$5:$E$1004))</f>
        <v/>
      </c>
      <c r="Q118" s="27" t="str">
        <f aca="false">IF(OR(A118="",N(P118)=0),"",SUMPRODUCT(MAX((入金明細!$F$5:$F$1004=A118)*入金明細!$B$5:$B$1004)))</f>
        <v/>
      </c>
      <c r="R118" s="18"/>
      <c r="S118" s="26" t="str">
        <f aca="false">IF(OR(A118="",I118=""),"",I118-N(P118)-N(R118))</f>
        <v/>
      </c>
      <c r="T118" s="28"/>
      <c r="U118" s="29" t="str">
        <f aca="false">IF(A118="","",IF(T118="取消","取消",IF(W118&lt;&gt;"","要入力",IF(N118="","未送付",IF(S118=0,"入金済",IF(S118&lt;0,"過入金",IF(設定!$C$5&gt;L118,IF(P118&gt;0,"一部入金・超過","期日超過"),IF(P118&gt;0,"一部入金",IF(L118-設定!$C$5&lt;=設定!$C$6,"期日間近","入金待ち")))))))))</f>
        <v/>
      </c>
      <c r="V118" s="30" t="str">
        <f aca="false">IF(OR(U118="期日超過",U118="一部入金・超過"),設定!$C$5-L118,"")</f>
        <v/>
      </c>
      <c r="W118" s="21" t="str">
        <f aca="false">IF(A118="","",TRIM(IF(B118="","請求日 ","")&amp;IF(C118="","取引先 ",IF(D118="コード誤り","取引先コード誤り ",""))&amp;IF(E118="","件名 ","")&amp;IF(F118="","税抜金額 ","")&amp;IF(G118="","税率 ","")&amp;IF(M118="","送付方法 ","")&amp;IF(AND(N118&lt;&gt;"",O118=""),"送付者 ","")&amp;IF(AND(I118&lt;&gt;"",L118=""),"入金期日 ","")&amp;IF(AND(N118&lt;&gt;"",P118&gt;0,S118&lt;=0,X118=""),"消込確認者 ","")))</f>
        <v/>
      </c>
      <c r="X118" s="28"/>
      <c r="Y118" s="28"/>
    </row>
    <row r="119" customFormat="false" ht="15" hidden="false" customHeight="false" outlineLevel="0" collapsed="false">
      <c r="A119" s="21" t="str">
        <f aca="false">IF(COUNTA(B119,C119,E119,F119)=0,"",設定!$C$4&amp;TEXT(ROW()-4,"00000"))</f>
        <v/>
      </c>
      <c r="B119" s="22"/>
      <c r="C119" s="23"/>
      <c r="D119" s="21" t="str">
        <f aca="false">IF(C119="","",IFERROR(INDEX(取引先マスタ!$B$5:$B$204,MATCH($C119,取引先マスタ!$A$5:$A$204,0)),"コード誤り"))</f>
        <v/>
      </c>
      <c r="E119" s="28"/>
      <c r="F119" s="18"/>
      <c r="G119" s="25"/>
      <c r="H119" s="26" t="str">
        <f aca="false">IF(OR(F119="",G119=""),"",ROUNDDOWN(F119*G119,0))</f>
        <v/>
      </c>
      <c r="I119" s="26" t="str">
        <f aca="false">IF(OR(F119="",G119=""),"",F119+H119)</f>
        <v/>
      </c>
      <c r="J119" s="27" t="str">
        <f aca="false">IF(OR(B119="",C119="",D119="コード誤り"),"",IFERROR(DATE(YEAR(B119),MONTH(B119)+INDEX(取引先マスタ!$E$5:$E$204,MATCH($C119,取引先マスタ!$A$5:$A$204,0)),MIN(INDEX(取引先マスタ!$F$5:$F$204,MATCH($C119,取引先マスタ!$A$5:$A$204,0)),DAY(EOMONTH(B119,INDEX(取引先マスタ!$E$5:$E$204,MATCH($C119,取引先マスタ!$A$5:$A$204,0)))))),""))</f>
        <v/>
      </c>
      <c r="K119" s="22"/>
      <c r="L119" s="27" t="str">
        <f aca="false">IF(K119&lt;&gt;"",K119,J119)</f>
        <v/>
      </c>
      <c r="M119" s="28"/>
      <c r="N119" s="22"/>
      <c r="O119" s="28"/>
      <c r="P119" s="26" t="str">
        <f aca="false">IF(A119="","",SUMIF(入金明細!$F$5:$F$1004,A119,入金明細!$E$5:$E$1004))</f>
        <v/>
      </c>
      <c r="Q119" s="27" t="str">
        <f aca="false">IF(OR(A119="",N(P119)=0),"",SUMPRODUCT(MAX((入金明細!$F$5:$F$1004=A119)*入金明細!$B$5:$B$1004)))</f>
        <v/>
      </c>
      <c r="R119" s="18"/>
      <c r="S119" s="26" t="str">
        <f aca="false">IF(OR(A119="",I119=""),"",I119-N(P119)-N(R119))</f>
        <v/>
      </c>
      <c r="T119" s="28"/>
      <c r="U119" s="29" t="str">
        <f aca="false">IF(A119="","",IF(T119="取消","取消",IF(W119&lt;&gt;"","要入力",IF(N119="","未送付",IF(S119=0,"入金済",IF(S119&lt;0,"過入金",IF(設定!$C$5&gt;L119,IF(P119&gt;0,"一部入金・超過","期日超過"),IF(P119&gt;0,"一部入金",IF(L119-設定!$C$5&lt;=設定!$C$6,"期日間近","入金待ち")))))))))</f>
        <v/>
      </c>
      <c r="V119" s="30" t="str">
        <f aca="false">IF(OR(U119="期日超過",U119="一部入金・超過"),設定!$C$5-L119,"")</f>
        <v/>
      </c>
      <c r="W119" s="21" t="str">
        <f aca="false">IF(A119="","",TRIM(IF(B119="","請求日 ","")&amp;IF(C119="","取引先 ",IF(D119="コード誤り","取引先コード誤り ",""))&amp;IF(E119="","件名 ","")&amp;IF(F119="","税抜金額 ","")&amp;IF(G119="","税率 ","")&amp;IF(M119="","送付方法 ","")&amp;IF(AND(N119&lt;&gt;"",O119=""),"送付者 ","")&amp;IF(AND(I119&lt;&gt;"",L119=""),"入金期日 ","")&amp;IF(AND(N119&lt;&gt;"",P119&gt;0,S119&lt;=0,X119=""),"消込確認者 ","")))</f>
        <v/>
      </c>
      <c r="X119" s="28"/>
      <c r="Y119" s="28"/>
    </row>
    <row r="120" customFormat="false" ht="15" hidden="false" customHeight="false" outlineLevel="0" collapsed="false">
      <c r="A120" s="21" t="str">
        <f aca="false">IF(COUNTA(B120,C120,E120,F120)=0,"",設定!$C$4&amp;TEXT(ROW()-4,"00000"))</f>
        <v/>
      </c>
      <c r="B120" s="22"/>
      <c r="C120" s="23"/>
      <c r="D120" s="21" t="str">
        <f aca="false">IF(C120="","",IFERROR(INDEX(取引先マスタ!$B$5:$B$204,MATCH($C120,取引先マスタ!$A$5:$A$204,0)),"コード誤り"))</f>
        <v/>
      </c>
      <c r="E120" s="28"/>
      <c r="F120" s="18"/>
      <c r="G120" s="25"/>
      <c r="H120" s="26" t="str">
        <f aca="false">IF(OR(F120="",G120=""),"",ROUNDDOWN(F120*G120,0))</f>
        <v/>
      </c>
      <c r="I120" s="26" t="str">
        <f aca="false">IF(OR(F120="",G120=""),"",F120+H120)</f>
        <v/>
      </c>
      <c r="J120" s="27" t="str">
        <f aca="false">IF(OR(B120="",C120="",D120="コード誤り"),"",IFERROR(DATE(YEAR(B120),MONTH(B120)+INDEX(取引先マスタ!$E$5:$E$204,MATCH($C120,取引先マスタ!$A$5:$A$204,0)),MIN(INDEX(取引先マスタ!$F$5:$F$204,MATCH($C120,取引先マスタ!$A$5:$A$204,0)),DAY(EOMONTH(B120,INDEX(取引先マスタ!$E$5:$E$204,MATCH($C120,取引先マスタ!$A$5:$A$204,0)))))),""))</f>
        <v/>
      </c>
      <c r="K120" s="22"/>
      <c r="L120" s="27" t="str">
        <f aca="false">IF(K120&lt;&gt;"",K120,J120)</f>
        <v/>
      </c>
      <c r="M120" s="28"/>
      <c r="N120" s="22"/>
      <c r="O120" s="28"/>
      <c r="P120" s="26" t="str">
        <f aca="false">IF(A120="","",SUMIF(入金明細!$F$5:$F$1004,A120,入金明細!$E$5:$E$1004))</f>
        <v/>
      </c>
      <c r="Q120" s="27" t="str">
        <f aca="false">IF(OR(A120="",N(P120)=0),"",SUMPRODUCT(MAX((入金明細!$F$5:$F$1004=A120)*入金明細!$B$5:$B$1004)))</f>
        <v/>
      </c>
      <c r="R120" s="18"/>
      <c r="S120" s="26" t="str">
        <f aca="false">IF(OR(A120="",I120=""),"",I120-N(P120)-N(R120))</f>
        <v/>
      </c>
      <c r="T120" s="28"/>
      <c r="U120" s="29" t="str">
        <f aca="false">IF(A120="","",IF(T120="取消","取消",IF(W120&lt;&gt;"","要入力",IF(N120="","未送付",IF(S120=0,"入金済",IF(S120&lt;0,"過入金",IF(設定!$C$5&gt;L120,IF(P120&gt;0,"一部入金・超過","期日超過"),IF(P120&gt;0,"一部入金",IF(L120-設定!$C$5&lt;=設定!$C$6,"期日間近","入金待ち")))))))))</f>
        <v/>
      </c>
      <c r="V120" s="30" t="str">
        <f aca="false">IF(OR(U120="期日超過",U120="一部入金・超過"),設定!$C$5-L120,"")</f>
        <v/>
      </c>
      <c r="W120" s="21" t="str">
        <f aca="false">IF(A120="","",TRIM(IF(B120="","請求日 ","")&amp;IF(C120="","取引先 ",IF(D120="コード誤り","取引先コード誤り ",""))&amp;IF(E120="","件名 ","")&amp;IF(F120="","税抜金額 ","")&amp;IF(G120="","税率 ","")&amp;IF(M120="","送付方法 ","")&amp;IF(AND(N120&lt;&gt;"",O120=""),"送付者 ","")&amp;IF(AND(I120&lt;&gt;"",L120=""),"入金期日 ","")&amp;IF(AND(N120&lt;&gt;"",P120&gt;0,S120&lt;=0,X120=""),"消込確認者 ","")))</f>
        <v/>
      </c>
      <c r="X120" s="28"/>
      <c r="Y120" s="28"/>
    </row>
    <row r="121" customFormat="false" ht="15" hidden="false" customHeight="false" outlineLevel="0" collapsed="false">
      <c r="A121" s="21" t="str">
        <f aca="false">IF(COUNTA(B121,C121,E121,F121)=0,"",設定!$C$4&amp;TEXT(ROW()-4,"00000"))</f>
        <v/>
      </c>
      <c r="B121" s="22"/>
      <c r="C121" s="23"/>
      <c r="D121" s="21" t="str">
        <f aca="false">IF(C121="","",IFERROR(INDEX(取引先マスタ!$B$5:$B$204,MATCH($C121,取引先マスタ!$A$5:$A$204,0)),"コード誤り"))</f>
        <v/>
      </c>
      <c r="E121" s="28"/>
      <c r="F121" s="18"/>
      <c r="G121" s="25"/>
      <c r="H121" s="26" t="str">
        <f aca="false">IF(OR(F121="",G121=""),"",ROUNDDOWN(F121*G121,0))</f>
        <v/>
      </c>
      <c r="I121" s="26" t="str">
        <f aca="false">IF(OR(F121="",G121=""),"",F121+H121)</f>
        <v/>
      </c>
      <c r="J121" s="27" t="str">
        <f aca="false">IF(OR(B121="",C121="",D121="コード誤り"),"",IFERROR(DATE(YEAR(B121),MONTH(B121)+INDEX(取引先マスタ!$E$5:$E$204,MATCH($C121,取引先マスタ!$A$5:$A$204,0)),MIN(INDEX(取引先マスタ!$F$5:$F$204,MATCH($C121,取引先マスタ!$A$5:$A$204,0)),DAY(EOMONTH(B121,INDEX(取引先マスタ!$E$5:$E$204,MATCH($C121,取引先マスタ!$A$5:$A$204,0)))))),""))</f>
        <v/>
      </c>
      <c r="K121" s="22"/>
      <c r="L121" s="27" t="str">
        <f aca="false">IF(K121&lt;&gt;"",K121,J121)</f>
        <v/>
      </c>
      <c r="M121" s="28"/>
      <c r="N121" s="22"/>
      <c r="O121" s="28"/>
      <c r="P121" s="26" t="str">
        <f aca="false">IF(A121="","",SUMIF(入金明細!$F$5:$F$1004,A121,入金明細!$E$5:$E$1004))</f>
        <v/>
      </c>
      <c r="Q121" s="27" t="str">
        <f aca="false">IF(OR(A121="",N(P121)=0),"",SUMPRODUCT(MAX((入金明細!$F$5:$F$1004=A121)*入金明細!$B$5:$B$1004)))</f>
        <v/>
      </c>
      <c r="R121" s="18"/>
      <c r="S121" s="26" t="str">
        <f aca="false">IF(OR(A121="",I121=""),"",I121-N(P121)-N(R121))</f>
        <v/>
      </c>
      <c r="T121" s="28"/>
      <c r="U121" s="29" t="str">
        <f aca="false">IF(A121="","",IF(T121="取消","取消",IF(W121&lt;&gt;"","要入力",IF(N121="","未送付",IF(S121=0,"入金済",IF(S121&lt;0,"過入金",IF(設定!$C$5&gt;L121,IF(P121&gt;0,"一部入金・超過","期日超過"),IF(P121&gt;0,"一部入金",IF(L121-設定!$C$5&lt;=設定!$C$6,"期日間近","入金待ち")))))))))</f>
        <v/>
      </c>
      <c r="V121" s="30" t="str">
        <f aca="false">IF(OR(U121="期日超過",U121="一部入金・超過"),設定!$C$5-L121,"")</f>
        <v/>
      </c>
      <c r="W121" s="21" t="str">
        <f aca="false">IF(A121="","",TRIM(IF(B121="","請求日 ","")&amp;IF(C121="","取引先 ",IF(D121="コード誤り","取引先コード誤り ",""))&amp;IF(E121="","件名 ","")&amp;IF(F121="","税抜金額 ","")&amp;IF(G121="","税率 ","")&amp;IF(M121="","送付方法 ","")&amp;IF(AND(N121&lt;&gt;"",O121=""),"送付者 ","")&amp;IF(AND(I121&lt;&gt;"",L121=""),"入金期日 ","")&amp;IF(AND(N121&lt;&gt;"",P121&gt;0,S121&lt;=0,X121=""),"消込確認者 ","")))</f>
        <v/>
      </c>
      <c r="X121" s="28"/>
      <c r="Y121" s="28"/>
    </row>
    <row r="122" customFormat="false" ht="15" hidden="false" customHeight="false" outlineLevel="0" collapsed="false">
      <c r="A122" s="21" t="str">
        <f aca="false">IF(COUNTA(B122,C122,E122,F122)=0,"",設定!$C$4&amp;TEXT(ROW()-4,"00000"))</f>
        <v/>
      </c>
      <c r="B122" s="22"/>
      <c r="C122" s="23"/>
      <c r="D122" s="21" t="str">
        <f aca="false">IF(C122="","",IFERROR(INDEX(取引先マスタ!$B$5:$B$204,MATCH($C122,取引先マスタ!$A$5:$A$204,0)),"コード誤り"))</f>
        <v/>
      </c>
      <c r="E122" s="28"/>
      <c r="F122" s="18"/>
      <c r="G122" s="25"/>
      <c r="H122" s="26" t="str">
        <f aca="false">IF(OR(F122="",G122=""),"",ROUNDDOWN(F122*G122,0))</f>
        <v/>
      </c>
      <c r="I122" s="26" t="str">
        <f aca="false">IF(OR(F122="",G122=""),"",F122+H122)</f>
        <v/>
      </c>
      <c r="J122" s="27" t="str">
        <f aca="false">IF(OR(B122="",C122="",D122="コード誤り"),"",IFERROR(DATE(YEAR(B122),MONTH(B122)+INDEX(取引先マスタ!$E$5:$E$204,MATCH($C122,取引先マスタ!$A$5:$A$204,0)),MIN(INDEX(取引先マスタ!$F$5:$F$204,MATCH($C122,取引先マスタ!$A$5:$A$204,0)),DAY(EOMONTH(B122,INDEX(取引先マスタ!$E$5:$E$204,MATCH($C122,取引先マスタ!$A$5:$A$204,0)))))),""))</f>
        <v/>
      </c>
      <c r="K122" s="22"/>
      <c r="L122" s="27" t="str">
        <f aca="false">IF(K122&lt;&gt;"",K122,J122)</f>
        <v/>
      </c>
      <c r="M122" s="28"/>
      <c r="N122" s="22"/>
      <c r="O122" s="28"/>
      <c r="P122" s="26" t="str">
        <f aca="false">IF(A122="","",SUMIF(入金明細!$F$5:$F$1004,A122,入金明細!$E$5:$E$1004))</f>
        <v/>
      </c>
      <c r="Q122" s="27" t="str">
        <f aca="false">IF(OR(A122="",N(P122)=0),"",SUMPRODUCT(MAX((入金明細!$F$5:$F$1004=A122)*入金明細!$B$5:$B$1004)))</f>
        <v/>
      </c>
      <c r="R122" s="18"/>
      <c r="S122" s="26" t="str">
        <f aca="false">IF(OR(A122="",I122=""),"",I122-N(P122)-N(R122))</f>
        <v/>
      </c>
      <c r="T122" s="28"/>
      <c r="U122" s="29" t="str">
        <f aca="false">IF(A122="","",IF(T122="取消","取消",IF(W122&lt;&gt;"","要入力",IF(N122="","未送付",IF(S122=0,"入金済",IF(S122&lt;0,"過入金",IF(設定!$C$5&gt;L122,IF(P122&gt;0,"一部入金・超過","期日超過"),IF(P122&gt;0,"一部入金",IF(L122-設定!$C$5&lt;=設定!$C$6,"期日間近","入金待ち")))))))))</f>
        <v/>
      </c>
      <c r="V122" s="30" t="str">
        <f aca="false">IF(OR(U122="期日超過",U122="一部入金・超過"),設定!$C$5-L122,"")</f>
        <v/>
      </c>
      <c r="W122" s="21" t="str">
        <f aca="false">IF(A122="","",TRIM(IF(B122="","請求日 ","")&amp;IF(C122="","取引先 ",IF(D122="コード誤り","取引先コード誤り ",""))&amp;IF(E122="","件名 ","")&amp;IF(F122="","税抜金額 ","")&amp;IF(G122="","税率 ","")&amp;IF(M122="","送付方法 ","")&amp;IF(AND(N122&lt;&gt;"",O122=""),"送付者 ","")&amp;IF(AND(I122&lt;&gt;"",L122=""),"入金期日 ","")&amp;IF(AND(N122&lt;&gt;"",P122&gt;0,S122&lt;=0,X122=""),"消込確認者 ","")))</f>
        <v/>
      </c>
      <c r="X122" s="28"/>
      <c r="Y122" s="28"/>
    </row>
    <row r="123" customFormat="false" ht="15" hidden="false" customHeight="false" outlineLevel="0" collapsed="false">
      <c r="A123" s="21" t="str">
        <f aca="false">IF(COUNTA(B123,C123,E123,F123)=0,"",設定!$C$4&amp;TEXT(ROW()-4,"00000"))</f>
        <v/>
      </c>
      <c r="B123" s="22"/>
      <c r="C123" s="23"/>
      <c r="D123" s="21" t="str">
        <f aca="false">IF(C123="","",IFERROR(INDEX(取引先マスタ!$B$5:$B$204,MATCH($C123,取引先マスタ!$A$5:$A$204,0)),"コード誤り"))</f>
        <v/>
      </c>
      <c r="E123" s="28"/>
      <c r="F123" s="18"/>
      <c r="G123" s="25"/>
      <c r="H123" s="26" t="str">
        <f aca="false">IF(OR(F123="",G123=""),"",ROUNDDOWN(F123*G123,0))</f>
        <v/>
      </c>
      <c r="I123" s="26" t="str">
        <f aca="false">IF(OR(F123="",G123=""),"",F123+H123)</f>
        <v/>
      </c>
      <c r="J123" s="27" t="str">
        <f aca="false">IF(OR(B123="",C123="",D123="コード誤り"),"",IFERROR(DATE(YEAR(B123),MONTH(B123)+INDEX(取引先マスタ!$E$5:$E$204,MATCH($C123,取引先マスタ!$A$5:$A$204,0)),MIN(INDEX(取引先マスタ!$F$5:$F$204,MATCH($C123,取引先マスタ!$A$5:$A$204,0)),DAY(EOMONTH(B123,INDEX(取引先マスタ!$E$5:$E$204,MATCH($C123,取引先マスタ!$A$5:$A$204,0)))))),""))</f>
        <v/>
      </c>
      <c r="K123" s="22"/>
      <c r="L123" s="27" t="str">
        <f aca="false">IF(K123&lt;&gt;"",K123,J123)</f>
        <v/>
      </c>
      <c r="M123" s="28"/>
      <c r="N123" s="22"/>
      <c r="O123" s="28"/>
      <c r="P123" s="26" t="str">
        <f aca="false">IF(A123="","",SUMIF(入金明細!$F$5:$F$1004,A123,入金明細!$E$5:$E$1004))</f>
        <v/>
      </c>
      <c r="Q123" s="27" t="str">
        <f aca="false">IF(OR(A123="",N(P123)=0),"",SUMPRODUCT(MAX((入金明細!$F$5:$F$1004=A123)*入金明細!$B$5:$B$1004)))</f>
        <v/>
      </c>
      <c r="R123" s="18"/>
      <c r="S123" s="26" t="str">
        <f aca="false">IF(OR(A123="",I123=""),"",I123-N(P123)-N(R123))</f>
        <v/>
      </c>
      <c r="T123" s="28"/>
      <c r="U123" s="29" t="str">
        <f aca="false">IF(A123="","",IF(T123="取消","取消",IF(W123&lt;&gt;"","要入力",IF(N123="","未送付",IF(S123=0,"入金済",IF(S123&lt;0,"過入金",IF(設定!$C$5&gt;L123,IF(P123&gt;0,"一部入金・超過","期日超過"),IF(P123&gt;0,"一部入金",IF(L123-設定!$C$5&lt;=設定!$C$6,"期日間近","入金待ち")))))))))</f>
        <v/>
      </c>
      <c r="V123" s="30" t="str">
        <f aca="false">IF(OR(U123="期日超過",U123="一部入金・超過"),設定!$C$5-L123,"")</f>
        <v/>
      </c>
      <c r="W123" s="21" t="str">
        <f aca="false">IF(A123="","",TRIM(IF(B123="","請求日 ","")&amp;IF(C123="","取引先 ",IF(D123="コード誤り","取引先コード誤り ",""))&amp;IF(E123="","件名 ","")&amp;IF(F123="","税抜金額 ","")&amp;IF(G123="","税率 ","")&amp;IF(M123="","送付方法 ","")&amp;IF(AND(N123&lt;&gt;"",O123=""),"送付者 ","")&amp;IF(AND(I123&lt;&gt;"",L123=""),"入金期日 ","")&amp;IF(AND(N123&lt;&gt;"",P123&gt;0,S123&lt;=0,X123=""),"消込確認者 ","")))</f>
        <v/>
      </c>
      <c r="X123" s="28"/>
      <c r="Y123" s="28"/>
    </row>
    <row r="124" customFormat="false" ht="15" hidden="false" customHeight="false" outlineLevel="0" collapsed="false">
      <c r="A124" s="21" t="str">
        <f aca="false">IF(COUNTA(B124,C124,E124,F124)=0,"",設定!$C$4&amp;TEXT(ROW()-4,"00000"))</f>
        <v/>
      </c>
      <c r="B124" s="22"/>
      <c r="C124" s="23"/>
      <c r="D124" s="21" t="str">
        <f aca="false">IF(C124="","",IFERROR(INDEX(取引先マスタ!$B$5:$B$204,MATCH($C124,取引先マスタ!$A$5:$A$204,0)),"コード誤り"))</f>
        <v/>
      </c>
      <c r="E124" s="28"/>
      <c r="F124" s="18"/>
      <c r="G124" s="25"/>
      <c r="H124" s="26" t="str">
        <f aca="false">IF(OR(F124="",G124=""),"",ROUNDDOWN(F124*G124,0))</f>
        <v/>
      </c>
      <c r="I124" s="26" t="str">
        <f aca="false">IF(OR(F124="",G124=""),"",F124+H124)</f>
        <v/>
      </c>
      <c r="J124" s="27" t="str">
        <f aca="false">IF(OR(B124="",C124="",D124="コード誤り"),"",IFERROR(DATE(YEAR(B124),MONTH(B124)+INDEX(取引先マスタ!$E$5:$E$204,MATCH($C124,取引先マスタ!$A$5:$A$204,0)),MIN(INDEX(取引先マスタ!$F$5:$F$204,MATCH($C124,取引先マスタ!$A$5:$A$204,0)),DAY(EOMONTH(B124,INDEX(取引先マスタ!$E$5:$E$204,MATCH($C124,取引先マスタ!$A$5:$A$204,0)))))),""))</f>
        <v/>
      </c>
      <c r="K124" s="22"/>
      <c r="L124" s="27" t="str">
        <f aca="false">IF(K124&lt;&gt;"",K124,J124)</f>
        <v/>
      </c>
      <c r="M124" s="28"/>
      <c r="N124" s="22"/>
      <c r="O124" s="28"/>
      <c r="P124" s="26" t="str">
        <f aca="false">IF(A124="","",SUMIF(入金明細!$F$5:$F$1004,A124,入金明細!$E$5:$E$1004))</f>
        <v/>
      </c>
      <c r="Q124" s="27" t="str">
        <f aca="false">IF(OR(A124="",N(P124)=0),"",SUMPRODUCT(MAX((入金明細!$F$5:$F$1004=A124)*入金明細!$B$5:$B$1004)))</f>
        <v/>
      </c>
      <c r="R124" s="18"/>
      <c r="S124" s="26" t="str">
        <f aca="false">IF(OR(A124="",I124=""),"",I124-N(P124)-N(R124))</f>
        <v/>
      </c>
      <c r="T124" s="28"/>
      <c r="U124" s="29" t="str">
        <f aca="false">IF(A124="","",IF(T124="取消","取消",IF(W124&lt;&gt;"","要入力",IF(N124="","未送付",IF(S124=0,"入金済",IF(S124&lt;0,"過入金",IF(設定!$C$5&gt;L124,IF(P124&gt;0,"一部入金・超過","期日超過"),IF(P124&gt;0,"一部入金",IF(L124-設定!$C$5&lt;=設定!$C$6,"期日間近","入金待ち")))))))))</f>
        <v/>
      </c>
      <c r="V124" s="30" t="str">
        <f aca="false">IF(OR(U124="期日超過",U124="一部入金・超過"),設定!$C$5-L124,"")</f>
        <v/>
      </c>
      <c r="W124" s="21" t="str">
        <f aca="false">IF(A124="","",TRIM(IF(B124="","請求日 ","")&amp;IF(C124="","取引先 ",IF(D124="コード誤り","取引先コード誤り ",""))&amp;IF(E124="","件名 ","")&amp;IF(F124="","税抜金額 ","")&amp;IF(G124="","税率 ","")&amp;IF(M124="","送付方法 ","")&amp;IF(AND(N124&lt;&gt;"",O124=""),"送付者 ","")&amp;IF(AND(I124&lt;&gt;"",L124=""),"入金期日 ","")&amp;IF(AND(N124&lt;&gt;"",P124&gt;0,S124&lt;=0,X124=""),"消込確認者 ","")))</f>
        <v/>
      </c>
      <c r="X124" s="28"/>
      <c r="Y124" s="28"/>
    </row>
    <row r="125" customFormat="false" ht="15" hidden="false" customHeight="false" outlineLevel="0" collapsed="false">
      <c r="A125" s="21" t="str">
        <f aca="false">IF(COUNTA(B125,C125,E125,F125)=0,"",設定!$C$4&amp;TEXT(ROW()-4,"00000"))</f>
        <v/>
      </c>
      <c r="B125" s="22"/>
      <c r="C125" s="23"/>
      <c r="D125" s="21" t="str">
        <f aca="false">IF(C125="","",IFERROR(INDEX(取引先マスタ!$B$5:$B$204,MATCH($C125,取引先マスタ!$A$5:$A$204,0)),"コード誤り"))</f>
        <v/>
      </c>
      <c r="E125" s="28"/>
      <c r="F125" s="18"/>
      <c r="G125" s="25"/>
      <c r="H125" s="26" t="str">
        <f aca="false">IF(OR(F125="",G125=""),"",ROUNDDOWN(F125*G125,0))</f>
        <v/>
      </c>
      <c r="I125" s="26" t="str">
        <f aca="false">IF(OR(F125="",G125=""),"",F125+H125)</f>
        <v/>
      </c>
      <c r="J125" s="27" t="str">
        <f aca="false">IF(OR(B125="",C125="",D125="コード誤り"),"",IFERROR(DATE(YEAR(B125),MONTH(B125)+INDEX(取引先マスタ!$E$5:$E$204,MATCH($C125,取引先マスタ!$A$5:$A$204,0)),MIN(INDEX(取引先マスタ!$F$5:$F$204,MATCH($C125,取引先マスタ!$A$5:$A$204,0)),DAY(EOMONTH(B125,INDEX(取引先マスタ!$E$5:$E$204,MATCH($C125,取引先マスタ!$A$5:$A$204,0)))))),""))</f>
        <v/>
      </c>
      <c r="K125" s="22"/>
      <c r="L125" s="27" t="str">
        <f aca="false">IF(K125&lt;&gt;"",K125,J125)</f>
        <v/>
      </c>
      <c r="M125" s="28"/>
      <c r="N125" s="22"/>
      <c r="O125" s="28"/>
      <c r="P125" s="26" t="str">
        <f aca="false">IF(A125="","",SUMIF(入金明細!$F$5:$F$1004,A125,入金明細!$E$5:$E$1004))</f>
        <v/>
      </c>
      <c r="Q125" s="27" t="str">
        <f aca="false">IF(OR(A125="",N(P125)=0),"",SUMPRODUCT(MAX((入金明細!$F$5:$F$1004=A125)*入金明細!$B$5:$B$1004)))</f>
        <v/>
      </c>
      <c r="R125" s="18"/>
      <c r="S125" s="26" t="str">
        <f aca="false">IF(OR(A125="",I125=""),"",I125-N(P125)-N(R125))</f>
        <v/>
      </c>
      <c r="T125" s="28"/>
      <c r="U125" s="29" t="str">
        <f aca="false">IF(A125="","",IF(T125="取消","取消",IF(W125&lt;&gt;"","要入力",IF(N125="","未送付",IF(S125=0,"入金済",IF(S125&lt;0,"過入金",IF(設定!$C$5&gt;L125,IF(P125&gt;0,"一部入金・超過","期日超過"),IF(P125&gt;0,"一部入金",IF(L125-設定!$C$5&lt;=設定!$C$6,"期日間近","入金待ち")))))))))</f>
        <v/>
      </c>
      <c r="V125" s="30" t="str">
        <f aca="false">IF(OR(U125="期日超過",U125="一部入金・超過"),設定!$C$5-L125,"")</f>
        <v/>
      </c>
      <c r="W125" s="21" t="str">
        <f aca="false">IF(A125="","",TRIM(IF(B125="","請求日 ","")&amp;IF(C125="","取引先 ",IF(D125="コード誤り","取引先コード誤り ",""))&amp;IF(E125="","件名 ","")&amp;IF(F125="","税抜金額 ","")&amp;IF(G125="","税率 ","")&amp;IF(M125="","送付方法 ","")&amp;IF(AND(N125&lt;&gt;"",O125=""),"送付者 ","")&amp;IF(AND(I125&lt;&gt;"",L125=""),"入金期日 ","")&amp;IF(AND(N125&lt;&gt;"",P125&gt;0,S125&lt;=0,X125=""),"消込確認者 ","")))</f>
        <v/>
      </c>
      <c r="X125" s="28"/>
      <c r="Y125" s="28"/>
    </row>
    <row r="126" customFormat="false" ht="15" hidden="false" customHeight="false" outlineLevel="0" collapsed="false">
      <c r="A126" s="21" t="str">
        <f aca="false">IF(COUNTA(B126,C126,E126,F126)=0,"",設定!$C$4&amp;TEXT(ROW()-4,"00000"))</f>
        <v/>
      </c>
      <c r="B126" s="22"/>
      <c r="C126" s="23"/>
      <c r="D126" s="21" t="str">
        <f aca="false">IF(C126="","",IFERROR(INDEX(取引先マスタ!$B$5:$B$204,MATCH($C126,取引先マスタ!$A$5:$A$204,0)),"コード誤り"))</f>
        <v/>
      </c>
      <c r="E126" s="28"/>
      <c r="F126" s="18"/>
      <c r="G126" s="25"/>
      <c r="H126" s="26" t="str">
        <f aca="false">IF(OR(F126="",G126=""),"",ROUNDDOWN(F126*G126,0))</f>
        <v/>
      </c>
      <c r="I126" s="26" t="str">
        <f aca="false">IF(OR(F126="",G126=""),"",F126+H126)</f>
        <v/>
      </c>
      <c r="J126" s="27" t="str">
        <f aca="false">IF(OR(B126="",C126="",D126="コード誤り"),"",IFERROR(DATE(YEAR(B126),MONTH(B126)+INDEX(取引先マスタ!$E$5:$E$204,MATCH($C126,取引先マスタ!$A$5:$A$204,0)),MIN(INDEX(取引先マスタ!$F$5:$F$204,MATCH($C126,取引先マスタ!$A$5:$A$204,0)),DAY(EOMONTH(B126,INDEX(取引先マスタ!$E$5:$E$204,MATCH($C126,取引先マスタ!$A$5:$A$204,0)))))),""))</f>
        <v/>
      </c>
      <c r="K126" s="22"/>
      <c r="L126" s="27" t="str">
        <f aca="false">IF(K126&lt;&gt;"",K126,J126)</f>
        <v/>
      </c>
      <c r="M126" s="28"/>
      <c r="N126" s="22"/>
      <c r="O126" s="28"/>
      <c r="P126" s="26" t="str">
        <f aca="false">IF(A126="","",SUMIF(入金明細!$F$5:$F$1004,A126,入金明細!$E$5:$E$1004))</f>
        <v/>
      </c>
      <c r="Q126" s="27" t="str">
        <f aca="false">IF(OR(A126="",N(P126)=0),"",SUMPRODUCT(MAX((入金明細!$F$5:$F$1004=A126)*入金明細!$B$5:$B$1004)))</f>
        <v/>
      </c>
      <c r="R126" s="18"/>
      <c r="S126" s="26" t="str">
        <f aca="false">IF(OR(A126="",I126=""),"",I126-N(P126)-N(R126))</f>
        <v/>
      </c>
      <c r="T126" s="28"/>
      <c r="U126" s="29" t="str">
        <f aca="false">IF(A126="","",IF(T126="取消","取消",IF(W126&lt;&gt;"","要入力",IF(N126="","未送付",IF(S126=0,"入金済",IF(S126&lt;0,"過入金",IF(設定!$C$5&gt;L126,IF(P126&gt;0,"一部入金・超過","期日超過"),IF(P126&gt;0,"一部入金",IF(L126-設定!$C$5&lt;=設定!$C$6,"期日間近","入金待ち")))))))))</f>
        <v/>
      </c>
      <c r="V126" s="30" t="str">
        <f aca="false">IF(OR(U126="期日超過",U126="一部入金・超過"),設定!$C$5-L126,"")</f>
        <v/>
      </c>
      <c r="W126" s="21" t="str">
        <f aca="false">IF(A126="","",TRIM(IF(B126="","請求日 ","")&amp;IF(C126="","取引先 ",IF(D126="コード誤り","取引先コード誤り ",""))&amp;IF(E126="","件名 ","")&amp;IF(F126="","税抜金額 ","")&amp;IF(G126="","税率 ","")&amp;IF(M126="","送付方法 ","")&amp;IF(AND(N126&lt;&gt;"",O126=""),"送付者 ","")&amp;IF(AND(I126&lt;&gt;"",L126=""),"入金期日 ","")&amp;IF(AND(N126&lt;&gt;"",P126&gt;0,S126&lt;=0,X126=""),"消込確認者 ","")))</f>
        <v/>
      </c>
      <c r="X126" s="28"/>
      <c r="Y126" s="28"/>
    </row>
    <row r="127" customFormat="false" ht="15" hidden="false" customHeight="false" outlineLevel="0" collapsed="false">
      <c r="A127" s="21" t="str">
        <f aca="false">IF(COUNTA(B127,C127,E127,F127)=0,"",設定!$C$4&amp;TEXT(ROW()-4,"00000"))</f>
        <v/>
      </c>
      <c r="B127" s="22"/>
      <c r="C127" s="23"/>
      <c r="D127" s="21" t="str">
        <f aca="false">IF(C127="","",IFERROR(INDEX(取引先マスタ!$B$5:$B$204,MATCH($C127,取引先マスタ!$A$5:$A$204,0)),"コード誤り"))</f>
        <v/>
      </c>
      <c r="E127" s="28"/>
      <c r="F127" s="18"/>
      <c r="G127" s="25"/>
      <c r="H127" s="26" t="str">
        <f aca="false">IF(OR(F127="",G127=""),"",ROUNDDOWN(F127*G127,0))</f>
        <v/>
      </c>
      <c r="I127" s="26" t="str">
        <f aca="false">IF(OR(F127="",G127=""),"",F127+H127)</f>
        <v/>
      </c>
      <c r="J127" s="27" t="str">
        <f aca="false">IF(OR(B127="",C127="",D127="コード誤り"),"",IFERROR(DATE(YEAR(B127),MONTH(B127)+INDEX(取引先マスタ!$E$5:$E$204,MATCH($C127,取引先マスタ!$A$5:$A$204,0)),MIN(INDEX(取引先マスタ!$F$5:$F$204,MATCH($C127,取引先マスタ!$A$5:$A$204,0)),DAY(EOMONTH(B127,INDEX(取引先マスタ!$E$5:$E$204,MATCH($C127,取引先マスタ!$A$5:$A$204,0)))))),""))</f>
        <v/>
      </c>
      <c r="K127" s="22"/>
      <c r="L127" s="27" t="str">
        <f aca="false">IF(K127&lt;&gt;"",K127,J127)</f>
        <v/>
      </c>
      <c r="M127" s="28"/>
      <c r="N127" s="22"/>
      <c r="O127" s="28"/>
      <c r="P127" s="26" t="str">
        <f aca="false">IF(A127="","",SUMIF(入金明細!$F$5:$F$1004,A127,入金明細!$E$5:$E$1004))</f>
        <v/>
      </c>
      <c r="Q127" s="27" t="str">
        <f aca="false">IF(OR(A127="",N(P127)=0),"",SUMPRODUCT(MAX((入金明細!$F$5:$F$1004=A127)*入金明細!$B$5:$B$1004)))</f>
        <v/>
      </c>
      <c r="R127" s="18"/>
      <c r="S127" s="26" t="str">
        <f aca="false">IF(OR(A127="",I127=""),"",I127-N(P127)-N(R127))</f>
        <v/>
      </c>
      <c r="T127" s="28"/>
      <c r="U127" s="29" t="str">
        <f aca="false">IF(A127="","",IF(T127="取消","取消",IF(W127&lt;&gt;"","要入力",IF(N127="","未送付",IF(S127=0,"入金済",IF(S127&lt;0,"過入金",IF(設定!$C$5&gt;L127,IF(P127&gt;0,"一部入金・超過","期日超過"),IF(P127&gt;0,"一部入金",IF(L127-設定!$C$5&lt;=設定!$C$6,"期日間近","入金待ち")))))))))</f>
        <v/>
      </c>
      <c r="V127" s="30" t="str">
        <f aca="false">IF(OR(U127="期日超過",U127="一部入金・超過"),設定!$C$5-L127,"")</f>
        <v/>
      </c>
      <c r="W127" s="21" t="str">
        <f aca="false">IF(A127="","",TRIM(IF(B127="","請求日 ","")&amp;IF(C127="","取引先 ",IF(D127="コード誤り","取引先コード誤り ",""))&amp;IF(E127="","件名 ","")&amp;IF(F127="","税抜金額 ","")&amp;IF(G127="","税率 ","")&amp;IF(M127="","送付方法 ","")&amp;IF(AND(N127&lt;&gt;"",O127=""),"送付者 ","")&amp;IF(AND(I127&lt;&gt;"",L127=""),"入金期日 ","")&amp;IF(AND(N127&lt;&gt;"",P127&gt;0,S127&lt;=0,X127=""),"消込確認者 ","")))</f>
        <v/>
      </c>
      <c r="X127" s="28"/>
      <c r="Y127" s="28"/>
    </row>
    <row r="128" customFormat="false" ht="15" hidden="false" customHeight="false" outlineLevel="0" collapsed="false">
      <c r="A128" s="21" t="str">
        <f aca="false">IF(COUNTA(B128,C128,E128,F128)=0,"",設定!$C$4&amp;TEXT(ROW()-4,"00000"))</f>
        <v/>
      </c>
      <c r="B128" s="22"/>
      <c r="C128" s="23"/>
      <c r="D128" s="21" t="str">
        <f aca="false">IF(C128="","",IFERROR(INDEX(取引先マスタ!$B$5:$B$204,MATCH($C128,取引先マスタ!$A$5:$A$204,0)),"コード誤り"))</f>
        <v/>
      </c>
      <c r="E128" s="28"/>
      <c r="F128" s="18"/>
      <c r="G128" s="25"/>
      <c r="H128" s="26" t="str">
        <f aca="false">IF(OR(F128="",G128=""),"",ROUNDDOWN(F128*G128,0))</f>
        <v/>
      </c>
      <c r="I128" s="26" t="str">
        <f aca="false">IF(OR(F128="",G128=""),"",F128+H128)</f>
        <v/>
      </c>
      <c r="J128" s="27" t="str">
        <f aca="false">IF(OR(B128="",C128="",D128="コード誤り"),"",IFERROR(DATE(YEAR(B128),MONTH(B128)+INDEX(取引先マスタ!$E$5:$E$204,MATCH($C128,取引先マスタ!$A$5:$A$204,0)),MIN(INDEX(取引先マスタ!$F$5:$F$204,MATCH($C128,取引先マスタ!$A$5:$A$204,0)),DAY(EOMONTH(B128,INDEX(取引先マスタ!$E$5:$E$204,MATCH($C128,取引先マスタ!$A$5:$A$204,0)))))),""))</f>
        <v/>
      </c>
      <c r="K128" s="22"/>
      <c r="L128" s="27" t="str">
        <f aca="false">IF(K128&lt;&gt;"",K128,J128)</f>
        <v/>
      </c>
      <c r="M128" s="28"/>
      <c r="N128" s="22"/>
      <c r="O128" s="28"/>
      <c r="P128" s="26" t="str">
        <f aca="false">IF(A128="","",SUMIF(入金明細!$F$5:$F$1004,A128,入金明細!$E$5:$E$1004))</f>
        <v/>
      </c>
      <c r="Q128" s="27" t="str">
        <f aca="false">IF(OR(A128="",N(P128)=0),"",SUMPRODUCT(MAX((入金明細!$F$5:$F$1004=A128)*入金明細!$B$5:$B$1004)))</f>
        <v/>
      </c>
      <c r="R128" s="18"/>
      <c r="S128" s="26" t="str">
        <f aca="false">IF(OR(A128="",I128=""),"",I128-N(P128)-N(R128))</f>
        <v/>
      </c>
      <c r="T128" s="28"/>
      <c r="U128" s="29" t="str">
        <f aca="false">IF(A128="","",IF(T128="取消","取消",IF(W128&lt;&gt;"","要入力",IF(N128="","未送付",IF(S128=0,"入金済",IF(S128&lt;0,"過入金",IF(設定!$C$5&gt;L128,IF(P128&gt;0,"一部入金・超過","期日超過"),IF(P128&gt;0,"一部入金",IF(L128-設定!$C$5&lt;=設定!$C$6,"期日間近","入金待ち")))))))))</f>
        <v/>
      </c>
      <c r="V128" s="30" t="str">
        <f aca="false">IF(OR(U128="期日超過",U128="一部入金・超過"),設定!$C$5-L128,"")</f>
        <v/>
      </c>
      <c r="W128" s="21" t="str">
        <f aca="false">IF(A128="","",TRIM(IF(B128="","請求日 ","")&amp;IF(C128="","取引先 ",IF(D128="コード誤り","取引先コード誤り ",""))&amp;IF(E128="","件名 ","")&amp;IF(F128="","税抜金額 ","")&amp;IF(G128="","税率 ","")&amp;IF(M128="","送付方法 ","")&amp;IF(AND(N128&lt;&gt;"",O128=""),"送付者 ","")&amp;IF(AND(I128&lt;&gt;"",L128=""),"入金期日 ","")&amp;IF(AND(N128&lt;&gt;"",P128&gt;0,S128&lt;=0,X128=""),"消込確認者 ","")))</f>
        <v/>
      </c>
      <c r="X128" s="28"/>
      <c r="Y128" s="28"/>
    </row>
    <row r="129" customFormat="false" ht="15" hidden="false" customHeight="false" outlineLevel="0" collapsed="false">
      <c r="A129" s="21" t="str">
        <f aca="false">IF(COUNTA(B129,C129,E129,F129)=0,"",設定!$C$4&amp;TEXT(ROW()-4,"00000"))</f>
        <v/>
      </c>
      <c r="B129" s="22"/>
      <c r="C129" s="23"/>
      <c r="D129" s="21" t="str">
        <f aca="false">IF(C129="","",IFERROR(INDEX(取引先マスタ!$B$5:$B$204,MATCH($C129,取引先マスタ!$A$5:$A$204,0)),"コード誤り"))</f>
        <v/>
      </c>
      <c r="E129" s="28"/>
      <c r="F129" s="18"/>
      <c r="G129" s="25"/>
      <c r="H129" s="26" t="str">
        <f aca="false">IF(OR(F129="",G129=""),"",ROUNDDOWN(F129*G129,0))</f>
        <v/>
      </c>
      <c r="I129" s="26" t="str">
        <f aca="false">IF(OR(F129="",G129=""),"",F129+H129)</f>
        <v/>
      </c>
      <c r="J129" s="27" t="str">
        <f aca="false">IF(OR(B129="",C129="",D129="コード誤り"),"",IFERROR(DATE(YEAR(B129),MONTH(B129)+INDEX(取引先マスタ!$E$5:$E$204,MATCH($C129,取引先マスタ!$A$5:$A$204,0)),MIN(INDEX(取引先マスタ!$F$5:$F$204,MATCH($C129,取引先マスタ!$A$5:$A$204,0)),DAY(EOMONTH(B129,INDEX(取引先マスタ!$E$5:$E$204,MATCH($C129,取引先マスタ!$A$5:$A$204,0)))))),""))</f>
        <v/>
      </c>
      <c r="K129" s="22"/>
      <c r="L129" s="27" t="str">
        <f aca="false">IF(K129&lt;&gt;"",K129,J129)</f>
        <v/>
      </c>
      <c r="M129" s="28"/>
      <c r="N129" s="22"/>
      <c r="O129" s="28"/>
      <c r="P129" s="26" t="str">
        <f aca="false">IF(A129="","",SUMIF(入金明細!$F$5:$F$1004,A129,入金明細!$E$5:$E$1004))</f>
        <v/>
      </c>
      <c r="Q129" s="27" t="str">
        <f aca="false">IF(OR(A129="",N(P129)=0),"",SUMPRODUCT(MAX((入金明細!$F$5:$F$1004=A129)*入金明細!$B$5:$B$1004)))</f>
        <v/>
      </c>
      <c r="R129" s="18"/>
      <c r="S129" s="26" t="str">
        <f aca="false">IF(OR(A129="",I129=""),"",I129-N(P129)-N(R129))</f>
        <v/>
      </c>
      <c r="T129" s="28"/>
      <c r="U129" s="29" t="str">
        <f aca="false">IF(A129="","",IF(T129="取消","取消",IF(W129&lt;&gt;"","要入力",IF(N129="","未送付",IF(S129=0,"入金済",IF(S129&lt;0,"過入金",IF(設定!$C$5&gt;L129,IF(P129&gt;0,"一部入金・超過","期日超過"),IF(P129&gt;0,"一部入金",IF(L129-設定!$C$5&lt;=設定!$C$6,"期日間近","入金待ち")))))))))</f>
        <v/>
      </c>
      <c r="V129" s="30" t="str">
        <f aca="false">IF(OR(U129="期日超過",U129="一部入金・超過"),設定!$C$5-L129,"")</f>
        <v/>
      </c>
      <c r="W129" s="21" t="str">
        <f aca="false">IF(A129="","",TRIM(IF(B129="","請求日 ","")&amp;IF(C129="","取引先 ",IF(D129="コード誤り","取引先コード誤り ",""))&amp;IF(E129="","件名 ","")&amp;IF(F129="","税抜金額 ","")&amp;IF(G129="","税率 ","")&amp;IF(M129="","送付方法 ","")&amp;IF(AND(N129&lt;&gt;"",O129=""),"送付者 ","")&amp;IF(AND(I129&lt;&gt;"",L129=""),"入金期日 ","")&amp;IF(AND(N129&lt;&gt;"",P129&gt;0,S129&lt;=0,X129=""),"消込確認者 ","")))</f>
        <v/>
      </c>
      <c r="X129" s="28"/>
      <c r="Y129" s="28"/>
    </row>
    <row r="130" customFormat="false" ht="15" hidden="false" customHeight="false" outlineLevel="0" collapsed="false">
      <c r="A130" s="21" t="str">
        <f aca="false">IF(COUNTA(B130,C130,E130,F130)=0,"",設定!$C$4&amp;TEXT(ROW()-4,"00000"))</f>
        <v/>
      </c>
      <c r="B130" s="22"/>
      <c r="C130" s="23"/>
      <c r="D130" s="21" t="str">
        <f aca="false">IF(C130="","",IFERROR(INDEX(取引先マスタ!$B$5:$B$204,MATCH($C130,取引先マスタ!$A$5:$A$204,0)),"コード誤り"))</f>
        <v/>
      </c>
      <c r="E130" s="28"/>
      <c r="F130" s="18"/>
      <c r="G130" s="25"/>
      <c r="H130" s="26" t="str">
        <f aca="false">IF(OR(F130="",G130=""),"",ROUNDDOWN(F130*G130,0))</f>
        <v/>
      </c>
      <c r="I130" s="26" t="str">
        <f aca="false">IF(OR(F130="",G130=""),"",F130+H130)</f>
        <v/>
      </c>
      <c r="J130" s="27" t="str">
        <f aca="false">IF(OR(B130="",C130="",D130="コード誤り"),"",IFERROR(DATE(YEAR(B130),MONTH(B130)+INDEX(取引先マスタ!$E$5:$E$204,MATCH($C130,取引先マスタ!$A$5:$A$204,0)),MIN(INDEX(取引先マスタ!$F$5:$F$204,MATCH($C130,取引先マスタ!$A$5:$A$204,0)),DAY(EOMONTH(B130,INDEX(取引先マスタ!$E$5:$E$204,MATCH($C130,取引先マスタ!$A$5:$A$204,0)))))),""))</f>
        <v/>
      </c>
      <c r="K130" s="22"/>
      <c r="L130" s="27" t="str">
        <f aca="false">IF(K130&lt;&gt;"",K130,J130)</f>
        <v/>
      </c>
      <c r="M130" s="28"/>
      <c r="N130" s="22"/>
      <c r="O130" s="28"/>
      <c r="P130" s="26" t="str">
        <f aca="false">IF(A130="","",SUMIF(入金明細!$F$5:$F$1004,A130,入金明細!$E$5:$E$1004))</f>
        <v/>
      </c>
      <c r="Q130" s="27" t="str">
        <f aca="false">IF(OR(A130="",N(P130)=0),"",SUMPRODUCT(MAX((入金明細!$F$5:$F$1004=A130)*入金明細!$B$5:$B$1004)))</f>
        <v/>
      </c>
      <c r="R130" s="18"/>
      <c r="S130" s="26" t="str">
        <f aca="false">IF(OR(A130="",I130=""),"",I130-N(P130)-N(R130))</f>
        <v/>
      </c>
      <c r="T130" s="28"/>
      <c r="U130" s="29" t="str">
        <f aca="false">IF(A130="","",IF(T130="取消","取消",IF(W130&lt;&gt;"","要入力",IF(N130="","未送付",IF(S130=0,"入金済",IF(S130&lt;0,"過入金",IF(設定!$C$5&gt;L130,IF(P130&gt;0,"一部入金・超過","期日超過"),IF(P130&gt;0,"一部入金",IF(L130-設定!$C$5&lt;=設定!$C$6,"期日間近","入金待ち")))))))))</f>
        <v/>
      </c>
      <c r="V130" s="30" t="str">
        <f aca="false">IF(OR(U130="期日超過",U130="一部入金・超過"),設定!$C$5-L130,"")</f>
        <v/>
      </c>
      <c r="W130" s="21" t="str">
        <f aca="false">IF(A130="","",TRIM(IF(B130="","請求日 ","")&amp;IF(C130="","取引先 ",IF(D130="コード誤り","取引先コード誤り ",""))&amp;IF(E130="","件名 ","")&amp;IF(F130="","税抜金額 ","")&amp;IF(G130="","税率 ","")&amp;IF(M130="","送付方法 ","")&amp;IF(AND(N130&lt;&gt;"",O130=""),"送付者 ","")&amp;IF(AND(I130&lt;&gt;"",L130=""),"入金期日 ","")&amp;IF(AND(N130&lt;&gt;"",P130&gt;0,S130&lt;=0,X130=""),"消込確認者 ","")))</f>
        <v/>
      </c>
      <c r="X130" s="28"/>
      <c r="Y130" s="28"/>
    </row>
    <row r="131" customFormat="false" ht="15" hidden="false" customHeight="false" outlineLevel="0" collapsed="false">
      <c r="A131" s="21" t="str">
        <f aca="false">IF(COUNTA(B131,C131,E131,F131)=0,"",設定!$C$4&amp;TEXT(ROW()-4,"00000"))</f>
        <v/>
      </c>
      <c r="B131" s="22"/>
      <c r="C131" s="23"/>
      <c r="D131" s="21" t="str">
        <f aca="false">IF(C131="","",IFERROR(INDEX(取引先マスタ!$B$5:$B$204,MATCH($C131,取引先マスタ!$A$5:$A$204,0)),"コード誤り"))</f>
        <v/>
      </c>
      <c r="E131" s="28"/>
      <c r="F131" s="18"/>
      <c r="G131" s="25"/>
      <c r="H131" s="26" t="str">
        <f aca="false">IF(OR(F131="",G131=""),"",ROUNDDOWN(F131*G131,0))</f>
        <v/>
      </c>
      <c r="I131" s="26" t="str">
        <f aca="false">IF(OR(F131="",G131=""),"",F131+H131)</f>
        <v/>
      </c>
      <c r="J131" s="27" t="str">
        <f aca="false">IF(OR(B131="",C131="",D131="コード誤り"),"",IFERROR(DATE(YEAR(B131),MONTH(B131)+INDEX(取引先マスタ!$E$5:$E$204,MATCH($C131,取引先マスタ!$A$5:$A$204,0)),MIN(INDEX(取引先マスタ!$F$5:$F$204,MATCH($C131,取引先マスタ!$A$5:$A$204,0)),DAY(EOMONTH(B131,INDEX(取引先マスタ!$E$5:$E$204,MATCH($C131,取引先マスタ!$A$5:$A$204,0)))))),""))</f>
        <v/>
      </c>
      <c r="K131" s="22"/>
      <c r="L131" s="27" t="str">
        <f aca="false">IF(K131&lt;&gt;"",K131,J131)</f>
        <v/>
      </c>
      <c r="M131" s="28"/>
      <c r="N131" s="22"/>
      <c r="O131" s="28"/>
      <c r="P131" s="26" t="str">
        <f aca="false">IF(A131="","",SUMIF(入金明細!$F$5:$F$1004,A131,入金明細!$E$5:$E$1004))</f>
        <v/>
      </c>
      <c r="Q131" s="27" t="str">
        <f aca="false">IF(OR(A131="",N(P131)=0),"",SUMPRODUCT(MAX((入金明細!$F$5:$F$1004=A131)*入金明細!$B$5:$B$1004)))</f>
        <v/>
      </c>
      <c r="R131" s="18"/>
      <c r="S131" s="26" t="str">
        <f aca="false">IF(OR(A131="",I131=""),"",I131-N(P131)-N(R131))</f>
        <v/>
      </c>
      <c r="T131" s="28"/>
      <c r="U131" s="29" t="str">
        <f aca="false">IF(A131="","",IF(T131="取消","取消",IF(W131&lt;&gt;"","要入力",IF(N131="","未送付",IF(S131=0,"入金済",IF(S131&lt;0,"過入金",IF(設定!$C$5&gt;L131,IF(P131&gt;0,"一部入金・超過","期日超過"),IF(P131&gt;0,"一部入金",IF(L131-設定!$C$5&lt;=設定!$C$6,"期日間近","入金待ち")))))))))</f>
        <v/>
      </c>
      <c r="V131" s="30" t="str">
        <f aca="false">IF(OR(U131="期日超過",U131="一部入金・超過"),設定!$C$5-L131,"")</f>
        <v/>
      </c>
      <c r="W131" s="21" t="str">
        <f aca="false">IF(A131="","",TRIM(IF(B131="","請求日 ","")&amp;IF(C131="","取引先 ",IF(D131="コード誤り","取引先コード誤り ",""))&amp;IF(E131="","件名 ","")&amp;IF(F131="","税抜金額 ","")&amp;IF(G131="","税率 ","")&amp;IF(M131="","送付方法 ","")&amp;IF(AND(N131&lt;&gt;"",O131=""),"送付者 ","")&amp;IF(AND(I131&lt;&gt;"",L131=""),"入金期日 ","")&amp;IF(AND(N131&lt;&gt;"",P131&gt;0,S131&lt;=0,X131=""),"消込確認者 ","")))</f>
        <v/>
      </c>
      <c r="X131" s="28"/>
      <c r="Y131" s="28"/>
    </row>
    <row r="132" customFormat="false" ht="15" hidden="false" customHeight="false" outlineLevel="0" collapsed="false">
      <c r="A132" s="21" t="str">
        <f aca="false">IF(COUNTA(B132,C132,E132,F132)=0,"",設定!$C$4&amp;TEXT(ROW()-4,"00000"))</f>
        <v/>
      </c>
      <c r="B132" s="22"/>
      <c r="C132" s="23"/>
      <c r="D132" s="21" t="str">
        <f aca="false">IF(C132="","",IFERROR(INDEX(取引先マスタ!$B$5:$B$204,MATCH($C132,取引先マスタ!$A$5:$A$204,0)),"コード誤り"))</f>
        <v/>
      </c>
      <c r="E132" s="28"/>
      <c r="F132" s="18"/>
      <c r="G132" s="25"/>
      <c r="H132" s="26" t="str">
        <f aca="false">IF(OR(F132="",G132=""),"",ROUNDDOWN(F132*G132,0))</f>
        <v/>
      </c>
      <c r="I132" s="26" t="str">
        <f aca="false">IF(OR(F132="",G132=""),"",F132+H132)</f>
        <v/>
      </c>
      <c r="J132" s="27" t="str">
        <f aca="false">IF(OR(B132="",C132="",D132="コード誤り"),"",IFERROR(DATE(YEAR(B132),MONTH(B132)+INDEX(取引先マスタ!$E$5:$E$204,MATCH($C132,取引先マスタ!$A$5:$A$204,0)),MIN(INDEX(取引先マスタ!$F$5:$F$204,MATCH($C132,取引先マスタ!$A$5:$A$204,0)),DAY(EOMONTH(B132,INDEX(取引先マスタ!$E$5:$E$204,MATCH($C132,取引先マスタ!$A$5:$A$204,0)))))),""))</f>
        <v/>
      </c>
      <c r="K132" s="22"/>
      <c r="L132" s="27" t="str">
        <f aca="false">IF(K132&lt;&gt;"",K132,J132)</f>
        <v/>
      </c>
      <c r="M132" s="28"/>
      <c r="N132" s="22"/>
      <c r="O132" s="28"/>
      <c r="P132" s="26" t="str">
        <f aca="false">IF(A132="","",SUMIF(入金明細!$F$5:$F$1004,A132,入金明細!$E$5:$E$1004))</f>
        <v/>
      </c>
      <c r="Q132" s="27" t="str">
        <f aca="false">IF(OR(A132="",N(P132)=0),"",SUMPRODUCT(MAX((入金明細!$F$5:$F$1004=A132)*入金明細!$B$5:$B$1004)))</f>
        <v/>
      </c>
      <c r="R132" s="18"/>
      <c r="S132" s="26" t="str">
        <f aca="false">IF(OR(A132="",I132=""),"",I132-N(P132)-N(R132))</f>
        <v/>
      </c>
      <c r="T132" s="28"/>
      <c r="U132" s="29" t="str">
        <f aca="false">IF(A132="","",IF(T132="取消","取消",IF(W132&lt;&gt;"","要入力",IF(N132="","未送付",IF(S132=0,"入金済",IF(S132&lt;0,"過入金",IF(設定!$C$5&gt;L132,IF(P132&gt;0,"一部入金・超過","期日超過"),IF(P132&gt;0,"一部入金",IF(L132-設定!$C$5&lt;=設定!$C$6,"期日間近","入金待ち")))))))))</f>
        <v/>
      </c>
      <c r="V132" s="30" t="str">
        <f aca="false">IF(OR(U132="期日超過",U132="一部入金・超過"),設定!$C$5-L132,"")</f>
        <v/>
      </c>
      <c r="W132" s="21" t="str">
        <f aca="false">IF(A132="","",TRIM(IF(B132="","請求日 ","")&amp;IF(C132="","取引先 ",IF(D132="コード誤り","取引先コード誤り ",""))&amp;IF(E132="","件名 ","")&amp;IF(F132="","税抜金額 ","")&amp;IF(G132="","税率 ","")&amp;IF(M132="","送付方法 ","")&amp;IF(AND(N132&lt;&gt;"",O132=""),"送付者 ","")&amp;IF(AND(I132&lt;&gt;"",L132=""),"入金期日 ","")&amp;IF(AND(N132&lt;&gt;"",P132&gt;0,S132&lt;=0,X132=""),"消込確認者 ","")))</f>
        <v/>
      </c>
      <c r="X132" s="28"/>
      <c r="Y132" s="28"/>
    </row>
    <row r="133" customFormat="false" ht="15" hidden="false" customHeight="false" outlineLevel="0" collapsed="false">
      <c r="A133" s="21" t="str">
        <f aca="false">IF(COUNTA(B133,C133,E133,F133)=0,"",設定!$C$4&amp;TEXT(ROW()-4,"00000"))</f>
        <v/>
      </c>
      <c r="B133" s="22"/>
      <c r="C133" s="23"/>
      <c r="D133" s="21" t="str">
        <f aca="false">IF(C133="","",IFERROR(INDEX(取引先マスタ!$B$5:$B$204,MATCH($C133,取引先マスタ!$A$5:$A$204,0)),"コード誤り"))</f>
        <v/>
      </c>
      <c r="E133" s="28"/>
      <c r="F133" s="18"/>
      <c r="G133" s="25"/>
      <c r="H133" s="26" t="str">
        <f aca="false">IF(OR(F133="",G133=""),"",ROUNDDOWN(F133*G133,0))</f>
        <v/>
      </c>
      <c r="I133" s="26" t="str">
        <f aca="false">IF(OR(F133="",G133=""),"",F133+H133)</f>
        <v/>
      </c>
      <c r="J133" s="27" t="str">
        <f aca="false">IF(OR(B133="",C133="",D133="コード誤り"),"",IFERROR(DATE(YEAR(B133),MONTH(B133)+INDEX(取引先マスタ!$E$5:$E$204,MATCH($C133,取引先マスタ!$A$5:$A$204,0)),MIN(INDEX(取引先マスタ!$F$5:$F$204,MATCH($C133,取引先マスタ!$A$5:$A$204,0)),DAY(EOMONTH(B133,INDEX(取引先マスタ!$E$5:$E$204,MATCH($C133,取引先マスタ!$A$5:$A$204,0)))))),""))</f>
        <v/>
      </c>
      <c r="K133" s="22"/>
      <c r="L133" s="27" t="str">
        <f aca="false">IF(K133&lt;&gt;"",K133,J133)</f>
        <v/>
      </c>
      <c r="M133" s="28"/>
      <c r="N133" s="22"/>
      <c r="O133" s="28"/>
      <c r="P133" s="26" t="str">
        <f aca="false">IF(A133="","",SUMIF(入金明細!$F$5:$F$1004,A133,入金明細!$E$5:$E$1004))</f>
        <v/>
      </c>
      <c r="Q133" s="27" t="str">
        <f aca="false">IF(OR(A133="",N(P133)=0),"",SUMPRODUCT(MAX((入金明細!$F$5:$F$1004=A133)*入金明細!$B$5:$B$1004)))</f>
        <v/>
      </c>
      <c r="R133" s="18"/>
      <c r="S133" s="26" t="str">
        <f aca="false">IF(OR(A133="",I133=""),"",I133-N(P133)-N(R133))</f>
        <v/>
      </c>
      <c r="T133" s="28"/>
      <c r="U133" s="29" t="str">
        <f aca="false">IF(A133="","",IF(T133="取消","取消",IF(W133&lt;&gt;"","要入力",IF(N133="","未送付",IF(S133=0,"入金済",IF(S133&lt;0,"過入金",IF(設定!$C$5&gt;L133,IF(P133&gt;0,"一部入金・超過","期日超過"),IF(P133&gt;0,"一部入金",IF(L133-設定!$C$5&lt;=設定!$C$6,"期日間近","入金待ち")))))))))</f>
        <v/>
      </c>
      <c r="V133" s="30" t="str">
        <f aca="false">IF(OR(U133="期日超過",U133="一部入金・超過"),設定!$C$5-L133,"")</f>
        <v/>
      </c>
      <c r="W133" s="21" t="str">
        <f aca="false">IF(A133="","",TRIM(IF(B133="","請求日 ","")&amp;IF(C133="","取引先 ",IF(D133="コード誤り","取引先コード誤り ",""))&amp;IF(E133="","件名 ","")&amp;IF(F133="","税抜金額 ","")&amp;IF(G133="","税率 ","")&amp;IF(M133="","送付方法 ","")&amp;IF(AND(N133&lt;&gt;"",O133=""),"送付者 ","")&amp;IF(AND(I133&lt;&gt;"",L133=""),"入金期日 ","")&amp;IF(AND(N133&lt;&gt;"",P133&gt;0,S133&lt;=0,X133=""),"消込確認者 ","")))</f>
        <v/>
      </c>
      <c r="X133" s="28"/>
      <c r="Y133" s="28"/>
    </row>
    <row r="134" customFormat="false" ht="15" hidden="false" customHeight="false" outlineLevel="0" collapsed="false">
      <c r="A134" s="21" t="str">
        <f aca="false">IF(COUNTA(B134,C134,E134,F134)=0,"",設定!$C$4&amp;TEXT(ROW()-4,"00000"))</f>
        <v/>
      </c>
      <c r="B134" s="22"/>
      <c r="C134" s="23"/>
      <c r="D134" s="21" t="str">
        <f aca="false">IF(C134="","",IFERROR(INDEX(取引先マスタ!$B$5:$B$204,MATCH($C134,取引先マスタ!$A$5:$A$204,0)),"コード誤り"))</f>
        <v/>
      </c>
      <c r="E134" s="28"/>
      <c r="F134" s="18"/>
      <c r="G134" s="25"/>
      <c r="H134" s="26" t="str">
        <f aca="false">IF(OR(F134="",G134=""),"",ROUNDDOWN(F134*G134,0))</f>
        <v/>
      </c>
      <c r="I134" s="26" t="str">
        <f aca="false">IF(OR(F134="",G134=""),"",F134+H134)</f>
        <v/>
      </c>
      <c r="J134" s="27" t="str">
        <f aca="false">IF(OR(B134="",C134="",D134="コード誤り"),"",IFERROR(DATE(YEAR(B134),MONTH(B134)+INDEX(取引先マスタ!$E$5:$E$204,MATCH($C134,取引先マスタ!$A$5:$A$204,0)),MIN(INDEX(取引先マスタ!$F$5:$F$204,MATCH($C134,取引先マスタ!$A$5:$A$204,0)),DAY(EOMONTH(B134,INDEX(取引先マスタ!$E$5:$E$204,MATCH($C134,取引先マスタ!$A$5:$A$204,0)))))),""))</f>
        <v/>
      </c>
      <c r="K134" s="22"/>
      <c r="L134" s="27" t="str">
        <f aca="false">IF(K134&lt;&gt;"",K134,J134)</f>
        <v/>
      </c>
      <c r="M134" s="28"/>
      <c r="N134" s="22"/>
      <c r="O134" s="28"/>
      <c r="P134" s="26" t="str">
        <f aca="false">IF(A134="","",SUMIF(入金明細!$F$5:$F$1004,A134,入金明細!$E$5:$E$1004))</f>
        <v/>
      </c>
      <c r="Q134" s="27" t="str">
        <f aca="false">IF(OR(A134="",N(P134)=0),"",SUMPRODUCT(MAX((入金明細!$F$5:$F$1004=A134)*入金明細!$B$5:$B$1004)))</f>
        <v/>
      </c>
      <c r="R134" s="18"/>
      <c r="S134" s="26" t="str">
        <f aca="false">IF(OR(A134="",I134=""),"",I134-N(P134)-N(R134))</f>
        <v/>
      </c>
      <c r="T134" s="28"/>
      <c r="U134" s="29" t="str">
        <f aca="false">IF(A134="","",IF(T134="取消","取消",IF(W134&lt;&gt;"","要入力",IF(N134="","未送付",IF(S134=0,"入金済",IF(S134&lt;0,"過入金",IF(設定!$C$5&gt;L134,IF(P134&gt;0,"一部入金・超過","期日超過"),IF(P134&gt;0,"一部入金",IF(L134-設定!$C$5&lt;=設定!$C$6,"期日間近","入金待ち")))))))))</f>
        <v/>
      </c>
      <c r="V134" s="30" t="str">
        <f aca="false">IF(OR(U134="期日超過",U134="一部入金・超過"),設定!$C$5-L134,"")</f>
        <v/>
      </c>
      <c r="W134" s="21" t="str">
        <f aca="false">IF(A134="","",TRIM(IF(B134="","請求日 ","")&amp;IF(C134="","取引先 ",IF(D134="コード誤り","取引先コード誤り ",""))&amp;IF(E134="","件名 ","")&amp;IF(F134="","税抜金額 ","")&amp;IF(G134="","税率 ","")&amp;IF(M134="","送付方法 ","")&amp;IF(AND(N134&lt;&gt;"",O134=""),"送付者 ","")&amp;IF(AND(I134&lt;&gt;"",L134=""),"入金期日 ","")&amp;IF(AND(N134&lt;&gt;"",P134&gt;0,S134&lt;=0,X134=""),"消込確認者 ","")))</f>
        <v/>
      </c>
      <c r="X134" s="28"/>
      <c r="Y134" s="28"/>
    </row>
    <row r="135" customFormat="false" ht="15" hidden="false" customHeight="false" outlineLevel="0" collapsed="false">
      <c r="A135" s="21" t="str">
        <f aca="false">IF(COUNTA(B135,C135,E135,F135)=0,"",設定!$C$4&amp;TEXT(ROW()-4,"00000"))</f>
        <v/>
      </c>
      <c r="B135" s="22"/>
      <c r="C135" s="23"/>
      <c r="D135" s="21" t="str">
        <f aca="false">IF(C135="","",IFERROR(INDEX(取引先マスタ!$B$5:$B$204,MATCH($C135,取引先マスタ!$A$5:$A$204,0)),"コード誤り"))</f>
        <v/>
      </c>
      <c r="E135" s="28"/>
      <c r="F135" s="18"/>
      <c r="G135" s="25"/>
      <c r="H135" s="26" t="str">
        <f aca="false">IF(OR(F135="",G135=""),"",ROUNDDOWN(F135*G135,0))</f>
        <v/>
      </c>
      <c r="I135" s="26" t="str">
        <f aca="false">IF(OR(F135="",G135=""),"",F135+H135)</f>
        <v/>
      </c>
      <c r="J135" s="27" t="str">
        <f aca="false">IF(OR(B135="",C135="",D135="コード誤り"),"",IFERROR(DATE(YEAR(B135),MONTH(B135)+INDEX(取引先マスタ!$E$5:$E$204,MATCH($C135,取引先マスタ!$A$5:$A$204,0)),MIN(INDEX(取引先マスタ!$F$5:$F$204,MATCH($C135,取引先マスタ!$A$5:$A$204,0)),DAY(EOMONTH(B135,INDEX(取引先マスタ!$E$5:$E$204,MATCH($C135,取引先マスタ!$A$5:$A$204,0)))))),""))</f>
        <v/>
      </c>
      <c r="K135" s="22"/>
      <c r="L135" s="27" t="str">
        <f aca="false">IF(K135&lt;&gt;"",K135,J135)</f>
        <v/>
      </c>
      <c r="M135" s="28"/>
      <c r="N135" s="22"/>
      <c r="O135" s="28"/>
      <c r="P135" s="26" t="str">
        <f aca="false">IF(A135="","",SUMIF(入金明細!$F$5:$F$1004,A135,入金明細!$E$5:$E$1004))</f>
        <v/>
      </c>
      <c r="Q135" s="27" t="str">
        <f aca="false">IF(OR(A135="",N(P135)=0),"",SUMPRODUCT(MAX((入金明細!$F$5:$F$1004=A135)*入金明細!$B$5:$B$1004)))</f>
        <v/>
      </c>
      <c r="R135" s="18"/>
      <c r="S135" s="26" t="str">
        <f aca="false">IF(OR(A135="",I135=""),"",I135-N(P135)-N(R135))</f>
        <v/>
      </c>
      <c r="T135" s="28"/>
      <c r="U135" s="29" t="str">
        <f aca="false">IF(A135="","",IF(T135="取消","取消",IF(W135&lt;&gt;"","要入力",IF(N135="","未送付",IF(S135=0,"入金済",IF(S135&lt;0,"過入金",IF(設定!$C$5&gt;L135,IF(P135&gt;0,"一部入金・超過","期日超過"),IF(P135&gt;0,"一部入金",IF(L135-設定!$C$5&lt;=設定!$C$6,"期日間近","入金待ち")))))))))</f>
        <v/>
      </c>
      <c r="V135" s="30" t="str">
        <f aca="false">IF(OR(U135="期日超過",U135="一部入金・超過"),設定!$C$5-L135,"")</f>
        <v/>
      </c>
      <c r="W135" s="21" t="str">
        <f aca="false">IF(A135="","",TRIM(IF(B135="","請求日 ","")&amp;IF(C135="","取引先 ",IF(D135="コード誤り","取引先コード誤り ",""))&amp;IF(E135="","件名 ","")&amp;IF(F135="","税抜金額 ","")&amp;IF(G135="","税率 ","")&amp;IF(M135="","送付方法 ","")&amp;IF(AND(N135&lt;&gt;"",O135=""),"送付者 ","")&amp;IF(AND(I135&lt;&gt;"",L135=""),"入金期日 ","")&amp;IF(AND(N135&lt;&gt;"",P135&gt;0,S135&lt;=0,X135=""),"消込確認者 ","")))</f>
        <v/>
      </c>
      <c r="X135" s="28"/>
      <c r="Y135" s="28"/>
    </row>
    <row r="136" customFormat="false" ht="15" hidden="false" customHeight="false" outlineLevel="0" collapsed="false">
      <c r="A136" s="21" t="str">
        <f aca="false">IF(COUNTA(B136,C136,E136,F136)=0,"",設定!$C$4&amp;TEXT(ROW()-4,"00000"))</f>
        <v/>
      </c>
      <c r="B136" s="22"/>
      <c r="C136" s="23"/>
      <c r="D136" s="21" t="str">
        <f aca="false">IF(C136="","",IFERROR(INDEX(取引先マスタ!$B$5:$B$204,MATCH($C136,取引先マスタ!$A$5:$A$204,0)),"コード誤り"))</f>
        <v/>
      </c>
      <c r="E136" s="28"/>
      <c r="F136" s="18"/>
      <c r="G136" s="25"/>
      <c r="H136" s="26" t="str">
        <f aca="false">IF(OR(F136="",G136=""),"",ROUNDDOWN(F136*G136,0))</f>
        <v/>
      </c>
      <c r="I136" s="26" t="str">
        <f aca="false">IF(OR(F136="",G136=""),"",F136+H136)</f>
        <v/>
      </c>
      <c r="J136" s="27" t="str">
        <f aca="false">IF(OR(B136="",C136="",D136="コード誤り"),"",IFERROR(DATE(YEAR(B136),MONTH(B136)+INDEX(取引先マスタ!$E$5:$E$204,MATCH($C136,取引先マスタ!$A$5:$A$204,0)),MIN(INDEX(取引先マスタ!$F$5:$F$204,MATCH($C136,取引先マスタ!$A$5:$A$204,0)),DAY(EOMONTH(B136,INDEX(取引先マスタ!$E$5:$E$204,MATCH($C136,取引先マスタ!$A$5:$A$204,0)))))),""))</f>
        <v/>
      </c>
      <c r="K136" s="22"/>
      <c r="L136" s="27" t="str">
        <f aca="false">IF(K136&lt;&gt;"",K136,J136)</f>
        <v/>
      </c>
      <c r="M136" s="28"/>
      <c r="N136" s="22"/>
      <c r="O136" s="28"/>
      <c r="P136" s="26" t="str">
        <f aca="false">IF(A136="","",SUMIF(入金明細!$F$5:$F$1004,A136,入金明細!$E$5:$E$1004))</f>
        <v/>
      </c>
      <c r="Q136" s="27" t="str">
        <f aca="false">IF(OR(A136="",N(P136)=0),"",SUMPRODUCT(MAX((入金明細!$F$5:$F$1004=A136)*入金明細!$B$5:$B$1004)))</f>
        <v/>
      </c>
      <c r="R136" s="18"/>
      <c r="S136" s="26" t="str">
        <f aca="false">IF(OR(A136="",I136=""),"",I136-N(P136)-N(R136))</f>
        <v/>
      </c>
      <c r="T136" s="28"/>
      <c r="U136" s="29" t="str">
        <f aca="false">IF(A136="","",IF(T136="取消","取消",IF(W136&lt;&gt;"","要入力",IF(N136="","未送付",IF(S136=0,"入金済",IF(S136&lt;0,"過入金",IF(設定!$C$5&gt;L136,IF(P136&gt;0,"一部入金・超過","期日超過"),IF(P136&gt;0,"一部入金",IF(L136-設定!$C$5&lt;=設定!$C$6,"期日間近","入金待ち")))))))))</f>
        <v/>
      </c>
      <c r="V136" s="30" t="str">
        <f aca="false">IF(OR(U136="期日超過",U136="一部入金・超過"),設定!$C$5-L136,"")</f>
        <v/>
      </c>
      <c r="W136" s="21" t="str">
        <f aca="false">IF(A136="","",TRIM(IF(B136="","請求日 ","")&amp;IF(C136="","取引先 ",IF(D136="コード誤り","取引先コード誤り ",""))&amp;IF(E136="","件名 ","")&amp;IF(F136="","税抜金額 ","")&amp;IF(G136="","税率 ","")&amp;IF(M136="","送付方法 ","")&amp;IF(AND(N136&lt;&gt;"",O136=""),"送付者 ","")&amp;IF(AND(I136&lt;&gt;"",L136=""),"入金期日 ","")&amp;IF(AND(N136&lt;&gt;"",P136&gt;0,S136&lt;=0,X136=""),"消込確認者 ","")))</f>
        <v/>
      </c>
      <c r="X136" s="28"/>
      <c r="Y136" s="28"/>
    </row>
    <row r="137" customFormat="false" ht="15" hidden="false" customHeight="false" outlineLevel="0" collapsed="false">
      <c r="A137" s="21" t="str">
        <f aca="false">IF(COUNTA(B137,C137,E137,F137)=0,"",設定!$C$4&amp;TEXT(ROW()-4,"00000"))</f>
        <v/>
      </c>
      <c r="B137" s="22"/>
      <c r="C137" s="23"/>
      <c r="D137" s="21" t="str">
        <f aca="false">IF(C137="","",IFERROR(INDEX(取引先マスタ!$B$5:$B$204,MATCH($C137,取引先マスタ!$A$5:$A$204,0)),"コード誤り"))</f>
        <v/>
      </c>
      <c r="E137" s="28"/>
      <c r="F137" s="18"/>
      <c r="G137" s="25"/>
      <c r="H137" s="26" t="str">
        <f aca="false">IF(OR(F137="",G137=""),"",ROUNDDOWN(F137*G137,0))</f>
        <v/>
      </c>
      <c r="I137" s="26" t="str">
        <f aca="false">IF(OR(F137="",G137=""),"",F137+H137)</f>
        <v/>
      </c>
      <c r="J137" s="27" t="str">
        <f aca="false">IF(OR(B137="",C137="",D137="コード誤り"),"",IFERROR(DATE(YEAR(B137),MONTH(B137)+INDEX(取引先マスタ!$E$5:$E$204,MATCH($C137,取引先マスタ!$A$5:$A$204,0)),MIN(INDEX(取引先マスタ!$F$5:$F$204,MATCH($C137,取引先マスタ!$A$5:$A$204,0)),DAY(EOMONTH(B137,INDEX(取引先マスタ!$E$5:$E$204,MATCH($C137,取引先マスタ!$A$5:$A$204,0)))))),""))</f>
        <v/>
      </c>
      <c r="K137" s="22"/>
      <c r="L137" s="27" t="str">
        <f aca="false">IF(K137&lt;&gt;"",K137,J137)</f>
        <v/>
      </c>
      <c r="M137" s="28"/>
      <c r="N137" s="22"/>
      <c r="O137" s="28"/>
      <c r="P137" s="26" t="str">
        <f aca="false">IF(A137="","",SUMIF(入金明細!$F$5:$F$1004,A137,入金明細!$E$5:$E$1004))</f>
        <v/>
      </c>
      <c r="Q137" s="27" t="str">
        <f aca="false">IF(OR(A137="",N(P137)=0),"",SUMPRODUCT(MAX((入金明細!$F$5:$F$1004=A137)*入金明細!$B$5:$B$1004)))</f>
        <v/>
      </c>
      <c r="R137" s="18"/>
      <c r="S137" s="26" t="str">
        <f aca="false">IF(OR(A137="",I137=""),"",I137-N(P137)-N(R137))</f>
        <v/>
      </c>
      <c r="T137" s="28"/>
      <c r="U137" s="29" t="str">
        <f aca="false">IF(A137="","",IF(T137="取消","取消",IF(W137&lt;&gt;"","要入力",IF(N137="","未送付",IF(S137=0,"入金済",IF(S137&lt;0,"過入金",IF(設定!$C$5&gt;L137,IF(P137&gt;0,"一部入金・超過","期日超過"),IF(P137&gt;0,"一部入金",IF(L137-設定!$C$5&lt;=設定!$C$6,"期日間近","入金待ち")))))))))</f>
        <v/>
      </c>
      <c r="V137" s="30" t="str">
        <f aca="false">IF(OR(U137="期日超過",U137="一部入金・超過"),設定!$C$5-L137,"")</f>
        <v/>
      </c>
      <c r="W137" s="21" t="str">
        <f aca="false">IF(A137="","",TRIM(IF(B137="","請求日 ","")&amp;IF(C137="","取引先 ",IF(D137="コード誤り","取引先コード誤り ",""))&amp;IF(E137="","件名 ","")&amp;IF(F137="","税抜金額 ","")&amp;IF(G137="","税率 ","")&amp;IF(M137="","送付方法 ","")&amp;IF(AND(N137&lt;&gt;"",O137=""),"送付者 ","")&amp;IF(AND(I137&lt;&gt;"",L137=""),"入金期日 ","")&amp;IF(AND(N137&lt;&gt;"",P137&gt;0,S137&lt;=0,X137=""),"消込確認者 ","")))</f>
        <v/>
      </c>
      <c r="X137" s="28"/>
      <c r="Y137" s="28"/>
    </row>
    <row r="138" customFormat="false" ht="15" hidden="false" customHeight="false" outlineLevel="0" collapsed="false">
      <c r="A138" s="21" t="str">
        <f aca="false">IF(COUNTA(B138,C138,E138,F138)=0,"",設定!$C$4&amp;TEXT(ROW()-4,"00000"))</f>
        <v/>
      </c>
      <c r="B138" s="22"/>
      <c r="C138" s="23"/>
      <c r="D138" s="21" t="str">
        <f aca="false">IF(C138="","",IFERROR(INDEX(取引先マスタ!$B$5:$B$204,MATCH($C138,取引先マスタ!$A$5:$A$204,0)),"コード誤り"))</f>
        <v/>
      </c>
      <c r="E138" s="28"/>
      <c r="F138" s="18"/>
      <c r="G138" s="25"/>
      <c r="H138" s="26" t="str">
        <f aca="false">IF(OR(F138="",G138=""),"",ROUNDDOWN(F138*G138,0))</f>
        <v/>
      </c>
      <c r="I138" s="26" t="str">
        <f aca="false">IF(OR(F138="",G138=""),"",F138+H138)</f>
        <v/>
      </c>
      <c r="J138" s="27" t="str">
        <f aca="false">IF(OR(B138="",C138="",D138="コード誤り"),"",IFERROR(DATE(YEAR(B138),MONTH(B138)+INDEX(取引先マスタ!$E$5:$E$204,MATCH($C138,取引先マスタ!$A$5:$A$204,0)),MIN(INDEX(取引先マスタ!$F$5:$F$204,MATCH($C138,取引先マスタ!$A$5:$A$204,0)),DAY(EOMONTH(B138,INDEX(取引先マスタ!$E$5:$E$204,MATCH($C138,取引先マスタ!$A$5:$A$204,0)))))),""))</f>
        <v/>
      </c>
      <c r="K138" s="22"/>
      <c r="L138" s="27" t="str">
        <f aca="false">IF(K138&lt;&gt;"",K138,J138)</f>
        <v/>
      </c>
      <c r="M138" s="28"/>
      <c r="N138" s="22"/>
      <c r="O138" s="28"/>
      <c r="P138" s="26" t="str">
        <f aca="false">IF(A138="","",SUMIF(入金明細!$F$5:$F$1004,A138,入金明細!$E$5:$E$1004))</f>
        <v/>
      </c>
      <c r="Q138" s="27" t="str">
        <f aca="false">IF(OR(A138="",N(P138)=0),"",SUMPRODUCT(MAX((入金明細!$F$5:$F$1004=A138)*入金明細!$B$5:$B$1004)))</f>
        <v/>
      </c>
      <c r="R138" s="18"/>
      <c r="S138" s="26" t="str">
        <f aca="false">IF(OR(A138="",I138=""),"",I138-N(P138)-N(R138))</f>
        <v/>
      </c>
      <c r="T138" s="28"/>
      <c r="U138" s="29" t="str">
        <f aca="false">IF(A138="","",IF(T138="取消","取消",IF(W138&lt;&gt;"","要入力",IF(N138="","未送付",IF(S138=0,"入金済",IF(S138&lt;0,"過入金",IF(設定!$C$5&gt;L138,IF(P138&gt;0,"一部入金・超過","期日超過"),IF(P138&gt;0,"一部入金",IF(L138-設定!$C$5&lt;=設定!$C$6,"期日間近","入金待ち")))))))))</f>
        <v/>
      </c>
      <c r="V138" s="30" t="str">
        <f aca="false">IF(OR(U138="期日超過",U138="一部入金・超過"),設定!$C$5-L138,"")</f>
        <v/>
      </c>
      <c r="W138" s="21" t="str">
        <f aca="false">IF(A138="","",TRIM(IF(B138="","請求日 ","")&amp;IF(C138="","取引先 ",IF(D138="コード誤り","取引先コード誤り ",""))&amp;IF(E138="","件名 ","")&amp;IF(F138="","税抜金額 ","")&amp;IF(G138="","税率 ","")&amp;IF(M138="","送付方法 ","")&amp;IF(AND(N138&lt;&gt;"",O138=""),"送付者 ","")&amp;IF(AND(I138&lt;&gt;"",L138=""),"入金期日 ","")&amp;IF(AND(N138&lt;&gt;"",P138&gt;0,S138&lt;=0,X138=""),"消込確認者 ","")))</f>
        <v/>
      </c>
      <c r="X138" s="28"/>
      <c r="Y138" s="28"/>
    </row>
    <row r="139" customFormat="false" ht="15" hidden="false" customHeight="false" outlineLevel="0" collapsed="false">
      <c r="A139" s="21" t="str">
        <f aca="false">IF(COUNTA(B139,C139,E139,F139)=0,"",設定!$C$4&amp;TEXT(ROW()-4,"00000"))</f>
        <v/>
      </c>
      <c r="B139" s="22"/>
      <c r="C139" s="23"/>
      <c r="D139" s="21" t="str">
        <f aca="false">IF(C139="","",IFERROR(INDEX(取引先マスタ!$B$5:$B$204,MATCH($C139,取引先マスタ!$A$5:$A$204,0)),"コード誤り"))</f>
        <v/>
      </c>
      <c r="E139" s="28"/>
      <c r="F139" s="18"/>
      <c r="G139" s="25"/>
      <c r="H139" s="26" t="str">
        <f aca="false">IF(OR(F139="",G139=""),"",ROUNDDOWN(F139*G139,0))</f>
        <v/>
      </c>
      <c r="I139" s="26" t="str">
        <f aca="false">IF(OR(F139="",G139=""),"",F139+H139)</f>
        <v/>
      </c>
      <c r="J139" s="27" t="str">
        <f aca="false">IF(OR(B139="",C139="",D139="コード誤り"),"",IFERROR(DATE(YEAR(B139),MONTH(B139)+INDEX(取引先マスタ!$E$5:$E$204,MATCH($C139,取引先マスタ!$A$5:$A$204,0)),MIN(INDEX(取引先マスタ!$F$5:$F$204,MATCH($C139,取引先マスタ!$A$5:$A$204,0)),DAY(EOMONTH(B139,INDEX(取引先マスタ!$E$5:$E$204,MATCH($C139,取引先マスタ!$A$5:$A$204,0)))))),""))</f>
        <v/>
      </c>
      <c r="K139" s="22"/>
      <c r="L139" s="27" t="str">
        <f aca="false">IF(K139&lt;&gt;"",K139,J139)</f>
        <v/>
      </c>
      <c r="M139" s="28"/>
      <c r="N139" s="22"/>
      <c r="O139" s="28"/>
      <c r="P139" s="26" t="str">
        <f aca="false">IF(A139="","",SUMIF(入金明細!$F$5:$F$1004,A139,入金明細!$E$5:$E$1004))</f>
        <v/>
      </c>
      <c r="Q139" s="27" t="str">
        <f aca="false">IF(OR(A139="",N(P139)=0),"",SUMPRODUCT(MAX((入金明細!$F$5:$F$1004=A139)*入金明細!$B$5:$B$1004)))</f>
        <v/>
      </c>
      <c r="R139" s="18"/>
      <c r="S139" s="26" t="str">
        <f aca="false">IF(OR(A139="",I139=""),"",I139-N(P139)-N(R139))</f>
        <v/>
      </c>
      <c r="T139" s="28"/>
      <c r="U139" s="29" t="str">
        <f aca="false">IF(A139="","",IF(T139="取消","取消",IF(W139&lt;&gt;"","要入力",IF(N139="","未送付",IF(S139=0,"入金済",IF(S139&lt;0,"過入金",IF(設定!$C$5&gt;L139,IF(P139&gt;0,"一部入金・超過","期日超過"),IF(P139&gt;0,"一部入金",IF(L139-設定!$C$5&lt;=設定!$C$6,"期日間近","入金待ち")))))))))</f>
        <v/>
      </c>
      <c r="V139" s="30" t="str">
        <f aca="false">IF(OR(U139="期日超過",U139="一部入金・超過"),設定!$C$5-L139,"")</f>
        <v/>
      </c>
      <c r="W139" s="21" t="str">
        <f aca="false">IF(A139="","",TRIM(IF(B139="","請求日 ","")&amp;IF(C139="","取引先 ",IF(D139="コード誤り","取引先コード誤り ",""))&amp;IF(E139="","件名 ","")&amp;IF(F139="","税抜金額 ","")&amp;IF(G139="","税率 ","")&amp;IF(M139="","送付方法 ","")&amp;IF(AND(N139&lt;&gt;"",O139=""),"送付者 ","")&amp;IF(AND(I139&lt;&gt;"",L139=""),"入金期日 ","")&amp;IF(AND(N139&lt;&gt;"",P139&gt;0,S139&lt;=0,X139=""),"消込確認者 ","")))</f>
        <v/>
      </c>
      <c r="X139" s="28"/>
      <c r="Y139" s="28"/>
    </row>
    <row r="140" customFormat="false" ht="15" hidden="false" customHeight="false" outlineLevel="0" collapsed="false">
      <c r="A140" s="21" t="str">
        <f aca="false">IF(COUNTA(B140,C140,E140,F140)=0,"",設定!$C$4&amp;TEXT(ROW()-4,"00000"))</f>
        <v/>
      </c>
      <c r="B140" s="22"/>
      <c r="C140" s="23"/>
      <c r="D140" s="21" t="str">
        <f aca="false">IF(C140="","",IFERROR(INDEX(取引先マスタ!$B$5:$B$204,MATCH($C140,取引先マスタ!$A$5:$A$204,0)),"コード誤り"))</f>
        <v/>
      </c>
      <c r="E140" s="28"/>
      <c r="F140" s="18"/>
      <c r="G140" s="25"/>
      <c r="H140" s="26" t="str">
        <f aca="false">IF(OR(F140="",G140=""),"",ROUNDDOWN(F140*G140,0))</f>
        <v/>
      </c>
      <c r="I140" s="26" t="str">
        <f aca="false">IF(OR(F140="",G140=""),"",F140+H140)</f>
        <v/>
      </c>
      <c r="J140" s="27" t="str">
        <f aca="false">IF(OR(B140="",C140="",D140="コード誤り"),"",IFERROR(DATE(YEAR(B140),MONTH(B140)+INDEX(取引先マスタ!$E$5:$E$204,MATCH($C140,取引先マスタ!$A$5:$A$204,0)),MIN(INDEX(取引先マスタ!$F$5:$F$204,MATCH($C140,取引先マスタ!$A$5:$A$204,0)),DAY(EOMONTH(B140,INDEX(取引先マスタ!$E$5:$E$204,MATCH($C140,取引先マスタ!$A$5:$A$204,0)))))),""))</f>
        <v/>
      </c>
      <c r="K140" s="22"/>
      <c r="L140" s="27" t="str">
        <f aca="false">IF(K140&lt;&gt;"",K140,J140)</f>
        <v/>
      </c>
      <c r="M140" s="28"/>
      <c r="N140" s="22"/>
      <c r="O140" s="28"/>
      <c r="P140" s="26" t="str">
        <f aca="false">IF(A140="","",SUMIF(入金明細!$F$5:$F$1004,A140,入金明細!$E$5:$E$1004))</f>
        <v/>
      </c>
      <c r="Q140" s="27" t="str">
        <f aca="false">IF(OR(A140="",N(P140)=0),"",SUMPRODUCT(MAX((入金明細!$F$5:$F$1004=A140)*入金明細!$B$5:$B$1004)))</f>
        <v/>
      </c>
      <c r="R140" s="18"/>
      <c r="S140" s="26" t="str">
        <f aca="false">IF(OR(A140="",I140=""),"",I140-N(P140)-N(R140))</f>
        <v/>
      </c>
      <c r="T140" s="28"/>
      <c r="U140" s="29" t="str">
        <f aca="false">IF(A140="","",IF(T140="取消","取消",IF(W140&lt;&gt;"","要入力",IF(N140="","未送付",IF(S140=0,"入金済",IF(S140&lt;0,"過入金",IF(設定!$C$5&gt;L140,IF(P140&gt;0,"一部入金・超過","期日超過"),IF(P140&gt;0,"一部入金",IF(L140-設定!$C$5&lt;=設定!$C$6,"期日間近","入金待ち")))))))))</f>
        <v/>
      </c>
      <c r="V140" s="30" t="str">
        <f aca="false">IF(OR(U140="期日超過",U140="一部入金・超過"),設定!$C$5-L140,"")</f>
        <v/>
      </c>
      <c r="W140" s="21" t="str">
        <f aca="false">IF(A140="","",TRIM(IF(B140="","請求日 ","")&amp;IF(C140="","取引先 ",IF(D140="コード誤り","取引先コード誤り ",""))&amp;IF(E140="","件名 ","")&amp;IF(F140="","税抜金額 ","")&amp;IF(G140="","税率 ","")&amp;IF(M140="","送付方法 ","")&amp;IF(AND(N140&lt;&gt;"",O140=""),"送付者 ","")&amp;IF(AND(I140&lt;&gt;"",L140=""),"入金期日 ","")&amp;IF(AND(N140&lt;&gt;"",P140&gt;0,S140&lt;=0,X140=""),"消込確認者 ","")))</f>
        <v/>
      </c>
      <c r="X140" s="28"/>
      <c r="Y140" s="28"/>
    </row>
    <row r="141" customFormat="false" ht="15" hidden="false" customHeight="false" outlineLevel="0" collapsed="false">
      <c r="A141" s="21" t="str">
        <f aca="false">IF(COUNTA(B141,C141,E141,F141)=0,"",設定!$C$4&amp;TEXT(ROW()-4,"00000"))</f>
        <v/>
      </c>
      <c r="B141" s="22"/>
      <c r="C141" s="23"/>
      <c r="D141" s="21" t="str">
        <f aca="false">IF(C141="","",IFERROR(INDEX(取引先マスタ!$B$5:$B$204,MATCH($C141,取引先マスタ!$A$5:$A$204,0)),"コード誤り"))</f>
        <v/>
      </c>
      <c r="E141" s="28"/>
      <c r="F141" s="18"/>
      <c r="G141" s="25"/>
      <c r="H141" s="26" t="str">
        <f aca="false">IF(OR(F141="",G141=""),"",ROUNDDOWN(F141*G141,0))</f>
        <v/>
      </c>
      <c r="I141" s="26" t="str">
        <f aca="false">IF(OR(F141="",G141=""),"",F141+H141)</f>
        <v/>
      </c>
      <c r="J141" s="27" t="str">
        <f aca="false">IF(OR(B141="",C141="",D141="コード誤り"),"",IFERROR(DATE(YEAR(B141),MONTH(B141)+INDEX(取引先マスタ!$E$5:$E$204,MATCH($C141,取引先マスタ!$A$5:$A$204,0)),MIN(INDEX(取引先マスタ!$F$5:$F$204,MATCH($C141,取引先マスタ!$A$5:$A$204,0)),DAY(EOMONTH(B141,INDEX(取引先マスタ!$E$5:$E$204,MATCH($C141,取引先マスタ!$A$5:$A$204,0)))))),""))</f>
        <v/>
      </c>
      <c r="K141" s="22"/>
      <c r="L141" s="27" t="str">
        <f aca="false">IF(K141&lt;&gt;"",K141,J141)</f>
        <v/>
      </c>
      <c r="M141" s="28"/>
      <c r="N141" s="22"/>
      <c r="O141" s="28"/>
      <c r="P141" s="26" t="str">
        <f aca="false">IF(A141="","",SUMIF(入金明細!$F$5:$F$1004,A141,入金明細!$E$5:$E$1004))</f>
        <v/>
      </c>
      <c r="Q141" s="27" t="str">
        <f aca="false">IF(OR(A141="",N(P141)=0),"",SUMPRODUCT(MAX((入金明細!$F$5:$F$1004=A141)*入金明細!$B$5:$B$1004)))</f>
        <v/>
      </c>
      <c r="R141" s="18"/>
      <c r="S141" s="26" t="str">
        <f aca="false">IF(OR(A141="",I141=""),"",I141-N(P141)-N(R141))</f>
        <v/>
      </c>
      <c r="T141" s="28"/>
      <c r="U141" s="29" t="str">
        <f aca="false">IF(A141="","",IF(T141="取消","取消",IF(W141&lt;&gt;"","要入力",IF(N141="","未送付",IF(S141=0,"入金済",IF(S141&lt;0,"過入金",IF(設定!$C$5&gt;L141,IF(P141&gt;0,"一部入金・超過","期日超過"),IF(P141&gt;0,"一部入金",IF(L141-設定!$C$5&lt;=設定!$C$6,"期日間近","入金待ち")))))))))</f>
        <v/>
      </c>
      <c r="V141" s="30" t="str">
        <f aca="false">IF(OR(U141="期日超過",U141="一部入金・超過"),設定!$C$5-L141,"")</f>
        <v/>
      </c>
      <c r="W141" s="21" t="str">
        <f aca="false">IF(A141="","",TRIM(IF(B141="","請求日 ","")&amp;IF(C141="","取引先 ",IF(D141="コード誤り","取引先コード誤り ",""))&amp;IF(E141="","件名 ","")&amp;IF(F141="","税抜金額 ","")&amp;IF(G141="","税率 ","")&amp;IF(M141="","送付方法 ","")&amp;IF(AND(N141&lt;&gt;"",O141=""),"送付者 ","")&amp;IF(AND(I141&lt;&gt;"",L141=""),"入金期日 ","")&amp;IF(AND(N141&lt;&gt;"",P141&gt;0,S141&lt;=0,X141=""),"消込確認者 ","")))</f>
        <v/>
      </c>
      <c r="X141" s="28"/>
      <c r="Y141" s="28"/>
    </row>
    <row r="142" customFormat="false" ht="15" hidden="false" customHeight="false" outlineLevel="0" collapsed="false">
      <c r="A142" s="21" t="str">
        <f aca="false">IF(COUNTA(B142,C142,E142,F142)=0,"",設定!$C$4&amp;TEXT(ROW()-4,"00000"))</f>
        <v/>
      </c>
      <c r="B142" s="22"/>
      <c r="C142" s="23"/>
      <c r="D142" s="21" t="str">
        <f aca="false">IF(C142="","",IFERROR(INDEX(取引先マスタ!$B$5:$B$204,MATCH($C142,取引先マスタ!$A$5:$A$204,0)),"コード誤り"))</f>
        <v/>
      </c>
      <c r="E142" s="28"/>
      <c r="F142" s="18"/>
      <c r="G142" s="25"/>
      <c r="H142" s="26" t="str">
        <f aca="false">IF(OR(F142="",G142=""),"",ROUNDDOWN(F142*G142,0))</f>
        <v/>
      </c>
      <c r="I142" s="26" t="str">
        <f aca="false">IF(OR(F142="",G142=""),"",F142+H142)</f>
        <v/>
      </c>
      <c r="J142" s="27" t="str">
        <f aca="false">IF(OR(B142="",C142="",D142="コード誤り"),"",IFERROR(DATE(YEAR(B142),MONTH(B142)+INDEX(取引先マスタ!$E$5:$E$204,MATCH($C142,取引先マスタ!$A$5:$A$204,0)),MIN(INDEX(取引先マスタ!$F$5:$F$204,MATCH($C142,取引先マスタ!$A$5:$A$204,0)),DAY(EOMONTH(B142,INDEX(取引先マスタ!$E$5:$E$204,MATCH($C142,取引先マスタ!$A$5:$A$204,0)))))),""))</f>
        <v/>
      </c>
      <c r="K142" s="22"/>
      <c r="L142" s="27" t="str">
        <f aca="false">IF(K142&lt;&gt;"",K142,J142)</f>
        <v/>
      </c>
      <c r="M142" s="28"/>
      <c r="N142" s="22"/>
      <c r="O142" s="28"/>
      <c r="P142" s="26" t="str">
        <f aca="false">IF(A142="","",SUMIF(入金明細!$F$5:$F$1004,A142,入金明細!$E$5:$E$1004))</f>
        <v/>
      </c>
      <c r="Q142" s="27" t="str">
        <f aca="false">IF(OR(A142="",N(P142)=0),"",SUMPRODUCT(MAX((入金明細!$F$5:$F$1004=A142)*入金明細!$B$5:$B$1004)))</f>
        <v/>
      </c>
      <c r="R142" s="18"/>
      <c r="S142" s="26" t="str">
        <f aca="false">IF(OR(A142="",I142=""),"",I142-N(P142)-N(R142))</f>
        <v/>
      </c>
      <c r="T142" s="28"/>
      <c r="U142" s="29" t="str">
        <f aca="false">IF(A142="","",IF(T142="取消","取消",IF(W142&lt;&gt;"","要入力",IF(N142="","未送付",IF(S142=0,"入金済",IF(S142&lt;0,"過入金",IF(設定!$C$5&gt;L142,IF(P142&gt;0,"一部入金・超過","期日超過"),IF(P142&gt;0,"一部入金",IF(L142-設定!$C$5&lt;=設定!$C$6,"期日間近","入金待ち")))))))))</f>
        <v/>
      </c>
      <c r="V142" s="30" t="str">
        <f aca="false">IF(OR(U142="期日超過",U142="一部入金・超過"),設定!$C$5-L142,"")</f>
        <v/>
      </c>
      <c r="W142" s="21" t="str">
        <f aca="false">IF(A142="","",TRIM(IF(B142="","請求日 ","")&amp;IF(C142="","取引先 ",IF(D142="コード誤り","取引先コード誤り ",""))&amp;IF(E142="","件名 ","")&amp;IF(F142="","税抜金額 ","")&amp;IF(G142="","税率 ","")&amp;IF(M142="","送付方法 ","")&amp;IF(AND(N142&lt;&gt;"",O142=""),"送付者 ","")&amp;IF(AND(I142&lt;&gt;"",L142=""),"入金期日 ","")&amp;IF(AND(N142&lt;&gt;"",P142&gt;0,S142&lt;=0,X142=""),"消込確認者 ","")))</f>
        <v/>
      </c>
      <c r="X142" s="28"/>
      <c r="Y142" s="28"/>
    </row>
    <row r="143" customFormat="false" ht="15" hidden="false" customHeight="false" outlineLevel="0" collapsed="false">
      <c r="A143" s="21" t="str">
        <f aca="false">IF(COUNTA(B143,C143,E143,F143)=0,"",設定!$C$4&amp;TEXT(ROW()-4,"00000"))</f>
        <v/>
      </c>
      <c r="B143" s="22"/>
      <c r="C143" s="23"/>
      <c r="D143" s="21" t="str">
        <f aca="false">IF(C143="","",IFERROR(INDEX(取引先マスタ!$B$5:$B$204,MATCH($C143,取引先マスタ!$A$5:$A$204,0)),"コード誤り"))</f>
        <v/>
      </c>
      <c r="E143" s="28"/>
      <c r="F143" s="18"/>
      <c r="G143" s="25"/>
      <c r="H143" s="26" t="str">
        <f aca="false">IF(OR(F143="",G143=""),"",ROUNDDOWN(F143*G143,0))</f>
        <v/>
      </c>
      <c r="I143" s="26" t="str">
        <f aca="false">IF(OR(F143="",G143=""),"",F143+H143)</f>
        <v/>
      </c>
      <c r="J143" s="27" t="str">
        <f aca="false">IF(OR(B143="",C143="",D143="コード誤り"),"",IFERROR(DATE(YEAR(B143),MONTH(B143)+INDEX(取引先マスタ!$E$5:$E$204,MATCH($C143,取引先マスタ!$A$5:$A$204,0)),MIN(INDEX(取引先マスタ!$F$5:$F$204,MATCH($C143,取引先マスタ!$A$5:$A$204,0)),DAY(EOMONTH(B143,INDEX(取引先マスタ!$E$5:$E$204,MATCH($C143,取引先マスタ!$A$5:$A$204,0)))))),""))</f>
        <v/>
      </c>
      <c r="K143" s="22"/>
      <c r="L143" s="27" t="str">
        <f aca="false">IF(K143&lt;&gt;"",K143,J143)</f>
        <v/>
      </c>
      <c r="M143" s="28"/>
      <c r="N143" s="22"/>
      <c r="O143" s="28"/>
      <c r="P143" s="26" t="str">
        <f aca="false">IF(A143="","",SUMIF(入金明細!$F$5:$F$1004,A143,入金明細!$E$5:$E$1004))</f>
        <v/>
      </c>
      <c r="Q143" s="27" t="str">
        <f aca="false">IF(OR(A143="",N(P143)=0),"",SUMPRODUCT(MAX((入金明細!$F$5:$F$1004=A143)*入金明細!$B$5:$B$1004)))</f>
        <v/>
      </c>
      <c r="R143" s="18"/>
      <c r="S143" s="26" t="str">
        <f aca="false">IF(OR(A143="",I143=""),"",I143-N(P143)-N(R143))</f>
        <v/>
      </c>
      <c r="T143" s="28"/>
      <c r="U143" s="29" t="str">
        <f aca="false">IF(A143="","",IF(T143="取消","取消",IF(W143&lt;&gt;"","要入力",IF(N143="","未送付",IF(S143=0,"入金済",IF(S143&lt;0,"過入金",IF(設定!$C$5&gt;L143,IF(P143&gt;0,"一部入金・超過","期日超過"),IF(P143&gt;0,"一部入金",IF(L143-設定!$C$5&lt;=設定!$C$6,"期日間近","入金待ち")))))))))</f>
        <v/>
      </c>
      <c r="V143" s="30" t="str">
        <f aca="false">IF(OR(U143="期日超過",U143="一部入金・超過"),設定!$C$5-L143,"")</f>
        <v/>
      </c>
      <c r="W143" s="21" t="str">
        <f aca="false">IF(A143="","",TRIM(IF(B143="","請求日 ","")&amp;IF(C143="","取引先 ",IF(D143="コード誤り","取引先コード誤り ",""))&amp;IF(E143="","件名 ","")&amp;IF(F143="","税抜金額 ","")&amp;IF(G143="","税率 ","")&amp;IF(M143="","送付方法 ","")&amp;IF(AND(N143&lt;&gt;"",O143=""),"送付者 ","")&amp;IF(AND(I143&lt;&gt;"",L143=""),"入金期日 ","")&amp;IF(AND(N143&lt;&gt;"",P143&gt;0,S143&lt;=0,X143=""),"消込確認者 ","")))</f>
        <v/>
      </c>
      <c r="X143" s="28"/>
      <c r="Y143" s="28"/>
    </row>
    <row r="144" customFormat="false" ht="15" hidden="false" customHeight="false" outlineLevel="0" collapsed="false">
      <c r="A144" s="21" t="str">
        <f aca="false">IF(COUNTA(B144,C144,E144,F144)=0,"",設定!$C$4&amp;TEXT(ROW()-4,"00000"))</f>
        <v/>
      </c>
      <c r="B144" s="22"/>
      <c r="C144" s="23"/>
      <c r="D144" s="21" t="str">
        <f aca="false">IF(C144="","",IFERROR(INDEX(取引先マスタ!$B$5:$B$204,MATCH($C144,取引先マスタ!$A$5:$A$204,0)),"コード誤り"))</f>
        <v/>
      </c>
      <c r="E144" s="28"/>
      <c r="F144" s="18"/>
      <c r="G144" s="25"/>
      <c r="H144" s="26" t="str">
        <f aca="false">IF(OR(F144="",G144=""),"",ROUNDDOWN(F144*G144,0))</f>
        <v/>
      </c>
      <c r="I144" s="26" t="str">
        <f aca="false">IF(OR(F144="",G144=""),"",F144+H144)</f>
        <v/>
      </c>
      <c r="J144" s="27" t="str">
        <f aca="false">IF(OR(B144="",C144="",D144="コード誤り"),"",IFERROR(DATE(YEAR(B144),MONTH(B144)+INDEX(取引先マスタ!$E$5:$E$204,MATCH($C144,取引先マスタ!$A$5:$A$204,0)),MIN(INDEX(取引先マスタ!$F$5:$F$204,MATCH($C144,取引先マスタ!$A$5:$A$204,0)),DAY(EOMONTH(B144,INDEX(取引先マスタ!$E$5:$E$204,MATCH($C144,取引先マスタ!$A$5:$A$204,0)))))),""))</f>
        <v/>
      </c>
      <c r="K144" s="22"/>
      <c r="L144" s="27" t="str">
        <f aca="false">IF(K144&lt;&gt;"",K144,J144)</f>
        <v/>
      </c>
      <c r="M144" s="28"/>
      <c r="N144" s="22"/>
      <c r="O144" s="28"/>
      <c r="P144" s="26" t="str">
        <f aca="false">IF(A144="","",SUMIF(入金明細!$F$5:$F$1004,A144,入金明細!$E$5:$E$1004))</f>
        <v/>
      </c>
      <c r="Q144" s="27" t="str">
        <f aca="false">IF(OR(A144="",N(P144)=0),"",SUMPRODUCT(MAX((入金明細!$F$5:$F$1004=A144)*入金明細!$B$5:$B$1004)))</f>
        <v/>
      </c>
      <c r="R144" s="18"/>
      <c r="S144" s="26" t="str">
        <f aca="false">IF(OR(A144="",I144=""),"",I144-N(P144)-N(R144))</f>
        <v/>
      </c>
      <c r="T144" s="28"/>
      <c r="U144" s="29" t="str">
        <f aca="false">IF(A144="","",IF(T144="取消","取消",IF(W144&lt;&gt;"","要入力",IF(N144="","未送付",IF(S144=0,"入金済",IF(S144&lt;0,"過入金",IF(設定!$C$5&gt;L144,IF(P144&gt;0,"一部入金・超過","期日超過"),IF(P144&gt;0,"一部入金",IF(L144-設定!$C$5&lt;=設定!$C$6,"期日間近","入金待ち")))))))))</f>
        <v/>
      </c>
      <c r="V144" s="30" t="str">
        <f aca="false">IF(OR(U144="期日超過",U144="一部入金・超過"),設定!$C$5-L144,"")</f>
        <v/>
      </c>
      <c r="W144" s="21" t="str">
        <f aca="false">IF(A144="","",TRIM(IF(B144="","請求日 ","")&amp;IF(C144="","取引先 ",IF(D144="コード誤り","取引先コード誤り ",""))&amp;IF(E144="","件名 ","")&amp;IF(F144="","税抜金額 ","")&amp;IF(G144="","税率 ","")&amp;IF(M144="","送付方法 ","")&amp;IF(AND(N144&lt;&gt;"",O144=""),"送付者 ","")&amp;IF(AND(I144&lt;&gt;"",L144=""),"入金期日 ","")&amp;IF(AND(N144&lt;&gt;"",P144&gt;0,S144&lt;=0,X144=""),"消込確認者 ","")))</f>
        <v/>
      </c>
      <c r="X144" s="28"/>
      <c r="Y144" s="28"/>
    </row>
    <row r="145" customFormat="false" ht="15" hidden="false" customHeight="false" outlineLevel="0" collapsed="false">
      <c r="A145" s="21" t="str">
        <f aca="false">IF(COUNTA(B145,C145,E145,F145)=0,"",設定!$C$4&amp;TEXT(ROW()-4,"00000"))</f>
        <v/>
      </c>
      <c r="B145" s="22"/>
      <c r="C145" s="23"/>
      <c r="D145" s="21" t="str">
        <f aca="false">IF(C145="","",IFERROR(INDEX(取引先マスタ!$B$5:$B$204,MATCH($C145,取引先マスタ!$A$5:$A$204,0)),"コード誤り"))</f>
        <v/>
      </c>
      <c r="E145" s="28"/>
      <c r="F145" s="18"/>
      <c r="G145" s="25"/>
      <c r="H145" s="26" t="str">
        <f aca="false">IF(OR(F145="",G145=""),"",ROUNDDOWN(F145*G145,0))</f>
        <v/>
      </c>
      <c r="I145" s="26" t="str">
        <f aca="false">IF(OR(F145="",G145=""),"",F145+H145)</f>
        <v/>
      </c>
      <c r="J145" s="27" t="str">
        <f aca="false">IF(OR(B145="",C145="",D145="コード誤り"),"",IFERROR(DATE(YEAR(B145),MONTH(B145)+INDEX(取引先マスタ!$E$5:$E$204,MATCH($C145,取引先マスタ!$A$5:$A$204,0)),MIN(INDEX(取引先マスタ!$F$5:$F$204,MATCH($C145,取引先マスタ!$A$5:$A$204,0)),DAY(EOMONTH(B145,INDEX(取引先マスタ!$E$5:$E$204,MATCH($C145,取引先マスタ!$A$5:$A$204,0)))))),""))</f>
        <v/>
      </c>
      <c r="K145" s="22"/>
      <c r="L145" s="27" t="str">
        <f aca="false">IF(K145&lt;&gt;"",K145,J145)</f>
        <v/>
      </c>
      <c r="M145" s="28"/>
      <c r="N145" s="22"/>
      <c r="O145" s="28"/>
      <c r="P145" s="26" t="str">
        <f aca="false">IF(A145="","",SUMIF(入金明細!$F$5:$F$1004,A145,入金明細!$E$5:$E$1004))</f>
        <v/>
      </c>
      <c r="Q145" s="27" t="str">
        <f aca="false">IF(OR(A145="",N(P145)=0),"",SUMPRODUCT(MAX((入金明細!$F$5:$F$1004=A145)*入金明細!$B$5:$B$1004)))</f>
        <v/>
      </c>
      <c r="R145" s="18"/>
      <c r="S145" s="26" t="str">
        <f aca="false">IF(OR(A145="",I145=""),"",I145-N(P145)-N(R145))</f>
        <v/>
      </c>
      <c r="T145" s="28"/>
      <c r="U145" s="29" t="str">
        <f aca="false">IF(A145="","",IF(T145="取消","取消",IF(W145&lt;&gt;"","要入力",IF(N145="","未送付",IF(S145=0,"入金済",IF(S145&lt;0,"過入金",IF(設定!$C$5&gt;L145,IF(P145&gt;0,"一部入金・超過","期日超過"),IF(P145&gt;0,"一部入金",IF(L145-設定!$C$5&lt;=設定!$C$6,"期日間近","入金待ち")))))))))</f>
        <v/>
      </c>
      <c r="V145" s="30" t="str">
        <f aca="false">IF(OR(U145="期日超過",U145="一部入金・超過"),設定!$C$5-L145,"")</f>
        <v/>
      </c>
      <c r="W145" s="21" t="str">
        <f aca="false">IF(A145="","",TRIM(IF(B145="","請求日 ","")&amp;IF(C145="","取引先 ",IF(D145="コード誤り","取引先コード誤り ",""))&amp;IF(E145="","件名 ","")&amp;IF(F145="","税抜金額 ","")&amp;IF(G145="","税率 ","")&amp;IF(M145="","送付方法 ","")&amp;IF(AND(N145&lt;&gt;"",O145=""),"送付者 ","")&amp;IF(AND(I145&lt;&gt;"",L145=""),"入金期日 ","")&amp;IF(AND(N145&lt;&gt;"",P145&gt;0,S145&lt;=0,X145=""),"消込確認者 ","")))</f>
        <v/>
      </c>
      <c r="X145" s="28"/>
      <c r="Y145" s="28"/>
    </row>
    <row r="146" customFormat="false" ht="15" hidden="false" customHeight="false" outlineLevel="0" collapsed="false">
      <c r="A146" s="21" t="str">
        <f aca="false">IF(COUNTA(B146,C146,E146,F146)=0,"",設定!$C$4&amp;TEXT(ROW()-4,"00000"))</f>
        <v/>
      </c>
      <c r="B146" s="22"/>
      <c r="C146" s="23"/>
      <c r="D146" s="21" t="str">
        <f aca="false">IF(C146="","",IFERROR(INDEX(取引先マスタ!$B$5:$B$204,MATCH($C146,取引先マスタ!$A$5:$A$204,0)),"コード誤り"))</f>
        <v/>
      </c>
      <c r="E146" s="28"/>
      <c r="F146" s="18"/>
      <c r="G146" s="25"/>
      <c r="H146" s="26" t="str">
        <f aca="false">IF(OR(F146="",G146=""),"",ROUNDDOWN(F146*G146,0))</f>
        <v/>
      </c>
      <c r="I146" s="26" t="str">
        <f aca="false">IF(OR(F146="",G146=""),"",F146+H146)</f>
        <v/>
      </c>
      <c r="J146" s="27" t="str">
        <f aca="false">IF(OR(B146="",C146="",D146="コード誤り"),"",IFERROR(DATE(YEAR(B146),MONTH(B146)+INDEX(取引先マスタ!$E$5:$E$204,MATCH($C146,取引先マスタ!$A$5:$A$204,0)),MIN(INDEX(取引先マスタ!$F$5:$F$204,MATCH($C146,取引先マスタ!$A$5:$A$204,0)),DAY(EOMONTH(B146,INDEX(取引先マスタ!$E$5:$E$204,MATCH($C146,取引先マスタ!$A$5:$A$204,0)))))),""))</f>
        <v/>
      </c>
      <c r="K146" s="22"/>
      <c r="L146" s="27" t="str">
        <f aca="false">IF(K146&lt;&gt;"",K146,J146)</f>
        <v/>
      </c>
      <c r="M146" s="28"/>
      <c r="N146" s="22"/>
      <c r="O146" s="28"/>
      <c r="P146" s="26" t="str">
        <f aca="false">IF(A146="","",SUMIF(入金明細!$F$5:$F$1004,A146,入金明細!$E$5:$E$1004))</f>
        <v/>
      </c>
      <c r="Q146" s="27" t="str">
        <f aca="false">IF(OR(A146="",N(P146)=0),"",SUMPRODUCT(MAX((入金明細!$F$5:$F$1004=A146)*入金明細!$B$5:$B$1004)))</f>
        <v/>
      </c>
      <c r="R146" s="18"/>
      <c r="S146" s="26" t="str">
        <f aca="false">IF(OR(A146="",I146=""),"",I146-N(P146)-N(R146))</f>
        <v/>
      </c>
      <c r="T146" s="28"/>
      <c r="U146" s="29" t="str">
        <f aca="false">IF(A146="","",IF(T146="取消","取消",IF(W146&lt;&gt;"","要入力",IF(N146="","未送付",IF(S146=0,"入金済",IF(S146&lt;0,"過入金",IF(設定!$C$5&gt;L146,IF(P146&gt;0,"一部入金・超過","期日超過"),IF(P146&gt;0,"一部入金",IF(L146-設定!$C$5&lt;=設定!$C$6,"期日間近","入金待ち")))))))))</f>
        <v/>
      </c>
      <c r="V146" s="30" t="str">
        <f aca="false">IF(OR(U146="期日超過",U146="一部入金・超過"),設定!$C$5-L146,"")</f>
        <v/>
      </c>
      <c r="W146" s="21" t="str">
        <f aca="false">IF(A146="","",TRIM(IF(B146="","請求日 ","")&amp;IF(C146="","取引先 ",IF(D146="コード誤り","取引先コード誤り ",""))&amp;IF(E146="","件名 ","")&amp;IF(F146="","税抜金額 ","")&amp;IF(G146="","税率 ","")&amp;IF(M146="","送付方法 ","")&amp;IF(AND(N146&lt;&gt;"",O146=""),"送付者 ","")&amp;IF(AND(I146&lt;&gt;"",L146=""),"入金期日 ","")&amp;IF(AND(N146&lt;&gt;"",P146&gt;0,S146&lt;=0,X146=""),"消込確認者 ","")))</f>
        <v/>
      </c>
      <c r="X146" s="28"/>
      <c r="Y146" s="28"/>
    </row>
    <row r="147" customFormat="false" ht="15" hidden="false" customHeight="false" outlineLevel="0" collapsed="false">
      <c r="A147" s="21" t="str">
        <f aca="false">IF(COUNTA(B147,C147,E147,F147)=0,"",設定!$C$4&amp;TEXT(ROW()-4,"00000"))</f>
        <v/>
      </c>
      <c r="B147" s="22"/>
      <c r="C147" s="23"/>
      <c r="D147" s="21" t="str">
        <f aca="false">IF(C147="","",IFERROR(INDEX(取引先マスタ!$B$5:$B$204,MATCH($C147,取引先マスタ!$A$5:$A$204,0)),"コード誤り"))</f>
        <v/>
      </c>
      <c r="E147" s="28"/>
      <c r="F147" s="18"/>
      <c r="G147" s="25"/>
      <c r="H147" s="26" t="str">
        <f aca="false">IF(OR(F147="",G147=""),"",ROUNDDOWN(F147*G147,0))</f>
        <v/>
      </c>
      <c r="I147" s="26" t="str">
        <f aca="false">IF(OR(F147="",G147=""),"",F147+H147)</f>
        <v/>
      </c>
      <c r="J147" s="27" t="str">
        <f aca="false">IF(OR(B147="",C147="",D147="コード誤り"),"",IFERROR(DATE(YEAR(B147),MONTH(B147)+INDEX(取引先マスタ!$E$5:$E$204,MATCH($C147,取引先マスタ!$A$5:$A$204,0)),MIN(INDEX(取引先マスタ!$F$5:$F$204,MATCH($C147,取引先マスタ!$A$5:$A$204,0)),DAY(EOMONTH(B147,INDEX(取引先マスタ!$E$5:$E$204,MATCH($C147,取引先マスタ!$A$5:$A$204,0)))))),""))</f>
        <v/>
      </c>
      <c r="K147" s="22"/>
      <c r="L147" s="27" t="str">
        <f aca="false">IF(K147&lt;&gt;"",K147,J147)</f>
        <v/>
      </c>
      <c r="M147" s="28"/>
      <c r="N147" s="22"/>
      <c r="O147" s="28"/>
      <c r="P147" s="26" t="str">
        <f aca="false">IF(A147="","",SUMIF(入金明細!$F$5:$F$1004,A147,入金明細!$E$5:$E$1004))</f>
        <v/>
      </c>
      <c r="Q147" s="27" t="str">
        <f aca="false">IF(OR(A147="",N(P147)=0),"",SUMPRODUCT(MAX((入金明細!$F$5:$F$1004=A147)*入金明細!$B$5:$B$1004)))</f>
        <v/>
      </c>
      <c r="R147" s="18"/>
      <c r="S147" s="26" t="str">
        <f aca="false">IF(OR(A147="",I147=""),"",I147-N(P147)-N(R147))</f>
        <v/>
      </c>
      <c r="T147" s="28"/>
      <c r="U147" s="29" t="str">
        <f aca="false">IF(A147="","",IF(T147="取消","取消",IF(W147&lt;&gt;"","要入力",IF(N147="","未送付",IF(S147=0,"入金済",IF(S147&lt;0,"過入金",IF(設定!$C$5&gt;L147,IF(P147&gt;0,"一部入金・超過","期日超過"),IF(P147&gt;0,"一部入金",IF(L147-設定!$C$5&lt;=設定!$C$6,"期日間近","入金待ち")))))))))</f>
        <v/>
      </c>
      <c r="V147" s="30" t="str">
        <f aca="false">IF(OR(U147="期日超過",U147="一部入金・超過"),設定!$C$5-L147,"")</f>
        <v/>
      </c>
      <c r="W147" s="21" t="str">
        <f aca="false">IF(A147="","",TRIM(IF(B147="","請求日 ","")&amp;IF(C147="","取引先 ",IF(D147="コード誤り","取引先コード誤り ",""))&amp;IF(E147="","件名 ","")&amp;IF(F147="","税抜金額 ","")&amp;IF(G147="","税率 ","")&amp;IF(M147="","送付方法 ","")&amp;IF(AND(N147&lt;&gt;"",O147=""),"送付者 ","")&amp;IF(AND(I147&lt;&gt;"",L147=""),"入金期日 ","")&amp;IF(AND(N147&lt;&gt;"",P147&gt;0,S147&lt;=0,X147=""),"消込確認者 ","")))</f>
        <v/>
      </c>
      <c r="X147" s="28"/>
      <c r="Y147" s="28"/>
    </row>
    <row r="148" customFormat="false" ht="15" hidden="false" customHeight="false" outlineLevel="0" collapsed="false">
      <c r="A148" s="21" t="str">
        <f aca="false">IF(COUNTA(B148,C148,E148,F148)=0,"",設定!$C$4&amp;TEXT(ROW()-4,"00000"))</f>
        <v/>
      </c>
      <c r="B148" s="22"/>
      <c r="C148" s="23"/>
      <c r="D148" s="21" t="str">
        <f aca="false">IF(C148="","",IFERROR(INDEX(取引先マスタ!$B$5:$B$204,MATCH($C148,取引先マスタ!$A$5:$A$204,0)),"コード誤り"))</f>
        <v/>
      </c>
      <c r="E148" s="28"/>
      <c r="F148" s="18"/>
      <c r="G148" s="25"/>
      <c r="H148" s="26" t="str">
        <f aca="false">IF(OR(F148="",G148=""),"",ROUNDDOWN(F148*G148,0))</f>
        <v/>
      </c>
      <c r="I148" s="26" t="str">
        <f aca="false">IF(OR(F148="",G148=""),"",F148+H148)</f>
        <v/>
      </c>
      <c r="J148" s="27" t="str">
        <f aca="false">IF(OR(B148="",C148="",D148="コード誤り"),"",IFERROR(DATE(YEAR(B148),MONTH(B148)+INDEX(取引先マスタ!$E$5:$E$204,MATCH($C148,取引先マスタ!$A$5:$A$204,0)),MIN(INDEX(取引先マスタ!$F$5:$F$204,MATCH($C148,取引先マスタ!$A$5:$A$204,0)),DAY(EOMONTH(B148,INDEX(取引先マスタ!$E$5:$E$204,MATCH($C148,取引先マスタ!$A$5:$A$204,0)))))),""))</f>
        <v/>
      </c>
      <c r="K148" s="22"/>
      <c r="L148" s="27" t="str">
        <f aca="false">IF(K148&lt;&gt;"",K148,J148)</f>
        <v/>
      </c>
      <c r="M148" s="28"/>
      <c r="N148" s="22"/>
      <c r="O148" s="28"/>
      <c r="P148" s="26" t="str">
        <f aca="false">IF(A148="","",SUMIF(入金明細!$F$5:$F$1004,A148,入金明細!$E$5:$E$1004))</f>
        <v/>
      </c>
      <c r="Q148" s="27" t="str">
        <f aca="false">IF(OR(A148="",N(P148)=0),"",SUMPRODUCT(MAX((入金明細!$F$5:$F$1004=A148)*入金明細!$B$5:$B$1004)))</f>
        <v/>
      </c>
      <c r="R148" s="18"/>
      <c r="S148" s="26" t="str">
        <f aca="false">IF(OR(A148="",I148=""),"",I148-N(P148)-N(R148))</f>
        <v/>
      </c>
      <c r="T148" s="28"/>
      <c r="U148" s="29" t="str">
        <f aca="false">IF(A148="","",IF(T148="取消","取消",IF(W148&lt;&gt;"","要入力",IF(N148="","未送付",IF(S148=0,"入金済",IF(S148&lt;0,"過入金",IF(設定!$C$5&gt;L148,IF(P148&gt;0,"一部入金・超過","期日超過"),IF(P148&gt;0,"一部入金",IF(L148-設定!$C$5&lt;=設定!$C$6,"期日間近","入金待ち")))))))))</f>
        <v/>
      </c>
      <c r="V148" s="30" t="str">
        <f aca="false">IF(OR(U148="期日超過",U148="一部入金・超過"),設定!$C$5-L148,"")</f>
        <v/>
      </c>
      <c r="W148" s="21" t="str">
        <f aca="false">IF(A148="","",TRIM(IF(B148="","請求日 ","")&amp;IF(C148="","取引先 ",IF(D148="コード誤り","取引先コード誤り ",""))&amp;IF(E148="","件名 ","")&amp;IF(F148="","税抜金額 ","")&amp;IF(G148="","税率 ","")&amp;IF(M148="","送付方法 ","")&amp;IF(AND(N148&lt;&gt;"",O148=""),"送付者 ","")&amp;IF(AND(I148&lt;&gt;"",L148=""),"入金期日 ","")&amp;IF(AND(N148&lt;&gt;"",P148&gt;0,S148&lt;=0,X148=""),"消込確認者 ","")))</f>
        <v/>
      </c>
      <c r="X148" s="28"/>
      <c r="Y148" s="28"/>
    </row>
    <row r="149" customFormat="false" ht="15" hidden="false" customHeight="false" outlineLevel="0" collapsed="false">
      <c r="A149" s="21" t="str">
        <f aca="false">IF(COUNTA(B149,C149,E149,F149)=0,"",設定!$C$4&amp;TEXT(ROW()-4,"00000"))</f>
        <v/>
      </c>
      <c r="B149" s="22"/>
      <c r="C149" s="23"/>
      <c r="D149" s="21" t="str">
        <f aca="false">IF(C149="","",IFERROR(INDEX(取引先マスタ!$B$5:$B$204,MATCH($C149,取引先マスタ!$A$5:$A$204,0)),"コード誤り"))</f>
        <v/>
      </c>
      <c r="E149" s="28"/>
      <c r="F149" s="18"/>
      <c r="G149" s="25"/>
      <c r="H149" s="26" t="str">
        <f aca="false">IF(OR(F149="",G149=""),"",ROUNDDOWN(F149*G149,0))</f>
        <v/>
      </c>
      <c r="I149" s="26" t="str">
        <f aca="false">IF(OR(F149="",G149=""),"",F149+H149)</f>
        <v/>
      </c>
      <c r="J149" s="27" t="str">
        <f aca="false">IF(OR(B149="",C149="",D149="コード誤り"),"",IFERROR(DATE(YEAR(B149),MONTH(B149)+INDEX(取引先マスタ!$E$5:$E$204,MATCH($C149,取引先マスタ!$A$5:$A$204,0)),MIN(INDEX(取引先マスタ!$F$5:$F$204,MATCH($C149,取引先マスタ!$A$5:$A$204,0)),DAY(EOMONTH(B149,INDEX(取引先マスタ!$E$5:$E$204,MATCH($C149,取引先マスタ!$A$5:$A$204,0)))))),""))</f>
        <v/>
      </c>
      <c r="K149" s="22"/>
      <c r="L149" s="27" t="str">
        <f aca="false">IF(K149&lt;&gt;"",K149,J149)</f>
        <v/>
      </c>
      <c r="M149" s="28"/>
      <c r="N149" s="22"/>
      <c r="O149" s="28"/>
      <c r="P149" s="26" t="str">
        <f aca="false">IF(A149="","",SUMIF(入金明細!$F$5:$F$1004,A149,入金明細!$E$5:$E$1004))</f>
        <v/>
      </c>
      <c r="Q149" s="27" t="str">
        <f aca="false">IF(OR(A149="",N(P149)=0),"",SUMPRODUCT(MAX((入金明細!$F$5:$F$1004=A149)*入金明細!$B$5:$B$1004)))</f>
        <v/>
      </c>
      <c r="R149" s="18"/>
      <c r="S149" s="26" t="str">
        <f aca="false">IF(OR(A149="",I149=""),"",I149-N(P149)-N(R149))</f>
        <v/>
      </c>
      <c r="T149" s="28"/>
      <c r="U149" s="29" t="str">
        <f aca="false">IF(A149="","",IF(T149="取消","取消",IF(W149&lt;&gt;"","要入力",IF(N149="","未送付",IF(S149=0,"入金済",IF(S149&lt;0,"過入金",IF(設定!$C$5&gt;L149,IF(P149&gt;0,"一部入金・超過","期日超過"),IF(P149&gt;0,"一部入金",IF(L149-設定!$C$5&lt;=設定!$C$6,"期日間近","入金待ち")))))))))</f>
        <v/>
      </c>
      <c r="V149" s="30" t="str">
        <f aca="false">IF(OR(U149="期日超過",U149="一部入金・超過"),設定!$C$5-L149,"")</f>
        <v/>
      </c>
      <c r="W149" s="21" t="str">
        <f aca="false">IF(A149="","",TRIM(IF(B149="","請求日 ","")&amp;IF(C149="","取引先 ",IF(D149="コード誤り","取引先コード誤り ",""))&amp;IF(E149="","件名 ","")&amp;IF(F149="","税抜金額 ","")&amp;IF(G149="","税率 ","")&amp;IF(M149="","送付方法 ","")&amp;IF(AND(N149&lt;&gt;"",O149=""),"送付者 ","")&amp;IF(AND(I149&lt;&gt;"",L149=""),"入金期日 ","")&amp;IF(AND(N149&lt;&gt;"",P149&gt;0,S149&lt;=0,X149=""),"消込確認者 ","")))</f>
        <v/>
      </c>
      <c r="X149" s="28"/>
      <c r="Y149" s="28"/>
    </row>
    <row r="150" customFormat="false" ht="15" hidden="false" customHeight="false" outlineLevel="0" collapsed="false">
      <c r="A150" s="21" t="str">
        <f aca="false">IF(COUNTA(B150,C150,E150,F150)=0,"",設定!$C$4&amp;TEXT(ROW()-4,"00000"))</f>
        <v/>
      </c>
      <c r="B150" s="22"/>
      <c r="C150" s="23"/>
      <c r="D150" s="21" t="str">
        <f aca="false">IF(C150="","",IFERROR(INDEX(取引先マスタ!$B$5:$B$204,MATCH($C150,取引先マスタ!$A$5:$A$204,0)),"コード誤り"))</f>
        <v/>
      </c>
      <c r="E150" s="28"/>
      <c r="F150" s="18"/>
      <c r="G150" s="25"/>
      <c r="H150" s="26" t="str">
        <f aca="false">IF(OR(F150="",G150=""),"",ROUNDDOWN(F150*G150,0))</f>
        <v/>
      </c>
      <c r="I150" s="26" t="str">
        <f aca="false">IF(OR(F150="",G150=""),"",F150+H150)</f>
        <v/>
      </c>
      <c r="J150" s="27" t="str">
        <f aca="false">IF(OR(B150="",C150="",D150="コード誤り"),"",IFERROR(DATE(YEAR(B150),MONTH(B150)+INDEX(取引先マスタ!$E$5:$E$204,MATCH($C150,取引先マスタ!$A$5:$A$204,0)),MIN(INDEX(取引先マスタ!$F$5:$F$204,MATCH($C150,取引先マスタ!$A$5:$A$204,0)),DAY(EOMONTH(B150,INDEX(取引先マスタ!$E$5:$E$204,MATCH($C150,取引先マスタ!$A$5:$A$204,0)))))),""))</f>
        <v/>
      </c>
      <c r="K150" s="22"/>
      <c r="L150" s="27" t="str">
        <f aca="false">IF(K150&lt;&gt;"",K150,J150)</f>
        <v/>
      </c>
      <c r="M150" s="28"/>
      <c r="N150" s="22"/>
      <c r="O150" s="28"/>
      <c r="P150" s="26" t="str">
        <f aca="false">IF(A150="","",SUMIF(入金明細!$F$5:$F$1004,A150,入金明細!$E$5:$E$1004))</f>
        <v/>
      </c>
      <c r="Q150" s="27" t="str">
        <f aca="false">IF(OR(A150="",N(P150)=0),"",SUMPRODUCT(MAX((入金明細!$F$5:$F$1004=A150)*入金明細!$B$5:$B$1004)))</f>
        <v/>
      </c>
      <c r="R150" s="18"/>
      <c r="S150" s="26" t="str">
        <f aca="false">IF(OR(A150="",I150=""),"",I150-N(P150)-N(R150))</f>
        <v/>
      </c>
      <c r="T150" s="28"/>
      <c r="U150" s="29" t="str">
        <f aca="false">IF(A150="","",IF(T150="取消","取消",IF(W150&lt;&gt;"","要入力",IF(N150="","未送付",IF(S150=0,"入金済",IF(S150&lt;0,"過入金",IF(設定!$C$5&gt;L150,IF(P150&gt;0,"一部入金・超過","期日超過"),IF(P150&gt;0,"一部入金",IF(L150-設定!$C$5&lt;=設定!$C$6,"期日間近","入金待ち")))))))))</f>
        <v/>
      </c>
      <c r="V150" s="30" t="str">
        <f aca="false">IF(OR(U150="期日超過",U150="一部入金・超過"),設定!$C$5-L150,"")</f>
        <v/>
      </c>
      <c r="W150" s="21" t="str">
        <f aca="false">IF(A150="","",TRIM(IF(B150="","請求日 ","")&amp;IF(C150="","取引先 ",IF(D150="コード誤り","取引先コード誤り ",""))&amp;IF(E150="","件名 ","")&amp;IF(F150="","税抜金額 ","")&amp;IF(G150="","税率 ","")&amp;IF(M150="","送付方法 ","")&amp;IF(AND(N150&lt;&gt;"",O150=""),"送付者 ","")&amp;IF(AND(I150&lt;&gt;"",L150=""),"入金期日 ","")&amp;IF(AND(N150&lt;&gt;"",P150&gt;0,S150&lt;=0,X150=""),"消込確認者 ","")))</f>
        <v/>
      </c>
      <c r="X150" s="28"/>
      <c r="Y150" s="28"/>
    </row>
    <row r="151" customFormat="false" ht="15" hidden="false" customHeight="false" outlineLevel="0" collapsed="false">
      <c r="A151" s="21" t="str">
        <f aca="false">IF(COUNTA(B151,C151,E151,F151)=0,"",設定!$C$4&amp;TEXT(ROW()-4,"00000"))</f>
        <v/>
      </c>
      <c r="B151" s="22"/>
      <c r="C151" s="23"/>
      <c r="D151" s="21" t="str">
        <f aca="false">IF(C151="","",IFERROR(INDEX(取引先マスタ!$B$5:$B$204,MATCH($C151,取引先マスタ!$A$5:$A$204,0)),"コード誤り"))</f>
        <v/>
      </c>
      <c r="E151" s="28"/>
      <c r="F151" s="18"/>
      <c r="G151" s="25"/>
      <c r="H151" s="26" t="str">
        <f aca="false">IF(OR(F151="",G151=""),"",ROUNDDOWN(F151*G151,0))</f>
        <v/>
      </c>
      <c r="I151" s="26" t="str">
        <f aca="false">IF(OR(F151="",G151=""),"",F151+H151)</f>
        <v/>
      </c>
      <c r="J151" s="27" t="str">
        <f aca="false">IF(OR(B151="",C151="",D151="コード誤り"),"",IFERROR(DATE(YEAR(B151),MONTH(B151)+INDEX(取引先マスタ!$E$5:$E$204,MATCH($C151,取引先マスタ!$A$5:$A$204,0)),MIN(INDEX(取引先マスタ!$F$5:$F$204,MATCH($C151,取引先マスタ!$A$5:$A$204,0)),DAY(EOMONTH(B151,INDEX(取引先マスタ!$E$5:$E$204,MATCH($C151,取引先マスタ!$A$5:$A$204,0)))))),""))</f>
        <v/>
      </c>
      <c r="K151" s="22"/>
      <c r="L151" s="27" t="str">
        <f aca="false">IF(K151&lt;&gt;"",K151,J151)</f>
        <v/>
      </c>
      <c r="M151" s="28"/>
      <c r="N151" s="22"/>
      <c r="O151" s="28"/>
      <c r="P151" s="26" t="str">
        <f aca="false">IF(A151="","",SUMIF(入金明細!$F$5:$F$1004,A151,入金明細!$E$5:$E$1004))</f>
        <v/>
      </c>
      <c r="Q151" s="27" t="str">
        <f aca="false">IF(OR(A151="",N(P151)=0),"",SUMPRODUCT(MAX((入金明細!$F$5:$F$1004=A151)*入金明細!$B$5:$B$1004)))</f>
        <v/>
      </c>
      <c r="R151" s="18"/>
      <c r="S151" s="26" t="str">
        <f aca="false">IF(OR(A151="",I151=""),"",I151-N(P151)-N(R151))</f>
        <v/>
      </c>
      <c r="T151" s="28"/>
      <c r="U151" s="29" t="str">
        <f aca="false">IF(A151="","",IF(T151="取消","取消",IF(W151&lt;&gt;"","要入力",IF(N151="","未送付",IF(S151=0,"入金済",IF(S151&lt;0,"過入金",IF(設定!$C$5&gt;L151,IF(P151&gt;0,"一部入金・超過","期日超過"),IF(P151&gt;0,"一部入金",IF(L151-設定!$C$5&lt;=設定!$C$6,"期日間近","入金待ち")))))))))</f>
        <v/>
      </c>
      <c r="V151" s="30" t="str">
        <f aca="false">IF(OR(U151="期日超過",U151="一部入金・超過"),設定!$C$5-L151,"")</f>
        <v/>
      </c>
      <c r="W151" s="21" t="str">
        <f aca="false">IF(A151="","",TRIM(IF(B151="","請求日 ","")&amp;IF(C151="","取引先 ",IF(D151="コード誤り","取引先コード誤り ",""))&amp;IF(E151="","件名 ","")&amp;IF(F151="","税抜金額 ","")&amp;IF(G151="","税率 ","")&amp;IF(M151="","送付方法 ","")&amp;IF(AND(N151&lt;&gt;"",O151=""),"送付者 ","")&amp;IF(AND(I151&lt;&gt;"",L151=""),"入金期日 ","")&amp;IF(AND(N151&lt;&gt;"",P151&gt;0,S151&lt;=0,X151=""),"消込確認者 ","")))</f>
        <v/>
      </c>
      <c r="X151" s="28"/>
      <c r="Y151" s="28"/>
    </row>
    <row r="152" customFormat="false" ht="15" hidden="false" customHeight="false" outlineLevel="0" collapsed="false">
      <c r="A152" s="21" t="str">
        <f aca="false">IF(COUNTA(B152,C152,E152,F152)=0,"",設定!$C$4&amp;TEXT(ROW()-4,"00000"))</f>
        <v/>
      </c>
      <c r="B152" s="22"/>
      <c r="C152" s="23"/>
      <c r="D152" s="21" t="str">
        <f aca="false">IF(C152="","",IFERROR(INDEX(取引先マスタ!$B$5:$B$204,MATCH($C152,取引先マスタ!$A$5:$A$204,0)),"コード誤り"))</f>
        <v/>
      </c>
      <c r="E152" s="28"/>
      <c r="F152" s="18"/>
      <c r="G152" s="25"/>
      <c r="H152" s="26" t="str">
        <f aca="false">IF(OR(F152="",G152=""),"",ROUNDDOWN(F152*G152,0))</f>
        <v/>
      </c>
      <c r="I152" s="26" t="str">
        <f aca="false">IF(OR(F152="",G152=""),"",F152+H152)</f>
        <v/>
      </c>
      <c r="J152" s="27" t="str">
        <f aca="false">IF(OR(B152="",C152="",D152="コード誤り"),"",IFERROR(DATE(YEAR(B152),MONTH(B152)+INDEX(取引先マスタ!$E$5:$E$204,MATCH($C152,取引先マスタ!$A$5:$A$204,0)),MIN(INDEX(取引先マスタ!$F$5:$F$204,MATCH($C152,取引先マスタ!$A$5:$A$204,0)),DAY(EOMONTH(B152,INDEX(取引先マスタ!$E$5:$E$204,MATCH($C152,取引先マスタ!$A$5:$A$204,0)))))),""))</f>
        <v/>
      </c>
      <c r="K152" s="22"/>
      <c r="L152" s="27" t="str">
        <f aca="false">IF(K152&lt;&gt;"",K152,J152)</f>
        <v/>
      </c>
      <c r="M152" s="28"/>
      <c r="N152" s="22"/>
      <c r="O152" s="28"/>
      <c r="P152" s="26" t="str">
        <f aca="false">IF(A152="","",SUMIF(入金明細!$F$5:$F$1004,A152,入金明細!$E$5:$E$1004))</f>
        <v/>
      </c>
      <c r="Q152" s="27" t="str">
        <f aca="false">IF(OR(A152="",N(P152)=0),"",SUMPRODUCT(MAX((入金明細!$F$5:$F$1004=A152)*入金明細!$B$5:$B$1004)))</f>
        <v/>
      </c>
      <c r="R152" s="18"/>
      <c r="S152" s="26" t="str">
        <f aca="false">IF(OR(A152="",I152=""),"",I152-N(P152)-N(R152))</f>
        <v/>
      </c>
      <c r="T152" s="28"/>
      <c r="U152" s="29" t="str">
        <f aca="false">IF(A152="","",IF(T152="取消","取消",IF(W152&lt;&gt;"","要入力",IF(N152="","未送付",IF(S152=0,"入金済",IF(S152&lt;0,"過入金",IF(設定!$C$5&gt;L152,IF(P152&gt;0,"一部入金・超過","期日超過"),IF(P152&gt;0,"一部入金",IF(L152-設定!$C$5&lt;=設定!$C$6,"期日間近","入金待ち")))))))))</f>
        <v/>
      </c>
      <c r="V152" s="30" t="str">
        <f aca="false">IF(OR(U152="期日超過",U152="一部入金・超過"),設定!$C$5-L152,"")</f>
        <v/>
      </c>
      <c r="W152" s="21" t="str">
        <f aca="false">IF(A152="","",TRIM(IF(B152="","請求日 ","")&amp;IF(C152="","取引先 ",IF(D152="コード誤り","取引先コード誤り ",""))&amp;IF(E152="","件名 ","")&amp;IF(F152="","税抜金額 ","")&amp;IF(G152="","税率 ","")&amp;IF(M152="","送付方法 ","")&amp;IF(AND(N152&lt;&gt;"",O152=""),"送付者 ","")&amp;IF(AND(I152&lt;&gt;"",L152=""),"入金期日 ","")&amp;IF(AND(N152&lt;&gt;"",P152&gt;0,S152&lt;=0,X152=""),"消込確認者 ","")))</f>
        <v/>
      </c>
      <c r="X152" s="28"/>
      <c r="Y152" s="28"/>
    </row>
    <row r="153" customFormat="false" ht="15" hidden="false" customHeight="false" outlineLevel="0" collapsed="false">
      <c r="A153" s="21" t="str">
        <f aca="false">IF(COUNTA(B153,C153,E153,F153)=0,"",設定!$C$4&amp;TEXT(ROW()-4,"00000"))</f>
        <v/>
      </c>
      <c r="B153" s="22"/>
      <c r="C153" s="23"/>
      <c r="D153" s="21" t="str">
        <f aca="false">IF(C153="","",IFERROR(INDEX(取引先マスタ!$B$5:$B$204,MATCH($C153,取引先マスタ!$A$5:$A$204,0)),"コード誤り"))</f>
        <v/>
      </c>
      <c r="E153" s="28"/>
      <c r="F153" s="18"/>
      <c r="G153" s="25"/>
      <c r="H153" s="26" t="str">
        <f aca="false">IF(OR(F153="",G153=""),"",ROUNDDOWN(F153*G153,0))</f>
        <v/>
      </c>
      <c r="I153" s="26" t="str">
        <f aca="false">IF(OR(F153="",G153=""),"",F153+H153)</f>
        <v/>
      </c>
      <c r="J153" s="27" t="str">
        <f aca="false">IF(OR(B153="",C153="",D153="コード誤り"),"",IFERROR(DATE(YEAR(B153),MONTH(B153)+INDEX(取引先マスタ!$E$5:$E$204,MATCH($C153,取引先マスタ!$A$5:$A$204,0)),MIN(INDEX(取引先マスタ!$F$5:$F$204,MATCH($C153,取引先マスタ!$A$5:$A$204,0)),DAY(EOMONTH(B153,INDEX(取引先マスタ!$E$5:$E$204,MATCH($C153,取引先マスタ!$A$5:$A$204,0)))))),""))</f>
        <v/>
      </c>
      <c r="K153" s="22"/>
      <c r="L153" s="27" t="str">
        <f aca="false">IF(K153&lt;&gt;"",K153,J153)</f>
        <v/>
      </c>
      <c r="M153" s="28"/>
      <c r="N153" s="22"/>
      <c r="O153" s="28"/>
      <c r="P153" s="26" t="str">
        <f aca="false">IF(A153="","",SUMIF(入金明細!$F$5:$F$1004,A153,入金明細!$E$5:$E$1004))</f>
        <v/>
      </c>
      <c r="Q153" s="27" t="str">
        <f aca="false">IF(OR(A153="",N(P153)=0),"",SUMPRODUCT(MAX((入金明細!$F$5:$F$1004=A153)*入金明細!$B$5:$B$1004)))</f>
        <v/>
      </c>
      <c r="R153" s="18"/>
      <c r="S153" s="26" t="str">
        <f aca="false">IF(OR(A153="",I153=""),"",I153-N(P153)-N(R153))</f>
        <v/>
      </c>
      <c r="T153" s="28"/>
      <c r="U153" s="29" t="str">
        <f aca="false">IF(A153="","",IF(T153="取消","取消",IF(W153&lt;&gt;"","要入力",IF(N153="","未送付",IF(S153=0,"入金済",IF(S153&lt;0,"過入金",IF(設定!$C$5&gt;L153,IF(P153&gt;0,"一部入金・超過","期日超過"),IF(P153&gt;0,"一部入金",IF(L153-設定!$C$5&lt;=設定!$C$6,"期日間近","入金待ち")))))))))</f>
        <v/>
      </c>
      <c r="V153" s="30" t="str">
        <f aca="false">IF(OR(U153="期日超過",U153="一部入金・超過"),設定!$C$5-L153,"")</f>
        <v/>
      </c>
      <c r="W153" s="21" t="str">
        <f aca="false">IF(A153="","",TRIM(IF(B153="","請求日 ","")&amp;IF(C153="","取引先 ",IF(D153="コード誤り","取引先コード誤り ",""))&amp;IF(E153="","件名 ","")&amp;IF(F153="","税抜金額 ","")&amp;IF(G153="","税率 ","")&amp;IF(M153="","送付方法 ","")&amp;IF(AND(N153&lt;&gt;"",O153=""),"送付者 ","")&amp;IF(AND(I153&lt;&gt;"",L153=""),"入金期日 ","")&amp;IF(AND(N153&lt;&gt;"",P153&gt;0,S153&lt;=0,X153=""),"消込確認者 ","")))</f>
        <v/>
      </c>
      <c r="X153" s="28"/>
      <c r="Y153" s="28"/>
    </row>
    <row r="154" customFormat="false" ht="15" hidden="false" customHeight="false" outlineLevel="0" collapsed="false">
      <c r="A154" s="21" t="str">
        <f aca="false">IF(COUNTA(B154,C154,E154,F154)=0,"",設定!$C$4&amp;TEXT(ROW()-4,"00000"))</f>
        <v/>
      </c>
      <c r="B154" s="22"/>
      <c r="C154" s="23"/>
      <c r="D154" s="21" t="str">
        <f aca="false">IF(C154="","",IFERROR(INDEX(取引先マスタ!$B$5:$B$204,MATCH($C154,取引先マスタ!$A$5:$A$204,0)),"コード誤り"))</f>
        <v/>
      </c>
      <c r="E154" s="28"/>
      <c r="F154" s="18"/>
      <c r="G154" s="25"/>
      <c r="H154" s="26" t="str">
        <f aca="false">IF(OR(F154="",G154=""),"",ROUNDDOWN(F154*G154,0))</f>
        <v/>
      </c>
      <c r="I154" s="26" t="str">
        <f aca="false">IF(OR(F154="",G154=""),"",F154+H154)</f>
        <v/>
      </c>
      <c r="J154" s="27" t="str">
        <f aca="false">IF(OR(B154="",C154="",D154="コード誤り"),"",IFERROR(DATE(YEAR(B154),MONTH(B154)+INDEX(取引先マスタ!$E$5:$E$204,MATCH($C154,取引先マスタ!$A$5:$A$204,0)),MIN(INDEX(取引先マスタ!$F$5:$F$204,MATCH($C154,取引先マスタ!$A$5:$A$204,0)),DAY(EOMONTH(B154,INDEX(取引先マスタ!$E$5:$E$204,MATCH($C154,取引先マスタ!$A$5:$A$204,0)))))),""))</f>
        <v/>
      </c>
      <c r="K154" s="22"/>
      <c r="L154" s="27" t="str">
        <f aca="false">IF(K154&lt;&gt;"",K154,J154)</f>
        <v/>
      </c>
      <c r="M154" s="28"/>
      <c r="N154" s="22"/>
      <c r="O154" s="28"/>
      <c r="P154" s="26" t="str">
        <f aca="false">IF(A154="","",SUMIF(入金明細!$F$5:$F$1004,A154,入金明細!$E$5:$E$1004))</f>
        <v/>
      </c>
      <c r="Q154" s="27" t="str">
        <f aca="false">IF(OR(A154="",N(P154)=0),"",SUMPRODUCT(MAX((入金明細!$F$5:$F$1004=A154)*入金明細!$B$5:$B$1004)))</f>
        <v/>
      </c>
      <c r="R154" s="18"/>
      <c r="S154" s="26" t="str">
        <f aca="false">IF(OR(A154="",I154=""),"",I154-N(P154)-N(R154))</f>
        <v/>
      </c>
      <c r="T154" s="28"/>
      <c r="U154" s="29" t="str">
        <f aca="false">IF(A154="","",IF(T154="取消","取消",IF(W154&lt;&gt;"","要入力",IF(N154="","未送付",IF(S154=0,"入金済",IF(S154&lt;0,"過入金",IF(設定!$C$5&gt;L154,IF(P154&gt;0,"一部入金・超過","期日超過"),IF(P154&gt;0,"一部入金",IF(L154-設定!$C$5&lt;=設定!$C$6,"期日間近","入金待ち")))))))))</f>
        <v/>
      </c>
      <c r="V154" s="30" t="str">
        <f aca="false">IF(OR(U154="期日超過",U154="一部入金・超過"),設定!$C$5-L154,"")</f>
        <v/>
      </c>
      <c r="W154" s="21" t="str">
        <f aca="false">IF(A154="","",TRIM(IF(B154="","請求日 ","")&amp;IF(C154="","取引先 ",IF(D154="コード誤り","取引先コード誤り ",""))&amp;IF(E154="","件名 ","")&amp;IF(F154="","税抜金額 ","")&amp;IF(G154="","税率 ","")&amp;IF(M154="","送付方法 ","")&amp;IF(AND(N154&lt;&gt;"",O154=""),"送付者 ","")&amp;IF(AND(I154&lt;&gt;"",L154=""),"入金期日 ","")&amp;IF(AND(N154&lt;&gt;"",P154&gt;0,S154&lt;=0,X154=""),"消込確認者 ","")))</f>
        <v/>
      </c>
      <c r="X154" s="28"/>
      <c r="Y154" s="28"/>
    </row>
    <row r="155" customFormat="false" ht="15" hidden="false" customHeight="false" outlineLevel="0" collapsed="false">
      <c r="A155" s="21" t="str">
        <f aca="false">IF(COUNTA(B155,C155,E155,F155)=0,"",設定!$C$4&amp;TEXT(ROW()-4,"00000"))</f>
        <v/>
      </c>
      <c r="B155" s="22"/>
      <c r="C155" s="23"/>
      <c r="D155" s="21" t="str">
        <f aca="false">IF(C155="","",IFERROR(INDEX(取引先マスタ!$B$5:$B$204,MATCH($C155,取引先マスタ!$A$5:$A$204,0)),"コード誤り"))</f>
        <v/>
      </c>
      <c r="E155" s="28"/>
      <c r="F155" s="18"/>
      <c r="G155" s="25"/>
      <c r="H155" s="26" t="str">
        <f aca="false">IF(OR(F155="",G155=""),"",ROUNDDOWN(F155*G155,0))</f>
        <v/>
      </c>
      <c r="I155" s="26" t="str">
        <f aca="false">IF(OR(F155="",G155=""),"",F155+H155)</f>
        <v/>
      </c>
      <c r="J155" s="27" t="str">
        <f aca="false">IF(OR(B155="",C155="",D155="コード誤り"),"",IFERROR(DATE(YEAR(B155),MONTH(B155)+INDEX(取引先マスタ!$E$5:$E$204,MATCH($C155,取引先マスタ!$A$5:$A$204,0)),MIN(INDEX(取引先マスタ!$F$5:$F$204,MATCH($C155,取引先マスタ!$A$5:$A$204,0)),DAY(EOMONTH(B155,INDEX(取引先マスタ!$E$5:$E$204,MATCH($C155,取引先マスタ!$A$5:$A$204,0)))))),""))</f>
        <v/>
      </c>
      <c r="K155" s="22"/>
      <c r="L155" s="27" t="str">
        <f aca="false">IF(K155&lt;&gt;"",K155,J155)</f>
        <v/>
      </c>
      <c r="M155" s="28"/>
      <c r="N155" s="22"/>
      <c r="O155" s="28"/>
      <c r="P155" s="26" t="str">
        <f aca="false">IF(A155="","",SUMIF(入金明細!$F$5:$F$1004,A155,入金明細!$E$5:$E$1004))</f>
        <v/>
      </c>
      <c r="Q155" s="27" t="str">
        <f aca="false">IF(OR(A155="",N(P155)=0),"",SUMPRODUCT(MAX((入金明細!$F$5:$F$1004=A155)*入金明細!$B$5:$B$1004)))</f>
        <v/>
      </c>
      <c r="R155" s="18"/>
      <c r="S155" s="26" t="str">
        <f aca="false">IF(OR(A155="",I155=""),"",I155-N(P155)-N(R155))</f>
        <v/>
      </c>
      <c r="T155" s="28"/>
      <c r="U155" s="29" t="str">
        <f aca="false">IF(A155="","",IF(T155="取消","取消",IF(W155&lt;&gt;"","要入力",IF(N155="","未送付",IF(S155=0,"入金済",IF(S155&lt;0,"過入金",IF(設定!$C$5&gt;L155,IF(P155&gt;0,"一部入金・超過","期日超過"),IF(P155&gt;0,"一部入金",IF(L155-設定!$C$5&lt;=設定!$C$6,"期日間近","入金待ち")))))))))</f>
        <v/>
      </c>
      <c r="V155" s="30" t="str">
        <f aca="false">IF(OR(U155="期日超過",U155="一部入金・超過"),設定!$C$5-L155,"")</f>
        <v/>
      </c>
      <c r="W155" s="21" t="str">
        <f aca="false">IF(A155="","",TRIM(IF(B155="","請求日 ","")&amp;IF(C155="","取引先 ",IF(D155="コード誤り","取引先コード誤り ",""))&amp;IF(E155="","件名 ","")&amp;IF(F155="","税抜金額 ","")&amp;IF(G155="","税率 ","")&amp;IF(M155="","送付方法 ","")&amp;IF(AND(N155&lt;&gt;"",O155=""),"送付者 ","")&amp;IF(AND(I155&lt;&gt;"",L155=""),"入金期日 ","")&amp;IF(AND(N155&lt;&gt;"",P155&gt;0,S155&lt;=0,X155=""),"消込確認者 ","")))</f>
        <v/>
      </c>
      <c r="X155" s="28"/>
      <c r="Y155" s="28"/>
    </row>
    <row r="156" customFormat="false" ht="15" hidden="false" customHeight="false" outlineLevel="0" collapsed="false">
      <c r="A156" s="21" t="str">
        <f aca="false">IF(COUNTA(B156,C156,E156,F156)=0,"",設定!$C$4&amp;TEXT(ROW()-4,"00000"))</f>
        <v/>
      </c>
      <c r="B156" s="22"/>
      <c r="C156" s="23"/>
      <c r="D156" s="21" t="str">
        <f aca="false">IF(C156="","",IFERROR(INDEX(取引先マスタ!$B$5:$B$204,MATCH($C156,取引先マスタ!$A$5:$A$204,0)),"コード誤り"))</f>
        <v/>
      </c>
      <c r="E156" s="28"/>
      <c r="F156" s="18"/>
      <c r="G156" s="25"/>
      <c r="H156" s="26" t="str">
        <f aca="false">IF(OR(F156="",G156=""),"",ROUNDDOWN(F156*G156,0))</f>
        <v/>
      </c>
      <c r="I156" s="26" t="str">
        <f aca="false">IF(OR(F156="",G156=""),"",F156+H156)</f>
        <v/>
      </c>
      <c r="J156" s="27" t="str">
        <f aca="false">IF(OR(B156="",C156="",D156="コード誤り"),"",IFERROR(DATE(YEAR(B156),MONTH(B156)+INDEX(取引先マスタ!$E$5:$E$204,MATCH($C156,取引先マスタ!$A$5:$A$204,0)),MIN(INDEX(取引先マスタ!$F$5:$F$204,MATCH($C156,取引先マスタ!$A$5:$A$204,0)),DAY(EOMONTH(B156,INDEX(取引先マスタ!$E$5:$E$204,MATCH($C156,取引先マスタ!$A$5:$A$204,0)))))),""))</f>
        <v/>
      </c>
      <c r="K156" s="22"/>
      <c r="L156" s="27" t="str">
        <f aca="false">IF(K156&lt;&gt;"",K156,J156)</f>
        <v/>
      </c>
      <c r="M156" s="28"/>
      <c r="N156" s="22"/>
      <c r="O156" s="28"/>
      <c r="P156" s="26" t="str">
        <f aca="false">IF(A156="","",SUMIF(入金明細!$F$5:$F$1004,A156,入金明細!$E$5:$E$1004))</f>
        <v/>
      </c>
      <c r="Q156" s="27" t="str">
        <f aca="false">IF(OR(A156="",N(P156)=0),"",SUMPRODUCT(MAX((入金明細!$F$5:$F$1004=A156)*入金明細!$B$5:$B$1004)))</f>
        <v/>
      </c>
      <c r="R156" s="18"/>
      <c r="S156" s="26" t="str">
        <f aca="false">IF(OR(A156="",I156=""),"",I156-N(P156)-N(R156))</f>
        <v/>
      </c>
      <c r="T156" s="28"/>
      <c r="U156" s="29" t="str">
        <f aca="false">IF(A156="","",IF(T156="取消","取消",IF(W156&lt;&gt;"","要入力",IF(N156="","未送付",IF(S156=0,"入金済",IF(S156&lt;0,"過入金",IF(設定!$C$5&gt;L156,IF(P156&gt;0,"一部入金・超過","期日超過"),IF(P156&gt;0,"一部入金",IF(L156-設定!$C$5&lt;=設定!$C$6,"期日間近","入金待ち")))))))))</f>
        <v/>
      </c>
      <c r="V156" s="30" t="str">
        <f aca="false">IF(OR(U156="期日超過",U156="一部入金・超過"),設定!$C$5-L156,"")</f>
        <v/>
      </c>
      <c r="W156" s="21" t="str">
        <f aca="false">IF(A156="","",TRIM(IF(B156="","請求日 ","")&amp;IF(C156="","取引先 ",IF(D156="コード誤り","取引先コード誤り ",""))&amp;IF(E156="","件名 ","")&amp;IF(F156="","税抜金額 ","")&amp;IF(G156="","税率 ","")&amp;IF(M156="","送付方法 ","")&amp;IF(AND(N156&lt;&gt;"",O156=""),"送付者 ","")&amp;IF(AND(I156&lt;&gt;"",L156=""),"入金期日 ","")&amp;IF(AND(N156&lt;&gt;"",P156&gt;0,S156&lt;=0,X156=""),"消込確認者 ","")))</f>
        <v/>
      </c>
      <c r="X156" s="28"/>
      <c r="Y156" s="28"/>
    </row>
    <row r="157" customFormat="false" ht="15" hidden="false" customHeight="false" outlineLevel="0" collapsed="false">
      <c r="A157" s="21" t="str">
        <f aca="false">IF(COUNTA(B157,C157,E157,F157)=0,"",設定!$C$4&amp;TEXT(ROW()-4,"00000"))</f>
        <v/>
      </c>
      <c r="B157" s="22"/>
      <c r="C157" s="23"/>
      <c r="D157" s="21" t="str">
        <f aca="false">IF(C157="","",IFERROR(INDEX(取引先マスタ!$B$5:$B$204,MATCH($C157,取引先マスタ!$A$5:$A$204,0)),"コード誤り"))</f>
        <v/>
      </c>
      <c r="E157" s="28"/>
      <c r="F157" s="18"/>
      <c r="G157" s="25"/>
      <c r="H157" s="26" t="str">
        <f aca="false">IF(OR(F157="",G157=""),"",ROUNDDOWN(F157*G157,0))</f>
        <v/>
      </c>
      <c r="I157" s="26" t="str">
        <f aca="false">IF(OR(F157="",G157=""),"",F157+H157)</f>
        <v/>
      </c>
      <c r="J157" s="27" t="str">
        <f aca="false">IF(OR(B157="",C157="",D157="コード誤り"),"",IFERROR(DATE(YEAR(B157),MONTH(B157)+INDEX(取引先マスタ!$E$5:$E$204,MATCH($C157,取引先マスタ!$A$5:$A$204,0)),MIN(INDEX(取引先マスタ!$F$5:$F$204,MATCH($C157,取引先マスタ!$A$5:$A$204,0)),DAY(EOMONTH(B157,INDEX(取引先マスタ!$E$5:$E$204,MATCH($C157,取引先マスタ!$A$5:$A$204,0)))))),""))</f>
        <v/>
      </c>
      <c r="K157" s="22"/>
      <c r="L157" s="27" t="str">
        <f aca="false">IF(K157&lt;&gt;"",K157,J157)</f>
        <v/>
      </c>
      <c r="M157" s="28"/>
      <c r="N157" s="22"/>
      <c r="O157" s="28"/>
      <c r="P157" s="26" t="str">
        <f aca="false">IF(A157="","",SUMIF(入金明細!$F$5:$F$1004,A157,入金明細!$E$5:$E$1004))</f>
        <v/>
      </c>
      <c r="Q157" s="27" t="str">
        <f aca="false">IF(OR(A157="",N(P157)=0),"",SUMPRODUCT(MAX((入金明細!$F$5:$F$1004=A157)*入金明細!$B$5:$B$1004)))</f>
        <v/>
      </c>
      <c r="R157" s="18"/>
      <c r="S157" s="26" t="str">
        <f aca="false">IF(OR(A157="",I157=""),"",I157-N(P157)-N(R157))</f>
        <v/>
      </c>
      <c r="T157" s="28"/>
      <c r="U157" s="29" t="str">
        <f aca="false">IF(A157="","",IF(T157="取消","取消",IF(W157&lt;&gt;"","要入力",IF(N157="","未送付",IF(S157=0,"入金済",IF(S157&lt;0,"過入金",IF(設定!$C$5&gt;L157,IF(P157&gt;0,"一部入金・超過","期日超過"),IF(P157&gt;0,"一部入金",IF(L157-設定!$C$5&lt;=設定!$C$6,"期日間近","入金待ち")))))))))</f>
        <v/>
      </c>
      <c r="V157" s="30" t="str">
        <f aca="false">IF(OR(U157="期日超過",U157="一部入金・超過"),設定!$C$5-L157,"")</f>
        <v/>
      </c>
      <c r="W157" s="21" t="str">
        <f aca="false">IF(A157="","",TRIM(IF(B157="","請求日 ","")&amp;IF(C157="","取引先 ",IF(D157="コード誤り","取引先コード誤り ",""))&amp;IF(E157="","件名 ","")&amp;IF(F157="","税抜金額 ","")&amp;IF(G157="","税率 ","")&amp;IF(M157="","送付方法 ","")&amp;IF(AND(N157&lt;&gt;"",O157=""),"送付者 ","")&amp;IF(AND(I157&lt;&gt;"",L157=""),"入金期日 ","")&amp;IF(AND(N157&lt;&gt;"",P157&gt;0,S157&lt;=0,X157=""),"消込確認者 ","")))</f>
        <v/>
      </c>
      <c r="X157" s="28"/>
      <c r="Y157" s="28"/>
    </row>
    <row r="158" customFormat="false" ht="15" hidden="false" customHeight="false" outlineLevel="0" collapsed="false">
      <c r="A158" s="21" t="str">
        <f aca="false">IF(COUNTA(B158,C158,E158,F158)=0,"",設定!$C$4&amp;TEXT(ROW()-4,"00000"))</f>
        <v/>
      </c>
      <c r="B158" s="22"/>
      <c r="C158" s="23"/>
      <c r="D158" s="21" t="str">
        <f aca="false">IF(C158="","",IFERROR(INDEX(取引先マスタ!$B$5:$B$204,MATCH($C158,取引先マスタ!$A$5:$A$204,0)),"コード誤り"))</f>
        <v/>
      </c>
      <c r="E158" s="28"/>
      <c r="F158" s="18"/>
      <c r="G158" s="25"/>
      <c r="H158" s="26" t="str">
        <f aca="false">IF(OR(F158="",G158=""),"",ROUNDDOWN(F158*G158,0))</f>
        <v/>
      </c>
      <c r="I158" s="26" t="str">
        <f aca="false">IF(OR(F158="",G158=""),"",F158+H158)</f>
        <v/>
      </c>
      <c r="J158" s="27" t="str">
        <f aca="false">IF(OR(B158="",C158="",D158="コード誤り"),"",IFERROR(DATE(YEAR(B158),MONTH(B158)+INDEX(取引先マスタ!$E$5:$E$204,MATCH($C158,取引先マスタ!$A$5:$A$204,0)),MIN(INDEX(取引先マスタ!$F$5:$F$204,MATCH($C158,取引先マスタ!$A$5:$A$204,0)),DAY(EOMONTH(B158,INDEX(取引先マスタ!$E$5:$E$204,MATCH($C158,取引先マスタ!$A$5:$A$204,0)))))),""))</f>
        <v/>
      </c>
      <c r="K158" s="22"/>
      <c r="L158" s="27" t="str">
        <f aca="false">IF(K158&lt;&gt;"",K158,J158)</f>
        <v/>
      </c>
      <c r="M158" s="28"/>
      <c r="N158" s="22"/>
      <c r="O158" s="28"/>
      <c r="P158" s="26" t="str">
        <f aca="false">IF(A158="","",SUMIF(入金明細!$F$5:$F$1004,A158,入金明細!$E$5:$E$1004))</f>
        <v/>
      </c>
      <c r="Q158" s="27" t="str">
        <f aca="false">IF(OR(A158="",N(P158)=0),"",SUMPRODUCT(MAX((入金明細!$F$5:$F$1004=A158)*入金明細!$B$5:$B$1004)))</f>
        <v/>
      </c>
      <c r="R158" s="18"/>
      <c r="S158" s="26" t="str">
        <f aca="false">IF(OR(A158="",I158=""),"",I158-N(P158)-N(R158))</f>
        <v/>
      </c>
      <c r="T158" s="28"/>
      <c r="U158" s="29" t="str">
        <f aca="false">IF(A158="","",IF(T158="取消","取消",IF(W158&lt;&gt;"","要入力",IF(N158="","未送付",IF(S158=0,"入金済",IF(S158&lt;0,"過入金",IF(設定!$C$5&gt;L158,IF(P158&gt;0,"一部入金・超過","期日超過"),IF(P158&gt;0,"一部入金",IF(L158-設定!$C$5&lt;=設定!$C$6,"期日間近","入金待ち")))))))))</f>
        <v/>
      </c>
      <c r="V158" s="30" t="str">
        <f aca="false">IF(OR(U158="期日超過",U158="一部入金・超過"),設定!$C$5-L158,"")</f>
        <v/>
      </c>
      <c r="W158" s="21" t="str">
        <f aca="false">IF(A158="","",TRIM(IF(B158="","請求日 ","")&amp;IF(C158="","取引先 ",IF(D158="コード誤り","取引先コード誤り ",""))&amp;IF(E158="","件名 ","")&amp;IF(F158="","税抜金額 ","")&amp;IF(G158="","税率 ","")&amp;IF(M158="","送付方法 ","")&amp;IF(AND(N158&lt;&gt;"",O158=""),"送付者 ","")&amp;IF(AND(I158&lt;&gt;"",L158=""),"入金期日 ","")&amp;IF(AND(N158&lt;&gt;"",P158&gt;0,S158&lt;=0,X158=""),"消込確認者 ","")))</f>
        <v/>
      </c>
      <c r="X158" s="28"/>
      <c r="Y158" s="28"/>
    </row>
    <row r="159" customFormat="false" ht="15" hidden="false" customHeight="false" outlineLevel="0" collapsed="false">
      <c r="A159" s="21" t="str">
        <f aca="false">IF(COUNTA(B159,C159,E159,F159)=0,"",設定!$C$4&amp;TEXT(ROW()-4,"00000"))</f>
        <v/>
      </c>
      <c r="B159" s="22"/>
      <c r="C159" s="23"/>
      <c r="D159" s="21" t="str">
        <f aca="false">IF(C159="","",IFERROR(INDEX(取引先マスタ!$B$5:$B$204,MATCH($C159,取引先マスタ!$A$5:$A$204,0)),"コード誤り"))</f>
        <v/>
      </c>
      <c r="E159" s="28"/>
      <c r="F159" s="18"/>
      <c r="G159" s="25"/>
      <c r="H159" s="26" t="str">
        <f aca="false">IF(OR(F159="",G159=""),"",ROUNDDOWN(F159*G159,0))</f>
        <v/>
      </c>
      <c r="I159" s="26" t="str">
        <f aca="false">IF(OR(F159="",G159=""),"",F159+H159)</f>
        <v/>
      </c>
      <c r="J159" s="27" t="str">
        <f aca="false">IF(OR(B159="",C159="",D159="コード誤り"),"",IFERROR(DATE(YEAR(B159),MONTH(B159)+INDEX(取引先マスタ!$E$5:$E$204,MATCH($C159,取引先マスタ!$A$5:$A$204,0)),MIN(INDEX(取引先マスタ!$F$5:$F$204,MATCH($C159,取引先マスタ!$A$5:$A$204,0)),DAY(EOMONTH(B159,INDEX(取引先マスタ!$E$5:$E$204,MATCH($C159,取引先マスタ!$A$5:$A$204,0)))))),""))</f>
        <v/>
      </c>
      <c r="K159" s="22"/>
      <c r="L159" s="27" t="str">
        <f aca="false">IF(K159&lt;&gt;"",K159,J159)</f>
        <v/>
      </c>
      <c r="M159" s="28"/>
      <c r="N159" s="22"/>
      <c r="O159" s="28"/>
      <c r="P159" s="26" t="str">
        <f aca="false">IF(A159="","",SUMIF(入金明細!$F$5:$F$1004,A159,入金明細!$E$5:$E$1004))</f>
        <v/>
      </c>
      <c r="Q159" s="27" t="str">
        <f aca="false">IF(OR(A159="",N(P159)=0),"",SUMPRODUCT(MAX((入金明細!$F$5:$F$1004=A159)*入金明細!$B$5:$B$1004)))</f>
        <v/>
      </c>
      <c r="R159" s="18"/>
      <c r="S159" s="26" t="str">
        <f aca="false">IF(OR(A159="",I159=""),"",I159-N(P159)-N(R159))</f>
        <v/>
      </c>
      <c r="T159" s="28"/>
      <c r="U159" s="29" t="str">
        <f aca="false">IF(A159="","",IF(T159="取消","取消",IF(W159&lt;&gt;"","要入力",IF(N159="","未送付",IF(S159=0,"入金済",IF(S159&lt;0,"過入金",IF(設定!$C$5&gt;L159,IF(P159&gt;0,"一部入金・超過","期日超過"),IF(P159&gt;0,"一部入金",IF(L159-設定!$C$5&lt;=設定!$C$6,"期日間近","入金待ち")))))))))</f>
        <v/>
      </c>
      <c r="V159" s="30" t="str">
        <f aca="false">IF(OR(U159="期日超過",U159="一部入金・超過"),設定!$C$5-L159,"")</f>
        <v/>
      </c>
      <c r="W159" s="21" t="str">
        <f aca="false">IF(A159="","",TRIM(IF(B159="","請求日 ","")&amp;IF(C159="","取引先 ",IF(D159="コード誤り","取引先コード誤り ",""))&amp;IF(E159="","件名 ","")&amp;IF(F159="","税抜金額 ","")&amp;IF(G159="","税率 ","")&amp;IF(M159="","送付方法 ","")&amp;IF(AND(N159&lt;&gt;"",O159=""),"送付者 ","")&amp;IF(AND(I159&lt;&gt;"",L159=""),"入金期日 ","")&amp;IF(AND(N159&lt;&gt;"",P159&gt;0,S159&lt;=0,X159=""),"消込確認者 ","")))</f>
        <v/>
      </c>
      <c r="X159" s="28"/>
      <c r="Y159" s="28"/>
    </row>
    <row r="160" customFormat="false" ht="15" hidden="false" customHeight="false" outlineLevel="0" collapsed="false">
      <c r="A160" s="21" t="str">
        <f aca="false">IF(COUNTA(B160,C160,E160,F160)=0,"",設定!$C$4&amp;TEXT(ROW()-4,"00000"))</f>
        <v/>
      </c>
      <c r="B160" s="22"/>
      <c r="C160" s="23"/>
      <c r="D160" s="21" t="str">
        <f aca="false">IF(C160="","",IFERROR(INDEX(取引先マスタ!$B$5:$B$204,MATCH($C160,取引先マスタ!$A$5:$A$204,0)),"コード誤り"))</f>
        <v/>
      </c>
      <c r="E160" s="28"/>
      <c r="F160" s="18"/>
      <c r="G160" s="25"/>
      <c r="H160" s="26" t="str">
        <f aca="false">IF(OR(F160="",G160=""),"",ROUNDDOWN(F160*G160,0))</f>
        <v/>
      </c>
      <c r="I160" s="26" t="str">
        <f aca="false">IF(OR(F160="",G160=""),"",F160+H160)</f>
        <v/>
      </c>
      <c r="J160" s="27" t="str">
        <f aca="false">IF(OR(B160="",C160="",D160="コード誤り"),"",IFERROR(DATE(YEAR(B160),MONTH(B160)+INDEX(取引先マスタ!$E$5:$E$204,MATCH($C160,取引先マスタ!$A$5:$A$204,0)),MIN(INDEX(取引先マスタ!$F$5:$F$204,MATCH($C160,取引先マスタ!$A$5:$A$204,0)),DAY(EOMONTH(B160,INDEX(取引先マスタ!$E$5:$E$204,MATCH($C160,取引先マスタ!$A$5:$A$204,0)))))),""))</f>
        <v/>
      </c>
      <c r="K160" s="22"/>
      <c r="L160" s="27" t="str">
        <f aca="false">IF(K160&lt;&gt;"",K160,J160)</f>
        <v/>
      </c>
      <c r="M160" s="28"/>
      <c r="N160" s="22"/>
      <c r="O160" s="28"/>
      <c r="P160" s="26" t="str">
        <f aca="false">IF(A160="","",SUMIF(入金明細!$F$5:$F$1004,A160,入金明細!$E$5:$E$1004))</f>
        <v/>
      </c>
      <c r="Q160" s="27" t="str">
        <f aca="false">IF(OR(A160="",N(P160)=0),"",SUMPRODUCT(MAX((入金明細!$F$5:$F$1004=A160)*入金明細!$B$5:$B$1004)))</f>
        <v/>
      </c>
      <c r="R160" s="18"/>
      <c r="S160" s="26" t="str">
        <f aca="false">IF(OR(A160="",I160=""),"",I160-N(P160)-N(R160))</f>
        <v/>
      </c>
      <c r="T160" s="28"/>
      <c r="U160" s="29" t="str">
        <f aca="false">IF(A160="","",IF(T160="取消","取消",IF(W160&lt;&gt;"","要入力",IF(N160="","未送付",IF(S160=0,"入金済",IF(S160&lt;0,"過入金",IF(設定!$C$5&gt;L160,IF(P160&gt;0,"一部入金・超過","期日超過"),IF(P160&gt;0,"一部入金",IF(L160-設定!$C$5&lt;=設定!$C$6,"期日間近","入金待ち")))))))))</f>
        <v/>
      </c>
      <c r="V160" s="30" t="str">
        <f aca="false">IF(OR(U160="期日超過",U160="一部入金・超過"),設定!$C$5-L160,"")</f>
        <v/>
      </c>
      <c r="W160" s="21" t="str">
        <f aca="false">IF(A160="","",TRIM(IF(B160="","請求日 ","")&amp;IF(C160="","取引先 ",IF(D160="コード誤り","取引先コード誤り ",""))&amp;IF(E160="","件名 ","")&amp;IF(F160="","税抜金額 ","")&amp;IF(G160="","税率 ","")&amp;IF(M160="","送付方法 ","")&amp;IF(AND(N160&lt;&gt;"",O160=""),"送付者 ","")&amp;IF(AND(I160&lt;&gt;"",L160=""),"入金期日 ","")&amp;IF(AND(N160&lt;&gt;"",P160&gt;0,S160&lt;=0,X160=""),"消込確認者 ","")))</f>
        <v/>
      </c>
      <c r="X160" s="28"/>
      <c r="Y160" s="28"/>
    </row>
    <row r="161" customFormat="false" ht="15" hidden="false" customHeight="false" outlineLevel="0" collapsed="false">
      <c r="A161" s="21" t="str">
        <f aca="false">IF(COUNTA(B161,C161,E161,F161)=0,"",設定!$C$4&amp;TEXT(ROW()-4,"00000"))</f>
        <v/>
      </c>
      <c r="B161" s="22"/>
      <c r="C161" s="23"/>
      <c r="D161" s="21" t="str">
        <f aca="false">IF(C161="","",IFERROR(INDEX(取引先マスタ!$B$5:$B$204,MATCH($C161,取引先マスタ!$A$5:$A$204,0)),"コード誤り"))</f>
        <v/>
      </c>
      <c r="E161" s="28"/>
      <c r="F161" s="18"/>
      <c r="G161" s="25"/>
      <c r="H161" s="26" t="str">
        <f aca="false">IF(OR(F161="",G161=""),"",ROUNDDOWN(F161*G161,0))</f>
        <v/>
      </c>
      <c r="I161" s="26" t="str">
        <f aca="false">IF(OR(F161="",G161=""),"",F161+H161)</f>
        <v/>
      </c>
      <c r="J161" s="27" t="str">
        <f aca="false">IF(OR(B161="",C161="",D161="コード誤り"),"",IFERROR(DATE(YEAR(B161),MONTH(B161)+INDEX(取引先マスタ!$E$5:$E$204,MATCH($C161,取引先マスタ!$A$5:$A$204,0)),MIN(INDEX(取引先マスタ!$F$5:$F$204,MATCH($C161,取引先マスタ!$A$5:$A$204,0)),DAY(EOMONTH(B161,INDEX(取引先マスタ!$E$5:$E$204,MATCH($C161,取引先マスタ!$A$5:$A$204,0)))))),""))</f>
        <v/>
      </c>
      <c r="K161" s="22"/>
      <c r="L161" s="27" t="str">
        <f aca="false">IF(K161&lt;&gt;"",K161,J161)</f>
        <v/>
      </c>
      <c r="M161" s="28"/>
      <c r="N161" s="22"/>
      <c r="O161" s="28"/>
      <c r="P161" s="26" t="str">
        <f aca="false">IF(A161="","",SUMIF(入金明細!$F$5:$F$1004,A161,入金明細!$E$5:$E$1004))</f>
        <v/>
      </c>
      <c r="Q161" s="27" t="str">
        <f aca="false">IF(OR(A161="",N(P161)=0),"",SUMPRODUCT(MAX((入金明細!$F$5:$F$1004=A161)*入金明細!$B$5:$B$1004)))</f>
        <v/>
      </c>
      <c r="R161" s="18"/>
      <c r="S161" s="26" t="str">
        <f aca="false">IF(OR(A161="",I161=""),"",I161-N(P161)-N(R161))</f>
        <v/>
      </c>
      <c r="T161" s="28"/>
      <c r="U161" s="29" t="str">
        <f aca="false">IF(A161="","",IF(T161="取消","取消",IF(W161&lt;&gt;"","要入力",IF(N161="","未送付",IF(S161=0,"入金済",IF(S161&lt;0,"過入金",IF(設定!$C$5&gt;L161,IF(P161&gt;0,"一部入金・超過","期日超過"),IF(P161&gt;0,"一部入金",IF(L161-設定!$C$5&lt;=設定!$C$6,"期日間近","入金待ち")))))))))</f>
        <v/>
      </c>
      <c r="V161" s="30" t="str">
        <f aca="false">IF(OR(U161="期日超過",U161="一部入金・超過"),設定!$C$5-L161,"")</f>
        <v/>
      </c>
      <c r="W161" s="21" t="str">
        <f aca="false">IF(A161="","",TRIM(IF(B161="","請求日 ","")&amp;IF(C161="","取引先 ",IF(D161="コード誤り","取引先コード誤り ",""))&amp;IF(E161="","件名 ","")&amp;IF(F161="","税抜金額 ","")&amp;IF(G161="","税率 ","")&amp;IF(M161="","送付方法 ","")&amp;IF(AND(N161&lt;&gt;"",O161=""),"送付者 ","")&amp;IF(AND(I161&lt;&gt;"",L161=""),"入金期日 ","")&amp;IF(AND(N161&lt;&gt;"",P161&gt;0,S161&lt;=0,X161=""),"消込確認者 ","")))</f>
        <v/>
      </c>
      <c r="X161" s="28"/>
      <c r="Y161" s="28"/>
    </row>
    <row r="162" customFormat="false" ht="15" hidden="false" customHeight="false" outlineLevel="0" collapsed="false">
      <c r="A162" s="21" t="str">
        <f aca="false">IF(COUNTA(B162,C162,E162,F162)=0,"",設定!$C$4&amp;TEXT(ROW()-4,"00000"))</f>
        <v/>
      </c>
      <c r="B162" s="22"/>
      <c r="C162" s="23"/>
      <c r="D162" s="21" t="str">
        <f aca="false">IF(C162="","",IFERROR(INDEX(取引先マスタ!$B$5:$B$204,MATCH($C162,取引先マスタ!$A$5:$A$204,0)),"コード誤り"))</f>
        <v/>
      </c>
      <c r="E162" s="28"/>
      <c r="F162" s="18"/>
      <c r="G162" s="25"/>
      <c r="H162" s="26" t="str">
        <f aca="false">IF(OR(F162="",G162=""),"",ROUNDDOWN(F162*G162,0))</f>
        <v/>
      </c>
      <c r="I162" s="26" t="str">
        <f aca="false">IF(OR(F162="",G162=""),"",F162+H162)</f>
        <v/>
      </c>
      <c r="J162" s="27" t="str">
        <f aca="false">IF(OR(B162="",C162="",D162="コード誤り"),"",IFERROR(DATE(YEAR(B162),MONTH(B162)+INDEX(取引先マスタ!$E$5:$E$204,MATCH($C162,取引先マスタ!$A$5:$A$204,0)),MIN(INDEX(取引先マスタ!$F$5:$F$204,MATCH($C162,取引先マスタ!$A$5:$A$204,0)),DAY(EOMONTH(B162,INDEX(取引先マスタ!$E$5:$E$204,MATCH($C162,取引先マスタ!$A$5:$A$204,0)))))),""))</f>
        <v/>
      </c>
      <c r="K162" s="22"/>
      <c r="L162" s="27" t="str">
        <f aca="false">IF(K162&lt;&gt;"",K162,J162)</f>
        <v/>
      </c>
      <c r="M162" s="28"/>
      <c r="N162" s="22"/>
      <c r="O162" s="28"/>
      <c r="P162" s="26" t="str">
        <f aca="false">IF(A162="","",SUMIF(入金明細!$F$5:$F$1004,A162,入金明細!$E$5:$E$1004))</f>
        <v/>
      </c>
      <c r="Q162" s="27" t="str">
        <f aca="false">IF(OR(A162="",N(P162)=0),"",SUMPRODUCT(MAX((入金明細!$F$5:$F$1004=A162)*入金明細!$B$5:$B$1004)))</f>
        <v/>
      </c>
      <c r="R162" s="18"/>
      <c r="S162" s="26" t="str">
        <f aca="false">IF(OR(A162="",I162=""),"",I162-N(P162)-N(R162))</f>
        <v/>
      </c>
      <c r="T162" s="28"/>
      <c r="U162" s="29" t="str">
        <f aca="false">IF(A162="","",IF(T162="取消","取消",IF(W162&lt;&gt;"","要入力",IF(N162="","未送付",IF(S162=0,"入金済",IF(S162&lt;0,"過入金",IF(設定!$C$5&gt;L162,IF(P162&gt;0,"一部入金・超過","期日超過"),IF(P162&gt;0,"一部入金",IF(L162-設定!$C$5&lt;=設定!$C$6,"期日間近","入金待ち")))))))))</f>
        <v/>
      </c>
      <c r="V162" s="30" t="str">
        <f aca="false">IF(OR(U162="期日超過",U162="一部入金・超過"),設定!$C$5-L162,"")</f>
        <v/>
      </c>
      <c r="W162" s="21" t="str">
        <f aca="false">IF(A162="","",TRIM(IF(B162="","請求日 ","")&amp;IF(C162="","取引先 ",IF(D162="コード誤り","取引先コード誤り ",""))&amp;IF(E162="","件名 ","")&amp;IF(F162="","税抜金額 ","")&amp;IF(G162="","税率 ","")&amp;IF(M162="","送付方法 ","")&amp;IF(AND(N162&lt;&gt;"",O162=""),"送付者 ","")&amp;IF(AND(I162&lt;&gt;"",L162=""),"入金期日 ","")&amp;IF(AND(N162&lt;&gt;"",P162&gt;0,S162&lt;=0,X162=""),"消込確認者 ","")))</f>
        <v/>
      </c>
      <c r="X162" s="28"/>
      <c r="Y162" s="28"/>
    </row>
    <row r="163" customFormat="false" ht="15" hidden="false" customHeight="false" outlineLevel="0" collapsed="false">
      <c r="A163" s="21" t="str">
        <f aca="false">IF(COUNTA(B163,C163,E163,F163)=0,"",設定!$C$4&amp;TEXT(ROW()-4,"00000"))</f>
        <v/>
      </c>
      <c r="B163" s="22"/>
      <c r="C163" s="23"/>
      <c r="D163" s="21" t="str">
        <f aca="false">IF(C163="","",IFERROR(INDEX(取引先マスタ!$B$5:$B$204,MATCH($C163,取引先マスタ!$A$5:$A$204,0)),"コード誤り"))</f>
        <v/>
      </c>
      <c r="E163" s="28"/>
      <c r="F163" s="18"/>
      <c r="G163" s="25"/>
      <c r="H163" s="26" t="str">
        <f aca="false">IF(OR(F163="",G163=""),"",ROUNDDOWN(F163*G163,0))</f>
        <v/>
      </c>
      <c r="I163" s="26" t="str">
        <f aca="false">IF(OR(F163="",G163=""),"",F163+H163)</f>
        <v/>
      </c>
      <c r="J163" s="27" t="str">
        <f aca="false">IF(OR(B163="",C163="",D163="コード誤り"),"",IFERROR(DATE(YEAR(B163),MONTH(B163)+INDEX(取引先マスタ!$E$5:$E$204,MATCH($C163,取引先マスタ!$A$5:$A$204,0)),MIN(INDEX(取引先マスタ!$F$5:$F$204,MATCH($C163,取引先マスタ!$A$5:$A$204,0)),DAY(EOMONTH(B163,INDEX(取引先マスタ!$E$5:$E$204,MATCH($C163,取引先マスタ!$A$5:$A$204,0)))))),""))</f>
        <v/>
      </c>
      <c r="K163" s="22"/>
      <c r="L163" s="27" t="str">
        <f aca="false">IF(K163&lt;&gt;"",K163,J163)</f>
        <v/>
      </c>
      <c r="M163" s="28"/>
      <c r="N163" s="22"/>
      <c r="O163" s="28"/>
      <c r="P163" s="26" t="str">
        <f aca="false">IF(A163="","",SUMIF(入金明細!$F$5:$F$1004,A163,入金明細!$E$5:$E$1004))</f>
        <v/>
      </c>
      <c r="Q163" s="27" t="str">
        <f aca="false">IF(OR(A163="",N(P163)=0),"",SUMPRODUCT(MAX((入金明細!$F$5:$F$1004=A163)*入金明細!$B$5:$B$1004)))</f>
        <v/>
      </c>
      <c r="R163" s="18"/>
      <c r="S163" s="26" t="str">
        <f aca="false">IF(OR(A163="",I163=""),"",I163-N(P163)-N(R163))</f>
        <v/>
      </c>
      <c r="T163" s="28"/>
      <c r="U163" s="29" t="str">
        <f aca="false">IF(A163="","",IF(T163="取消","取消",IF(W163&lt;&gt;"","要入力",IF(N163="","未送付",IF(S163=0,"入金済",IF(S163&lt;0,"過入金",IF(設定!$C$5&gt;L163,IF(P163&gt;0,"一部入金・超過","期日超過"),IF(P163&gt;0,"一部入金",IF(L163-設定!$C$5&lt;=設定!$C$6,"期日間近","入金待ち")))))))))</f>
        <v/>
      </c>
      <c r="V163" s="30" t="str">
        <f aca="false">IF(OR(U163="期日超過",U163="一部入金・超過"),設定!$C$5-L163,"")</f>
        <v/>
      </c>
      <c r="W163" s="21" t="str">
        <f aca="false">IF(A163="","",TRIM(IF(B163="","請求日 ","")&amp;IF(C163="","取引先 ",IF(D163="コード誤り","取引先コード誤り ",""))&amp;IF(E163="","件名 ","")&amp;IF(F163="","税抜金額 ","")&amp;IF(G163="","税率 ","")&amp;IF(M163="","送付方法 ","")&amp;IF(AND(N163&lt;&gt;"",O163=""),"送付者 ","")&amp;IF(AND(I163&lt;&gt;"",L163=""),"入金期日 ","")&amp;IF(AND(N163&lt;&gt;"",P163&gt;0,S163&lt;=0,X163=""),"消込確認者 ","")))</f>
        <v/>
      </c>
      <c r="X163" s="28"/>
      <c r="Y163" s="28"/>
    </row>
    <row r="164" customFormat="false" ht="15" hidden="false" customHeight="false" outlineLevel="0" collapsed="false">
      <c r="A164" s="21" t="str">
        <f aca="false">IF(COUNTA(B164,C164,E164,F164)=0,"",設定!$C$4&amp;TEXT(ROW()-4,"00000"))</f>
        <v/>
      </c>
      <c r="B164" s="22"/>
      <c r="C164" s="23"/>
      <c r="D164" s="21" t="str">
        <f aca="false">IF(C164="","",IFERROR(INDEX(取引先マスタ!$B$5:$B$204,MATCH($C164,取引先マスタ!$A$5:$A$204,0)),"コード誤り"))</f>
        <v/>
      </c>
      <c r="E164" s="28"/>
      <c r="F164" s="18"/>
      <c r="G164" s="25"/>
      <c r="H164" s="26" t="str">
        <f aca="false">IF(OR(F164="",G164=""),"",ROUNDDOWN(F164*G164,0))</f>
        <v/>
      </c>
      <c r="I164" s="26" t="str">
        <f aca="false">IF(OR(F164="",G164=""),"",F164+H164)</f>
        <v/>
      </c>
      <c r="J164" s="27" t="str">
        <f aca="false">IF(OR(B164="",C164="",D164="コード誤り"),"",IFERROR(DATE(YEAR(B164),MONTH(B164)+INDEX(取引先マスタ!$E$5:$E$204,MATCH($C164,取引先マスタ!$A$5:$A$204,0)),MIN(INDEX(取引先マスタ!$F$5:$F$204,MATCH($C164,取引先マスタ!$A$5:$A$204,0)),DAY(EOMONTH(B164,INDEX(取引先マスタ!$E$5:$E$204,MATCH($C164,取引先マスタ!$A$5:$A$204,0)))))),""))</f>
        <v/>
      </c>
      <c r="K164" s="22"/>
      <c r="L164" s="27" t="str">
        <f aca="false">IF(K164&lt;&gt;"",K164,J164)</f>
        <v/>
      </c>
      <c r="M164" s="28"/>
      <c r="N164" s="22"/>
      <c r="O164" s="28"/>
      <c r="P164" s="26" t="str">
        <f aca="false">IF(A164="","",SUMIF(入金明細!$F$5:$F$1004,A164,入金明細!$E$5:$E$1004))</f>
        <v/>
      </c>
      <c r="Q164" s="27" t="str">
        <f aca="false">IF(OR(A164="",N(P164)=0),"",SUMPRODUCT(MAX((入金明細!$F$5:$F$1004=A164)*入金明細!$B$5:$B$1004)))</f>
        <v/>
      </c>
      <c r="R164" s="18"/>
      <c r="S164" s="26" t="str">
        <f aca="false">IF(OR(A164="",I164=""),"",I164-N(P164)-N(R164))</f>
        <v/>
      </c>
      <c r="T164" s="28"/>
      <c r="U164" s="29" t="str">
        <f aca="false">IF(A164="","",IF(T164="取消","取消",IF(W164&lt;&gt;"","要入力",IF(N164="","未送付",IF(S164=0,"入金済",IF(S164&lt;0,"過入金",IF(設定!$C$5&gt;L164,IF(P164&gt;0,"一部入金・超過","期日超過"),IF(P164&gt;0,"一部入金",IF(L164-設定!$C$5&lt;=設定!$C$6,"期日間近","入金待ち")))))))))</f>
        <v/>
      </c>
      <c r="V164" s="30" t="str">
        <f aca="false">IF(OR(U164="期日超過",U164="一部入金・超過"),設定!$C$5-L164,"")</f>
        <v/>
      </c>
      <c r="W164" s="21" t="str">
        <f aca="false">IF(A164="","",TRIM(IF(B164="","請求日 ","")&amp;IF(C164="","取引先 ",IF(D164="コード誤り","取引先コード誤り ",""))&amp;IF(E164="","件名 ","")&amp;IF(F164="","税抜金額 ","")&amp;IF(G164="","税率 ","")&amp;IF(M164="","送付方法 ","")&amp;IF(AND(N164&lt;&gt;"",O164=""),"送付者 ","")&amp;IF(AND(I164&lt;&gt;"",L164=""),"入金期日 ","")&amp;IF(AND(N164&lt;&gt;"",P164&gt;0,S164&lt;=0,X164=""),"消込確認者 ","")))</f>
        <v/>
      </c>
      <c r="X164" s="28"/>
      <c r="Y164" s="28"/>
    </row>
    <row r="165" customFormat="false" ht="15" hidden="false" customHeight="false" outlineLevel="0" collapsed="false">
      <c r="A165" s="21" t="str">
        <f aca="false">IF(COUNTA(B165,C165,E165,F165)=0,"",設定!$C$4&amp;TEXT(ROW()-4,"00000"))</f>
        <v/>
      </c>
      <c r="B165" s="22"/>
      <c r="C165" s="23"/>
      <c r="D165" s="21" t="str">
        <f aca="false">IF(C165="","",IFERROR(INDEX(取引先マスタ!$B$5:$B$204,MATCH($C165,取引先マスタ!$A$5:$A$204,0)),"コード誤り"))</f>
        <v/>
      </c>
      <c r="E165" s="28"/>
      <c r="F165" s="18"/>
      <c r="G165" s="25"/>
      <c r="H165" s="26" t="str">
        <f aca="false">IF(OR(F165="",G165=""),"",ROUNDDOWN(F165*G165,0))</f>
        <v/>
      </c>
      <c r="I165" s="26" t="str">
        <f aca="false">IF(OR(F165="",G165=""),"",F165+H165)</f>
        <v/>
      </c>
      <c r="J165" s="27" t="str">
        <f aca="false">IF(OR(B165="",C165="",D165="コード誤り"),"",IFERROR(DATE(YEAR(B165),MONTH(B165)+INDEX(取引先マスタ!$E$5:$E$204,MATCH($C165,取引先マスタ!$A$5:$A$204,0)),MIN(INDEX(取引先マスタ!$F$5:$F$204,MATCH($C165,取引先マスタ!$A$5:$A$204,0)),DAY(EOMONTH(B165,INDEX(取引先マスタ!$E$5:$E$204,MATCH($C165,取引先マスタ!$A$5:$A$204,0)))))),""))</f>
        <v/>
      </c>
      <c r="K165" s="22"/>
      <c r="L165" s="27" t="str">
        <f aca="false">IF(K165&lt;&gt;"",K165,J165)</f>
        <v/>
      </c>
      <c r="M165" s="28"/>
      <c r="N165" s="22"/>
      <c r="O165" s="28"/>
      <c r="P165" s="26" t="str">
        <f aca="false">IF(A165="","",SUMIF(入金明細!$F$5:$F$1004,A165,入金明細!$E$5:$E$1004))</f>
        <v/>
      </c>
      <c r="Q165" s="27" t="str">
        <f aca="false">IF(OR(A165="",N(P165)=0),"",SUMPRODUCT(MAX((入金明細!$F$5:$F$1004=A165)*入金明細!$B$5:$B$1004)))</f>
        <v/>
      </c>
      <c r="R165" s="18"/>
      <c r="S165" s="26" t="str">
        <f aca="false">IF(OR(A165="",I165=""),"",I165-N(P165)-N(R165))</f>
        <v/>
      </c>
      <c r="T165" s="28"/>
      <c r="U165" s="29" t="str">
        <f aca="false">IF(A165="","",IF(T165="取消","取消",IF(W165&lt;&gt;"","要入力",IF(N165="","未送付",IF(S165=0,"入金済",IF(S165&lt;0,"過入金",IF(設定!$C$5&gt;L165,IF(P165&gt;0,"一部入金・超過","期日超過"),IF(P165&gt;0,"一部入金",IF(L165-設定!$C$5&lt;=設定!$C$6,"期日間近","入金待ち")))))))))</f>
        <v/>
      </c>
      <c r="V165" s="30" t="str">
        <f aca="false">IF(OR(U165="期日超過",U165="一部入金・超過"),設定!$C$5-L165,"")</f>
        <v/>
      </c>
      <c r="W165" s="21" t="str">
        <f aca="false">IF(A165="","",TRIM(IF(B165="","請求日 ","")&amp;IF(C165="","取引先 ",IF(D165="コード誤り","取引先コード誤り ",""))&amp;IF(E165="","件名 ","")&amp;IF(F165="","税抜金額 ","")&amp;IF(G165="","税率 ","")&amp;IF(M165="","送付方法 ","")&amp;IF(AND(N165&lt;&gt;"",O165=""),"送付者 ","")&amp;IF(AND(I165&lt;&gt;"",L165=""),"入金期日 ","")&amp;IF(AND(N165&lt;&gt;"",P165&gt;0,S165&lt;=0,X165=""),"消込確認者 ","")))</f>
        <v/>
      </c>
      <c r="X165" s="28"/>
      <c r="Y165" s="28"/>
    </row>
    <row r="166" customFormat="false" ht="15" hidden="false" customHeight="false" outlineLevel="0" collapsed="false">
      <c r="A166" s="21" t="str">
        <f aca="false">IF(COUNTA(B166,C166,E166,F166)=0,"",設定!$C$4&amp;TEXT(ROW()-4,"00000"))</f>
        <v/>
      </c>
      <c r="B166" s="22"/>
      <c r="C166" s="23"/>
      <c r="D166" s="21" t="str">
        <f aca="false">IF(C166="","",IFERROR(INDEX(取引先マスタ!$B$5:$B$204,MATCH($C166,取引先マスタ!$A$5:$A$204,0)),"コード誤り"))</f>
        <v/>
      </c>
      <c r="E166" s="28"/>
      <c r="F166" s="18"/>
      <c r="G166" s="25"/>
      <c r="H166" s="26" t="str">
        <f aca="false">IF(OR(F166="",G166=""),"",ROUNDDOWN(F166*G166,0))</f>
        <v/>
      </c>
      <c r="I166" s="26" t="str">
        <f aca="false">IF(OR(F166="",G166=""),"",F166+H166)</f>
        <v/>
      </c>
      <c r="J166" s="27" t="str">
        <f aca="false">IF(OR(B166="",C166="",D166="コード誤り"),"",IFERROR(DATE(YEAR(B166),MONTH(B166)+INDEX(取引先マスタ!$E$5:$E$204,MATCH($C166,取引先マスタ!$A$5:$A$204,0)),MIN(INDEX(取引先マスタ!$F$5:$F$204,MATCH($C166,取引先マスタ!$A$5:$A$204,0)),DAY(EOMONTH(B166,INDEX(取引先マスタ!$E$5:$E$204,MATCH($C166,取引先マスタ!$A$5:$A$204,0)))))),""))</f>
        <v/>
      </c>
      <c r="K166" s="22"/>
      <c r="L166" s="27" t="str">
        <f aca="false">IF(K166&lt;&gt;"",K166,J166)</f>
        <v/>
      </c>
      <c r="M166" s="28"/>
      <c r="N166" s="22"/>
      <c r="O166" s="28"/>
      <c r="P166" s="26" t="str">
        <f aca="false">IF(A166="","",SUMIF(入金明細!$F$5:$F$1004,A166,入金明細!$E$5:$E$1004))</f>
        <v/>
      </c>
      <c r="Q166" s="27" t="str">
        <f aca="false">IF(OR(A166="",N(P166)=0),"",SUMPRODUCT(MAX((入金明細!$F$5:$F$1004=A166)*入金明細!$B$5:$B$1004)))</f>
        <v/>
      </c>
      <c r="R166" s="18"/>
      <c r="S166" s="26" t="str">
        <f aca="false">IF(OR(A166="",I166=""),"",I166-N(P166)-N(R166))</f>
        <v/>
      </c>
      <c r="T166" s="28"/>
      <c r="U166" s="29" t="str">
        <f aca="false">IF(A166="","",IF(T166="取消","取消",IF(W166&lt;&gt;"","要入力",IF(N166="","未送付",IF(S166=0,"入金済",IF(S166&lt;0,"過入金",IF(設定!$C$5&gt;L166,IF(P166&gt;0,"一部入金・超過","期日超過"),IF(P166&gt;0,"一部入金",IF(L166-設定!$C$5&lt;=設定!$C$6,"期日間近","入金待ち")))))))))</f>
        <v/>
      </c>
      <c r="V166" s="30" t="str">
        <f aca="false">IF(OR(U166="期日超過",U166="一部入金・超過"),設定!$C$5-L166,"")</f>
        <v/>
      </c>
      <c r="W166" s="21" t="str">
        <f aca="false">IF(A166="","",TRIM(IF(B166="","請求日 ","")&amp;IF(C166="","取引先 ",IF(D166="コード誤り","取引先コード誤り ",""))&amp;IF(E166="","件名 ","")&amp;IF(F166="","税抜金額 ","")&amp;IF(G166="","税率 ","")&amp;IF(M166="","送付方法 ","")&amp;IF(AND(N166&lt;&gt;"",O166=""),"送付者 ","")&amp;IF(AND(I166&lt;&gt;"",L166=""),"入金期日 ","")&amp;IF(AND(N166&lt;&gt;"",P166&gt;0,S166&lt;=0,X166=""),"消込確認者 ","")))</f>
        <v/>
      </c>
      <c r="X166" s="28"/>
      <c r="Y166" s="28"/>
    </row>
    <row r="167" customFormat="false" ht="15" hidden="false" customHeight="false" outlineLevel="0" collapsed="false">
      <c r="A167" s="21" t="str">
        <f aca="false">IF(COUNTA(B167,C167,E167,F167)=0,"",設定!$C$4&amp;TEXT(ROW()-4,"00000"))</f>
        <v/>
      </c>
      <c r="B167" s="22"/>
      <c r="C167" s="23"/>
      <c r="D167" s="21" t="str">
        <f aca="false">IF(C167="","",IFERROR(INDEX(取引先マスタ!$B$5:$B$204,MATCH($C167,取引先マスタ!$A$5:$A$204,0)),"コード誤り"))</f>
        <v/>
      </c>
      <c r="E167" s="28"/>
      <c r="F167" s="18"/>
      <c r="G167" s="25"/>
      <c r="H167" s="26" t="str">
        <f aca="false">IF(OR(F167="",G167=""),"",ROUNDDOWN(F167*G167,0))</f>
        <v/>
      </c>
      <c r="I167" s="26" t="str">
        <f aca="false">IF(OR(F167="",G167=""),"",F167+H167)</f>
        <v/>
      </c>
      <c r="J167" s="27" t="str">
        <f aca="false">IF(OR(B167="",C167="",D167="コード誤り"),"",IFERROR(DATE(YEAR(B167),MONTH(B167)+INDEX(取引先マスタ!$E$5:$E$204,MATCH($C167,取引先マスタ!$A$5:$A$204,0)),MIN(INDEX(取引先マスタ!$F$5:$F$204,MATCH($C167,取引先マスタ!$A$5:$A$204,0)),DAY(EOMONTH(B167,INDEX(取引先マスタ!$E$5:$E$204,MATCH($C167,取引先マスタ!$A$5:$A$204,0)))))),""))</f>
        <v/>
      </c>
      <c r="K167" s="22"/>
      <c r="L167" s="27" t="str">
        <f aca="false">IF(K167&lt;&gt;"",K167,J167)</f>
        <v/>
      </c>
      <c r="M167" s="28"/>
      <c r="N167" s="22"/>
      <c r="O167" s="28"/>
      <c r="P167" s="26" t="str">
        <f aca="false">IF(A167="","",SUMIF(入金明細!$F$5:$F$1004,A167,入金明細!$E$5:$E$1004))</f>
        <v/>
      </c>
      <c r="Q167" s="27" t="str">
        <f aca="false">IF(OR(A167="",N(P167)=0),"",SUMPRODUCT(MAX((入金明細!$F$5:$F$1004=A167)*入金明細!$B$5:$B$1004)))</f>
        <v/>
      </c>
      <c r="R167" s="18"/>
      <c r="S167" s="26" t="str">
        <f aca="false">IF(OR(A167="",I167=""),"",I167-N(P167)-N(R167))</f>
        <v/>
      </c>
      <c r="T167" s="28"/>
      <c r="U167" s="29" t="str">
        <f aca="false">IF(A167="","",IF(T167="取消","取消",IF(W167&lt;&gt;"","要入力",IF(N167="","未送付",IF(S167=0,"入金済",IF(S167&lt;0,"過入金",IF(設定!$C$5&gt;L167,IF(P167&gt;0,"一部入金・超過","期日超過"),IF(P167&gt;0,"一部入金",IF(L167-設定!$C$5&lt;=設定!$C$6,"期日間近","入金待ち")))))))))</f>
        <v/>
      </c>
      <c r="V167" s="30" t="str">
        <f aca="false">IF(OR(U167="期日超過",U167="一部入金・超過"),設定!$C$5-L167,"")</f>
        <v/>
      </c>
      <c r="W167" s="21" t="str">
        <f aca="false">IF(A167="","",TRIM(IF(B167="","請求日 ","")&amp;IF(C167="","取引先 ",IF(D167="コード誤り","取引先コード誤り ",""))&amp;IF(E167="","件名 ","")&amp;IF(F167="","税抜金額 ","")&amp;IF(G167="","税率 ","")&amp;IF(M167="","送付方法 ","")&amp;IF(AND(N167&lt;&gt;"",O167=""),"送付者 ","")&amp;IF(AND(I167&lt;&gt;"",L167=""),"入金期日 ","")&amp;IF(AND(N167&lt;&gt;"",P167&gt;0,S167&lt;=0,X167=""),"消込確認者 ","")))</f>
        <v/>
      </c>
      <c r="X167" s="28"/>
      <c r="Y167" s="28"/>
    </row>
    <row r="168" customFormat="false" ht="15" hidden="false" customHeight="false" outlineLevel="0" collapsed="false">
      <c r="A168" s="21" t="str">
        <f aca="false">IF(COUNTA(B168,C168,E168,F168)=0,"",設定!$C$4&amp;TEXT(ROW()-4,"00000"))</f>
        <v/>
      </c>
      <c r="B168" s="22"/>
      <c r="C168" s="23"/>
      <c r="D168" s="21" t="str">
        <f aca="false">IF(C168="","",IFERROR(INDEX(取引先マスタ!$B$5:$B$204,MATCH($C168,取引先マスタ!$A$5:$A$204,0)),"コード誤り"))</f>
        <v/>
      </c>
      <c r="E168" s="28"/>
      <c r="F168" s="18"/>
      <c r="G168" s="25"/>
      <c r="H168" s="26" t="str">
        <f aca="false">IF(OR(F168="",G168=""),"",ROUNDDOWN(F168*G168,0))</f>
        <v/>
      </c>
      <c r="I168" s="26" t="str">
        <f aca="false">IF(OR(F168="",G168=""),"",F168+H168)</f>
        <v/>
      </c>
      <c r="J168" s="27" t="str">
        <f aca="false">IF(OR(B168="",C168="",D168="コード誤り"),"",IFERROR(DATE(YEAR(B168),MONTH(B168)+INDEX(取引先マスタ!$E$5:$E$204,MATCH($C168,取引先マスタ!$A$5:$A$204,0)),MIN(INDEX(取引先マスタ!$F$5:$F$204,MATCH($C168,取引先マスタ!$A$5:$A$204,0)),DAY(EOMONTH(B168,INDEX(取引先マスタ!$E$5:$E$204,MATCH($C168,取引先マスタ!$A$5:$A$204,0)))))),""))</f>
        <v/>
      </c>
      <c r="K168" s="22"/>
      <c r="L168" s="27" t="str">
        <f aca="false">IF(K168&lt;&gt;"",K168,J168)</f>
        <v/>
      </c>
      <c r="M168" s="28"/>
      <c r="N168" s="22"/>
      <c r="O168" s="28"/>
      <c r="P168" s="26" t="str">
        <f aca="false">IF(A168="","",SUMIF(入金明細!$F$5:$F$1004,A168,入金明細!$E$5:$E$1004))</f>
        <v/>
      </c>
      <c r="Q168" s="27" t="str">
        <f aca="false">IF(OR(A168="",N(P168)=0),"",SUMPRODUCT(MAX((入金明細!$F$5:$F$1004=A168)*入金明細!$B$5:$B$1004)))</f>
        <v/>
      </c>
      <c r="R168" s="18"/>
      <c r="S168" s="26" t="str">
        <f aca="false">IF(OR(A168="",I168=""),"",I168-N(P168)-N(R168))</f>
        <v/>
      </c>
      <c r="T168" s="28"/>
      <c r="U168" s="29" t="str">
        <f aca="false">IF(A168="","",IF(T168="取消","取消",IF(W168&lt;&gt;"","要入力",IF(N168="","未送付",IF(S168=0,"入金済",IF(S168&lt;0,"過入金",IF(設定!$C$5&gt;L168,IF(P168&gt;0,"一部入金・超過","期日超過"),IF(P168&gt;0,"一部入金",IF(L168-設定!$C$5&lt;=設定!$C$6,"期日間近","入金待ち")))))))))</f>
        <v/>
      </c>
      <c r="V168" s="30" t="str">
        <f aca="false">IF(OR(U168="期日超過",U168="一部入金・超過"),設定!$C$5-L168,"")</f>
        <v/>
      </c>
      <c r="W168" s="21" t="str">
        <f aca="false">IF(A168="","",TRIM(IF(B168="","請求日 ","")&amp;IF(C168="","取引先 ",IF(D168="コード誤り","取引先コード誤り ",""))&amp;IF(E168="","件名 ","")&amp;IF(F168="","税抜金額 ","")&amp;IF(G168="","税率 ","")&amp;IF(M168="","送付方法 ","")&amp;IF(AND(N168&lt;&gt;"",O168=""),"送付者 ","")&amp;IF(AND(I168&lt;&gt;"",L168=""),"入金期日 ","")&amp;IF(AND(N168&lt;&gt;"",P168&gt;0,S168&lt;=0,X168=""),"消込確認者 ","")))</f>
        <v/>
      </c>
      <c r="X168" s="28"/>
      <c r="Y168" s="28"/>
    </row>
    <row r="169" customFormat="false" ht="15" hidden="false" customHeight="false" outlineLevel="0" collapsed="false">
      <c r="A169" s="21" t="str">
        <f aca="false">IF(COUNTA(B169,C169,E169,F169)=0,"",設定!$C$4&amp;TEXT(ROW()-4,"00000"))</f>
        <v/>
      </c>
      <c r="B169" s="22"/>
      <c r="C169" s="23"/>
      <c r="D169" s="21" t="str">
        <f aca="false">IF(C169="","",IFERROR(INDEX(取引先マスタ!$B$5:$B$204,MATCH($C169,取引先マスタ!$A$5:$A$204,0)),"コード誤り"))</f>
        <v/>
      </c>
      <c r="E169" s="28"/>
      <c r="F169" s="18"/>
      <c r="G169" s="25"/>
      <c r="H169" s="26" t="str">
        <f aca="false">IF(OR(F169="",G169=""),"",ROUNDDOWN(F169*G169,0))</f>
        <v/>
      </c>
      <c r="I169" s="26" t="str">
        <f aca="false">IF(OR(F169="",G169=""),"",F169+H169)</f>
        <v/>
      </c>
      <c r="J169" s="27" t="str">
        <f aca="false">IF(OR(B169="",C169="",D169="コード誤り"),"",IFERROR(DATE(YEAR(B169),MONTH(B169)+INDEX(取引先マスタ!$E$5:$E$204,MATCH($C169,取引先マスタ!$A$5:$A$204,0)),MIN(INDEX(取引先マスタ!$F$5:$F$204,MATCH($C169,取引先マスタ!$A$5:$A$204,0)),DAY(EOMONTH(B169,INDEX(取引先マスタ!$E$5:$E$204,MATCH($C169,取引先マスタ!$A$5:$A$204,0)))))),""))</f>
        <v/>
      </c>
      <c r="K169" s="22"/>
      <c r="L169" s="27" t="str">
        <f aca="false">IF(K169&lt;&gt;"",K169,J169)</f>
        <v/>
      </c>
      <c r="M169" s="28"/>
      <c r="N169" s="22"/>
      <c r="O169" s="28"/>
      <c r="P169" s="26" t="str">
        <f aca="false">IF(A169="","",SUMIF(入金明細!$F$5:$F$1004,A169,入金明細!$E$5:$E$1004))</f>
        <v/>
      </c>
      <c r="Q169" s="27" t="str">
        <f aca="false">IF(OR(A169="",N(P169)=0),"",SUMPRODUCT(MAX((入金明細!$F$5:$F$1004=A169)*入金明細!$B$5:$B$1004)))</f>
        <v/>
      </c>
      <c r="R169" s="18"/>
      <c r="S169" s="26" t="str">
        <f aca="false">IF(OR(A169="",I169=""),"",I169-N(P169)-N(R169))</f>
        <v/>
      </c>
      <c r="T169" s="28"/>
      <c r="U169" s="29" t="str">
        <f aca="false">IF(A169="","",IF(T169="取消","取消",IF(W169&lt;&gt;"","要入力",IF(N169="","未送付",IF(S169=0,"入金済",IF(S169&lt;0,"過入金",IF(設定!$C$5&gt;L169,IF(P169&gt;0,"一部入金・超過","期日超過"),IF(P169&gt;0,"一部入金",IF(L169-設定!$C$5&lt;=設定!$C$6,"期日間近","入金待ち")))))))))</f>
        <v/>
      </c>
      <c r="V169" s="30" t="str">
        <f aca="false">IF(OR(U169="期日超過",U169="一部入金・超過"),設定!$C$5-L169,"")</f>
        <v/>
      </c>
      <c r="W169" s="21" t="str">
        <f aca="false">IF(A169="","",TRIM(IF(B169="","請求日 ","")&amp;IF(C169="","取引先 ",IF(D169="コード誤り","取引先コード誤り ",""))&amp;IF(E169="","件名 ","")&amp;IF(F169="","税抜金額 ","")&amp;IF(G169="","税率 ","")&amp;IF(M169="","送付方法 ","")&amp;IF(AND(N169&lt;&gt;"",O169=""),"送付者 ","")&amp;IF(AND(I169&lt;&gt;"",L169=""),"入金期日 ","")&amp;IF(AND(N169&lt;&gt;"",P169&gt;0,S169&lt;=0,X169=""),"消込確認者 ","")))</f>
        <v/>
      </c>
      <c r="X169" s="28"/>
      <c r="Y169" s="28"/>
    </row>
    <row r="170" customFormat="false" ht="15" hidden="false" customHeight="false" outlineLevel="0" collapsed="false">
      <c r="A170" s="21" t="str">
        <f aca="false">IF(COUNTA(B170,C170,E170,F170)=0,"",設定!$C$4&amp;TEXT(ROW()-4,"00000"))</f>
        <v/>
      </c>
      <c r="B170" s="22"/>
      <c r="C170" s="23"/>
      <c r="D170" s="21" t="str">
        <f aca="false">IF(C170="","",IFERROR(INDEX(取引先マスタ!$B$5:$B$204,MATCH($C170,取引先マスタ!$A$5:$A$204,0)),"コード誤り"))</f>
        <v/>
      </c>
      <c r="E170" s="28"/>
      <c r="F170" s="18"/>
      <c r="G170" s="25"/>
      <c r="H170" s="26" t="str">
        <f aca="false">IF(OR(F170="",G170=""),"",ROUNDDOWN(F170*G170,0))</f>
        <v/>
      </c>
      <c r="I170" s="26" t="str">
        <f aca="false">IF(OR(F170="",G170=""),"",F170+H170)</f>
        <v/>
      </c>
      <c r="J170" s="27" t="str">
        <f aca="false">IF(OR(B170="",C170="",D170="コード誤り"),"",IFERROR(DATE(YEAR(B170),MONTH(B170)+INDEX(取引先マスタ!$E$5:$E$204,MATCH($C170,取引先マスタ!$A$5:$A$204,0)),MIN(INDEX(取引先マスタ!$F$5:$F$204,MATCH($C170,取引先マスタ!$A$5:$A$204,0)),DAY(EOMONTH(B170,INDEX(取引先マスタ!$E$5:$E$204,MATCH($C170,取引先マスタ!$A$5:$A$204,0)))))),""))</f>
        <v/>
      </c>
      <c r="K170" s="22"/>
      <c r="L170" s="27" t="str">
        <f aca="false">IF(K170&lt;&gt;"",K170,J170)</f>
        <v/>
      </c>
      <c r="M170" s="28"/>
      <c r="N170" s="22"/>
      <c r="O170" s="28"/>
      <c r="P170" s="26" t="str">
        <f aca="false">IF(A170="","",SUMIF(入金明細!$F$5:$F$1004,A170,入金明細!$E$5:$E$1004))</f>
        <v/>
      </c>
      <c r="Q170" s="27" t="str">
        <f aca="false">IF(OR(A170="",N(P170)=0),"",SUMPRODUCT(MAX((入金明細!$F$5:$F$1004=A170)*入金明細!$B$5:$B$1004)))</f>
        <v/>
      </c>
      <c r="R170" s="18"/>
      <c r="S170" s="26" t="str">
        <f aca="false">IF(OR(A170="",I170=""),"",I170-N(P170)-N(R170))</f>
        <v/>
      </c>
      <c r="T170" s="28"/>
      <c r="U170" s="29" t="str">
        <f aca="false">IF(A170="","",IF(T170="取消","取消",IF(W170&lt;&gt;"","要入力",IF(N170="","未送付",IF(S170=0,"入金済",IF(S170&lt;0,"過入金",IF(設定!$C$5&gt;L170,IF(P170&gt;0,"一部入金・超過","期日超過"),IF(P170&gt;0,"一部入金",IF(L170-設定!$C$5&lt;=設定!$C$6,"期日間近","入金待ち")))))))))</f>
        <v/>
      </c>
      <c r="V170" s="30" t="str">
        <f aca="false">IF(OR(U170="期日超過",U170="一部入金・超過"),設定!$C$5-L170,"")</f>
        <v/>
      </c>
      <c r="W170" s="21" t="str">
        <f aca="false">IF(A170="","",TRIM(IF(B170="","請求日 ","")&amp;IF(C170="","取引先 ",IF(D170="コード誤り","取引先コード誤り ",""))&amp;IF(E170="","件名 ","")&amp;IF(F170="","税抜金額 ","")&amp;IF(G170="","税率 ","")&amp;IF(M170="","送付方法 ","")&amp;IF(AND(N170&lt;&gt;"",O170=""),"送付者 ","")&amp;IF(AND(I170&lt;&gt;"",L170=""),"入金期日 ","")&amp;IF(AND(N170&lt;&gt;"",P170&gt;0,S170&lt;=0,X170=""),"消込確認者 ","")))</f>
        <v/>
      </c>
      <c r="X170" s="28"/>
      <c r="Y170" s="28"/>
    </row>
    <row r="171" customFormat="false" ht="15" hidden="false" customHeight="false" outlineLevel="0" collapsed="false">
      <c r="A171" s="21" t="str">
        <f aca="false">IF(COUNTA(B171,C171,E171,F171)=0,"",設定!$C$4&amp;TEXT(ROW()-4,"00000"))</f>
        <v/>
      </c>
      <c r="B171" s="22"/>
      <c r="C171" s="23"/>
      <c r="D171" s="21" t="str">
        <f aca="false">IF(C171="","",IFERROR(INDEX(取引先マスタ!$B$5:$B$204,MATCH($C171,取引先マスタ!$A$5:$A$204,0)),"コード誤り"))</f>
        <v/>
      </c>
      <c r="E171" s="28"/>
      <c r="F171" s="18"/>
      <c r="G171" s="25"/>
      <c r="H171" s="26" t="str">
        <f aca="false">IF(OR(F171="",G171=""),"",ROUNDDOWN(F171*G171,0))</f>
        <v/>
      </c>
      <c r="I171" s="26" t="str">
        <f aca="false">IF(OR(F171="",G171=""),"",F171+H171)</f>
        <v/>
      </c>
      <c r="J171" s="27" t="str">
        <f aca="false">IF(OR(B171="",C171="",D171="コード誤り"),"",IFERROR(DATE(YEAR(B171),MONTH(B171)+INDEX(取引先マスタ!$E$5:$E$204,MATCH($C171,取引先マスタ!$A$5:$A$204,0)),MIN(INDEX(取引先マスタ!$F$5:$F$204,MATCH($C171,取引先マスタ!$A$5:$A$204,0)),DAY(EOMONTH(B171,INDEX(取引先マスタ!$E$5:$E$204,MATCH($C171,取引先マスタ!$A$5:$A$204,0)))))),""))</f>
        <v/>
      </c>
      <c r="K171" s="22"/>
      <c r="L171" s="27" t="str">
        <f aca="false">IF(K171&lt;&gt;"",K171,J171)</f>
        <v/>
      </c>
      <c r="M171" s="28"/>
      <c r="N171" s="22"/>
      <c r="O171" s="28"/>
      <c r="P171" s="26" t="str">
        <f aca="false">IF(A171="","",SUMIF(入金明細!$F$5:$F$1004,A171,入金明細!$E$5:$E$1004))</f>
        <v/>
      </c>
      <c r="Q171" s="27" t="str">
        <f aca="false">IF(OR(A171="",N(P171)=0),"",SUMPRODUCT(MAX((入金明細!$F$5:$F$1004=A171)*入金明細!$B$5:$B$1004)))</f>
        <v/>
      </c>
      <c r="R171" s="18"/>
      <c r="S171" s="26" t="str">
        <f aca="false">IF(OR(A171="",I171=""),"",I171-N(P171)-N(R171))</f>
        <v/>
      </c>
      <c r="T171" s="28"/>
      <c r="U171" s="29" t="str">
        <f aca="false">IF(A171="","",IF(T171="取消","取消",IF(W171&lt;&gt;"","要入力",IF(N171="","未送付",IF(S171=0,"入金済",IF(S171&lt;0,"過入金",IF(設定!$C$5&gt;L171,IF(P171&gt;0,"一部入金・超過","期日超過"),IF(P171&gt;0,"一部入金",IF(L171-設定!$C$5&lt;=設定!$C$6,"期日間近","入金待ち")))))))))</f>
        <v/>
      </c>
      <c r="V171" s="30" t="str">
        <f aca="false">IF(OR(U171="期日超過",U171="一部入金・超過"),設定!$C$5-L171,"")</f>
        <v/>
      </c>
      <c r="W171" s="21" t="str">
        <f aca="false">IF(A171="","",TRIM(IF(B171="","請求日 ","")&amp;IF(C171="","取引先 ",IF(D171="コード誤り","取引先コード誤り ",""))&amp;IF(E171="","件名 ","")&amp;IF(F171="","税抜金額 ","")&amp;IF(G171="","税率 ","")&amp;IF(M171="","送付方法 ","")&amp;IF(AND(N171&lt;&gt;"",O171=""),"送付者 ","")&amp;IF(AND(I171&lt;&gt;"",L171=""),"入金期日 ","")&amp;IF(AND(N171&lt;&gt;"",P171&gt;0,S171&lt;=0,X171=""),"消込確認者 ","")))</f>
        <v/>
      </c>
      <c r="X171" s="28"/>
      <c r="Y171" s="28"/>
    </row>
    <row r="172" customFormat="false" ht="15" hidden="false" customHeight="false" outlineLevel="0" collapsed="false">
      <c r="A172" s="21" t="str">
        <f aca="false">IF(COUNTA(B172,C172,E172,F172)=0,"",設定!$C$4&amp;TEXT(ROW()-4,"00000"))</f>
        <v/>
      </c>
      <c r="B172" s="22"/>
      <c r="C172" s="23"/>
      <c r="D172" s="21" t="str">
        <f aca="false">IF(C172="","",IFERROR(INDEX(取引先マスタ!$B$5:$B$204,MATCH($C172,取引先マスタ!$A$5:$A$204,0)),"コード誤り"))</f>
        <v/>
      </c>
      <c r="E172" s="28"/>
      <c r="F172" s="18"/>
      <c r="G172" s="25"/>
      <c r="H172" s="26" t="str">
        <f aca="false">IF(OR(F172="",G172=""),"",ROUNDDOWN(F172*G172,0))</f>
        <v/>
      </c>
      <c r="I172" s="26" t="str">
        <f aca="false">IF(OR(F172="",G172=""),"",F172+H172)</f>
        <v/>
      </c>
      <c r="J172" s="27" t="str">
        <f aca="false">IF(OR(B172="",C172="",D172="コード誤り"),"",IFERROR(DATE(YEAR(B172),MONTH(B172)+INDEX(取引先マスタ!$E$5:$E$204,MATCH($C172,取引先マスタ!$A$5:$A$204,0)),MIN(INDEX(取引先マスタ!$F$5:$F$204,MATCH($C172,取引先マスタ!$A$5:$A$204,0)),DAY(EOMONTH(B172,INDEX(取引先マスタ!$E$5:$E$204,MATCH($C172,取引先マスタ!$A$5:$A$204,0)))))),""))</f>
        <v/>
      </c>
      <c r="K172" s="22"/>
      <c r="L172" s="27" t="str">
        <f aca="false">IF(K172&lt;&gt;"",K172,J172)</f>
        <v/>
      </c>
      <c r="M172" s="28"/>
      <c r="N172" s="22"/>
      <c r="O172" s="28"/>
      <c r="P172" s="26" t="str">
        <f aca="false">IF(A172="","",SUMIF(入金明細!$F$5:$F$1004,A172,入金明細!$E$5:$E$1004))</f>
        <v/>
      </c>
      <c r="Q172" s="27" t="str">
        <f aca="false">IF(OR(A172="",N(P172)=0),"",SUMPRODUCT(MAX((入金明細!$F$5:$F$1004=A172)*入金明細!$B$5:$B$1004)))</f>
        <v/>
      </c>
      <c r="R172" s="18"/>
      <c r="S172" s="26" t="str">
        <f aca="false">IF(OR(A172="",I172=""),"",I172-N(P172)-N(R172))</f>
        <v/>
      </c>
      <c r="T172" s="28"/>
      <c r="U172" s="29" t="str">
        <f aca="false">IF(A172="","",IF(T172="取消","取消",IF(W172&lt;&gt;"","要入力",IF(N172="","未送付",IF(S172=0,"入金済",IF(S172&lt;0,"過入金",IF(設定!$C$5&gt;L172,IF(P172&gt;0,"一部入金・超過","期日超過"),IF(P172&gt;0,"一部入金",IF(L172-設定!$C$5&lt;=設定!$C$6,"期日間近","入金待ち")))))))))</f>
        <v/>
      </c>
      <c r="V172" s="30" t="str">
        <f aca="false">IF(OR(U172="期日超過",U172="一部入金・超過"),設定!$C$5-L172,"")</f>
        <v/>
      </c>
      <c r="W172" s="21" t="str">
        <f aca="false">IF(A172="","",TRIM(IF(B172="","請求日 ","")&amp;IF(C172="","取引先 ",IF(D172="コード誤り","取引先コード誤り ",""))&amp;IF(E172="","件名 ","")&amp;IF(F172="","税抜金額 ","")&amp;IF(G172="","税率 ","")&amp;IF(M172="","送付方法 ","")&amp;IF(AND(N172&lt;&gt;"",O172=""),"送付者 ","")&amp;IF(AND(I172&lt;&gt;"",L172=""),"入金期日 ","")&amp;IF(AND(N172&lt;&gt;"",P172&gt;0,S172&lt;=0,X172=""),"消込確認者 ","")))</f>
        <v/>
      </c>
      <c r="X172" s="28"/>
      <c r="Y172" s="28"/>
    </row>
    <row r="173" customFormat="false" ht="15" hidden="false" customHeight="false" outlineLevel="0" collapsed="false">
      <c r="A173" s="21" t="str">
        <f aca="false">IF(COUNTA(B173,C173,E173,F173)=0,"",設定!$C$4&amp;TEXT(ROW()-4,"00000"))</f>
        <v/>
      </c>
      <c r="B173" s="22"/>
      <c r="C173" s="23"/>
      <c r="D173" s="21" t="str">
        <f aca="false">IF(C173="","",IFERROR(INDEX(取引先マスタ!$B$5:$B$204,MATCH($C173,取引先マスタ!$A$5:$A$204,0)),"コード誤り"))</f>
        <v/>
      </c>
      <c r="E173" s="28"/>
      <c r="F173" s="18"/>
      <c r="G173" s="25"/>
      <c r="H173" s="26" t="str">
        <f aca="false">IF(OR(F173="",G173=""),"",ROUNDDOWN(F173*G173,0))</f>
        <v/>
      </c>
      <c r="I173" s="26" t="str">
        <f aca="false">IF(OR(F173="",G173=""),"",F173+H173)</f>
        <v/>
      </c>
      <c r="J173" s="27" t="str">
        <f aca="false">IF(OR(B173="",C173="",D173="コード誤り"),"",IFERROR(DATE(YEAR(B173),MONTH(B173)+INDEX(取引先マスタ!$E$5:$E$204,MATCH($C173,取引先マスタ!$A$5:$A$204,0)),MIN(INDEX(取引先マスタ!$F$5:$F$204,MATCH($C173,取引先マスタ!$A$5:$A$204,0)),DAY(EOMONTH(B173,INDEX(取引先マスタ!$E$5:$E$204,MATCH($C173,取引先マスタ!$A$5:$A$204,0)))))),""))</f>
        <v/>
      </c>
      <c r="K173" s="22"/>
      <c r="L173" s="27" t="str">
        <f aca="false">IF(K173&lt;&gt;"",K173,J173)</f>
        <v/>
      </c>
      <c r="M173" s="28"/>
      <c r="N173" s="22"/>
      <c r="O173" s="28"/>
      <c r="P173" s="26" t="str">
        <f aca="false">IF(A173="","",SUMIF(入金明細!$F$5:$F$1004,A173,入金明細!$E$5:$E$1004))</f>
        <v/>
      </c>
      <c r="Q173" s="27" t="str">
        <f aca="false">IF(OR(A173="",N(P173)=0),"",SUMPRODUCT(MAX((入金明細!$F$5:$F$1004=A173)*入金明細!$B$5:$B$1004)))</f>
        <v/>
      </c>
      <c r="R173" s="18"/>
      <c r="S173" s="26" t="str">
        <f aca="false">IF(OR(A173="",I173=""),"",I173-N(P173)-N(R173))</f>
        <v/>
      </c>
      <c r="T173" s="28"/>
      <c r="U173" s="29" t="str">
        <f aca="false">IF(A173="","",IF(T173="取消","取消",IF(W173&lt;&gt;"","要入力",IF(N173="","未送付",IF(S173=0,"入金済",IF(S173&lt;0,"過入金",IF(設定!$C$5&gt;L173,IF(P173&gt;0,"一部入金・超過","期日超過"),IF(P173&gt;0,"一部入金",IF(L173-設定!$C$5&lt;=設定!$C$6,"期日間近","入金待ち")))))))))</f>
        <v/>
      </c>
      <c r="V173" s="30" t="str">
        <f aca="false">IF(OR(U173="期日超過",U173="一部入金・超過"),設定!$C$5-L173,"")</f>
        <v/>
      </c>
      <c r="W173" s="21" t="str">
        <f aca="false">IF(A173="","",TRIM(IF(B173="","請求日 ","")&amp;IF(C173="","取引先 ",IF(D173="コード誤り","取引先コード誤り ",""))&amp;IF(E173="","件名 ","")&amp;IF(F173="","税抜金額 ","")&amp;IF(G173="","税率 ","")&amp;IF(M173="","送付方法 ","")&amp;IF(AND(N173&lt;&gt;"",O173=""),"送付者 ","")&amp;IF(AND(I173&lt;&gt;"",L173=""),"入金期日 ","")&amp;IF(AND(N173&lt;&gt;"",P173&gt;0,S173&lt;=0,X173=""),"消込確認者 ","")))</f>
        <v/>
      </c>
      <c r="X173" s="28"/>
      <c r="Y173" s="28"/>
    </row>
    <row r="174" customFormat="false" ht="15" hidden="false" customHeight="false" outlineLevel="0" collapsed="false">
      <c r="A174" s="21" t="str">
        <f aca="false">IF(COUNTA(B174,C174,E174,F174)=0,"",設定!$C$4&amp;TEXT(ROW()-4,"00000"))</f>
        <v/>
      </c>
      <c r="B174" s="22"/>
      <c r="C174" s="23"/>
      <c r="D174" s="21" t="str">
        <f aca="false">IF(C174="","",IFERROR(INDEX(取引先マスタ!$B$5:$B$204,MATCH($C174,取引先マスタ!$A$5:$A$204,0)),"コード誤り"))</f>
        <v/>
      </c>
      <c r="E174" s="28"/>
      <c r="F174" s="18"/>
      <c r="G174" s="25"/>
      <c r="H174" s="26" t="str">
        <f aca="false">IF(OR(F174="",G174=""),"",ROUNDDOWN(F174*G174,0))</f>
        <v/>
      </c>
      <c r="I174" s="26" t="str">
        <f aca="false">IF(OR(F174="",G174=""),"",F174+H174)</f>
        <v/>
      </c>
      <c r="J174" s="27" t="str">
        <f aca="false">IF(OR(B174="",C174="",D174="コード誤り"),"",IFERROR(DATE(YEAR(B174),MONTH(B174)+INDEX(取引先マスタ!$E$5:$E$204,MATCH($C174,取引先マスタ!$A$5:$A$204,0)),MIN(INDEX(取引先マスタ!$F$5:$F$204,MATCH($C174,取引先マスタ!$A$5:$A$204,0)),DAY(EOMONTH(B174,INDEX(取引先マスタ!$E$5:$E$204,MATCH($C174,取引先マスタ!$A$5:$A$204,0)))))),""))</f>
        <v/>
      </c>
      <c r="K174" s="22"/>
      <c r="L174" s="27" t="str">
        <f aca="false">IF(K174&lt;&gt;"",K174,J174)</f>
        <v/>
      </c>
      <c r="M174" s="28"/>
      <c r="N174" s="22"/>
      <c r="O174" s="28"/>
      <c r="P174" s="26" t="str">
        <f aca="false">IF(A174="","",SUMIF(入金明細!$F$5:$F$1004,A174,入金明細!$E$5:$E$1004))</f>
        <v/>
      </c>
      <c r="Q174" s="27" t="str">
        <f aca="false">IF(OR(A174="",N(P174)=0),"",SUMPRODUCT(MAX((入金明細!$F$5:$F$1004=A174)*入金明細!$B$5:$B$1004)))</f>
        <v/>
      </c>
      <c r="R174" s="18"/>
      <c r="S174" s="26" t="str">
        <f aca="false">IF(OR(A174="",I174=""),"",I174-N(P174)-N(R174))</f>
        <v/>
      </c>
      <c r="T174" s="28"/>
      <c r="U174" s="29" t="str">
        <f aca="false">IF(A174="","",IF(T174="取消","取消",IF(W174&lt;&gt;"","要入力",IF(N174="","未送付",IF(S174=0,"入金済",IF(S174&lt;0,"過入金",IF(設定!$C$5&gt;L174,IF(P174&gt;0,"一部入金・超過","期日超過"),IF(P174&gt;0,"一部入金",IF(L174-設定!$C$5&lt;=設定!$C$6,"期日間近","入金待ち")))))))))</f>
        <v/>
      </c>
      <c r="V174" s="30" t="str">
        <f aca="false">IF(OR(U174="期日超過",U174="一部入金・超過"),設定!$C$5-L174,"")</f>
        <v/>
      </c>
      <c r="W174" s="21" t="str">
        <f aca="false">IF(A174="","",TRIM(IF(B174="","請求日 ","")&amp;IF(C174="","取引先 ",IF(D174="コード誤り","取引先コード誤り ",""))&amp;IF(E174="","件名 ","")&amp;IF(F174="","税抜金額 ","")&amp;IF(G174="","税率 ","")&amp;IF(M174="","送付方法 ","")&amp;IF(AND(N174&lt;&gt;"",O174=""),"送付者 ","")&amp;IF(AND(I174&lt;&gt;"",L174=""),"入金期日 ","")&amp;IF(AND(N174&lt;&gt;"",P174&gt;0,S174&lt;=0,X174=""),"消込確認者 ","")))</f>
        <v/>
      </c>
      <c r="X174" s="28"/>
      <c r="Y174" s="28"/>
    </row>
    <row r="175" customFormat="false" ht="15" hidden="false" customHeight="false" outlineLevel="0" collapsed="false">
      <c r="A175" s="21" t="str">
        <f aca="false">IF(COUNTA(B175,C175,E175,F175)=0,"",設定!$C$4&amp;TEXT(ROW()-4,"00000"))</f>
        <v/>
      </c>
      <c r="B175" s="22"/>
      <c r="C175" s="23"/>
      <c r="D175" s="21" t="str">
        <f aca="false">IF(C175="","",IFERROR(INDEX(取引先マスタ!$B$5:$B$204,MATCH($C175,取引先マスタ!$A$5:$A$204,0)),"コード誤り"))</f>
        <v/>
      </c>
      <c r="E175" s="28"/>
      <c r="F175" s="18"/>
      <c r="G175" s="25"/>
      <c r="H175" s="26" t="str">
        <f aca="false">IF(OR(F175="",G175=""),"",ROUNDDOWN(F175*G175,0))</f>
        <v/>
      </c>
      <c r="I175" s="26" t="str">
        <f aca="false">IF(OR(F175="",G175=""),"",F175+H175)</f>
        <v/>
      </c>
      <c r="J175" s="27" t="str">
        <f aca="false">IF(OR(B175="",C175="",D175="コード誤り"),"",IFERROR(DATE(YEAR(B175),MONTH(B175)+INDEX(取引先マスタ!$E$5:$E$204,MATCH($C175,取引先マスタ!$A$5:$A$204,0)),MIN(INDEX(取引先マスタ!$F$5:$F$204,MATCH($C175,取引先マスタ!$A$5:$A$204,0)),DAY(EOMONTH(B175,INDEX(取引先マスタ!$E$5:$E$204,MATCH($C175,取引先マスタ!$A$5:$A$204,0)))))),""))</f>
        <v/>
      </c>
      <c r="K175" s="22"/>
      <c r="L175" s="27" t="str">
        <f aca="false">IF(K175&lt;&gt;"",K175,J175)</f>
        <v/>
      </c>
      <c r="M175" s="28"/>
      <c r="N175" s="22"/>
      <c r="O175" s="28"/>
      <c r="P175" s="26" t="str">
        <f aca="false">IF(A175="","",SUMIF(入金明細!$F$5:$F$1004,A175,入金明細!$E$5:$E$1004))</f>
        <v/>
      </c>
      <c r="Q175" s="27" t="str">
        <f aca="false">IF(OR(A175="",N(P175)=0),"",SUMPRODUCT(MAX((入金明細!$F$5:$F$1004=A175)*入金明細!$B$5:$B$1004)))</f>
        <v/>
      </c>
      <c r="R175" s="18"/>
      <c r="S175" s="26" t="str">
        <f aca="false">IF(OR(A175="",I175=""),"",I175-N(P175)-N(R175))</f>
        <v/>
      </c>
      <c r="T175" s="28"/>
      <c r="U175" s="29" t="str">
        <f aca="false">IF(A175="","",IF(T175="取消","取消",IF(W175&lt;&gt;"","要入力",IF(N175="","未送付",IF(S175=0,"入金済",IF(S175&lt;0,"過入金",IF(設定!$C$5&gt;L175,IF(P175&gt;0,"一部入金・超過","期日超過"),IF(P175&gt;0,"一部入金",IF(L175-設定!$C$5&lt;=設定!$C$6,"期日間近","入金待ち")))))))))</f>
        <v/>
      </c>
      <c r="V175" s="30" t="str">
        <f aca="false">IF(OR(U175="期日超過",U175="一部入金・超過"),設定!$C$5-L175,"")</f>
        <v/>
      </c>
      <c r="W175" s="21" t="str">
        <f aca="false">IF(A175="","",TRIM(IF(B175="","請求日 ","")&amp;IF(C175="","取引先 ",IF(D175="コード誤り","取引先コード誤り ",""))&amp;IF(E175="","件名 ","")&amp;IF(F175="","税抜金額 ","")&amp;IF(G175="","税率 ","")&amp;IF(M175="","送付方法 ","")&amp;IF(AND(N175&lt;&gt;"",O175=""),"送付者 ","")&amp;IF(AND(I175&lt;&gt;"",L175=""),"入金期日 ","")&amp;IF(AND(N175&lt;&gt;"",P175&gt;0,S175&lt;=0,X175=""),"消込確認者 ","")))</f>
        <v/>
      </c>
      <c r="X175" s="28"/>
      <c r="Y175" s="28"/>
    </row>
    <row r="176" customFormat="false" ht="15" hidden="false" customHeight="false" outlineLevel="0" collapsed="false">
      <c r="A176" s="21" t="str">
        <f aca="false">IF(COUNTA(B176,C176,E176,F176)=0,"",設定!$C$4&amp;TEXT(ROW()-4,"00000"))</f>
        <v/>
      </c>
      <c r="B176" s="22"/>
      <c r="C176" s="23"/>
      <c r="D176" s="21" t="str">
        <f aca="false">IF(C176="","",IFERROR(INDEX(取引先マスタ!$B$5:$B$204,MATCH($C176,取引先マスタ!$A$5:$A$204,0)),"コード誤り"))</f>
        <v/>
      </c>
      <c r="E176" s="28"/>
      <c r="F176" s="18"/>
      <c r="G176" s="25"/>
      <c r="H176" s="26" t="str">
        <f aca="false">IF(OR(F176="",G176=""),"",ROUNDDOWN(F176*G176,0))</f>
        <v/>
      </c>
      <c r="I176" s="26" t="str">
        <f aca="false">IF(OR(F176="",G176=""),"",F176+H176)</f>
        <v/>
      </c>
      <c r="J176" s="27" t="str">
        <f aca="false">IF(OR(B176="",C176="",D176="コード誤り"),"",IFERROR(DATE(YEAR(B176),MONTH(B176)+INDEX(取引先マスタ!$E$5:$E$204,MATCH($C176,取引先マスタ!$A$5:$A$204,0)),MIN(INDEX(取引先マスタ!$F$5:$F$204,MATCH($C176,取引先マスタ!$A$5:$A$204,0)),DAY(EOMONTH(B176,INDEX(取引先マスタ!$E$5:$E$204,MATCH($C176,取引先マスタ!$A$5:$A$204,0)))))),""))</f>
        <v/>
      </c>
      <c r="K176" s="22"/>
      <c r="L176" s="27" t="str">
        <f aca="false">IF(K176&lt;&gt;"",K176,J176)</f>
        <v/>
      </c>
      <c r="M176" s="28"/>
      <c r="N176" s="22"/>
      <c r="O176" s="28"/>
      <c r="P176" s="26" t="str">
        <f aca="false">IF(A176="","",SUMIF(入金明細!$F$5:$F$1004,A176,入金明細!$E$5:$E$1004))</f>
        <v/>
      </c>
      <c r="Q176" s="27" t="str">
        <f aca="false">IF(OR(A176="",N(P176)=0),"",SUMPRODUCT(MAX((入金明細!$F$5:$F$1004=A176)*入金明細!$B$5:$B$1004)))</f>
        <v/>
      </c>
      <c r="R176" s="18"/>
      <c r="S176" s="26" t="str">
        <f aca="false">IF(OR(A176="",I176=""),"",I176-N(P176)-N(R176))</f>
        <v/>
      </c>
      <c r="T176" s="28"/>
      <c r="U176" s="29" t="str">
        <f aca="false">IF(A176="","",IF(T176="取消","取消",IF(W176&lt;&gt;"","要入力",IF(N176="","未送付",IF(S176=0,"入金済",IF(S176&lt;0,"過入金",IF(設定!$C$5&gt;L176,IF(P176&gt;0,"一部入金・超過","期日超過"),IF(P176&gt;0,"一部入金",IF(L176-設定!$C$5&lt;=設定!$C$6,"期日間近","入金待ち")))))))))</f>
        <v/>
      </c>
      <c r="V176" s="30" t="str">
        <f aca="false">IF(OR(U176="期日超過",U176="一部入金・超過"),設定!$C$5-L176,"")</f>
        <v/>
      </c>
      <c r="W176" s="21" t="str">
        <f aca="false">IF(A176="","",TRIM(IF(B176="","請求日 ","")&amp;IF(C176="","取引先 ",IF(D176="コード誤り","取引先コード誤り ",""))&amp;IF(E176="","件名 ","")&amp;IF(F176="","税抜金額 ","")&amp;IF(G176="","税率 ","")&amp;IF(M176="","送付方法 ","")&amp;IF(AND(N176&lt;&gt;"",O176=""),"送付者 ","")&amp;IF(AND(I176&lt;&gt;"",L176=""),"入金期日 ","")&amp;IF(AND(N176&lt;&gt;"",P176&gt;0,S176&lt;=0,X176=""),"消込確認者 ","")))</f>
        <v/>
      </c>
      <c r="X176" s="28"/>
      <c r="Y176" s="28"/>
    </row>
    <row r="177" customFormat="false" ht="15" hidden="false" customHeight="false" outlineLevel="0" collapsed="false">
      <c r="A177" s="21" t="str">
        <f aca="false">IF(COUNTA(B177,C177,E177,F177)=0,"",設定!$C$4&amp;TEXT(ROW()-4,"00000"))</f>
        <v/>
      </c>
      <c r="B177" s="22"/>
      <c r="C177" s="23"/>
      <c r="D177" s="21" t="str">
        <f aca="false">IF(C177="","",IFERROR(INDEX(取引先マスタ!$B$5:$B$204,MATCH($C177,取引先マスタ!$A$5:$A$204,0)),"コード誤り"))</f>
        <v/>
      </c>
      <c r="E177" s="28"/>
      <c r="F177" s="18"/>
      <c r="G177" s="25"/>
      <c r="H177" s="26" t="str">
        <f aca="false">IF(OR(F177="",G177=""),"",ROUNDDOWN(F177*G177,0))</f>
        <v/>
      </c>
      <c r="I177" s="26" t="str">
        <f aca="false">IF(OR(F177="",G177=""),"",F177+H177)</f>
        <v/>
      </c>
      <c r="J177" s="27" t="str">
        <f aca="false">IF(OR(B177="",C177="",D177="コード誤り"),"",IFERROR(DATE(YEAR(B177),MONTH(B177)+INDEX(取引先マスタ!$E$5:$E$204,MATCH($C177,取引先マスタ!$A$5:$A$204,0)),MIN(INDEX(取引先マスタ!$F$5:$F$204,MATCH($C177,取引先マスタ!$A$5:$A$204,0)),DAY(EOMONTH(B177,INDEX(取引先マスタ!$E$5:$E$204,MATCH($C177,取引先マスタ!$A$5:$A$204,0)))))),""))</f>
        <v/>
      </c>
      <c r="K177" s="22"/>
      <c r="L177" s="27" t="str">
        <f aca="false">IF(K177&lt;&gt;"",K177,J177)</f>
        <v/>
      </c>
      <c r="M177" s="28"/>
      <c r="N177" s="22"/>
      <c r="O177" s="28"/>
      <c r="P177" s="26" t="str">
        <f aca="false">IF(A177="","",SUMIF(入金明細!$F$5:$F$1004,A177,入金明細!$E$5:$E$1004))</f>
        <v/>
      </c>
      <c r="Q177" s="27" t="str">
        <f aca="false">IF(OR(A177="",N(P177)=0),"",SUMPRODUCT(MAX((入金明細!$F$5:$F$1004=A177)*入金明細!$B$5:$B$1004)))</f>
        <v/>
      </c>
      <c r="R177" s="18"/>
      <c r="S177" s="26" t="str">
        <f aca="false">IF(OR(A177="",I177=""),"",I177-N(P177)-N(R177))</f>
        <v/>
      </c>
      <c r="T177" s="28"/>
      <c r="U177" s="29" t="str">
        <f aca="false">IF(A177="","",IF(T177="取消","取消",IF(W177&lt;&gt;"","要入力",IF(N177="","未送付",IF(S177=0,"入金済",IF(S177&lt;0,"過入金",IF(設定!$C$5&gt;L177,IF(P177&gt;0,"一部入金・超過","期日超過"),IF(P177&gt;0,"一部入金",IF(L177-設定!$C$5&lt;=設定!$C$6,"期日間近","入金待ち")))))))))</f>
        <v/>
      </c>
      <c r="V177" s="30" t="str">
        <f aca="false">IF(OR(U177="期日超過",U177="一部入金・超過"),設定!$C$5-L177,"")</f>
        <v/>
      </c>
      <c r="W177" s="21" t="str">
        <f aca="false">IF(A177="","",TRIM(IF(B177="","請求日 ","")&amp;IF(C177="","取引先 ",IF(D177="コード誤り","取引先コード誤り ",""))&amp;IF(E177="","件名 ","")&amp;IF(F177="","税抜金額 ","")&amp;IF(G177="","税率 ","")&amp;IF(M177="","送付方法 ","")&amp;IF(AND(N177&lt;&gt;"",O177=""),"送付者 ","")&amp;IF(AND(I177&lt;&gt;"",L177=""),"入金期日 ","")&amp;IF(AND(N177&lt;&gt;"",P177&gt;0,S177&lt;=0,X177=""),"消込確認者 ","")))</f>
        <v/>
      </c>
      <c r="X177" s="28"/>
      <c r="Y177" s="28"/>
    </row>
    <row r="178" customFormat="false" ht="15" hidden="false" customHeight="false" outlineLevel="0" collapsed="false">
      <c r="A178" s="21" t="str">
        <f aca="false">IF(COUNTA(B178,C178,E178,F178)=0,"",設定!$C$4&amp;TEXT(ROW()-4,"00000"))</f>
        <v/>
      </c>
      <c r="B178" s="22"/>
      <c r="C178" s="23"/>
      <c r="D178" s="21" t="str">
        <f aca="false">IF(C178="","",IFERROR(INDEX(取引先マスタ!$B$5:$B$204,MATCH($C178,取引先マスタ!$A$5:$A$204,0)),"コード誤り"))</f>
        <v/>
      </c>
      <c r="E178" s="28"/>
      <c r="F178" s="18"/>
      <c r="G178" s="25"/>
      <c r="H178" s="26" t="str">
        <f aca="false">IF(OR(F178="",G178=""),"",ROUNDDOWN(F178*G178,0))</f>
        <v/>
      </c>
      <c r="I178" s="26" t="str">
        <f aca="false">IF(OR(F178="",G178=""),"",F178+H178)</f>
        <v/>
      </c>
      <c r="J178" s="27" t="str">
        <f aca="false">IF(OR(B178="",C178="",D178="コード誤り"),"",IFERROR(DATE(YEAR(B178),MONTH(B178)+INDEX(取引先マスタ!$E$5:$E$204,MATCH($C178,取引先マスタ!$A$5:$A$204,0)),MIN(INDEX(取引先マスタ!$F$5:$F$204,MATCH($C178,取引先マスタ!$A$5:$A$204,0)),DAY(EOMONTH(B178,INDEX(取引先マスタ!$E$5:$E$204,MATCH($C178,取引先マスタ!$A$5:$A$204,0)))))),""))</f>
        <v/>
      </c>
      <c r="K178" s="22"/>
      <c r="L178" s="27" t="str">
        <f aca="false">IF(K178&lt;&gt;"",K178,J178)</f>
        <v/>
      </c>
      <c r="M178" s="28"/>
      <c r="N178" s="22"/>
      <c r="O178" s="28"/>
      <c r="P178" s="26" t="str">
        <f aca="false">IF(A178="","",SUMIF(入金明細!$F$5:$F$1004,A178,入金明細!$E$5:$E$1004))</f>
        <v/>
      </c>
      <c r="Q178" s="27" t="str">
        <f aca="false">IF(OR(A178="",N(P178)=0),"",SUMPRODUCT(MAX((入金明細!$F$5:$F$1004=A178)*入金明細!$B$5:$B$1004)))</f>
        <v/>
      </c>
      <c r="R178" s="18"/>
      <c r="S178" s="26" t="str">
        <f aca="false">IF(OR(A178="",I178=""),"",I178-N(P178)-N(R178))</f>
        <v/>
      </c>
      <c r="T178" s="28"/>
      <c r="U178" s="29" t="str">
        <f aca="false">IF(A178="","",IF(T178="取消","取消",IF(W178&lt;&gt;"","要入力",IF(N178="","未送付",IF(S178=0,"入金済",IF(S178&lt;0,"過入金",IF(設定!$C$5&gt;L178,IF(P178&gt;0,"一部入金・超過","期日超過"),IF(P178&gt;0,"一部入金",IF(L178-設定!$C$5&lt;=設定!$C$6,"期日間近","入金待ち")))))))))</f>
        <v/>
      </c>
      <c r="V178" s="30" t="str">
        <f aca="false">IF(OR(U178="期日超過",U178="一部入金・超過"),設定!$C$5-L178,"")</f>
        <v/>
      </c>
      <c r="W178" s="21" t="str">
        <f aca="false">IF(A178="","",TRIM(IF(B178="","請求日 ","")&amp;IF(C178="","取引先 ",IF(D178="コード誤り","取引先コード誤り ",""))&amp;IF(E178="","件名 ","")&amp;IF(F178="","税抜金額 ","")&amp;IF(G178="","税率 ","")&amp;IF(M178="","送付方法 ","")&amp;IF(AND(N178&lt;&gt;"",O178=""),"送付者 ","")&amp;IF(AND(I178&lt;&gt;"",L178=""),"入金期日 ","")&amp;IF(AND(N178&lt;&gt;"",P178&gt;0,S178&lt;=0,X178=""),"消込確認者 ","")))</f>
        <v/>
      </c>
      <c r="X178" s="28"/>
      <c r="Y178" s="28"/>
    </row>
    <row r="179" customFormat="false" ht="15" hidden="false" customHeight="false" outlineLevel="0" collapsed="false">
      <c r="A179" s="21" t="str">
        <f aca="false">IF(COUNTA(B179,C179,E179,F179)=0,"",設定!$C$4&amp;TEXT(ROW()-4,"00000"))</f>
        <v/>
      </c>
      <c r="B179" s="22"/>
      <c r="C179" s="23"/>
      <c r="D179" s="21" t="str">
        <f aca="false">IF(C179="","",IFERROR(INDEX(取引先マスタ!$B$5:$B$204,MATCH($C179,取引先マスタ!$A$5:$A$204,0)),"コード誤り"))</f>
        <v/>
      </c>
      <c r="E179" s="28"/>
      <c r="F179" s="18"/>
      <c r="G179" s="25"/>
      <c r="H179" s="26" t="str">
        <f aca="false">IF(OR(F179="",G179=""),"",ROUNDDOWN(F179*G179,0))</f>
        <v/>
      </c>
      <c r="I179" s="26" t="str">
        <f aca="false">IF(OR(F179="",G179=""),"",F179+H179)</f>
        <v/>
      </c>
      <c r="J179" s="27" t="str">
        <f aca="false">IF(OR(B179="",C179="",D179="コード誤り"),"",IFERROR(DATE(YEAR(B179),MONTH(B179)+INDEX(取引先マスタ!$E$5:$E$204,MATCH($C179,取引先マスタ!$A$5:$A$204,0)),MIN(INDEX(取引先マスタ!$F$5:$F$204,MATCH($C179,取引先マスタ!$A$5:$A$204,0)),DAY(EOMONTH(B179,INDEX(取引先マスタ!$E$5:$E$204,MATCH($C179,取引先マスタ!$A$5:$A$204,0)))))),""))</f>
        <v/>
      </c>
      <c r="K179" s="22"/>
      <c r="L179" s="27" t="str">
        <f aca="false">IF(K179&lt;&gt;"",K179,J179)</f>
        <v/>
      </c>
      <c r="M179" s="28"/>
      <c r="N179" s="22"/>
      <c r="O179" s="28"/>
      <c r="P179" s="26" t="str">
        <f aca="false">IF(A179="","",SUMIF(入金明細!$F$5:$F$1004,A179,入金明細!$E$5:$E$1004))</f>
        <v/>
      </c>
      <c r="Q179" s="27" t="str">
        <f aca="false">IF(OR(A179="",N(P179)=0),"",SUMPRODUCT(MAX((入金明細!$F$5:$F$1004=A179)*入金明細!$B$5:$B$1004)))</f>
        <v/>
      </c>
      <c r="R179" s="18"/>
      <c r="S179" s="26" t="str">
        <f aca="false">IF(OR(A179="",I179=""),"",I179-N(P179)-N(R179))</f>
        <v/>
      </c>
      <c r="T179" s="28"/>
      <c r="U179" s="29" t="str">
        <f aca="false">IF(A179="","",IF(T179="取消","取消",IF(W179&lt;&gt;"","要入力",IF(N179="","未送付",IF(S179=0,"入金済",IF(S179&lt;0,"過入金",IF(設定!$C$5&gt;L179,IF(P179&gt;0,"一部入金・超過","期日超過"),IF(P179&gt;0,"一部入金",IF(L179-設定!$C$5&lt;=設定!$C$6,"期日間近","入金待ち")))))))))</f>
        <v/>
      </c>
      <c r="V179" s="30" t="str">
        <f aca="false">IF(OR(U179="期日超過",U179="一部入金・超過"),設定!$C$5-L179,"")</f>
        <v/>
      </c>
      <c r="W179" s="21" t="str">
        <f aca="false">IF(A179="","",TRIM(IF(B179="","請求日 ","")&amp;IF(C179="","取引先 ",IF(D179="コード誤り","取引先コード誤り ",""))&amp;IF(E179="","件名 ","")&amp;IF(F179="","税抜金額 ","")&amp;IF(G179="","税率 ","")&amp;IF(M179="","送付方法 ","")&amp;IF(AND(N179&lt;&gt;"",O179=""),"送付者 ","")&amp;IF(AND(I179&lt;&gt;"",L179=""),"入金期日 ","")&amp;IF(AND(N179&lt;&gt;"",P179&gt;0,S179&lt;=0,X179=""),"消込確認者 ","")))</f>
        <v/>
      </c>
      <c r="X179" s="28"/>
      <c r="Y179" s="28"/>
    </row>
    <row r="180" customFormat="false" ht="15" hidden="false" customHeight="false" outlineLevel="0" collapsed="false">
      <c r="A180" s="21" t="str">
        <f aca="false">IF(COUNTA(B180,C180,E180,F180)=0,"",設定!$C$4&amp;TEXT(ROW()-4,"00000"))</f>
        <v/>
      </c>
      <c r="B180" s="22"/>
      <c r="C180" s="23"/>
      <c r="D180" s="21" t="str">
        <f aca="false">IF(C180="","",IFERROR(INDEX(取引先マスタ!$B$5:$B$204,MATCH($C180,取引先マスタ!$A$5:$A$204,0)),"コード誤り"))</f>
        <v/>
      </c>
      <c r="E180" s="28"/>
      <c r="F180" s="18"/>
      <c r="G180" s="25"/>
      <c r="H180" s="26" t="str">
        <f aca="false">IF(OR(F180="",G180=""),"",ROUNDDOWN(F180*G180,0))</f>
        <v/>
      </c>
      <c r="I180" s="26" t="str">
        <f aca="false">IF(OR(F180="",G180=""),"",F180+H180)</f>
        <v/>
      </c>
      <c r="J180" s="27" t="str">
        <f aca="false">IF(OR(B180="",C180="",D180="コード誤り"),"",IFERROR(DATE(YEAR(B180),MONTH(B180)+INDEX(取引先マスタ!$E$5:$E$204,MATCH($C180,取引先マスタ!$A$5:$A$204,0)),MIN(INDEX(取引先マスタ!$F$5:$F$204,MATCH($C180,取引先マスタ!$A$5:$A$204,0)),DAY(EOMONTH(B180,INDEX(取引先マスタ!$E$5:$E$204,MATCH($C180,取引先マスタ!$A$5:$A$204,0)))))),""))</f>
        <v/>
      </c>
      <c r="K180" s="22"/>
      <c r="L180" s="27" t="str">
        <f aca="false">IF(K180&lt;&gt;"",K180,J180)</f>
        <v/>
      </c>
      <c r="M180" s="28"/>
      <c r="N180" s="22"/>
      <c r="O180" s="28"/>
      <c r="P180" s="26" t="str">
        <f aca="false">IF(A180="","",SUMIF(入金明細!$F$5:$F$1004,A180,入金明細!$E$5:$E$1004))</f>
        <v/>
      </c>
      <c r="Q180" s="27" t="str">
        <f aca="false">IF(OR(A180="",N(P180)=0),"",SUMPRODUCT(MAX((入金明細!$F$5:$F$1004=A180)*入金明細!$B$5:$B$1004)))</f>
        <v/>
      </c>
      <c r="R180" s="18"/>
      <c r="S180" s="26" t="str">
        <f aca="false">IF(OR(A180="",I180=""),"",I180-N(P180)-N(R180))</f>
        <v/>
      </c>
      <c r="T180" s="28"/>
      <c r="U180" s="29" t="str">
        <f aca="false">IF(A180="","",IF(T180="取消","取消",IF(W180&lt;&gt;"","要入力",IF(N180="","未送付",IF(S180=0,"入金済",IF(S180&lt;0,"過入金",IF(設定!$C$5&gt;L180,IF(P180&gt;0,"一部入金・超過","期日超過"),IF(P180&gt;0,"一部入金",IF(L180-設定!$C$5&lt;=設定!$C$6,"期日間近","入金待ち")))))))))</f>
        <v/>
      </c>
      <c r="V180" s="30" t="str">
        <f aca="false">IF(OR(U180="期日超過",U180="一部入金・超過"),設定!$C$5-L180,"")</f>
        <v/>
      </c>
      <c r="W180" s="21" t="str">
        <f aca="false">IF(A180="","",TRIM(IF(B180="","請求日 ","")&amp;IF(C180="","取引先 ",IF(D180="コード誤り","取引先コード誤り ",""))&amp;IF(E180="","件名 ","")&amp;IF(F180="","税抜金額 ","")&amp;IF(G180="","税率 ","")&amp;IF(M180="","送付方法 ","")&amp;IF(AND(N180&lt;&gt;"",O180=""),"送付者 ","")&amp;IF(AND(I180&lt;&gt;"",L180=""),"入金期日 ","")&amp;IF(AND(N180&lt;&gt;"",P180&gt;0,S180&lt;=0,X180=""),"消込確認者 ","")))</f>
        <v/>
      </c>
      <c r="X180" s="28"/>
      <c r="Y180" s="28"/>
    </row>
    <row r="181" customFormat="false" ht="15" hidden="false" customHeight="false" outlineLevel="0" collapsed="false">
      <c r="A181" s="21" t="str">
        <f aca="false">IF(COUNTA(B181,C181,E181,F181)=0,"",設定!$C$4&amp;TEXT(ROW()-4,"00000"))</f>
        <v/>
      </c>
      <c r="B181" s="22"/>
      <c r="C181" s="23"/>
      <c r="D181" s="21" t="str">
        <f aca="false">IF(C181="","",IFERROR(INDEX(取引先マスタ!$B$5:$B$204,MATCH($C181,取引先マスタ!$A$5:$A$204,0)),"コード誤り"))</f>
        <v/>
      </c>
      <c r="E181" s="28"/>
      <c r="F181" s="18"/>
      <c r="G181" s="25"/>
      <c r="H181" s="26" t="str">
        <f aca="false">IF(OR(F181="",G181=""),"",ROUNDDOWN(F181*G181,0))</f>
        <v/>
      </c>
      <c r="I181" s="26" t="str">
        <f aca="false">IF(OR(F181="",G181=""),"",F181+H181)</f>
        <v/>
      </c>
      <c r="J181" s="27" t="str">
        <f aca="false">IF(OR(B181="",C181="",D181="コード誤り"),"",IFERROR(DATE(YEAR(B181),MONTH(B181)+INDEX(取引先マスタ!$E$5:$E$204,MATCH($C181,取引先マスタ!$A$5:$A$204,0)),MIN(INDEX(取引先マスタ!$F$5:$F$204,MATCH($C181,取引先マスタ!$A$5:$A$204,0)),DAY(EOMONTH(B181,INDEX(取引先マスタ!$E$5:$E$204,MATCH($C181,取引先マスタ!$A$5:$A$204,0)))))),""))</f>
        <v/>
      </c>
      <c r="K181" s="22"/>
      <c r="L181" s="27" t="str">
        <f aca="false">IF(K181&lt;&gt;"",K181,J181)</f>
        <v/>
      </c>
      <c r="M181" s="28"/>
      <c r="N181" s="22"/>
      <c r="O181" s="28"/>
      <c r="P181" s="26" t="str">
        <f aca="false">IF(A181="","",SUMIF(入金明細!$F$5:$F$1004,A181,入金明細!$E$5:$E$1004))</f>
        <v/>
      </c>
      <c r="Q181" s="27" t="str">
        <f aca="false">IF(OR(A181="",N(P181)=0),"",SUMPRODUCT(MAX((入金明細!$F$5:$F$1004=A181)*入金明細!$B$5:$B$1004)))</f>
        <v/>
      </c>
      <c r="R181" s="18"/>
      <c r="S181" s="26" t="str">
        <f aca="false">IF(OR(A181="",I181=""),"",I181-N(P181)-N(R181))</f>
        <v/>
      </c>
      <c r="T181" s="28"/>
      <c r="U181" s="29" t="str">
        <f aca="false">IF(A181="","",IF(T181="取消","取消",IF(W181&lt;&gt;"","要入力",IF(N181="","未送付",IF(S181=0,"入金済",IF(S181&lt;0,"過入金",IF(設定!$C$5&gt;L181,IF(P181&gt;0,"一部入金・超過","期日超過"),IF(P181&gt;0,"一部入金",IF(L181-設定!$C$5&lt;=設定!$C$6,"期日間近","入金待ち")))))))))</f>
        <v/>
      </c>
      <c r="V181" s="30" t="str">
        <f aca="false">IF(OR(U181="期日超過",U181="一部入金・超過"),設定!$C$5-L181,"")</f>
        <v/>
      </c>
      <c r="W181" s="21" t="str">
        <f aca="false">IF(A181="","",TRIM(IF(B181="","請求日 ","")&amp;IF(C181="","取引先 ",IF(D181="コード誤り","取引先コード誤り ",""))&amp;IF(E181="","件名 ","")&amp;IF(F181="","税抜金額 ","")&amp;IF(G181="","税率 ","")&amp;IF(M181="","送付方法 ","")&amp;IF(AND(N181&lt;&gt;"",O181=""),"送付者 ","")&amp;IF(AND(I181&lt;&gt;"",L181=""),"入金期日 ","")&amp;IF(AND(N181&lt;&gt;"",P181&gt;0,S181&lt;=0,X181=""),"消込確認者 ","")))</f>
        <v/>
      </c>
      <c r="X181" s="28"/>
      <c r="Y181" s="28"/>
    </row>
    <row r="182" customFormat="false" ht="15" hidden="false" customHeight="false" outlineLevel="0" collapsed="false">
      <c r="A182" s="21" t="str">
        <f aca="false">IF(COUNTA(B182,C182,E182,F182)=0,"",設定!$C$4&amp;TEXT(ROW()-4,"00000"))</f>
        <v/>
      </c>
      <c r="B182" s="22"/>
      <c r="C182" s="23"/>
      <c r="D182" s="21" t="str">
        <f aca="false">IF(C182="","",IFERROR(INDEX(取引先マスタ!$B$5:$B$204,MATCH($C182,取引先マスタ!$A$5:$A$204,0)),"コード誤り"))</f>
        <v/>
      </c>
      <c r="E182" s="28"/>
      <c r="F182" s="18"/>
      <c r="G182" s="25"/>
      <c r="H182" s="26" t="str">
        <f aca="false">IF(OR(F182="",G182=""),"",ROUNDDOWN(F182*G182,0))</f>
        <v/>
      </c>
      <c r="I182" s="26" t="str">
        <f aca="false">IF(OR(F182="",G182=""),"",F182+H182)</f>
        <v/>
      </c>
      <c r="J182" s="27" t="str">
        <f aca="false">IF(OR(B182="",C182="",D182="コード誤り"),"",IFERROR(DATE(YEAR(B182),MONTH(B182)+INDEX(取引先マスタ!$E$5:$E$204,MATCH($C182,取引先マスタ!$A$5:$A$204,0)),MIN(INDEX(取引先マスタ!$F$5:$F$204,MATCH($C182,取引先マスタ!$A$5:$A$204,0)),DAY(EOMONTH(B182,INDEX(取引先マスタ!$E$5:$E$204,MATCH($C182,取引先マスタ!$A$5:$A$204,0)))))),""))</f>
        <v/>
      </c>
      <c r="K182" s="22"/>
      <c r="L182" s="27" t="str">
        <f aca="false">IF(K182&lt;&gt;"",K182,J182)</f>
        <v/>
      </c>
      <c r="M182" s="28"/>
      <c r="N182" s="22"/>
      <c r="O182" s="28"/>
      <c r="P182" s="26" t="str">
        <f aca="false">IF(A182="","",SUMIF(入金明細!$F$5:$F$1004,A182,入金明細!$E$5:$E$1004))</f>
        <v/>
      </c>
      <c r="Q182" s="27" t="str">
        <f aca="false">IF(OR(A182="",N(P182)=0),"",SUMPRODUCT(MAX((入金明細!$F$5:$F$1004=A182)*入金明細!$B$5:$B$1004)))</f>
        <v/>
      </c>
      <c r="R182" s="18"/>
      <c r="S182" s="26" t="str">
        <f aca="false">IF(OR(A182="",I182=""),"",I182-N(P182)-N(R182))</f>
        <v/>
      </c>
      <c r="T182" s="28"/>
      <c r="U182" s="29" t="str">
        <f aca="false">IF(A182="","",IF(T182="取消","取消",IF(W182&lt;&gt;"","要入力",IF(N182="","未送付",IF(S182=0,"入金済",IF(S182&lt;0,"過入金",IF(設定!$C$5&gt;L182,IF(P182&gt;0,"一部入金・超過","期日超過"),IF(P182&gt;0,"一部入金",IF(L182-設定!$C$5&lt;=設定!$C$6,"期日間近","入金待ち")))))))))</f>
        <v/>
      </c>
      <c r="V182" s="30" t="str">
        <f aca="false">IF(OR(U182="期日超過",U182="一部入金・超過"),設定!$C$5-L182,"")</f>
        <v/>
      </c>
      <c r="W182" s="21" t="str">
        <f aca="false">IF(A182="","",TRIM(IF(B182="","請求日 ","")&amp;IF(C182="","取引先 ",IF(D182="コード誤り","取引先コード誤り ",""))&amp;IF(E182="","件名 ","")&amp;IF(F182="","税抜金額 ","")&amp;IF(G182="","税率 ","")&amp;IF(M182="","送付方法 ","")&amp;IF(AND(N182&lt;&gt;"",O182=""),"送付者 ","")&amp;IF(AND(I182&lt;&gt;"",L182=""),"入金期日 ","")&amp;IF(AND(N182&lt;&gt;"",P182&gt;0,S182&lt;=0,X182=""),"消込確認者 ","")))</f>
        <v/>
      </c>
      <c r="X182" s="28"/>
      <c r="Y182" s="28"/>
    </row>
    <row r="183" customFormat="false" ht="15" hidden="false" customHeight="false" outlineLevel="0" collapsed="false">
      <c r="A183" s="21" t="str">
        <f aca="false">IF(COUNTA(B183,C183,E183,F183)=0,"",設定!$C$4&amp;TEXT(ROW()-4,"00000"))</f>
        <v/>
      </c>
      <c r="B183" s="22"/>
      <c r="C183" s="23"/>
      <c r="D183" s="21" t="str">
        <f aca="false">IF(C183="","",IFERROR(INDEX(取引先マスタ!$B$5:$B$204,MATCH($C183,取引先マスタ!$A$5:$A$204,0)),"コード誤り"))</f>
        <v/>
      </c>
      <c r="E183" s="28"/>
      <c r="F183" s="18"/>
      <c r="G183" s="25"/>
      <c r="H183" s="26" t="str">
        <f aca="false">IF(OR(F183="",G183=""),"",ROUNDDOWN(F183*G183,0))</f>
        <v/>
      </c>
      <c r="I183" s="26" t="str">
        <f aca="false">IF(OR(F183="",G183=""),"",F183+H183)</f>
        <v/>
      </c>
      <c r="J183" s="27" t="str">
        <f aca="false">IF(OR(B183="",C183="",D183="コード誤り"),"",IFERROR(DATE(YEAR(B183),MONTH(B183)+INDEX(取引先マスタ!$E$5:$E$204,MATCH($C183,取引先マスタ!$A$5:$A$204,0)),MIN(INDEX(取引先マスタ!$F$5:$F$204,MATCH($C183,取引先マスタ!$A$5:$A$204,0)),DAY(EOMONTH(B183,INDEX(取引先マスタ!$E$5:$E$204,MATCH($C183,取引先マスタ!$A$5:$A$204,0)))))),""))</f>
        <v/>
      </c>
      <c r="K183" s="22"/>
      <c r="L183" s="27" t="str">
        <f aca="false">IF(K183&lt;&gt;"",K183,J183)</f>
        <v/>
      </c>
      <c r="M183" s="28"/>
      <c r="N183" s="22"/>
      <c r="O183" s="28"/>
      <c r="P183" s="26" t="str">
        <f aca="false">IF(A183="","",SUMIF(入金明細!$F$5:$F$1004,A183,入金明細!$E$5:$E$1004))</f>
        <v/>
      </c>
      <c r="Q183" s="27" t="str">
        <f aca="false">IF(OR(A183="",N(P183)=0),"",SUMPRODUCT(MAX((入金明細!$F$5:$F$1004=A183)*入金明細!$B$5:$B$1004)))</f>
        <v/>
      </c>
      <c r="R183" s="18"/>
      <c r="S183" s="26" t="str">
        <f aca="false">IF(OR(A183="",I183=""),"",I183-N(P183)-N(R183))</f>
        <v/>
      </c>
      <c r="T183" s="28"/>
      <c r="U183" s="29" t="str">
        <f aca="false">IF(A183="","",IF(T183="取消","取消",IF(W183&lt;&gt;"","要入力",IF(N183="","未送付",IF(S183=0,"入金済",IF(S183&lt;0,"過入金",IF(設定!$C$5&gt;L183,IF(P183&gt;0,"一部入金・超過","期日超過"),IF(P183&gt;0,"一部入金",IF(L183-設定!$C$5&lt;=設定!$C$6,"期日間近","入金待ち")))))))))</f>
        <v/>
      </c>
      <c r="V183" s="30" t="str">
        <f aca="false">IF(OR(U183="期日超過",U183="一部入金・超過"),設定!$C$5-L183,"")</f>
        <v/>
      </c>
      <c r="W183" s="21" t="str">
        <f aca="false">IF(A183="","",TRIM(IF(B183="","請求日 ","")&amp;IF(C183="","取引先 ",IF(D183="コード誤り","取引先コード誤り ",""))&amp;IF(E183="","件名 ","")&amp;IF(F183="","税抜金額 ","")&amp;IF(G183="","税率 ","")&amp;IF(M183="","送付方法 ","")&amp;IF(AND(N183&lt;&gt;"",O183=""),"送付者 ","")&amp;IF(AND(I183&lt;&gt;"",L183=""),"入金期日 ","")&amp;IF(AND(N183&lt;&gt;"",P183&gt;0,S183&lt;=0,X183=""),"消込確認者 ","")))</f>
        <v/>
      </c>
      <c r="X183" s="28"/>
      <c r="Y183" s="28"/>
    </row>
    <row r="184" customFormat="false" ht="15" hidden="false" customHeight="false" outlineLevel="0" collapsed="false">
      <c r="A184" s="21" t="str">
        <f aca="false">IF(COUNTA(B184,C184,E184,F184)=0,"",設定!$C$4&amp;TEXT(ROW()-4,"00000"))</f>
        <v/>
      </c>
      <c r="B184" s="22"/>
      <c r="C184" s="23"/>
      <c r="D184" s="21" t="str">
        <f aca="false">IF(C184="","",IFERROR(INDEX(取引先マスタ!$B$5:$B$204,MATCH($C184,取引先マスタ!$A$5:$A$204,0)),"コード誤り"))</f>
        <v/>
      </c>
      <c r="E184" s="28"/>
      <c r="F184" s="18"/>
      <c r="G184" s="25"/>
      <c r="H184" s="26" t="str">
        <f aca="false">IF(OR(F184="",G184=""),"",ROUNDDOWN(F184*G184,0))</f>
        <v/>
      </c>
      <c r="I184" s="26" t="str">
        <f aca="false">IF(OR(F184="",G184=""),"",F184+H184)</f>
        <v/>
      </c>
      <c r="J184" s="27" t="str">
        <f aca="false">IF(OR(B184="",C184="",D184="コード誤り"),"",IFERROR(DATE(YEAR(B184),MONTH(B184)+INDEX(取引先マスタ!$E$5:$E$204,MATCH($C184,取引先マスタ!$A$5:$A$204,0)),MIN(INDEX(取引先マスタ!$F$5:$F$204,MATCH($C184,取引先マスタ!$A$5:$A$204,0)),DAY(EOMONTH(B184,INDEX(取引先マスタ!$E$5:$E$204,MATCH($C184,取引先マスタ!$A$5:$A$204,0)))))),""))</f>
        <v/>
      </c>
      <c r="K184" s="22"/>
      <c r="L184" s="27" t="str">
        <f aca="false">IF(K184&lt;&gt;"",K184,J184)</f>
        <v/>
      </c>
      <c r="M184" s="28"/>
      <c r="N184" s="22"/>
      <c r="O184" s="28"/>
      <c r="P184" s="26" t="str">
        <f aca="false">IF(A184="","",SUMIF(入金明細!$F$5:$F$1004,A184,入金明細!$E$5:$E$1004))</f>
        <v/>
      </c>
      <c r="Q184" s="27" t="str">
        <f aca="false">IF(OR(A184="",N(P184)=0),"",SUMPRODUCT(MAX((入金明細!$F$5:$F$1004=A184)*入金明細!$B$5:$B$1004)))</f>
        <v/>
      </c>
      <c r="R184" s="18"/>
      <c r="S184" s="26" t="str">
        <f aca="false">IF(OR(A184="",I184=""),"",I184-N(P184)-N(R184))</f>
        <v/>
      </c>
      <c r="T184" s="28"/>
      <c r="U184" s="29" t="str">
        <f aca="false">IF(A184="","",IF(T184="取消","取消",IF(W184&lt;&gt;"","要入力",IF(N184="","未送付",IF(S184=0,"入金済",IF(S184&lt;0,"過入金",IF(設定!$C$5&gt;L184,IF(P184&gt;0,"一部入金・超過","期日超過"),IF(P184&gt;0,"一部入金",IF(L184-設定!$C$5&lt;=設定!$C$6,"期日間近","入金待ち")))))))))</f>
        <v/>
      </c>
      <c r="V184" s="30" t="str">
        <f aca="false">IF(OR(U184="期日超過",U184="一部入金・超過"),設定!$C$5-L184,"")</f>
        <v/>
      </c>
      <c r="W184" s="21" t="str">
        <f aca="false">IF(A184="","",TRIM(IF(B184="","請求日 ","")&amp;IF(C184="","取引先 ",IF(D184="コード誤り","取引先コード誤り ",""))&amp;IF(E184="","件名 ","")&amp;IF(F184="","税抜金額 ","")&amp;IF(G184="","税率 ","")&amp;IF(M184="","送付方法 ","")&amp;IF(AND(N184&lt;&gt;"",O184=""),"送付者 ","")&amp;IF(AND(I184&lt;&gt;"",L184=""),"入金期日 ","")&amp;IF(AND(N184&lt;&gt;"",P184&gt;0,S184&lt;=0,X184=""),"消込確認者 ","")))</f>
        <v/>
      </c>
      <c r="X184" s="28"/>
      <c r="Y184" s="28"/>
    </row>
    <row r="185" customFormat="false" ht="15" hidden="false" customHeight="false" outlineLevel="0" collapsed="false">
      <c r="A185" s="21" t="str">
        <f aca="false">IF(COUNTA(B185,C185,E185,F185)=0,"",設定!$C$4&amp;TEXT(ROW()-4,"00000"))</f>
        <v/>
      </c>
      <c r="B185" s="22"/>
      <c r="C185" s="23"/>
      <c r="D185" s="21" t="str">
        <f aca="false">IF(C185="","",IFERROR(INDEX(取引先マスタ!$B$5:$B$204,MATCH($C185,取引先マスタ!$A$5:$A$204,0)),"コード誤り"))</f>
        <v/>
      </c>
      <c r="E185" s="28"/>
      <c r="F185" s="18"/>
      <c r="G185" s="25"/>
      <c r="H185" s="26" t="str">
        <f aca="false">IF(OR(F185="",G185=""),"",ROUNDDOWN(F185*G185,0))</f>
        <v/>
      </c>
      <c r="I185" s="26" t="str">
        <f aca="false">IF(OR(F185="",G185=""),"",F185+H185)</f>
        <v/>
      </c>
      <c r="J185" s="27" t="str">
        <f aca="false">IF(OR(B185="",C185="",D185="コード誤り"),"",IFERROR(DATE(YEAR(B185),MONTH(B185)+INDEX(取引先マスタ!$E$5:$E$204,MATCH($C185,取引先マスタ!$A$5:$A$204,0)),MIN(INDEX(取引先マスタ!$F$5:$F$204,MATCH($C185,取引先マスタ!$A$5:$A$204,0)),DAY(EOMONTH(B185,INDEX(取引先マスタ!$E$5:$E$204,MATCH($C185,取引先マスタ!$A$5:$A$204,0)))))),""))</f>
        <v/>
      </c>
      <c r="K185" s="22"/>
      <c r="L185" s="27" t="str">
        <f aca="false">IF(K185&lt;&gt;"",K185,J185)</f>
        <v/>
      </c>
      <c r="M185" s="28"/>
      <c r="N185" s="22"/>
      <c r="O185" s="28"/>
      <c r="P185" s="26" t="str">
        <f aca="false">IF(A185="","",SUMIF(入金明細!$F$5:$F$1004,A185,入金明細!$E$5:$E$1004))</f>
        <v/>
      </c>
      <c r="Q185" s="27" t="str">
        <f aca="false">IF(OR(A185="",N(P185)=0),"",SUMPRODUCT(MAX((入金明細!$F$5:$F$1004=A185)*入金明細!$B$5:$B$1004)))</f>
        <v/>
      </c>
      <c r="R185" s="18"/>
      <c r="S185" s="26" t="str">
        <f aca="false">IF(OR(A185="",I185=""),"",I185-N(P185)-N(R185))</f>
        <v/>
      </c>
      <c r="T185" s="28"/>
      <c r="U185" s="29" t="str">
        <f aca="false">IF(A185="","",IF(T185="取消","取消",IF(W185&lt;&gt;"","要入力",IF(N185="","未送付",IF(S185=0,"入金済",IF(S185&lt;0,"過入金",IF(設定!$C$5&gt;L185,IF(P185&gt;0,"一部入金・超過","期日超過"),IF(P185&gt;0,"一部入金",IF(L185-設定!$C$5&lt;=設定!$C$6,"期日間近","入金待ち")))))))))</f>
        <v/>
      </c>
      <c r="V185" s="30" t="str">
        <f aca="false">IF(OR(U185="期日超過",U185="一部入金・超過"),設定!$C$5-L185,"")</f>
        <v/>
      </c>
      <c r="W185" s="21" t="str">
        <f aca="false">IF(A185="","",TRIM(IF(B185="","請求日 ","")&amp;IF(C185="","取引先 ",IF(D185="コード誤り","取引先コード誤り ",""))&amp;IF(E185="","件名 ","")&amp;IF(F185="","税抜金額 ","")&amp;IF(G185="","税率 ","")&amp;IF(M185="","送付方法 ","")&amp;IF(AND(N185&lt;&gt;"",O185=""),"送付者 ","")&amp;IF(AND(I185&lt;&gt;"",L185=""),"入金期日 ","")&amp;IF(AND(N185&lt;&gt;"",P185&gt;0,S185&lt;=0,X185=""),"消込確認者 ","")))</f>
        <v/>
      </c>
      <c r="X185" s="28"/>
      <c r="Y185" s="28"/>
    </row>
    <row r="186" customFormat="false" ht="15" hidden="false" customHeight="false" outlineLevel="0" collapsed="false">
      <c r="A186" s="21" t="str">
        <f aca="false">IF(COUNTA(B186,C186,E186,F186)=0,"",設定!$C$4&amp;TEXT(ROW()-4,"00000"))</f>
        <v/>
      </c>
      <c r="B186" s="22"/>
      <c r="C186" s="23"/>
      <c r="D186" s="21" t="str">
        <f aca="false">IF(C186="","",IFERROR(INDEX(取引先マスタ!$B$5:$B$204,MATCH($C186,取引先マスタ!$A$5:$A$204,0)),"コード誤り"))</f>
        <v/>
      </c>
      <c r="E186" s="28"/>
      <c r="F186" s="18"/>
      <c r="G186" s="25"/>
      <c r="H186" s="26" t="str">
        <f aca="false">IF(OR(F186="",G186=""),"",ROUNDDOWN(F186*G186,0))</f>
        <v/>
      </c>
      <c r="I186" s="26" t="str">
        <f aca="false">IF(OR(F186="",G186=""),"",F186+H186)</f>
        <v/>
      </c>
      <c r="J186" s="27" t="str">
        <f aca="false">IF(OR(B186="",C186="",D186="コード誤り"),"",IFERROR(DATE(YEAR(B186),MONTH(B186)+INDEX(取引先マスタ!$E$5:$E$204,MATCH($C186,取引先マスタ!$A$5:$A$204,0)),MIN(INDEX(取引先マスタ!$F$5:$F$204,MATCH($C186,取引先マスタ!$A$5:$A$204,0)),DAY(EOMONTH(B186,INDEX(取引先マスタ!$E$5:$E$204,MATCH($C186,取引先マスタ!$A$5:$A$204,0)))))),""))</f>
        <v/>
      </c>
      <c r="K186" s="22"/>
      <c r="L186" s="27" t="str">
        <f aca="false">IF(K186&lt;&gt;"",K186,J186)</f>
        <v/>
      </c>
      <c r="M186" s="28"/>
      <c r="N186" s="22"/>
      <c r="O186" s="28"/>
      <c r="P186" s="26" t="str">
        <f aca="false">IF(A186="","",SUMIF(入金明細!$F$5:$F$1004,A186,入金明細!$E$5:$E$1004))</f>
        <v/>
      </c>
      <c r="Q186" s="27" t="str">
        <f aca="false">IF(OR(A186="",N(P186)=0),"",SUMPRODUCT(MAX((入金明細!$F$5:$F$1004=A186)*入金明細!$B$5:$B$1004)))</f>
        <v/>
      </c>
      <c r="R186" s="18"/>
      <c r="S186" s="26" t="str">
        <f aca="false">IF(OR(A186="",I186=""),"",I186-N(P186)-N(R186))</f>
        <v/>
      </c>
      <c r="T186" s="28"/>
      <c r="U186" s="29" t="str">
        <f aca="false">IF(A186="","",IF(T186="取消","取消",IF(W186&lt;&gt;"","要入力",IF(N186="","未送付",IF(S186=0,"入金済",IF(S186&lt;0,"過入金",IF(設定!$C$5&gt;L186,IF(P186&gt;0,"一部入金・超過","期日超過"),IF(P186&gt;0,"一部入金",IF(L186-設定!$C$5&lt;=設定!$C$6,"期日間近","入金待ち")))))))))</f>
        <v/>
      </c>
      <c r="V186" s="30" t="str">
        <f aca="false">IF(OR(U186="期日超過",U186="一部入金・超過"),設定!$C$5-L186,"")</f>
        <v/>
      </c>
      <c r="W186" s="21" t="str">
        <f aca="false">IF(A186="","",TRIM(IF(B186="","請求日 ","")&amp;IF(C186="","取引先 ",IF(D186="コード誤り","取引先コード誤り ",""))&amp;IF(E186="","件名 ","")&amp;IF(F186="","税抜金額 ","")&amp;IF(G186="","税率 ","")&amp;IF(M186="","送付方法 ","")&amp;IF(AND(N186&lt;&gt;"",O186=""),"送付者 ","")&amp;IF(AND(I186&lt;&gt;"",L186=""),"入金期日 ","")&amp;IF(AND(N186&lt;&gt;"",P186&gt;0,S186&lt;=0,X186=""),"消込確認者 ","")))</f>
        <v/>
      </c>
      <c r="X186" s="28"/>
      <c r="Y186" s="28"/>
    </row>
    <row r="187" customFormat="false" ht="15" hidden="false" customHeight="false" outlineLevel="0" collapsed="false">
      <c r="A187" s="21" t="str">
        <f aca="false">IF(COUNTA(B187,C187,E187,F187)=0,"",設定!$C$4&amp;TEXT(ROW()-4,"00000"))</f>
        <v/>
      </c>
      <c r="B187" s="22"/>
      <c r="C187" s="23"/>
      <c r="D187" s="21" t="str">
        <f aca="false">IF(C187="","",IFERROR(INDEX(取引先マスタ!$B$5:$B$204,MATCH($C187,取引先マスタ!$A$5:$A$204,0)),"コード誤り"))</f>
        <v/>
      </c>
      <c r="E187" s="28"/>
      <c r="F187" s="18"/>
      <c r="G187" s="25"/>
      <c r="H187" s="26" t="str">
        <f aca="false">IF(OR(F187="",G187=""),"",ROUNDDOWN(F187*G187,0))</f>
        <v/>
      </c>
      <c r="I187" s="26" t="str">
        <f aca="false">IF(OR(F187="",G187=""),"",F187+H187)</f>
        <v/>
      </c>
      <c r="J187" s="27" t="str">
        <f aca="false">IF(OR(B187="",C187="",D187="コード誤り"),"",IFERROR(DATE(YEAR(B187),MONTH(B187)+INDEX(取引先マスタ!$E$5:$E$204,MATCH($C187,取引先マスタ!$A$5:$A$204,0)),MIN(INDEX(取引先マスタ!$F$5:$F$204,MATCH($C187,取引先マスタ!$A$5:$A$204,0)),DAY(EOMONTH(B187,INDEX(取引先マスタ!$E$5:$E$204,MATCH($C187,取引先マスタ!$A$5:$A$204,0)))))),""))</f>
        <v/>
      </c>
      <c r="K187" s="22"/>
      <c r="L187" s="27" t="str">
        <f aca="false">IF(K187&lt;&gt;"",K187,J187)</f>
        <v/>
      </c>
      <c r="M187" s="28"/>
      <c r="N187" s="22"/>
      <c r="O187" s="28"/>
      <c r="P187" s="26" t="str">
        <f aca="false">IF(A187="","",SUMIF(入金明細!$F$5:$F$1004,A187,入金明細!$E$5:$E$1004))</f>
        <v/>
      </c>
      <c r="Q187" s="27" t="str">
        <f aca="false">IF(OR(A187="",N(P187)=0),"",SUMPRODUCT(MAX((入金明細!$F$5:$F$1004=A187)*入金明細!$B$5:$B$1004)))</f>
        <v/>
      </c>
      <c r="R187" s="18"/>
      <c r="S187" s="26" t="str">
        <f aca="false">IF(OR(A187="",I187=""),"",I187-N(P187)-N(R187))</f>
        <v/>
      </c>
      <c r="T187" s="28"/>
      <c r="U187" s="29" t="str">
        <f aca="false">IF(A187="","",IF(T187="取消","取消",IF(W187&lt;&gt;"","要入力",IF(N187="","未送付",IF(S187=0,"入金済",IF(S187&lt;0,"過入金",IF(設定!$C$5&gt;L187,IF(P187&gt;0,"一部入金・超過","期日超過"),IF(P187&gt;0,"一部入金",IF(L187-設定!$C$5&lt;=設定!$C$6,"期日間近","入金待ち")))))))))</f>
        <v/>
      </c>
      <c r="V187" s="30" t="str">
        <f aca="false">IF(OR(U187="期日超過",U187="一部入金・超過"),設定!$C$5-L187,"")</f>
        <v/>
      </c>
      <c r="W187" s="21" t="str">
        <f aca="false">IF(A187="","",TRIM(IF(B187="","請求日 ","")&amp;IF(C187="","取引先 ",IF(D187="コード誤り","取引先コード誤り ",""))&amp;IF(E187="","件名 ","")&amp;IF(F187="","税抜金額 ","")&amp;IF(G187="","税率 ","")&amp;IF(M187="","送付方法 ","")&amp;IF(AND(N187&lt;&gt;"",O187=""),"送付者 ","")&amp;IF(AND(I187&lt;&gt;"",L187=""),"入金期日 ","")&amp;IF(AND(N187&lt;&gt;"",P187&gt;0,S187&lt;=0,X187=""),"消込確認者 ","")))</f>
        <v/>
      </c>
      <c r="X187" s="28"/>
      <c r="Y187" s="28"/>
    </row>
    <row r="188" customFormat="false" ht="15" hidden="false" customHeight="false" outlineLevel="0" collapsed="false">
      <c r="A188" s="21" t="str">
        <f aca="false">IF(COUNTA(B188,C188,E188,F188)=0,"",設定!$C$4&amp;TEXT(ROW()-4,"00000"))</f>
        <v/>
      </c>
      <c r="B188" s="22"/>
      <c r="C188" s="23"/>
      <c r="D188" s="21" t="str">
        <f aca="false">IF(C188="","",IFERROR(INDEX(取引先マスタ!$B$5:$B$204,MATCH($C188,取引先マスタ!$A$5:$A$204,0)),"コード誤り"))</f>
        <v/>
      </c>
      <c r="E188" s="28"/>
      <c r="F188" s="18"/>
      <c r="G188" s="25"/>
      <c r="H188" s="26" t="str">
        <f aca="false">IF(OR(F188="",G188=""),"",ROUNDDOWN(F188*G188,0))</f>
        <v/>
      </c>
      <c r="I188" s="26" t="str">
        <f aca="false">IF(OR(F188="",G188=""),"",F188+H188)</f>
        <v/>
      </c>
      <c r="J188" s="27" t="str">
        <f aca="false">IF(OR(B188="",C188="",D188="コード誤り"),"",IFERROR(DATE(YEAR(B188),MONTH(B188)+INDEX(取引先マスタ!$E$5:$E$204,MATCH($C188,取引先マスタ!$A$5:$A$204,0)),MIN(INDEX(取引先マスタ!$F$5:$F$204,MATCH($C188,取引先マスタ!$A$5:$A$204,0)),DAY(EOMONTH(B188,INDEX(取引先マスタ!$E$5:$E$204,MATCH($C188,取引先マスタ!$A$5:$A$204,0)))))),""))</f>
        <v/>
      </c>
      <c r="K188" s="22"/>
      <c r="L188" s="27" t="str">
        <f aca="false">IF(K188&lt;&gt;"",K188,J188)</f>
        <v/>
      </c>
      <c r="M188" s="28"/>
      <c r="N188" s="22"/>
      <c r="O188" s="28"/>
      <c r="P188" s="26" t="str">
        <f aca="false">IF(A188="","",SUMIF(入金明細!$F$5:$F$1004,A188,入金明細!$E$5:$E$1004))</f>
        <v/>
      </c>
      <c r="Q188" s="27" t="str">
        <f aca="false">IF(OR(A188="",N(P188)=0),"",SUMPRODUCT(MAX((入金明細!$F$5:$F$1004=A188)*入金明細!$B$5:$B$1004)))</f>
        <v/>
      </c>
      <c r="R188" s="18"/>
      <c r="S188" s="26" t="str">
        <f aca="false">IF(OR(A188="",I188=""),"",I188-N(P188)-N(R188))</f>
        <v/>
      </c>
      <c r="T188" s="28"/>
      <c r="U188" s="29" t="str">
        <f aca="false">IF(A188="","",IF(T188="取消","取消",IF(W188&lt;&gt;"","要入力",IF(N188="","未送付",IF(S188=0,"入金済",IF(S188&lt;0,"過入金",IF(設定!$C$5&gt;L188,IF(P188&gt;0,"一部入金・超過","期日超過"),IF(P188&gt;0,"一部入金",IF(L188-設定!$C$5&lt;=設定!$C$6,"期日間近","入金待ち")))))))))</f>
        <v/>
      </c>
      <c r="V188" s="30" t="str">
        <f aca="false">IF(OR(U188="期日超過",U188="一部入金・超過"),設定!$C$5-L188,"")</f>
        <v/>
      </c>
      <c r="W188" s="21" t="str">
        <f aca="false">IF(A188="","",TRIM(IF(B188="","請求日 ","")&amp;IF(C188="","取引先 ",IF(D188="コード誤り","取引先コード誤り ",""))&amp;IF(E188="","件名 ","")&amp;IF(F188="","税抜金額 ","")&amp;IF(G188="","税率 ","")&amp;IF(M188="","送付方法 ","")&amp;IF(AND(N188&lt;&gt;"",O188=""),"送付者 ","")&amp;IF(AND(I188&lt;&gt;"",L188=""),"入金期日 ","")&amp;IF(AND(N188&lt;&gt;"",P188&gt;0,S188&lt;=0,X188=""),"消込確認者 ","")))</f>
        <v/>
      </c>
      <c r="X188" s="28"/>
      <c r="Y188" s="28"/>
    </row>
    <row r="189" customFormat="false" ht="15" hidden="false" customHeight="false" outlineLevel="0" collapsed="false">
      <c r="A189" s="21" t="str">
        <f aca="false">IF(COUNTA(B189,C189,E189,F189)=0,"",設定!$C$4&amp;TEXT(ROW()-4,"00000"))</f>
        <v/>
      </c>
      <c r="B189" s="22"/>
      <c r="C189" s="23"/>
      <c r="D189" s="21" t="str">
        <f aca="false">IF(C189="","",IFERROR(INDEX(取引先マスタ!$B$5:$B$204,MATCH($C189,取引先マスタ!$A$5:$A$204,0)),"コード誤り"))</f>
        <v/>
      </c>
      <c r="E189" s="28"/>
      <c r="F189" s="18"/>
      <c r="G189" s="25"/>
      <c r="H189" s="26" t="str">
        <f aca="false">IF(OR(F189="",G189=""),"",ROUNDDOWN(F189*G189,0))</f>
        <v/>
      </c>
      <c r="I189" s="26" t="str">
        <f aca="false">IF(OR(F189="",G189=""),"",F189+H189)</f>
        <v/>
      </c>
      <c r="J189" s="27" t="str">
        <f aca="false">IF(OR(B189="",C189="",D189="コード誤り"),"",IFERROR(DATE(YEAR(B189),MONTH(B189)+INDEX(取引先マスタ!$E$5:$E$204,MATCH($C189,取引先マスタ!$A$5:$A$204,0)),MIN(INDEX(取引先マスタ!$F$5:$F$204,MATCH($C189,取引先マスタ!$A$5:$A$204,0)),DAY(EOMONTH(B189,INDEX(取引先マスタ!$E$5:$E$204,MATCH($C189,取引先マスタ!$A$5:$A$204,0)))))),""))</f>
        <v/>
      </c>
      <c r="K189" s="22"/>
      <c r="L189" s="27" t="str">
        <f aca="false">IF(K189&lt;&gt;"",K189,J189)</f>
        <v/>
      </c>
      <c r="M189" s="28"/>
      <c r="N189" s="22"/>
      <c r="O189" s="28"/>
      <c r="P189" s="26" t="str">
        <f aca="false">IF(A189="","",SUMIF(入金明細!$F$5:$F$1004,A189,入金明細!$E$5:$E$1004))</f>
        <v/>
      </c>
      <c r="Q189" s="27" t="str">
        <f aca="false">IF(OR(A189="",N(P189)=0),"",SUMPRODUCT(MAX((入金明細!$F$5:$F$1004=A189)*入金明細!$B$5:$B$1004)))</f>
        <v/>
      </c>
      <c r="R189" s="18"/>
      <c r="S189" s="26" t="str">
        <f aca="false">IF(OR(A189="",I189=""),"",I189-N(P189)-N(R189))</f>
        <v/>
      </c>
      <c r="T189" s="28"/>
      <c r="U189" s="29" t="str">
        <f aca="false">IF(A189="","",IF(T189="取消","取消",IF(W189&lt;&gt;"","要入力",IF(N189="","未送付",IF(S189=0,"入金済",IF(S189&lt;0,"過入金",IF(設定!$C$5&gt;L189,IF(P189&gt;0,"一部入金・超過","期日超過"),IF(P189&gt;0,"一部入金",IF(L189-設定!$C$5&lt;=設定!$C$6,"期日間近","入金待ち")))))))))</f>
        <v/>
      </c>
      <c r="V189" s="30" t="str">
        <f aca="false">IF(OR(U189="期日超過",U189="一部入金・超過"),設定!$C$5-L189,"")</f>
        <v/>
      </c>
      <c r="W189" s="21" t="str">
        <f aca="false">IF(A189="","",TRIM(IF(B189="","請求日 ","")&amp;IF(C189="","取引先 ",IF(D189="コード誤り","取引先コード誤り ",""))&amp;IF(E189="","件名 ","")&amp;IF(F189="","税抜金額 ","")&amp;IF(G189="","税率 ","")&amp;IF(M189="","送付方法 ","")&amp;IF(AND(N189&lt;&gt;"",O189=""),"送付者 ","")&amp;IF(AND(I189&lt;&gt;"",L189=""),"入金期日 ","")&amp;IF(AND(N189&lt;&gt;"",P189&gt;0,S189&lt;=0,X189=""),"消込確認者 ","")))</f>
        <v/>
      </c>
      <c r="X189" s="28"/>
      <c r="Y189" s="28"/>
    </row>
    <row r="190" customFormat="false" ht="15" hidden="false" customHeight="false" outlineLevel="0" collapsed="false">
      <c r="A190" s="21" t="str">
        <f aca="false">IF(COUNTA(B190,C190,E190,F190)=0,"",設定!$C$4&amp;TEXT(ROW()-4,"00000"))</f>
        <v/>
      </c>
      <c r="B190" s="22"/>
      <c r="C190" s="23"/>
      <c r="D190" s="21" t="str">
        <f aca="false">IF(C190="","",IFERROR(INDEX(取引先マスタ!$B$5:$B$204,MATCH($C190,取引先マスタ!$A$5:$A$204,0)),"コード誤り"))</f>
        <v/>
      </c>
      <c r="E190" s="28"/>
      <c r="F190" s="18"/>
      <c r="G190" s="25"/>
      <c r="H190" s="26" t="str">
        <f aca="false">IF(OR(F190="",G190=""),"",ROUNDDOWN(F190*G190,0))</f>
        <v/>
      </c>
      <c r="I190" s="26" t="str">
        <f aca="false">IF(OR(F190="",G190=""),"",F190+H190)</f>
        <v/>
      </c>
      <c r="J190" s="27" t="str">
        <f aca="false">IF(OR(B190="",C190="",D190="コード誤り"),"",IFERROR(DATE(YEAR(B190),MONTH(B190)+INDEX(取引先マスタ!$E$5:$E$204,MATCH($C190,取引先マスタ!$A$5:$A$204,0)),MIN(INDEX(取引先マスタ!$F$5:$F$204,MATCH($C190,取引先マスタ!$A$5:$A$204,0)),DAY(EOMONTH(B190,INDEX(取引先マスタ!$E$5:$E$204,MATCH($C190,取引先マスタ!$A$5:$A$204,0)))))),""))</f>
        <v/>
      </c>
      <c r="K190" s="22"/>
      <c r="L190" s="27" t="str">
        <f aca="false">IF(K190&lt;&gt;"",K190,J190)</f>
        <v/>
      </c>
      <c r="M190" s="28"/>
      <c r="N190" s="22"/>
      <c r="O190" s="28"/>
      <c r="P190" s="26" t="str">
        <f aca="false">IF(A190="","",SUMIF(入金明細!$F$5:$F$1004,A190,入金明細!$E$5:$E$1004))</f>
        <v/>
      </c>
      <c r="Q190" s="27" t="str">
        <f aca="false">IF(OR(A190="",N(P190)=0),"",SUMPRODUCT(MAX((入金明細!$F$5:$F$1004=A190)*入金明細!$B$5:$B$1004)))</f>
        <v/>
      </c>
      <c r="R190" s="18"/>
      <c r="S190" s="26" t="str">
        <f aca="false">IF(OR(A190="",I190=""),"",I190-N(P190)-N(R190))</f>
        <v/>
      </c>
      <c r="T190" s="28"/>
      <c r="U190" s="29" t="str">
        <f aca="false">IF(A190="","",IF(T190="取消","取消",IF(W190&lt;&gt;"","要入力",IF(N190="","未送付",IF(S190=0,"入金済",IF(S190&lt;0,"過入金",IF(設定!$C$5&gt;L190,IF(P190&gt;0,"一部入金・超過","期日超過"),IF(P190&gt;0,"一部入金",IF(L190-設定!$C$5&lt;=設定!$C$6,"期日間近","入金待ち")))))))))</f>
        <v/>
      </c>
      <c r="V190" s="30" t="str">
        <f aca="false">IF(OR(U190="期日超過",U190="一部入金・超過"),設定!$C$5-L190,"")</f>
        <v/>
      </c>
      <c r="W190" s="21" t="str">
        <f aca="false">IF(A190="","",TRIM(IF(B190="","請求日 ","")&amp;IF(C190="","取引先 ",IF(D190="コード誤り","取引先コード誤り ",""))&amp;IF(E190="","件名 ","")&amp;IF(F190="","税抜金額 ","")&amp;IF(G190="","税率 ","")&amp;IF(M190="","送付方法 ","")&amp;IF(AND(N190&lt;&gt;"",O190=""),"送付者 ","")&amp;IF(AND(I190&lt;&gt;"",L190=""),"入金期日 ","")&amp;IF(AND(N190&lt;&gt;"",P190&gt;0,S190&lt;=0,X190=""),"消込確認者 ","")))</f>
        <v/>
      </c>
      <c r="X190" s="28"/>
      <c r="Y190" s="28"/>
    </row>
    <row r="191" customFormat="false" ht="15" hidden="false" customHeight="false" outlineLevel="0" collapsed="false">
      <c r="A191" s="21" t="str">
        <f aca="false">IF(COUNTA(B191,C191,E191,F191)=0,"",設定!$C$4&amp;TEXT(ROW()-4,"00000"))</f>
        <v/>
      </c>
      <c r="B191" s="22"/>
      <c r="C191" s="23"/>
      <c r="D191" s="21" t="str">
        <f aca="false">IF(C191="","",IFERROR(INDEX(取引先マスタ!$B$5:$B$204,MATCH($C191,取引先マスタ!$A$5:$A$204,0)),"コード誤り"))</f>
        <v/>
      </c>
      <c r="E191" s="28"/>
      <c r="F191" s="18"/>
      <c r="G191" s="25"/>
      <c r="H191" s="26" t="str">
        <f aca="false">IF(OR(F191="",G191=""),"",ROUNDDOWN(F191*G191,0))</f>
        <v/>
      </c>
      <c r="I191" s="26" t="str">
        <f aca="false">IF(OR(F191="",G191=""),"",F191+H191)</f>
        <v/>
      </c>
      <c r="J191" s="27" t="str">
        <f aca="false">IF(OR(B191="",C191="",D191="コード誤り"),"",IFERROR(DATE(YEAR(B191),MONTH(B191)+INDEX(取引先マスタ!$E$5:$E$204,MATCH($C191,取引先マスタ!$A$5:$A$204,0)),MIN(INDEX(取引先マスタ!$F$5:$F$204,MATCH($C191,取引先マスタ!$A$5:$A$204,0)),DAY(EOMONTH(B191,INDEX(取引先マスタ!$E$5:$E$204,MATCH($C191,取引先マスタ!$A$5:$A$204,0)))))),""))</f>
        <v/>
      </c>
      <c r="K191" s="22"/>
      <c r="L191" s="27" t="str">
        <f aca="false">IF(K191&lt;&gt;"",K191,J191)</f>
        <v/>
      </c>
      <c r="M191" s="28"/>
      <c r="N191" s="22"/>
      <c r="O191" s="28"/>
      <c r="P191" s="26" t="str">
        <f aca="false">IF(A191="","",SUMIF(入金明細!$F$5:$F$1004,A191,入金明細!$E$5:$E$1004))</f>
        <v/>
      </c>
      <c r="Q191" s="27" t="str">
        <f aca="false">IF(OR(A191="",N(P191)=0),"",SUMPRODUCT(MAX((入金明細!$F$5:$F$1004=A191)*入金明細!$B$5:$B$1004)))</f>
        <v/>
      </c>
      <c r="R191" s="18"/>
      <c r="S191" s="26" t="str">
        <f aca="false">IF(OR(A191="",I191=""),"",I191-N(P191)-N(R191))</f>
        <v/>
      </c>
      <c r="T191" s="28"/>
      <c r="U191" s="29" t="str">
        <f aca="false">IF(A191="","",IF(T191="取消","取消",IF(W191&lt;&gt;"","要入力",IF(N191="","未送付",IF(S191=0,"入金済",IF(S191&lt;0,"過入金",IF(設定!$C$5&gt;L191,IF(P191&gt;0,"一部入金・超過","期日超過"),IF(P191&gt;0,"一部入金",IF(L191-設定!$C$5&lt;=設定!$C$6,"期日間近","入金待ち")))))))))</f>
        <v/>
      </c>
      <c r="V191" s="30" t="str">
        <f aca="false">IF(OR(U191="期日超過",U191="一部入金・超過"),設定!$C$5-L191,"")</f>
        <v/>
      </c>
      <c r="W191" s="21" t="str">
        <f aca="false">IF(A191="","",TRIM(IF(B191="","請求日 ","")&amp;IF(C191="","取引先 ",IF(D191="コード誤り","取引先コード誤り ",""))&amp;IF(E191="","件名 ","")&amp;IF(F191="","税抜金額 ","")&amp;IF(G191="","税率 ","")&amp;IF(M191="","送付方法 ","")&amp;IF(AND(N191&lt;&gt;"",O191=""),"送付者 ","")&amp;IF(AND(I191&lt;&gt;"",L191=""),"入金期日 ","")&amp;IF(AND(N191&lt;&gt;"",P191&gt;0,S191&lt;=0,X191=""),"消込確認者 ","")))</f>
        <v/>
      </c>
      <c r="X191" s="28"/>
      <c r="Y191" s="28"/>
    </row>
    <row r="192" customFormat="false" ht="15" hidden="false" customHeight="false" outlineLevel="0" collapsed="false">
      <c r="A192" s="21" t="str">
        <f aca="false">IF(COUNTA(B192,C192,E192,F192)=0,"",設定!$C$4&amp;TEXT(ROW()-4,"00000"))</f>
        <v/>
      </c>
      <c r="B192" s="22"/>
      <c r="C192" s="23"/>
      <c r="D192" s="21" t="str">
        <f aca="false">IF(C192="","",IFERROR(INDEX(取引先マスタ!$B$5:$B$204,MATCH($C192,取引先マスタ!$A$5:$A$204,0)),"コード誤り"))</f>
        <v/>
      </c>
      <c r="E192" s="28"/>
      <c r="F192" s="18"/>
      <c r="G192" s="25"/>
      <c r="H192" s="26" t="str">
        <f aca="false">IF(OR(F192="",G192=""),"",ROUNDDOWN(F192*G192,0))</f>
        <v/>
      </c>
      <c r="I192" s="26" t="str">
        <f aca="false">IF(OR(F192="",G192=""),"",F192+H192)</f>
        <v/>
      </c>
      <c r="J192" s="27" t="str">
        <f aca="false">IF(OR(B192="",C192="",D192="コード誤り"),"",IFERROR(DATE(YEAR(B192),MONTH(B192)+INDEX(取引先マスタ!$E$5:$E$204,MATCH($C192,取引先マスタ!$A$5:$A$204,0)),MIN(INDEX(取引先マスタ!$F$5:$F$204,MATCH($C192,取引先マスタ!$A$5:$A$204,0)),DAY(EOMONTH(B192,INDEX(取引先マスタ!$E$5:$E$204,MATCH($C192,取引先マスタ!$A$5:$A$204,0)))))),""))</f>
        <v/>
      </c>
      <c r="K192" s="22"/>
      <c r="L192" s="27" t="str">
        <f aca="false">IF(K192&lt;&gt;"",K192,J192)</f>
        <v/>
      </c>
      <c r="M192" s="28"/>
      <c r="N192" s="22"/>
      <c r="O192" s="28"/>
      <c r="P192" s="26" t="str">
        <f aca="false">IF(A192="","",SUMIF(入金明細!$F$5:$F$1004,A192,入金明細!$E$5:$E$1004))</f>
        <v/>
      </c>
      <c r="Q192" s="27" t="str">
        <f aca="false">IF(OR(A192="",N(P192)=0),"",SUMPRODUCT(MAX((入金明細!$F$5:$F$1004=A192)*入金明細!$B$5:$B$1004)))</f>
        <v/>
      </c>
      <c r="R192" s="18"/>
      <c r="S192" s="26" t="str">
        <f aca="false">IF(OR(A192="",I192=""),"",I192-N(P192)-N(R192))</f>
        <v/>
      </c>
      <c r="T192" s="28"/>
      <c r="U192" s="29" t="str">
        <f aca="false">IF(A192="","",IF(T192="取消","取消",IF(W192&lt;&gt;"","要入力",IF(N192="","未送付",IF(S192=0,"入金済",IF(S192&lt;0,"過入金",IF(設定!$C$5&gt;L192,IF(P192&gt;0,"一部入金・超過","期日超過"),IF(P192&gt;0,"一部入金",IF(L192-設定!$C$5&lt;=設定!$C$6,"期日間近","入金待ち")))))))))</f>
        <v/>
      </c>
      <c r="V192" s="30" t="str">
        <f aca="false">IF(OR(U192="期日超過",U192="一部入金・超過"),設定!$C$5-L192,"")</f>
        <v/>
      </c>
      <c r="W192" s="21" t="str">
        <f aca="false">IF(A192="","",TRIM(IF(B192="","請求日 ","")&amp;IF(C192="","取引先 ",IF(D192="コード誤り","取引先コード誤り ",""))&amp;IF(E192="","件名 ","")&amp;IF(F192="","税抜金額 ","")&amp;IF(G192="","税率 ","")&amp;IF(M192="","送付方法 ","")&amp;IF(AND(N192&lt;&gt;"",O192=""),"送付者 ","")&amp;IF(AND(I192&lt;&gt;"",L192=""),"入金期日 ","")&amp;IF(AND(N192&lt;&gt;"",P192&gt;0,S192&lt;=0,X192=""),"消込確認者 ","")))</f>
        <v/>
      </c>
      <c r="X192" s="28"/>
      <c r="Y192" s="28"/>
    </row>
    <row r="193" customFormat="false" ht="15" hidden="false" customHeight="false" outlineLevel="0" collapsed="false">
      <c r="A193" s="21" t="str">
        <f aca="false">IF(COUNTA(B193,C193,E193,F193)=0,"",設定!$C$4&amp;TEXT(ROW()-4,"00000"))</f>
        <v/>
      </c>
      <c r="B193" s="22"/>
      <c r="C193" s="23"/>
      <c r="D193" s="21" t="str">
        <f aca="false">IF(C193="","",IFERROR(INDEX(取引先マスタ!$B$5:$B$204,MATCH($C193,取引先マスタ!$A$5:$A$204,0)),"コード誤り"))</f>
        <v/>
      </c>
      <c r="E193" s="28"/>
      <c r="F193" s="18"/>
      <c r="G193" s="25"/>
      <c r="H193" s="26" t="str">
        <f aca="false">IF(OR(F193="",G193=""),"",ROUNDDOWN(F193*G193,0))</f>
        <v/>
      </c>
      <c r="I193" s="26" t="str">
        <f aca="false">IF(OR(F193="",G193=""),"",F193+H193)</f>
        <v/>
      </c>
      <c r="J193" s="27" t="str">
        <f aca="false">IF(OR(B193="",C193="",D193="コード誤り"),"",IFERROR(DATE(YEAR(B193),MONTH(B193)+INDEX(取引先マスタ!$E$5:$E$204,MATCH($C193,取引先マスタ!$A$5:$A$204,0)),MIN(INDEX(取引先マスタ!$F$5:$F$204,MATCH($C193,取引先マスタ!$A$5:$A$204,0)),DAY(EOMONTH(B193,INDEX(取引先マスタ!$E$5:$E$204,MATCH($C193,取引先マスタ!$A$5:$A$204,0)))))),""))</f>
        <v/>
      </c>
      <c r="K193" s="22"/>
      <c r="L193" s="27" t="str">
        <f aca="false">IF(K193&lt;&gt;"",K193,J193)</f>
        <v/>
      </c>
      <c r="M193" s="28"/>
      <c r="N193" s="22"/>
      <c r="O193" s="28"/>
      <c r="P193" s="26" t="str">
        <f aca="false">IF(A193="","",SUMIF(入金明細!$F$5:$F$1004,A193,入金明細!$E$5:$E$1004))</f>
        <v/>
      </c>
      <c r="Q193" s="27" t="str">
        <f aca="false">IF(OR(A193="",N(P193)=0),"",SUMPRODUCT(MAX((入金明細!$F$5:$F$1004=A193)*入金明細!$B$5:$B$1004)))</f>
        <v/>
      </c>
      <c r="R193" s="18"/>
      <c r="S193" s="26" t="str">
        <f aca="false">IF(OR(A193="",I193=""),"",I193-N(P193)-N(R193))</f>
        <v/>
      </c>
      <c r="T193" s="28"/>
      <c r="U193" s="29" t="str">
        <f aca="false">IF(A193="","",IF(T193="取消","取消",IF(W193&lt;&gt;"","要入力",IF(N193="","未送付",IF(S193=0,"入金済",IF(S193&lt;0,"過入金",IF(設定!$C$5&gt;L193,IF(P193&gt;0,"一部入金・超過","期日超過"),IF(P193&gt;0,"一部入金",IF(L193-設定!$C$5&lt;=設定!$C$6,"期日間近","入金待ち")))))))))</f>
        <v/>
      </c>
      <c r="V193" s="30" t="str">
        <f aca="false">IF(OR(U193="期日超過",U193="一部入金・超過"),設定!$C$5-L193,"")</f>
        <v/>
      </c>
      <c r="W193" s="21" t="str">
        <f aca="false">IF(A193="","",TRIM(IF(B193="","請求日 ","")&amp;IF(C193="","取引先 ",IF(D193="コード誤り","取引先コード誤り ",""))&amp;IF(E193="","件名 ","")&amp;IF(F193="","税抜金額 ","")&amp;IF(G193="","税率 ","")&amp;IF(M193="","送付方法 ","")&amp;IF(AND(N193&lt;&gt;"",O193=""),"送付者 ","")&amp;IF(AND(I193&lt;&gt;"",L193=""),"入金期日 ","")&amp;IF(AND(N193&lt;&gt;"",P193&gt;0,S193&lt;=0,X193=""),"消込確認者 ","")))</f>
        <v/>
      </c>
      <c r="X193" s="28"/>
      <c r="Y193" s="28"/>
    </row>
    <row r="194" customFormat="false" ht="15" hidden="false" customHeight="false" outlineLevel="0" collapsed="false">
      <c r="A194" s="21" t="str">
        <f aca="false">IF(COUNTA(B194,C194,E194,F194)=0,"",設定!$C$4&amp;TEXT(ROW()-4,"00000"))</f>
        <v/>
      </c>
      <c r="B194" s="22"/>
      <c r="C194" s="23"/>
      <c r="D194" s="21" t="str">
        <f aca="false">IF(C194="","",IFERROR(INDEX(取引先マスタ!$B$5:$B$204,MATCH($C194,取引先マスタ!$A$5:$A$204,0)),"コード誤り"))</f>
        <v/>
      </c>
      <c r="E194" s="28"/>
      <c r="F194" s="18"/>
      <c r="G194" s="25"/>
      <c r="H194" s="26" t="str">
        <f aca="false">IF(OR(F194="",G194=""),"",ROUNDDOWN(F194*G194,0))</f>
        <v/>
      </c>
      <c r="I194" s="26" t="str">
        <f aca="false">IF(OR(F194="",G194=""),"",F194+H194)</f>
        <v/>
      </c>
      <c r="J194" s="27" t="str">
        <f aca="false">IF(OR(B194="",C194="",D194="コード誤り"),"",IFERROR(DATE(YEAR(B194),MONTH(B194)+INDEX(取引先マスタ!$E$5:$E$204,MATCH($C194,取引先マスタ!$A$5:$A$204,0)),MIN(INDEX(取引先マスタ!$F$5:$F$204,MATCH($C194,取引先マスタ!$A$5:$A$204,0)),DAY(EOMONTH(B194,INDEX(取引先マスタ!$E$5:$E$204,MATCH($C194,取引先マスタ!$A$5:$A$204,0)))))),""))</f>
        <v/>
      </c>
      <c r="K194" s="22"/>
      <c r="L194" s="27" t="str">
        <f aca="false">IF(K194&lt;&gt;"",K194,J194)</f>
        <v/>
      </c>
      <c r="M194" s="28"/>
      <c r="N194" s="22"/>
      <c r="O194" s="28"/>
      <c r="P194" s="26" t="str">
        <f aca="false">IF(A194="","",SUMIF(入金明細!$F$5:$F$1004,A194,入金明細!$E$5:$E$1004))</f>
        <v/>
      </c>
      <c r="Q194" s="27" t="str">
        <f aca="false">IF(OR(A194="",N(P194)=0),"",SUMPRODUCT(MAX((入金明細!$F$5:$F$1004=A194)*入金明細!$B$5:$B$1004)))</f>
        <v/>
      </c>
      <c r="R194" s="18"/>
      <c r="S194" s="26" t="str">
        <f aca="false">IF(OR(A194="",I194=""),"",I194-N(P194)-N(R194))</f>
        <v/>
      </c>
      <c r="T194" s="28"/>
      <c r="U194" s="29" t="str">
        <f aca="false">IF(A194="","",IF(T194="取消","取消",IF(W194&lt;&gt;"","要入力",IF(N194="","未送付",IF(S194=0,"入金済",IF(S194&lt;0,"過入金",IF(設定!$C$5&gt;L194,IF(P194&gt;0,"一部入金・超過","期日超過"),IF(P194&gt;0,"一部入金",IF(L194-設定!$C$5&lt;=設定!$C$6,"期日間近","入金待ち")))))))))</f>
        <v/>
      </c>
      <c r="V194" s="30" t="str">
        <f aca="false">IF(OR(U194="期日超過",U194="一部入金・超過"),設定!$C$5-L194,"")</f>
        <v/>
      </c>
      <c r="W194" s="21" t="str">
        <f aca="false">IF(A194="","",TRIM(IF(B194="","請求日 ","")&amp;IF(C194="","取引先 ",IF(D194="コード誤り","取引先コード誤り ",""))&amp;IF(E194="","件名 ","")&amp;IF(F194="","税抜金額 ","")&amp;IF(G194="","税率 ","")&amp;IF(M194="","送付方法 ","")&amp;IF(AND(N194&lt;&gt;"",O194=""),"送付者 ","")&amp;IF(AND(I194&lt;&gt;"",L194=""),"入金期日 ","")&amp;IF(AND(N194&lt;&gt;"",P194&gt;0,S194&lt;=0,X194=""),"消込確認者 ","")))</f>
        <v/>
      </c>
      <c r="X194" s="28"/>
      <c r="Y194" s="28"/>
    </row>
    <row r="195" customFormat="false" ht="15" hidden="false" customHeight="false" outlineLevel="0" collapsed="false">
      <c r="A195" s="21" t="str">
        <f aca="false">IF(COUNTA(B195,C195,E195,F195)=0,"",設定!$C$4&amp;TEXT(ROW()-4,"00000"))</f>
        <v/>
      </c>
      <c r="B195" s="22"/>
      <c r="C195" s="23"/>
      <c r="D195" s="21" t="str">
        <f aca="false">IF(C195="","",IFERROR(INDEX(取引先マスタ!$B$5:$B$204,MATCH($C195,取引先マスタ!$A$5:$A$204,0)),"コード誤り"))</f>
        <v/>
      </c>
      <c r="E195" s="28"/>
      <c r="F195" s="18"/>
      <c r="G195" s="25"/>
      <c r="H195" s="26" t="str">
        <f aca="false">IF(OR(F195="",G195=""),"",ROUNDDOWN(F195*G195,0))</f>
        <v/>
      </c>
      <c r="I195" s="26" t="str">
        <f aca="false">IF(OR(F195="",G195=""),"",F195+H195)</f>
        <v/>
      </c>
      <c r="J195" s="27" t="str">
        <f aca="false">IF(OR(B195="",C195="",D195="コード誤り"),"",IFERROR(DATE(YEAR(B195),MONTH(B195)+INDEX(取引先マスタ!$E$5:$E$204,MATCH($C195,取引先マスタ!$A$5:$A$204,0)),MIN(INDEX(取引先マスタ!$F$5:$F$204,MATCH($C195,取引先マスタ!$A$5:$A$204,0)),DAY(EOMONTH(B195,INDEX(取引先マスタ!$E$5:$E$204,MATCH($C195,取引先マスタ!$A$5:$A$204,0)))))),""))</f>
        <v/>
      </c>
      <c r="K195" s="22"/>
      <c r="L195" s="27" t="str">
        <f aca="false">IF(K195&lt;&gt;"",K195,J195)</f>
        <v/>
      </c>
      <c r="M195" s="28"/>
      <c r="N195" s="22"/>
      <c r="O195" s="28"/>
      <c r="P195" s="26" t="str">
        <f aca="false">IF(A195="","",SUMIF(入金明細!$F$5:$F$1004,A195,入金明細!$E$5:$E$1004))</f>
        <v/>
      </c>
      <c r="Q195" s="27" t="str">
        <f aca="false">IF(OR(A195="",N(P195)=0),"",SUMPRODUCT(MAX((入金明細!$F$5:$F$1004=A195)*入金明細!$B$5:$B$1004)))</f>
        <v/>
      </c>
      <c r="R195" s="18"/>
      <c r="S195" s="26" t="str">
        <f aca="false">IF(OR(A195="",I195=""),"",I195-N(P195)-N(R195))</f>
        <v/>
      </c>
      <c r="T195" s="28"/>
      <c r="U195" s="29" t="str">
        <f aca="false">IF(A195="","",IF(T195="取消","取消",IF(W195&lt;&gt;"","要入力",IF(N195="","未送付",IF(S195=0,"入金済",IF(S195&lt;0,"過入金",IF(設定!$C$5&gt;L195,IF(P195&gt;0,"一部入金・超過","期日超過"),IF(P195&gt;0,"一部入金",IF(L195-設定!$C$5&lt;=設定!$C$6,"期日間近","入金待ち")))))))))</f>
        <v/>
      </c>
      <c r="V195" s="30" t="str">
        <f aca="false">IF(OR(U195="期日超過",U195="一部入金・超過"),設定!$C$5-L195,"")</f>
        <v/>
      </c>
      <c r="W195" s="21" t="str">
        <f aca="false">IF(A195="","",TRIM(IF(B195="","請求日 ","")&amp;IF(C195="","取引先 ",IF(D195="コード誤り","取引先コード誤り ",""))&amp;IF(E195="","件名 ","")&amp;IF(F195="","税抜金額 ","")&amp;IF(G195="","税率 ","")&amp;IF(M195="","送付方法 ","")&amp;IF(AND(N195&lt;&gt;"",O195=""),"送付者 ","")&amp;IF(AND(I195&lt;&gt;"",L195=""),"入金期日 ","")&amp;IF(AND(N195&lt;&gt;"",P195&gt;0,S195&lt;=0,X195=""),"消込確認者 ","")))</f>
        <v/>
      </c>
      <c r="X195" s="28"/>
      <c r="Y195" s="28"/>
    </row>
    <row r="196" customFormat="false" ht="15" hidden="false" customHeight="false" outlineLevel="0" collapsed="false">
      <c r="A196" s="21" t="str">
        <f aca="false">IF(COUNTA(B196,C196,E196,F196)=0,"",設定!$C$4&amp;TEXT(ROW()-4,"00000"))</f>
        <v/>
      </c>
      <c r="B196" s="22"/>
      <c r="C196" s="23"/>
      <c r="D196" s="21" t="str">
        <f aca="false">IF(C196="","",IFERROR(INDEX(取引先マスタ!$B$5:$B$204,MATCH($C196,取引先マスタ!$A$5:$A$204,0)),"コード誤り"))</f>
        <v/>
      </c>
      <c r="E196" s="28"/>
      <c r="F196" s="18"/>
      <c r="G196" s="25"/>
      <c r="H196" s="26" t="str">
        <f aca="false">IF(OR(F196="",G196=""),"",ROUNDDOWN(F196*G196,0))</f>
        <v/>
      </c>
      <c r="I196" s="26" t="str">
        <f aca="false">IF(OR(F196="",G196=""),"",F196+H196)</f>
        <v/>
      </c>
      <c r="J196" s="27" t="str">
        <f aca="false">IF(OR(B196="",C196="",D196="コード誤り"),"",IFERROR(DATE(YEAR(B196),MONTH(B196)+INDEX(取引先マスタ!$E$5:$E$204,MATCH($C196,取引先マスタ!$A$5:$A$204,0)),MIN(INDEX(取引先マスタ!$F$5:$F$204,MATCH($C196,取引先マスタ!$A$5:$A$204,0)),DAY(EOMONTH(B196,INDEX(取引先マスタ!$E$5:$E$204,MATCH($C196,取引先マスタ!$A$5:$A$204,0)))))),""))</f>
        <v/>
      </c>
      <c r="K196" s="22"/>
      <c r="L196" s="27" t="str">
        <f aca="false">IF(K196&lt;&gt;"",K196,J196)</f>
        <v/>
      </c>
      <c r="M196" s="28"/>
      <c r="N196" s="22"/>
      <c r="O196" s="28"/>
      <c r="P196" s="26" t="str">
        <f aca="false">IF(A196="","",SUMIF(入金明細!$F$5:$F$1004,A196,入金明細!$E$5:$E$1004))</f>
        <v/>
      </c>
      <c r="Q196" s="27" t="str">
        <f aca="false">IF(OR(A196="",N(P196)=0),"",SUMPRODUCT(MAX((入金明細!$F$5:$F$1004=A196)*入金明細!$B$5:$B$1004)))</f>
        <v/>
      </c>
      <c r="R196" s="18"/>
      <c r="S196" s="26" t="str">
        <f aca="false">IF(OR(A196="",I196=""),"",I196-N(P196)-N(R196))</f>
        <v/>
      </c>
      <c r="T196" s="28"/>
      <c r="U196" s="29" t="str">
        <f aca="false">IF(A196="","",IF(T196="取消","取消",IF(W196&lt;&gt;"","要入力",IF(N196="","未送付",IF(S196=0,"入金済",IF(S196&lt;0,"過入金",IF(設定!$C$5&gt;L196,IF(P196&gt;0,"一部入金・超過","期日超過"),IF(P196&gt;0,"一部入金",IF(L196-設定!$C$5&lt;=設定!$C$6,"期日間近","入金待ち")))))))))</f>
        <v/>
      </c>
      <c r="V196" s="30" t="str">
        <f aca="false">IF(OR(U196="期日超過",U196="一部入金・超過"),設定!$C$5-L196,"")</f>
        <v/>
      </c>
      <c r="W196" s="21" t="str">
        <f aca="false">IF(A196="","",TRIM(IF(B196="","請求日 ","")&amp;IF(C196="","取引先 ",IF(D196="コード誤り","取引先コード誤り ",""))&amp;IF(E196="","件名 ","")&amp;IF(F196="","税抜金額 ","")&amp;IF(G196="","税率 ","")&amp;IF(M196="","送付方法 ","")&amp;IF(AND(N196&lt;&gt;"",O196=""),"送付者 ","")&amp;IF(AND(I196&lt;&gt;"",L196=""),"入金期日 ","")&amp;IF(AND(N196&lt;&gt;"",P196&gt;0,S196&lt;=0,X196=""),"消込確認者 ","")))</f>
        <v/>
      </c>
      <c r="X196" s="28"/>
      <c r="Y196" s="28"/>
    </row>
    <row r="197" customFormat="false" ht="15" hidden="false" customHeight="false" outlineLevel="0" collapsed="false">
      <c r="A197" s="21" t="str">
        <f aca="false">IF(COUNTA(B197,C197,E197,F197)=0,"",設定!$C$4&amp;TEXT(ROW()-4,"00000"))</f>
        <v/>
      </c>
      <c r="B197" s="22"/>
      <c r="C197" s="23"/>
      <c r="D197" s="21" t="str">
        <f aca="false">IF(C197="","",IFERROR(INDEX(取引先マスタ!$B$5:$B$204,MATCH($C197,取引先マスタ!$A$5:$A$204,0)),"コード誤り"))</f>
        <v/>
      </c>
      <c r="E197" s="28"/>
      <c r="F197" s="18"/>
      <c r="G197" s="25"/>
      <c r="H197" s="26" t="str">
        <f aca="false">IF(OR(F197="",G197=""),"",ROUNDDOWN(F197*G197,0))</f>
        <v/>
      </c>
      <c r="I197" s="26" t="str">
        <f aca="false">IF(OR(F197="",G197=""),"",F197+H197)</f>
        <v/>
      </c>
      <c r="J197" s="27" t="str">
        <f aca="false">IF(OR(B197="",C197="",D197="コード誤り"),"",IFERROR(DATE(YEAR(B197),MONTH(B197)+INDEX(取引先マスタ!$E$5:$E$204,MATCH($C197,取引先マスタ!$A$5:$A$204,0)),MIN(INDEX(取引先マスタ!$F$5:$F$204,MATCH($C197,取引先マスタ!$A$5:$A$204,0)),DAY(EOMONTH(B197,INDEX(取引先マスタ!$E$5:$E$204,MATCH($C197,取引先マスタ!$A$5:$A$204,0)))))),""))</f>
        <v/>
      </c>
      <c r="K197" s="22"/>
      <c r="L197" s="27" t="str">
        <f aca="false">IF(K197&lt;&gt;"",K197,J197)</f>
        <v/>
      </c>
      <c r="M197" s="28"/>
      <c r="N197" s="22"/>
      <c r="O197" s="28"/>
      <c r="P197" s="26" t="str">
        <f aca="false">IF(A197="","",SUMIF(入金明細!$F$5:$F$1004,A197,入金明細!$E$5:$E$1004))</f>
        <v/>
      </c>
      <c r="Q197" s="27" t="str">
        <f aca="false">IF(OR(A197="",N(P197)=0),"",SUMPRODUCT(MAX((入金明細!$F$5:$F$1004=A197)*入金明細!$B$5:$B$1004)))</f>
        <v/>
      </c>
      <c r="R197" s="18"/>
      <c r="S197" s="26" t="str">
        <f aca="false">IF(OR(A197="",I197=""),"",I197-N(P197)-N(R197))</f>
        <v/>
      </c>
      <c r="T197" s="28"/>
      <c r="U197" s="29" t="str">
        <f aca="false">IF(A197="","",IF(T197="取消","取消",IF(W197&lt;&gt;"","要入力",IF(N197="","未送付",IF(S197=0,"入金済",IF(S197&lt;0,"過入金",IF(設定!$C$5&gt;L197,IF(P197&gt;0,"一部入金・超過","期日超過"),IF(P197&gt;0,"一部入金",IF(L197-設定!$C$5&lt;=設定!$C$6,"期日間近","入金待ち")))))))))</f>
        <v/>
      </c>
      <c r="V197" s="30" t="str">
        <f aca="false">IF(OR(U197="期日超過",U197="一部入金・超過"),設定!$C$5-L197,"")</f>
        <v/>
      </c>
      <c r="W197" s="21" t="str">
        <f aca="false">IF(A197="","",TRIM(IF(B197="","請求日 ","")&amp;IF(C197="","取引先 ",IF(D197="コード誤り","取引先コード誤り ",""))&amp;IF(E197="","件名 ","")&amp;IF(F197="","税抜金額 ","")&amp;IF(G197="","税率 ","")&amp;IF(M197="","送付方法 ","")&amp;IF(AND(N197&lt;&gt;"",O197=""),"送付者 ","")&amp;IF(AND(I197&lt;&gt;"",L197=""),"入金期日 ","")&amp;IF(AND(N197&lt;&gt;"",P197&gt;0,S197&lt;=0,X197=""),"消込確認者 ","")))</f>
        <v/>
      </c>
      <c r="X197" s="28"/>
      <c r="Y197" s="28"/>
    </row>
    <row r="198" customFormat="false" ht="15" hidden="false" customHeight="false" outlineLevel="0" collapsed="false">
      <c r="A198" s="21" t="str">
        <f aca="false">IF(COUNTA(B198,C198,E198,F198)=0,"",設定!$C$4&amp;TEXT(ROW()-4,"00000"))</f>
        <v/>
      </c>
      <c r="B198" s="22"/>
      <c r="C198" s="23"/>
      <c r="D198" s="21" t="str">
        <f aca="false">IF(C198="","",IFERROR(INDEX(取引先マスタ!$B$5:$B$204,MATCH($C198,取引先マスタ!$A$5:$A$204,0)),"コード誤り"))</f>
        <v/>
      </c>
      <c r="E198" s="28"/>
      <c r="F198" s="18"/>
      <c r="G198" s="25"/>
      <c r="H198" s="26" t="str">
        <f aca="false">IF(OR(F198="",G198=""),"",ROUNDDOWN(F198*G198,0))</f>
        <v/>
      </c>
      <c r="I198" s="26" t="str">
        <f aca="false">IF(OR(F198="",G198=""),"",F198+H198)</f>
        <v/>
      </c>
      <c r="J198" s="27" t="str">
        <f aca="false">IF(OR(B198="",C198="",D198="コード誤り"),"",IFERROR(DATE(YEAR(B198),MONTH(B198)+INDEX(取引先マスタ!$E$5:$E$204,MATCH($C198,取引先マスタ!$A$5:$A$204,0)),MIN(INDEX(取引先マスタ!$F$5:$F$204,MATCH($C198,取引先マスタ!$A$5:$A$204,0)),DAY(EOMONTH(B198,INDEX(取引先マスタ!$E$5:$E$204,MATCH($C198,取引先マスタ!$A$5:$A$204,0)))))),""))</f>
        <v/>
      </c>
      <c r="K198" s="22"/>
      <c r="L198" s="27" t="str">
        <f aca="false">IF(K198&lt;&gt;"",K198,J198)</f>
        <v/>
      </c>
      <c r="M198" s="28"/>
      <c r="N198" s="22"/>
      <c r="O198" s="28"/>
      <c r="P198" s="26" t="str">
        <f aca="false">IF(A198="","",SUMIF(入金明細!$F$5:$F$1004,A198,入金明細!$E$5:$E$1004))</f>
        <v/>
      </c>
      <c r="Q198" s="27" t="str">
        <f aca="false">IF(OR(A198="",N(P198)=0),"",SUMPRODUCT(MAX((入金明細!$F$5:$F$1004=A198)*入金明細!$B$5:$B$1004)))</f>
        <v/>
      </c>
      <c r="R198" s="18"/>
      <c r="S198" s="26" t="str">
        <f aca="false">IF(OR(A198="",I198=""),"",I198-N(P198)-N(R198))</f>
        <v/>
      </c>
      <c r="T198" s="28"/>
      <c r="U198" s="29" t="str">
        <f aca="false">IF(A198="","",IF(T198="取消","取消",IF(W198&lt;&gt;"","要入力",IF(N198="","未送付",IF(S198=0,"入金済",IF(S198&lt;0,"過入金",IF(設定!$C$5&gt;L198,IF(P198&gt;0,"一部入金・超過","期日超過"),IF(P198&gt;0,"一部入金",IF(L198-設定!$C$5&lt;=設定!$C$6,"期日間近","入金待ち")))))))))</f>
        <v/>
      </c>
      <c r="V198" s="30" t="str">
        <f aca="false">IF(OR(U198="期日超過",U198="一部入金・超過"),設定!$C$5-L198,"")</f>
        <v/>
      </c>
      <c r="W198" s="21" t="str">
        <f aca="false">IF(A198="","",TRIM(IF(B198="","請求日 ","")&amp;IF(C198="","取引先 ",IF(D198="コード誤り","取引先コード誤り ",""))&amp;IF(E198="","件名 ","")&amp;IF(F198="","税抜金額 ","")&amp;IF(G198="","税率 ","")&amp;IF(M198="","送付方法 ","")&amp;IF(AND(N198&lt;&gt;"",O198=""),"送付者 ","")&amp;IF(AND(I198&lt;&gt;"",L198=""),"入金期日 ","")&amp;IF(AND(N198&lt;&gt;"",P198&gt;0,S198&lt;=0,X198=""),"消込確認者 ","")))</f>
        <v/>
      </c>
      <c r="X198" s="28"/>
      <c r="Y198" s="28"/>
    </row>
    <row r="199" customFormat="false" ht="15" hidden="false" customHeight="false" outlineLevel="0" collapsed="false">
      <c r="A199" s="21" t="str">
        <f aca="false">IF(COUNTA(B199,C199,E199,F199)=0,"",設定!$C$4&amp;TEXT(ROW()-4,"00000"))</f>
        <v/>
      </c>
      <c r="B199" s="22"/>
      <c r="C199" s="23"/>
      <c r="D199" s="21" t="str">
        <f aca="false">IF(C199="","",IFERROR(INDEX(取引先マスタ!$B$5:$B$204,MATCH($C199,取引先マスタ!$A$5:$A$204,0)),"コード誤り"))</f>
        <v/>
      </c>
      <c r="E199" s="28"/>
      <c r="F199" s="18"/>
      <c r="G199" s="25"/>
      <c r="H199" s="26" t="str">
        <f aca="false">IF(OR(F199="",G199=""),"",ROUNDDOWN(F199*G199,0))</f>
        <v/>
      </c>
      <c r="I199" s="26" t="str">
        <f aca="false">IF(OR(F199="",G199=""),"",F199+H199)</f>
        <v/>
      </c>
      <c r="J199" s="27" t="str">
        <f aca="false">IF(OR(B199="",C199="",D199="コード誤り"),"",IFERROR(DATE(YEAR(B199),MONTH(B199)+INDEX(取引先マスタ!$E$5:$E$204,MATCH($C199,取引先マスタ!$A$5:$A$204,0)),MIN(INDEX(取引先マスタ!$F$5:$F$204,MATCH($C199,取引先マスタ!$A$5:$A$204,0)),DAY(EOMONTH(B199,INDEX(取引先マスタ!$E$5:$E$204,MATCH($C199,取引先マスタ!$A$5:$A$204,0)))))),""))</f>
        <v/>
      </c>
      <c r="K199" s="22"/>
      <c r="L199" s="27" t="str">
        <f aca="false">IF(K199&lt;&gt;"",K199,J199)</f>
        <v/>
      </c>
      <c r="M199" s="28"/>
      <c r="N199" s="22"/>
      <c r="O199" s="28"/>
      <c r="P199" s="26" t="str">
        <f aca="false">IF(A199="","",SUMIF(入金明細!$F$5:$F$1004,A199,入金明細!$E$5:$E$1004))</f>
        <v/>
      </c>
      <c r="Q199" s="27" t="str">
        <f aca="false">IF(OR(A199="",N(P199)=0),"",SUMPRODUCT(MAX((入金明細!$F$5:$F$1004=A199)*入金明細!$B$5:$B$1004)))</f>
        <v/>
      </c>
      <c r="R199" s="18"/>
      <c r="S199" s="26" t="str">
        <f aca="false">IF(OR(A199="",I199=""),"",I199-N(P199)-N(R199))</f>
        <v/>
      </c>
      <c r="T199" s="28"/>
      <c r="U199" s="29" t="str">
        <f aca="false">IF(A199="","",IF(T199="取消","取消",IF(W199&lt;&gt;"","要入力",IF(N199="","未送付",IF(S199=0,"入金済",IF(S199&lt;0,"過入金",IF(設定!$C$5&gt;L199,IF(P199&gt;0,"一部入金・超過","期日超過"),IF(P199&gt;0,"一部入金",IF(L199-設定!$C$5&lt;=設定!$C$6,"期日間近","入金待ち")))))))))</f>
        <v/>
      </c>
      <c r="V199" s="30" t="str">
        <f aca="false">IF(OR(U199="期日超過",U199="一部入金・超過"),設定!$C$5-L199,"")</f>
        <v/>
      </c>
      <c r="W199" s="21" t="str">
        <f aca="false">IF(A199="","",TRIM(IF(B199="","請求日 ","")&amp;IF(C199="","取引先 ",IF(D199="コード誤り","取引先コード誤り ",""))&amp;IF(E199="","件名 ","")&amp;IF(F199="","税抜金額 ","")&amp;IF(G199="","税率 ","")&amp;IF(M199="","送付方法 ","")&amp;IF(AND(N199&lt;&gt;"",O199=""),"送付者 ","")&amp;IF(AND(I199&lt;&gt;"",L199=""),"入金期日 ","")&amp;IF(AND(N199&lt;&gt;"",P199&gt;0,S199&lt;=0,X199=""),"消込確認者 ","")))</f>
        <v/>
      </c>
      <c r="X199" s="28"/>
      <c r="Y199" s="28"/>
    </row>
    <row r="200" customFormat="false" ht="15" hidden="false" customHeight="false" outlineLevel="0" collapsed="false">
      <c r="A200" s="21" t="str">
        <f aca="false">IF(COUNTA(B200,C200,E200,F200)=0,"",設定!$C$4&amp;TEXT(ROW()-4,"00000"))</f>
        <v/>
      </c>
      <c r="B200" s="22"/>
      <c r="C200" s="23"/>
      <c r="D200" s="21" t="str">
        <f aca="false">IF(C200="","",IFERROR(INDEX(取引先マスタ!$B$5:$B$204,MATCH($C200,取引先マスタ!$A$5:$A$204,0)),"コード誤り"))</f>
        <v/>
      </c>
      <c r="E200" s="28"/>
      <c r="F200" s="18"/>
      <c r="G200" s="25"/>
      <c r="H200" s="26" t="str">
        <f aca="false">IF(OR(F200="",G200=""),"",ROUNDDOWN(F200*G200,0))</f>
        <v/>
      </c>
      <c r="I200" s="26" t="str">
        <f aca="false">IF(OR(F200="",G200=""),"",F200+H200)</f>
        <v/>
      </c>
      <c r="J200" s="27" t="str">
        <f aca="false">IF(OR(B200="",C200="",D200="コード誤り"),"",IFERROR(DATE(YEAR(B200),MONTH(B200)+INDEX(取引先マスタ!$E$5:$E$204,MATCH($C200,取引先マスタ!$A$5:$A$204,0)),MIN(INDEX(取引先マスタ!$F$5:$F$204,MATCH($C200,取引先マスタ!$A$5:$A$204,0)),DAY(EOMONTH(B200,INDEX(取引先マスタ!$E$5:$E$204,MATCH($C200,取引先マスタ!$A$5:$A$204,0)))))),""))</f>
        <v/>
      </c>
      <c r="K200" s="22"/>
      <c r="L200" s="27" t="str">
        <f aca="false">IF(K200&lt;&gt;"",K200,J200)</f>
        <v/>
      </c>
      <c r="M200" s="28"/>
      <c r="N200" s="22"/>
      <c r="O200" s="28"/>
      <c r="P200" s="26" t="str">
        <f aca="false">IF(A200="","",SUMIF(入金明細!$F$5:$F$1004,A200,入金明細!$E$5:$E$1004))</f>
        <v/>
      </c>
      <c r="Q200" s="27" t="str">
        <f aca="false">IF(OR(A200="",N(P200)=0),"",SUMPRODUCT(MAX((入金明細!$F$5:$F$1004=A200)*入金明細!$B$5:$B$1004)))</f>
        <v/>
      </c>
      <c r="R200" s="18"/>
      <c r="S200" s="26" t="str">
        <f aca="false">IF(OR(A200="",I200=""),"",I200-N(P200)-N(R200))</f>
        <v/>
      </c>
      <c r="T200" s="28"/>
      <c r="U200" s="29" t="str">
        <f aca="false">IF(A200="","",IF(T200="取消","取消",IF(W200&lt;&gt;"","要入力",IF(N200="","未送付",IF(S200=0,"入金済",IF(S200&lt;0,"過入金",IF(設定!$C$5&gt;L200,IF(P200&gt;0,"一部入金・超過","期日超過"),IF(P200&gt;0,"一部入金",IF(L200-設定!$C$5&lt;=設定!$C$6,"期日間近","入金待ち")))))))))</f>
        <v/>
      </c>
      <c r="V200" s="30" t="str">
        <f aca="false">IF(OR(U200="期日超過",U200="一部入金・超過"),設定!$C$5-L200,"")</f>
        <v/>
      </c>
      <c r="W200" s="21" t="str">
        <f aca="false">IF(A200="","",TRIM(IF(B200="","請求日 ","")&amp;IF(C200="","取引先 ",IF(D200="コード誤り","取引先コード誤り ",""))&amp;IF(E200="","件名 ","")&amp;IF(F200="","税抜金額 ","")&amp;IF(G200="","税率 ","")&amp;IF(M200="","送付方法 ","")&amp;IF(AND(N200&lt;&gt;"",O200=""),"送付者 ","")&amp;IF(AND(I200&lt;&gt;"",L200=""),"入金期日 ","")&amp;IF(AND(N200&lt;&gt;"",P200&gt;0,S200&lt;=0,X200=""),"消込確認者 ","")))</f>
        <v/>
      </c>
      <c r="X200" s="28"/>
      <c r="Y200" s="28"/>
    </row>
    <row r="201" customFormat="false" ht="15" hidden="false" customHeight="false" outlineLevel="0" collapsed="false">
      <c r="A201" s="21" t="str">
        <f aca="false">IF(COUNTA(B201,C201,E201,F201)=0,"",設定!$C$4&amp;TEXT(ROW()-4,"00000"))</f>
        <v/>
      </c>
      <c r="B201" s="22"/>
      <c r="C201" s="23"/>
      <c r="D201" s="21" t="str">
        <f aca="false">IF(C201="","",IFERROR(INDEX(取引先マスタ!$B$5:$B$204,MATCH($C201,取引先マスタ!$A$5:$A$204,0)),"コード誤り"))</f>
        <v/>
      </c>
      <c r="E201" s="28"/>
      <c r="F201" s="18"/>
      <c r="G201" s="25"/>
      <c r="H201" s="26" t="str">
        <f aca="false">IF(OR(F201="",G201=""),"",ROUNDDOWN(F201*G201,0))</f>
        <v/>
      </c>
      <c r="I201" s="26" t="str">
        <f aca="false">IF(OR(F201="",G201=""),"",F201+H201)</f>
        <v/>
      </c>
      <c r="J201" s="27" t="str">
        <f aca="false">IF(OR(B201="",C201="",D201="コード誤り"),"",IFERROR(DATE(YEAR(B201),MONTH(B201)+INDEX(取引先マスタ!$E$5:$E$204,MATCH($C201,取引先マスタ!$A$5:$A$204,0)),MIN(INDEX(取引先マスタ!$F$5:$F$204,MATCH($C201,取引先マスタ!$A$5:$A$204,0)),DAY(EOMONTH(B201,INDEX(取引先マスタ!$E$5:$E$204,MATCH($C201,取引先マスタ!$A$5:$A$204,0)))))),""))</f>
        <v/>
      </c>
      <c r="K201" s="22"/>
      <c r="L201" s="27" t="str">
        <f aca="false">IF(K201&lt;&gt;"",K201,J201)</f>
        <v/>
      </c>
      <c r="M201" s="28"/>
      <c r="N201" s="22"/>
      <c r="O201" s="28"/>
      <c r="P201" s="26" t="str">
        <f aca="false">IF(A201="","",SUMIF(入金明細!$F$5:$F$1004,A201,入金明細!$E$5:$E$1004))</f>
        <v/>
      </c>
      <c r="Q201" s="27" t="str">
        <f aca="false">IF(OR(A201="",N(P201)=0),"",SUMPRODUCT(MAX((入金明細!$F$5:$F$1004=A201)*入金明細!$B$5:$B$1004)))</f>
        <v/>
      </c>
      <c r="R201" s="18"/>
      <c r="S201" s="26" t="str">
        <f aca="false">IF(OR(A201="",I201=""),"",I201-N(P201)-N(R201))</f>
        <v/>
      </c>
      <c r="T201" s="28"/>
      <c r="U201" s="29" t="str">
        <f aca="false">IF(A201="","",IF(T201="取消","取消",IF(W201&lt;&gt;"","要入力",IF(N201="","未送付",IF(S201=0,"入金済",IF(S201&lt;0,"過入金",IF(設定!$C$5&gt;L201,IF(P201&gt;0,"一部入金・超過","期日超過"),IF(P201&gt;0,"一部入金",IF(L201-設定!$C$5&lt;=設定!$C$6,"期日間近","入金待ち")))))))))</f>
        <v/>
      </c>
      <c r="V201" s="30" t="str">
        <f aca="false">IF(OR(U201="期日超過",U201="一部入金・超過"),設定!$C$5-L201,"")</f>
        <v/>
      </c>
      <c r="W201" s="21" t="str">
        <f aca="false">IF(A201="","",TRIM(IF(B201="","請求日 ","")&amp;IF(C201="","取引先 ",IF(D201="コード誤り","取引先コード誤り ",""))&amp;IF(E201="","件名 ","")&amp;IF(F201="","税抜金額 ","")&amp;IF(G201="","税率 ","")&amp;IF(M201="","送付方法 ","")&amp;IF(AND(N201&lt;&gt;"",O201=""),"送付者 ","")&amp;IF(AND(I201&lt;&gt;"",L201=""),"入金期日 ","")&amp;IF(AND(N201&lt;&gt;"",P201&gt;0,S201&lt;=0,X201=""),"消込確認者 ","")))</f>
        <v/>
      </c>
      <c r="X201" s="28"/>
      <c r="Y201" s="28"/>
    </row>
    <row r="202" customFormat="false" ht="15" hidden="false" customHeight="false" outlineLevel="0" collapsed="false">
      <c r="A202" s="21" t="str">
        <f aca="false">IF(COUNTA(B202,C202,E202,F202)=0,"",設定!$C$4&amp;TEXT(ROW()-4,"00000"))</f>
        <v/>
      </c>
      <c r="B202" s="22"/>
      <c r="C202" s="23"/>
      <c r="D202" s="21" t="str">
        <f aca="false">IF(C202="","",IFERROR(INDEX(取引先マスタ!$B$5:$B$204,MATCH($C202,取引先マスタ!$A$5:$A$204,0)),"コード誤り"))</f>
        <v/>
      </c>
      <c r="E202" s="28"/>
      <c r="F202" s="18"/>
      <c r="G202" s="25"/>
      <c r="H202" s="26" t="str">
        <f aca="false">IF(OR(F202="",G202=""),"",ROUNDDOWN(F202*G202,0))</f>
        <v/>
      </c>
      <c r="I202" s="26" t="str">
        <f aca="false">IF(OR(F202="",G202=""),"",F202+H202)</f>
        <v/>
      </c>
      <c r="J202" s="27" t="str">
        <f aca="false">IF(OR(B202="",C202="",D202="コード誤り"),"",IFERROR(DATE(YEAR(B202),MONTH(B202)+INDEX(取引先マスタ!$E$5:$E$204,MATCH($C202,取引先マスタ!$A$5:$A$204,0)),MIN(INDEX(取引先マスタ!$F$5:$F$204,MATCH($C202,取引先マスタ!$A$5:$A$204,0)),DAY(EOMONTH(B202,INDEX(取引先マスタ!$E$5:$E$204,MATCH($C202,取引先マスタ!$A$5:$A$204,0)))))),""))</f>
        <v/>
      </c>
      <c r="K202" s="22"/>
      <c r="L202" s="27" t="str">
        <f aca="false">IF(K202&lt;&gt;"",K202,J202)</f>
        <v/>
      </c>
      <c r="M202" s="28"/>
      <c r="N202" s="22"/>
      <c r="O202" s="28"/>
      <c r="P202" s="26" t="str">
        <f aca="false">IF(A202="","",SUMIF(入金明細!$F$5:$F$1004,A202,入金明細!$E$5:$E$1004))</f>
        <v/>
      </c>
      <c r="Q202" s="27" t="str">
        <f aca="false">IF(OR(A202="",N(P202)=0),"",SUMPRODUCT(MAX((入金明細!$F$5:$F$1004=A202)*入金明細!$B$5:$B$1004)))</f>
        <v/>
      </c>
      <c r="R202" s="18"/>
      <c r="S202" s="26" t="str">
        <f aca="false">IF(OR(A202="",I202=""),"",I202-N(P202)-N(R202))</f>
        <v/>
      </c>
      <c r="T202" s="28"/>
      <c r="U202" s="29" t="str">
        <f aca="false">IF(A202="","",IF(T202="取消","取消",IF(W202&lt;&gt;"","要入力",IF(N202="","未送付",IF(S202=0,"入金済",IF(S202&lt;0,"過入金",IF(設定!$C$5&gt;L202,IF(P202&gt;0,"一部入金・超過","期日超過"),IF(P202&gt;0,"一部入金",IF(L202-設定!$C$5&lt;=設定!$C$6,"期日間近","入金待ち")))))))))</f>
        <v/>
      </c>
      <c r="V202" s="30" t="str">
        <f aca="false">IF(OR(U202="期日超過",U202="一部入金・超過"),設定!$C$5-L202,"")</f>
        <v/>
      </c>
      <c r="W202" s="21" t="str">
        <f aca="false">IF(A202="","",TRIM(IF(B202="","請求日 ","")&amp;IF(C202="","取引先 ",IF(D202="コード誤り","取引先コード誤り ",""))&amp;IF(E202="","件名 ","")&amp;IF(F202="","税抜金額 ","")&amp;IF(G202="","税率 ","")&amp;IF(M202="","送付方法 ","")&amp;IF(AND(N202&lt;&gt;"",O202=""),"送付者 ","")&amp;IF(AND(I202&lt;&gt;"",L202=""),"入金期日 ","")&amp;IF(AND(N202&lt;&gt;"",P202&gt;0,S202&lt;=0,X202=""),"消込確認者 ","")))</f>
        <v/>
      </c>
      <c r="X202" s="28"/>
      <c r="Y202" s="28"/>
    </row>
    <row r="203" customFormat="false" ht="15" hidden="false" customHeight="false" outlineLevel="0" collapsed="false">
      <c r="A203" s="21" t="str">
        <f aca="false">IF(COUNTA(B203,C203,E203,F203)=0,"",設定!$C$4&amp;TEXT(ROW()-4,"00000"))</f>
        <v/>
      </c>
      <c r="B203" s="22"/>
      <c r="C203" s="23"/>
      <c r="D203" s="21" t="str">
        <f aca="false">IF(C203="","",IFERROR(INDEX(取引先マスタ!$B$5:$B$204,MATCH($C203,取引先マスタ!$A$5:$A$204,0)),"コード誤り"))</f>
        <v/>
      </c>
      <c r="E203" s="28"/>
      <c r="F203" s="18"/>
      <c r="G203" s="25"/>
      <c r="H203" s="26" t="str">
        <f aca="false">IF(OR(F203="",G203=""),"",ROUNDDOWN(F203*G203,0))</f>
        <v/>
      </c>
      <c r="I203" s="26" t="str">
        <f aca="false">IF(OR(F203="",G203=""),"",F203+H203)</f>
        <v/>
      </c>
      <c r="J203" s="27" t="str">
        <f aca="false">IF(OR(B203="",C203="",D203="コード誤り"),"",IFERROR(DATE(YEAR(B203),MONTH(B203)+INDEX(取引先マスタ!$E$5:$E$204,MATCH($C203,取引先マスタ!$A$5:$A$204,0)),MIN(INDEX(取引先マスタ!$F$5:$F$204,MATCH($C203,取引先マスタ!$A$5:$A$204,0)),DAY(EOMONTH(B203,INDEX(取引先マスタ!$E$5:$E$204,MATCH($C203,取引先マスタ!$A$5:$A$204,0)))))),""))</f>
        <v/>
      </c>
      <c r="K203" s="22"/>
      <c r="L203" s="27" t="str">
        <f aca="false">IF(K203&lt;&gt;"",K203,J203)</f>
        <v/>
      </c>
      <c r="M203" s="28"/>
      <c r="N203" s="22"/>
      <c r="O203" s="28"/>
      <c r="P203" s="26" t="str">
        <f aca="false">IF(A203="","",SUMIF(入金明細!$F$5:$F$1004,A203,入金明細!$E$5:$E$1004))</f>
        <v/>
      </c>
      <c r="Q203" s="27" t="str">
        <f aca="false">IF(OR(A203="",N(P203)=0),"",SUMPRODUCT(MAX((入金明細!$F$5:$F$1004=A203)*入金明細!$B$5:$B$1004)))</f>
        <v/>
      </c>
      <c r="R203" s="18"/>
      <c r="S203" s="26" t="str">
        <f aca="false">IF(OR(A203="",I203=""),"",I203-N(P203)-N(R203))</f>
        <v/>
      </c>
      <c r="T203" s="28"/>
      <c r="U203" s="29" t="str">
        <f aca="false">IF(A203="","",IF(T203="取消","取消",IF(W203&lt;&gt;"","要入力",IF(N203="","未送付",IF(S203=0,"入金済",IF(S203&lt;0,"過入金",IF(設定!$C$5&gt;L203,IF(P203&gt;0,"一部入金・超過","期日超過"),IF(P203&gt;0,"一部入金",IF(L203-設定!$C$5&lt;=設定!$C$6,"期日間近","入金待ち")))))))))</f>
        <v/>
      </c>
      <c r="V203" s="30" t="str">
        <f aca="false">IF(OR(U203="期日超過",U203="一部入金・超過"),設定!$C$5-L203,"")</f>
        <v/>
      </c>
      <c r="W203" s="21" t="str">
        <f aca="false">IF(A203="","",TRIM(IF(B203="","請求日 ","")&amp;IF(C203="","取引先 ",IF(D203="コード誤り","取引先コード誤り ",""))&amp;IF(E203="","件名 ","")&amp;IF(F203="","税抜金額 ","")&amp;IF(G203="","税率 ","")&amp;IF(M203="","送付方法 ","")&amp;IF(AND(N203&lt;&gt;"",O203=""),"送付者 ","")&amp;IF(AND(I203&lt;&gt;"",L203=""),"入金期日 ","")&amp;IF(AND(N203&lt;&gt;"",P203&gt;0,S203&lt;=0,X203=""),"消込確認者 ","")))</f>
        <v/>
      </c>
      <c r="X203" s="28"/>
      <c r="Y203" s="28"/>
    </row>
    <row r="204" customFormat="false" ht="15" hidden="false" customHeight="false" outlineLevel="0" collapsed="false">
      <c r="A204" s="21" t="str">
        <f aca="false">IF(COUNTA(B204,C204,E204,F204)=0,"",設定!$C$4&amp;TEXT(ROW()-4,"00000"))</f>
        <v/>
      </c>
      <c r="B204" s="22"/>
      <c r="C204" s="23"/>
      <c r="D204" s="21" t="str">
        <f aca="false">IF(C204="","",IFERROR(INDEX(取引先マスタ!$B$5:$B$204,MATCH($C204,取引先マスタ!$A$5:$A$204,0)),"コード誤り"))</f>
        <v/>
      </c>
      <c r="E204" s="28"/>
      <c r="F204" s="18"/>
      <c r="G204" s="25"/>
      <c r="H204" s="26" t="str">
        <f aca="false">IF(OR(F204="",G204=""),"",ROUNDDOWN(F204*G204,0))</f>
        <v/>
      </c>
      <c r="I204" s="26" t="str">
        <f aca="false">IF(OR(F204="",G204=""),"",F204+H204)</f>
        <v/>
      </c>
      <c r="J204" s="27" t="str">
        <f aca="false">IF(OR(B204="",C204="",D204="コード誤り"),"",IFERROR(DATE(YEAR(B204),MONTH(B204)+INDEX(取引先マスタ!$E$5:$E$204,MATCH($C204,取引先マスタ!$A$5:$A$204,0)),MIN(INDEX(取引先マスタ!$F$5:$F$204,MATCH($C204,取引先マスタ!$A$5:$A$204,0)),DAY(EOMONTH(B204,INDEX(取引先マスタ!$E$5:$E$204,MATCH($C204,取引先マスタ!$A$5:$A$204,0)))))),""))</f>
        <v/>
      </c>
      <c r="K204" s="22"/>
      <c r="L204" s="27" t="str">
        <f aca="false">IF(K204&lt;&gt;"",K204,J204)</f>
        <v/>
      </c>
      <c r="M204" s="28"/>
      <c r="N204" s="22"/>
      <c r="O204" s="28"/>
      <c r="P204" s="26" t="str">
        <f aca="false">IF(A204="","",SUMIF(入金明細!$F$5:$F$1004,A204,入金明細!$E$5:$E$1004))</f>
        <v/>
      </c>
      <c r="Q204" s="27" t="str">
        <f aca="false">IF(OR(A204="",N(P204)=0),"",SUMPRODUCT(MAX((入金明細!$F$5:$F$1004=A204)*入金明細!$B$5:$B$1004)))</f>
        <v/>
      </c>
      <c r="R204" s="18"/>
      <c r="S204" s="26" t="str">
        <f aca="false">IF(OR(A204="",I204=""),"",I204-N(P204)-N(R204))</f>
        <v/>
      </c>
      <c r="T204" s="28"/>
      <c r="U204" s="29" t="str">
        <f aca="false">IF(A204="","",IF(T204="取消","取消",IF(W204&lt;&gt;"","要入力",IF(N204="","未送付",IF(S204=0,"入金済",IF(S204&lt;0,"過入金",IF(設定!$C$5&gt;L204,IF(P204&gt;0,"一部入金・超過","期日超過"),IF(P204&gt;0,"一部入金",IF(L204-設定!$C$5&lt;=設定!$C$6,"期日間近","入金待ち")))))))))</f>
        <v/>
      </c>
      <c r="V204" s="30" t="str">
        <f aca="false">IF(OR(U204="期日超過",U204="一部入金・超過"),設定!$C$5-L204,"")</f>
        <v/>
      </c>
      <c r="W204" s="21" t="str">
        <f aca="false">IF(A204="","",TRIM(IF(B204="","請求日 ","")&amp;IF(C204="","取引先 ",IF(D204="コード誤り","取引先コード誤り ",""))&amp;IF(E204="","件名 ","")&amp;IF(F204="","税抜金額 ","")&amp;IF(G204="","税率 ","")&amp;IF(M204="","送付方法 ","")&amp;IF(AND(N204&lt;&gt;"",O204=""),"送付者 ","")&amp;IF(AND(I204&lt;&gt;"",L204=""),"入金期日 ","")&amp;IF(AND(N204&lt;&gt;"",P204&gt;0,S204&lt;=0,X204=""),"消込確認者 ","")))</f>
        <v/>
      </c>
      <c r="X204" s="28"/>
      <c r="Y204" s="28"/>
    </row>
    <row r="205" customFormat="false" ht="15" hidden="false" customHeight="false" outlineLevel="0" collapsed="false">
      <c r="A205" s="21" t="str">
        <f aca="false">IF(COUNTA(B205,C205,E205,F205)=0,"",設定!$C$4&amp;TEXT(ROW()-4,"00000"))</f>
        <v/>
      </c>
      <c r="B205" s="22"/>
      <c r="C205" s="23"/>
      <c r="D205" s="21" t="str">
        <f aca="false">IF(C205="","",IFERROR(INDEX(取引先マスタ!$B$5:$B$204,MATCH($C205,取引先マスタ!$A$5:$A$204,0)),"コード誤り"))</f>
        <v/>
      </c>
      <c r="E205" s="28"/>
      <c r="F205" s="18"/>
      <c r="G205" s="25"/>
      <c r="H205" s="26" t="str">
        <f aca="false">IF(OR(F205="",G205=""),"",ROUNDDOWN(F205*G205,0))</f>
        <v/>
      </c>
      <c r="I205" s="26" t="str">
        <f aca="false">IF(OR(F205="",G205=""),"",F205+H205)</f>
        <v/>
      </c>
      <c r="J205" s="27" t="str">
        <f aca="false">IF(OR(B205="",C205="",D205="コード誤り"),"",IFERROR(DATE(YEAR(B205),MONTH(B205)+INDEX(取引先マスタ!$E$5:$E$204,MATCH($C205,取引先マスタ!$A$5:$A$204,0)),MIN(INDEX(取引先マスタ!$F$5:$F$204,MATCH($C205,取引先マスタ!$A$5:$A$204,0)),DAY(EOMONTH(B205,INDEX(取引先マスタ!$E$5:$E$204,MATCH($C205,取引先マスタ!$A$5:$A$204,0)))))),""))</f>
        <v/>
      </c>
      <c r="K205" s="22"/>
      <c r="L205" s="27" t="str">
        <f aca="false">IF(K205&lt;&gt;"",K205,J205)</f>
        <v/>
      </c>
      <c r="M205" s="28"/>
      <c r="N205" s="22"/>
      <c r="O205" s="28"/>
      <c r="P205" s="26" t="str">
        <f aca="false">IF(A205="","",SUMIF(入金明細!$F$5:$F$1004,A205,入金明細!$E$5:$E$1004))</f>
        <v/>
      </c>
      <c r="Q205" s="27" t="str">
        <f aca="false">IF(OR(A205="",N(P205)=0),"",SUMPRODUCT(MAX((入金明細!$F$5:$F$1004=A205)*入金明細!$B$5:$B$1004)))</f>
        <v/>
      </c>
      <c r="R205" s="18"/>
      <c r="S205" s="26" t="str">
        <f aca="false">IF(OR(A205="",I205=""),"",I205-N(P205)-N(R205))</f>
        <v/>
      </c>
      <c r="T205" s="28"/>
      <c r="U205" s="29" t="str">
        <f aca="false">IF(A205="","",IF(T205="取消","取消",IF(W205&lt;&gt;"","要入力",IF(N205="","未送付",IF(S205=0,"入金済",IF(S205&lt;0,"過入金",IF(設定!$C$5&gt;L205,IF(P205&gt;0,"一部入金・超過","期日超過"),IF(P205&gt;0,"一部入金",IF(L205-設定!$C$5&lt;=設定!$C$6,"期日間近","入金待ち")))))))))</f>
        <v/>
      </c>
      <c r="V205" s="30" t="str">
        <f aca="false">IF(OR(U205="期日超過",U205="一部入金・超過"),設定!$C$5-L205,"")</f>
        <v/>
      </c>
      <c r="W205" s="21" t="str">
        <f aca="false">IF(A205="","",TRIM(IF(B205="","請求日 ","")&amp;IF(C205="","取引先 ",IF(D205="コード誤り","取引先コード誤り ",""))&amp;IF(E205="","件名 ","")&amp;IF(F205="","税抜金額 ","")&amp;IF(G205="","税率 ","")&amp;IF(M205="","送付方法 ","")&amp;IF(AND(N205&lt;&gt;"",O205=""),"送付者 ","")&amp;IF(AND(I205&lt;&gt;"",L205=""),"入金期日 ","")&amp;IF(AND(N205&lt;&gt;"",P205&gt;0,S205&lt;=0,X205=""),"消込確認者 ","")))</f>
        <v/>
      </c>
      <c r="X205" s="28"/>
      <c r="Y205" s="28"/>
    </row>
    <row r="206" customFormat="false" ht="15" hidden="false" customHeight="false" outlineLevel="0" collapsed="false">
      <c r="A206" s="21" t="str">
        <f aca="false">IF(COUNTA(B206,C206,E206,F206)=0,"",設定!$C$4&amp;TEXT(ROW()-4,"00000"))</f>
        <v/>
      </c>
      <c r="B206" s="22"/>
      <c r="C206" s="23"/>
      <c r="D206" s="21" t="str">
        <f aca="false">IF(C206="","",IFERROR(INDEX(取引先マスタ!$B$5:$B$204,MATCH($C206,取引先マスタ!$A$5:$A$204,0)),"コード誤り"))</f>
        <v/>
      </c>
      <c r="E206" s="28"/>
      <c r="F206" s="18"/>
      <c r="G206" s="25"/>
      <c r="H206" s="26" t="str">
        <f aca="false">IF(OR(F206="",G206=""),"",ROUNDDOWN(F206*G206,0))</f>
        <v/>
      </c>
      <c r="I206" s="26" t="str">
        <f aca="false">IF(OR(F206="",G206=""),"",F206+H206)</f>
        <v/>
      </c>
      <c r="J206" s="27" t="str">
        <f aca="false">IF(OR(B206="",C206="",D206="コード誤り"),"",IFERROR(DATE(YEAR(B206),MONTH(B206)+INDEX(取引先マスタ!$E$5:$E$204,MATCH($C206,取引先マスタ!$A$5:$A$204,0)),MIN(INDEX(取引先マスタ!$F$5:$F$204,MATCH($C206,取引先マスタ!$A$5:$A$204,0)),DAY(EOMONTH(B206,INDEX(取引先マスタ!$E$5:$E$204,MATCH($C206,取引先マスタ!$A$5:$A$204,0)))))),""))</f>
        <v/>
      </c>
      <c r="K206" s="22"/>
      <c r="L206" s="27" t="str">
        <f aca="false">IF(K206&lt;&gt;"",K206,J206)</f>
        <v/>
      </c>
      <c r="M206" s="28"/>
      <c r="N206" s="22"/>
      <c r="O206" s="28"/>
      <c r="P206" s="26" t="str">
        <f aca="false">IF(A206="","",SUMIF(入金明細!$F$5:$F$1004,A206,入金明細!$E$5:$E$1004))</f>
        <v/>
      </c>
      <c r="Q206" s="27" t="str">
        <f aca="false">IF(OR(A206="",N(P206)=0),"",SUMPRODUCT(MAX((入金明細!$F$5:$F$1004=A206)*入金明細!$B$5:$B$1004)))</f>
        <v/>
      </c>
      <c r="R206" s="18"/>
      <c r="S206" s="26" t="str">
        <f aca="false">IF(OR(A206="",I206=""),"",I206-N(P206)-N(R206))</f>
        <v/>
      </c>
      <c r="T206" s="28"/>
      <c r="U206" s="29" t="str">
        <f aca="false">IF(A206="","",IF(T206="取消","取消",IF(W206&lt;&gt;"","要入力",IF(N206="","未送付",IF(S206=0,"入金済",IF(S206&lt;0,"過入金",IF(設定!$C$5&gt;L206,IF(P206&gt;0,"一部入金・超過","期日超過"),IF(P206&gt;0,"一部入金",IF(L206-設定!$C$5&lt;=設定!$C$6,"期日間近","入金待ち")))))))))</f>
        <v/>
      </c>
      <c r="V206" s="30" t="str">
        <f aca="false">IF(OR(U206="期日超過",U206="一部入金・超過"),設定!$C$5-L206,"")</f>
        <v/>
      </c>
      <c r="W206" s="21" t="str">
        <f aca="false">IF(A206="","",TRIM(IF(B206="","請求日 ","")&amp;IF(C206="","取引先 ",IF(D206="コード誤り","取引先コード誤り ",""))&amp;IF(E206="","件名 ","")&amp;IF(F206="","税抜金額 ","")&amp;IF(G206="","税率 ","")&amp;IF(M206="","送付方法 ","")&amp;IF(AND(N206&lt;&gt;"",O206=""),"送付者 ","")&amp;IF(AND(I206&lt;&gt;"",L206=""),"入金期日 ","")&amp;IF(AND(N206&lt;&gt;"",P206&gt;0,S206&lt;=0,X206=""),"消込確認者 ","")))</f>
        <v/>
      </c>
      <c r="X206" s="28"/>
      <c r="Y206" s="28"/>
    </row>
    <row r="207" customFormat="false" ht="15" hidden="false" customHeight="false" outlineLevel="0" collapsed="false">
      <c r="A207" s="21" t="str">
        <f aca="false">IF(COUNTA(B207,C207,E207,F207)=0,"",設定!$C$4&amp;TEXT(ROW()-4,"00000"))</f>
        <v/>
      </c>
      <c r="B207" s="22"/>
      <c r="C207" s="23"/>
      <c r="D207" s="21" t="str">
        <f aca="false">IF(C207="","",IFERROR(INDEX(取引先マスタ!$B$5:$B$204,MATCH($C207,取引先マスタ!$A$5:$A$204,0)),"コード誤り"))</f>
        <v/>
      </c>
      <c r="E207" s="28"/>
      <c r="F207" s="18"/>
      <c r="G207" s="25"/>
      <c r="H207" s="26" t="str">
        <f aca="false">IF(OR(F207="",G207=""),"",ROUNDDOWN(F207*G207,0))</f>
        <v/>
      </c>
      <c r="I207" s="26" t="str">
        <f aca="false">IF(OR(F207="",G207=""),"",F207+H207)</f>
        <v/>
      </c>
      <c r="J207" s="27" t="str">
        <f aca="false">IF(OR(B207="",C207="",D207="コード誤り"),"",IFERROR(DATE(YEAR(B207),MONTH(B207)+INDEX(取引先マスタ!$E$5:$E$204,MATCH($C207,取引先マスタ!$A$5:$A$204,0)),MIN(INDEX(取引先マスタ!$F$5:$F$204,MATCH($C207,取引先マスタ!$A$5:$A$204,0)),DAY(EOMONTH(B207,INDEX(取引先マスタ!$E$5:$E$204,MATCH($C207,取引先マスタ!$A$5:$A$204,0)))))),""))</f>
        <v/>
      </c>
      <c r="K207" s="22"/>
      <c r="L207" s="27" t="str">
        <f aca="false">IF(K207&lt;&gt;"",K207,J207)</f>
        <v/>
      </c>
      <c r="M207" s="28"/>
      <c r="N207" s="22"/>
      <c r="O207" s="28"/>
      <c r="P207" s="26" t="str">
        <f aca="false">IF(A207="","",SUMIF(入金明細!$F$5:$F$1004,A207,入金明細!$E$5:$E$1004))</f>
        <v/>
      </c>
      <c r="Q207" s="27" t="str">
        <f aca="false">IF(OR(A207="",N(P207)=0),"",SUMPRODUCT(MAX((入金明細!$F$5:$F$1004=A207)*入金明細!$B$5:$B$1004)))</f>
        <v/>
      </c>
      <c r="R207" s="18"/>
      <c r="S207" s="26" t="str">
        <f aca="false">IF(OR(A207="",I207=""),"",I207-N(P207)-N(R207))</f>
        <v/>
      </c>
      <c r="T207" s="28"/>
      <c r="U207" s="29" t="str">
        <f aca="false">IF(A207="","",IF(T207="取消","取消",IF(W207&lt;&gt;"","要入力",IF(N207="","未送付",IF(S207=0,"入金済",IF(S207&lt;0,"過入金",IF(設定!$C$5&gt;L207,IF(P207&gt;0,"一部入金・超過","期日超過"),IF(P207&gt;0,"一部入金",IF(L207-設定!$C$5&lt;=設定!$C$6,"期日間近","入金待ち")))))))))</f>
        <v/>
      </c>
      <c r="V207" s="30" t="str">
        <f aca="false">IF(OR(U207="期日超過",U207="一部入金・超過"),設定!$C$5-L207,"")</f>
        <v/>
      </c>
      <c r="W207" s="21" t="str">
        <f aca="false">IF(A207="","",TRIM(IF(B207="","請求日 ","")&amp;IF(C207="","取引先 ",IF(D207="コード誤り","取引先コード誤り ",""))&amp;IF(E207="","件名 ","")&amp;IF(F207="","税抜金額 ","")&amp;IF(G207="","税率 ","")&amp;IF(M207="","送付方法 ","")&amp;IF(AND(N207&lt;&gt;"",O207=""),"送付者 ","")&amp;IF(AND(I207&lt;&gt;"",L207=""),"入金期日 ","")&amp;IF(AND(N207&lt;&gt;"",P207&gt;0,S207&lt;=0,X207=""),"消込確認者 ","")))</f>
        <v/>
      </c>
      <c r="X207" s="28"/>
      <c r="Y207" s="28"/>
    </row>
    <row r="208" customFormat="false" ht="15" hidden="false" customHeight="false" outlineLevel="0" collapsed="false">
      <c r="A208" s="21" t="str">
        <f aca="false">IF(COUNTA(B208,C208,E208,F208)=0,"",設定!$C$4&amp;TEXT(ROW()-4,"00000"))</f>
        <v/>
      </c>
      <c r="B208" s="22"/>
      <c r="C208" s="23"/>
      <c r="D208" s="21" t="str">
        <f aca="false">IF(C208="","",IFERROR(INDEX(取引先マスタ!$B$5:$B$204,MATCH($C208,取引先マスタ!$A$5:$A$204,0)),"コード誤り"))</f>
        <v/>
      </c>
      <c r="E208" s="28"/>
      <c r="F208" s="18"/>
      <c r="G208" s="25"/>
      <c r="H208" s="26" t="str">
        <f aca="false">IF(OR(F208="",G208=""),"",ROUNDDOWN(F208*G208,0))</f>
        <v/>
      </c>
      <c r="I208" s="26" t="str">
        <f aca="false">IF(OR(F208="",G208=""),"",F208+H208)</f>
        <v/>
      </c>
      <c r="J208" s="27" t="str">
        <f aca="false">IF(OR(B208="",C208="",D208="コード誤り"),"",IFERROR(DATE(YEAR(B208),MONTH(B208)+INDEX(取引先マスタ!$E$5:$E$204,MATCH($C208,取引先マスタ!$A$5:$A$204,0)),MIN(INDEX(取引先マスタ!$F$5:$F$204,MATCH($C208,取引先マスタ!$A$5:$A$204,0)),DAY(EOMONTH(B208,INDEX(取引先マスタ!$E$5:$E$204,MATCH($C208,取引先マスタ!$A$5:$A$204,0)))))),""))</f>
        <v/>
      </c>
      <c r="K208" s="22"/>
      <c r="L208" s="27" t="str">
        <f aca="false">IF(K208&lt;&gt;"",K208,J208)</f>
        <v/>
      </c>
      <c r="M208" s="28"/>
      <c r="N208" s="22"/>
      <c r="O208" s="28"/>
      <c r="P208" s="26" t="str">
        <f aca="false">IF(A208="","",SUMIF(入金明細!$F$5:$F$1004,A208,入金明細!$E$5:$E$1004))</f>
        <v/>
      </c>
      <c r="Q208" s="27" t="str">
        <f aca="false">IF(OR(A208="",N(P208)=0),"",SUMPRODUCT(MAX((入金明細!$F$5:$F$1004=A208)*入金明細!$B$5:$B$1004)))</f>
        <v/>
      </c>
      <c r="R208" s="18"/>
      <c r="S208" s="26" t="str">
        <f aca="false">IF(OR(A208="",I208=""),"",I208-N(P208)-N(R208))</f>
        <v/>
      </c>
      <c r="T208" s="28"/>
      <c r="U208" s="29" t="str">
        <f aca="false">IF(A208="","",IF(T208="取消","取消",IF(W208&lt;&gt;"","要入力",IF(N208="","未送付",IF(S208=0,"入金済",IF(S208&lt;0,"過入金",IF(設定!$C$5&gt;L208,IF(P208&gt;0,"一部入金・超過","期日超過"),IF(P208&gt;0,"一部入金",IF(L208-設定!$C$5&lt;=設定!$C$6,"期日間近","入金待ち")))))))))</f>
        <v/>
      </c>
      <c r="V208" s="30" t="str">
        <f aca="false">IF(OR(U208="期日超過",U208="一部入金・超過"),設定!$C$5-L208,"")</f>
        <v/>
      </c>
      <c r="W208" s="21" t="str">
        <f aca="false">IF(A208="","",TRIM(IF(B208="","請求日 ","")&amp;IF(C208="","取引先 ",IF(D208="コード誤り","取引先コード誤り ",""))&amp;IF(E208="","件名 ","")&amp;IF(F208="","税抜金額 ","")&amp;IF(G208="","税率 ","")&amp;IF(M208="","送付方法 ","")&amp;IF(AND(N208&lt;&gt;"",O208=""),"送付者 ","")&amp;IF(AND(I208&lt;&gt;"",L208=""),"入金期日 ","")&amp;IF(AND(N208&lt;&gt;"",P208&gt;0,S208&lt;=0,X208=""),"消込確認者 ","")))</f>
        <v/>
      </c>
      <c r="X208" s="28"/>
      <c r="Y208" s="28"/>
    </row>
    <row r="209" customFormat="false" ht="15" hidden="false" customHeight="false" outlineLevel="0" collapsed="false">
      <c r="A209" s="21" t="str">
        <f aca="false">IF(COUNTA(B209,C209,E209,F209)=0,"",設定!$C$4&amp;TEXT(ROW()-4,"00000"))</f>
        <v/>
      </c>
      <c r="B209" s="22"/>
      <c r="C209" s="23"/>
      <c r="D209" s="21" t="str">
        <f aca="false">IF(C209="","",IFERROR(INDEX(取引先マスタ!$B$5:$B$204,MATCH($C209,取引先マスタ!$A$5:$A$204,0)),"コード誤り"))</f>
        <v/>
      </c>
      <c r="E209" s="28"/>
      <c r="F209" s="18"/>
      <c r="G209" s="25"/>
      <c r="H209" s="26" t="str">
        <f aca="false">IF(OR(F209="",G209=""),"",ROUNDDOWN(F209*G209,0))</f>
        <v/>
      </c>
      <c r="I209" s="26" t="str">
        <f aca="false">IF(OR(F209="",G209=""),"",F209+H209)</f>
        <v/>
      </c>
      <c r="J209" s="27" t="str">
        <f aca="false">IF(OR(B209="",C209="",D209="コード誤り"),"",IFERROR(DATE(YEAR(B209),MONTH(B209)+INDEX(取引先マスタ!$E$5:$E$204,MATCH($C209,取引先マスタ!$A$5:$A$204,0)),MIN(INDEX(取引先マスタ!$F$5:$F$204,MATCH($C209,取引先マスタ!$A$5:$A$204,0)),DAY(EOMONTH(B209,INDEX(取引先マスタ!$E$5:$E$204,MATCH($C209,取引先マスタ!$A$5:$A$204,0)))))),""))</f>
        <v/>
      </c>
      <c r="K209" s="22"/>
      <c r="L209" s="27" t="str">
        <f aca="false">IF(K209&lt;&gt;"",K209,J209)</f>
        <v/>
      </c>
      <c r="M209" s="28"/>
      <c r="N209" s="22"/>
      <c r="O209" s="28"/>
      <c r="P209" s="26" t="str">
        <f aca="false">IF(A209="","",SUMIF(入金明細!$F$5:$F$1004,A209,入金明細!$E$5:$E$1004))</f>
        <v/>
      </c>
      <c r="Q209" s="27" t="str">
        <f aca="false">IF(OR(A209="",N(P209)=0),"",SUMPRODUCT(MAX((入金明細!$F$5:$F$1004=A209)*入金明細!$B$5:$B$1004)))</f>
        <v/>
      </c>
      <c r="R209" s="18"/>
      <c r="S209" s="26" t="str">
        <f aca="false">IF(OR(A209="",I209=""),"",I209-N(P209)-N(R209))</f>
        <v/>
      </c>
      <c r="T209" s="28"/>
      <c r="U209" s="29" t="str">
        <f aca="false">IF(A209="","",IF(T209="取消","取消",IF(W209&lt;&gt;"","要入力",IF(N209="","未送付",IF(S209=0,"入金済",IF(S209&lt;0,"過入金",IF(設定!$C$5&gt;L209,IF(P209&gt;0,"一部入金・超過","期日超過"),IF(P209&gt;0,"一部入金",IF(L209-設定!$C$5&lt;=設定!$C$6,"期日間近","入金待ち")))))))))</f>
        <v/>
      </c>
      <c r="V209" s="30" t="str">
        <f aca="false">IF(OR(U209="期日超過",U209="一部入金・超過"),設定!$C$5-L209,"")</f>
        <v/>
      </c>
      <c r="W209" s="21" t="str">
        <f aca="false">IF(A209="","",TRIM(IF(B209="","請求日 ","")&amp;IF(C209="","取引先 ",IF(D209="コード誤り","取引先コード誤り ",""))&amp;IF(E209="","件名 ","")&amp;IF(F209="","税抜金額 ","")&amp;IF(G209="","税率 ","")&amp;IF(M209="","送付方法 ","")&amp;IF(AND(N209&lt;&gt;"",O209=""),"送付者 ","")&amp;IF(AND(I209&lt;&gt;"",L209=""),"入金期日 ","")&amp;IF(AND(N209&lt;&gt;"",P209&gt;0,S209&lt;=0,X209=""),"消込確認者 ","")))</f>
        <v/>
      </c>
      <c r="X209" s="28"/>
      <c r="Y209" s="28"/>
    </row>
    <row r="210" customFormat="false" ht="15" hidden="false" customHeight="false" outlineLevel="0" collapsed="false">
      <c r="A210" s="21" t="str">
        <f aca="false">IF(COUNTA(B210,C210,E210,F210)=0,"",設定!$C$4&amp;TEXT(ROW()-4,"00000"))</f>
        <v/>
      </c>
      <c r="B210" s="22"/>
      <c r="C210" s="23"/>
      <c r="D210" s="21" t="str">
        <f aca="false">IF(C210="","",IFERROR(INDEX(取引先マスタ!$B$5:$B$204,MATCH($C210,取引先マスタ!$A$5:$A$204,0)),"コード誤り"))</f>
        <v/>
      </c>
      <c r="E210" s="28"/>
      <c r="F210" s="18"/>
      <c r="G210" s="25"/>
      <c r="H210" s="26" t="str">
        <f aca="false">IF(OR(F210="",G210=""),"",ROUNDDOWN(F210*G210,0))</f>
        <v/>
      </c>
      <c r="I210" s="26" t="str">
        <f aca="false">IF(OR(F210="",G210=""),"",F210+H210)</f>
        <v/>
      </c>
      <c r="J210" s="27" t="str">
        <f aca="false">IF(OR(B210="",C210="",D210="コード誤り"),"",IFERROR(DATE(YEAR(B210),MONTH(B210)+INDEX(取引先マスタ!$E$5:$E$204,MATCH($C210,取引先マスタ!$A$5:$A$204,0)),MIN(INDEX(取引先マスタ!$F$5:$F$204,MATCH($C210,取引先マスタ!$A$5:$A$204,0)),DAY(EOMONTH(B210,INDEX(取引先マスタ!$E$5:$E$204,MATCH($C210,取引先マスタ!$A$5:$A$204,0)))))),""))</f>
        <v/>
      </c>
      <c r="K210" s="22"/>
      <c r="L210" s="27" t="str">
        <f aca="false">IF(K210&lt;&gt;"",K210,J210)</f>
        <v/>
      </c>
      <c r="M210" s="28"/>
      <c r="N210" s="22"/>
      <c r="O210" s="28"/>
      <c r="P210" s="26" t="str">
        <f aca="false">IF(A210="","",SUMIF(入金明細!$F$5:$F$1004,A210,入金明細!$E$5:$E$1004))</f>
        <v/>
      </c>
      <c r="Q210" s="27" t="str">
        <f aca="false">IF(OR(A210="",N(P210)=0),"",SUMPRODUCT(MAX((入金明細!$F$5:$F$1004=A210)*入金明細!$B$5:$B$1004)))</f>
        <v/>
      </c>
      <c r="R210" s="18"/>
      <c r="S210" s="26" t="str">
        <f aca="false">IF(OR(A210="",I210=""),"",I210-N(P210)-N(R210))</f>
        <v/>
      </c>
      <c r="T210" s="28"/>
      <c r="U210" s="29" t="str">
        <f aca="false">IF(A210="","",IF(T210="取消","取消",IF(W210&lt;&gt;"","要入力",IF(N210="","未送付",IF(S210=0,"入金済",IF(S210&lt;0,"過入金",IF(設定!$C$5&gt;L210,IF(P210&gt;0,"一部入金・超過","期日超過"),IF(P210&gt;0,"一部入金",IF(L210-設定!$C$5&lt;=設定!$C$6,"期日間近","入金待ち")))))))))</f>
        <v/>
      </c>
      <c r="V210" s="30" t="str">
        <f aca="false">IF(OR(U210="期日超過",U210="一部入金・超過"),設定!$C$5-L210,"")</f>
        <v/>
      </c>
      <c r="W210" s="21" t="str">
        <f aca="false">IF(A210="","",TRIM(IF(B210="","請求日 ","")&amp;IF(C210="","取引先 ",IF(D210="コード誤り","取引先コード誤り ",""))&amp;IF(E210="","件名 ","")&amp;IF(F210="","税抜金額 ","")&amp;IF(G210="","税率 ","")&amp;IF(M210="","送付方法 ","")&amp;IF(AND(N210&lt;&gt;"",O210=""),"送付者 ","")&amp;IF(AND(I210&lt;&gt;"",L210=""),"入金期日 ","")&amp;IF(AND(N210&lt;&gt;"",P210&gt;0,S210&lt;=0,X210=""),"消込確認者 ","")))</f>
        <v/>
      </c>
      <c r="X210" s="28"/>
      <c r="Y210" s="28"/>
    </row>
    <row r="211" customFormat="false" ht="15" hidden="false" customHeight="false" outlineLevel="0" collapsed="false">
      <c r="A211" s="21" t="str">
        <f aca="false">IF(COUNTA(B211,C211,E211,F211)=0,"",設定!$C$4&amp;TEXT(ROW()-4,"00000"))</f>
        <v/>
      </c>
      <c r="B211" s="22"/>
      <c r="C211" s="23"/>
      <c r="D211" s="21" t="str">
        <f aca="false">IF(C211="","",IFERROR(INDEX(取引先マスタ!$B$5:$B$204,MATCH($C211,取引先マスタ!$A$5:$A$204,0)),"コード誤り"))</f>
        <v/>
      </c>
      <c r="E211" s="28"/>
      <c r="F211" s="18"/>
      <c r="G211" s="25"/>
      <c r="H211" s="26" t="str">
        <f aca="false">IF(OR(F211="",G211=""),"",ROUNDDOWN(F211*G211,0))</f>
        <v/>
      </c>
      <c r="I211" s="26" t="str">
        <f aca="false">IF(OR(F211="",G211=""),"",F211+H211)</f>
        <v/>
      </c>
      <c r="J211" s="27" t="str">
        <f aca="false">IF(OR(B211="",C211="",D211="コード誤り"),"",IFERROR(DATE(YEAR(B211),MONTH(B211)+INDEX(取引先マスタ!$E$5:$E$204,MATCH($C211,取引先マスタ!$A$5:$A$204,0)),MIN(INDEX(取引先マスタ!$F$5:$F$204,MATCH($C211,取引先マスタ!$A$5:$A$204,0)),DAY(EOMONTH(B211,INDEX(取引先マスタ!$E$5:$E$204,MATCH($C211,取引先マスタ!$A$5:$A$204,0)))))),""))</f>
        <v/>
      </c>
      <c r="K211" s="22"/>
      <c r="L211" s="27" t="str">
        <f aca="false">IF(K211&lt;&gt;"",K211,J211)</f>
        <v/>
      </c>
      <c r="M211" s="28"/>
      <c r="N211" s="22"/>
      <c r="O211" s="28"/>
      <c r="P211" s="26" t="str">
        <f aca="false">IF(A211="","",SUMIF(入金明細!$F$5:$F$1004,A211,入金明細!$E$5:$E$1004))</f>
        <v/>
      </c>
      <c r="Q211" s="27" t="str">
        <f aca="false">IF(OR(A211="",N(P211)=0),"",SUMPRODUCT(MAX((入金明細!$F$5:$F$1004=A211)*入金明細!$B$5:$B$1004)))</f>
        <v/>
      </c>
      <c r="R211" s="18"/>
      <c r="S211" s="26" t="str">
        <f aca="false">IF(OR(A211="",I211=""),"",I211-N(P211)-N(R211))</f>
        <v/>
      </c>
      <c r="T211" s="28"/>
      <c r="U211" s="29" t="str">
        <f aca="false">IF(A211="","",IF(T211="取消","取消",IF(W211&lt;&gt;"","要入力",IF(N211="","未送付",IF(S211=0,"入金済",IF(S211&lt;0,"過入金",IF(設定!$C$5&gt;L211,IF(P211&gt;0,"一部入金・超過","期日超過"),IF(P211&gt;0,"一部入金",IF(L211-設定!$C$5&lt;=設定!$C$6,"期日間近","入金待ち")))))))))</f>
        <v/>
      </c>
      <c r="V211" s="30" t="str">
        <f aca="false">IF(OR(U211="期日超過",U211="一部入金・超過"),設定!$C$5-L211,"")</f>
        <v/>
      </c>
      <c r="W211" s="21" t="str">
        <f aca="false">IF(A211="","",TRIM(IF(B211="","請求日 ","")&amp;IF(C211="","取引先 ",IF(D211="コード誤り","取引先コード誤り ",""))&amp;IF(E211="","件名 ","")&amp;IF(F211="","税抜金額 ","")&amp;IF(G211="","税率 ","")&amp;IF(M211="","送付方法 ","")&amp;IF(AND(N211&lt;&gt;"",O211=""),"送付者 ","")&amp;IF(AND(I211&lt;&gt;"",L211=""),"入金期日 ","")&amp;IF(AND(N211&lt;&gt;"",P211&gt;0,S211&lt;=0,X211=""),"消込確認者 ","")))</f>
        <v/>
      </c>
      <c r="X211" s="28"/>
      <c r="Y211" s="28"/>
    </row>
    <row r="212" customFormat="false" ht="15" hidden="false" customHeight="false" outlineLevel="0" collapsed="false">
      <c r="A212" s="21" t="str">
        <f aca="false">IF(COUNTA(B212,C212,E212,F212)=0,"",設定!$C$4&amp;TEXT(ROW()-4,"00000"))</f>
        <v/>
      </c>
      <c r="B212" s="22"/>
      <c r="C212" s="23"/>
      <c r="D212" s="21" t="str">
        <f aca="false">IF(C212="","",IFERROR(INDEX(取引先マスタ!$B$5:$B$204,MATCH($C212,取引先マスタ!$A$5:$A$204,0)),"コード誤り"))</f>
        <v/>
      </c>
      <c r="E212" s="28"/>
      <c r="F212" s="18"/>
      <c r="G212" s="25"/>
      <c r="H212" s="26" t="str">
        <f aca="false">IF(OR(F212="",G212=""),"",ROUNDDOWN(F212*G212,0))</f>
        <v/>
      </c>
      <c r="I212" s="26" t="str">
        <f aca="false">IF(OR(F212="",G212=""),"",F212+H212)</f>
        <v/>
      </c>
      <c r="J212" s="27" t="str">
        <f aca="false">IF(OR(B212="",C212="",D212="コード誤り"),"",IFERROR(DATE(YEAR(B212),MONTH(B212)+INDEX(取引先マスタ!$E$5:$E$204,MATCH($C212,取引先マスタ!$A$5:$A$204,0)),MIN(INDEX(取引先マスタ!$F$5:$F$204,MATCH($C212,取引先マスタ!$A$5:$A$204,0)),DAY(EOMONTH(B212,INDEX(取引先マスタ!$E$5:$E$204,MATCH($C212,取引先マスタ!$A$5:$A$204,0)))))),""))</f>
        <v/>
      </c>
      <c r="K212" s="22"/>
      <c r="L212" s="27" t="str">
        <f aca="false">IF(K212&lt;&gt;"",K212,J212)</f>
        <v/>
      </c>
      <c r="M212" s="28"/>
      <c r="N212" s="22"/>
      <c r="O212" s="28"/>
      <c r="P212" s="26" t="str">
        <f aca="false">IF(A212="","",SUMIF(入金明細!$F$5:$F$1004,A212,入金明細!$E$5:$E$1004))</f>
        <v/>
      </c>
      <c r="Q212" s="27" t="str">
        <f aca="false">IF(OR(A212="",N(P212)=0),"",SUMPRODUCT(MAX((入金明細!$F$5:$F$1004=A212)*入金明細!$B$5:$B$1004)))</f>
        <v/>
      </c>
      <c r="R212" s="18"/>
      <c r="S212" s="26" t="str">
        <f aca="false">IF(OR(A212="",I212=""),"",I212-N(P212)-N(R212))</f>
        <v/>
      </c>
      <c r="T212" s="28"/>
      <c r="U212" s="29" t="str">
        <f aca="false">IF(A212="","",IF(T212="取消","取消",IF(W212&lt;&gt;"","要入力",IF(N212="","未送付",IF(S212=0,"入金済",IF(S212&lt;0,"過入金",IF(設定!$C$5&gt;L212,IF(P212&gt;0,"一部入金・超過","期日超過"),IF(P212&gt;0,"一部入金",IF(L212-設定!$C$5&lt;=設定!$C$6,"期日間近","入金待ち")))))))))</f>
        <v/>
      </c>
      <c r="V212" s="30" t="str">
        <f aca="false">IF(OR(U212="期日超過",U212="一部入金・超過"),設定!$C$5-L212,"")</f>
        <v/>
      </c>
      <c r="W212" s="21" t="str">
        <f aca="false">IF(A212="","",TRIM(IF(B212="","請求日 ","")&amp;IF(C212="","取引先 ",IF(D212="コード誤り","取引先コード誤り ",""))&amp;IF(E212="","件名 ","")&amp;IF(F212="","税抜金額 ","")&amp;IF(G212="","税率 ","")&amp;IF(M212="","送付方法 ","")&amp;IF(AND(N212&lt;&gt;"",O212=""),"送付者 ","")&amp;IF(AND(I212&lt;&gt;"",L212=""),"入金期日 ","")&amp;IF(AND(N212&lt;&gt;"",P212&gt;0,S212&lt;=0,X212=""),"消込確認者 ","")))</f>
        <v/>
      </c>
      <c r="X212" s="28"/>
      <c r="Y212" s="28"/>
    </row>
    <row r="213" customFormat="false" ht="15" hidden="false" customHeight="false" outlineLevel="0" collapsed="false">
      <c r="A213" s="21" t="str">
        <f aca="false">IF(COUNTA(B213,C213,E213,F213)=0,"",設定!$C$4&amp;TEXT(ROW()-4,"00000"))</f>
        <v/>
      </c>
      <c r="B213" s="22"/>
      <c r="C213" s="23"/>
      <c r="D213" s="21" t="str">
        <f aca="false">IF(C213="","",IFERROR(INDEX(取引先マスタ!$B$5:$B$204,MATCH($C213,取引先マスタ!$A$5:$A$204,0)),"コード誤り"))</f>
        <v/>
      </c>
      <c r="E213" s="28"/>
      <c r="F213" s="18"/>
      <c r="G213" s="25"/>
      <c r="H213" s="26" t="str">
        <f aca="false">IF(OR(F213="",G213=""),"",ROUNDDOWN(F213*G213,0))</f>
        <v/>
      </c>
      <c r="I213" s="26" t="str">
        <f aca="false">IF(OR(F213="",G213=""),"",F213+H213)</f>
        <v/>
      </c>
      <c r="J213" s="27" t="str">
        <f aca="false">IF(OR(B213="",C213="",D213="コード誤り"),"",IFERROR(DATE(YEAR(B213),MONTH(B213)+INDEX(取引先マスタ!$E$5:$E$204,MATCH($C213,取引先マスタ!$A$5:$A$204,0)),MIN(INDEX(取引先マスタ!$F$5:$F$204,MATCH($C213,取引先マスタ!$A$5:$A$204,0)),DAY(EOMONTH(B213,INDEX(取引先マスタ!$E$5:$E$204,MATCH($C213,取引先マスタ!$A$5:$A$204,0)))))),""))</f>
        <v/>
      </c>
      <c r="K213" s="22"/>
      <c r="L213" s="27" t="str">
        <f aca="false">IF(K213&lt;&gt;"",K213,J213)</f>
        <v/>
      </c>
      <c r="M213" s="28"/>
      <c r="N213" s="22"/>
      <c r="O213" s="28"/>
      <c r="P213" s="26" t="str">
        <f aca="false">IF(A213="","",SUMIF(入金明細!$F$5:$F$1004,A213,入金明細!$E$5:$E$1004))</f>
        <v/>
      </c>
      <c r="Q213" s="27" t="str">
        <f aca="false">IF(OR(A213="",N(P213)=0),"",SUMPRODUCT(MAX((入金明細!$F$5:$F$1004=A213)*入金明細!$B$5:$B$1004)))</f>
        <v/>
      </c>
      <c r="R213" s="18"/>
      <c r="S213" s="26" t="str">
        <f aca="false">IF(OR(A213="",I213=""),"",I213-N(P213)-N(R213))</f>
        <v/>
      </c>
      <c r="T213" s="28"/>
      <c r="U213" s="29" t="str">
        <f aca="false">IF(A213="","",IF(T213="取消","取消",IF(W213&lt;&gt;"","要入力",IF(N213="","未送付",IF(S213=0,"入金済",IF(S213&lt;0,"過入金",IF(設定!$C$5&gt;L213,IF(P213&gt;0,"一部入金・超過","期日超過"),IF(P213&gt;0,"一部入金",IF(L213-設定!$C$5&lt;=設定!$C$6,"期日間近","入金待ち")))))))))</f>
        <v/>
      </c>
      <c r="V213" s="30" t="str">
        <f aca="false">IF(OR(U213="期日超過",U213="一部入金・超過"),設定!$C$5-L213,"")</f>
        <v/>
      </c>
      <c r="W213" s="21" t="str">
        <f aca="false">IF(A213="","",TRIM(IF(B213="","請求日 ","")&amp;IF(C213="","取引先 ",IF(D213="コード誤り","取引先コード誤り ",""))&amp;IF(E213="","件名 ","")&amp;IF(F213="","税抜金額 ","")&amp;IF(G213="","税率 ","")&amp;IF(M213="","送付方法 ","")&amp;IF(AND(N213&lt;&gt;"",O213=""),"送付者 ","")&amp;IF(AND(I213&lt;&gt;"",L213=""),"入金期日 ","")&amp;IF(AND(N213&lt;&gt;"",P213&gt;0,S213&lt;=0,X213=""),"消込確認者 ","")))</f>
        <v/>
      </c>
      <c r="X213" s="28"/>
      <c r="Y213" s="28"/>
    </row>
    <row r="214" customFormat="false" ht="15" hidden="false" customHeight="false" outlineLevel="0" collapsed="false">
      <c r="A214" s="21" t="str">
        <f aca="false">IF(COUNTA(B214,C214,E214,F214)=0,"",設定!$C$4&amp;TEXT(ROW()-4,"00000"))</f>
        <v/>
      </c>
      <c r="B214" s="22"/>
      <c r="C214" s="23"/>
      <c r="D214" s="21" t="str">
        <f aca="false">IF(C214="","",IFERROR(INDEX(取引先マスタ!$B$5:$B$204,MATCH($C214,取引先マスタ!$A$5:$A$204,0)),"コード誤り"))</f>
        <v/>
      </c>
      <c r="E214" s="28"/>
      <c r="F214" s="18"/>
      <c r="G214" s="25"/>
      <c r="H214" s="26" t="str">
        <f aca="false">IF(OR(F214="",G214=""),"",ROUNDDOWN(F214*G214,0))</f>
        <v/>
      </c>
      <c r="I214" s="26" t="str">
        <f aca="false">IF(OR(F214="",G214=""),"",F214+H214)</f>
        <v/>
      </c>
      <c r="J214" s="27" t="str">
        <f aca="false">IF(OR(B214="",C214="",D214="コード誤り"),"",IFERROR(DATE(YEAR(B214),MONTH(B214)+INDEX(取引先マスタ!$E$5:$E$204,MATCH($C214,取引先マスタ!$A$5:$A$204,0)),MIN(INDEX(取引先マスタ!$F$5:$F$204,MATCH($C214,取引先マスタ!$A$5:$A$204,0)),DAY(EOMONTH(B214,INDEX(取引先マスタ!$E$5:$E$204,MATCH($C214,取引先マスタ!$A$5:$A$204,0)))))),""))</f>
        <v/>
      </c>
      <c r="K214" s="22"/>
      <c r="L214" s="27" t="str">
        <f aca="false">IF(K214&lt;&gt;"",K214,J214)</f>
        <v/>
      </c>
      <c r="M214" s="28"/>
      <c r="N214" s="22"/>
      <c r="O214" s="28"/>
      <c r="P214" s="26" t="str">
        <f aca="false">IF(A214="","",SUMIF(入金明細!$F$5:$F$1004,A214,入金明細!$E$5:$E$1004))</f>
        <v/>
      </c>
      <c r="Q214" s="27" t="str">
        <f aca="false">IF(OR(A214="",N(P214)=0),"",SUMPRODUCT(MAX((入金明細!$F$5:$F$1004=A214)*入金明細!$B$5:$B$1004)))</f>
        <v/>
      </c>
      <c r="R214" s="18"/>
      <c r="S214" s="26" t="str">
        <f aca="false">IF(OR(A214="",I214=""),"",I214-N(P214)-N(R214))</f>
        <v/>
      </c>
      <c r="T214" s="28"/>
      <c r="U214" s="29" t="str">
        <f aca="false">IF(A214="","",IF(T214="取消","取消",IF(W214&lt;&gt;"","要入力",IF(N214="","未送付",IF(S214=0,"入金済",IF(S214&lt;0,"過入金",IF(設定!$C$5&gt;L214,IF(P214&gt;0,"一部入金・超過","期日超過"),IF(P214&gt;0,"一部入金",IF(L214-設定!$C$5&lt;=設定!$C$6,"期日間近","入金待ち")))))))))</f>
        <v/>
      </c>
      <c r="V214" s="30" t="str">
        <f aca="false">IF(OR(U214="期日超過",U214="一部入金・超過"),設定!$C$5-L214,"")</f>
        <v/>
      </c>
      <c r="W214" s="21" t="str">
        <f aca="false">IF(A214="","",TRIM(IF(B214="","請求日 ","")&amp;IF(C214="","取引先 ",IF(D214="コード誤り","取引先コード誤り ",""))&amp;IF(E214="","件名 ","")&amp;IF(F214="","税抜金額 ","")&amp;IF(G214="","税率 ","")&amp;IF(M214="","送付方法 ","")&amp;IF(AND(N214&lt;&gt;"",O214=""),"送付者 ","")&amp;IF(AND(I214&lt;&gt;"",L214=""),"入金期日 ","")&amp;IF(AND(N214&lt;&gt;"",P214&gt;0,S214&lt;=0,X214=""),"消込確認者 ","")))</f>
        <v/>
      </c>
      <c r="X214" s="28"/>
      <c r="Y214" s="28"/>
    </row>
    <row r="215" customFormat="false" ht="15" hidden="false" customHeight="false" outlineLevel="0" collapsed="false">
      <c r="A215" s="21" t="str">
        <f aca="false">IF(COUNTA(B215,C215,E215,F215)=0,"",設定!$C$4&amp;TEXT(ROW()-4,"00000"))</f>
        <v/>
      </c>
      <c r="B215" s="22"/>
      <c r="C215" s="23"/>
      <c r="D215" s="21" t="str">
        <f aca="false">IF(C215="","",IFERROR(INDEX(取引先マスタ!$B$5:$B$204,MATCH($C215,取引先マスタ!$A$5:$A$204,0)),"コード誤り"))</f>
        <v/>
      </c>
      <c r="E215" s="28"/>
      <c r="F215" s="18"/>
      <c r="G215" s="25"/>
      <c r="H215" s="26" t="str">
        <f aca="false">IF(OR(F215="",G215=""),"",ROUNDDOWN(F215*G215,0))</f>
        <v/>
      </c>
      <c r="I215" s="26" t="str">
        <f aca="false">IF(OR(F215="",G215=""),"",F215+H215)</f>
        <v/>
      </c>
      <c r="J215" s="27" t="str">
        <f aca="false">IF(OR(B215="",C215="",D215="コード誤り"),"",IFERROR(DATE(YEAR(B215),MONTH(B215)+INDEX(取引先マスタ!$E$5:$E$204,MATCH($C215,取引先マスタ!$A$5:$A$204,0)),MIN(INDEX(取引先マスタ!$F$5:$F$204,MATCH($C215,取引先マスタ!$A$5:$A$204,0)),DAY(EOMONTH(B215,INDEX(取引先マスタ!$E$5:$E$204,MATCH($C215,取引先マスタ!$A$5:$A$204,0)))))),""))</f>
        <v/>
      </c>
      <c r="K215" s="22"/>
      <c r="L215" s="27" t="str">
        <f aca="false">IF(K215&lt;&gt;"",K215,J215)</f>
        <v/>
      </c>
      <c r="M215" s="28"/>
      <c r="N215" s="22"/>
      <c r="O215" s="28"/>
      <c r="P215" s="26" t="str">
        <f aca="false">IF(A215="","",SUMIF(入金明細!$F$5:$F$1004,A215,入金明細!$E$5:$E$1004))</f>
        <v/>
      </c>
      <c r="Q215" s="27" t="str">
        <f aca="false">IF(OR(A215="",N(P215)=0),"",SUMPRODUCT(MAX((入金明細!$F$5:$F$1004=A215)*入金明細!$B$5:$B$1004)))</f>
        <v/>
      </c>
      <c r="R215" s="18"/>
      <c r="S215" s="26" t="str">
        <f aca="false">IF(OR(A215="",I215=""),"",I215-N(P215)-N(R215))</f>
        <v/>
      </c>
      <c r="T215" s="28"/>
      <c r="U215" s="29" t="str">
        <f aca="false">IF(A215="","",IF(T215="取消","取消",IF(W215&lt;&gt;"","要入力",IF(N215="","未送付",IF(S215=0,"入金済",IF(S215&lt;0,"過入金",IF(設定!$C$5&gt;L215,IF(P215&gt;0,"一部入金・超過","期日超過"),IF(P215&gt;0,"一部入金",IF(L215-設定!$C$5&lt;=設定!$C$6,"期日間近","入金待ち")))))))))</f>
        <v/>
      </c>
      <c r="V215" s="30" t="str">
        <f aca="false">IF(OR(U215="期日超過",U215="一部入金・超過"),設定!$C$5-L215,"")</f>
        <v/>
      </c>
      <c r="W215" s="21" t="str">
        <f aca="false">IF(A215="","",TRIM(IF(B215="","請求日 ","")&amp;IF(C215="","取引先 ",IF(D215="コード誤り","取引先コード誤り ",""))&amp;IF(E215="","件名 ","")&amp;IF(F215="","税抜金額 ","")&amp;IF(G215="","税率 ","")&amp;IF(M215="","送付方法 ","")&amp;IF(AND(N215&lt;&gt;"",O215=""),"送付者 ","")&amp;IF(AND(I215&lt;&gt;"",L215=""),"入金期日 ","")&amp;IF(AND(N215&lt;&gt;"",P215&gt;0,S215&lt;=0,X215=""),"消込確認者 ","")))</f>
        <v/>
      </c>
      <c r="X215" s="28"/>
      <c r="Y215" s="28"/>
    </row>
    <row r="216" customFormat="false" ht="15" hidden="false" customHeight="false" outlineLevel="0" collapsed="false">
      <c r="A216" s="21" t="str">
        <f aca="false">IF(COUNTA(B216,C216,E216,F216)=0,"",設定!$C$4&amp;TEXT(ROW()-4,"00000"))</f>
        <v/>
      </c>
      <c r="B216" s="22"/>
      <c r="C216" s="23"/>
      <c r="D216" s="21" t="str">
        <f aca="false">IF(C216="","",IFERROR(INDEX(取引先マスタ!$B$5:$B$204,MATCH($C216,取引先マスタ!$A$5:$A$204,0)),"コード誤り"))</f>
        <v/>
      </c>
      <c r="E216" s="28"/>
      <c r="F216" s="18"/>
      <c r="G216" s="25"/>
      <c r="H216" s="26" t="str">
        <f aca="false">IF(OR(F216="",G216=""),"",ROUNDDOWN(F216*G216,0))</f>
        <v/>
      </c>
      <c r="I216" s="26" t="str">
        <f aca="false">IF(OR(F216="",G216=""),"",F216+H216)</f>
        <v/>
      </c>
      <c r="J216" s="27" t="str">
        <f aca="false">IF(OR(B216="",C216="",D216="コード誤り"),"",IFERROR(DATE(YEAR(B216),MONTH(B216)+INDEX(取引先マスタ!$E$5:$E$204,MATCH($C216,取引先マスタ!$A$5:$A$204,0)),MIN(INDEX(取引先マスタ!$F$5:$F$204,MATCH($C216,取引先マスタ!$A$5:$A$204,0)),DAY(EOMONTH(B216,INDEX(取引先マスタ!$E$5:$E$204,MATCH($C216,取引先マスタ!$A$5:$A$204,0)))))),""))</f>
        <v/>
      </c>
      <c r="K216" s="22"/>
      <c r="L216" s="27" t="str">
        <f aca="false">IF(K216&lt;&gt;"",K216,J216)</f>
        <v/>
      </c>
      <c r="M216" s="28"/>
      <c r="N216" s="22"/>
      <c r="O216" s="28"/>
      <c r="P216" s="26" t="str">
        <f aca="false">IF(A216="","",SUMIF(入金明細!$F$5:$F$1004,A216,入金明細!$E$5:$E$1004))</f>
        <v/>
      </c>
      <c r="Q216" s="27" t="str">
        <f aca="false">IF(OR(A216="",N(P216)=0),"",SUMPRODUCT(MAX((入金明細!$F$5:$F$1004=A216)*入金明細!$B$5:$B$1004)))</f>
        <v/>
      </c>
      <c r="R216" s="18"/>
      <c r="S216" s="26" t="str">
        <f aca="false">IF(OR(A216="",I216=""),"",I216-N(P216)-N(R216))</f>
        <v/>
      </c>
      <c r="T216" s="28"/>
      <c r="U216" s="29" t="str">
        <f aca="false">IF(A216="","",IF(T216="取消","取消",IF(W216&lt;&gt;"","要入力",IF(N216="","未送付",IF(S216=0,"入金済",IF(S216&lt;0,"過入金",IF(設定!$C$5&gt;L216,IF(P216&gt;0,"一部入金・超過","期日超過"),IF(P216&gt;0,"一部入金",IF(L216-設定!$C$5&lt;=設定!$C$6,"期日間近","入金待ち")))))))))</f>
        <v/>
      </c>
      <c r="V216" s="30" t="str">
        <f aca="false">IF(OR(U216="期日超過",U216="一部入金・超過"),設定!$C$5-L216,"")</f>
        <v/>
      </c>
      <c r="W216" s="21" t="str">
        <f aca="false">IF(A216="","",TRIM(IF(B216="","請求日 ","")&amp;IF(C216="","取引先 ",IF(D216="コード誤り","取引先コード誤り ",""))&amp;IF(E216="","件名 ","")&amp;IF(F216="","税抜金額 ","")&amp;IF(G216="","税率 ","")&amp;IF(M216="","送付方法 ","")&amp;IF(AND(N216&lt;&gt;"",O216=""),"送付者 ","")&amp;IF(AND(I216&lt;&gt;"",L216=""),"入金期日 ","")&amp;IF(AND(N216&lt;&gt;"",P216&gt;0,S216&lt;=0,X216=""),"消込確認者 ","")))</f>
        <v/>
      </c>
      <c r="X216" s="28"/>
      <c r="Y216" s="28"/>
    </row>
    <row r="217" customFormat="false" ht="15" hidden="false" customHeight="false" outlineLevel="0" collapsed="false">
      <c r="A217" s="21" t="str">
        <f aca="false">IF(COUNTA(B217,C217,E217,F217)=0,"",設定!$C$4&amp;TEXT(ROW()-4,"00000"))</f>
        <v/>
      </c>
      <c r="B217" s="22"/>
      <c r="C217" s="23"/>
      <c r="D217" s="21" t="str">
        <f aca="false">IF(C217="","",IFERROR(INDEX(取引先マスタ!$B$5:$B$204,MATCH($C217,取引先マスタ!$A$5:$A$204,0)),"コード誤り"))</f>
        <v/>
      </c>
      <c r="E217" s="28"/>
      <c r="F217" s="18"/>
      <c r="G217" s="25"/>
      <c r="H217" s="26" t="str">
        <f aca="false">IF(OR(F217="",G217=""),"",ROUNDDOWN(F217*G217,0))</f>
        <v/>
      </c>
      <c r="I217" s="26" t="str">
        <f aca="false">IF(OR(F217="",G217=""),"",F217+H217)</f>
        <v/>
      </c>
      <c r="J217" s="27" t="str">
        <f aca="false">IF(OR(B217="",C217="",D217="コード誤り"),"",IFERROR(DATE(YEAR(B217),MONTH(B217)+INDEX(取引先マスタ!$E$5:$E$204,MATCH($C217,取引先マスタ!$A$5:$A$204,0)),MIN(INDEX(取引先マスタ!$F$5:$F$204,MATCH($C217,取引先マスタ!$A$5:$A$204,0)),DAY(EOMONTH(B217,INDEX(取引先マスタ!$E$5:$E$204,MATCH($C217,取引先マスタ!$A$5:$A$204,0)))))),""))</f>
        <v/>
      </c>
      <c r="K217" s="22"/>
      <c r="L217" s="27" t="str">
        <f aca="false">IF(K217&lt;&gt;"",K217,J217)</f>
        <v/>
      </c>
      <c r="M217" s="28"/>
      <c r="N217" s="22"/>
      <c r="O217" s="28"/>
      <c r="P217" s="26" t="str">
        <f aca="false">IF(A217="","",SUMIF(入金明細!$F$5:$F$1004,A217,入金明細!$E$5:$E$1004))</f>
        <v/>
      </c>
      <c r="Q217" s="27" t="str">
        <f aca="false">IF(OR(A217="",N(P217)=0),"",SUMPRODUCT(MAX((入金明細!$F$5:$F$1004=A217)*入金明細!$B$5:$B$1004)))</f>
        <v/>
      </c>
      <c r="R217" s="18"/>
      <c r="S217" s="26" t="str">
        <f aca="false">IF(OR(A217="",I217=""),"",I217-N(P217)-N(R217))</f>
        <v/>
      </c>
      <c r="T217" s="28"/>
      <c r="U217" s="29" t="str">
        <f aca="false">IF(A217="","",IF(T217="取消","取消",IF(W217&lt;&gt;"","要入力",IF(N217="","未送付",IF(S217=0,"入金済",IF(S217&lt;0,"過入金",IF(設定!$C$5&gt;L217,IF(P217&gt;0,"一部入金・超過","期日超過"),IF(P217&gt;0,"一部入金",IF(L217-設定!$C$5&lt;=設定!$C$6,"期日間近","入金待ち")))))))))</f>
        <v/>
      </c>
      <c r="V217" s="30" t="str">
        <f aca="false">IF(OR(U217="期日超過",U217="一部入金・超過"),設定!$C$5-L217,"")</f>
        <v/>
      </c>
      <c r="W217" s="21" t="str">
        <f aca="false">IF(A217="","",TRIM(IF(B217="","請求日 ","")&amp;IF(C217="","取引先 ",IF(D217="コード誤り","取引先コード誤り ",""))&amp;IF(E217="","件名 ","")&amp;IF(F217="","税抜金額 ","")&amp;IF(G217="","税率 ","")&amp;IF(M217="","送付方法 ","")&amp;IF(AND(N217&lt;&gt;"",O217=""),"送付者 ","")&amp;IF(AND(I217&lt;&gt;"",L217=""),"入金期日 ","")&amp;IF(AND(N217&lt;&gt;"",P217&gt;0,S217&lt;=0,X217=""),"消込確認者 ","")))</f>
        <v/>
      </c>
      <c r="X217" s="28"/>
      <c r="Y217" s="28"/>
    </row>
    <row r="218" customFormat="false" ht="15" hidden="false" customHeight="false" outlineLevel="0" collapsed="false">
      <c r="A218" s="21" t="str">
        <f aca="false">IF(COUNTA(B218,C218,E218,F218)=0,"",設定!$C$4&amp;TEXT(ROW()-4,"00000"))</f>
        <v/>
      </c>
      <c r="B218" s="22"/>
      <c r="C218" s="23"/>
      <c r="D218" s="21" t="str">
        <f aca="false">IF(C218="","",IFERROR(INDEX(取引先マスタ!$B$5:$B$204,MATCH($C218,取引先マスタ!$A$5:$A$204,0)),"コード誤り"))</f>
        <v/>
      </c>
      <c r="E218" s="28"/>
      <c r="F218" s="18"/>
      <c r="G218" s="25"/>
      <c r="H218" s="26" t="str">
        <f aca="false">IF(OR(F218="",G218=""),"",ROUNDDOWN(F218*G218,0))</f>
        <v/>
      </c>
      <c r="I218" s="26" t="str">
        <f aca="false">IF(OR(F218="",G218=""),"",F218+H218)</f>
        <v/>
      </c>
      <c r="J218" s="27" t="str">
        <f aca="false">IF(OR(B218="",C218="",D218="コード誤り"),"",IFERROR(DATE(YEAR(B218),MONTH(B218)+INDEX(取引先マスタ!$E$5:$E$204,MATCH($C218,取引先マスタ!$A$5:$A$204,0)),MIN(INDEX(取引先マスタ!$F$5:$F$204,MATCH($C218,取引先マスタ!$A$5:$A$204,0)),DAY(EOMONTH(B218,INDEX(取引先マスタ!$E$5:$E$204,MATCH($C218,取引先マスタ!$A$5:$A$204,0)))))),""))</f>
        <v/>
      </c>
      <c r="K218" s="22"/>
      <c r="L218" s="27" t="str">
        <f aca="false">IF(K218&lt;&gt;"",K218,J218)</f>
        <v/>
      </c>
      <c r="M218" s="28"/>
      <c r="N218" s="22"/>
      <c r="O218" s="28"/>
      <c r="P218" s="26" t="str">
        <f aca="false">IF(A218="","",SUMIF(入金明細!$F$5:$F$1004,A218,入金明細!$E$5:$E$1004))</f>
        <v/>
      </c>
      <c r="Q218" s="27" t="str">
        <f aca="false">IF(OR(A218="",N(P218)=0),"",SUMPRODUCT(MAX((入金明細!$F$5:$F$1004=A218)*入金明細!$B$5:$B$1004)))</f>
        <v/>
      </c>
      <c r="R218" s="18"/>
      <c r="S218" s="26" t="str">
        <f aca="false">IF(OR(A218="",I218=""),"",I218-N(P218)-N(R218))</f>
        <v/>
      </c>
      <c r="T218" s="28"/>
      <c r="U218" s="29" t="str">
        <f aca="false">IF(A218="","",IF(T218="取消","取消",IF(W218&lt;&gt;"","要入力",IF(N218="","未送付",IF(S218=0,"入金済",IF(S218&lt;0,"過入金",IF(設定!$C$5&gt;L218,IF(P218&gt;0,"一部入金・超過","期日超過"),IF(P218&gt;0,"一部入金",IF(L218-設定!$C$5&lt;=設定!$C$6,"期日間近","入金待ち")))))))))</f>
        <v/>
      </c>
      <c r="V218" s="30" t="str">
        <f aca="false">IF(OR(U218="期日超過",U218="一部入金・超過"),設定!$C$5-L218,"")</f>
        <v/>
      </c>
      <c r="W218" s="21" t="str">
        <f aca="false">IF(A218="","",TRIM(IF(B218="","請求日 ","")&amp;IF(C218="","取引先 ",IF(D218="コード誤り","取引先コード誤り ",""))&amp;IF(E218="","件名 ","")&amp;IF(F218="","税抜金額 ","")&amp;IF(G218="","税率 ","")&amp;IF(M218="","送付方法 ","")&amp;IF(AND(N218&lt;&gt;"",O218=""),"送付者 ","")&amp;IF(AND(I218&lt;&gt;"",L218=""),"入金期日 ","")&amp;IF(AND(N218&lt;&gt;"",P218&gt;0,S218&lt;=0,X218=""),"消込確認者 ","")))</f>
        <v/>
      </c>
      <c r="X218" s="28"/>
      <c r="Y218" s="28"/>
    </row>
    <row r="219" customFormat="false" ht="15" hidden="false" customHeight="false" outlineLevel="0" collapsed="false">
      <c r="A219" s="21" t="str">
        <f aca="false">IF(COUNTA(B219,C219,E219,F219)=0,"",設定!$C$4&amp;TEXT(ROW()-4,"00000"))</f>
        <v/>
      </c>
      <c r="B219" s="22"/>
      <c r="C219" s="23"/>
      <c r="D219" s="21" t="str">
        <f aca="false">IF(C219="","",IFERROR(INDEX(取引先マスタ!$B$5:$B$204,MATCH($C219,取引先マスタ!$A$5:$A$204,0)),"コード誤り"))</f>
        <v/>
      </c>
      <c r="E219" s="28"/>
      <c r="F219" s="18"/>
      <c r="G219" s="25"/>
      <c r="H219" s="26" t="str">
        <f aca="false">IF(OR(F219="",G219=""),"",ROUNDDOWN(F219*G219,0))</f>
        <v/>
      </c>
      <c r="I219" s="26" t="str">
        <f aca="false">IF(OR(F219="",G219=""),"",F219+H219)</f>
        <v/>
      </c>
      <c r="J219" s="27" t="str">
        <f aca="false">IF(OR(B219="",C219="",D219="コード誤り"),"",IFERROR(DATE(YEAR(B219),MONTH(B219)+INDEX(取引先マスタ!$E$5:$E$204,MATCH($C219,取引先マスタ!$A$5:$A$204,0)),MIN(INDEX(取引先マスタ!$F$5:$F$204,MATCH($C219,取引先マスタ!$A$5:$A$204,0)),DAY(EOMONTH(B219,INDEX(取引先マスタ!$E$5:$E$204,MATCH($C219,取引先マスタ!$A$5:$A$204,0)))))),""))</f>
        <v/>
      </c>
      <c r="K219" s="22"/>
      <c r="L219" s="27" t="str">
        <f aca="false">IF(K219&lt;&gt;"",K219,J219)</f>
        <v/>
      </c>
      <c r="M219" s="28"/>
      <c r="N219" s="22"/>
      <c r="O219" s="28"/>
      <c r="P219" s="26" t="str">
        <f aca="false">IF(A219="","",SUMIF(入金明細!$F$5:$F$1004,A219,入金明細!$E$5:$E$1004))</f>
        <v/>
      </c>
      <c r="Q219" s="27" t="str">
        <f aca="false">IF(OR(A219="",N(P219)=0),"",SUMPRODUCT(MAX((入金明細!$F$5:$F$1004=A219)*入金明細!$B$5:$B$1004)))</f>
        <v/>
      </c>
      <c r="R219" s="18"/>
      <c r="S219" s="26" t="str">
        <f aca="false">IF(OR(A219="",I219=""),"",I219-N(P219)-N(R219))</f>
        <v/>
      </c>
      <c r="T219" s="28"/>
      <c r="U219" s="29" t="str">
        <f aca="false">IF(A219="","",IF(T219="取消","取消",IF(W219&lt;&gt;"","要入力",IF(N219="","未送付",IF(S219=0,"入金済",IF(S219&lt;0,"過入金",IF(設定!$C$5&gt;L219,IF(P219&gt;0,"一部入金・超過","期日超過"),IF(P219&gt;0,"一部入金",IF(L219-設定!$C$5&lt;=設定!$C$6,"期日間近","入金待ち")))))))))</f>
        <v/>
      </c>
      <c r="V219" s="30" t="str">
        <f aca="false">IF(OR(U219="期日超過",U219="一部入金・超過"),設定!$C$5-L219,"")</f>
        <v/>
      </c>
      <c r="W219" s="21" t="str">
        <f aca="false">IF(A219="","",TRIM(IF(B219="","請求日 ","")&amp;IF(C219="","取引先 ",IF(D219="コード誤り","取引先コード誤り ",""))&amp;IF(E219="","件名 ","")&amp;IF(F219="","税抜金額 ","")&amp;IF(G219="","税率 ","")&amp;IF(M219="","送付方法 ","")&amp;IF(AND(N219&lt;&gt;"",O219=""),"送付者 ","")&amp;IF(AND(I219&lt;&gt;"",L219=""),"入金期日 ","")&amp;IF(AND(N219&lt;&gt;"",P219&gt;0,S219&lt;=0,X219=""),"消込確認者 ","")))</f>
        <v/>
      </c>
      <c r="X219" s="28"/>
      <c r="Y219" s="28"/>
    </row>
    <row r="220" customFormat="false" ht="15" hidden="false" customHeight="false" outlineLevel="0" collapsed="false">
      <c r="A220" s="21" t="str">
        <f aca="false">IF(COUNTA(B220,C220,E220,F220)=0,"",設定!$C$4&amp;TEXT(ROW()-4,"00000"))</f>
        <v/>
      </c>
      <c r="B220" s="22"/>
      <c r="C220" s="23"/>
      <c r="D220" s="21" t="str">
        <f aca="false">IF(C220="","",IFERROR(INDEX(取引先マスタ!$B$5:$B$204,MATCH($C220,取引先マスタ!$A$5:$A$204,0)),"コード誤り"))</f>
        <v/>
      </c>
      <c r="E220" s="28"/>
      <c r="F220" s="18"/>
      <c r="G220" s="25"/>
      <c r="H220" s="26" t="str">
        <f aca="false">IF(OR(F220="",G220=""),"",ROUNDDOWN(F220*G220,0))</f>
        <v/>
      </c>
      <c r="I220" s="26" t="str">
        <f aca="false">IF(OR(F220="",G220=""),"",F220+H220)</f>
        <v/>
      </c>
      <c r="J220" s="27" t="str">
        <f aca="false">IF(OR(B220="",C220="",D220="コード誤り"),"",IFERROR(DATE(YEAR(B220),MONTH(B220)+INDEX(取引先マスタ!$E$5:$E$204,MATCH($C220,取引先マスタ!$A$5:$A$204,0)),MIN(INDEX(取引先マスタ!$F$5:$F$204,MATCH($C220,取引先マスタ!$A$5:$A$204,0)),DAY(EOMONTH(B220,INDEX(取引先マスタ!$E$5:$E$204,MATCH($C220,取引先マスタ!$A$5:$A$204,0)))))),""))</f>
        <v/>
      </c>
      <c r="K220" s="22"/>
      <c r="L220" s="27" t="str">
        <f aca="false">IF(K220&lt;&gt;"",K220,J220)</f>
        <v/>
      </c>
      <c r="M220" s="28"/>
      <c r="N220" s="22"/>
      <c r="O220" s="28"/>
      <c r="P220" s="26" t="str">
        <f aca="false">IF(A220="","",SUMIF(入金明細!$F$5:$F$1004,A220,入金明細!$E$5:$E$1004))</f>
        <v/>
      </c>
      <c r="Q220" s="27" t="str">
        <f aca="false">IF(OR(A220="",N(P220)=0),"",SUMPRODUCT(MAX((入金明細!$F$5:$F$1004=A220)*入金明細!$B$5:$B$1004)))</f>
        <v/>
      </c>
      <c r="R220" s="18"/>
      <c r="S220" s="26" t="str">
        <f aca="false">IF(OR(A220="",I220=""),"",I220-N(P220)-N(R220))</f>
        <v/>
      </c>
      <c r="T220" s="28"/>
      <c r="U220" s="29" t="str">
        <f aca="false">IF(A220="","",IF(T220="取消","取消",IF(W220&lt;&gt;"","要入力",IF(N220="","未送付",IF(S220=0,"入金済",IF(S220&lt;0,"過入金",IF(設定!$C$5&gt;L220,IF(P220&gt;0,"一部入金・超過","期日超過"),IF(P220&gt;0,"一部入金",IF(L220-設定!$C$5&lt;=設定!$C$6,"期日間近","入金待ち")))))))))</f>
        <v/>
      </c>
      <c r="V220" s="30" t="str">
        <f aca="false">IF(OR(U220="期日超過",U220="一部入金・超過"),設定!$C$5-L220,"")</f>
        <v/>
      </c>
      <c r="W220" s="21" t="str">
        <f aca="false">IF(A220="","",TRIM(IF(B220="","請求日 ","")&amp;IF(C220="","取引先 ",IF(D220="コード誤り","取引先コード誤り ",""))&amp;IF(E220="","件名 ","")&amp;IF(F220="","税抜金額 ","")&amp;IF(G220="","税率 ","")&amp;IF(M220="","送付方法 ","")&amp;IF(AND(N220&lt;&gt;"",O220=""),"送付者 ","")&amp;IF(AND(I220&lt;&gt;"",L220=""),"入金期日 ","")&amp;IF(AND(N220&lt;&gt;"",P220&gt;0,S220&lt;=0,X220=""),"消込確認者 ","")))</f>
        <v/>
      </c>
      <c r="X220" s="28"/>
      <c r="Y220" s="28"/>
    </row>
    <row r="221" customFormat="false" ht="15" hidden="false" customHeight="false" outlineLevel="0" collapsed="false">
      <c r="A221" s="21" t="str">
        <f aca="false">IF(COUNTA(B221,C221,E221,F221)=0,"",設定!$C$4&amp;TEXT(ROW()-4,"00000"))</f>
        <v/>
      </c>
      <c r="B221" s="22"/>
      <c r="C221" s="23"/>
      <c r="D221" s="21" t="str">
        <f aca="false">IF(C221="","",IFERROR(INDEX(取引先マスタ!$B$5:$B$204,MATCH($C221,取引先マスタ!$A$5:$A$204,0)),"コード誤り"))</f>
        <v/>
      </c>
      <c r="E221" s="28"/>
      <c r="F221" s="18"/>
      <c r="G221" s="25"/>
      <c r="H221" s="26" t="str">
        <f aca="false">IF(OR(F221="",G221=""),"",ROUNDDOWN(F221*G221,0))</f>
        <v/>
      </c>
      <c r="I221" s="26" t="str">
        <f aca="false">IF(OR(F221="",G221=""),"",F221+H221)</f>
        <v/>
      </c>
      <c r="J221" s="27" t="str">
        <f aca="false">IF(OR(B221="",C221="",D221="コード誤り"),"",IFERROR(DATE(YEAR(B221),MONTH(B221)+INDEX(取引先マスタ!$E$5:$E$204,MATCH($C221,取引先マスタ!$A$5:$A$204,0)),MIN(INDEX(取引先マスタ!$F$5:$F$204,MATCH($C221,取引先マスタ!$A$5:$A$204,0)),DAY(EOMONTH(B221,INDEX(取引先マスタ!$E$5:$E$204,MATCH($C221,取引先マスタ!$A$5:$A$204,0)))))),""))</f>
        <v/>
      </c>
      <c r="K221" s="22"/>
      <c r="L221" s="27" t="str">
        <f aca="false">IF(K221&lt;&gt;"",K221,J221)</f>
        <v/>
      </c>
      <c r="M221" s="28"/>
      <c r="N221" s="22"/>
      <c r="O221" s="28"/>
      <c r="P221" s="26" t="str">
        <f aca="false">IF(A221="","",SUMIF(入金明細!$F$5:$F$1004,A221,入金明細!$E$5:$E$1004))</f>
        <v/>
      </c>
      <c r="Q221" s="27" t="str">
        <f aca="false">IF(OR(A221="",N(P221)=0),"",SUMPRODUCT(MAX((入金明細!$F$5:$F$1004=A221)*入金明細!$B$5:$B$1004)))</f>
        <v/>
      </c>
      <c r="R221" s="18"/>
      <c r="S221" s="26" t="str">
        <f aca="false">IF(OR(A221="",I221=""),"",I221-N(P221)-N(R221))</f>
        <v/>
      </c>
      <c r="T221" s="28"/>
      <c r="U221" s="29" t="str">
        <f aca="false">IF(A221="","",IF(T221="取消","取消",IF(W221&lt;&gt;"","要入力",IF(N221="","未送付",IF(S221=0,"入金済",IF(S221&lt;0,"過入金",IF(設定!$C$5&gt;L221,IF(P221&gt;0,"一部入金・超過","期日超過"),IF(P221&gt;0,"一部入金",IF(L221-設定!$C$5&lt;=設定!$C$6,"期日間近","入金待ち")))))))))</f>
        <v/>
      </c>
      <c r="V221" s="30" t="str">
        <f aca="false">IF(OR(U221="期日超過",U221="一部入金・超過"),設定!$C$5-L221,"")</f>
        <v/>
      </c>
      <c r="W221" s="21" t="str">
        <f aca="false">IF(A221="","",TRIM(IF(B221="","請求日 ","")&amp;IF(C221="","取引先 ",IF(D221="コード誤り","取引先コード誤り ",""))&amp;IF(E221="","件名 ","")&amp;IF(F221="","税抜金額 ","")&amp;IF(G221="","税率 ","")&amp;IF(M221="","送付方法 ","")&amp;IF(AND(N221&lt;&gt;"",O221=""),"送付者 ","")&amp;IF(AND(I221&lt;&gt;"",L221=""),"入金期日 ","")&amp;IF(AND(N221&lt;&gt;"",P221&gt;0,S221&lt;=0,X221=""),"消込確認者 ","")))</f>
        <v/>
      </c>
      <c r="X221" s="28"/>
      <c r="Y221" s="28"/>
    </row>
    <row r="222" customFormat="false" ht="15" hidden="false" customHeight="false" outlineLevel="0" collapsed="false">
      <c r="A222" s="21" t="str">
        <f aca="false">IF(COUNTA(B222,C222,E222,F222)=0,"",設定!$C$4&amp;TEXT(ROW()-4,"00000"))</f>
        <v/>
      </c>
      <c r="B222" s="22"/>
      <c r="C222" s="23"/>
      <c r="D222" s="21" t="str">
        <f aca="false">IF(C222="","",IFERROR(INDEX(取引先マスタ!$B$5:$B$204,MATCH($C222,取引先マスタ!$A$5:$A$204,0)),"コード誤り"))</f>
        <v/>
      </c>
      <c r="E222" s="28"/>
      <c r="F222" s="18"/>
      <c r="G222" s="25"/>
      <c r="H222" s="26" t="str">
        <f aca="false">IF(OR(F222="",G222=""),"",ROUNDDOWN(F222*G222,0))</f>
        <v/>
      </c>
      <c r="I222" s="26" t="str">
        <f aca="false">IF(OR(F222="",G222=""),"",F222+H222)</f>
        <v/>
      </c>
      <c r="J222" s="27" t="str">
        <f aca="false">IF(OR(B222="",C222="",D222="コード誤り"),"",IFERROR(DATE(YEAR(B222),MONTH(B222)+INDEX(取引先マスタ!$E$5:$E$204,MATCH($C222,取引先マスタ!$A$5:$A$204,0)),MIN(INDEX(取引先マスタ!$F$5:$F$204,MATCH($C222,取引先マスタ!$A$5:$A$204,0)),DAY(EOMONTH(B222,INDEX(取引先マスタ!$E$5:$E$204,MATCH($C222,取引先マスタ!$A$5:$A$204,0)))))),""))</f>
        <v/>
      </c>
      <c r="K222" s="22"/>
      <c r="L222" s="27" t="str">
        <f aca="false">IF(K222&lt;&gt;"",K222,J222)</f>
        <v/>
      </c>
      <c r="M222" s="28"/>
      <c r="N222" s="22"/>
      <c r="O222" s="28"/>
      <c r="P222" s="26" t="str">
        <f aca="false">IF(A222="","",SUMIF(入金明細!$F$5:$F$1004,A222,入金明細!$E$5:$E$1004))</f>
        <v/>
      </c>
      <c r="Q222" s="27" t="str">
        <f aca="false">IF(OR(A222="",N(P222)=0),"",SUMPRODUCT(MAX((入金明細!$F$5:$F$1004=A222)*入金明細!$B$5:$B$1004)))</f>
        <v/>
      </c>
      <c r="R222" s="18"/>
      <c r="S222" s="26" t="str">
        <f aca="false">IF(OR(A222="",I222=""),"",I222-N(P222)-N(R222))</f>
        <v/>
      </c>
      <c r="T222" s="28"/>
      <c r="U222" s="29" t="str">
        <f aca="false">IF(A222="","",IF(T222="取消","取消",IF(W222&lt;&gt;"","要入力",IF(N222="","未送付",IF(S222=0,"入金済",IF(S222&lt;0,"過入金",IF(設定!$C$5&gt;L222,IF(P222&gt;0,"一部入金・超過","期日超過"),IF(P222&gt;0,"一部入金",IF(L222-設定!$C$5&lt;=設定!$C$6,"期日間近","入金待ち")))))))))</f>
        <v/>
      </c>
      <c r="V222" s="30" t="str">
        <f aca="false">IF(OR(U222="期日超過",U222="一部入金・超過"),設定!$C$5-L222,"")</f>
        <v/>
      </c>
      <c r="W222" s="21" t="str">
        <f aca="false">IF(A222="","",TRIM(IF(B222="","請求日 ","")&amp;IF(C222="","取引先 ",IF(D222="コード誤り","取引先コード誤り ",""))&amp;IF(E222="","件名 ","")&amp;IF(F222="","税抜金額 ","")&amp;IF(G222="","税率 ","")&amp;IF(M222="","送付方法 ","")&amp;IF(AND(N222&lt;&gt;"",O222=""),"送付者 ","")&amp;IF(AND(I222&lt;&gt;"",L222=""),"入金期日 ","")&amp;IF(AND(N222&lt;&gt;"",P222&gt;0,S222&lt;=0,X222=""),"消込確認者 ","")))</f>
        <v/>
      </c>
      <c r="X222" s="28"/>
      <c r="Y222" s="28"/>
    </row>
    <row r="223" customFormat="false" ht="15" hidden="false" customHeight="false" outlineLevel="0" collapsed="false">
      <c r="A223" s="21" t="str">
        <f aca="false">IF(COUNTA(B223,C223,E223,F223)=0,"",設定!$C$4&amp;TEXT(ROW()-4,"00000"))</f>
        <v/>
      </c>
      <c r="B223" s="22"/>
      <c r="C223" s="23"/>
      <c r="D223" s="21" t="str">
        <f aca="false">IF(C223="","",IFERROR(INDEX(取引先マスタ!$B$5:$B$204,MATCH($C223,取引先マスタ!$A$5:$A$204,0)),"コード誤り"))</f>
        <v/>
      </c>
      <c r="E223" s="28"/>
      <c r="F223" s="18"/>
      <c r="G223" s="25"/>
      <c r="H223" s="26" t="str">
        <f aca="false">IF(OR(F223="",G223=""),"",ROUNDDOWN(F223*G223,0))</f>
        <v/>
      </c>
      <c r="I223" s="26" t="str">
        <f aca="false">IF(OR(F223="",G223=""),"",F223+H223)</f>
        <v/>
      </c>
      <c r="J223" s="27" t="str">
        <f aca="false">IF(OR(B223="",C223="",D223="コード誤り"),"",IFERROR(DATE(YEAR(B223),MONTH(B223)+INDEX(取引先マスタ!$E$5:$E$204,MATCH($C223,取引先マスタ!$A$5:$A$204,0)),MIN(INDEX(取引先マスタ!$F$5:$F$204,MATCH($C223,取引先マスタ!$A$5:$A$204,0)),DAY(EOMONTH(B223,INDEX(取引先マスタ!$E$5:$E$204,MATCH($C223,取引先マスタ!$A$5:$A$204,0)))))),""))</f>
        <v/>
      </c>
      <c r="K223" s="22"/>
      <c r="L223" s="27" t="str">
        <f aca="false">IF(K223&lt;&gt;"",K223,J223)</f>
        <v/>
      </c>
      <c r="M223" s="28"/>
      <c r="N223" s="22"/>
      <c r="O223" s="28"/>
      <c r="P223" s="26" t="str">
        <f aca="false">IF(A223="","",SUMIF(入金明細!$F$5:$F$1004,A223,入金明細!$E$5:$E$1004))</f>
        <v/>
      </c>
      <c r="Q223" s="27" t="str">
        <f aca="false">IF(OR(A223="",N(P223)=0),"",SUMPRODUCT(MAX((入金明細!$F$5:$F$1004=A223)*入金明細!$B$5:$B$1004)))</f>
        <v/>
      </c>
      <c r="R223" s="18"/>
      <c r="S223" s="26" t="str">
        <f aca="false">IF(OR(A223="",I223=""),"",I223-N(P223)-N(R223))</f>
        <v/>
      </c>
      <c r="T223" s="28"/>
      <c r="U223" s="29" t="str">
        <f aca="false">IF(A223="","",IF(T223="取消","取消",IF(W223&lt;&gt;"","要入力",IF(N223="","未送付",IF(S223=0,"入金済",IF(S223&lt;0,"過入金",IF(設定!$C$5&gt;L223,IF(P223&gt;0,"一部入金・超過","期日超過"),IF(P223&gt;0,"一部入金",IF(L223-設定!$C$5&lt;=設定!$C$6,"期日間近","入金待ち")))))))))</f>
        <v/>
      </c>
      <c r="V223" s="30" t="str">
        <f aca="false">IF(OR(U223="期日超過",U223="一部入金・超過"),設定!$C$5-L223,"")</f>
        <v/>
      </c>
      <c r="W223" s="21" t="str">
        <f aca="false">IF(A223="","",TRIM(IF(B223="","請求日 ","")&amp;IF(C223="","取引先 ",IF(D223="コード誤り","取引先コード誤り ",""))&amp;IF(E223="","件名 ","")&amp;IF(F223="","税抜金額 ","")&amp;IF(G223="","税率 ","")&amp;IF(M223="","送付方法 ","")&amp;IF(AND(N223&lt;&gt;"",O223=""),"送付者 ","")&amp;IF(AND(I223&lt;&gt;"",L223=""),"入金期日 ","")&amp;IF(AND(N223&lt;&gt;"",P223&gt;0,S223&lt;=0,X223=""),"消込確認者 ","")))</f>
        <v/>
      </c>
      <c r="X223" s="28"/>
      <c r="Y223" s="28"/>
    </row>
    <row r="224" customFormat="false" ht="15" hidden="false" customHeight="false" outlineLevel="0" collapsed="false">
      <c r="A224" s="21" t="str">
        <f aca="false">IF(COUNTA(B224,C224,E224,F224)=0,"",設定!$C$4&amp;TEXT(ROW()-4,"00000"))</f>
        <v/>
      </c>
      <c r="B224" s="22"/>
      <c r="C224" s="23"/>
      <c r="D224" s="21" t="str">
        <f aca="false">IF(C224="","",IFERROR(INDEX(取引先マスタ!$B$5:$B$204,MATCH($C224,取引先マスタ!$A$5:$A$204,0)),"コード誤り"))</f>
        <v/>
      </c>
      <c r="E224" s="28"/>
      <c r="F224" s="18"/>
      <c r="G224" s="25"/>
      <c r="H224" s="26" t="str">
        <f aca="false">IF(OR(F224="",G224=""),"",ROUNDDOWN(F224*G224,0))</f>
        <v/>
      </c>
      <c r="I224" s="26" t="str">
        <f aca="false">IF(OR(F224="",G224=""),"",F224+H224)</f>
        <v/>
      </c>
      <c r="J224" s="27" t="str">
        <f aca="false">IF(OR(B224="",C224="",D224="コード誤り"),"",IFERROR(DATE(YEAR(B224),MONTH(B224)+INDEX(取引先マスタ!$E$5:$E$204,MATCH($C224,取引先マスタ!$A$5:$A$204,0)),MIN(INDEX(取引先マスタ!$F$5:$F$204,MATCH($C224,取引先マスタ!$A$5:$A$204,0)),DAY(EOMONTH(B224,INDEX(取引先マスタ!$E$5:$E$204,MATCH($C224,取引先マスタ!$A$5:$A$204,0)))))),""))</f>
        <v/>
      </c>
      <c r="K224" s="22"/>
      <c r="L224" s="27" t="str">
        <f aca="false">IF(K224&lt;&gt;"",K224,J224)</f>
        <v/>
      </c>
      <c r="M224" s="28"/>
      <c r="N224" s="22"/>
      <c r="O224" s="28"/>
      <c r="P224" s="26" t="str">
        <f aca="false">IF(A224="","",SUMIF(入金明細!$F$5:$F$1004,A224,入金明細!$E$5:$E$1004))</f>
        <v/>
      </c>
      <c r="Q224" s="27" t="str">
        <f aca="false">IF(OR(A224="",N(P224)=0),"",SUMPRODUCT(MAX((入金明細!$F$5:$F$1004=A224)*入金明細!$B$5:$B$1004)))</f>
        <v/>
      </c>
      <c r="R224" s="18"/>
      <c r="S224" s="26" t="str">
        <f aca="false">IF(OR(A224="",I224=""),"",I224-N(P224)-N(R224))</f>
        <v/>
      </c>
      <c r="T224" s="28"/>
      <c r="U224" s="29" t="str">
        <f aca="false">IF(A224="","",IF(T224="取消","取消",IF(W224&lt;&gt;"","要入力",IF(N224="","未送付",IF(S224=0,"入金済",IF(S224&lt;0,"過入金",IF(設定!$C$5&gt;L224,IF(P224&gt;0,"一部入金・超過","期日超過"),IF(P224&gt;0,"一部入金",IF(L224-設定!$C$5&lt;=設定!$C$6,"期日間近","入金待ち")))))))))</f>
        <v/>
      </c>
      <c r="V224" s="30" t="str">
        <f aca="false">IF(OR(U224="期日超過",U224="一部入金・超過"),設定!$C$5-L224,"")</f>
        <v/>
      </c>
      <c r="W224" s="21" t="str">
        <f aca="false">IF(A224="","",TRIM(IF(B224="","請求日 ","")&amp;IF(C224="","取引先 ",IF(D224="コード誤り","取引先コード誤り ",""))&amp;IF(E224="","件名 ","")&amp;IF(F224="","税抜金額 ","")&amp;IF(G224="","税率 ","")&amp;IF(M224="","送付方法 ","")&amp;IF(AND(N224&lt;&gt;"",O224=""),"送付者 ","")&amp;IF(AND(I224&lt;&gt;"",L224=""),"入金期日 ","")&amp;IF(AND(N224&lt;&gt;"",P224&gt;0,S224&lt;=0,X224=""),"消込確認者 ","")))</f>
        <v/>
      </c>
      <c r="X224" s="28"/>
      <c r="Y224" s="28"/>
    </row>
    <row r="225" customFormat="false" ht="15" hidden="false" customHeight="false" outlineLevel="0" collapsed="false">
      <c r="A225" s="21" t="str">
        <f aca="false">IF(COUNTA(B225,C225,E225,F225)=0,"",設定!$C$4&amp;TEXT(ROW()-4,"00000"))</f>
        <v/>
      </c>
      <c r="B225" s="22"/>
      <c r="C225" s="23"/>
      <c r="D225" s="21" t="str">
        <f aca="false">IF(C225="","",IFERROR(INDEX(取引先マスタ!$B$5:$B$204,MATCH($C225,取引先マスタ!$A$5:$A$204,0)),"コード誤り"))</f>
        <v/>
      </c>
      <c r="E225" s="28"/>
      <c r="F225" s="18"/>
      <c r="G225" s="25"/>
      <c r="H225" s="26" t="str">
        <f aca="false">IF(OR(F225="",G225=""),"",ROUNDDOWN(F225*G225,0))</f>
        <v/>
      </c>
      <c r="I225" s="26" t="str">
        <f aca="false">IF(OR(F225="",G225=""),"",F225+H225)</f>
        <v/>
      </c>
      <c r="J225" s="27" t="str">
        <f aca="false">IF(OR(B225="",C225="",D225="コード誤り"),"",IFERROR(DATE(YEAR(B225),MONTH(B225)+INDEX(取引先マスタ!$E$5:$E$204,MATCH($C225,取引先マスタ!$A$5:$A$204,0)),MIN(INDEX(取引先マスタ!$F$5:$F$204,MATCH($C225,取引先マスタ!$A$5:$A$204,0)),DAY(EOMONTH(B225,INDEX(取引先マスタ!$E$5:$E$204,MATCH($C225,取引先マスタ!$A$5:$A$204,0)))))),""))</f>
        <v/>
      </c>
      <c r="K225" s="22"/>
      <c r="L225" s="27" t="str">
        <f aca="false">IF(K225&lt;&gt;"",K225,J225)</f>
        <v/>
      </c>
      <c r="M225" s="28"/>
      <c r="N225" s="22"/>
      <c r="O225" s="28"/>
      <c r="P225" s="26" t="str">
        <f aca="false">IF(A225="","",SUMIF(入金明細!$F$5:$F$1004,A225,入金明細!$E$5:$E$1004))</f>
        <v/>
      </c>
      <c r="Q225" s="27" t="str">
        <f aca="false">IF(OR(A225="",N(P225)=0),"",SUMPRODUCT(MAX((入金明細!$F$5:$F$1004=A225)*入金明細!$B$5:$B$1004)))</f>
        <v/>
      </c>
      <c r="R225" s="18"/>
      <c r="S225" s="26" t="str">
        <f aca="false">IF(OR(A225="",I225=""),"",I225-N(P225)-N(R225))</f>
        <v/>
      </c>
      <c r="T225" s="28"/>
      <c r="U225" s="29" t="str">
        <f aca="false">IF(A225="","",IF(T225="取消","取消",IF(W225&lt;&gt;"","要入力",IF(N225="","未送付",IF(S225=0,"入金済",IF(S225&lt;0,"過入金",IF(設定!$C$5&gt;L225,IF(P225&gt;0,"一部入金・超過","期日超過"),IF(P225&gt;0,"一部入金",IF(L225-設定!$C$5&lt;=設定!$C$6,"期日間近","入金待ち")))))))))</f>
        <v/>
      </c>
      <c r="V225" s="30" t="str">
        <f aca="false">IF(OR(U225="期日超過",U225="一部入金・超過"),設定!$C$5-L225,"")</f>
        <v/>
      </c>
      <c r="W225" s="21" t="str">
        <f aca="false">IF(A225="","",TRIM(IF(B225="","請求日 ","")&amp;IF(C225="","取引先 ",IF(D225="コード誤り","取引先コード誤り ",""))&amp;IF(E225="","件名 ","")&amp;IF(F225="","税抜金額 ","")&amp;IF(G225="","税率 ","")&amp;IF(M225="","送付方法 ","")&amp;IF(AND(N225&lt;&gt;"",O225=""),"送付者 ","")&amp;IF(AND(I225&lt;&gt;"",L225=""),"入金期日 ","")&amp;IF(AND(N225&lt;&gt;"",P225&gt;0,S225&lt;=0,X225=""),"消込確認者 ","")))</f>
        <v/>
      </c>
      <c r="X225" s="28"/>
      <c r="Y225" s="28"/>
    </row>
    <row r="226" customFormat="false" ht="15" hidden="false" customHeight="false" outlineLevel="0" collapsed="false">
      <c r="A226" s="21" t="str">
        <f aca="false">IF(COUNTA(B226,C226,E226,F226)=0,"",設定!$C$4&amp;TEXT(ROW()-4,"00000"))</f>
        <v/>
      </c>
      <c r="B226" s="22"/>
      <c r="C226" s="23"/>
      <c r="D226" s="21" t="str">
        <f aca="false">IF(C226="","",IFERROR(INDEX(取引先マスタ!$B$5:$B$204,MATCH($C226,取引先マスタ!$A$5:$A$204,0)),"コード誤り"))</f>
        <v/>
      </c>
      <c r="E226" s="28"/>
      <c r="F226" s="18"/>
      <c r="G226" s="25"/>
      <c r="H226" s="26" t="str">
        <f aca="false">IF(OR(F226="",G226=""),"",ROUNDDOWN(F226*G226,0))</f>
        <v/>
      </c>
      <c r="I226" s="26" t="str">
        <f aca="false">IF(OR(F226="",G226=""),"",F226+H226)</f>
        <v/>
      </c>
      <c r="J226" s="27" t="str">
        <f aca="false">IF(OR(B226="",C226="",D226="コード誤り"),"",IFERROR(DATE(YEAR(B226),MONTH(B226)+INDEX(取引先マスタ!$E$5:$E$204,MATCH($C226,取引先マスタ!$A$5:$A$204,0)),MIN(INDEX(取引先マスタ!$F$5:$F$204,MATCH($C226,取引先マスタ!$A$5:$A$204,0)),DAY(EOMONTH(B226,INDEX(取引先マスタ!$E$5:$E$204,MATCH($C226,取引先マスタ!$A$5:$A$204,0)))))),""))</f>
        <v/>
      </c>
      <c r="K226" s="22"/>
      <c r="L226" s="27" t="str">
        <f aca="false">IF(K226&lt;&gt;"",K226,J226)</f>
        <v/>
      </c>
      <c r="M226" s="28"/>
      <c r="N226" s="22"/>
      <c r="O226" s="28"/>
      <c r="P226" s="26" t="str">
        <f aca="false">IF(A226="","",SUMIF(入金明細!$F$5:$F$1004,A226,入金明細!$E$5:$E$1004))</f>
        <v/>
      </c>
      <c r="Q226" s="27" t="str">
        <f aca="false">IF(OR(A226="",N(P226)=0),"",SUMPRODUCT(MAX((入金明細!$F$5:$F$1004=A226)*入金明細!$B$5:$B$1004)))</f>
        <v/>
      </c>
      <c r="R226" s="18"/>
      <c r="S226" s="26" t="str">
        <f aca="false">IF(OR(A226="",I226=""),"",I226-N(P226)-N(R226))</f>
        <v/>
      </c>
      <c r="T226" s="28"/>
      <c r="U226" s="29" t="str">
        <f aca="false">IF(A226="","",IF(T226="取消","取消",IF(W226&lt;&gt;"","要入力",IF(N226="","未送付",IF(S226=0,"入金済",IF(S226&lt;0,"過入金",IF(設定!$C$5&gt;L226,IF(P226&gt;0,"一部入金・超過","期日超過"),IF(P226&gt;0,"一部入金",IF(L226-設定!$C$5&lt;=設定!$C$6,"期日間近","入金待ち")))))))))</f>
        <v/>
      </c>
      <c r="V226" s="30" t="str">
        <f aca="false">IF(OR(U226="期日超過",U226="一部入金・超過"),設定!$C$5-L226,"")</f>
        <v/>
      </c>
      <c r="W226" s="21" t="str">
        <f aca="false">IF(A226="","",TRIM(IF(B226="","請求日 ","")&amp;IF(C226="","取引先 ",IF(D226="コード誤り","取引先コード誤り ",""))&amp;IF(E226="","件名 ","")&amp;IF(F226="","税抜金額 ","")&amp;IF(G226="","税率 ","")&amp;IF(M226="","送付方法 ","")&amp;IF(AND(N226&lt;&gt;"",O226=""),"送付者 ","")&amp;IF(AND(I226&lt;&gt;"",L226=""),"入金期日 ","")&amp;IF(AND(N226&lt;&gt;"",P226&gt;0,S226&lt;=0,X226=""),"消込確認者 ","")))</f>
        <v/>
      </c>
      <c r="X226" s="28"/>
      <c r="Y226" s="28"/>
    </row>
    <row r="227" customFormat="false" ht="15" hidden="false" customHeight="false" outlineLevel="0" collapsed="false">
      <c r="A227" s="21" t="str">
        <f aca="false">IF(COUNTA(B227,C227,E227,F227)=0,"",設定!$C$4&amp;TEXT(ROW()-4,"00000"))</f>
        <v/>
      </c>
      <c r="B227" s="22"/>
      <c r="C227" s="23"/>
      <c r="D227" s="21" t="str">
        <f aca="false">IF(C227="","",IFERROR(INDEX(取引先マスタ!$B$5:$B$204,MATCH($C227,取引先マスタ!$A$5:$A$204,0)),"コード誤り"))</f>
        <v/>
      </c>
      <c r="E227" s="28"/>
      <c r="F227" s="18"/>
      <c r="G227" s="25"/>
      <c r="H227" s="26" t="str">
        <f aca="false">IF(OR(F227="",G227=""),"",ROUNDDOWN(F227*G227,0))</f>
        <v/>
      </c>
      <c r="I227" s="26" t="str">
        <f aca="false">IF(OR(F227="",G227=""),"",F227+H227)</f>
        <v/>
      </c>
      <c r="J227" s="27" t="str">
        <f aca="false">IF(OR(B227="",C227="",D227="コード誤り"),"",IFERROR(DATE(YEAR(B227),MONTH(B227)+INDEX(取引先マスタ!$E$5:$E$204,MATCH($C227,取引先マスタ!$A$5:$A$204,0)),MIN(INDEX(取引先マスタ!$F$5:$F$204,MATCH($C227,取引先マスタ!$A$5:$A$204,0)),DAY(EOMONTH(B227,INDEX(取引先マスタ!$E$5:$E$204,MATCH($C227,取引先マスタ!$A$5:$A$204,0)))))),""))</f>
        <v/>
      </c>
      <c r="K227" s="22"/>
      <c r="L227" s="27" t="str">
        <f aca="false">IF(K227&lt;&gt;"",K227,J227)</f>
        <v/>
      </c>
      <c r="M227" s="28"/>
      <c r="N227" s="22"/>
      <c r="O227" s="28"/>
      <c r="P227" s="26" t="str">
        <f aca="false">IF(A227="","",SUMIF(入金明細!$F$5:$F$1004,A227,入金明細!$E$5:$E$1004))</f>
        <v/>
      </c>
      <c r="Q227" s="27" t="str">
        <f aca="false">IF(OR(A227="",N(P227)=0),"",SUMPRODUCT(MAX((入金明細!$F$5:$F$1004=A227)*入金明細!$B$5:$B$1004)))</f>
        <v/>
      </c>
      <c r="R227" s="18"/>
      <c r="S227" s="26" t="str">
        <f aca="false">IF(OR(A227="",I227=""),"",I227-N(P227)-N(R227))</f>
        <v/>
      </c>
      <c r="T227" s="28"/>
      <c r="U227" s="29" t="str">
        <f aca="false">IF(A227="","",IF(T227="取消","取消",IF(W227&lt;&gt;"","要入力",IF(N227="","未送付",IF(S227=0,"入金済",IF(S227&lt;0,"過入金",IF(設定!$C$5&gt;L227,IF(P227&gt;0,"一部入金・超過","期日超過"),IF(P227&gt;0,"一部入金",IF(L227-設定!$C$5&lt;=設定!$C$6,"期日間近","入金待ち")))))))))</f>
        <v/>
      </c>
      <c r="V227" s="30" t="str">
        <f aca="false">IF(OR(U227="期日超過",U227="一部入金・超過"),設定!$C$5-L227,"")</f>
        <v/>
      </c>
      <c r="W227" s="21" t="str">
        <f aca="false">IF(A227="","",TRIM(IF(B227="","請求日 ","")&amp;IF(C227="","取引先 ",IF(D227="コード誤り","取引先コード誤り ",""))&amp;IF(E227="","件名 ","")&amp;IF(F227="","税抜金額 ","")&amp;IF(G227="","税率 ","")&amp;IF(M227="","送付方法 ","")&amp;IF(AND(N227&lt;&gt;"",O227=""),"送付者 ","")&amp;IF(AND(I227&lt;&gt;"",L227=""),"入金期日 ","")&amp;IF(AND(N227&lt;&gt;"",P227&gt;0,S227&lt;=0,X227=""),"消込確認者 ","")))</f>
        <v/>
      </c>
      <c r="X227" s="28"/>
      <c r="Y227" s="28"/>
    </row>
    <row r="228" customFormat="false" ht="15" hidden="false" customHeight="false" outlineLevel="0" collapsed="false">
      <c r="A228" s="21" t="str">
        <f aca="false">IF(COUNTA(B228,C228,E228,F228)=0,"",設定!$C$4&amp;TEXT(ROW()-4,"00000"))</f>
        <v/>
      </c>
      <c r="B228" s="22"/>
      <c r="C228" s="23"/>
      <c r="D228" s="21" t="str">
        <f aca="false">IF(C228="","",IFERROR(INDEX(取引先マスタ!$B$5:$B$204,MATCH($C228,取引先マスタ!$A$5:$A$204,0)),"コード誤り"))</f>
        <v/>
      </c>
      <c r="E228" s="28"/>
      <c r="F228" s="18"/>
      <c r="G228" s="25"/>
      <c r="H228" s="26" t="str">
        <f aca="false">IF(OR(F228="",G228=""),"",ROUNDDOWN(F228*G228,0))</f>
        <v/>
      </c>
      <c r="I228" s="26" t="str">
        <f aca="false">IF(OR(F228="",G228=""),"",F228+H228)</f>
        <v/>
      </c>
      <c r="J228" s="27" t="str">
        <f aca="false">IF(OR(B228="",C228="",D228="コード誤り"),"",IFERROR(DATE(YEAR(B228),MONTH(B228)+INDEX(取引先マスタ!$E$5:$E$204,MATCH($C228,取引先マスタ!$A$5:$A$204,0)),MIN(INDEX(取引先マスタ!$F$5:$F$204,MATCH($C228,取引先マスタ!$A$5:$A$204,0)),DAY(EOMONTH(B228,INDEX(取引先マスタ!$E$5:$E$204,MATCH($C228,取引先マスタ!$A$5:$A$204,0)))))),""))</f>
        <v/>
      </c>
      <c r="K228" s="22"/>
      <c r="L228" s="27" t="str">
        <f aca="false">IF(K228&lt;&gt;"",K228,J228)</f>
        <v/>
      </c>
      <c r="M228" s="28"/>
      <c r="N228" s="22"/>
      <c r="O228" s="28"/>
      <c r="P228" s="26" t="str">
        <f aca="false">IF(A228="","",SUMIF(入金明細!$F$5:$F$1004,A228,入金明細!$E$5:$E$1004))</f>
        <v/>
      </c>
      <c r="Q228" s="27" t="str">
        <f aca="false">IF(OR(A228="",N(P228)=0),"",SUMPRODUCT(MAX((入金明細!$F$5:$F$1004=A228)*入金明細!$B$5:$B$1004)))</f>
        <v/>
      </c>
      <c r="R228" s="18"/>
      <c r="S228" s="26" t="str">
        <f aca="false">IF(OR(A228="",I228=""),"",I228-N(P228)-N(R228))</f>
        <v/>
      </c>
      <c r="T228" s="28"/>
      <c r="U228" s="29" t="str">
        <f aca="false">IF(A228="","",IF(T228="取消","取消",IF(W228&lt;&gt;"","要入力",IF(N228="","未送付",IF(S228=0,"入金済",IF(S228&lt;0,"過入金",IF(設定!$C$5&gt;L228,IF(P228&gt;0,"一部入金・超過","期日超過"),IF(P228&gt;0,"一部入金",IF(L228-設定!$C$5&lt;=設定!$C$6,"期日間近","入金待ち")))))))))</f>
        <v/>
      </c>
      <c r="V228" s="30" t="str">
        <f aca="false">IF(OR(U228="期日超過",U228="一部入金・超過"),設定!$C$5-L228,"")</f>
        <v/>
      </c>
      <c r="W228" s="21" t="str">
        <f aca="false">IF(A228="","",TRIM(IF(B228="","請求日 ","")&amp;IF(C228="","取引先 ",IF(D228="コード誤り","取引先コード誤り ",""))&amp;IF(E228="","件名 ","")&amp;IF(F228="","税抜金額 ","")&amp;IF(G228="","税率 ","")&amp;IF(M228="","送付方法 ","")&amp;IF(AND(N228&lt;&gt;"",O228=""),"送付者 ","")&amp;IF(AND(I228&lt;&gt;"",L228=""),"入金期日 ","")&amp;IF(AND(N228&lt;&gt;"",P228&gt;0,S228&lt;=0,X228=""),"消込確認者 ","")))</f>
        <v/>
      </c>
      <c r="X228" s="28"/>
      <c r="Y228" s="28"/>
    </row>
    <row r="229" customFormat="false" ht="15" hidden="false" customHeight="false" outlineLevel="0" collapsed="false">
      <c r="A229" s="21" t="str">
        <f aca="false">IF(COUNTA(B229,C229,E229,F229)=0,"",設定!$C$4&amp;TEXT(ROW()-4,"00000"))</f>
        <v/>
      </c>
      <c r="B229" s="22"/>
      <c r="C229" s="23"/>
      <c r="D229" s="21" t="str">
        <f aca="false">IF(C229="","",IFERROR(INDEX(取引先マスタ!$B$5:$B$204,MATCH($C229,取引先マスタ!$A$5:$A$204,0)),"コード誤り"))</f>
        <v/>
      </c>
      <c r="E229" s="28"/>
      <c r="F229" s="18"/>
      <c r="G229" s="25"/>
      <c r="H229" s="26" t="str">
        <f aca="false">IF(OR(F229="",G229=""),"",ROUNDDOWN(F229*G229,0))</f>
        <v/>
      </c>
      <c r="I229" s="26" t="str">
        <f aca="false">IF(OR(F229="",G229=""),"",F229+H229)</f>
        <v/>
      </c>
      <c r="J229" s="27" t="str">
        <f aca="false">IF(OR(B229="",C229="",D229="コード誤り"),"",IFERROR(DATE(YEAR(B229),MONTH(B229)+INDEX(取引先マスタ!$E$5:$E$204,MATCH($C229,取引先マスタ!$A$5:$A$204,0)),MIN(INDEX(取引先マスタ!$F$5:$F$204,MATCH($C229,取引先マスタ!$A$5:$A$204,0)),DAY(EOMONTH(B229,INDEX(取引先マスタ!$E$5:$E$204,MATCH($C229,取引先マスタ!$A$5:$A$204,0)))))),""))</f>
        <v/>
      </c>
      <c r="K229" s="22"/>
      <c r="L229" s="27" t="str">
        <f aca="false">IF(K229&lt;&gt;"",K229,J229)</f>
        <v/>
      </c>
      <c r="M229" s="28"/>
      <c r="N229" s="22"/>
      <c r="O229" s="28"/>
      <c r="P229" s="26" t="str">
        <f aca="false">IF(A229="","",SUMIF(入金明細!$F$5:$F$1004,A229,入金明細!$E$5:$E$1004))</f>
        <v/>
      </c>
      <c r="Q229" s="27" t="str">
        <f aca="false">IF(OR(A229="",N(P229)=0),"",SUMPRODUCT(MAX((入金明細!$F$5:$F$1004=A229)*入金明細!$B$5:$B$1004)))</f>
        <v/>
      </c>
      <c r="R229" s="18"/>
      <c r="S229" s="26" t="str">
        <f aca="false">IF(OR(A229="",I229=""),"",I229-N(P229)-N(R229))</f>
        <v/>
      </c>
      <c r="T229" s="28"/>
      <c r="U229" s="29" t="str">
        <f aca="false">IF(A229="","",IF(T229="取消","取消",IF(W229&lt;&gt;"","要入力",IF(N229="","未送付",IF(S229=0,"入金済",IF(S229&lt;0,"過入金",IF(設定!$C$5&gt;L229,IF(P229&gt;0,"一部入金・超過","期日超過"),IF(P229&gt;0,"一部入金",IF(L229-設定!$C$5&lt;=設定!$C$6,"期日間近","入金待ち")))))))))</f>
        <v/>
      </c>
      <c r="V229" s="30" t="str">
        <f aca="false">IF(OR(U229="期日超過",U229="一部入金・超過"),設定!$C$5-L229,"")</f>
        <v/>
      </c>
      <c r="W229" s="21" t="str">
        <f aca="false">IF(A229="","",TRIM(IF(B229="","請求日 ","")&amp;IF(C229="","取引先 ",IF(D229="コード誤り","取引先コード誤り ",""))&amp;IF(E229="","件名 ","")&amp;IF(F229="","税抜金額 ","")&amp;IF(G229="","税率 ","")&amp;IF(M229="","送付方法 ","")&amp;IF(AND(N229&lt;&gt;"",O229=""),"送付者 ","")&amp;IF(AND(I229&lt;&gt;"",L229=""),"入金期日 ","")&amp;IF(AND(N229&lt;&gt;"",P229&gt;0,S229&lt;=0,X229=""),"消込確認者 ","")))</f>
        <v/>
      </c>
      <c r="X229" s="28"/>
      <c r="Y229" s="28"/>
    </row>
    <row r="230" customFormat="false" ht="15" hidden="false" customHeight="false" outlineLevel="0" collapsed="false">
      <c r="A230" s="21" t="str">
        <f aca="false">IF(COUNTA(B230,C230,E230,F230)=0,"",設定!$C$4&amp;TEXT(ROW()-4,"00000"))</f>
        <v/>
      </c>
      <c r="B230" s="22"/>
      <c r="C230" s="23"/>
      <c r="D230" s="21" t="str">
        <f aca="false">IF(C230="","",IFERROR(INDEX(取引先マスタ!$B$5:$B$204,MATCH($C230,取引先マスタ!$A$5:$A$204,0)),"コード誤り"))</f>
        <v/>
      </c>
      <c r="E230" s="28"/>
      <c r="F230" s="18"/>
      <c r="G230" s="25"/>
      <c r="H230" s="26" t="str">
        <f aca="false">IF(OR(F230="",G230=""),"",ROUNDDOWN(F230*G230,0))</f>
        <v/>
      </c>
      <c r="I230" s="26" t="str">
        <f aca="false">IF(OR(F230="",G230=""),"",F230+H230)</f>
        <v/>
      </c>
      <c r="J230" s="27" t="str">
        <f aca="false">IF(OR(B230="",C230="",D230="コード誤り"),"",IFERROR(DATE(YEAR(B230),MONTH(B230)+INDEX(取引先マスタ!$E$5:$E$204,MATCH($C230,取引先マスタ!$A$5:$A$204,0)),MIN(INDEX(取引先マスタ!$F$5:$F$204,MATCH($C230,取引先マスタ!$A$5:$A$204,0)),DAY(EOMONTH(B230,INDEX(取引先マスタ!$E$5:$E$204,MATCH($C230,取引先マスタ!$A$5:$A$204,0)))))),""))</f>
        <v/>
      </c>
      <c r="K230" s="22"/>
      <c r="L230" s="27" t="str">
        <f aca="false">IF(K230&lt;&gt;"",K230,J230)</f>
        <v/>
      </c>
      <c r="M230" s="28"/>
      <c r="N230" s="22"/>
      <c r="O230" s="28"/>
      <c r="P230" s="26" t="str">
        <f aca="false">IF(A230="","",SUMIF(入金明細!$F$5:$F$1004,A230,入金明細!$E$5:$E$1004))</f>
        <v/>
      </c>
      <c r="Q230" s="27" t="str">
        <f aca="false">IF(OR(A230="",N(P230)=0),"",SUMPRODUCT(MAX((入金明細!$F$5:$F$1004=A230)*入金明細!$B$5:$B$1004)))</f>
        <v/>
      </c>
      <c r="R230" s="18"/>
      <c r="S230" s="26" t="str">
        <f aca="false">IF(OR(A230="",I230=""),"",I230-N(P230)-N(R230))</f>
        <v/>
      </c>
      <c r="T230" s="28"/>
      <c r="U230" s="29" t="str">
        <f aca="false">IF(A230="","",IF(T230="取消","取消",IF(W230&lt;&gt;"","要入力",IF(N230="","未送付",IF(S230=0,"入金済",IF(S230&lt;0,"過入金",IF(設定!$C$5&gt;L230,IF(P230&gt;0,"一部入金・超過","期日超過"),IF(P230&gt;0,"一部入金",IF(L230-設定!$C$5&lt;=設定!$C$6,"期日間近","入金待ち")))))))))</f>
        <v/>
      </c>
      <c r="V230" s="30" t="str">
        <f aca="false">IF(OR(U230="期日超過",U230="一部入金・超過"),設定!$C$5-L230,"")</f>
        <v/>
      </c>
      <c r="W230" s="21" t="str">
        <f aca="false">IF(A230="","",TRIM(IF(B230="","請求日 ","")&amp;IF(C230="","取引先 ",IF(D230="コード誤り","取引先コード誤り ",""))&amp;IF(E230="","件名 ","")&amp;IF(F230="","税抜金額 ","")&amp;IF(G230="","税率 ","")&amp;IF(M230="","送付方法 ","")&amp;IF(AND(N230&lt;&gt;"",O230=""),"送付者 ","")&amp;IF(AND(I230&lt;&gt;"",L230=""),"入金期日 ","")&amp;IF(AND(N230&lt;&gt;"",P230&gt;0,S230&lt;=0,X230=""),"消込確認者 ","")))</f>
        <v/>
      </c>
      <c r="X230" s="28"/>
      <c r="Y230" s="28"/>
    </row>
    <row r="231" customFormat="false" ht="15" hidden="false" customHeight="false" outlineLevel="0" collapsed="false">
      <c r="A231" s="21" t="str">
        <f aca="false">IF(COUNTA(B231,C231,E231,F231)=0,"",設定!$C$4&amp;TEXT(ROW()-4,"00000"))</f>
        <v/>
      </c>
      <c r="B231" s="22"/>
      <c r="C231" s="23"/>
      <c r="D231" s="21" t="str">
        <f aca="false">IF(C231="","",IFERROR(INDEX(取引先マスタ!$B$5:$B$204,MATCH($C231,取引先マスタ!$A$5:$A$204,0)),"コード誤り"))</f>
        <v/>
      </c>
      <c r="E231" s="28"/>
      <c r="F231" s="18"/>
      <c r="G231" s="25"/>
      <c r="H231" s="26" t="str">
        <f aca="false">IF(OR(F231="",G231=""),"",ROUNDDOWN(F231*G231,0))</f>
        <v/>
      </c>
      <c r="I231" s="26" t="str">
        <f aca="false">IF(OR(F231="",G231=""),"",F231+H231)</f>
        <v/>
      </c>
      <c r="J231" s="27" t="str">
        <f aca="false">IF(OR(B231="",C231="",D231="コード誤り"),"",IFERROR(DATE(YEAR(B231),MONTH(B231)+INDEX(取引先マスタ!$E$5:$E$204,MATCH($C231,取引先マスタ!$A$5:$A$204,0)),MIN(INDEX(取引先マスタ!$F$5:$F$204,MATCH($C231,取引先マスタ!$A$5:$A$204,0)),DAY(EOMONTH(B231,INDEX(取引先マスタ!$E$5:$E$204,MATCH($C231,取引先マスタ!$A$5:$A$204,0)))))),""))</f>
        <v/>
      </c>
      <c r="K231" s="22"/>
      <c r="L231" s="27" t="str">
        <f aca="false">IF(K231&lt;&gt;"",K231,J231)</f>
        <v/>
      </c>
      <c r="M231" s="28"/>
      <c r="N231" s="22"/>
      <c r="O231" s="28"/>
      <c r="P231" s="26" t="str">
        <f aca="false">IF(A231="","",SUMIF(入金明細!$F$5:$F$1004,A231,入金明細!$E$5:$E$1004))</f>
        <v/>
      </c>
      <c r="Q231" s="27" t="str">
        <f aca="false">IF(OR(A231="",N(P231)=0),"",SUMPRODUCT(MAX((入金明細!$F$5:$F$1004=A231)*入金明細!$B$5:$B$1004)))</f>
        <v/>
      </c>
      <c r="R231" s="18"/>
      <c r="S231" s="26" t="str">
        <f aca="false">IF(OR(A231="",I231=""),"",I231-N(P231)-N(R231))</f>
        <v/>
      </c>
      <c r="T231" s="28"/>
      <c r="U231" s="29" t="str">
        <f aca="false">IF(A231="","",IF(T231="取消","取消",IF(W231&lt;&gt;"","要入力",IF(N231="","未送付",IF(S231=0,"入金済",IF(S231&lt;0,"過入金",IF(設定!$C$5&gt;L231,IF(P231&gt;0,"一部入金・超過","期日超過"),IF(P231&gt;0,"一部入金",IF(L231-設定!$C$5&lt;=設定!$C$6,"期日間近","入金待ち")))))))))</f>
        <v/>
      </c>
      <c r="V231" s="30" t="str">
        <f aca="false">IF(OR(U231="期日超過",U231="一部入金・超過"),設定!$C$5-L231,"")</f>
        <v/>
      </c>
      <c r="W231" s="21" t="str">
        <f aca="false">IF(A231="","",TRIM(IF(B231="","請求日 ","")&amp;IF(C231="","取引先 ",IF(D231="コード誤り","取引先コード誤り ",""))&amp;IF(E231="","件名 ","")&amp;IF(F231="","税抜金額 ","")&amp;IF(G231="","税率 ","")&amp;IF(M231="","送付方法 ","")&amp;IF(AND(N231&lt;&gt;"",O231=""),"送付者 ","")&amp;IF(AND(I231&lt;&gt;"",L231=""),"入金期日 ","")&amp;IF(AND(N231&lt;&gt;"",P231&gt;0,S231&lt;=0,X231=""),"消込確認者 ","")))</f>
        <v/>
      </c>
      <c r="X231" s="28"/>
      <c r="Y231" s="28"/>
    </row>
    <row r="232" customFormat="false" ht="15" hidden="false" customHeight="false" outlineLevel="0" collapsed="false">
      <c r="A232" s="21" t="str">
        <f aca="false">IF(COUNTA(B232,C232,E232,F232)=0,"",設定!$C$4&amp;TEXT(ROW()-4,"00000"))</f>
        <v/>
      </c>
      <c r="B232" s="22"/>
      <c r="C232" s="23"/>
      <c r="D232" s="21" t="str">
        <f aca="false">IF(C232="","",IFERROR(INDEX(取引先マスタ!$B$5:$B$204,MATCH($C232,取引先マスタ!$A$5:$A$204,0)),"コード誤り"))</f>
        <v/>
      </c>
      <c r="E232" s="28"/>
      <c r="F232" s="18"/>
      <c r="G232" s="25"/>
      <c r="H232" s="26" t="str">
        <f aca="false">IF(OR(F232="",G232=""),"",ROUNDDOWN(F232*G232,0))</f>
        <v/>
      </c>
      <c r="I232" s="26" t="str">
        <f aca="false">IF(OR(F232="",G232=""),"",F232+H232)</f>
        <v/>
      </c>
      <c r="J232" s="27" t="str">
        <f aca="false">IF(OR(B232="",C232="",D232="コード誤り"),"",IFERROR(DATE(YEAR(B232),MONTH(B232)+INDEX(取引先マスタ!$E$5:$E$204,MATCH($C232,取引先マスタ!$A$5:$A$204,0)),MIN(INDEX(取引先マスタ!$F$5:$F$204,MATCH($C232,取引先マスタ!$A$5:$A$204,0)),DAY(EOMONTH(B232,INDEX(取引先マスタ!$E$5:$E$204,MATCH($C232,取引先マスタ!$A$5:$A$204,0)))))),""))</f>
        <v/>
      </c>
      <c r="K232" s="22"/>
      <c r="L232" s="27" t="str">
        <f aca="false">IF(K232&lt;&gt;"",K232,J232)</f>
        <v/>
      </c>
      <c r="M232" s="28"/>
      <c r="N232" s="22"/>
      <c r="O232" s="28"/>
      <c r="P232" s="26" t="str">
        <f aca="false">IF(A232="","",SUMIF(入金明細!$F$5:$F$1004,A232,入金明細!$E$5:$E$1004))</f>
        <v/>
      </c>
      <c r="Q232" s="27" t="str">
        <f aca="false">IF(OR(A232="",N(P232)=0),"",SUMPRODUCT(MAX((入金明細!$F$5:$F$1004=A232)*入金明細!$B$5:$B$1004)))</f>
        <v/>
      </c>
      <c r="R232" s="18"/>
      <c r="S232" s="26" t="str">
        <f aca="false">IF(OR(A232="",I232=""),"",I232-N(P232)-N(R232))</f>
        <v/>
      </c>
      <c r="T232" s="28"/>
      <c r="U232" s="29" t="str">
        <f aca="false">IF(A232="","",IF(T232="取消","取消",IF(W232&lt;&gt;"","要入力",IF(N232="","未送付",IF(S232=0,"入金済",IF(S232&lt;0,"過入金",IF(設定!$C$5&gt;L232,IF(P232&gt;0,"一部入金・超過","期日超過"),IF(P232&gt;0,"一部入金",IF(L232-設定!$C$5&lt;=設定!$C$6,"期日間近","入金待ち")))))))))</f>
        <v/>
      </c>
      <c r="V232" s="30" t="str">
        <f aca="false">IF(OR(U232="期日超過",U232="一部入金・超過"),設定!$C$5-L232,"")</f>
        <v/>
      </c>
      <c r="W232" s="21" t="str">
        <f aca="false">IF(A232="","",TRIM(IF(B232="","請求日 ","")&amp;IF(C232="","取引先 ",IF(D232="コード誤り","取引先コード誤り ",""))&amp;IF(E232="","件名 ","")&amp;IF(F232="","税抜金額 ","")&amp;IF(G232="","税率 ","")&amp;IF(M232="","送付方法 ","")&amp;IF(AND(N232&lt;&gt;"",O232=""),"送付者 ","")&amp;IF(AND(I232&lt;&gt;"",L232=""),"入金期日 ","")&amp;IF(AND(N232&lt;&gt;"",P232&gt;0,S232&lt;=0,X232=""),"消込確認者 ","")))</f>
        <v/>
      </c>
      <c r="X232" s="28"/>
      <c r="Y232" s="28"/>
    </row>
    <row r="233" customFormat="false" ht="15" hidden="false" customHeight="false" outlineLevel="0" collapsed="false">
      <c r="A233" s="21" t="str">
        <f aca="false">IF(COUNTA(B233,C233,E233,F233)=0,"",設定!$C$4&amp;TEXT(ROW()-4,"00000"))</f>
        <v/>
      </c>
      <c r="B233" s="22"/>
      <c r="C233" s="23"/>
      <c r="D233" s="21" t="str">
        <f aca="false">IF(C233="","",IFERROR(INDEX(取引先マスタ!$B$5:$B$204,MATCH($C233,取引先マスタ!$A$5:$A$204,0)),"コード誤り"))</f>
        <v/>
      </c>
      <c r="E233" s="28"/>
      <c r="F233" s="18"/>
      <c r="G233" s="25"/>
      <c r="H233" s="26" t="str">
        <f aca="false">IF(OR(F233="",G233=""),"",ROUNDDOWN(F233*G233,0))</f>
        <v/>
      </c>
      <c r="I233" s="26" t="str">
        <f aca="false">IF(OR(F233="",G233=""),"",F233+H233)</f>
        <v/>
      </c>
      <c r="J233" s="27" t="str">
        <f aca="false">IF(OR(B233="",C233="",D233="コード誤り"),"",IFERROR(DATE(YEAR(B233),MONTH(B233)+INDEX(取引先マスタ!$E$5:$E$204,MATCH($C233,取引先マスタ!$A$5:$A$204,0)),MIN(INDEX(取引先マスタ!$F$5:$F$204,MATCH($C233,取引先マスタ!$A$5:$A$204,0)),DAY(EOMONTH(B233,INDEX(取引先マスタ!$E$5:$E$204,MATCH($C233,取引先マスタ!$A$5:$A$204,0)))))),""))</f>
        <v/>
      </c>
      <c r="K233" s="22"/>
      <c r="L233" s="27" t="str">
        <f aca="false">IF(K233&lt;&gt;"",K233,J233)</f>
        <v/>
      </c>
      <c r="M233" s="28"/>
      <c r="N233" s="22"/>
      <c r="O233" s="28"/>
      <c r="P233" s="26" t="str">
        <f aca="false">IF(A233="","",SUMIF(入金明細!$F$5:$F$1004,A233,入金明細!$E$5:$E$1004))</f>
        <v/>
      </c>
      <c r="Q233" s="27" t="str">
        <f aca="false">IF(OR(A233="",N(P233)=0),"",SUMPRODUCT(MAX((入金明細!$F$5:$F$1004=A233)*入金明細!$B$5:$B$1004)))</f>
        <v/>
      </c>
      <c r="R233" s="18"/>
      <c r="S233" s="26" t="str">
        <f aca="false">IF(OR(A233="",I233=""),"",I233-N(P233)-N(R233))</f>
        <v/>
      </c>
      <c r="T233" s="28"/>
      <c r="U233" s="29" t="str">
        <f aca="false">IF(A233="","",IF(T233="取消","取消",IF(W233&lt;&gt;"","要入力",IF(N233="","未送付",IF(S233=0,"入金済",IF(S233&lt;0,"過入金",IF(設定!$C$5&gt;L233,IF(P233&gt;0,"一部入金・超過","期日超過"),IF(P233&gt;0,"一部入金",IF(L233-設定!$C$5&lt;=設定!$C$6,"期日間近","入金待ち")))))))))</f>
        <v/>
      </c>
      <c r="V233" s="30" t="str">
        <f aca="false">IF(OR(U233="期日超過",U233="一部入金・超過"),設定!$C$5-L233,"")</f>
        <v/>
      </c>
      <c r="W233" s="21" t="str">
        <f aca="false">IF(A233="","",TRIM(IF(B233="","請求日 ","")&amp;IF(C233="","取引先 ",IF(D233="コード誤り","取引先コード誤り ",""))&amp;IF(E233="","件名 ","")&amp;IF(F233="","税抜金額 ","")&amp;IF(G233="","税率 ","")&amp;IF(M233="","送付方法 ","")&amp;IF(AND(N233&lt;&gt;"",O233=""),"送付者 ","")&amp;IF(AND(I233&lt;&gt;"",L233=""),"入金期日 ","")&amp;IF(AND(N233&lt;&gt;"",P233&gt;0,S233&lt;=0,X233=""),"消込確認者 ","")))</f>
        <v/>
      </c>
      <c r="X233" s="28"/>
      <c r="Y233" s="28"/>
    </row>
    <row r="234" customFormat="false" ht="15" hidden="false" customHeight="false" outlineLevel="0" collapsed="false">
      <c r="A234" s="21" t="str">
        <f aca="false">IF(COUNTA(B234,C234,E234,F234)=0,"",設定!$C$4&amp;TEXT(ROW()-4,"00000"))</f>
        <v/>
      </c>
      <c r="B234" s="22"/>
      <c r="C234" s="23"/>
      <c r="D234" s="21" t="str">
        <f aca="false">IF(C234="","",IFERROR(INDEX(取引先マスタ!$B$5:$B$204,MATCH($C234,取引先マスタ!$A$5:$A$204,0)),"コード誤り"))</f>
        <v/>
      </c>
      <c r="E234" s="28"/>
      <c r="F234" s="18"/>
      <c r="G234" s="25"/>
      <c r="H234" s="26" t="str">
        <f aca="false">IF(OR(F234="",G234=""),"",ROUNDDOWN(F234*G234,0))</f>
        <v/>
      </c>
      <c r="I234" s="26" t="str">
        <f aca="false">IF(OR(F234="",G234=""),"",F234+H234)</f>
        <v/>
      </c>
      <c r="J234" s="27" t="str">
        <f aca="false">IF(OR(B234="",C234="",D234="コード誤り"),"",IFERROR(DATE(YEAR(B234),MONTH(B234)+INDEX(取引先マスタ!$E$5:$E$204,MATCH($C234,取引先マスタ!$A$5:$A$204,0)),MIN(INDEX(取引先マスタ!$F$5:$F$204,MATCH($C234,取引先マスタ!$A$5:$A$204,0)),DAY(EOMONTH(B234,INDEX(取引先マスタ!$E$5:$E$204,MATCH($C234,取引先マスタ!$A$5:$A$204,0)))))),""))</f>
        <v/>
      </c>
      <c r="K234" s="22"/>
      <c r="L234" s="27" t="str">
        <f aca="false">IF(K234&lt;&gt;"",K234,J234)</f>
        <v/>
      </c>
      <c r="M234" s="28"/>
      <c r="N234" s="22"/>
      <c r="O234" s="28"/>
      <c r="P234" s="26" t="str">
        <f aca="false">IF(A234="","",SUMIF(入金明細!$F$5:$F$1004,A234,入金明細!$E$5:$E$1004))</f>
        <v/>
      </c>
      <c r="Q234" s="27" t="str">
        <f aca="false">IF(OR(A234="",N(P234)=0),"",SUMPRODUCT(MAX((入金明細!$F$5:$F$1004=A234)*入金明細!$B$5:$B$1004)))</f>
        <v/>
      </c>
      <c r="R234" s="18"/>
      <c r="S234" s="26" t="str">
        <f aca="false">IF(OR(A234="",I234=""),"",I234-N(P234)-N(R234))</f>
        <v/>
      </c>
      <c r="T234" s="28"/>
      <c r="U234" s="29" t="str">
        <f aca="false">IF(A234="","",IF(T234="取消","取消",IF(W234&lt;&gt;"","要入力",IF(N234="","未送付",IF(S234=0,"入金済",IF(S234&lt;0,"過入金",IF(設定!$C$5&gt;L234,IF(P234&gt;0,"一部入金・超過","期日超過"),IF(P234&gt;0,"一部入金",IF(L234-設定!$C$5&lt;=設定!$C$6,"期日間近","入金待ち")))))))))</f>
        <v/>
      </c>
      <c r="V234" s="30" t="str">
        <f aca="false">IF(OR(U234="期日超過",U234="一部入金・超過"),設定!$C$5-L234,"")</f>
        <v/>
      </c>
      <c r="W234" s="21" t="str">
        <f aca="false">IF(A234="","",TRIM(IF(B234="","請求日 ","")&amp;IF(C234="","取引先 ",IF(D234="コード誤り","取引先コード誤り ",""))&amp;IF(E234="","件名 ","")&amp;IF(F234="","税抜金額 ","")&amp;IF(G234="","税率 ","")&amp;IF(M234="","送付方法 ","")&amp;IF(AND(N234&lt;&gt;"",O234=""),"送付者 ","")&amp;IF(AND(I234&lt;&gt;"",L234=""),"入金期日 ","")&amp;IF(AND(N234&lt;&gt;"",P234&gt;0,S234&lt;=0,X234=""),"消込確認者 ","")))</f>
        <v/>
      </c>
      <c r="X234" s="28"/>
      <c r="Y234" s="28"/>
    </row>
    <row r="235" customFormat="false" ht="15" hidden="false" customHeight="false" outlineLevel="0" collapsed="false">
      <c r="A235" s="21" t="str">
        <f aca="false">IF(COUNTA(B235,C235,E235,F235)=0,"",設定!$C$4&amp;TEXT(ROW()-4,"00000"))</f>
        <v/>
      </c>
      <c r="B235" s="22"/>
      <c r="C235" s="23"/>
      <c r="D235" s="21" t="str">
        <f aca="false">IF(C235="","",IFERROR(INDEX(取引先マスタ!$B$5:$B$204,MATCH($C235,取引先マスタ!$A$5:$A$204,0)),"コード誤り"))</f>
        <v/>
      </c>
      <c r="E235" s="28"/>
      <c r="F235" s="18"/>
      <c r="G235" s="25"/>
      <c r="H235" s="26" t="str">
        <f aca="false">IF(OR(F235="",G235=""),"",ROUNDDOWN(F235*G235,0))</f>
        <v/>
      </c>
      <c r="I235" s="26" t="str">
        <f aca="false">IF(OR(F235="",G235=""),"",F235+H235)</f>
        <v/>
      </c>
      <c r="J235" s="27" t="str">
        <f aca="false">IF(OR(B235="",C235="",D235="コード誤り"),"",IFERROR(DATE(YEAR(B235),MONTH(B235)+INDEX(取引先マスタ!$E$5:$E$204,MATCH($C235,取引先マスタ!$A$5:$A$204,0)),MIN(INDEX(取引先マスタ!$F$5:$F$204,MATCH($C235,取引先マスタ!$A$5:$A$204,0)),DAY(EOMONTH(B235,INDEX(取引先マスタ!$E$5:$E$204,MATCH($C235,取引先マスタ!$A$5:$A$204,0)))))),""))</f>
        <v/>
      </c>
      <c r="K235" s="22"/>
      <c r="L235" s="27" t="str">
        <f aca="false">IF(K235&lt;&gt;"",K235,J235)</f>
        <v/>
      </c>
      <c r="M235" s="28"/>
      <c r="N235" s="22"/>
      <c r="O235" s="28"/>
      <c r="P235" s="26" t="str">
        <f aca="false">IF(A235="","",SUMIF(入金明細!$F$5:$F$1004,A235,入金明細!$E$5:$E$1004))</f>
        <v/>
      </c>
      <c r="Q235" s="27" t="str">
        <f aca="false">IF(OR(A235="",N(P235)=0),"",SUMPRODUCT(MAX((入金明細!$F$5:$F$1004=A235)*入金明細!$B$5:$B$1004)))</f>
        <v/>
      </c>
      <c r="R235" s="18"/>
      <c r="S235" s="26" t="str">
        <f aca="false">IF(OR(A235="",I235=""),"",I235-N(P235)-N(R235))</f>
        <v/>
      </c>
      <c r="T235" s="28"/>
      <c r="U235" s="29" t="str">
        <f aca="false">IF(A235="","",IF(T235="取消","取消",IF(W235&lt;&gt;"","要入力",IF(N235="","未送付",IF(S235=0,"入金済",IF(S235&lt;0,"過入金",IF(設定!$C$5&gt;L235,IF(P235&gt;0,"一部入金・超過","期日超過"),IF(P235&gt;0,"一部入金",IF(L235-設定!$C$5&lt;=設定!$C$6,"期日間近","入金待ち")))))))))</f>
        <v/>
      </c>
      <c r="V235" s="30" t="str">
        <f aca="false">IF(OR(U235="期日超過",U235="一部入金・超過"),設定!$C$5-L235,"")</f>
        <v/>
      </c>
      <c r="W235" s="21" t="str">
        <f aca="false">IF(A235="","",TRIM(IF(B235="","請求日 ","")&amp;IF(C235="","取引先 ",IF(D235="コード誤り","取引先コード誤り ",""))&amp;IF(E235="","件名 ","")&amp;IF(F235="","税抜金額 ","")&amp;IF(G235="","税率 ","")&amp;IF(M235="","送付方法 ","")&amp;IF(AND(N235&lt;&gt;"",O235=""),"送付者 ","")&amp;IF(AND(I235&lt;&gt;"",L235=""),"入金期日 ","")&amp;IF(AND(N235&lt;&gt;"",P235&gt;0,S235&lt;=0,X235=""),"消込確認者 ","")))</f>
        <v/>
      </c>
      <c r="X235" s="28"/>
      <c r="Y235" s="28"/>
    </row>
    <row r="236" customFormat="false" ht="15" hidden="false" customHeight="false" outlineLevel="0" collapsed="false">
      <c r="A236" s="21" t="str">
        <f aca="false">IF(COUNTA(B236,C236,E236,F236)=0,"",設定!$C$4&amp;TEXT(ROW()-4,"00000"))</f>
        <v/>
      </c>
      <c r="B236" s="22"/>
      <c r="C236" s="23"/>
      <c r="D236" s="21" t="str">
        <f aca="false">IF(C236="","",IFERROR(INDEX(取引先マスタ!$B$5:$B$204,MATCH($C236,取引先マスタ!$A$5:$A$204,0)),"コード誤り"))</f>
        <v/>
      </c>
      <c r="E236" s="28"/>
      <c r="F236" s="18"/>
      <c r="G236" s="25"/>
      <c r="H236" s="26" t="str">
        <f aca="false">IF(OR(F236="",G236=""),"",ROUNDDOWN(F236*G236,0))</f>
        <v/>
      </c>
      <c r="I236" s="26" t="str">
        <f aca="false">IF(OR(F236="",G236=""),"",F236+H236)</f>
        <v/>
      </c>
      <c r="J236" s="27" t="str">
        <f aca="false">IF(OR(B236="",C236="",D236="コード誤り"),"",IFERROR(DATE(YEAR(B236),MONTH(B236)+INDEX(取引先マスタ!$E$5:$E$204,MATCH($C236,取引先マスタ!$A$5:$A$204,0)),MIN(INDEX(取引先マスタ!$F$5:$F$204,MATCH($C236,取引先マスタ!$A$5:$A$204,0)),DAY(EOMONTH(B236,INDEX(取引先マスタ!$E$5:$E$204,MATCH($C236,取引先マスタ!$A$5:$A$204,0)))))),""))</f>
        <v/>
      </c>
      <c r="K236" s="22"/>
      <c r="L236" s="27" t="str">
        <f aca="false">IF(K236&lt;&gt;"",K236,J236)</f>
        <v/>
      </c>
      <c r="M236" s="28"/>
      <c r="N236" s="22"/>
      <c r="O236" s="28"/>
      <c r="P236" s="26" t="str">
        <f aca="false">IF(A236="","",SUMIF(入金明細!$F$5:$F$1004,A236,入金明細!$E$5:$E$1004))</f>
        <v/>
      </c>
      <c r="Q236" s="27" t="str">
        <f aca="false">IF(OR(A236="",N(P236)=0),"",SUMPRODUCT(MAX((入金明細!$F$5:$F$1004=A236)*入金明細!$B$5:$B$1004)))</f>
        <v/>
      </c>
      <c r="R236" s="18"/>
      <c r="S236" s="26" t="str">
        <f aca="false">IF(OR(A236="",I236=""),"",I236-N(P236)-N(R236))</f>
        <v/>
      </c>
      <c r="T236" s="28"/>
      <c r="U236" s="29" t="str">
        <f aca="false">IF(A236="","",IF(T236="取消","取消",IF(W236&lt;&gt;"","要入力",IF(N236="","未送付",IF(S236=0,"入金済",IF(S236&lt;0,"過入金",IF(設定!$C$5&gt;L236,IF(P236&gt;0,"一部入金・超過","期日超過"),IF(P236&gt;0,"一部入金",IF(L236-設定!$C$5&lt;=設定!$C$6,"期日間近","入金待ち")))))))))</f>
        <v/>
      </c>
      <c r="V236" s="30" t="str">
        <f aca="false">IF(OR(U236="期日超過",U236="一部入金・超過"),設定!$C$5-L236,"")</f>
        <v/>
      </c>
      <c r="W236" s="21" t="str">
        <f aca="false">IF(A236="","",TRIM(IF(B236="","請求日 ","")&amp;IF(C236="","取引先 ",IF(D236="コード誤り","取引先コード誤り ",""))&amp;IF(E236="","件名 ","")&amp;IF(F236="","税抜金額 ","")&amp;IF(G236="","税率 ","")&amp;IF(M236="","送付方法 ","")&amp;IF(AND(N236&lt;&gt;"",O236=""),"送付者 ","")&amp;IF(AND(I236&lt;&gt;"",L236=""),"入金期日 ","")&amp;IF(AND(N236&lt;&gt;"",P236&gt;0,S236&lt;=0,X236=""),"消込確認者 ","")))</f>
        <v/>
      </c>
      <c r="X236" s="28"/>
      <c r="Y236" s="28"/>
    </row>
    <row r="237" customFormat="false" ht="15" hidden="false" customHeight="false" outlineLevel="0" collapsed="false">
      <c r="A237" s="21" t="str">
        <f aca="false">IF(COUNTA(B237,C237,E237,F237)=0,"",設定!$C$4&amp;TEXT(ROW()-4,"00000"))</f>
        <v/>
      </c>
      <c r="B237" s="22"/>
      <c r="C237" s="23"/>
      <c r="D237" s="21" t="str">
        <f aca="false">IF(C237="","",IFERROR(INDEX(取引先マスタ!$B$5:$B$204,MATCH($C237,取引先マスタ!$A$5:$A$204,0)),"コード誤り"))</f>
        <v/>
      </c>
      <c r="E237" s="28"/>
      <c r="F237" s="18"/>
      <c r="G237" s="25"/>
      <c r="H237" s="26" t="str">
        <f aca="false">IF(OR(F237="",G237=""),"",ROUNDDOWN(F237*G237,0))</f>
        <v/>
      </c>
      <c r="I237" s="26" t="str">
        <f aca="false">IF(OR(F237="",G237=""),"",F237+H237)</f>
        <v/>
      </c>
      <c r="J237" s="27" t="str">
        <f aca="false">IF(OR(B237="",C237="",D237="コード誤り"),"",IFERROR(DATE(YEAR(B237),MONTH(B237)+INDEX(取引先マスタ!$E$5:$E$204,MATCH($C237,取引先マスタ!$A$5:$A$204,0)),MIN(INDEX(取引先マスタ!$F$5:$F$204,MATCH($C237,取引先マスタ!$A$5:$A$204,0)),DAY(EOMONTH(B237,INDEX(取引先マスタ!$E$5:$E$204,MATCH($C237,取引先マスタ!$A$5:$A$204,0)))))),""))</f>
        <v/>
      </c>
      <c r="K237" s="22"/>
      <c r="L237" s="27" t="str">
        <f aca="false">IF(K237&lt;&gt;"",K237,J237)</f>
        <v/>
      </c>
      <c r="M237" s="28"/>
      <c r="N237" s="22"/>
      <c r="O237" s="28"/>
      <c r="P237" s="26" t="str">
        <f aca="false">IF(A237="","",SUMIF(入金明細!$F$5:$F$1004,A237,入金明細!$E$5:$E$1004))</f>
        <v/>
      </c>
      <c r="Q237" s="27" t="str">
        <f aca="false">IF(OR(A237="",N(P237)=0),"",SUMPRODUCT(MAX((入金明細!$F$5:$F$1004=A237)*入金明細!$B$5:$B$1004)))</f>
        <v/>
      </c>
      <c r="R237" s="18"/>
      <c r="S237" s="26" t="str">
        <f aca="false">IF(OR(A237="",I237=""),"",I237-N(P237)-N(R237))</f>
        <v/>
      </c>
      <c r="T237" s="28"/>
      <c r="U237" s="29" t="str">
        <f aca="false">IF(A237="","",IF(T237="取消","取消",IF(W237&lt;&gt;"","要入力",IF(N237="","未送付",IF(S237=0,"入金済",IF(S237&lt;0,"過入金",IF(設定!$C$5&gt;L237,IF(P237&gt;0,"一部入金・超過","期日超過"),IF(P237&gt;0,"一部入金",IF(L237-設定!$C$5&lt;=設定!$C$6,"期日間近","入金待ち")))))))))</f>
        <v/>
      </c>
      <c r="V237" s="30" t="str">
        <f aca="false">IF(OR(U237="期日超過",U237="一部入金・超過"),設定!$C$5-L237,"")</f>
        <v/>
      </c>
      <c r="W237" s="21" t="str">
        <f aca="false">IF(A237="","",TRIM(IF(B237="","請求日 ","")&amp;IF(C237="","取引先 ",IF(D237="コード誤り","取引先コード誤り ",""))&amp;IF(E237="","件名 ","")&amp;IF(F237="","税抜金額 ","")&amp;IF(G237="","税率 ","")&amp;IF(M237="","送付方法 ","")&amp;IF(AND(N237&lt;&gt;"",O237=""),"送付者 ","")&amp;IF(AND(I237&lt;&gt;"",L237=""),"入金期日 ","")&amp;IF(AND(N237&lt;&gt;"",P237&gt;0,S237&lt;=0,X237=""),"消込確認者 ","")))</f>
        <v/>
      </c>
      <c r="X237" s="28"/>
      <c r="Y237" s="28"/>
    </row>
    <row r="238" customFormat="false" ht="15" hidden="false" customHeight="false" outlineLevel="0" collapsed="false">
      <c r="A238" s="21" t="str">
        <f aca="false">IF(COUNTA(B238,C238,E238,F238)=0,"",設定!$C$4&amp;TEXT(ROW()-4,"00000"))</f>
        <v/>
      </c>
      <c r="B238" s="22"/>
      <c r="C238" s="23"/>
      <c r="D238" s="21" t="str">
        <f aca="false">IF(C238="","",IFERROR(INDEX(取引先マスタ!$B$5:$B$204,MATCH($C238,取引先マスタ!$A$5:$A$204,0)),"コード誤り"))</f>
        <v/>
      </c>
      <c r="E238" s="28"/>
      <c r="F238" s="18"/>
      <c r="G238" s="25"/>
      <c r="H238" s="26" t="str">
        <f aca="false">IF(OR(F238="",G238=""),"",ROUNDDOWN(F238*G238,0))</f>
        <v/>
      </c>
      <c r="I238" s="26" t="str">
        <f aca="false">IF(OR(F238="",G238=""),"",F238+H238)</f>
        <v/>
      </c>
      <c r="J238" s="27" t="str">
        <f aca="false">IF(OR(B238="",C238="",D238="コード誤り"),"",IFERROR(DATE(YEAR(B238),MONTH(B238)+INDEX(取引先マスタ!$E$5:$E$204,MATCH($C238,取引先マスタ!$A$5:$A$204,0)),MIN(INDEX(取引先マスタ!$F$5:$F$204,MATCH($C238,取引先マスタ!$A$5:$A$204,0)),DAY(EOMONTH(B238,INDEX(取引先マスタ!$E$5:$E$204,MATCH($C238,取引先マスタ!$A$5:$A$204,0)))))),""))</f>
        <v/>
      </c>
      <c r="K238" s="22"/>
      <c r="L238" s="27" t="str">
        <f aca="false">IF(K238&lt;&gt;"",K238,J238)</f>
        <v/>
      </c>
      <c r="M238" s="28"/>
      <c r="N238" s="22"/>
      <c r="O238" s="28"/>
      <c r="P238" s="26" t="str">
        <f aca="false">IF(A238="","",SUMIF(入金明細!$F$5:$F$1004,A238,入金明細!$E$5:$E$1004))</f>
        <v/>
      </c>
      <c r="Q238" s="27" t="str">
        <f aca="false">IF(OR(A238="",N(P238)=0),"",SUMPRODUCT(MAX((入金明細!$F$5:$F$1004=A238)*入金明細!$B$5:$B$1004)))</f>
        <v/>
      </c>
      <c r="R238" s="18"/>
      <c r="S238" s="26" t="str">
        <f aca="false">IF(OR(A238="",I238=""),"",I238-N(P238)-N(R238))</f>
        <v/>
      </c>
      <c r="T238" s="28"/>
      <c r="U238" s="29" t="str">
        <f aca="false">IF(A238="","",IF(T238="取消","取消",IF(W238&lt;&gt;"","要入力",IF(N238="","未送付",IF(S238=0,"入金済",IF(S238&lt;0,"過入金",IF(設定!$C$5&gt;L238,IF(P238&gt;0,"一部入金・超過","期日超過"),IF(P238&gt;0,"一部入金",IF(L238-設定!$C$5&lt;=設定!$C$6,"期日間近","入金待ち")))))))))</f>
        <v/>
      </c>
      <c r="V238" s="30" t="str">
        <f aca="false">IF(OR(U238="期日超過",U238="一部入金・超過"),設定!$C$5-L238,"")</f>
        <v/>
      </c>
      <c r="W238" s="21" t="str">
        <f aca="false">IF(A238="","",TRIM(IF(B238="","請求日 ","")&amp;IF(C238="","取引先 ",IF(D238="コード誤り","取引先コード誤り ",""))&amp;IF(E238="","件名 ","")&amp;IF(F238="","税抜金額 ","")&amp;IF(G238="","税率 ","")&amp;IF(M238="","送付方法 ","")&amp;IF(AND(N238&lt;&gt;"",O238=""),"送付者 ","")&amp;IF(AND(I238&lt;&gt;"",L238=""),"入金期日 ","")&amp;IF(AND(N238&lt;&gt;"",P238&gt;0,S238&lt;=0,X238=""),"消込確認者 ","")))</f>
        <v/>
      </c>
      <c r="X238" s="28"/>
      <c r="Y238" s="28"/>
    </row>
    <row r="239" customFormat="false" ht="15" hidden="false" customHeight="false" outlineLevel="0" collapsed="false">
      <c r="A239" s="21" t="str">
        <f aca="false">IF(COUNTA(B239,C239,E239,F239)=0,"",設定!$C$4&amp;TEXT(ROW()-4,"00000"))</f>
        <v/>
      </c>
      <c r="B239" s="22"/>
      <c r="C239" s="23"/>
      <c r="D239" s="21" t="str">
        <f aca="false">IF(C239="","",IFERROR(INDEX(取引先マスタ!$B$5:$B$204,MATCH($C239,取引先マスタ!$A$5:$A$204,0)),"コード誤り"))</f>
        <v/>
      </c>
      <c r="E239" s="28"/>
      <c r="F239" s="18"/>
      <c r="G239" s="25"/>
      <c r="H239" s="26" t="str">
        <f aca="false">IF(OR(F239="",G239=""),"",ROUNDDOWN(F239*G239,0))</f>
        <v/>
      </c>
      <c r="I239" s="26" t="str">
        <f aca="false">IF(OR(F239="",G239=""),"",F239+H239)</f>
        <v/>
      </c>
      <c r="J239" s="27" t="str">
        <f aca="false">IF(OR(B239="",C239="",D239="コード誤り"),"",IFERROR(DATE(YEAR(B239),MONTH(B239)+INDEX(取引先マスタ!$E$5:$E$204,MATCH($C239,取引先マスタ!$A$5:$A$204,0)),MIN(INDEX(取引先マスタ!$F$5:$F$204,MATCH($C239,取引先マスタ!$A$5:$A$204,0)),DAY(EOMONTH(B239,INDEX(取引先マスタ!$E$5:$E$204,MATCH($C239,取引先マスタ!$A$5:$A$204,0)))))),""))</f>
        <v/>
      </c>
      <c r="K239" s="22"/>
      <c r="L239" s="27" t="str">
        <f aca="false">IF(K239&lt;&gt;"",K239,J239)</f>
        <v/>
      </c>
      <c r="M239" s="28"/>
      <c r="N239" s="22"/>
      <c r="O239" s="28"/>
      <c r="P239" s="26" t="str">
        <f aca="false">IF(A239="","",SUMIF(入金明細!$F$5:$F$1004,A239,入金明細!$E$5:$E$1004))</f>
        <v/>
      </c>
      <c r="Q239" s="27" t="str">
        <f aca="false">IF(OR(A239="",N(P239)=0),"",SUMPRODUCT(MAX((入金明細!$F$5:$F$1004=A239)*入金明細!$B$5:$B$1004)))</f>
        <v/>
      </c>
      <c r="R239" s="18"/>
      <c r="S239" s="26" t="str">
        <f aca="false">IF(OR(A239="",I239=""),"",I239-N(P239)-N(R239))</f>
        <v/>
      </c>
      <c r="T239" s="28"/>
      <c r="U239" s="29" t="str">
        <f aca="false">IF(A239="","",IF(T239="取消","取消",IF(W239&lt;&gt;"","要入力",IF(N239="","未送付",IF(S239=0,"入金済",IF(S239&lt;0,"過入金",IF(設定!$C$5&gt;L239,IF(P239&gt;0,"一部入金・超過","期日超過"),IF(P239&gt;0,"一部入金",IF(L239-設定!$C$5&lt;=設定!$C$6,"期日間近","入金待ち")))))))))</f>
        <v/>
      </c>
      <c r="V239" s="30" t="str">
        <f aca="false">IF(OR(U239="期日超過",U239="一部入金・超過"),設定!$C$5-L239,"")</f>
        <v/>
      </c>
      <c r="W239" s="21" t="str">
        <f aca="false">IF(A239="","",TRIM(IF(B239="","請求日 ","")&amp;IF(C239="","取引先 ",IF(D239="コード誤り","取引先コード誤り ",""))&amp;IF(E239="","件名 ","")&amp;IF(F239="","税抜金額 ","")&amp;IF(G239="","税率 ","")&amp;IF(M239="","送付方法 ","")&amp;IF(AND(N239&lt;&gt;"",O239=""),"送付者 ","")&amp;IF(AND(I239&lt;&gt;"",L239=""),"入金期日 ","")&amp;IF(AND(N239&lt;&gt;"",P239&gt;0,S239&lt;=0,X239=""),"消込確認者 ","")))</f>
        <v/>
      </c>
      <c r="X239" s="28"/>
      <c r="Y239" s="28"/>
    </row>
    <row r="240" customFormat="false" ht="15" hidden="false" customHeight="false" outlineLevel="0" collapsed="false">
      <c r="A240" s="21" t="str">
        <f aca="false">IF(COUNTA(B240,C240,E240,F240)=0,"",設定!$C$4&amp;TEXT(ROW()-4,"00000"))</f>
        <v/>
      </c>
      <c r="B240" s="22"/>
      <c r="C240" s="23"/>
      <c r="D240" s="21" t="str">
        <f aca="false">IF(C240="","",IFERROR(INDEX(取引先マスタ!$B$5:$B$204,MATCH($C240,取引先マスタ!$A$5:$A$204,0)),"コード誤り"))</f>
        <v/>
      </c>
      <c r="E240" s="28"/>
      <c r="F240" s="18"/>
      <c r="G240" s="25"/>
      <c r="H240" s="26" t="str">
        <f aca="false">IF(OR(F240="",G240=""),"",ROUNDDOWN(F240*G240,0))</f>
        <v/>
      </c>
      <c r="I240" s="26" t="str">
        <f aca="false">IF(OR(F240="",G240=""),"",F240+H240)</f>
        <v/>
      </c>
      <c r="J240" s="27" t="str">
        <f aca="false">IF(OR(B240="",C240="",D240="コード誤り"),"",IFERROR(DATE(YEAR(B240),MONTH(B240)+INDEX(取引先マスタ!$E$5:$E$204,MATCH($C240,取引先マスタ!$A$5:$A$204,0)),MIN(INDEX(取引先マスタ!$F$5:$F$204,MATCH($C240,取引先マスタ!$A$5:$A$204,0)),DAY(EOMONTH(B240,INDEX(取引先マスタ!$E$5:$E$204,MATCH($C240,取引先マスタ!$A$5:$A$204,0)))))),""))</f>
        <v/>
      </c>
      <c r="K240" s="22"/>
      <c r="L240" s="27" t="str">
        <f aca="false">IF(K240&lt;&gt;"",K240,J240)</f>
        <v/>
      </c>
      <c r="M240" s="28"/>
      <c r="N240" s="22"/>
      <c r="O240" s="28"/>
      <c r="P240" s="26" t="str">
        <f aca="false">IF(A240="","",SUMIF(入金明細!$F$5:$F$1004,A240,入金明細!$E$5:$E$1004))</f>
        <v/>
      </c>
      <c r="Q240" s="27" t="str">
        <f aca="false">IF(OR(A240="",N(P240)=0),"",SUMPRODUCT(MAX((入金明細!$F$5:$F$1004=A240)*入金明細!$B$5:$B$1004)))</f>
        <v/>
      </c>
      <c r="R240" s="18"/>
      <c r="S240" s="26" t="str">
        <f aca="false">IF(OR(A240="",I240=""),"",I240-N(P240)-N(R240))</f>
        <v/>
      </c>
      <c r="T240" s="28"/>
      <c r="U240" s="29" t="str">
        <f aca="false">IF(A240="","",IF(T240="取消","取消",IF(W240&lt;&gt;"","要入力",IF(N240="","未送付",IF(S240=0,"入金済",IF(S240&lt;0,"過入金",IF(設定!$C$5&gt;L240,IF(P240&gt;0,"一部入金・超過","期日超過"),IF(P240&gt;0,"一部入金",IF(L240-設定!$C$5&lt;=設定!$C$6,"期日間近","入金待ち")))))))))</f>
        <v/>
      </c>
      <c r="V240" s="30" t="str">
        <f aca="false">IF(OR(U240="期日超過",U240="一部入金・超過"),設定!$C$5-L240,"")</f>
        <v/>
      </c>
      <c r="W240" s="21" t="str">
        <f aca="false">IF(A240="","",TRIM(IF(B240="","請求日 ","")&amp;IF(C240="","取引先 ",IF(D240="コード誤り","取引先コード誤り ",""))&amp;IF(E240="","件名 ","")&amp;IF(F240="","税抜金額 ","")&amp;IF(G240="","税率 ","")&amp;IF(M240="","送付方法 ","")&amp;IF(AND(N240&lt;&gt;"",O240=""),"送付者 ","")&amp;IF(AND(I240&lt;&gt;"",L240=""),"入金期日 ","")&amp;IF(AND(N240&lt;&gt;"",P240&gt;0,S240&lt;=0,X240=""),"消込確認者 ","")))</f>
        <v/>
      </c>
      <c r="X240" s="28"/>
      <c r="Y240" s="28"/>
    </row>
    <row r="241" customFormat="false" ht="15" hidden="false" customHeight="false" outlineLevel="0" collapsed="false">
      <c r="A241" s="21" t="str">
        <f aca="false">IF(COUNTA(B241,C241,E241,F241)=0,"",設定!$C$4&amp;TEXT(ROW()-4,"00000"))</f>
        <v/>
      </c>
      <c r="B241" s="22"/>
      <c r="C241" s="23"/>
      <c r="D241" s="21" t="str">
        <f aca="false">IF(C241="","",IFERROR(INDEX(取引先マスタ!$B$5:$B$204,MATCH($C241,取引先マスタ!$A$5:$A$204,0)),"コード誤り"))</f>
        <v/>
      </c>
      <c r="E241" s="28"/>
      <c r="F241" s="18"/>
      <c r="G241" s="25"/>
      <c r="H241" s="26" t="str">
        <f aca="false">IF(OR(F241="",G241=""),"",ROUNDDOWN(F241*G241,0))</f>
        <v/>
      </c>
      <c r="I241" s="26" t="str">
        <f aca="false">IF(OR(F241="",G241=""),"",F241+H241)</f>
        <v/>
      </c>
      <c r="J241" s="27" t="str">
        <f aca="false">IF(OR(B241="",C241="",D241="コード誤り"),"",IFERROR(DATE(YEAR(B241),MONTH(B241)+INDEX(取引先マスタ!$E$5:$E$204,MATCH($C241,取引先マスタ!$A$5:$A$204,0)),MIN(INDEX(取引先マスタ!$F$5:$F$204,MATCH($C241,取引先マスタ!$A$5:$A$204,0)),DAY(EOMONTH(B241,INDEX(取引先マスタ!$E$5:$E$204,MATCH($C241,取引先マスタ!$A$5:$A$204,0)))))),""))</f>
        <v/>
      </c>
      <c r="K241" s="22"/>
      <c r="L241" s="27" t="str">
        <f aca="false">IF(K241&lt;&gt;"",K241,J241)</f>
        <v/>
      </c>
      <c r="M241" s="28"/>
      <c r="N241" s="22"/>
      <c r="O241" s="28"/>
      <c r="P241" s="26" t="str">
        <f aca="false">IF(A241="","",SUMIF(入金明細!$F$5:$F$1004,A241,入金明細!$E$5:$E$1004))</f>
        <v/>
      </c>
      <c r="Q241" s="27" t="str">
        <f aca="false">IF(OR(A241="",N(P241)=0),"",SUMPRODUCT(MAX((入金明細!$F$5:$F$1004=A241)*入金明細!$B$5:$B$1004)))</f>
        <v/>
      </c>
      <c r="R241" s="18"/>
      <c r="S241" s="26" t="str">
        <f aca="false">IF(OR(A241="",I241=""),"",I241-N(P241)-N(R241))</f>
        <v/>
      </c>
      <c r="T241" s="28"/>
      <c r="U241" s="29" t="str">
        <f aca="false">IF(A241="","",IF(T241="取消","取消",IF(W241&lt;&gt;"","要入力",IF(N241="","未送付",IF(S241=0,"入金済",IF(S241&lt;0,"過入金",IF(設定!$C$5&gt;L241,IF(P241&gt;0,"一部入金・超過","期日超過"),IF(P241&gt;0,"一部入金",IF(L241-設定!$C$5&lt;=設定!$C$6,"期日間近","入金待ち")))))))))</f>
        <v/>
      </c>
      <c r="V241" s="30" t="str">
        <f aca="false">IF(OR(U241="期日超過",U241="一部入金・超過"),設定!$C$5-L241,"")</f>
        <v/>
      </c>
      <c r="W241" s="21" t="str">
        <f aca="false">IF(A241="","",TRIM(IF(B241="","請求日 ","")&amp;IF(C241="","取引先 ",IF(D241="コード誤り","取引先コード誤り ",""))&amp;IF(E241="","件名 ","")&amp;IF(F241="","税抜金額 ","")&amp;IF(G241="","税率 ","")&amp;IF(M241="","送付方法 ","")&amp;IF(AND(N241&lt;&gt;"",O241=""),"送付者 ","")&amp;IF(AND(I241&lt;&gt;"",L241=""),"入金期日 ","")&amp;IF(AND(N241&lt;&gt;"",P241&gt;0,S241&lt;=0,X241=""),"消込確認者 ","")))</f>
        <v/>
      </c>
      <c r="X241" s="28"/>
      <c r="Y241" s="28"/>
    </row>
    <row r="242" customFormat="false" ht="15" hidden="false" customHeight="false" outlineLevel="0" collapsed="false">
      <c r="A242" s="21" t="str">
        <f aca="false">IF(COUNTA(B242,C242,E242,F242)=0,"",設定!$C$4&amp;TEXT(ROW()-4,"00000"))</f>
        <v/>
      </c>
      <c r="B242" s="22"/>
      <c r="C242" s="23"/>
      <c r="D242" s="21" t="str">
        <f aca="false">IF(C242="","",IFERROR(INDEX(取引先マスタ!$B$5:$B$204,MATCH($C242,取引先マスタ!$A$5:$A$204,0)),"コード誤り"))</f>
        <v/>
      </c>
      <c r="E242" s="28"/>
      <c r="F242" s="18"/>
      <c r="G242" s="25"/>
      <c r="H242" s="26" t="str">
        <f aca="false">IF(OR(F242="",G242=""),"",ROUNDDOWN(F242*G242,0))</f>
        <v/>
      </c>
      <c r="I242" s="26" t="str">
        <f aca="false">IF(OR(F242="",G242=""),"",F242+H242)</f>
        <v/>
      </c>
      <c r="J242" s="27" t="str">
        <f aca="false">IF(OR(B242="",C242="",D242="コード誤り"),"",IFERROR(DATE(YEAR(B242),MONTH(B242)+INDEX(取引先マスタ!$E$5:$E$204,MATCH($C242,取引先マスタ!$A$5:$A$204,0)),MIN(INDEX(取引先マスタ!$F$5:$F$204,MATCH($C242,取引先マスタ!$A$5:$A$204,0)),DAY(EOMONTH(B242,INDEX(取引先マスタ!$E$5:$E$204,MATCH($C242,取引先マスタ!$A$5:$A$204,0)))))),""))</f>
        <v/>
      </c>
      <c r="K242" s="22"/>
      <c r="L242" s="27" t="str">
        <f aca="false">IF(K242&lt;&gt;"",K242,J242)</f>
        <v/>
      </c>
      <c r="M242" s="28"/>
      <c r="N242" s="22"/>
      <c r="O242" s="28"/>
      <c r="P242" s="26" t="str">
        <f aca="false">IF(A242="","",SUMIF(入金明細!$F$5:$F$1004,A242,入金明細!$E$5:$E$1004))</f>
        <v/>
      </c>
      <c r="Q242" s="27" t="str">
        <f aca="false">IF(OR(A242="",N(P242)=0),"",SUMPRODUCT(MAX((入金明細!$F$5:$F$1004=A242)*入金明細!$B$5:$B$1004)))</f>
        <v/>
      </c>
      <c r="R242" s="18"/>
      <c r="S242" s="26" t="str">
        <f aca="false">IF(OR(A242="",I242=""),"",I242-N(P242)-N(R242))</f>
        <v/>
      </c>
      <c r="T242" s="28"/>
      <c r="U242" s="29" t="str">
        <f aca="false">IF(A242="","",IF(T242="取消","取消",IF(W242&lt;&gt;"","要入力",IF(N242="","未送付",IF(S242=0,"入金済",IF(S242&lt;0,"過入金",IF(設定!$C$5&gt;L242,IF(P242&gt;0,"一部入金・超過","期日超過"),IF(P242&gt;0,"一部入金",IF(L242-設定!$C$5&lt;=設定!$C$6,"期日間近","入金待ち")))))))))</f>
        <v/>
      </c>
      <c r="V242" s="30" t="str">
        <f aca="false">IF(OR(U242="期日超過",U242="一部入金・超過"),設定!$C$5-L242,"")</f>
        <v/>
      </c>
      <c r="W242" s="21" t="str">
        <f aca="false">IF(A242="","",TRIM(IF(B242="","請求日 ","")&amp;IF(C242="","取引先 ",IF(D242="コード誤り","取引先コード誤り ",""))&amp;IF(E242="","件名 ","")&amp;IF(F242="","税抜金額 ","")&amp;IF(G242="","税率 ","")&amp;IF(M242="","送付方法 ","")&amp;IF(AND(N242&lt;&gt;"",O242=""),"送付者 ","")&amp;IF(AND(I242&lt;&gt;"",L242=""),"入金期日 ","")&amp;IF(AND(N242&lt;&gt;"",P242&gt;0,S242&lt;=0,X242=""),"消込確認者 ","")))</f>
        <v/>
      </c>
      <c r="X242" s="28"/>
      <c r="Y242" s="28"/>
    </row>
    <row r="243" customFormat="false" ht="15" hidden="false" customHeight="false" outlineLevel="0" collapsed="false">
      <c r="A243" s="21" t="str">
        <f aca="false">IF(COUNTA(B243,C243,E243,F243)=0,"",設定!$C$4&amp;TEXT(ROW()-4,"00000"))</f>
        <v/>
      </c>
      <c r="B243" s="22"/>
      <c r="C243" s="23"/>
      <c r="D243" s="21" t="str">
        <f aca="false">IF(C243="","",IFERROR(INDEX(取引先マスタ!$B$5:$B$204,MATCH($C243,取引先マスタ!$A$5:$A$204,0)),"コード誤り"))</f>
        <v/>
      </c>
      <c r="E243" s="28"/>
      <c r="F243" s="18"/>
      <c r="G243" s="25"/>
      <c r="H243" s="26" t="str">
        <f aca="false">IF(OR(F243="",G243=""),"",ROUNDDOWN(F243*G243,0))</f>
        <v/>
      </c>
      <c r="I243" s="26" t="str">
        <f aca="false">IF(OR(F243="",G243=""),"",F243+H243)</f>
        <v/>
      </c>
      <c r="J243" s="27" t="str">
        <f aca="false">IF(OR(B243="",C243="",D243="コード誤り"),"",IFERROR(DATE(YEAR(B243),MONTH(B243)+INDEX(取引先マスタ!$E$5:$E$204,MATCH($C243,取引先マスタ!$A$5:$A$204,0)),MIN(INDEX(取引先マスタ!$F$5:$F$204,MATCH($C243,取引先マスタ!$A$5:$A$204,0)),DAY(EOMONTH(B243,INDEX(取引先マスタ!$E$5:$E$204,MATCH($C243,取引先マスタ!$A$5:$A$204,0)))))),""))</f>
        <v/>
      </c>
      <c r="K243" s="22"/>
      <c r="L243" s="27" t="str">
        <f aca="false">IF(K243&lt;&gt;"",K243,J243)</f>
        <v/>
      </c>
      <c r="M243" s="28"/>
      <c r="N243" s="22"/>
      <c r="O243" s="28"/>
      <c r="P243" s="26" t="str">
        <f aca="false">IF(A243="","",SUMIF(入金明細!$F$5:$F$1004,A243,入金明細!$E$5:$E$1004))</f>
        <v/>
      </c>
      <c r="Q243" s="27" t="str">
        <f aca="false">IF(OR(A243="",N(P243)=0),"",SUMPRODUCT(MAX((入金明細!$F$5:$F$1004=A243)*入金明細!$B$5:$B$1004)))</f>
        <v/>
      </c>
      <c r="R243" s="18"/>
      <c r="S243" s="26" t="str">
        <f aca="false">IF(OR(A243="",I243=""),"",I243-N(P243)-N(R243))</f>
        <v/>
      </c>
      <c r="T243" s="28"/>
      <c r="U243" s="29" t="str">
        <f aca="false">IF(A243="","",IF(T243="取消","取消",IF(W243&lt;&gt;"","要入力",IF(N243="","未送付",IF(S243=0,"入金済",IF(S243&lt;0,"過入金",IF(設定!$C$5&gt;L243,IF(P243&gt;0,"一部入金・超過","期日超過"),IF(P243&gt;0,"一部入金",IF(L243-設定!$C$5&lt;=設定!$C$6,"期日間近","入金待ち")))))))))</f>
        <v/>
      </c>
      <c r="V243" s="30" t="str">
        <f aca="false">IF(OR(U243="期日超過",U243="一部入金・超過"),設定!$C$5-L243,"")</f>
        <v/>
      </c>
      <c r="W243" s="21" t="str">
        <f aca="false">IF(A243="","",TRIM(IF(B243="","請求日 ","")&amp;IF(C243="","取引先 ",IF(D243="コード誤り","取引先コード誤り ",""))&amp;IF(E243="","件名 ","")&amp;IF(F243="","税抜金額 ","")&amp;IF(G243="","税率 ","")&amp;IF(M243="","送付方法 ","")&amp;IF(AND(N243&lt;&gt;"",O243=""),"送付者 ","")&amp;IF(AND(I243&lt;&gt;"",L243=""),"入金期日 ","")&amp;IF(AND(N243&lt;&gt;"",P243&gt;0,S243&lt;=0,X243=""),"消込確認者 ","")))</f>
        <v/>
      </c>
      <c r="X243" s="28"/>
      <c r="Y243" s="28"/>
    </row>
    <row r="244" customFormat="false" ht="15" hidden="false" customHeight="false" outlineLevel="0" collapsed="false">
      <c r="A244" s="21" t="str">
        <f aca="false">IF(COUNTA(B244,C244,E244,F244)=0,"",設定!$C$4&amp;TEXT(ROW()-4,"00000"))</f>
        <v/>
      </c>
      <c r="B244" s="22"/>
      <c r="C244" s="23"/>
      <c r="D244" s="21" t="str">
        <f aca="false">IF(C244="","",IFERROR(INDEX(取引先マスタ!$B$5:$B$204,MATCH($C244,取引先マスタ!$A$5:$A$204,0)),"コード誤り"))</f>
        <v/>
      </c>
      <c r="E244" s="28"/>
      <c r="F244" s="18"/>
      <c r="G244" s="25"/>
      <c r="H244" s="26" t="str">
        <f aca="false">IF(OR(F244="",G244=""),"",ROUNDDOWN(F244*G244,0))</f>
        <v/>
      </c>
      <c r="I244" s="26" t="str">
        <f aca="false">IF(OR(F244="",G244=""),"",F244+H244)</f>
        <v/>
      </c>
      <c r="J244" s="27" t="str">
        <f aca="false">IF(OR(B244="",C244="",D244="コード誤り"),"",IFERROR(DATE(YEAR(B244),MONTH(B244)+INDEX(取引先マスタ!$E$5:$E$204,MATCH($C244,取引先マスタ!$A$5:$A$204,0)),MIN(INDEX(取引先マスタ!$F$5:$F$204,MATCH($C244,取引先マスタ!$A$5:$A$204,0)),DAY(EOMONTH(B244,INDEX(取引先マスタ!$E$5:$E$204,MATCH($C244,取引先マスタ!$A$5:$A$204,0)))))),""))</f>
        <v/>
      </c>
      <c r="K244" s="22"/>
      <c r="L244" s="27" t="str">
        <f aca="false">IF(K244&lt;&gt;"",K244,J244)</f>
        <v/>
      </c>
      <c r="M244" s="28"/>
      <c r="N244" s="22"/>
      <c r="O244" s="28"/>
      <c r="P244" s="26" t="str">
        <f aca="false">IF(A244="","",SUMIF(入金明細!$F$5:$F$1004,A244,入金明細!$E$5:$E$1004))</f>
        <v/>
      </c>
      <c r="Q244" s="27" t="str">
        <f aca="false">IF(OR(A244="",N(P244)=0),"",SUMPRODUCT(MAX((入金明細!$F$5:$F$1004=A244)*入金明細!$B$5:$B$1004)))</f>
        <v/>
      </c>
      <c r="R244" s="18"/>
      <c r="S244" s="26" t="str">
        <f aca="false">IF(OR(A244="",I244=""),"",I244-N(P244)-N(R244))</f>
        <v/>
      </c>
      <c r="T244" s="28"/>
      <c r="U244" s="29" t="str">
        <f aca="false">IF(A244="","",IF(T244="取消","取消",IF(W244&lt;&gt;"","要入力",IF(N244="","未送付",IF(S244=0,"入金済",IF(S244&lt;0,"過入金",IF(設定!$C$5&gt;L244,IF(P244&gt;0,"一部入金・超過","期日超過"),IF(P244&gt;0,"一部入金",IF(L244-設定!$C$5&lt;=設定!$C$6,"期日間近","入金待ち")))))))))</f>
        <v/>
      </c>
      <c r="V244" s="30" t="str">
        <f aca="false">IF(OR(U244="期日超過",U244="一部入金・超過"),設定!$C$5-L244,"")</f>
        <v/>
      </c>
      <c r="W244" s="21" t="str">
        <f aca="false">IF(A244="","",TRIM(IF(B244="","請求日 ","")&amp;IF(C244="","取引先 ",IF(D244="コード誤り","取引先コード誤り ",""))&amp;IF(E244="","件名 ","")&amp;IF(F244="","税抜金額 ","")&amp;IF(G244="","税率 ","")&amp;IF(M244="","送付方法 ","")&amp;IF(AND(N244&lt;&gt;"",O244=""),"送付者 ","")&amp;IF(AND(I244&lt;&gt;"",L244=""),"入金期日 ","")&amp;IF(AND(N244&lt;&gt;"",P244&gt;0,S244&lt;=0,X244=""),"消込確認者 ","")))</f>
        <v/>
      </c>
      <c r="X244" s="28"/>
      <c r="Y244" s="28"/>
    </row>
    <row r="245" customFormat="false" ht="15" hidden="false" customHeight="false" outlineLevel="0" collapsed="false">
      <c r="A245" s="21" t="str">
        <f aca="false">IF(COUNTA(B245,C245,E245,F245)=0,"",設定!$C$4&amp;TEXT(ROW()-4,"00000"))</f>
        <v/>
      </c>
      <c r="B245" s="22"/>
      <c r="C245" s="23"/>
      <c r="D245" s="21" t="str">
        <f aca="false">IF(C245="","",IFERROR(INDEX(取引先マスタ!$B$5:$B$204,MATCH($C245,取引先マスタ!$A$5:$A$204,0)),"コード誤り"))</f>
        <v/>
      </c>
      <c r="E245" s="28"/>
      <c r="F245" s="18"/>
      <c r="G245" s="25"/>
      <c r="H245" s="26" t="str">
        <f aca="false">IF(OR(F245="",G245=""),"",ROUNDDOWN(F245*G245,0))</f>
        <v/>
      </c>
      <c r="I245" s="26" t="str">
        <f aca="false">IF(OR(F245="",G245=""),"",F245+H245)</f>
        <v/>
      </c>
      <c r="J245" s="27" t="str">
        <f aca="false">IF(OR(B245="",C245="",D245="コード誤り"),"",IFERROR(DATE(YEAR(B245),MONTH(B245)+INDEX(取引先マスタ!$E$5:$E$204,MATCH($C245,取引先マスタ!$A$5:$A$204,0)),MIN(INDEX(取引先マスタ!$F$5:$F$204,MATCH($C245,取引先マスタ!$A$5:$A$204,0)),DAY(EOMONTH(B245,INDEX(取引先マスタ!$E$5:$E$204,MATCH($C245,取引先マスタ!$A$5:$A$204,0)))))),""))</f>
        <v/>
      </c>
      <c r="K245" s="22"/>
      <c r="L245" s="27" t="str">
        <f aca="false">IF(K245&lt;&gt;"",K245,J245)</f>
        <v/>
      </c>
      <c r="M245" s="28"/>
      <c r="N245" s="22"/>
      <c r="O245" s="28"/>
      <c r="P245" s="26" t="str">
        <f aca="false">IF(A245="","",SUMIF(入金明細!$F$5:$F$1004,A245,入金明細!$E$5:$E$1004))</f>
        <v/>
      </c>
      <c r="Q245" s="27" t="str">
        <f aca="false">IF(OR(A245="",N(P245)=0),"",SUMPRODUCT(MAX((入金明細!$F$5:$F$1004=A245)*入金明細!$B$5:$B$1004)))</f>
        <v/>
      </c>
      <c r="R245" s="18"/>
      <c r="S245" s="26" t="str">
        <f aca="false">IF(OR(A245="",I245=""),"",I245-N(P245)-N(R245))</f>
        <v/>
      </c>
      <c r="T245" s="28"/>
      <c r="U245" s="29" t="str">
        <f aca="false">IF(A245="","",IF(T245="取消","取消",IF(W245&lt;&gt;"","要入力",IF(N245="","未送付",IF(S245=0,"入金済",IF(S245&lt;0,"過入金",IF(設定!$C$5&gt;L245,IF(P245&gt;0,"一部入金・超過","期日超過"),IF(P245&gt;0,"一部入金",IF(L245-設定!$C$5&lt;=設定!$C$6,"期日間近","入金待ち")))))))))</f>
        <v/>
      </c>
      <c r="V245" s="30" t="str">
        <f aca="false">IF(OR(U245="期日超過",U245="一部入金・超過"),設定!$C$5-L245,"")</f>
        <v/>
      </c>
      <c r="W245" s="21" t="str">
        <f aca="false">IF(A245="","",TRIM(IF(B245="","請求日 ","")&amp;IF(C245="","取引先 ",IF(D245="コード誤り","取引先コード誤り ",""))&amp;IF(E245="","件名 ","")&amp;IF(F245="","税抜金額 ","")&amp;IF(G245="","税率 ","")&amp;IF(M245="","送付方法 ","")&amp;IF(AND(N245&lt;&gt;"",O245=""),"送付者 ","")&amp;IF(AND(I245&lt;&gt;"",L245=""),"入金期日 ","")&amp;IF(AND(N245&lt;&gt;"",P245&gt;0,S245&lt;=0,X245=""),"消込確認者 ","")))</f>
        <v/>
      </c>
      <c r="X245" s="28"/>
      <c r="Y245" s="28"/>
    </row>
    <row r="246" customFormat="false" ht="15" hidden="false" customHeight="false" outlineLevel="0" collapsed="false">
      <c r="A246" s="21" t="str">
        <f aca="false">IF(COUNTA(B246,C246,E246,F246)=0,"",設定!$C$4&amp;TEXT(ROW()-4,"00000"))</f>
        <v/>
      </c>
      <c r="B246" s="22"/>
      <c r="C246" s="23"/>
      <c r="D246" s="21" t="str">
        <f aca="false">IF(C246="","",IFERROR(INDEX(取引先マスタ!$B$5:$B$204,MATCH($C246,取引先マスタ!$A$5:$A$204,0)),"コード誤り"))</f>
        <v/>
      </c>
      <c r="E246" s="28"/>
      <c r="F246" s="18"/>
      <c r="G246" s="25"/>
      <c r="H246" s="26" t="str">
        <f aca="false">IF(OR(F246="",G246=""),"",ROUNDDOWN(F246*G246,0))</f>
        <v/>
      </c>
      <c r="I246" s="26" t="str">
        <f aca="false">IF(OR(F246="",G246=""),"",F246+H246)</f>
        <v/>
      </c>
      <c r="J246" s="27" t="str">
        <f aca="false">IF(OR(B246="",C246="",D246="コード誤り"),"",IFERROR(DATE(YEAR(B246),MONTH(B246)+INDEX(取引先マスタ!$E$5:$E$204,MATCH($C246,取引先マスタ!$A$5:$A$204,0)),MIN(INDEX(取引先マスタ!$F$5:$F$204,MATCH($C246,取引先マスタ!$A$5:$A$204,0)),DAY(EOMONTH(B246,INDEX(取引先マスタ!$E$5:$E$204,MATCH($C246,取引先マスタ!$A$5:$A$204,0)))))),""))</f>
        <v/>
      </c>
      <c r="K246" s="22"/>
      <c r="L246" s="27" t="str">
        <f aca="false">IF(K246&lt;&gt;"",K246,J246)</f>
        <v/>
      </c>
      <c r="M246" s="28"/>
      <c r="N246" s="22"/>
      <c r="O246" s="28"/>
      <c r="P246" s="26" t="str">
        <f aca="false">IF(A246="","",SUMIF(入金明細!$F$5:$F$1004,A246,入金明細!$E$5:$E$1004))</f>
        <v/>
      </c>
      <c r="Q246" s="27" t="str">
        <f aca="false">IF(OR(A246="",N(P246)=0),"",SUMPRODUCT(MAX((入金明細!$F$5:$F$1004=A246)*入金明細!$B$5:$B$1004)))</f>
        <v/>
      </c>
      <c r="R246" s="18"/>
      <c r="S246" s="26" t="str">
        <f aca="false">IF(OR(A246="",I246=""),"",I246-N(P246)-N(R246))</f>
        <v/>
      </c>
      <c r="T246" s="28"/>
      <c r="U246" s="29" t="str">
        <f aca="false">IF(A246="","",IF(T246="取消","取消",IF(W246&lt;&gt;"","要入力",IF(N246="","未送付",IF(S246=0,"入金済",IF(S246&lt;0,"過入金",IF(設定!$C$5&gt;L246,IF(P246&gt;0,"一部入金・超過","期日超過"),IF(P246&gt;0,"一部入金",IF(L246-設定!$C$5&lt;=設定!$C$6,"期日間近","入金待ち")))))))))</f>
        <v/>
      </c>
      <c r="V246" s="30" t="str">
        <f aca="false">IF(OR(U246="期日超過",U246="一部入金・超過"),設定!$C$5-L246,"")</f>
        <v/>
      </c>
      <c r="W246" s="21" t="str">
        <f aca="false">IF(A246="","",TRIM(IF(B246="","請求日 ","")&amp;IF(C246="","取引先 ",IF(D246="コード誤り","取引先コード誤り ",""))&amp;IF(E246="","件名 ","")&amp;IF(F246="","税抜金額 ","")&amp;IF(G246="","税率 ","")&amp;IF(M246="","送付方法 ","")&amp;IF(AND(N246&lt;&gt;"",O246=""),"送付者 ","")&amp;IF(AND(I246&lt;&gt;"",L246=""),"入金期日 ","")&amp;IF(AND(N246&lt;&gt;"",P246&gt;0,S246&lt;=0,X246=""),"消込確認者 ","")))</f>
        <v/>
      </c>
      <c r="X246" s="28"/>
      <c r="Y246" s="28"/>
    </row>
    <row r="247" customFormat="false" ht="15" hidden="false" customHeight="false" outlineLevel="0" collapsed="false">
      <c r="A247" s="21" t="str">
        <f aca="false">IF(COUNTA(B247,C247,E247,F247)=0,"",設定!$C$4&amp;TEXT(ROW()-4,"00000"))</f>
        <v/>
      </c>
      <c r="B247" s="22"/>
      <c r="C247" s="23"/>
      <c r="D247" s="21" t="str">
        <f aca="false">IF(C247="","",IFERROR(INDEX(取引先マスタ!$B$5:$B$204,MATCH($C247,取引先マスタ!$A$5:$A$204,0)),"コード誤り"))</f>
        <v/>
      </c>
      <c r="E247" s="28"/>
      <c r="F247" s="18"/>
      <c r="G247" s="25"/>
      <c r="H247" s="26" t="str">
        <f aca="false">IF(OR(F247="",G247=""),"",ROUNDDOWN(F247*G247,0))</f>
        <v/>
      </c>
      <c r="I247" s="26" t="str">
        <f aca="false">IF(OR(F247="",G247=""),"",F247+H247)</f>
        <v/>
      </c>
      <c r="J247" s="27" t="str">
        <f aca="false">IF(OR(B247="",C247="",D247="コード誤り"),"",IFERROR(DATE(YEAR(B247),MONTH(B247)+INDEX(取引先マスタ!$E$5:$E$204,MATCH($C247,取引先マスタ!$A$5:$A$204,0)),MIN(INDEX(取引先マスタ!$F$5:$F$204,MATCH($C247,取引先マスタ!$A$5:$A$204,0)),DAY(EOMONTH(B247,INDEX(取引先マスタ!$E$5:$E$204,MATCH($C247,取引先マスタ!$A$5:$A$204,0)))))),""))</f>
        <v/>
      </c>
      <c r="K247" s="22"/>
      <c r="L247" s="27" t="str">
        <f aca="false">IF(K247&lt;&gt;"",K247,J247)</f>
        <v/>
      </c>
      <c r="M247" s="28"/>
      <c r="N247" s="22"/>
      <c r="O247" s="28"/>
      <c r="P247" s="26" t="str">
        <f aca="false">IF(A247="","",SUMIF(入金明細!$F$5:$F$1004,A247,入金明細!$E$5:$E$1004))</f>
        <v/>
      </c>
      <c r="Q247" s="27" t="str">
        <f aca="false">IF(OR(A247="",N(P247)=0),"",SUMPRODUCT(MAX((入金明細!$F$5:$F$1004=A247)*入金明細!$B$5:$B$1004)))</f>
        <v/>
      </c>
      <c r="R247" s="18"/>
      <c r="S247" s="26" t="str">
        <f aca="false">IF(OR(A247="",I247=""),"",I247-N(P247)-N(R247))</f>
        <v/>
      </c>
      <c r="T247" s="28"/>
      <c r="U247" s="29" t="str">
        <f aca="false">IF(A247="","",IF(T247="取消","取消",IF(W247&lt;&gt;"","要入力",IF(N247="","未送付",IF(S247=0,"入金済",IF(S247&lt;0,"過入金",IF(設定!$C$5&gt;L247,IF(P247&gt;0,"一部入金・超過","期日超過"),IF(P247&gt;0,"一部入金",IF(L247-設定!$C$5&lt;=設定!$C$6,"期日間近","入金待ち")))))))))</f>
        <v/>
      </c>
      <c r="V247" s="30" t="str">
        <f aca="false">IF(OR(U247="期日超過",U247="一部入金・超過"),設定!$C$5-L247,"")</f>
        <v/>
      </c>
      <c r="W247" s="21" t="str">
        <f aca="false">IF(A247="","",TRIM(IF(B247="","請求日 ","")&amp;IF(C247="","取引先 ",IF(D247="コード誤り","取引先コード誤り ",""))&amp;IF(E247="","件名 ","")&amp;IF(F247="","税抜金額 ","")&amp;IF(G247="","税率 ","")&amp;IF(M247="","送付方法 ","")&amp;IF(AND(N247&lt;&gt;"",O247=""),"送付者 ","")&amp;IF(AND(I247&lt;&gt;"",L247=""),"入金期日 ","")&amp;IF(AND(N247&lt;&gt;"",P247&gt;0,S247&lt;=0,X247=""),"消込確認者 ","")))</f>
        <v/>
      </c>
      <c r="X247" s="28"/>
      <c r="Y247" s="28"/>
    </row>
    <row r="248" customFormat="false" ht="15" hidden="false" customHeight="false" outlineLevel="0" collapsed="false">
      <c r="A248" s="21" t="str">
        <f aca="false">IF(COUNTA(B248,C248,E248,F248)=0,"",設定!$C$4&amp;TEXT(ROW()-4,"00000"))</f>
        <v/>
      </c>
      <c r="B248" s="22"/>
      <c r="C248" s="23"/>
      <c r="D248" s="21" t="str">
        <f aca="false">IF(C248="","",IFERROR(INDEX(取引先マスタ!$B$5:$B$204,MATCH($C248,取引先マスタ!$A$5:$A$204,0)),"コード誤り"))</f>
        <v/>
      </c>
      <c r="E248" s="28"/>
      <c r="F248" s="18"/>
      <c r="G248" s="25"/>
      <c r="H248" s="26" t="str">
        <f aca="false">IF(OR(F248="",G248=""),"",ROUNDDOWN(F248*G248,0))</f>
        <v/>
      </c>
      <c r="I248" s="26" t="str">
        <f aca="false">IF(OR(F248="",G248=""),"",F248+H248)</f>
        <v/>
      </c>
      <c r="J248" s="27" t="str">
        <f aca="false">IF(OR(B248="",C248="",D248="コード誤り"),"",IFERROR(DATE(YEAR(B248),MONTH(B248)+INDEX(取引先マスタ!$E$5:$E$204,MATCH($C248,取引先マスタ!$A$5:$A$204,0)),MIN(INDEX(取引先マスタ!$F$5:$F$204,MATCH($C248,取引先マスタ!$A$5:$A$204,0)),DAY(EOMONTH(B248,INDEX(取引先マスタ!$E$5:$E$204,MATCH($C248,取引先マスタ!$A$5:$A$204,0)))))),""))</f>
        <v/>
      </c>
      <c r="K248" s="22"/>
      <c r="L248" s="27" t="str">
        <f aca="false">IF(K248&lt;&gt;"",K248,J248)</f>
        <v/>
      </c>
      <c r="M248" s="28"/>
      <c r="N248" s="22"/>
      <c r="O248" s="28"/>
      <c r="P248" s="26" t="str">
        <f aca="false">IF(A248="","",SUMIF(入金明細!$F$5:$F$1004,A248,入金明細!$E$5:$E$1004))</f>
        <v/>
      </c>
      <c r="Q248" s="27" t="str">
        <f aca="false">IF(OR(A248="",N(P248)=0),"",SUMPRODUCT(MAX((入金明細!$F$5:$F$1004=A248)*入金明細!$B$5:$B$1004)))</f>
        <v/>
      </c>
      <c r="R248" s="18"/>
      <c r="S248" s="26" t="str">
        <f aca="false">IF(OR(A248="",I248=""),"",I248-N(P248)-N(R248))</f>
        <v/>
      </c>
      <c r="T248" s="28"/>
      <c r="U248" s="29" t="str">
        <f aca="false">IF(A248="","",IF(T248="取消","取消",IF(W248&lt;&gt;"","要入力",IF(N248="","未送付",IF(S248=0,"入金済",IF(S248&lt;0,"過入金",IF(設定!$C$5&gt;L248,IF(P248&gt;0,"一部入金・超過","期日超過"),IF(P248&gt;0,"一部入金",IF(L248-設定!$C$5&lt;=設定!$C$6,"期日間近","入金待ち")))))))))</f>
        <v/>
      </c>
      <c r="V248" s="30" t="str">
        <f aca="false">IF(OR(U248="期日超過",U248="一部入金・超過"),設定!$C$5-L248,"")</f>
        <v/>
      </c>
      <c r="W248" s="21" t="str">
        <f aca="false">IF(A248="","",TRIM(IF(B248="","請求日 ","")&amp;IF(C248="","取引先 ",IF(D248="コード誤り","取引先コード誤り ",""))&amp;IF(E248="","件名 ","")&amp;IF(F248="","税抜金額 ","")&amp;IF(G248="","税率 ","")&amp;IF(M248="","送付方法 ","")&amp;IF(AND(N248&lt;&gt;"",O248=""),"送付者 ","")&amp;IF(AND(I248&lt;&gt;"",L248=""),"入金期日 ","")&amp;IF(AND(N248&lt;&gt;"",P248&gt;0,S248&lt;=0,X248=""),"消込確認者 ","")))</f>
        <v/>
      </c>
      <c r="X248" s="28"/>
      <c r="Y248" s="28"/>
    </row>
    <row r="249" customFormat="false" ht="15" hidden="false" customHeight="false" outlineLevel="0" collapsed="false">
      <c r="A249" s="21" t="str">
        <f aca="false">IF(COUNTA(B249,C249,E249,F249)=0,"",設定!$C$4&amp;TEXT(ROW()-4,"00000"))</f>
        <v/>
      </c>
      <c r="B249" s="22"/>
      <c r="C249" s="23"/>
      <c r="D249" s="21" t="str">
        <f aca="false">IF(C249="","",IFERROR(INDEX(取引先マスタ!$B$5:$B$204,MATCH($C249,取引先マスタ!$A$5:$A$204,0)),"コード誤り"))</f>
        <v/>
      </c>
      <c r="E249" s="28"/>
      <c r="F249" s="18"/>
      <c r="G249" s="25"/>
      <c r="H249" s="26" t="str">
        <f aca="false">IF(OR(F249="",G249=""),"",ROUNDDOWN(F249*G249,0))</f>
        <v/>
      </c>
      <c r="I249" s="26" t="str">
        <f aca="false">IF(OR(F249="",G249=""),"",F249+H249)</f>
        <v/>
      </c>
      <c r="J249" s="27" t="str">
        <f aca="false">IF(OR(B249="",C249="",D249="コード誤り"),"",IFERROR(DATE(YEAR(B249),MONTH(B249)+INDEX(取引先マスタ!$E$5:$E$204,MATCH($C249,取引先マスタ!$A$5:$A$204,0)),MIN(INDEX(取引先マスタ!$F$5:$F$204,MATCH($C249,取引先マスタ!$A$5:$A$204,0)),DAY(EOMONTH(B249,INDEX(取引先マスタ!$E$5:$E$204,MATCH($C249,取引先マスタ!$A$5:$A$204,0)))))),""))</f>
        <v/>
      </c>
      <c r="K249" s="22"/>
      <c r="L249" s="27" t="str">
        <f aca="false">IF(K249&lt;&gt;"",K249,J249)</f>
        <v/>
      </c>
      <c r="M249" s="28"/>
      <c r="N249" s="22"/>
      <c r="O249" s="28"/>
      <c r="P249" s="26" t="str">
        <f aca="false">IF(A249="","",SUMIF(入金明細!$F$5:$F$1004,A249,入金明細!$E$5:$E$1004))</f>
        <v/>
      </c>
      <c r="Q249" s="27" t="str">
        <f aca="false">IF(OR(A249="",N(P249)=0),"",SUMPRODUCT(MAX((入金明細!$F$5:$F$1004=A249)*入金明細!$B$5:$B$1004)))</f>
        <v/>
      </c>
      <c r="R249" s="18"/>
      <c r="S249" s="26" t="str">
        <f aca="false">IF(OR(A249="",I249=""),"",I249-N(P249)-N(R249))</f>
        <v/>
      </c>
      <c r="T249" s="28"/>
      <c r="U249" s="29" t="str">
        <f aca="false">IF(A249="","",IF(T249="取消","取消",IF(W249&lt;&gt;"","要入力",IF(N249="","未送付",IF(S249=0,"入金済",IF(S249&lt;0,"過入金",IF(設定!$C$5&gt;L249,IF(P249&gt;0,"一部入金・超過","期日超過"),IF(P249&gt;0,"一部入金",IF(L249-設定!$C$5&lt;=設定!$C$6,"期日間近","入金待ち")))))))))</f>
        <v/>
      </c>
      <c r="V249" s="30" t="str">
        <f aca="false">IF(OR(U249="期日超過",U249="一部入金・超過"),設定!$C$5-L249,"")</f>
        <v/>
      </c>
      <c r="W249" s="21" t="str">
        <f aca="false">IF(A249="","",TRIM(IF(B249="","請求日 ","")&amp;IF(C249="","取引先 ",IF(D249="コード誤り","取引先コード誤り ",""))&amp;IF(E249="","件名 ","")&amp;IF(F249="","税抜金額 ","")&amp;IF(G249="","税率 ","")&amp;IF(M249="","送付方法 ","")&amp;IF(AND(N249&lt;&gt;"",O249=""),"送付者 ","")&amp;IF(AND(I249&lt;&gt;"",L249=""),"入金期日 ","")&amp;IF(AND(N249&lt;&gt;"",P249&gt;0,S249&lt;=0,X249=""),"消込確認者 ","")))</f>
        <v/>
      </c>
      <c r="X249" s="28"/>
      <c r="Y249" s="28"/>
    </row>
    <row r="250" customFormat="false" ht="15" hidden="false" customHeight="false" outlineLevel="0" collapsed="false">
      <c r="A250" s="21" t="str">
        <f aca="false">IF(COUNTA(B250,C250,E250,F250)=0,"",設定!$C$4&amp;TEXT(ROW()-4,"00000"))</f>
        <v/>
      </c>
      <c r="B250" s="22"/>
      <c r="C250" s="23"/>
      <c r="D250" s="21" t="str">
        <f aca="false">IF(C250="","",IFERROR(INDEX(取引先マスタ!$B$5:$B$204,MATCH($C250,取引先マスタ!$A$5:$A$204,0)),"コード誤り"))</f>
        <v/>
      </c>
      <c r="E250" s="28"/>
      <c r="F250" s="18"/>
      <c r="G250" s="25"/>
      <c r="H250" s="26" t="str">
        <f aca="false">IF(OR(F250="",G250=""),"",ROUNDDOWN(F250*G250,0))</f>
        <v/>
      </c>
      <c r="I250" s="26" t="str">
        <f aca="false">IF(OR(F250="",G250=""),"",F250+H250)</f>
        <v/>
      </c>
      <c r="J250" s="27" t="str">
        <f aca="false">IF(OR(B250="",C250="",D250="コード誤り"),"",IFERROR(DATE(YEAR(B250),MONTH(B250)+INDEX(取引先マスタ!$E$5:$E$204,MATCH($C250,取引先マスタ!$A$5:$A$204,0)),MIN(INDEX(取引先マスタ!$F$5:$F$204,MATCH($C250,取引先マスタ!$A$5:$A$204,0)),DAY(EOMONTH(B250,INDEX(取引先マスタ!$E$5:$E$204,MATCH($C250,取引先マスタ!$A$5:$A$204,0)))))),""))</f>
        <v/>
      </c>
      <c r="K250" s="22"/>
      <c r="L250" s="27" t="str">
        <f aca="false">IF(K250&lt;&gt;"",K250,J250)</f>
        <v/>
      </c>
      <c r="M250" s="28"/>
      <c r="N250" s="22"/>
      <c r="O250" s="28"/>
      <c r="P250" s="26" t="str">
        <f aca="false">IF(A250="","",SUMIF(入金明細!$F$5:$F$1004,A250,入金明細!$E$5:$E$1004))</f>
        <v/>
      </c>
      <c r="Q250" s="27" t="str">
        <f aca="false">IF(OR(A250="",N(P250)=0),"",SUMPRODUCT(MAX((入金明細!$F$5:$F$1004=A250)*入金明細!$B$5:$B$1004)))</f>
        <v/>
      </c>
      <c r="R250" s="18"/>
      <c r="S250" s="26" t="str">
        <f aca="false">IF(OR(A250="",I250=""),"",I250-N(P250)-N(R250))</f>
        <v/>
      </c>
      <c r="T250" s="28"/>
      <c r="U250" s="29" t="str">
        <f aca="false">IF(A250="","",IF(T250="取消","取消",IF(W250&lt;&gt;"","要入力",IF(N250="","未送付",IF(S250=0,"入金済",IF(S250&lt;0,"過入金",IF(設定!$C$5&gt;L250,IF(P250&gt;0,"一部入金・超過","期日超過"),IF(P250&gt;0,"一部入金",IF(L250-設定!$C$5&lt;=設定!$C$6,"期日間近","入金待ち")))))))))</f>
        <v/>
      </c>
      <c r="V250" s="30" t="str">
        <f aca="false">IF(OR(U250="期日超過",U250="一部入金・超過"),設定!$C$5-L250,"")</f>
        <v/>
      </c>
      <c r="W250" s="21" t="str">
        <f aca="false">IF(A250="","",TRIM(IF(B250="","請求日 ","")&amp;IF(C250="","取引先 ",IF(D250="コード誤り","取引先コード誤り ",""))&amp;IF(E250="","件名 ","")&amp;IF(F250="","税抜金額 ","")&amp;IF(G250="","税率 ","")&amp;IF(M250="","送付方法 ","")&amp;IF(AND(N250&lt;&gt;"",O250=""),"送付者 ","")&amp;IF(AND(I250&lt;&gt;"",L250=""),"入金期日 ","")&amp;IF(AND(N250&lt;&gt;"",P250&gt;0,S250&lt;=0,X250=""),"消込確認者 ","")))</f>
        <v/>
      </c>
      <c r="X250" s="28"/>
      <c r="Y250" s="28"/>
    </row>
    <row r="251" customFormat="false" ht="15" hidden="false" customHeight="false" outlineLevel="0" collapsed="false">
      <c r="A251" s="21" t="str">
        <f aca="false">IF(COUNTA(B251,C251,E251,F251)=0,"",設定!$C$4&amp;TEXT(ROW()-4,"00000"))</f>
        <v/>
      </c>
      <c r="B251" s="22"/>
      <c r="C251" s="23"/>
      <c r="D251" s="21" t="str">
        <f aca="false">IF(C251="","",IFERROR(INDEX(取引先マスタ!$B$5:$B$204,MATCH($C251,取引先マスタ!$A$5:$A$204,0)),"コード誤り"))</f>
        <v/>
      </c>
      <c r="E251" s="28"/>
      <c r="F251" s="18"/>
      <c r="G251" s="25"/>
      <c r="H251" s="26" t="str">
        <f aca="false">IF(OR(F251="",G251=""),"",ROUNDDOWN(F251*G251,0))</f>
        <v/>
      </c>
      <c r="I251" s="26" t="str">
        <f aca="false">IF(OR(F251="",G251=""),"",F251+H251)</f>
        <v/>
      </c>
      <c r="J251" s="27" t="str">
        <f aca="false">IF(OR(B251="",C251="",D251="コード誤り"),"",IFERROR(DATE(YEAR(B251),MONTH(B251)+INDEX(取引先マスタ!$E$5:$E$204,MATCH($C251,取引先マスタ!$A$5:$A$204,0)),MIN(INDEX(取引先マスタ!$F$5:$F$204,MATCH($C251,取引先マスタ!$A$5:$A$204,0)),DAY(EOMONTH(B251,INDEX(取引先マスタ!$E$5:$E$204,MATCH($C251,取引先マスタ!$A$5:$A$204,0)))))),""))</f>
        <v/>
      </c>
      <c r="K251" s="22"/>
      <c r="L251" s="27" t="str">
        <f aca="false">IF(K251&lt;&gt;"",K251,J251)</f>
        <v/>
      </c>
      <c r="M251" s="28"/>
      <c r="N251" s="22"/>
      <c r="O251" s="28"/>
      <c r="P251" s="26" t="str">
        <f aca="false">IF(A251="","",SUMIF(入金明細!$F$5:$F$1004,A251,入金明細!$E$5:$E$1004))</f>
        <v/>
      </c>
      <c r="Q251" s="27" t="str">
        <f aca="false">IF(OR(A251="",N(P251)=0),"",SUMPRODUCT(MAX((入金明細!$F$5:$F$1004=A251)*入金明細!$B$5:$B$1004)))</f>
        <v/>
      </c>
      <c r="R251" s="18"/>
      <c r="S251" s="26" t="str">
        <f aca="false">IF(OR(A251="",I251=""),"",I251-N(P251)-N(R251))</f>
        <v/>
      </c>
      <c r="T251" s="28"/>
      <c r="U251" s="29" t="str">
        <f aca="false">IF(A251="","",IF(T251="取消","取消",IF(W251&lt;&gt;"","要入力",IF(N251="","未送付",IF(S251=0,"入金済",IF(S251&lt;0,"過入金",IF(設定!$C$5&gt;L251,IF(P251&gt;0,"一部入金・超過","期日超過"),IF(P251&gt;0,"一部入金",IF(L251-設定!$C$5&lt;=設定!$C$6,"期日間近","入金待ち")))))))))</f>
        <v/>
      </c>
      <c r="V251" s="30" t="str">
        <f aca="false">IF(OR(U251="期日超過",U251="一部入金・超過"),設定!$C$5-L251,"")</f>
        <v/>
      </c>
      <c r="W251" s="21" t="str">
        <f aca="false">IF(A251="","",TRIM(IF(B251="","請求日 ","")&amp;IF(C251="","取引先 ",IF(D251="コード誤り","取引先コード誤り ",""))&amp;IF(E251="","件名 ","")&amp;IF(F251="","税抜金額 ","")&amp;IF(G251="","税率 ","")&amp;IF(M251="","送付方法 ","")&amp;IF(AND(N251&lt;&gt;"",O251=""),"送付者 ","")&amp;IF(AND(I251&lt;&gt;"",L251=""),"入金期日 ","")&amp;IF(AND(N251&lt;&gt;"",P251&gt;0,S251&lt;=0,X251=""),"消込確認者 ","")))</f>
        <v/>
      </c>
      <c r="X251" s="28"/>
      <c r="Y251" s="28"/>
    </row>
    <row r="252" customFormat="false" ht="15" hidden="false" customHeight="false" outlineLevel="0" collapsed="false">
      <c r="A252" s="21" t="str">
        <f aca="false">IF(COUNTA(B252,C252,E252,F252)=0,"",設定!$C$4&amp;TEXT(ROW()-4,"00000"))</f>
        <v/>
      </c>
      <c r="B252" s="22"/>
      <c r="C252" s="23"/>
      <c r="D252" s="21" t="str">
        <f aca="false">IF(C252="","",IFERROR(INDEX(取引先マスタ!$B$5:$B$204,MATCH($C252,取引先マスタ!$A$5:$A$204,0)),"コード誤り"))</f>
        <v/>
      </c>
      <c r="E252" s="28"/>
      <c r="F252" s="18"/>
      <c r="G252" s="25"/>
      <c r="H252" s="26" t="str">
        <f aca="false">IF(OR(F252="",G252=""),"",ROUNDDOWN(F252*G252,0))</f>
        <v/>
      </c>
      <c r="I252" s="26" t="str">
        <f aca="false">IF(OR(F252="",G252=""),"",F252+H252)</f>
        <v/>
      </c>
      <c r="J252" s="27" t="str">
        <f aca="false">IF(OR(B252="",C252="",D252="コード誤り"),"",IFERROR(DATE(YEAR(B252),MONTH(B252)+INDEX(取引先マスタ!$E$5:$E$204,MATCH($C252,取引先マスタ!$A$5:$A$204,0)),MIN(INDEX(取引先マスタ!$F$5:$F$204,MATCH($C252,取引先マスタ!$A$5:$A$204,0)),DAY(EOMONTH(B252,INDEX(取引先マスタ!$E$5:$E$204,MATCH($C252,取引先マスタ!$A$5:$A$204,0)))))),""))</f>
        <v/>
      </c>
      <c r="K252" s="22"/>
      <c r="L252" s="27" t="str">
        <f aca="false">IF(K252&lt;&gt;"",K252,J252)</f>
        <v/>
      </c>
      <c r="M252" s="28"/>
      <c r="N252" s="22"/>
      <c r="O252" s="28"/>
      <c r="P252" s="26" t="str">
        <f aca="false">IF(A252="","",SUMIF(入金明細!$F$5:$F$1004,A252,入金明細!$E$5:$E$1004))</f>
        <v/>
      </c>
      <c r="Q252" s="27" t="str">
        <f aca="false">IF(OR(A252="",N(P252)=0),"",SUMPRODUCT(MAX((入金明細!$F$5:$F$1004=A252)*入金明細!$B$5:$B$1004)))</f>
        <v/>
      </c>
      <c r="R252" s="18"/>
      <c r="S252" s="26" t="str">
        <f aca="false">IF(OR(A252="",I252=""),"",I252-N(P252)-N(R252))</f>
        <v/>
      </c>
      <c r="T252" s="28"/>
      <c r="U252" s="29" t="str">
        <f aca="false">IF(A252="","",IF(T252="取消","取消",IF(W252&lt;&gt;"","要入力",IF(N252="","未送付",IF(S252=0,"入金済",IF(S252&lt;0,"過入金",IF(設定!$C$5&gt;L252,IF(P252&gt;0,"一部入金・超過","期日超過"),IF(P252&gt;0,"一部入金",IF(L252-設定!$C$5&lt;=設定!$C$6,"期日間近","入金待ち")))))))))</f>
        <v/>
      </c>
      <c r="V252" s="30" t="str">
        <f aca="false">IF(OR(U252="期日超過",U252="一部入金・超過"),設定!$C$5-L252,"")</f>
        <v/>
      </c>
      <c r="W252" s="21" t="str">
        <f aca="false">IF(A252="","",TRIM(IF(B252="","請求日 ","")&amp;IF(C252="","取引先 ",IF(D252="コード誤り","取引先コード誤り ",""))&amp;IF(E252="","件名 ","")&amp;IF(F252="","税抜金額 ","")&amp;IF(G252="","税率 ","")&amp;IF(M252="","送付方法 ","")&amp;IF(AND(N252&lt;&gt;"",O252=""),"送付者 ","")&amp;IF(AND(I252&lt;&gt;"",L252=""),"入金期日 ","")&amp;IF(AND(N252&lt;&gt;"",P252&gt;0,S252&lt;=0,X252=""),"消込確認者 ","")))</f>
        <v/>
      </c>
      <c r="X252" s="28"/>
      <c r="Y252" s="28"/>
    </row>
    <row r="253" customFormat="false" ht="15" hidden="false" customHeight="false" outlineLevel="0" collapsed="false">
      <c r="A253" s="21" t="str">
        <f aca="false">IF(COUNTA(B253,C253,E253,F253)=0,"",設定!$C$4&amp;TEXT(ROW()-4,"00000"))</f>
        <v/>
      </c>
      <c r="B253" s="22"/>
      <c r="C253" s="23"/>
      <c r="D253" s="21" t="str">
        <f aca="false">IF(C253="","",IFERROR(INDEX(取引先マスタ!$B$5:$B$204,MATCH($C253,取引先マスタ!$A$5:$A$204,0)),"コード誤り"))</f>
        <v/>
      </c>
      <c r="E253" s="28"/>
      <c r="F253" s="18"/>
      <c r="G253" s="25"/>
      <c r="H253" s="26" t="str">
        <f aca="false">IF(OR(F253="",G253=""),"",ROUNDDOWN(F253*G253,0))</f>
        <v/>
      </c>
      <c r="I253" s="26" t="str">
        <f aca="false">IF(OR(F253="",G253=""),"",F253+H253)</f>
        <v/>
      </c>
      <c r="J253" s="27" t="str">
        <f aca="false">IF(OR(B253="",C253="",D253="コード誤り"),"",IFERROR(DATE(YEAR(B253),MONTH(B253)+INDEX(取引先マスタ!$E$5:$E$204,MATCH($C253,取引先マスタ!$A$5:$A$204,0)),MIN(INDEX(取引先マスタ!$F$5:$F$204,MATCH($C253,取引先マスタ!$A$5:$A$204,0)),DAY(EOMONTH(B253,INDEX(取引先マスタ!$E$5:$E$204,MATCH($C253,取引先マスタ!$A$5:$A$204,0)))))),""))</f>
        <v/>
      </c>
      <c r="K253" s="22"/>
      <c r="L253" s="27" t="str">
        <f aca="false">IF(K253&lt;&gt;"",K253,J253)</f>
        <v/>
      </c>
      <c r="M253" s="28"/>
      <c r="N253" s="22"/>
      <c r="O253" s="28"/>
      <c r="P253" s="26" t="str">
        <f aca="false">IF(A253="","",SUMIF(入金明細!$F$5:$F$1004,A253,入金明細!$E$5:$E$1004))</f>
        <v/>
      </c>
      <c r="Q253" s="27" t="str">
        <f aca="false">IF(OR(A253="",N(P253)=0),"",SUMPRODUCT(MAX((入金明細!$F$5:$F$1004=A253)*入金明細!$B$5:$B$1004)))</f>
        <v/>
      </c>
      <c r="R253" s="18"/>
      <c r="S253" s="26" t="str">
        <f aca="false">IF(OR(A253="",I253=""),"",I253-N(P253)-N(R253))</f>
        <v/>
      </c>
      <c r="T253" s="28"/>
      <c r="U253" s="29" t="str">
        <f aca="false">IF(A253="","",IF(T253="取消","取消",IF(W253&lt;&gt;"","要入力",IF(N253="","未送付",IF(S253=0,"入金済",IF(S253&lt;0,"過入金",IF(設定!$C$5&gt;L253,IF(P253&gt;0,"一部入金・超過","期日超過"),IF(P253&gt;0,"一部入金",IF(L253-設定!$C$5&lt;=設定!$C$6,"期日間近","入金待ち")))))))))</f>
        <v/>
      </c>
      <c r="V253" s="30" t="str">
        <f aca="false">IF(OR(U253="期日超過",U253="一部入金・超過"),設定!$C$5-L253,"")</f>
        <v/>
      </c>
      <c r="W253" s="21" t="str">
        <f aca="false">IF(A253="","",TRIM(IF(B253="","請求日 ","")&amp;IF(C253="","取引先 ",IF(D253="コード誤り","取引先コード誤り ",""))&amp;IF(E253="","件名 ","")&amp;IF(F253="","税抜金額 ","")&amp;IF(G253="","税率 ","")&amp;IF(M253="","送付方法 ","")&amp;IF(AND(N253&lt;&gt;"",O253=""),"送付者 ","")&amp;IF(AND(I253&lt;&gt;"",L253=""),"入金期日 ","")&amp;IF(AND(N253&lt;&gt;"",P253&gt;0,S253&lt;=0,X253=""),"消込確認者 ","")))</f>
        <v/>
      </c>
      <c r="X253" s="28"/>
      <c r="Y253" s="28"/>
    </row>
    <row r="254" customFormat="false" ht="15" hidden="false" customHeight="false" outlineLevel="0" collapsed="false">
      <c r="A254" s="21" t="str">
        <f aca="false">IF(COUNTA(B254,C254,E254,F254)=0,"",設定!$C$4&amp;TEXT(ROW()-4,"00000"))</f>
        <v/>
      </c>
      <c r="B254" s="22"/>
      <c r="C254" s="23"/>
      <c r="D254" s="21" t="str">
        <f aca="false">IF(C254="","",IFERROR(INDEX(取引先マスタ!$B$5:$B$204,MATCH($C254,取引先マスタ!$A$5:$A$204,0)),"コード誤り"))</f>
        <v/>
      </c>
      <c r="E254" s="28"/>
      <c r="F254" s="18"/>
      <c r="G254" s="25"/>
      <c r="H254" s="26" t="str">
        <f aca="false">IF(OR(F254="",G254=""),"",ROUNDDOWN(F254*G254,0))</f>
        <v/>
      </c>
      <c r="I254" s="26" t="str">
        <f aca="false">IF(OR(F254="",G254=""),"",F254+H254)</f>
        <v/>
      </c>
      <c r="J254" s="27" t="str">
        <f aca="false">IF(OR(B254="",C254="",D254="コード誤り"),"",IFERROR(DATE(YEAR(B254),MONTH(B254)+INDEX(取引先マスタ!$E$5:$E$204,MATCH($C254,取引先マスタ!$A$5:$A$204,0)),MIN(INDEX(取引先マスタ!$F$5:$F$204,MATCH($C254,取引先マスタ!$A$5:$A$204,0)),DAY(EOMONTH(B254,INDEX(取引先マスタ!$E$5:$E$204,MATCH($C254,取引先マスタ!$A$5:$A$204,0)))))),""))</f>
        <v/>
      </c>
      <c r="K254" s="22"/>
      <c r="L254" s="27" t="str">
        <f aca="false">IF(K254&lt;&gt;"",K254,J254)</f>
        <v/>
      </c>
      <c r="M254" s="28"/>
      <c r="N254" s="22"/>
      <c r="O254" s="28"/>
      <c r="P254" s="26" t="str">
        <f aca="false">IF(A254="","",SUMIF(入金明細!$F$5:$F$1004,A254,入金明細!$E$5:$E$1004))</f>
        <v/>
      </c>
      <c r="Q254" s="27" t="str">
        <f aca="false">IF(OR(A254="",N(P254)=0),"",SUMPRODUCT(MAX((入金明細!$F$5:$F$1004=A254)*入金明細!$B$5:$B$1004)))</f>
        <v/>
      </c>
      <c r="R254" s="18"/>
      <c r="S254" s="26" t="str">
        <f aca="false">IF(OR(A254="",I254=""),"",I254-N(P254)-N(R254))</f>
        <v/>
      </c>
      <c r="T254" s="28"/>
      <c r="U254" s="29" t="str">
        <f aca="false">IF(A254="","",IF(T254="取消","取消",IF(W254&lt;&gt;"","要入力",IF(N254="","未送付",IF(S254=0,"入金済",IF(S254&lt;0,"過入金",IF(設定!$C$5&gt;L254,IF(P254&gt;0,"一部入金・超過","期日超過"),IF(P254&gt;0,"一部入金",IF(L254-設定!$C$5&lt;=設定!$C$6,"期日間近","入金待ち")))))))))</f>
        <v/>
      </c>
      <c r="V254" s="30" t="str">
        <f aca="false">IF(OR(U254="期日超過",U254="一部入金・超過"),設定!$C$5-L254,"")</f>
        <v/>
      </c>
      <c r="W254" s="21" t="str">
        <f aca="false">IF(A254="","",TRIM(IF(B254="","請求日 ","")&amp;IF(C254="","取引先 ",IF(D254="コード誤り","取引先コード誤り ",""))&amp;IF(E254="","件名 ","")&amp;IF(F254="","税抜金額 ","")&amp;IF(G254="","税率 ","")&amp;IF(M254="","送付方法 ","")&amp;IF(AND(N254&lt;&gt;"",O254=""),"送付者 ","")&amp;IF(AND(I254&lt;&gt;"",L254=""),"入金期日 ","")&amp;IF(AND(N254&lt;&gt;"",P254&gt;0,S254&lt;=0,X254=""),"消込確認者 ","")))</f>
        <v/>
      </c>
      <c r="X254" s="28"/>
      <c r="Y254" s="28"/>
    </row>
    <row r="255" customFormat="false" ht="15" hidden="false" customHeight="false" outlineLevel="0" collapsed="false">
      <c r="A255" s="21" t="str">
        <f aca="false">IF(COUNTA(B255,C255,E255,F255)=0,"",設定!$C$4&amp;TEXT(ROW()-4,"00000"))</f>
        <v/>
      </c>
      <c r="B255" s="22"/>
      <c r="C255" s="23"/>
      <c r="D255" s="21" t="str">
        <f aca="false">IF(C255="","",IFERROR(INDEX(取引先マスタ!$B$5:$B$204,MATCH($C255,取引先マスタ!$A$5:$A$204,0)),"コード誤り"))</f>
        <v/>
      </c>
      <c r="E255" s="28"/>
      <c r="F255" s="18"/>
      <c r="G255" s="25"/>
      <c r="H255" s="26" t="str">
        <f aca="false">IF(OR(F255="",G255=""),"",ROUNDDOWN(F255*G255,0))</f>
        <v/>
      </c>
      <c r="I255" s="26" t="str">
        <f aca="false">IF(OR(F255="",G255=""),"",F255+H255)</f>
        <v/>
      </c>
      <c r="J255" s="27" t="str">
        <f aca="false">IF(OR(B255="",C255="",D255="コード誤り"),"",IFERROR(DATE(YEAR(B255),MONTH(B255)+INDEX(取引先マスタ!$E$5:$E$204,MATCH($C255,取引先マスタ!$A$5:$A$204,0)),MIN(INDEX(取引先マスタ!$F$5:$F$204,MATCH($C255,取引先マスタ!$A$5:$A$204,0)),DAY(EOMONTH(B255,INDEX(取引先マスタ!$E$5:$E$204,MATCH($C255,取引先マスタ!$A$5:$A$204,0)))))),""))</f>
        <v/>
      </c>
      <c r="K255" s="22"/>
      <c r="L255" s="27" t="str">
        <f aca="false">IF(K255&lt;&gt;"",K255,J255)</f>
        <v/>
      </c>
      <c r="M255" s="28"/>
      <c r="N255" s="22"/>
      <c r="O255" s="28"/>
      <c r="P255" s="26" t="str">
        <f aca="false">IF(A255="","",SUMIF(入金明細!$F$5:$F$1004,A255,入金明細!$E$5:$E$1004))</f>
        <v/>
      </c>
      <c r="Q255" s="27" t="str">
        <f aca="false">IF(OR(A255="",N(P255)=0),"",SUMPRODUCT(MAX((入金明細!$F$5:$F$1004=A255)*入金明細!$B$5:$B$1004)))</f>
        <v/>
      </c>
      <c r="R255" s="18"/>
      <c r="S255" s="26" t="str">
        <f aca="false">IF(OR(A255="",I255=""),"",I255-N(P255)-N(R255))</f>
        <v/>
      </c>
      <c r="T255" s="28"/>
      <c r="U255" s="29" t="str">
        <f aca="false">IF(A255="","",IF(T255="取消","取消",IF(W255&lt;&gt;"","要入力",IF(N255="","未送付",IF(S255=0,"入金済",IF(S255&lt;0,"過入金",IF(設定!$C$5&gt;L255,IF(P255&gt;0,"一部入金・超過","期日超過"),IF(P255&gt;0,"一部入金",IF(L255-設定!$C$5&lt;=設定!$C$6,"期日間近","入金待ち")))))))))</f>
        <v/>
      </c>
      <c r="V255" s="30" t="str">
        <f aca="false">IF(OR(U255="期日超過",U255="一部入金・超過"),設定!$C$5-L255,"")</f>
        <v/>
      </c>
      <c r="W255" s="21" t="str">
        <f aca="false">IF(A255="","",TRIM(IF(B255="","請求日 ","")&amp;IF(C255="","取引先 ",IF(D255="コード誤り","取引先コード誤り ",""))&amp;IF(E255="","件名 ","")&amp;IF(F255="","税抜金額 ","")&amp;IF(G255="","税率 ","")&amp;IF(M255="","送付方法 ","")&amp;IF(AND(N255&lt;&gt;"",O255=""),"送付者 ","")&amp;IF(AND(I255&lt;&gt;"",L255=""),"入金期日 ","")&amp;IF(AND(N255&lt;&gt;"",P255&gt;0,S255&lt;=0,X255=""),"消込確認者 ","")))</f>
        <v/>
      </c>
      <c r="X255" s="28"/>
      <c r="Y255" s="28"/>
    </row>
    <row r="256" customFormat="false" ht="15" hidden="false" customHeight="false" outlineLevel="0" collapsed="false">
      <c r="A256" s="21" t="str">
        <f aca="false">IF(COUNTA(B256,C256,E256,F256)=0,"",設定!$C$4&amp;TEXT(ROW()-4,"00000"))</f>
        <v/>
      </c>
      <c r="B256" s="22"/>
      <c r="C256" s="23"/>
      <c r="D256" s="21" t="str">
        <f aca="false">IF(C256="","",IFERROR(INDEX(取引先マスタ!$B$5:$B$204,MATCH($C256,取引先マスタ!$A$5:$A$204,0)),"コード誤り"))</f>
        <v/>
      </c>
      <c r="E256" s="28"/>
      <c r="F256" s="18"/>
      <c r="G256" s="25"/>
      <c r="H256" s="26" t="str">
        <f aca="false">IF(OR(F256="",G256=""),"",ROUNDDOWN(F256*G256,0))</f>
        <v/>
      </c>
      <c r="I256" s="26" t="str">
        <f aca="false">IF(OR(F256="",G256=""),"",F256+H256)</f>
        <v/>
      </c>
      <c r="J256" s="27" t="str">
        <f aca="false">IF(OR(B256="",C256="",D256="コード誤り"),"",IFERROR(DATE(YEAR(B256),MONTH(B256)+INDEX(取引先マスタ!$E$5:$E$204,MATCH($C256,取引先マスタ!$A$5:$A$204,0)),MIN(INDEX(取引先マスタ!$F$5:$F$204,MATCH($C256,取引先マスタ!$A$5:$A$204,0)),DAY(EOMONTH(B256,INDEX(取引先マスタ!$E$5:$E$204,MATCH($C256,取引先マスタ!$A$5:$A$204,0)))))),""))</f>
        <v/>
      </c>
      <c r="K256" s="22"/>
      <c r="L256" s="27" t="str">
        <f aca="false">IF(K256&lt;&gt;"",K256,J256)</f>
        <v/>
      </c>
      <c r="M256" s="28"/>
      <c r="N256" s="22"/>
      <c r="O256" s="28"/>
      <c r="P256" s="26" t="str">
        <f aca="false">IF(A256="","",SUMIF(入金明細!$F$5:$F$1004,A256,入金明細!$E$5:$E$1004))</f>
        <v/>
      </c>
      <c r="Q256" s="27" t="str">
        <f aca="false">IF(OR(A256="",N(P256)=0),"",SUMPRODUCT(MAX((入金明細!$F$5:$F$1004=A256)*入金明細!$B$5:$B$1004)))</f>
        <v/>
      </c>
      <c r="R256" s="18"/>
      <c r="S256" s="26" t="str">
        <f aca="false">IF(OR(A256="",I256=""),"",I256-N(P256)-N(R256))</f>
        <v/>
      </c>
      <c r="T256" s="28"/>
      <c r="U256" s="29" t="str">
        <f aca="false">IF(A256="","",IF(T256="取消","取消",IF(W256&lt;&gt;"","要入力",IF(N256="","未送付",IF(S256=0,"入金済",IF(S256&lt;0,"過入金",IF(設定!$C$5&gt;L256,IF(P256&gt;0,"一部入金・超過","期日超過"),IF(P256&gt;0,"一部入金",IF(L256-設定!$C$5&lt;=設定!$C$6,"期日間近","入金待ち")))))))))</f>
        <v/>
      </c>
      <c r="V256" s="30" t="str">
        <f aca="false">IF(OR(U256="期日超過",U256="一部入金・超過"),設定!$C$5-L256,"")</f>
        <v/>
      </c>
      <c r="W256" s="21" t="str">
        <f aca="false">IF(A256="","",TRIM(IF(B256="","請求日 ","")&amp;IF(C256="","取引先 ",IF(D256="コード誤り","取引先コード誤り ",""))&amp;IF(E256="","件名 ","")&amp;IF(F256="","税抜金額 ","")&amp;IF(G256="","税率 ","")&amp;IF(M256="","送付方法 ","")&amp;IF(AND(N256&lt;&gt;"",O256=""),"送付者 ","")&amp;IF(AND(I256&lt;&gt;"",L256=""),"入金期日 ","")&amp;IF(AND(N256&lt;&gt;"",P256&gt;0,S256&lt;=0,X256=""),"消込確認者 ","")))</f>
        <v/>
      </c>
      <c r="X256" s="28"/>
      <c r="Y256" s="28"/>
    </row>
    <row r="257" customFormat="false" ht="15" hidden="false" customHeight="false" outlineLevel="0" collapsed="false">
      <c r="A257" s="21" t="str">
        <f aca="false">IF(COUNTA(B257,C257,E257,F257)=0,"",設定!$C$4&amp;TEXT(ROW()-4,"00000"))</f>
        <v/>
      </c>
      <c r="B257" s="22"/>
      <c r="C257" s="23"/>
      <c r="D257" s="21" t="str">
        <f aca="false">IF(C257="","",IFERROR(INDEX(取引先マスタ!$B$5:$B$204,MATCH($C257,取引先マスタ!$A$5:$A$204,0)),"コード誤り"))</f>
        <v/>
      </c>
      <c r="E257" s="28"/>
      <c r="F257" s="18"/>
      <c r="G257" s="25"/>
      <c r="H257" s="26" t="str">
        <f aca="false">IF(OR(F257="",G257=""),"",ROUNDDOWN(F257*G257,0))</f>
        <v/>
      </c>
      <c r="I257" s="26" t="str">
        <f aca="false">IF(OR(F257="",G257=""),"",F257+H257)</f>
        <v/>
      </c>
      <c r="J257" s="27" t="str">
        <f aca="false">IF(OR(B257="",C257="",D257="コード誤り"),"",IFERROR(DATE(YEAR(B257),MONTH(B257)+INDEX(取引先マスタ!$E$5:$E$204,MATCH($C257,取引先マスタ!$A$5:$A$204,0)),MIN(INDEX(取引先マスタ!$F$5:$F$204,MATCH($C257,取引先マスタ!$A$5:$A$204,0)),DAY(EOMONTH(B257,INDEX(取引先マスタ!$E$5:$E$204,MATCH($C257,取引先マスタ!$A$5:$A$204,0)))))),""))</f>
        <v/>
      </c>
      <c r="K257" s="22"/>
      <c r="L257" s="27" t="str">
        <f aca="false">IF(K257&lt;&gt;"",K257,J257)</f>
        <v/>
      </c>
      <c r="M257" s="28"/>
      <c r="N257" s="22"/>
      <c r="O257" s="28"/>
      <c r="P257" s="26" t="str">
        <f aca="false">IF(A257="","",SUMIF(入金明細!$F$5:$F$1004,A257,入金明細!$E$5:$E$1004))</f>
        <v/>
      </c>
      <c r="Q257" s="27" t="str">
        <f aca="false">IF(OR(A257="",N(P257)=0),"",SUMPRODUCT(MAX((入金明細!$F$5:$F$1004=A257)*入金明細!$B$5:$B$1004)))</f>
        <v/>
      </c>
      <c r="R257" s="18"/>
      <c r="S257" s="26" t="str">
        <f aca="false">IF(OR(A257="",I257=""),"",I257-N(P257)-N(R257))</f>
        <v/>
      </c>
      <c r="T257" s="28"/>
      <c r="U257" s="29" t="str">
        <f aca="false">IF(A257="","",IF(T257="取消","取消",IF(W257&lt;&gt;"","要入力",IF(N257="","未送付",IF(S257=0,"入金済",IF(S257&lt;0,"過入金",IF(設定!$C$5&gt;L257,IF(P257&gt;0,"一部入金・超過","期日超過"),IF(P257&gt;0,"一部入金",IF(L257-設定!$C$5&lt;=設定!$C$6,"期日間近","入金待ち")))))))))</f>
        <v/>
      </c>
      <c r="V257" s="30" t="str">
        <f aca="false">IF(OR(U257="期日超過",U257="一部入金・超過"),設定!$C$5-L257,"")</f>
        <v/>
      </c>
      <c r="W257" s="21" t="str">
        <f aca="false">IF(A257="","",TRIM(IF(B257="","請求日 ","")&amp;IF(C257="","取引先 ",IF(D257="コード誤り","取引先コード誤り ",""))&amp;IF(E257="","件名 ","")&amp;IF(F257="","税抜金額 ","")&amp;IF(G257="","税率 ","")&amp;IF(M257="","送付方法 ","")&amp;IF(AND(N257&lt;&gt;"",O257=""),"送付者 ","")&amp;IF(AND(I257&lt;&gt;"",L257=""),"入金期日 ","")&amp;IF(AND(N257&lt;&gt;"",P257&gt;0,S257&lt;=0,X257=""),"消込確認者 ","")))</f>
        <v/>
      </c>
      <c r="X257" s="28"/>
      <c r="Y257" s="28"/>
    </row>
    <row r="258" customFormat="false" ht="15" hidden="false" customHeight="false" outlineLevel="0" collapsed="false">
      <c r="A258" s="21" t="str">
        <f aca="false">IF(COUNTA(B258,C258,E258,F258)=0,"",設定!$C$4&amp;TEXT(ROW()-4,"00000"))</f>
        <v/>
      </c>
      <c r="B258" s="22"/>
      <c r="C258" s="23"/>
      <c r="D258" s="21" t="str">
        <f aca="false">IF(C258="","",IFERROR(INDEX(取引先マスタ!$B$5:$B$204,MATCH($C258,取引先マスタ!$A$5:$A$204,0)),"コード誤り"))</f>
        <v/>
      </c>
      <c r="E258" s="28"/>
      <c r="F258" s="18"/>
      <c r="G258" s="25"/>
      <c r="H258" s="26" t="str">
        <f aca="false">IF(OR(F258="",G258=""),"",ROUNDDOWN(F258*G258,0))</f>
        <v/>
      </c>
      <c r="I258" s="26" t="str">
        <f aca="false">IF(OR(F258="",G258=""),"",F258+H258)</f>
        <v/>
      </c>
      <c r="J258" s="27" t="str">
        <f aca="false">IF(OR(B258="",C258="",D258="コード誤り"),"",IFERROR(DATE(YEAR(B258),MONTH(B258)+INDEX(取引先マスタ!$E$5:$E$204,MATCH($C258,取引先マスタ!$A$5:$A$204,0)),MIN(INDEX(取引先マスタ!$F$5:$F$204,MATCH($C258,取引先マスタ!$A$5:$A$204,0)),DAY(EOMONTH(B258,INDEX(取引先マスタ!$E$5:$E$204,MATCH($C258,取引先マスタ!$A$5:$A$204,0)))))),""))</f>
        <v/>
      </c>
      <c r="K258" s="22"/>
      <c r="L258" s="27" t="str">
        <f aca="false">IF(K258&lt;&gt;"",K258,J258)</f>
        <v/>
      </c>
      <c r="M258" s="28"/>
      <c r="N258" s="22"/>
      <c r="O258" s="28"/>
      <c r="P258" s="26" t="str">
        <f aca="false">IF(A258="","",SUMIF(入金明細!$F$5:$F$1004,A258,入金明細!$E$5:$E$1004))</f>
        <v/>
      </c>
      <c r="Q258" s="27" t="str">
        <f aca="false">IF(OR(A258="",N(P258)=0),"",SUMPRODUCT(MAX((入金明細!$F$5:$F$1004=A258)*入金明細!$B$5:$B$1004)))</f>
        <v/>
      </c>
      <c r="R258" s="18"/>
      <c r="S258" s="26" t="str">
        <f aca="false">IF(OR(A258="",I258=""),"",I258-N(P258)-N(R258))</f>
        <v/>
      </c>
      <c r="T258" s="28"/>
      <c r="U258" s="29" t="str">
        <f aca="false">IF(A258="","",IF(T258="取消","取消",IF(W258&lt;&gt;"","要入力",IF(N258="","未送付",IF(S258=0,"入金済",IF(S258&lt;0,"過入金",IF(設定!$C$5&gt;L258,IF(P258&gt;0,"一部入金・超過","期日超過"),IF(P258&gt;0,"一部入金",IF(L258-設定!$C$5&lt;=設定!$C$6,"期日間近","入金待ち")))))))))</f>
        <v/>
      </c>
      <c r="V258" s="30" t="str">
        <f aca="false">IF(OR(U258="期日超過",U258="一部入金・超過"),設定!$C$5-L258,"")</f>
        <v/>
      </c>
      <c r="W258" s="21" t="str">
        <f aca="false">IF(A258="","",TRIM(IF(B258="","請求日 ","")&amp;IF(C258="","取引先 ",IF(D258="コード誤り","取引先コード誤り ",""))&amp;IF(E258="","件名 ","")&amp;IF(F258="","税抜金額 ","")&amp;IF(G258="","税率 ","")&amp;IF(M258="","送付方法 ","")&amp;IF(AND(N258&lt;&gt;"",O258=""),"送付者 ","")&amp;IF(AND(I258&lt;&gt;"",L258=""),"入金期日 ","")&amp;IF(AND(N258&lt;&gt;"",P258&gt;0,S258&lt;=0,X258=""),"消込確認者 ","")))</f>
        <v/>
      </c>
      <c r="X258" s="28"/>
      <c r="Y258" s="28"/>
    </row>
    <row r="259" customFormat="false" ht="15" hidden="false" customHeight="false" outlineLevel="0" collapsed="false">
      <c r="A259" s="21" t="str">
        <f aca="false">IF(COUNTA(B259,C259,E259,F259)=0,"",設定!$C$4&amp;TEXT(ROW()-4,"00000"))</f>
        <v/>
      </c>
      <c r="B259" s="22"/>
      <c r="C259" s="23"/>
      <c r="D259" s="21" t="str">
        <f aca="false">IF(C259="","",IFERROR(INDEX(取引先マスタ!$B$5:$B$204,MATCH($C259,取引先マスタ!$A$5:$A$204,0)),"コード誤り"))</f>
        <v/>
      </c>
      <c r="E259" s="28"/>
      <c r="F259" s="18"/>
      <c r="G259" s="25"/>
      <c r="H259" s="26" t="str">
        <f aca="false">IF(OR(F259="",G259=""),"",ROUNDDOWN(F259*G259,0))</f>
        <v/>
      </c>
      <c r="I259" s="26" t="str">
        <f aca="false">IF(OR(F259="",G259=""),"",F259+H259)</f>
        <v/>
      </c>
      <c r="J259" s="27" t="str">
        <f aca="false">IF(OR(B259="",C259="",D259="コード誤り"),"",IFERROR(DATE(YEAR(B259),MONTH(B259)+INDEX(取引先マスタ!$E$5:$E$204,MATCH($C259,取引先マスタ!$A$5:$A$204,0)),MIN(INDEX(取引先マスタ!$F$5:$F$204,MATCH($C259,取引先マスタ!$A$5:$A$204,0)),DAY(EOMONTH(B259,INDEX(取引先マスタ!$E$5:$E$204,MATCH($C259,取引先マスタ!$A$5:$A$204,0)))))),""))</f>
        <v/>
      </c>
      <c r="K259" s="22"/>
      <c r="L259" s="27" t="str">
        <f aca="false">IF(K259&lt;&gt;"",K259,J259)</f>
        <v/>
      </c>
      <c r="M259" s="28"/>
      <c r="N259" s="22"/>
      <c r="O259" s="28"/>
      <c r="P259" s="26" t="str">
        <f aca="false">IF(A259="","",SUMIF(入金明細!$F$5:$F$1004,A259,入金明細!$E$5:$E$1004))</f>
        <v/>
      </c>
      <c r="Q259" s="27" t="str">
        <f aca="false">IF(OR(A259="",N(P259)=0),"",SUMPRODUCT(MAX((入金明細!$F$5:$F$1004=A259)*入金明細!$B$5:$B$1004)))</f>
        <v/>
      </c>
      <c r="R259" s="18"/>
      <c r="S259" s="26" t="str">
        <f aca="false">IF(OR(A259="",I259=""),"",I259-N(P259)-N(R259))</f>
        <v/>
      </c>
      <c r="T259" s="28"/>
      <c r="U259" s="29" t="str">
        <f aca="false">IF(A259="","",IF(T259="取消","取消",IF(W259&lt;&gt;"","要入力",IF(N259="","未送付",IF(S259=0,"入金済",IF(S259&lt;0,"過入金",IF(設定!$C$5&gt;L259,IF(P259&gt;0,"一部入金・超過","期日超過"),IF(P259&gt;0,"一部入金",IF(L259-設定!$C$5&lt;=設定!$C$6,"期日間近","入金待ち")))))))))</f>
        <v/>
      </c>
      <c r="V259" s="30" t="str">
        <f aca="false">IF(OR(U259="期日超過",U259="一部入金・超過"),設定!$C$5-L259,"")</f>
        <v/>
      </c>
      <c r="W259" s="21" t="str">
        <f aca="false">IF(A259="","",TRIM(IF(B259="","請求日 ","")&amp;IF(C259="","取引先 ",IF(D259="コード誤り","取引先コード誤り ",""))&amp;IF(E259="","件名 ","")&amp;IF(F259="","税抜金額 ","")&amp;IF(G259="","税率 ","")&amp;IF(M259="","送付方法 ","")&amp;IF(AND(N259&lt;&gt;"",O259=""),"送付者 ","")&amp;IF(AND(I259&lt;&gt;"",L259=""),"入金期日 ","")&amp;IF(AND(N259&lt;&gt;"",P259&gt;0,S259&lt;=0,X259=""),"消込確認者 ","")))</f>
        <v/>
      </c>
      <c r="X259" s="28"/>
      <c r="Y259" s="28"/>
    </row>
    <row r="260" customFormat="false" ht="15" hidden="false" customHeight="false" outlineLevel="0" collapsed="false">
      <c r="A260" s="21" t="str">
        <f aca="false">IF(COUNTA(B260,C260,E260,F260)=0,"",設定!$C$4&amp;TEXT(ROW()-4,"00000"))</f>
        <v/>
      </c>
      <c r="B260" s="22"/>
      <c r="C260" s="23"/>
      <c r="D260" s="21" t="str">
        <f aca="false">IF(C260="","",IFERROR(INDEX(取引先マスタ!$B$5:$B$204,MATCH($C260,取引先マスタ!$A$5:$A$204,0)),"コード誤り"))</f>
        <v/>
      </c>
      <c r="E260" s="28"/>
      <c r="F260" s="18"/>
      <c r="G260" s="25"/>
      <c r="H260" s="26" t="str">
        <f aca="false">IF(OR(F260="",G260=""),"",ROUNDDOWN(F260*G260,0))</f>
        <v/>
      </c>
      <c r="I260" s="26" t="str">
        <f aca="false">IF(OR(F260="",G260=""),"",F260+H260)</f>
        <v/>
      </c>
      <c r="J260" s="27" t="str">
        <f aca="false">IF(OR(B260="",C260="",D260="コード誤り"),"",IFERROR(DATE(YEAR(B260),MONTH(B260)+INDEX(取引先マスタ!$E$5:$E$204,MATCH($C260,取引先マスタ!$A$5:$A$204,0)),MIN(INDEX(取引先マスタ!$F$5:$F$204,MATCH($C260,取引先マスタ!$A$5:$A$204,0)),DAY(EOMONTH(B260,INDEX(取引先マスタ!$E$5:$E$204,MATCH($C260,取引先マスタ!$A$5:$A$204,0)))))),""))</f>
        <v/>
      </c>
      <c r="K260" s="22"/>
      <c r="L260" s="27" t="str">
        <f aca="false">IF(K260&lt;&gt;"",K260,J260)</f>
        <v/>
      </c>
      <c r="M260" s="28"/>
      <c r="N260" s="22"/>
      <c r="O260" s="28"/>
      <c r="P260" s="26" t="str">
        <f aca="false">IF(A260="","",SUMIF(入金明細!$F$5:$F$1004,A260,入金明細!$E$5:$E$1004))</f>
        <v/>
      </c>
      <c r="Q260" s="27" t="str">
        <f aca="false">IF(OR(A260="",N(P260)=0),"",SUMPRODUCT(MAX((入金明細!$F$5:$F$1004=A260)*入金明細!$B$5:$B$1004)))</f>
        <v/>
      </c>
      <c r="R260" s="18"/>
      <c r="S260" s="26" t="str">
        <f aca="false">IF(OR(A260="",I260=""),"",I260-N(P260)-N(R260))</f>
        <v/>
      </c>
      <c r="T260" s="28"/>
      <c r="U260" s="29" t="str">
        <f aca="false">IF(A260="","",IF(T260="取消","取消",IF(W260&lt;&gt;"","要入力",IF(N260="","未送付",IF(S260=0,"入金済",IF(S260&lt;0,"過入金",IF(設定!$C$5&gt;L260,IF(P260&gt;0,"一部入金・超過","期日超過"),IF(P260&gt;0,"一部入金",IF(L260-設定!$C$5&lt;=設定!$C$6,"期日間近","入金待ち")))))))))</f>
        <v/>
      </c>
      <c r="V260" s="30" t="str">
        <f aca="false">IF(OR(U260="期日超過",U260="一部入金・超過"),設定!$C$5-L260,"")</f>
        <v/>
      </c>
      <c r="W260" s="21" t="str">
        <f aca="false">IF(A260="","",TRIM(IF(B260="","請求日 ","")&amp;IF(C260="","取引先 ",IF(D260="コード誤り","取引先コード誤り ",""))&amp;IF(E260="","件名 ","")&amp;IF(F260="","税抜金額 ","")&amp;IF(G260="","税率 ","")&amp;IF(M260="","送付方法 ","")&amp;IF(AND(N260&lt;&gt;"",O260=""),"送付者 ","")&amp;IF(AND(I260&lt;&gt;"",L260=""),"入金期日 ","")&amp;IF(AND(N260&lt;&gt;"",P260&gt;0,S260&lt;=0,X260=""),"消込確認者 ","")))</f>
        <v/>
      </c>
      <c r="X260" s="28"/>
      <c r="Y260" s="28"/>
    </row>
    <row r="261" customFormat="false" ht="15" hidden="false" customHeight="false" outlineLevel="0" collapsed="false">
      <c r="A261" s="21" t="str">
        <f aca="false">IF(COUNTA(B261,C261,E261,F261)=0,"",設定!$C$4&amp;TEXT(ROW()-4,"00000"))</f>
        <v/>
      </c>
      <c r="B261" s="22"/>
      <c r="C261" s="23"/>
      <c r="D261" s="21" t="str">
        <f aca="false">IF(C261="","",IFERROR(INDEX(取引先マスタ!$B$5:$B$204,MATCH($C261,取引先マスタ!$A$5:$A$204,0)),"コード誤り"))</f>
        <v/>
      </c>
      <c r="E261" s="28"/>
      <c r="F261" s="18"/>
      <c r="G261" s="25"/>
      <c r="H261" s="26" t="str">
        <f aca="false">IF(OR(F261="",G261=""),"",ROUNDDOWN(F261*G261,0))</f>
        <v/>
      </c>
      <c r="I261" s="26" t="str">
        <f aca="false">IF(OR(F261="",G261=""),"",F261+H261)</f>
        <v/>
      </c>
      <c r="J261" s="27" t="str">
        <f aca="false">IF(OR(B261="",C261="",D261="コード誤り"),"",IFERROR(DATE(YEAR(B261),MONTH(B261)+INDEX(取引先マスタ!$E$5:$E$204,MATCH($C261,取引先マスタ!$A$5:$A$204,0)),MIN(INDEX(取引先マスタ!$F$5:$F$204,MATCH($C261,取引先マスタ!$A$5:$A$204,0)),DAY(EOMONTH(B261,INDEX(取引先マスタ!$E$5:$E$204,MATCH($C261,取引先マスタ!$A$5:$A$204,0)))))),""))</f>
        <v/>
      </c>
      <c r="K261" s="22"/>
      <c r="L261" s="27" t="str">
        <f aca="false">IF(K261&lt;&gt;"",K261,J261)</f>
        <v/>
      </c>
      <c r="M261" s="28"/>
      <c r="N261" s="22"/>
      <c r="O261" s="28"/>
      <c r="P261" s="26" t="str">
        <f aca="false">IF(A261="","",SUMIF(入金明細!$F$5:$F$1004,A261,入金明細!$E$5:$E$1004))</f>
        <v/>
      </c>
      <c r="Q261" s="27" t="str">
        <f aca="false">IF(OR(A261="",N(P261)=0),"",SUMPRODUCT(MAX((入金明細!$F$5:$F$1004=A261)*入金明細!$B$5:$B$1004)))</f>
        <v/>
      </c>
      <c r="R261" s="18"/>
      <c r="S261" s="26" t="str">
        <f aca="false">IF(OR(A261="",I261=""),"",I261-N(P261)-N(R261))</f>
        <v/>
      </c>
      <c r="T261" s="28"/>
      <c r="U261" s="29" t="str">
        <f aca="false">IF(A261="","",IF(T261="取消","取消",IF(W261&lt;&gt;"","要入力",IF(N261="","未送付",IF(S261=0,"入金済",IF(S261&lt;0,"過入金",IF(設定!$C$5&gt;L261,IF(P261&gt;0,"一部入金・超過","期日超過"),IF(P261&gt;0,"一部入金",IF(L261-設定!$C$5&lt;=設定!$C$6,"期日間近","入金待ち")))))))))</f>
        <v/>
      </c>
      <c r="V261" s="30" t="str">
        <f aca="false">IF(OR(U261="期日超過",U261="一部入金・超過"),設定!$C$5-L261,"")</f>
        <v/>
      </c>
      <c r="W261" s="21" t="str">
        <f aca="false">IF(A261="","",TRIM(IF(B261="","請求日 ","")&amp;IF(C261="","取引先 ",IF(D261="コード誤り","取引先コード誤り ",""))&amp;IF(E261="","件名 ","")&amp;IF(F261="","税抜金額 ","")&amp;IF(G261="","税率 ","")&amp;IF(M261="","送付方法 ","")&amp;IF(AND(N261&lt;&gt;"",O261=""),"送付者 ","")&amp;IF(AND(I261&lt;&gt;"",L261=""),"入金期日 ","")&amp;IF(AND(N261&lt;&gt;"",P261&gt;0,S261&lt;=0,X261=""),"消込確認者 ","")))</f>
        <v/>
      </c>
      <c r="X261" s="28"/>
      <c r="Y261" s="28"/>
    </row>
    <row r="262" customFormat="false" ht="15" hidden="false" customHeight="false" outlineLevel="0" collapsed="false">
      <c r="A262" s="21" t="str">
        <f aca="false">IF(COUNTA(B262,C262,E262,F262)=0,"",設定!$C$4&amp;TEXT(ROW()-4,"00000"))</f>
        <v/>
      </c>
      <c r="B262" s="22"/>
      <c r="C262" s="23"/>
      <c r="D262" s="21" t="str">
        <f aca="false">IF(C262="","",IFERROR(INDEX(取引先マスタ!$B$5:$B$204,MATCH($C262,取引先マスタ!$A$5:$A$204,0)),"コード誤り"))</f>
        <v/>
      </c>
      <c r="E262" s="28"/>
      <c r="F262" s="18"/>
      <c r="G262" s="25"/>
      <c r="H262" s="26" t="str">
        <f aca="false">IF(OR(F262="",G262=""),"",ROUNDDOWN(F262*G262,0))</f>
        <v/>
      </c>
      <c r="I262" s="26" t="str">
        <f aca="false">IF(OR(F262="",G262=""),"",F262+H262)</f>
        <v/>
      </c>
      <c r="J262" s="27" t="str">
        <f aca="false">IF(OR(B262="",C262="",D262="コード誤り"),"",IFERROR(DATE(YEAR(B262),MONTH(B262)+INDEX(取引先マスタ!$E$5:$E$204,MATCH($C262,取引先マスタ!$A$5:$A$204,0)),MIN(INDEX(取引先マスタ!$F$5:$F$204,MATCH($C262,取引先マスタ!$A$5:$A$204,0)),DAY(EOMONTH(B262,INDEX(取引先マスタ!$E$5:$E$204,MATCH($C262,取引先マスタ!$A$5:$A$204,0)))))),""))</f>
        <v/>
      </c>
      <c r="K262" s="22"/>
      <c r="L262" s="27" t="str">
        <f aca="false">IF(K262&lt;&gt;"",K262,J262)</f>
        <v/>
      </c>
      <c r="M262" s="28"/>
      <c r="N262" s="22"/>
      <c r="O262" s="28"/>
      <c r="P262" s="26" t="str">
        <f aca="false">IF(A262="","",SUMIF(入金明細!$F$5:$F$1004,A262,入金明細!$E$5:$E$1004))</f>
        <v/>
      </c>
      <c r="Q262" s="27" t="str">
        <f aca="false">IF(OR(A262="",N(P262)=0),"",SUMPRODUCT(MAX((入金明細!$F$5:$F$1004=A262)*入金明細!$B$5:$B$1004)))</f>
        <v/>
      </c>
      <c r="R262" s="18"/>
      <c r="S262" s="26" t="str">
        <f aca="false">IF(OR(A262="",I262=""),"",I262-N(P262)-N(R262))</f>
        <v/>
      </c>
      <c r="T262" s="28"/>
      <c r="U262" s="29" t="str">
        <f aca="false">IF(A262="","",IF(T262="取消","取消",IF(W262&lt;&gt;"","要入力",IF(N262="","未送付",IF(S262=0,"入金済",IF(S262&lt;0,"過入金",IF(設定!$C$5&gt;L262,IF(P262&gt;0,"一部入金・超過","期日超過"),IF(P262&gt;0,"一部入金",IF(L262-設定!$C$5&lt;=設定!$C$6,"期日間近","入金待ち")))))))))</f>
        <v/>
      </c>
      <c r="V262" s="30" t="str">
        <f aca="false">IF(OR(U262="期日超過",U262="一部入金・超過"),設定!$C$5-L262,"")</f>
        <v/>
      </c>
      <c r="W262" s="21" t="str">
        <f aca="false">IF(A262="","",TRIM(IF(B262="","請求日 ","")&amp;IF(C262="","取引先 ",IF(D262="コード誤り","取引先コード誤り ",""))&amp;IF(E262="","件名 ","")&amp;IF(F262="","税抜金額 ","")&amp;IF(G262="","税率 ","")&amp;IF(M262="","送付方法 ","")&amp;IF(AND(N262&lt;&gt;"",O262=""),"送付者 ","")&amp;IF(AND(I262&lt;&gt;"",L262=""),"入金期日 ","")&amp;IF(AND(N262&lt;&gt;"",P262&gt;0,S262&lt;=0,X262=""),"消込確認者 ","")))</f>
        <v/>
      </c>
      <c r="X262" s="28"/>
      <c r="Y262" s="28"/>
    </row>
    <row r="263" customFormat="false" ht="15" hidden="false" customHeight="false" outlineLevel="0" collapsed="false">
      <c r="A263" s="21" t="str">
        <f aca="false">IF(COUNTA(B263,C263,E263,F263)=0,"",設定!$C$4&amp;TEXT(ROW()-4,"00000"))</f>
        <v/>
      </c>
      <c r="B263" s="22"/>
      <c r="C263" s="23"/>
      <c r="D263" s="21" t="str">
        <f aca="false">IF(C263="","",IFERROR(INDEX(取引先マスタ!$B$5:$B$204,MATCH($C263,取引先マスタ!$A$5:$A$204,0)),"コード誤り"))</f>
        <v/>
      </c>
      <c r="E263" s="28"/>
      <c r="F263" s="18"/>
      <c r="G263" s="25"/>
      <c r="H263" s="26" t="str">
        <f aca="false">IF(OR(F263="",G263=""),"",ROUNDDOWN(F263*G263,0))</f>
        <v/>
      </c>
      <c r="I263" s="26" t="str">
        <f aca="false">IF(OR(F263="",G263=""),"",F263+H263)</f>
        <v/>
      </c>
      <c r="J263" s="27" t="str">
        <f aca="false">IF(OR(B263="",C263="",D263="コード誤り"),"",IFERROR(DATE(YEAR(B263),MONTH(B263)+INDEX(取引先マスタ!$E$5:$E$204,MATCH($C263,取引先マスタ!$A$5:$A$204,0)),MIN(INDEX(取引先マスタ!$F$5:$F$204,MATCH($C263,取引先マスタ!$A$5:$A$204,0)),DAY(EOMONTH(B263,INDEX(取引先マスタ!$E$5:$E$204,MATCH($C263,取引先マスタ!$A$5:$A$204,0)))))),""))</f>
        <v/>
      </c>
      <c r="K263" s="22"/>
      <c r="L263" s="27" t="str">
        <f aca="false">IF(K263&lt;&gt;"",K263,J263)</f>
        <v/>
      </c>
      <c r="M263" s="28"/>
      <c r="N263" s="22"/>
      <c r="O263" s="28"/>
      <c r="P263" s="26" t="str">
        <f aca="false">IF(A263="","",SUMIF(入金明細!$F$5:$F$1004,A263,入金明細!$E$5:$E$1004))</f>
        <v/>
      </c>
      <c r="Q263" s="27" t="str">
        <f aca="false">IF(OR(A263="",N(P263)=0),"",SUMPRODUCT(MAX((入金明細!$F$5:$F$1004=A263)*入金明細!$B$5:$B$1004)))</f>
        <v/>
      </c>
      <c r="R263" s="18"/>
      <c r="S263" s="26" t="str">
        <f aca="false">IF(OR(A263="",I263=""),"",I263-N(P263)-N(R263))</f>
        <v/>
      </c>
      <c r="T263" s="28"/>
      <c r="U263" s="29" t="str">
        <f aca="false">IF(A263="","",IF(T263="取消","取消",IF(W263&lt;&gt;"","要入力",IF(N263="","未送付",IF(S263=0,"入金済",IF(S263&lt;0,"過入金",IF(設定!$C$5&gt;L263,IF(P263&gt;0,"一部入金・超過","期日超過"),IF(P263&gt;0,"一部入金",IF(L263-設定!$C$5&lt;=設定!$C$6,"期日間近","入金待ち")))))))))</f>
        <v/>
      </c>
      <c r="V263" s="30" t="str">
        <f aca="false">IF(OR(U263="期日超過",U263="一部入金・超過"),設定!$C$5-L263,"")</f>
        <v/>
      </c>
      <c r="W263" s="21" t="str">
        <f aca="false">IF(A263="","",TRIM(IF(B263="","請求日 ","")&amp;IF(C263="","取引先 ",IF(D263="コード誤り","取引先コード誤り ",""))&amp;IF(E263="","件名 ","")&amp;IF(F263="","税抜金額 ","")&amp;IF(G263="","税率 ","")&amp;IF(M263="","送付方法 ","")&amp;IF(AND(N263&lt;&gt;"",O263=""),"送付者 ","")&amp;IF(AND(I263&lt;&gt;"",L263=""),"入金期日 ","")&amp;IF(AND(N263&lt;&gt;"",P263&gt;0,S263&lt;=0,X263=""),"消込確認者 ","")))</f>
        <v/>
      </c>
      <c r="X263" s="28"/>
      <c r="Y263" s="28"/>
    </row>
    <row r="264" customFormat="false" ht="15" hidden="false" customHeight="false" outlineLevel="0" collapsed="false">
      <c r="A264" s="21" t="str">
        <f aca="false">IF(COUNTA(B264,C264,E264,F264)=0,"",設定!$C$4&amp;TEXT(ROW()-4,"00000"))</f>
        <v/>
      </c>
      <c r="B264" s="22"/>
      <c r="C264" s="23"/>
      <c r="D264" s="21" t="str">
        <f aca="false">IF(C264="","",IFERROR(INDEX(取引先マスタ!$B$5:$B$204,MATCH($C264,取引先マスタ!$A$5:$A$204,0)),"コード誤り"))</f>
        <v/>
      </c>
      <c r="E264" s="28"/>
      <c r="F264" s="18"/>
      <c r="G264" s="25"/>
      <c r="H264" s="26" t="str">
        <f aca="false">IF(OR(F264="",G264=""),"",ROUNDDOWN(F264*G264,0))</f>
        <v/>
      </c>
      <c r="I264" s="26" t="str">
        <f aca="false">IF(OR(F264="",G264=""),"",F264+H264)</f>
        <v/>
      </c>
      <c r="J264" s="27" t="str">
        <f aca="false">IF(OR(B264="",C264="",D264="コード誤り"),"",IFERROR(DATE(YEAR(B264),MONTH(B264)+INDEX(取引先マスタ!$E$5:$E$204,MATCH($C264,取引先マスタ!$A$5:$A$204,0)),MIN(INDEX(取引先マスタ!$F$5:$F$204,MATCH($C264,取引先マスタ!$A$5:$A$204,0)),DAY(EOMONTH(B264,INDEX(取引先マスタ!$E$5:$E$204,MATCH($C264,取引先マスタ!$A$5:$A$204,0)))))),""))</f>
        <v/>
      </c>
      <c r="K264" s="22"/>
      <c r="L264" s="27" t="str">
        <f aca="false">IF(K264&lt;&gt;"",K264,J264)</f>
        <v/>
      </c>
      <c r="M264" s="28"/>
      <c r="N264" s="22"/>
      <c r="O264" s="28"/>
      <c r="P264" s="26" t="str">
        <f aca="false">IF(A264="","",SUMIF(入金明細!$F$5:$F$1004,A264,入金明細!$E$5:$E$1004))</f>
        <v/>
      </c>
      <c r="Q264" s="27" t="str">
        <f aca="false">IF(OR(A264="",N(P264)=0),"",SUMPRODUCT(MAX((入金明細!$F$5:$F$1004=A264)*入金明細!$B$5:$B$1004)))</f>
        <v/>
      </c>
      <c r="R264" s="18"/>
      <c r="S264" s="26" t="str">
        <f aca="false">IF(OR(A264="",I264=""),"",I264-N(P264)-N(R264))</f>
        <v/>
      </c>
      <c r="T264" s="28"/>
      <c r="U264" s="29" t="str">
        <f aca="false">IF(A264="","",IF(T264="取消","取消",IF(W264&lt;&gt;"","要入力",IF(N264="","未送付",IF(S264=0,"入金済",IF(S264&lt;0,"過入金",IF(設定!$C$5&gt;L264,IF(P264&gt;0,"一部入金・超過","期日超過"),IF(P264&gt;0,"一部入金",IF(L264-設定!$C$5&lt;=設定!$C$6,"期日間近","入金待ち")))))))))</f>
        <v/>
      </c>
      <c r="V264" s="30" t="str">
        <f aca="false">IF(OR(U264="期日超過",U264="一部入金・超過"),設定!$C$5-L264,"")</f>
        <v/>
      </c>
      <c r="W264" s="21" t="str">
        <f aca="false">IF(A264="","",TRIM(IF(B264="","請求日 ","")&amp;IF(C264="","取引先 ",IF(D264="コード誤り","取引先コード誤り ",""))&amp;IF(E264="","件名 ","")&amp;IF(F264="","税抜金額 ","")&amp;IF(G264="","税率 ","")&amp;IF(M264="","送付方法 ","")&amp;IF(AND(N264&lt;&gt;"",O264=""),"送付者 ","")&amp;IF(AND(I264&lt;&gt;"",L264=""),"入金期日 ","")&amp;IF(AND(N264&lt;&gt;"",P264&gt;0,S264&lt;=0,X264=""),"消込確認者 ","")))</f>
        <v/>
      </c>
      <c r="X264" s="28"/>
      <c r="Y264" s="28"/>
    </row>
    <row r="265" customFormat="false" ht="15" hidden="false" customHeight="false" outlineLevel="0" collapsed="false">
      <c r="A265" s="21" t="str">
        <f aca="false">IF(COUNTA(B265,C265,E265,F265)=0,"",設定!$C$4&amp;TEXT(ROW()-4,"00000"))</f>
        <v/>
      </c>
      <c r="B265" s="22"/>
      <c r="C265" s="23"/>
      <c r="D265" s="21" t="str">
        <f aca="false">IF(C265="","",IFERROR(INDEX(取引先マスタ!$B$5:$B$204,MATCH($C265,取引先マスタ!$A$5:$A$204,0)),"コード誤り"))</f>
        <v/>
      </c>
      <c r="E265" s="28"/>
      <c r="F265" s="18"/>
      <c r="G265" s="25"/>
      <c r="H265" s="26" t="str">
        <f aca="false">IF(OR(F265="",G265=""),"",ROUNDDOWN(F265*G265,0))</f>
        <v/>
      </c>
      <c r="I265" s="26" t="str">
        <f aca="false">IF(OR(F265="",G265=""),"",F265+H265)</f>
        <v/>
      </c>
      <c r="J265" s="27" t="str">
        <f aca="false">IF(OR(B265="",C265="",D265="コード誤り"),"",IFERROR(DATE(YEAR(B265),MONTH(B265)+INDEX(取引先マスタ!$E$5:$E$204,MATCH($C265,取引先マスタ!$A$5:$A$204,0)),MIN(INDEX(取引先マスタ!$F$5:$F$204,MATCH($C265,取引先マスタ!$A$5:$A$204,0)),DAY(EOMONTH(B265,INDEX(取引先マスタ!$E$5:$E$204,MATCH($C265,取引先マスタ!$A$5:$A$204,0)))))),""))</f>
        <v/>
      </c>
      <c r="K265" s="22"/>
      <c r="L265" s="27" t="str">
        <f aca="false">IF(K265&lt;&gt;"",K265,J265)</f>
        <v/>
      </c>
      <c r="M265" s="28"/>
      <c r="N265" s="22"/>
      <c r="O265" s="28"/>
      <c r="P265" s="26" t="str">
        <f aca="false">IF(A265="","",SUMIF(入金明細!$F$5:$F$1004,A265,入金明細!$E$5:$E$1004))</f>
        <v/>
      </c>
      <c r="Q265" s="27" t="str">
        <f aca="false">IF(OR(A265="",N(P265)=0),"",SUMPRODUCT(MAX((入金明細!$F$5:$F$1004=A265)*入金明細!$B$5:$B$1004)))</f>
        <v/>
      </c>
      <c r="R265" s="18"/>
      <c r="S265" s="26" t="str">
        <f aca="false">IF(OR(A265="",I265=""),"",I265-N(P265)-N(R265))</f>
        <v/>
      </c>
      <c r="T265" s="28"/>
      <c r="U265" s="29" t="str">
        <f aca="false">IF(A265="","",IF(T265="取消","取消",IF(W265&lt;&gt;"","要入力",IF(N265="","未送付",IF(S265=0,"入金済",IF(S265&lt;0,"過入金",IF(設定!$C$5&gt;L265,IF(P265&gt;0,"一部入金・超過","期日超過"),IF(P265&gt;0,"一部入金",IF(L265-設定!$C$5&lt;=設定!$C$6,"期日間近","入金待ち")))))))))</f>
        <v/>
      </c>
      <c r="V265" s="30" t="str">
        <f aca="false">IF(OR(U265="期日超過",U265="一部入金・超過"),設定!$C$5-L265,"")</f>
        <v/>
      </c>
      <c r="W265" s="21" t="str">
        <f aca="false">IF(A265="","",TRIM(IF(B265="","請求日 ","")&amp;IF(C265="","取引先 ",IF(D265="コード誤り","取引先コード誤り ",""))&amp;IF(E265="","件名 ","")&amp;IF(F265="","税抜金額 ","")&amp;IF(G265="","税率 ","")&amp;IF(M265="","送付方法 ","")&amp;IF(AND(N265&lt;&gt;"",O265=""),"送付者 ","")&amp;IF(AND(I265&lt;&gt;"",L265=""),"入金期日 ","")&amp;IF(AND(N265&lt;&gt;"",P265&gt;0,S265&lt;=0,X265=""),"消込確認者 ","")))</f>
        <v/>
      </c>
      <c r="X265" s="28"/>
      <c r="Y265" s="28"/>
    </row>
    <row r="266" customFormat="false" ht="15" hidden="false" customHeight="false" outlineLevel="0" collapsed="false">
      <c r="A266" s="21" t="str">
        <f aca="false">IF(COUNTA(B266,C266,E266,F266)=0,"",設定!$C$4&amp;TEXT(ROW()-4,"00000"))</f>
        <v/>
      </c>
      <c r="B266" s="22"/>
      <c r="C266" s="23"/>
      <c r="D266" s="21" t="str">
        <f aca="false">IF(C266="","",IFERROR(INDEX(取引先マスタ!$B$5:$B$204,MATCH($C266,取引先マスタ!$A$5:$A$204,0)),"コード誤り"))</f>
        <v/>
      </c>
      <c r="E266" s="28"/>
      <c r="F266" s="18"/>
      <c r="G266" s="25"/>
      <c r="H266" s="26" t="str">
        <f aca="false">IF(OR(F266="",G266=""),"",ROUNDDOWN(F266*G266,0))</f>
        <v/>
      </c>
      <c r="I266" s="26" t="str">
        <f aca="false">IF(OR(F266="",G266=""),"",F266+H266)</f>
        <v/>
      </c>
      <c r="J266" s="27" t="str">
        <f aca="false">IF(OR(B266="",C266="",D266="コード誤り"),"",IFERROR(DATE(YEAR(B266),MONTH(B266)+INDEX(取引先マスタ!$E$5:$E$204,MATCH($C266,取引先マスタ!$A$5:$A$204,0)),MIN(INDEX(取引先マスタ!$F$5:$F$204,MATCH($C266,取引先マスタ!$A$5:$A$204,0)),DAY(EOMONTH(B266,INDEX(取引先マスタ!$E$5:$E$204,MATCH($C266,取引先マスタ!$A$5:$A$204,0)))))),""))</f>
        <v/>
      </c>
      <c r="K266" s="22"/>
      <c r="L266" s="27" t="str">
        <f aca="false">IF(K266&lt;&gt;"",K266,J266)</f>
        <v/>
      </c>
      <c r="M266" s="28"/>
      <c r="N266" s="22"/>
      <c r="O266" s="28"/>
      <c r="P266" s="26" t="str">
        <f aca="false">IF(A266="","",SUMIF(入金明細!$F$5:$F$1004,A266,入金明細!$E$5:$E$1004))</f>
        <v/>
      </c>
      <c r="Q266" s="27" t="str">
        <f aca="false">IF(OR(A266="",N(P266)=0),"",SUMPRODUCT(MAX((入金明細!$F$5:$F$1004=A266)*入金明細!$B$5:$B$1004)))</f>
        <v/>
      </c>
      <c r="R266" s="18"/>
      <c r="S266" s="26" t="str">
        <f aca="false">IF(OR(A266="",I266=""),"",I266-N(P266)-N(R266))</f>
        <v/>
      </c>
      <c r="T266" s="28"/>
      <c r="U266" s="29" t="str">
        <f aca="false">IF(A266="","",IF(T266="取消","取消",IF(W266&lt;&gt;"","要入力",IF(N266="","未送付",IF(S266=0,"入金済",IF(S266&lt;0,"過入金",IF(設定!$C$5&gt;L266,IF(P266&gt;0,"一部入金・超過","期日超過"),IF(P266&gt;0,"一部入金",IF(L266-設定!$C$5&lt;=設定!$C$6,"期日間近","入金待ち")))))))))</f>
        <v/>
      </c>
      <c r="V266" s="30" t="str">
        <f aca="false">IF(OR(U266="期日超過",U266="一部入金・超過"),設定!$C$5-L266,"")</f>
        <v/>
      </c>
      <c r="W266" s="21" t="str">
        <f aca="false">IF(A266="","",TRIM(IF(B266="","請求日 ","")&amp;IF(C266="","取引先 ",IF(D266="コード誤り","取引先コード誤り ",""))&amp;IF(E266="","件名 ","")&amp;IF(F266="","税抜金額 ","")&amp;IF(G266="","税率 ","")&amp;IF(M266="","送付方法 ","")&amp;IF(AND(N266&lt;&gt;"",O266=""),"送付者 ","")&amp;IF(AND(I266&lt;&gt;"",L266=""),"入金期日 ","")&amp;IF(AND(N266&lt;&gt;"",P266&gt;0,S266&lt;=0,X266=""),"消込確認者 ","")))</f>
        <v/>
      </c>
      <c r="X266" s="28"/>
      <c r="Y266" s="28"/>
    </row>
    <row r="267" customFormat="false" ht="15" hidden="false" customHeight="false" outlineLevel="0" collapsed="false">
      <c r="A267" s="21" t="str">
        <f aca="false">IF(COUNTA(B267,C267,E267,F267)=0,"",設定!$C$4&amp;TEXT(ROW()-4,"00000"))</f>
        <v/>
      </c>
      <c r="B267" s="22"/>
      <c r="C267" s="23"/>
      <c r="D267" s="21" t="str">
        <f aca="false">IF(C267="","",IFERROR(INDEX(取引先マスタ!$B$5:$B$204,MATCH($C267,取引先マスタ!$A$5:$A$204,0)),"コード誤り"))</f>
        <v/>
      </c>
      <c r="E267" s="28"/>
      <c r="F267" s="18"/>
      <c r="G267" s="25"/>
      <c r="H267" s="26" t="str">
        <f aca="false">IF(OR(F267="",G267=""),"",ROUNDDOWN(F267*G267,0))</f>
        <v/>
      </c>
      <c r="I267" s="26" t="str">
        <f aca="false">IF(OR(F267="",G267=""),"",F267+H267)</f>
        <v/>
      </c>
      <c r="J267" s="27" t="str">
        <f aca="false">IF(OR(B267="",C267="",D267="コード誤り"),"",IFERROR(DATE(YEAR(B267),MONTH(B267)+INDEX(取引先マスタ!$E$5:$E$204,MATCH($C267,取引先マスタ!$A$5:$A$204,0)),MIN(INDEX(取引先マスタ!$F$5:$F$204,MATCH($C267,取引先マスタ!$A$5:$A$204,0)),DAY(EOMONTH(B267,INDEX(取引先マスタ!$E$5:$E$204,MATCH($C267,取引先マスタ!$A$5:$A$204,0)))))),""))</f>
        <v/>
      </c>
      <c r="K267" s="22"/>
      <c r="L267" s="27" t="str">
        <f aca="false">IF(K267&lt;&gt;"",K267,J267)</f>
        <v/>
      </c>
      <c r="M267" s="28"/>
      <c r="N267" s="22"/>
      <c r="O267" s="28"/>
      <c r="P267" s="26" t="str">
        <f aca="false">IF(A267="","",SUMIF(入金明細!$F$5:$F$1004,A267,入金明細!$E$5:$E$1004))</f>
        <v/>
      </c>
      <c r="Q267" s="27" t="str">
        <f aca="false">IF(OR(A267="",N(P267)=0),"",SUMPRODUCT(MAX((入金明細!$F$5:$F$1004=A267)*入金明細!$B$5:$B$1004)))</f>
        <v/>
      </c>
      <c r="R267" s="18"/>
      <c r="S267" s="26" t="str">
        <f aca="false">IF(OR(A267="",I267=""),"",I267-N(P267)-N(R267))</f>
        <v/>
      </c>
      <c r="T267" s="28"/>
      <c r="U267" s="29" t="str">
        <f aca="false">IF(A267="","",IF(T267="取消","取消",IF(W267&lt;&gt;"","要入力",IF(N267="","未送付",IF(S267=0,"入金済",IF(S267&lt;0,"過入金",IF(設定!$C$5&gt;L267,IF(P267&gt;0,"一部入金・超過","期日超過"),IF(P267&gt;0,"一部入金",IF(L267-設定!$C$5&lt;=設定!$C$6,"期日間近","入金待ち")))))))))</f>
        <v/>
      </c>
      <c r="V267" s="30" t="str">
        <f aca="false">IF(OR(U267="期日超過",U267="一部入金・超過"),設定!$C$5-L267,"")</f>
        <v/>
      </c>
      <c r="W267" s="21" t="str">
        <f aca="false">IF(A267="","",TRIM(IF(B267="","請求日 ","")&amp;IF(C267="","取引先 ",IF(D267="コード誤り","取引先コード誤り ",""))&amp;IF(E267="","件名 ","")&amp;IF(F267="","税抜金額 ","")&amp;IF(G267="","税率 ","")&amp;IF(M267="","送付方法 ","")&amp;IF(AND(N267&lt;&gt;"",O267=""),"送付者 ","")&amp;IF(AND(I267&lt;&gt;"",L267=""),"入金期日 ","")&amp;IF(AND(N267&lt;&gt;"",P267&gt;0,S267&lt;=0,X267=""),"消込確認者 ","")))</f>
        <v/>
      </c>
      <c r="X267" s="28"/>
      <c r="Y267" s="28"/>
    </row>
    <row r="268" customFormat="false" ht="15" hidden="false" customHeight="false" outlineLevel="0" collapsed="false">
      <c r="A268" s="21" t="str">
        <f aca="false">IF(COUNTA(B268,C268,E268,F268)=0,"",設定!$C$4&amp;TEXT(ROW()-4,"00000"))</f>
        <v/>
      </c>
      <c r="B268" s="22"/>
      <c r="C268" s="23"/>
      <c r="D268" s="21" t="str">
        <f aca="false">IF(C268="","",IFERROR(INDEX(取引先マスタ!$B$5:$B$204,MATCH($C268,取引先マスタ!$A$5:$A$204,0)),"コード誤り"))</f>
        <v/>
      </c>
      <c r="E268" s="28"/>
      <c r="F268" s="18"/>
      <c r="G268" s="25"/>
      <c r="H268" s="26" t="str">
        <f aca="false">IF(OR(F268="",G268=""),"",ROUNDDOWN(F268*G268,0))</f>
        <v/>
      </c>
      <c r="I268" s="26" t="str">
        <f aca="false">IF(OR(F268="",G268=""),"",F268+H268)</f>
        <v/>
      </c>
      <c r="J268" s="27" t="str">
        <f aca="false">IF(OR(B268="",C268="",D268="コード誤り"),"",IFERROR(DATE(YEAR(B268),MONTH(B268)+INDEX(取引先マスタ!$E$5:$E$204,MATCH($C268,取引先マスタ!$A$5:$A$204,0)),MIN(INDEX(取引先マスタ!$F$5:$F$204,MATCH($C268,取引先マスタ!$A$5:$A$204,0)),DAY(EOMONTH(B268,INDEX(取引先マスタ!$E$5:$E$204,MATCH($C268,取引先マスタ!$A$5:$A$204,0)))))),""))</f>
        <v/>
      </c>
      <c r="K268" s="22"/>
      <c r="L268" s="27" t="str">
        <f aca="false">IF(K268&lt;&gt;"",K268,J268)</f>
        <v/>
      </c>
      <c r="M268" s="28"/>
      <c r="N268" s="22"/>
      <c r="O268" s="28"/>
      <c r="P268" s="26" t="str">
        <f aca="false">IF(A268="","",SUMIF(入金明細!$F$5:$F$1004,A268,入金明細!$E$5:$E$1004))</f>
        <v/>
      </c>
      <c r="Q268" s="27" t="str">
        <f aca="false">IF(OR(A268="",N(P268)=0),"",SUMPRODUCT(MAX((入金明細!$F$5:$F$1004=A268)*入金明細!$B$5:$B$1004)))</f>
        <v/>
      </c>
      <c r="R268" s="18"/>
      <c r="S268" s="26" t="str">
        <f aca="false">IF(OR(A268="",I268=""),"",I268-N(P268)-N(R268))</f>
        <v/>
      </c>
      <c r="T268" s="28"/>
      <c r="U268" s="29" t="str">
        <f aca="false">IF(A268="","",IF(T268="取消","取消",IF(W268&lt;&gt;"","要入力",IF(N268="","未送付",IF(S268=0,"入金済",IF(S268&lt;0,"過入金",IF(設定!$C$5&gt;L268,IF(P268&gt;0,"一部入金・超過","期日超過"),IF(P268&gt;0,"一部入金",IF(L268-設定!$C$5&lt;=設定!$C$6,"期日間近","入金待ち")))))))))</f>
        <v/>
      </c>
      <c r="V268" s="30" t="str">
        <f aca="false">IF(OR(U268="期日超過",U268="一部入金・超過"),設定!$C$5-L268,"")</f>
        <v/>
      </c>
      <c r="W268" s="21" t="str">
        <f aca="false">IF(A268="","",TRIM(IF(B268="","請求日 ","")&amp;IF(C268="","取引先 ",IF(D268="コード誤り","取引先コード誤り ",""))&amp;IF(E268="","件名 ","")&amp;IF(F268="","税抜金額 ","")&amp;IF(G268="","税率 ","")&amp;IF(M268="","送付方法 ","")&amp;IF(AND(N268&lt;&gt;"",O268=""),"送付者 ","")&amp;IF(AND(I268&lt;&gt;"",L268=""),"入金期日 ","")&amp;IF(AND(N268&lt;&gt;"",P268&gt;0,S268&lt;=0,X268=""),"消込確認者 ","")))</f>
        <v/>
      </c>
      <c r="X268" s="28"/>
      <c r="Y268" s="28"/>
    </row>
    <row r="269" customFormat="false" ht="15" hidden="false" customHeight="false" outlineLevel="0" collapsed="false">
      <c r="A269" s="21" t="str">
        <f aca="false">IF(COUNTA(B269,C269,E269,F269)=0,"",設定!$C$4&amp;TEXT(ROW()-4,"00000"))</f>
        <v/>
      </c>
      <c r="B269" s="22"/>
      <c r="C269" s="23"/>
      <c r="D269" s="21" t="str">
        <f aca="false">IF(C269="","",IFERROR(INDEX(取引先マスタ!$B$5:$B$204,MATCH($C269,取引先マスタ!$A$5:$A$204,0)),"コード誤り"))</f>
        <v/>
      </c>
      <c r="E269" s="28"/>
      <c r="F269" s="18"/>
      <c r="G269" s="25"/>
      <c r="H269" s="26" t="str">
        <f aca="false">IF(OR(F269="",G269=""),"",ROUNDDOWN(F269*G269,0))</f>
        <v/>
      </c>
      <c r="I269" s="26" t="str">
        <f aca="false">IF(OR(F269="",G269=""),"",F269+H269)</f>
        <v/>
      </c>
      <c r="J269" s="27" t="str">
        <f aca="false">IF(OR(B269="",C269="",D269="コード誤り"),"",IFERROR(DATE(YEAR(B269),MONTH(B269)+INDEX(取引先マスタ!$E$5:$E$204,MATCH($C269,取引先マスタ!$A$5:$A$204,0)),MIN(INDEX(取引先マスタ!$F$5:$F$204,MATCH($C269,取引先マスタ!$A$5:$A$204,0)),DAY(EOMONTH(B269,INDEX(取引先マスタ!$E$5:$E$204,MATCH($C269,取引先マスタ!$A$5:$A$204,0)))))),""))</f>
        <v/>
      </c>
      <c r="K269" s="22"/>
      <c r="L269" s="27" t="str">
        <f aca="false">IF(K269&lt;&gt;"",K269,J269)</f>
        <v/>
      </c>
      <c r="M269" s="28"/>
      <c r="N269" s="22"/>
      <c r="O269" s="28"/>
      <c r="P269" s="26" t="str">
        <f aca="false">IF(A269="","",SUMIF(入金明細!$F$5:$F$1004,A269,入金明細!$E$5:$E$1004))</f>
        <v/>
      </c>
      <c r="Q269" s="27" t="str">
        <f aca="false">IF(OR(A269="",N(P269)=0),"",SUMPRODUCT(MAX((入金明細!$F$5:$F$1004=A269)*入金明細!$B$5:$B$1004)))</f>
        <v/>
      </c>
      <c r="R269" s="18"/>
      <c r="S269" s="26" t="str">
        <f aca="false">IF(OR(A269="",I269=""),"",I269-N(P269)-N(R269))</f>
        <v/>
      </c>
      <c r="T269" s="28"/>
      <c r="U269" s="29" t="str">
        <f aca="false">IF(A269="","",IF(T269="取消","取消",IF(W269&lt;&gt;"","要入力",IF(N269="","未送付",IF(S269=0,"入金済",IF(S269&lt;0,"過入金",IF(設定!$C$5&gt;L269,IF(P269&gt;0,"一部入金・超過","期日超過"),IF(P269&gt;0,"一部入金",IF(L269-設定!$C$5&lt;=設定!$C$6,"期日間近","入金待ち")))))))))</f>
        <v/>
      </c>
      <c r="V269" s="30" t="str">
        <f aca="false">IF(OR(U269="期日超過",U269="一部入金・超過"),設定!$C$5-L269,"")</f>
        <v/>
      </c>
      <c r="W269" s="21" t="str">
        <f aca="false">IF(A269="","",TRIM(IF(B269="","請求日 ","")&amp;IF(C269="","取引先 ",IF(D269="コード誤り","取引先コード誤り ",""))&amp;IF(E269="","件名 ","")&amp;IF(F269="","税抜金額 ","")&amp;IF(G269="","税率 ","")&amp;IF(M269="","送付方法 ","")&amp;IF(AND(N269&lt;&gt;"",O269=""),"送付者 ","")&amp;IF(AND(I269&lt;&gt;"",L269=""),"入金期日 ","")&amp;IF(AND(N269&lt;&gt;"",P269&gt;0,S269&lt;=0,X269=""),"消込確認者 ","")))</f>
        <v/>
      </c>
      <c r="X269" s="28"/>
      <c r="Y269" s="28"/>
    </row>
    <row r="270" customFormat="false" ht="15" hidden="false" customHeight="false" outlineLevel="0" collapsed="false">
      <c r="A270" s="21" t="str">
        <f aca="false">IF(COUNTA(B270,C270,E270,F270)=0,"",設定!$C$4&amp;TEXT(ROW()-4,"00000"))</f>
        <v/>
      </c>
      <c r="B270" s="22"/>
      <c r="C270" s="23"/>
      <c r="D270" s="21" t="str">
        <f aca="false">IF(C270="","",IFERROR(INDEX(取引先マスタ!$B$5:$B$204,MATCH($C270,取引先マスタ!$A$5:$A$204,0)),"コード誤り"))</f>
        <v/>
      </c>
      <c r="E270" s="28"/>
      <c r="F270" s="18"/>
      <c r="G270" s="25"/>
      <c r="H270" s="26" t="str">
        <f aca="false">IF(OR(F270="",G270=""),"",ROUNDDOWN(F270*G270,0))</f>
        <v/>
      </c>
      <c r="I270" s="26" t="str">
        <f aca="false">IF(OR(F270="",G270=""),"",F270+H270)</f>
        <v/>
      </c>
      <c r="J270" s="27" t="str">
        <f aca="false">IF(OR(B270="",C270="",D270="コード誤り"),"",IFERROR(DATE(YEAR(B270),MONTH(B270)+INDEX(取引先マスタ!$E$5:$E$204,MATCH($C270,取引先マスタ!$A$5:$A$204,0)),MIN(INDEX(取引先マスタ!$F$5:$F$204,MATCH($C270,取引先マスタ!$A$5:$A$204,0)),DAY(EOMONTH(B270,INDEX(取引先マスタ!$E$5:$E$204,MATCH($C270,取引先マスタ!$A$5:$A$204,0)))))),""))</f>
        <v/>
      </c>
      <c r="K270" s="22"/>
      <c r="L270" s="27" t="str">
        <f aca="false">IF(K270&lt;&gt;"",K270,J270)</f>
        <v/>
      </c>
      <c r="M270" s="28"/>
      <c r="N270" s="22"/>
      <c r="O270" s="28"/>
      <c r="P270" s="26" t="str">
        <f aca="false">IF(A270="","",SUMIF(入金明細!$F$5:$F$1004,A270,入金明細!$E$5:$E$1004))</f>
        <v/>
      </c>
      <c r="Q270" s="27" t="str">
        <f aca="false">IF(OR(A270="",N(P270)=0),"",SUMPRODUCT(MAX((入金明細!$F$5:$F$1004=A270)*入金明細!$B$5:$B$1004)))</f>
        <v/>
      </c>
      <c r="R270" s="18"/>
      <c r="S270" s="26" t="str">
        <f aca="false">IF(OR(A270="",I270=""),"",I270-N(P270)-N(R270))</f>
        <v/>
      </c>
      <c r="T270" s="28"/>
      <c r="U270" s="29" t="str">
        <f aca="false">IF(A270="","",IF(T270="取消","取消",IF(W270&lt;&gt;"","要入力",IF(N270="","未送付",IF(S270=0,"入金済",IF(S270&lt;0,"過入金",IF(設定!$C$5&gt;L270,IF(P270&gt;0,"一部入金・超過","期日超過"),IF(P270&gt;0,"一部入金",IF(L270-設定!$C$5&lt;=設定!$C$6,"期日間近","入金待ち")))))))))</f>
        <v/>
      </c>
      <c r="V270" s="30" t="str">
        <f aca="false">IF(OR(U270="期日超過",U270="一部入金・超過"),設定!$C$5-L270,"")</f>
        <v/>
      </c>
      <c r="W270" s="21" t="str">
        <f aca="false">IF(A270="","",TRIM(IF(B270="","請求日 ","")&amp;IF(C270="","取引先 ",IF(D270="コード誤り","取引先コード誤り ",""))&amp;IF(E270="","件名 ","")&amp;IF(F270="","税抜金額 ","")&amp;IF(G270="","税率 ","")&amp;IF(M270="","送付方法 ","")&amp;IF(AND(N270&lt;&gt;"",O270=""),"送付者 ","")&amp;IF(AND(I270&lt;&gt;"",L270=""),"入金期日 ","")&amp;IF(AND(N270&lt;&gt;"",P270&gt;0,S270&lt;=0,X270=""),"消込確認者 ","")))</f>
        <v/>
      </c>
      <c r="X270" s="28"/>
      <c r="Y270" s="28"/>
    </row>
    <row r="271" customFormat="false" ht="15" hidden="false" customHeight="false" outlineLevel="0" collapsed="false">
      <c r="A271" s="21" t="str">
        <f aca="false">IF(COUNTA(B271,C271,E271,F271)=0,"",設定!$C$4&amp;TEXT(ROW()-4,"00000"))</f>
        <v/>
      </c>
      <c r="B271" s="22"/>
      <c r="C271" s="23"/>
      <c r="D271" s="21" t="str">
        <f aca="false">IF(C271="","",IFERROR(INDEX(取引先マスタ!$B$5:$B$204,MATCH($C271,取引先マスタ!$A$5:$A$204,0)),"コード誤り"))</f>
        <v/>
      </c>
      <c r="E271" s="28"/>
      <c r="F271" s="18"/>
      <c r="G271" s="25"/>
      <c r="H271" s="26" t="str">
        <f aca="false">IF(OR(F271="",G271=""),"",ROUNDDOWN(F271*G271,0))</f>
        <v/>
      </c>
      <c r="I271" s="26" t="str">
        <f aca="false">IF(OR(F271="",G271=""),"",F271+H271)</f>
        <v/>
      </c>
      <c r="J271" s="27" t="str">
        <f aca="false">IF(OR(B271="",C271="",D271="コード誤り"),"",IFERROR(DATE(YEAR(B271),MONTH(B271)+INDEX(取引先マスタ!$E$5:$E$204,MATCH($C271,取引先マスタ!$A$5:$A$204,0)),MIN(INDEX(取引先マスタ!$F$5:$F$204,MATCH($C271,取引先マスタ!$A$5:$A$204,0)),DAY(EOMONTH(B271,INDEX(取引先マスタ!$E$5:$E$204,MATCH($C271,取引先マスタ!$A$5:$A$204,0)))))),""))</f>
        <v/>
      </c>
      <c r="K271" s="22"/>
      <c r="L271" s="27" t="str">
        <f aca="false">IF(K271&lt;&gt;"",K271,J271)</f>
        <v/>
      </c>
      <c r="M271" s="28"/>
      <c r="N271" s="22"/>
      <c r="O271" s="28"/>
      <c r="P271" s="26" t="str">
        <f aca="false">IF(A271="","",SUMIF(入金明細!$F$5:$F$1004,A271,入金明細!$E$5:$E$1004))</f>
        <v/>
      </c>
      <c r="Q271" s="27" t="str">
        <f aca="false">IF(OR(A271="",N(P271)=0),"",SUMPRODUCT(MAX((入金明細!$F$5:$F$1004=A271)*入金明細!$B$5:$B$1004)))</f>
        <v/>
      </c>
      <c r="R271" s="18"/>
      <c r="S271" s="26" t="str">
        <f aca="false">IF(OR(A271="",I271=""),"",I271-N(P271)-N(R271))</f>
        <v/>
      </c>
      <c r="T271" s="28"/>
      <c r="U271" s="29" t="str">
        <f aca="false">IF(A271="","",IF(T271="取消","取消",IF(W271&lt;&gt;"","要入力",IF(N271="","未送付",IF(S271=0,"入金済",IF(S271&lt;0,"過入金",IF(設定!$C$5&gt;L271,IF(P271&gt;0,"一部入金・超過","期日超過"),IF(P271&gt;0,"一部入金",IF(L271-設定!$C$5&lt;=設定!$C$6,"期日間近","入金待ち")))))))))</f>
        <v/>
      </c>
      <c r="V271" s="30" t="str">
        <f aca="false">IF(OR(U271="期日超過",U271="一部入金・超過"),設定!$C$5-L271,"")</f>
        <v/>
      </c>
      <c r="W271" s="21" t="str">
        <f aca="false">IF(A271="","",TRIM(IF(B271="","請求日 ","")&amp;IF(C271="","取引先 ",IF(D271="コード誤り","取引先コード誤り ",""))&amp;IF(E271="","件名 ","")&amp;IF(F271="","税抜金額 ","")&amp;IF(G271="","税率 ","")&amp;IF(M271="","送付方法 ","")&amp;IF(AND(N271&lt;&gt;"",O271=""),"送付者 ","")&amp;IF(AND(I271&lt;&gt;"",L271=""),"入金期日 ","")&amp;IF(AND(N271&lt;&gt;"",P271&gt;0,S271&lt;=0,X271=""),"消込確認者 ","")))</f>
        <v/>
      </c>
      <c r="X271" s="28"/>
      <c r="Y271" s="28"/>
    </row>
    <row r="272" customFormat="false" ht="15" hidden="false" customHeight="false" outlineLevel="0" collapsed="false">
      <c r="A272" s="21" t="str">
        <f aca="false">IF(COUNTA(B272,C272,E272,F272)=0,"",設定!$C$4&amp;TEXT(ROW()-4,"00000"))</f>
        <v/>
      </c>
      <c r="B272" s="22"/>
      <c r="C272" s="23"/>
      <c r="D272" s="21" t="str">
        <f aca="false">IF(C272="","",IFERROR(INDEX(取引先マスタ!$B$5:$B$204,MATCH($C272,取引先マスタ!$A$5:$A$204,0)),"コード誤り"))</f>
        <v/>
      </c>
      <c r="E272" s="28"/>
      <c r="F272" s="18"/>
      <c r="G272" s="25"/>
      <c r="H272" s="26" t="str">
        <f aca="false">IF(OR(F272="",G272=""),"",ROUNDDOWN(F272*G272,0))</f>
        <v/>
      </c>
      <c r="I272" s="26" t="str">
        <f aca="false">IF(OR(F272="",G272=""),"",F272+H272)</f>
        <v/>
      </c>
      <c r="J272" s="27" t="str">
        <f aca="false">IF(OR(B272="",C272="",D272="コード誤り"),"",IFERROR(DATE(YEAR(B272),MONTH(B272)+INDEX(取引先マスタ!$E$5:$E$204,MATCH($C272,取引先マスタ!$A$5:$A$204,0)),MIN(INDEX(取引先マスタ!$F$5:$F$204,MATCH($C272,取引先マスタ!$A$5:$A$204,0)),DAY(EOMONTH(B272,INDEX(取引先マスタ!$E$5:$E$204,MATCH($C272,取引先マスタ!$A$5:$A$204,0)))))),""))</f>
        <v/>
      </c>
      <c r="K272" s="22"/>
      <c r="L272" s="27" t="str">
        <f aca="false">IF(K272&lt;&gt;"",K272,J272)</f>
        <v/>
      </c>
      <c r="M272" s="28"/>
      <c r="N272" s="22"/>
      <c r="O272" s="28"/>
      <c r="P272" s="26" t="str">
        <f aca="false">IF(A272="","",SUMIF(入金明細!$F$5:$F$1004,A272,入金明細!$E$5:$E$1004))</f>
        <v/>
      </c>
      <c r="Q272" s="27" t="str">
        <f aca="false">IF(OR(A272="",N(P272)=0),"",SUMPRODUCT(MAX((入金明細!$F$5:$F$1004=A272)*入金明細!$B$5:$B$1004)))</f>
        <v/>
      </c>
      <c r="R272" s="18"/>
      <c r="S272" s="26" t="str">
        <f aca="false">IF(OR(A272="",I272=""),"",I272-N(P272)-N(R272))</f>
        <v/>
      </c>
      <c r="T272" s="28"/>
      <c r="U272" s="29" t="str">
        <f aca="false">IF(A272="","",IF(T272="取消","取消",IF(W272&lt;&gt;"","要入力",IF(N272="","未送付",IF(S272=0,"入金済",IF(S272&lt;0,"過入金",IF(設定!$C$5&gt;L272,IF(P272&gt;0,"一部入金・超過","期日超過"),IF(P272&gt;0,"一部入金",IF(L272-設定!$C$5&lt;=設定!$C$6,"期日間近","入金待ち")))))))))</f>
        <v/>
      </c>
      <c r="V272" s="30" t="str">
        <f aca="false">IF(OR(U272="期日超過",U272="一部入金・超過"),設定!$C$5-L272,"")</f>
        <v/>
      </c>
      <c r="W272" s="21" t="str">
        <f aca="false">IF(A272="","",TRIM(IF(B272="","請求日 ","")&amp;IF(C272="","取引先 ",IF(D272="コード誤り","取引先コード誤り ",""))&amp;IF(E272="","件名 ","")&amp;IF(F272="","税抜金額 ","")&amp;IF(G272="","税率 ","")&amp;IF(M272="","送付方法 ","")&amp;IF(AND(N272&lt;&gt;"",O272=""),"送付者 ","")&amp;IF(AND(I272&lt;&gt;"",L272=""),"入金期日 ","")&amp;IF(AND(N272&lt;&gt;"",P272&gt;0,S272&lt;=0,X272=""),"消込確認者 ","")))</f>
        <v/>
      </c>
      <c r="X272" s="28"/>
      <c r="Y272" s="28"/>
    </row>
    <row r="273" customFormat="false" ht="15" hidden="false" customHeight="false" outlineLevel="0" collapsed="false">
      <c r="A273" s="21" t="str">
        <f aca="false">IF(COUNTA(B273,C273,E273,F273)=0,"",設定!$C$4&amp;TEXT(ROW()-4,"00000"))</f>
        <v/>
      </c>
      <c r="B273" s="22"/>
      <c r="C273" s="23"/>
      <c r="D273" s="21" t="str">
        <f aca="false">IF(C273="","",IFERROR(INDEX(取引先マスタ!$B$5:$B$204,MATCH($C273,取引先マスタ!$A$5:$A$204,0)),"コード誤り"))</f>
        <v/>
      </c>
      <c r="E273" s="28"/>
      <c r="F273" s="18"/>
      <c r="G273" s="25"/>
      <c r="H273" s="26" t="str">
        <f aca="false">IF(OR(F273="",G273=""),"",ROUNDDOWN(F273*G273,0))</f>
        <v/>
      </c>
      <c r="I273" s="26" t="str">
        <f aca="false">IF(OR(F273="",G273=""),"",F273+H273)</f>
        <v/>
      </c>
      <c r="J273" s="27" t="str">
        <f aca="false">IF(OR(B273="",C273="",D273="コード誤り"),"",IFERROR(DATE(YEAR(B273),MONTH(B273)+INDEX(取引先マスタ!$E$5:$E$204,MATCH($C273,取引先マスタ!$A$5:$A$204,0)),MIN(INDEX(取引先マスタ!$F$5:$F$204,MATCH($C273,取引先マスタ!$A$5:$A$204,0)),DAY(EOMONTH(B273,INDEX(取引先マスタ!$E$5:$E$204,MATCH($C273,取引先マスタ!$A$5:$A$204,0)))))),""))</f>
        <v/>
      </c>
      <c r="K273" s="22"/>
      <c r="L273" s="27" t="str">
        <f aca="false">IF(K273&lt;&gt;"",K273,J273)</f>
        <v/>
      </c>
      <c r="M273" s="28"/>
      <c r="N273" s="22"/>
      <c r="O273" s="28"/>
      <c r="P273" s="26" t="str">
        <f aca="false">IF(A273="","",SUMIF(入金明細!$F$5:$F$1004,A273,入金明細!$E$5:$E$1004))</f>
        <v/>
      </c>
      <c r="Q273" s="27" t="str">
        <f aca="false">IF(OR(A273="",N(P273)=0),"",SUMPRODUCT(MAX((入金明細!$F$5:$F$1004=A273)*入金明細!$B$5:$B$1004)))</f>
        <v/>
      </c>
      <c r="R273" s="18"/>
      <c r="S273" s="26" t="str">
        <f aca="false">IF(OR(A273="",I273=""),"",I273-N(P273)-N(R273))</f>
        <v/>
      </c>
      <c r="T273" s="28"/>
      <c r="U273" s="29" t="str">
        <f aca="false">IF(A273="","",IF(T273="取消","取消",IF(W273&lt;&gt;"","要入力",IF(N273="","未送付",IF(S273=0,"入金済",IF(S273&lt;0,"過入金",IF(設定!$C$5&gt;L273,IF(P273&gt;0,"一部入金・超過","期日超過"),IF(P273&gt;0,"一部入金",IF(L273-設定!$C$5&lt;=設定!$C$6,"期日間近","入金待ち")))))))))</f>
        <v/>
      </c>
      <c r="V273" s="30" t="str">
        <f aca="false">IF(OR(U273="期日超過",U273="一部入金・超過"),設定!$C$5-L273,"")</f>
        <v/>
      </c>
      <c r="W273" s="21" t="str">
        <f aca="false">IF(A273="","",TRIM(IF(B273="","請求日 ","")&amp;IF(C273="","取引先 ",IF(D273="コード誤り","取引先コード誤り ",""))&amp;IF(E273="","件名 ","")&amp;IF(F273="","税抜金額 ","")&amp;IF(G273="","税率 ","")&amp;IF(M273="","送付方法 ","")&amp;IF(AND(N273&lt;&gt;"",O273=""),"送付者 ","")&amp;IF(AND(I273&lt;&gt;"",L273=""),"入金期日 ","")&amp;IF(AND(N273&lt;&gt;"",P273&gt;0,S273&lt;=0,X273=""),"消込確認者 ","")))</f>
        <v/>
      </c>
      <c r="X273" s="28"/>
      <c r="Y273" s="28"/>
    </row>
    <row r="274" customFormat="false" ht="15" hidden="false" customHeight="false" outlineLevel="0" collapsed="false">
      <c r="A274" s="21" t="str">
        <f aca="false">IF(COUNTA(B274,C274,E274,F274)=0,"",設定!$C$4&amp;TEXT(ROW()-4,"00000"))</f>
        <v/>
      </c>
      <c r="B274" s="22"/>
      <c r="C274" s="23"/>
      <c r="D274" s="21" t="str">
        <f aca="false">IF(C274="","",IFERROR(INDEX(取引先マスタ!$B$5:$B$204,MATCH($C274,取引先マスタ!$A$5:$A$204,0)),"コード誤り"))</f>
        <v/>
      </c>
      <c r="E274" s="28"/>
      <c r="F274" s="18"/>
      <c r="G274" s="25"/>
      <c r="H274" s="26" t="str">
        <f aca="false">IF(OR(F274="",G274=""),"",ROUNDDOWN(F274*G274,0))</f>
        <v/>
      </c>
      <c r="I274" s="26" t="str">
        <f aca="false">IF(OR(F274="",G274=""),"",F274+H274)</f>
        <v/>
      </c>
      <c r="J274" s="27" t="str">
        <f aca="false">IF(OR(B274="",C274="",D274="コード誤り"),"",IFERROR(DATE(YEAR(B274),MONTH(B274)+INDEX(取引先マスタ!$E$5:$E$204,MATCH($C274,取引先マスタ!$A$5:$A$204,0)),MIN(INDEX(取引先マスタ!$F$5:$F$204,MATCH($C274,取引先マスタ!$A$5:$A$204,0)),DAY(EOMONTH(B274,INDEX(取引先マスタ!$E$5:$E$204,MATCH($C274,取引先マスタ!$A$5:$A$204,0)))))),""))</f>
        <v/>
      </c>
      <c r="K274" s="22"/>
      <c r="L274" s="27" t="str">
        <f aca="false">IF(K274&lt;&gt;"",K274,J274)</f>
        <v/>
      </c>
      <c r="M274" s="28"/>
      <c r="N274" s="22"/>
      <c r="O274" s="28"/>
      <c r="P274" s="26" t="str">
        <f aca="false">IF(A274="","",SUMIF(入金明細!$F$5:$F$1004,A274,入金明細!$E$5:$E$1004))</f>
        <v/>
      </c>
      <c r="Q274" s="27" t="str">
        <f aca="false">IF(OR(A274="",N(P274)=0),"",SUMPRODUCT(MAX((入金明細!$F$5:$F$1004=A274)*入金明細!$B$5:$B$1004)))</f>
        <v/>
      </c>
      <c r="R274" s="18"/>
      <c r="S274" s="26" t="str">
        <f aca="false">IF(OR(A274="",I274=""),"",I274-N(P274)-N(R274))</f>
        <v/>
      </c>
      <c r="T274" s="28"/>
      <c r="U274" s="29" t="str">
        <f aca="false">IF(A274="","",IF(T274="取消","取消",IF(W274&lt;&gt;"","要入力",IF(N274="","未送付",IF(S274=0,"入金済",IF(S274&lt;0,"過入金",IF(設定!$C$5&gt;L274,IF(P274&gt;0,"一部入金・超過","期日超過"),IF(P274&gt;0,"一部入金",IF(L274-設定!$C$5&lt;=設定!$C$6,"期日間近","入金待ち")))))))))</f>
        <v/>
      </c>
      <c r="V274" s="30" t="str">
        <f aca="false">IF(OR(U274="期日超過",U274="一部入金・超過"),設定!$C$5-L274,"")</f>
        <v/>
      </c>
      <c r="W274" s="21" t="str">
        <f aca="false">IF(A274="","",TRIM(IF(B274="","請求日 ","")&amp;IF(C274="","取引先 ",IF(D274="コード誤り","取引先コード誤り ",""))&amp;IF(E274="","件名 ","")&amp;IF(F274="","税抜金額 ","")&amp;IF(G274="","税率 ","")&amp;IF(M274="","送付方法 ","")&amp;IF(AND(N274&lt;&gt;"",O274=""),"送付者 ","")&amp;IF(AND(I274&lt;&gt;"",L274=""),"入金期日 ","")&amp;IF(AND(N274&lt;&gt;"",P274&gt;0,S274&lt;=0,X274=""),"消込確認者 ","")))</f>
        <v/>
      </c>
      <c r="X274" s="28"/>
      <c r="Y274" s="28"/>
    </row>
    <row r="275" customFormat="false" ht="15" hidden="false" customHeight="false" outlineLevel="0" collapsed="false">
      <c r="A275" s="21" t="str">
        <f aca="false">IF(COUNTA(B275,C275,E275,F275)=0,"",設定!$C$4&amp;TEXT(ROW()-4,"00000"))</f>
        <v/>
      </c>
      <c r="B275" s="22"/>
      <c r="C275" s="23"/>
      <c r="D275" s="21" t="str">
        <f aca="false">IF(C275="","",IFERROR(INDEX(取引先マスタ!$B$5:$B$204,MATCH($C275,取引先マスタ!$A$5:$A$204,0)),"コード誤り"))</f>
        <v/>
      </c>
      <c r="E275" s="28"/>
      <c r="F275" s="18"/>
      <c r="G275" s="25"/>
      <c r="H275" s="26" t="str">
        <f aca="false">IF(OR(F275="",G275=""),"",ROUNDDOWN(F275*G275,0))</f>
        <v/>
      </c>
      <c r="I275" s="26" t="str">
        <f aca="false">IF(OR(F275="",G275=""),"",F275+H275)</f>
        <v/>
      </c>
      <c r="J275" s="27" t="str">
        <f aca="false">IF(OR(B275="",C275="",D275="コード誤り"),"",IFERROR(DATE(YEAR(B275),MONTH(B275)+INDEX(取引先マスタ!$E$5:$E$204,MATCH($C275,取引先マスタ!$A$5:$A$204,0)),MIN(INDEX(取引先マスタ!$F$5:$F$204,MATCH($C275,取引先マスタ!$A$5:$A$204,0)),DAY(EOMONTH(B275,INDEX(取引先マスタ!$E$5:$E$204,MATCH($C275,取引先マスタ!$A$5:$A$204,0)))))),""))</f>
        <v/>
      </c>
      <c r="K275" s="22"/>
      <c r="L275" s="27" t="str">
        <f aca="false">IF(K275&lt;&gt;"",K275,J275)</f>
        <v/>
      </c>
      <c r="M275" s="28"/>
      <c r="N275" s="22"/>
      <c r="O275" s="28"/>
      <c r="P275" s="26" t="str">
        <f aca="false">IF(A275="","",SUMIF(入金明細!$F$5:$F$1004,A275,入金明細!$E$5:$E$1004))</f>
        <v/>
      </c>
      <c r="Q275" s="27" t="str">
        <f aca="false">IF(OR(A275="",N(P275)=0),"",SUMPRODUCT(MAX((入金明細!$F$5:$F$1004=A275)*入金明細!$B$5:$B$1004)))</f>
        <v/>
      </c>
      <c r="R275" s="18"/>
      <c r="S275" s="26" t="str">
        <f aca="false">IF(OR(A275="",I275=""),"",I275-N(P275)-N(R275))</f>
        <v/>
      </c>
      <c r="T275" s="28"/>
      <c r="U275" s="29" t="str">
        <f aca="false">IF(A275="","",IF(T275="取消","取消",IF(W275&lt;&gt;"","要入力",IF(N275="","未送付",IF(S275=0,"入金済",IF(S275&lt;0,"過入金",IF(設定!$C$5&gt;L275,IF(P275&gt;0,"一部入金・超過","期日超過"),IF(P275&gt;0,"一部入金",IF(L275-設定!$C$5&lt;=設定!$C$6,"期日間近","入金待ち")))))))))</f>
        <v/>
      </c>
      <c r="V275" s="30" t="str">
        <f aca="false">IF(OR(U275="期日超過",U275="一部入金・超過"),設定!$C$5-L275,"")</f>
        <v/>
      </c>
      <c r="W275" s="21" t="str">
        <f aca="false">IF(A275="","",TRIM(IF(B275="","請求日 ","")&amp;IF(C275="","取引先 ",IF(D275="コード誤り","取引先コード誤り ",""))&amp;IF(E275="","件名 ","")&amp;IF(F275="","税抜金額 ","")&amp;IF(G275="","税率 ","")&amp;IF(M275="","送付方法 ","")&amp;IF(AND(N275&lt;&gt;"",O275=""),"送付者 ","")&amp;IF(AND(I275&lt;&gt;"",L275=""),"入金期日 ","")&amp;IF(AND(N275&lt;&gt;"",P275&gt;0,S275&lt;=0,X275=""),"消込確認者 ","")))</f>
        <v/>
      </c>
      <c r="X275" s="28"/>
      <c r="Y275" s="28"/>
    </row>
    <row r="276" customFormat="false" ht="15" hidden="false" customHeight="false" outlineLevel="0" collapsed="false">
      <c r="A276" s="21" t="str">
        <f aca="false">IF(COUNTA(B276,C276,E276,F276)=0,"",設定!$C$4&amp;TEXT(ROW()-4,"00000"))</f>
        <v/>
      </c>
      <c r="B276" s="22"/>
      <c r="C276" s="23"/>
      <c r="D276" s="21" t="str">
        <f aca="false">IF(C276="","",IFERROR(INDEX(取引先マスタ!$B$5:$B$204,MATCH($C276,取引先マスタ!$A$5:$A$204,0)),"コード誤り"))</f>
        <v/>
      </c>
      <c r="E276" s="28"/>
      <c r="F276" s="18"/>
      <c r="G276" s="25"/>
      <c r="H276" s="26" t="str">
        <f aca="false">IF(OR(F276="",G276=""),"",ROUNDDOWN(F276*G276,0))</f>
        <v/>
      </c>
      <c r="I276" s="26" t="str">
        <f aca="false">IF(OR(F276="",G276=""),"",F276+H276)</f>
        <v/>
      </c>
      <c r="J276" s="27" t="str">
        <f aca="false">IF(OR(B276="",C276="",D276="コード誤り"),"",IFERROR(DATE(YEAR(B276),MONTH(B276)+INDEX(取引先マスタ!$E$5:$E$204,MATCH($C276,取引先マスタ!$A$5:$A$204,0)),MIN(INDEX(取引先マスタ!$F$5:$F$204,MATCH($C276,取引先マスタ!$A$5:$A$204,0)),DAY(EOMONTH(B276,INDEX(取引先マスタ!$E$5:$E$204,MATCH($C276,取引先マスタ!$A$5:$A$204,0)))))),""))</f>
        <v/>
      </c>
      <c r="K276" s="22"/>
      <c r="L276" s="27" t="str">
        <f aca="false">IF(K276&lt;&gt;"",K276,J276)</f>
        <v/>
      </c>
      <c r="M276" s="28"/>
      <c r="N276" s="22"/>
      <c r="O276" s="28"/>
      <c r="P276" s="26" t="str">
        <f aca="false">IF(A276="","",SUMIF(入金明細!$F$5:$F$1004,A276,入金明細!$E$5:$E$1004))</f>
        <v/>
      </c>
      <c r="Q276" s="27" t="str">
        <f aca="false">IF(OR(A276="",N(P276)=0),"",SUMPRODUCT(MAX((入金明細!$F$5:$F$1004=A276)*入金明細!$B$5:$B$1004)))</f>
        <v/>
      </c>
      <c r="R276" s="18"/>
      <c r="S276" s="26" t="str">
        <f aca="false">IF(OR(A276="",I276=""),"",I276-N(P276)-N(R276))</f>
        <v/>
      </c>
      <c r="T276" s="28"/>
      <c r="U276" s="29" t="str">
        <f aca="false">IF(A276="","",IF(T276="取消","取消",IF(W276&lt;&gt;"","要入力",IF(N276="","未送付",IF(S276=0,"入金済",IF(S276&lt;0,"過入金",IF(設定!$C$5&gt;L276,IF(P276&gt;0,"一部入金・超過","期日超過"),IF(P276&gt;0,"一部入金",IF(L276-設定!$C$5&lt;=設定!$C$6,"期日間近","入金待ち")))))))))</f>
        <v/>
      </c>
      <c r="V276" s="30" t="str">
        <f aca="false">IF(OR(U276="期日超過",U276="一部入金・超過"),設定!$C$5-L276,"")</f>
        <v/>
      </c>
      <c r="W276" s="21" t="str">
        <f aca="false">IF(A276="","",TRIM(IF(B276="","請求日 ","")&amp;IF(C276="","取引先 ",IF(D276="コード誤り","取引先コード誤り ",""))&amp;IF(E276="","件名 ","")&amp;IF(F276="","税抜金額 ","")&amp;IF(G276="","税率 ","")&amp;IF(M276="","送付方法 ","")&amp;IF(AND(N276&lt;&gt;"",O276=""),"送付者 ","")&amp;IF(AND(I276&lt;&gt;"",L276=""),"入金期日 ","")&amp;IF(AND(N276&lt;&gt;"",P276&gt;0,S276&lt;=0,X276=""),"消込確認者 ","")))</f>
        <v/>
      </c>
      <c r="X276" s="28"/>
      <c r="Y276" s="28"/>
    </row>
    <row r="277" customFormat="false" ht="15" hidden="false" customHeight="false" outlineLevel="0" collapsed="false">
      <c r="A277" s="21" t="str">
        <f aca="false">IF(COUNTA(B277,C277,E277,F277)=0,"",設定!$C$4&amp;TEXT(ROW()-4,"00000"))</f>
        <v/>
      </c>
      <c r="B277" s="22"/>
      <c r="C277" s="23"/>
      <c r="D277" s="21" t="str">
        <f aca="false">IF(C277="","",IFERROR(INDEX(取引先マスタ!$B$5:$B$204,MATCH($C277,取引先マスタ!$A$5:$A$204,0)),"コード誤り"))</f>
        <v/>
      </c>
      <c r="E277" s="28"/>
      <c r="F277" s="18"/>
      <c r="G277" s="25"/>
      <c r="H277" s="26" t="str">
        <f aca="false">IF(OR(F277="",G277=""),"",ROUNDDOWN(F277*G277,0))</f>
        <v/>
      </c>
      <c r="I277" s="26" t="str">
        <f aca="false">IF(OR(F277="",G277=""),"",F277+H277)</f>
        <v/>
      </c>
      <c r="J277" s="27" t="str">
        <f aca="false">IF(OR(B277="",C277="",D277="コード誤り"),"",IFERROR(DATE(YEAR(B277),MONTH(B277)+INDEX(取引先マスタ!$E$5:$E$204,MATCH($C277,取引先マスタ!$A$5:$A$204,0)),MIN(INDEX(取引先マスタ!$F$5:$F$204,MATCH($C277,取引先マスタ!$A$5:$A$204,0)),DAY(EOMONTH(B277,INDEX(取引先マスタ!$E$5:$E$204,MATCH($C277,取引先マスタ!$A$5:$A$204,0)))))),""))</f>
        <v/>
      </c>
      <c r="K277" s="22"/>
      <c r="L277" s="27" t="str">
        <f aca="false">IF(K277&lt;&gt;"",K277,J277)</f>
        <v/>
      </c>
      <c r="M277" s="28"/>
      <c r="N277" s="22"/>
      <c r="O277" s="28"/>
      <c r="P277" s="26" t="str">
        <f aca="false">IF(A277="","",SUMIF(入金明細!$F$5:$F$1004,A277,入金明細!$E$5:$E$1004))</f>
        <v/>
      </c>
      <c r="Q277" s="27" t="str">
        <f aca="false">IF(OR(A277="",N(P277)=0),"",SUMPRODUCT(MAX((入金明細!$F$5:$F$1004=A277)*入金明細!$B$5:$B$1004)))</f>
        <v/>
      </c>
      <c r="R277" s="18"/>
      <c r="S277" s="26" t="str">
        <f aca="false">IF(OR(A277="",I277=""),"",I277-N(P277)-N(R277))</f>
        <v/>
      </c>
      <c r="T277" s="28"/>
      <c r="U277" s="29" t="str">
        <f aca="false">IF(A277="","",IF(T277="取消","取消",IF(W277&lt;&gt;"","要入力",IF(N277="","未送付",IF(S277=0,"入金済",IF(S277&lt;0,"過入金",IF(設定!$C$5&gt;L277,IF(P277&gt;0,"一部入金・超過","期日超過"),IF(P277&gt;0,"一部入金",IF(L277-設定!$C$5&lt;=設定!$C$6,"期日間近","入金待ち")))))))))</f>
        <v/>
      </c>
      <c r="V277" s="30" t="str">
        <f aca="false">IF(OR(U277="期日超過",U277="一部入金・超過"),設定!$C$5-L277,"")</f>
        <v/>
      </c>
      <c r="W277" s="21" t="str">
        <f aca="false">IF(A277="","",TRIM(IF(B277="","請求日 ","")&amp;IF(C277="","取引先 ",IF(D277="コード誤り","取引先コード誤り ",""))&amp;IF(E277="","件名 ","")&amp;IF(F277="","税抜金額 ","")&amp;IF(G277="","税率 ","")&amp;IF(M277="","送付方法 ","")&amp;IF(AND(N277&lt;&gt;"",O277=""),"送付者 ","")&amp;IF(AND(I277&lt;&gt;"",L277=""),"入金期日 ","")&amp;IF(AND(N277&lt;&gt;"",P277&gt;0,S277&lt;=0,X277=""),"消込確認者 ","")))</f>
        <v/>
      </c>
      <c r="X277" s="28"/>
      <c r="Y277" s="28"/>
    </row>
    <row r="278" customFormat="false" ht="15" hidden="false" customHeight="false" outlineLevel="0" collapsed="false">
      <c r="A278" s="21" t="str">
        <f aca="false">IF(COUNTA(B278,C278,E278,F278)=0,"",設定!$C$4&amp;TEXT(ROW()-4,"00000"))</f>
        <v/>
      </c>
      <c r="B278" s="22"/>
      <c r="C278" s="23"/>
      <c r="D278" s="21" t="str">
        <f aca="false">IF(C278="","",IFERROR(INDEX(取引先マスタ!$B$5:$B$204,MATCH($C278,取引先マスタ!$A$5:$A$204,0)),"コード誤り"))</f>
        <v/>
      </c>
      <c r="E278" s="28"/>
      <c r="F278" s="18"/>
      <c r="G278" s="25"/>
      <c r="H278" s="26" t="str">
        <f aca="false">IF(OR(F278="",G278=""),"",ROUNDDOWN(F278*G278,0))</f>
        <v/>
      </c>
      <c r="I278" s="26" t="str">
        <f aca="false">IF(OR(F278="",G278=""),"",F278+H278)</f>
        <v/>
      </c>
      <c r="J278" s="27" t="str">
        <f aca="false">IF(OR(B278="",C278="",D278="コード誤り"),"",IFERROR(DATE(YEAR(B278),MONTH(B278)+INDEX(取引先マスタ!$E$5:$E$204,MATCH($C278,取引先マスタ!$A$5:$A$204,0)),MIN(INDEX(取引先マスタ!$F$5:$F$204,MATCH($C278,取引先マスタ!$A$5:$A$204,0)),DAY(EOMONTH(B278,INDEX(取引先マスタ!$E$5:$E$204,MATCH($C278,取引先マスタ!$A$5:$A$204,0)))))),""))</f>
        <v/>
      </c>
      <c r="K278" s="22"/>
      <c r="L278" s="27" t="str">
        <f aca="false">IF(K278&lt;&gt;"",K278,J278)</f>
        <v/>
      </c>
      <c r="M278" s="28"/>
      <c r="N278" s="22"/>
      <c r="O278" s="28"/>
      <c r="P278" s="26" t="str">
        <f aca="false">IF(A278="","",SUMIF(入金明細!$F$5:$F$1004,A278,入金明細!$E$5:$E$1004))</f>
        <v/>
      </c>
      <c r="Q278" s="27" t="str">
        <f aca="false">IF(OR(A278="",N(P278)=0),"",SUMPRODUCT(MAX((入金明細!$F$5:$F$1004=A278)*入金明細!$B$5:$B$1004)))</f>
        <v/>
      </c>
      <c r="R278" s="18"/>
      <c r="S278" s="26" t="str">
        <f aca="false">IF(OR(A278="",I278=""),"",I278-N(P278)-N(R278))</f>
        <v/>
      </c>
      <c r="T278" s="28"/>
      <c r="U278" s="29" t="str">
        <f aca="false">IF(A278="","",IF(T278="取消","取消",IF(W278&lt;&gt;"","要入力",IF(N278="","未送付",IF(S278=0,"入金済",IF(S278&lt;0,"過入金",IF(設定!$C$5&gt;L278,IF(P278&gt;0,"一部入金・超過","期日超過"),IF(P278&gt;0,"一部入金",IF(L278-設定!$C$5&lt;=設定!$C$6,"期日間近","入金待ち")))))))))</f>
        <v/>
      </c>
      <c r="V278" s="30" t="str">
        <f aca="false">IF(OR(U278="期日超過",U278="一部入金・超過"),設定!$C$5-L278,"")</f>
        <v/>
      </c>
      <c r="W278" s="21" t="str">
        <f aca="false">IF(A278="","",TRIM(IF(B278="","請求日 ","")&amp;IF(C278="","取引先 ",IF(D278="コード誤り","取引先コード誤り ",""))&amp;IF(E278="","件名 ","")&amp;IF(F278="","税抜金額 ","")&amp;IF(G278="","税率 ","")&amp;IF(M278="","送付方法 ","")&amp;IF(AND(N278&lt;&gt;"",O278=""),"送付者 ","")&amp;IF(AND(I278&lt;&gt;"",L278=""),"入金期日 ","")&amp;IF(AND(N278&lt;&gt;"",P278&gt;0,S278&lt;=0,X278=""),"消込確認者 ","")))</f>
        <v/>
      </c>
      <c r="X278" s="28"/>
      <c r="Y278" s="28"/>
    </row>
    <row r="279" customFormat="false" ht="15" hidden="false" customHeight="false" outlineLevel="0" collapsed="false">
      <c r="A279" s="21" t="str">
        <f aca="false">IF(COUNTA(B279,C279,E279,F279)=0,"",設定!$C$4&amp;TEXT(ROW()-4,"00000"))</f>
        <v/>
      </c>
      <c r="B279" s="22"/>
      <c r="C279" s="23"/>
      <c r="D279" s="21" t="str">
        <f aca="false">IF(C279="","",IFERROR(INDEX(取引先マスタ!$B$5:$B$204,MATCH($C279,取引先マスタ!$A$5:$A$204,0)),"コード誤り"))</f>
        <v/>
      </c>
      <c r="E279" s="28"/>
      <c r="F279" s="18"/>
      <c r="G279" s="25"/>
      <c r="H279" s="26" t="str">
        <f aca="false">IF(OR(F279="",G279=""),"",ROUNDDOWN(F279*G279,0))</f>
        <v/>
      </c>
      <c r="I279" s="26" t="str">
        <f aca="false">IF(OR(F279="",G279=""),"",F279+H279)</f>
        <v/>
      </c>
      <c r="J279" s="27" t="str">
        <f aca="false">IF(OR(B279="",C279="",D279="コード誤り"),"",IFERROR(DATE(YEAR(B279),MONTH(B279)+INDEX(取引先マスタ!$E$5:$E$204,MATCH($C279,取引先マスタ!$A$5:$A$204,0)),MIN(INDEX(取引先マスタ!$F$5:$F$204,MATCH($C279,取引先マスタ!$A$5:$A$204,0)),DAY(EOMONTH(B279,INDEX(取引先マスタ!$E$5:$E$204,MATCH($C279,取引先マスタ!$A$5:$A$204,0)))))),""))</f>
        <v/>
      </c>
      <c r="K279" s="22"/>
      <c r="L279" s="27" t="str">
        <f aca="false">IF(K279&lt;&gt;"",K279,J279)</f>
        <v/>
      </c>
      <c r="M279" s="28"/>
      <c r="N279" s="22"/>
      <c r="O279" s="28"/>
      <c r="P279" s="26" t="str">
        <f aca="false">IF(A279="","",SUMIF(入金明細!$F$5:$F$1004,A279,入金明細!$E$5:$E$1004))</f>
        <v/>
      </c>
      <c r="Q279" s="27" t="str">
        <f aca="false">IF(OR(A279="",N(P279)=0),"",SUMPRODUCT(MAX((入金明細!$F$5:$F$1004=A279)*入金明細!$B$5:$B$1004)))</f>
        <v/>
      </c>
      <c r="R279" s="18"/>
      <c r="S279" s="26" t="str">
        <f aca="false">IF(OR(A279="",I279=""),"",I279-N(P279)-N(R279))</f>
        <v/>
      </c>
      <c r="T279" s="28"/>
      <c r="U279" s="29" t="str">
        <f aca="false">IF(A279="","",IF(T279="取消","取消",IF(W279&lt;&gt;"","要入力",IF(N279="","未送付",IF(S279=0,"入金済",IF(S279&lt;0,"過入金",IF(設定!$C$5&gt;L279,IF(P279&gt;0,"一部入金・超過","期日超過"),IF(P279&gt;0,"一部入金",IF(L279-設定!$C$5&lt;=設定!$C$6,"期日間近","入金待ち")))))))))</f>
        <v/>
      </c>
      <c r="V279" s="30" t="str">
        <f aca="false">IF(OR(U279="期日超過",U279="一部入金・超過"),設定!$C$5-L279,"")</f>
        <v/>
      </c>
      <c r="W279" s="21" t="str">
        <f aca="false">IF(A279="","",TRIM(IF(B279="","請求日 ","")&amp;IF(C279="","取引先 ",IF(D279="コード誤り","取引先コード誤り ",""))&amp;IF(E279="","件名 ","")&amp;IF(F279="","税抜金額 ","")&amp;IF(G279="","税率 ","")&amp;IF(M279="","送付方法 ","")&amp;IF(AND(N279&lt;&gt;"",O279=""),"送付者 ","")&amp;IF(AND(I279&lt;&gt;"",L279=""),"入金期日 ","")&amp;IF(AND(N279&lt;&gt;"",P279&gt;0,S279&lt;=0,X279=""),"消込確認者 ","")))</f>
        <v/>
      </c>
      <c r="X279" s="28"/>
      <c r="Y279" s="28"/>
    </row>
    <row r="280" customFormat="false" ht="15" hidden="false" customHeight="false" outlineLevel="0" collapsed="false">
      <c r="A280" s="21" t="str">
        <f aca="false">IF(COUNTA(B280,C280,E280,F280)=0,"",設定!$C$4&amp;TEXT(ROW()-4,"00000"))</f>
        <v/>
      </c>
      <c r="B280" s="22"/>
      <c r="C280" s="23"/>
      <c r="D280" s="21" t="str">
        <f aca="false">IF(C280="","",IFERROR(INDEX(取引先マスタ!$B$5:$B$204,MATCH($C280,取引先マスタ!$A$5:$A$204,0)),"コード誤り"))</f>
        <v/>
      </c>
      <c r="E280" s="28"/>
      <c r="F280" s="18"/>
      <c r="G280" s="25"/>
      <c r="H280" s="26" t="str">
        <f aca="false">IF(OR(F280="",G280=""),"",ROUNDDOWN(F280*G280,0))</f>
        <v/>
      </c>
      <c r="I280" s="26" t="str">
        <f aca="false">IF(OR(F280="",G280=""),"",F280+H280)</f>
        <v/>
      </c>
      <c r="J280" s="27" t="str">
        <f aca="false">IF(OR(B280="",C280="",D280="コード誤り"),"",IFERROR(DATE(YEAR(B280),MONTH(B280)+INDEX(取引先マスタ!$E$5:$E$204,MATCH($C280,取引先マスタ!$A$5:$A$204,0)),MIN(INDEX(取引先マスタ!$F$5:$F$204,MATCH($C280,取引先マスタ!$A$5:$A$204,0)),DAY(EOMONTH(B280,INDEX(取引先マスタ!$E$5:$E$204,MATCH($C280,取引先マスタ!$A$5:$A$204,0)))))),""))</f>
        <v/>
      </c>
      <c r="K280" s="22"/>
      <c r="L280" s="27" t="str">
        <f aca="false">IF(K280&lt;&gt;"",K280,J280)</f>
        <v/>
      </c>
      <c r="M280" s="28"/>
      <c r="N280" s="22"/>
      <c r="O280" s="28"/>
      <c r="P280" s="26" t="str">
        <f aca="false">IF(A280="","",SUMIF(入金明細!$F$5:$F$1004,A280,入金明細!$E$5:$E$1004))</f>
        <v/>
      </c>
      <c r="Q280" s="27" t="str">
        <f aca="false">IF(OR(A280="",N(P280)=0),"",SUMPRODUCT(MAX((入金明細!$F$5:$F$1004=A280)*入金明細!$B$5:$B$1004)))</f>
        <v/>
      </c>
      <c r="R280" s="18"/>
      <c r="S280" s="26" t="str">
        <f aca="false">IF(OR(A280="",I280=""),"",I280-N(P280)-N(R280))</f>
        <v/>
      </c>
      <c r="T280" s="28"/>
      <c r="U280" s="29" t="str">
        <f aca="false">IF(A280="","",IF(T280="取消","取消",IF(W280&lt;&gt;"","要入力",IF(N280="","未送付",IF(S280=0,"入金済",IF(S280&lt;0,"過入金",IF(設定!$C$5&gt;L280,IF(P280&gt;0,"一部入金・超過","期日超過"),IF(P280&gt;0,"一部入金",IF(L280-設定!$C$5&lt;=設定!$C$6,"期日間近","入金待ち")))))))))</f>
        <v/>
      </c>
      <c r="V280" s="30" t="str">
        <f aca="false">IF(OR(U280="期日超過",U280="一部入金・超過"),設定!$C$5-L280,"")</f>
        <v/>
      </c>
      <c r="W280" s="21" t="str">
        <f aca="false">IF(A280="","",TRIM(IF(B280="","請求日 ","")&amp;IF(C280="","取引先 ",IF(D280="コード誤り","取引先コード誤り ",""))&amp;IF(E280="","件名 ","")&amp;IF(F280="","税抜金額 ","")&amp;IF(G280="","税率 ","")&amp;IF(M280="","送付方法 ","")&amp;IF(AND(N280&lt;&gt;"",O280=""),"送付者 ","")&amp;IF(AND(I280&lt;&gt;"",L280=""),"入金期日 ","")&amp;IF(AND(N280&lt;&gt;"",P280&gt;0,S280&lt;=0,X280=""),"消込確認者 ","")))</f>
        <v/>
      </c>
      <c r="X280" s="28"/>
      <c r="Y280" s="28"/>
    </row>
    <row r="281" customFormat="false" ht="15" hidden="false" customHeight="false" outlineLevel="0" collapsed="false">
      <c r="A281" s="21" t="str">
        <f aca="false">IF(COUNTA(B281,C281,E281,F281)=0,"",設定!$C$4&amp;TEXT(ROW()-4,"00000"))</f>
        <v/>
      </c>
      <c r="B281" s="22"/>
      <c r="C281" s="23"/>
      <c r="D281" s="21" t="str">
        <f aca="false">IF(C281="","",IFERROR(INDEX(取引先マスタ!$B$5:$B$204,MATCH($C281,取引先マスタ!$A$5:$A$204,0)),"コード誤り"))</f>
        <v/>
      </c>
      <c r="E281" s="28"/>
      <c r="F281" s="18"/>
      <c r="G281" s="25"/>
      <c r="H281" s="26" t="str">
        <f aca="false">IF(OR(F281="",G281=""),"",ROUNDDOWN(F281*G281,0))</f>
        <v/>
      </c>
      <c r="I281" s="26" t="str">
        <f aca="false">IF(OR(F281="",G281=""),"",F281+H281)</f>
        <v/>
      </c>
      <c r="J281" s="27" t="str">
        <f aca="false">IF(OR(B281="",C281="",D281="コード誤り"),"",IFERROR(DATE(YEAR(B281),MONTH(B281)+INDEX(取引先マスタ!$E$5:$E$204,MATCH($C281,取引先マスタ!$A$5:$A$204,0)),MIN(INDEX(取引先マスタ!$F$5:$F$204,MATCH($C281,取引先マスタ!$A$5:$A$204,0)),DAY(EOMONTH(B281,INDEX(取引先マスタ!$E$5:$E$204,MATCH($C281,取引先マスタ!$A$5:$A$204,0)))))),""))</f>
        <v/>
      </c>
      <c r="K281" s="22"/>
      <c r="L281" s="27" t="str">
        <f aca="false">IF(K281&lt;&gt;"",K281,J281)</f>
        <v/>
      </c>
      <c r="M281" s="28"/>
      <c r="N281" s="22"/>
      <c r="O281" s="28"/>
      <c r="P281" s="26" t="str">
        <f aca="false">IF(A281="","",SUMIF(入金明細!$F$5:$F$1004,A281,入金明細!$E$5:$E$1004))</f>
        <v/>
      </c>
      <c r="Q281" s="27" t="str">
        <f aca="false">IF(OR(A281="",N(P281)=0),"",SUMPRODUCT(MAX((入金明細!$F$5:$F$1004=A281)*入金明細!$B$5:$B$1004)))</f>
        <v/>
      </c>
      <c r="R281" s="18"/>
      <c r="S281" s="26" t="str">
        <f aca="false">IF(OR(A281="",I281=""),"",I281-N(P281)-N(R281))</f>
        <v/>
      </c>
      <c r="T281" s="28"/>
      <c r="U281" s="29" t="str">
        <f aca="false">IF(A281="","",IF(T281="取消","取消",IF(W281&lt;&gt;"","要入力",IF(N281="","未送付",IF(S281=0,"入金済",IF(S281&lt;0,"過入金",IF(設定!$C$5&gt;L281,IF(P281&gt;0,"一部入金・超過","期日超過"),IF(P281&gt;0,"一部入金",IF(L281-設定!$C$5&lt;=設定!$C$6,"期日間近","入金待ち")))))))))</f>
        <v/>
      </c>
      <c r="V281" s="30" t="str">
        <f aca="false">IF(OR(U281="期日超過",U281="一部入金・超過"),設定!$C$5-L281,"")</f>
        <v/>
      </c>
      <c r="W281" s="21" t="str">
        <f aca="false">IF(A281="","",TRIM(IF(B281="","請求日 ","")&amp;IF(C281="","取引先 ",IF(D281="コード誤り","取引先コード誤り ",""))&amp;IF(E281="","件名 ","")&amp;IF(F281="","税抜金額 ","")&amp;IF(G281="","税率 ","")&amp;IF(M281="","送付方法 ","")&amp;IF(AND(N281&lt;&gt;"",O281=""),"送付者 ","")&amp;IF(AND(I281&lt;&gt;"",L281=""),"入金期日 ","")&amp;IF(AND(N281&lt;&gt;"",P281&gt;0,S281&lt;=0,X281=""),"消込確認者 ","")))</f>
        <v/>
      </c>
      <c r="X281" s="28"/>
      <c r="Y281" s="28"/>
    </row>
    <row r="282" customFormat="false" ht="15" hidden="false" customHeight="false" outlineLevel="0" collapsed="false">
      <c r="A282" s="21" t="str">
        <f aca="false">IF(COUNTA(B282,C282,E282,F282)=0,"",設定!$C$4&amp;TEXT(ROW()-4,"00000"))</f>
        <v/>
      </c>
      <c r="B282" s="22"/>
      <c r="C282" s="23"/>
      <c r="D282" s="21" t="str">
        <f aca="false">IF(C282="","",IFERROR(INDEX(取引先マスタ!$B$5:$B$204,MATCH($C282,取引先マスタ!$A$5:$A$204,0)),"コード誤り"))</f>
        <v/>
      </c>
      <c r="E282" s="28"/>
      <c r="F282" s="18"/>
      <c r="G282" s="25"/>
      <c r="H282" s="26" t="str">
        <f aca="false">IF(OR(F282="",G282=""),"",ROUNDDOWN(F282*G282,0))</f>
        <v/>
      </c>
      <c r="I282" s="26" t="str">
        <f aca="false">IF(OR(F282="",G282=""),"",F282+H282)</f>
        <v/>
      </c>
      <c r="J282" s="27" t="str">
        <f aca="false">IF(OR(B282="",C282="",D282="コード誤り"),"",IFERROR(DATE(YEAR(B282),MONTH(B282)+INDEX(取引先マスタ!$E$5:$E$204,MATCH($C282,取引先マスタ!$A$5:$A$204,0)),MIN(INDEX(取引先マスタ!$F$5:$F$204,MATCH($C282,取引先マスタ!$A$5:$A$204,0)),DAY(EOMONTH(B282,INDEX(取引先マスタ!$E$5:$E$204,MATCH($C282,取引先マスタ!$A$5:$A$204,0)))))),""))</f>
        <v/>
      </c>
      <c r="K282" s="22"/>
      <c r="L282" s="27" t="str">
        <f aca="false">IF(K282&lt;&gt;"",K282,J282)</f>
        <v/>
      </c>
      <c r="M282" s="28"/>
      <c r="N282" s="22"/>
      <c r="O282" s="28"/>
      <c r="P282" s="26" t="str">
        <f aca="false">IF(A282="","",SUMIF(入金明細!$F$5:$F$1004,A282,入金明細!$E$5:$E$1004))</f>
        <v/>
      </c>
      <c r="Q282" s="27" t="str">
        <f aca="false">IF(OR(A282="",N(P282)=0),"",SUMPRODUCT(MAX((入金明細!$F$5:$F$1004=A282)*入金明細!$B$5:$B$1004)))</f>
        <v/>
      </c>
      <c r="R282" s="18"/>
      <c r="S282" s="26" t="str">
        <f aca="false">IF(OR(A282="",I282=""),"",I282-N(P282)-N(R282))</f>
        <v/>
      </c>
      <c r="T282" s="28"/>
      <c r="U282" s="29" t="str">
        <f aca="false">IF(A282="","",IF(T282="取消","取消",IF(W282&lt;&gt;"","要入力",IF(N282="","未送付",IF(S282=0,"入金済",IF(S282&lt;0,"過入金",IF(設定!$C$5&gt;L282,IF(P282&gt;0,"一部入金・超過","期日超過"),IF(P282&gt;0,"一部入金",IF(L282-設定!$C$5&lt;=設定!$C$6,"期日間近","入金待ち")))))))))</f>
        <v/>
      </c>
      <c r="V282" s="30" t="str">
        <f aca="false">IF(OR(U282="期日超過",U282="一部入金・超過"),設定!$C$5-L282,"")</f>
        <v/>
      </c>
      <c r="W282" s="21" t="str">
        <f aca="false">IF(A282="","",TRIM(IF(B282="","請求日 ","")&amp;IF(C282="","取引先 ",IF(D282="コード誤り","取引先コード誤り ",""))&amp;IF(E282="","件名 ","")&amp;IF(F282="","税抜金額 ","")&amp;IF(G282="","税率 ","")&amp;IF(M282="","送付方法 ","")&amp;IF(AND(N282&lt;&gt;"",O282=""),"送付者 ","")&amp;IF(AND(I282&lt;&gt;"",L282=""),"入金期日 ","")&amp;IF(AND(N282&lt;&gt;"",P282&gt;0,S282&lt;=0,X282=""),"消込確認者 ","")))</f>
        <v/>
      </c>
      <c r="X282" s="28"/>
      <c r="Y282" s="28"/>
    </row>
    <row r="283" customFormat="false" ht="15" hidden="false" customHeight="false" outlineLevel="0" collapsed="false">
      <c r="A283" s="21" t="str">
        <f aca="false">IF(COUNTA(B283,C283,E283,F283)=0,"",設定!$C$4&amp;TEXT(ROW()-4,"00000"))</f>
        <v/>
      </c>
      <c r="B283" s="22"/>
      <c r="C283" s="23"/>
      <c r="D283" s="21" t="str">
        <f aca="false">IF(C283="","",IFERROR(INDEX(取引先マスタ!$B$5:$B$204,MATCH($C283,取引先マスタ!$A$5:$A$204,0)),"コード誤り"))</f>
        <v/>
      </c>
      <c r="E283" s="28"/>
      <c r="F283" s="18"/>
      <c r="G283" s="25"/>
      <c r="H283" s="26" t="str">
        <f aca="false">IF(OR(F283="",G283=""),"",ROUNDDOWN(F283*G283,0))</f>
        <v/>
      </c>
      <c r="I283" s="26" t="str">
        <f aca="false">IF(OR(F283="",G283=""),"",F283+H283)</f>
        <v/>
      </c>
      <c r="J283" s="27" t="str">
        <f aca="false">IF(OR(B283="",C283="",D283="コード誤り"),"",IFERROR(DATE(YEAR(B283),MONTH(B283)+INDEX(取引先マスタ!$E$5:$E$204,MATCH($C283,取引先マスタ!$A$5:$A$204,0)),MIN(INDEX(取引先マスタ!$F$5:$F$204,MATCH($C283,取引先マスタ!$A$5:$A$204,0)),DAY(EOMONTH(B283,INDEX(取引先マスタ!$E$5:$E$204,MATCH($C283,取引先マスタ!$A$5:$A$204,0)))))),""))</f>
        <v/>
      </c>
      <c r="K283" s="22"/>
      <c r="L283" s="27" t="str">
        <f aca="false">IF(K283&lt;&gt;"",K283,J283)</f>
        <v/>
      </c>
      <c r="M283" s="28"/>
      <c r="N283" s="22"/>
      <c r="O283" s="28"/>
      <c r="P283" s="26" t="str">
        <f aca="false">IF(A283="","",SUMIF(入金明細!$F$5:$F$1004,A283,入金明細!$E$5:$E$1004))</f>
        <v/>
      </c>
      <c r="Q283" s="27" t="str">
        <f aca="false">IF(OR(A283="",N(P283)=0),"",SUMPRODUCT(MAX((入金明細!$F$5:$F$1004=A283)*入金明細!$B$5:$B$1004)))</f>
        <v/>
      </c>
      <c r="R283" s="18"/>
      <c r="S283" s="26" t="str">
        <f aca="false">IF(OR(A283="",I283=""),"",I283-N(P283)-N(R283))</f>
        <v/>
      </c>
      <c r="T283" s="28"/>
      <c r="U283" s="29" t="str">
        <f aca="false">IF(A283="","",IF(T283="取消","取消",IF(W283&lt;&gt;"","要入力",IF(N283="","未送付",IF(S283=0,"入金済",IF(S283&lt;0,"過入金",IF(設定!$C$5&gt;L283,IF(P283&gt;0,"一部入金・超過","期日超過"),IF(P283&gt;0,"一部入金",IF(L283-設定!$C$5&lt;=設定!$C$6,"期日間近","入金待ち")))))))))</f>
        <v/>
      </c>
      <c r="V283" s="30" t="str">
        <f aca="false">IF(OR(U283="期日超過",U283="一部入金・超過"),設定!$C$5-L283,"")</f>
        <v/>
      </c>
      <c r="W283" s="21" t="str">
        <f aca="false">IF(A283="","",TRIM(IF(B283="","請求日 ","")&amp;IF(C283="","取引先 ",IF(D283="コード誤り","取引先コード誤り ",""))&amp;IF(E283="","件名 ","")&amp;IF(F283="","税抜金額 ","")&amp;IF(G283="","税率 ","")&amp;IF(M283="","送付方法 ","")&amp;IF(AND(N283&lt;&gt;"",O283=""),"送付者 ","")&amp;IF(AND(I283&lt;&gt;"",L283=""),"入金期日 ","")&amp;IF(AND(N283&lt;&gt;"",P283&gt;0,S283&lt;=0,X283=""),"消込確認者 ","")))</f>
        <v/>
      </c>
      <c r="X283" s="28"/>
      <c r="Y283" s="28"/>
    </row>
    <row r="284" customFormat="false" ht="15" hidden="false" customHeight="false" outlineLevel="0" collapsed="false">
      <c r="A284" s="21" t="str">
        <f aca="false">IF(COUNTA(B284,C284,E284,F284)=0,"",設定!$C$4&amp;TEXT(ROW()-4,"00000"))</f>
        <v/>
      </c>
      <c r="B284" s="22"/>
      <c r="C284" s="23"/>
      <c r="D284" s="21" t="str">
        <f aca="false">IF(C284="","",IFERROR(INDEX(取引先マスタ!$B$5:$B$204,MATCH($C284,取引先マスタ!$A$5:$A$204,0)),"コード誤り"))</f>
        <v/>
      </c>
      <c r="E284" s="28"/>
      <c r="F284" s="18"/>
      <c r="G284" s="25"/>
      <c r="H284" s="26" t="str">
        <f aca="false">IF(OR(F284="",G284=""),"",ROUNDDOWN(F284*G284,0))</f>
        <v/>
      </c>
      <c r="I284" s="26" t="str">
        <f aca="false">IF(OR(F284="",G284=""),"",F284+H284)</f>
        <v/>
      </c>
      <c r="J284" s="27" t="str">
        <f aca="false">IF(OR(B284="",C284="",D284="コード誤り"),"",IFERROR(DATE(YEAR(B284),MONTH(B284)+INDEX(取引先マスタ!$E$5:$E$204,MATCH($C284,取引先マスタ!$A$5:$A$204,0)),MIN(INDEX(取引先マスタ!$F$5:$F$204,MATCH($C284,取引先マスタ!$A$5:$A$204,0)),DAY(EOMONTH(B284,INDEX(取引先マスタ!$E$5:$E$204,MATCH($C284,取引先マスタ!$A$5:$A$204,0)))))),""))</f>
        <v/>
      </c>
      <c r="K284" s="22"/>
      <c r="L284" s="27" t="str">
        <f aca="false">IF(K284&lt;&gt;"",K284,J284)</f>
        <v/>
      </c>
      <c r="M284" s="28"/>
      <c r="N284" s="22"/>
      <c r="O284" s="28"/>
      <c r="P284" s="26" t="str">
        <f aca="false">IF(A284="","",SUMIF(入金明細!$F$5:$F$1004,A284,入金明細!$E$5:$E$1004))</f>
        <v/>
      </c>
      <c r="Q284" s="27" t="str">
        <f aca="false">IF(OR(A284="",N(P284)=0),"",SUMPRODUCT(MAX((入金明細!$F$5:$F$1004=A284)*入金明細!$B$5:$B$1004)))</f>
        <v/>
      </c>
      <c r="R284" s="18"/>
      <c r="S284" s="26" t="str">
        <f aca="false">IF(OR(A284="",I284=""),"",I284-N(P284)-N(R284))</f>
        <v/>
      </c>
      <c r="T284" s="28"/>
      <c r="U284" s="29" t="str">
        <f aca="false">IF(A284="","",IF(T284="取消","取消",IF(W284&lt;&gt;"","要入力",IF(N284="","未送付",IF(S284=0,"入金済",IF(S284&lt;0,"過入金",IF(設定!$C$5&gt;L284,IF(P284&gt;0,"一部入金・超過","期日超過"),IF(P284&gt;0,"一部入金",IF(L284-設定!$C$5&lt;=設定!$C$6,"期日間近","入金待ち")))))))))</f>
        <v/>
      </c>
      <c r="V284" s="30" t="str">
        <f aca="false">IF(OR(U284="期日超過",U284="一部入金・超過"),設定!$C$5-L284,"")</f>
        <v/>
      </c>
      <c r="W284" s="21" t="str">
        <f aca="false">IF(A284="","",TRIM(IF(B284="","請求日 ","")&amp;IF(C284="","取引先 ",IF(D284="コード誤り","取引先コード誤り ",""))&amp;IF(E284="","件名 ","")&amp;IF(F284="","税抜金額 ","")&amp;IF(G284="","税率 ","")&amp;IF(M284="","送付方法 ","")&amp;IF(AND(N284&lt;&gt;"",O284=""),"送付者 ","")&amp;IF(AND(I284&lt;&gt;"",L284=""),"入金期日 ","")&amp;IF(AND(N284&lt;&gt;"",P284&gt;0,S284&lt;=0,X284=""),"消込確認者 ","")))</f>
        <v/>
      </c>
      <c r="X284" s="28"/>
      <c r="Y284" s="28"/>
    </row>
    <row r="285" customFormat="false" ht="15" hidden="false" customHeight="false" outlineLevel="0" collapsed="false">
      <c r="A285" s="21" t="str">
        <f aca="false">IF(COUNTA(B285,C285,E285,F285)=0,"",設定!$C$4&amp;TEXT(ROW()-4,"00000"))</f>
        <v/>
      </c>
      <c r="B285" s="22"/>
      <c r="C285" s="23"/>
      <c r="D285" s="21" t="str">
        <f aca="false">IF(C285="","",IFERROR(INDEX(取引先マスタ!$B$5:$B$204,MATCH($C285,取引先マスタ!$A$5:$A$204,0)),"コード誤り"))</f>
        <v/>
      </c>
      <c r="E285" s="28"/>
      <c r="F285" s="18"/>
      <c r="G285" s="25"/>
      <c r="H285" s="26" t="str">
        <f aca="false">IF(OR(F285="",G285=""),"",ROUNDDOWN(F285*G285,0))</f>
        <v/>
      </c>
      <c r="I285" s="26" t="str">
        <f aca="false">IF(OR(F285="",G285=""),"",F285+H285)</f>
        <v/>
      </c>
      <c r="J285" s="27" t="str">
        <f aca="false">IF(OR(B285="",C285="",D285="コード誤り"),"",IFERROR(DATE(YEAR(B285),MONTH(B285)+INDEX(取引先マスタ!$E$5:$E$204,MATCH($C285,取引先マスタ!$A$5:$A$204,0)),MIN(INDEX(取引先マスタ!$F$5:$F$204,MATCH($C285,取引先マスタ!$A$5:$A$204,0)),DAY(EOMONTH(B285,INDEX(取引先マスタ!$E$5:$E$204,MATCH($C285,取引先マスタ!$A$5:$A$204,0)))))),""))</f>
        <v/>
      </c>
      <c r="K285" s="22"/>
      <c r="L285" s="27" t="str">
        <f aca="false">IF(K285&lt;&gt;"",K285,J285)</f>
        <v/>
      </c>
      <c r="M285" s="28"/>
      <c r="N285" s="22"/>
      <c r="O285" s="28"/>
      <c r="P285" s="26" t="str">
        <f aca="false">IF(A285="","",SUMIF(入金明細!$F$5:$F$1004,A285,入金明細!$E$5:$E$1004))</f>
        <v/>
      </c>
      <c r="Q285" s="27" t="str">
        <f aca="false">IF(OR(A285="",N(P285)=0),"",SUMPRODUCT(MAX((入金明細!$F$5:$F$1004=A285)*入金明細!$B$5:$B$1004)))</f>
        <v/>
      </c>
      <c r="R285" s="18"/>
      <c r="S285" s="26" t="str">
        <f aca="false">IF(OR(A285="",I285=""),"",I285-N(P285)-N(R285))</f>
        <v/>
      </c>
      <c r="T285" s="28"/>
      <c r="U285" s="29" t="str">
        <f aca="false">IF(A285="","",IF(T285="取消","取消",IF(W285&lt;&gt;"","要入力",IF(N285="","未送付",IF(S285=0,"入金済",IF(S285&lt;0,"過入金",IF(設定!$C$5&gt;L285,IF(P285&gt;0,"一部入金・超過","期日超過"),IF(P285&gt;0,"一部入金",IF(L285-設定!$C$5&lt;=設定!$C$6,"期日間近","入金待ち")))))))))</f>
        <v/>
      </c>
      <c r="V285" s="30" t="str">
        <f aca="false">IF(OR(U285="期日超過",U285="一部入金・超過"),設定!$C$5-L285,"")</f>
        <v/>
      </c>
      <c r="W285" s="21" t="str">
        <f aca="false">IF(A285="","",TRIM(IF(B285="","請求日 ","")&amp;IF(C285="","取引先 ",IF(D285="コード誤り","取引先コード誤り ",""))&amp;IF(E285="","件名 ","")&amp;IF(F285="","税抜金額 ","")&amp;IF(G285="","税率 ","")&amp;IF(M285="","送付方法 ","")&amp;IF(AND(N285&lt;&gt;"",O285=""),"送付者 ","")&amp;IF(AND(I285&lt;&gt;"",L285=""),"入金期日 ","")&amp;IF(AND(N285&lt;&gt;"",P285&gt;0,S285&lt;=0,X285=""),"消込確認者 ","")))</f>
        <v/>
      </c>
      <c r="X285" s="28"/>
      <c r="Y285" s="28"/>
    </row>
    <row r="286" customFormat="false" ht="15" hidden="false" customHeight="false" outlineLevel="0" collapsed="false">
      <c r="A286" s="21" t="str">
        <f aca="false">IF(COUNTA(B286,C286,E286,F286)=0,"",設定!$C$4&amp;TEXT(ROW()-4,"00000"))</f>
        <v/>
      </c>
      <c r="B286" s="22"/>
      <c r="C286" s="23"/>
      <c r="D286" s="21" t="str">
        <f aca="false">IF(C286="","",IFERROR(INDEX(取引先マスタ!$B$5:$B$204,MATCH($C286,取引先マスタ!$A$5:$A$204,0)),"コード誤り"))</f>
        <v/>
      </c>
      <c r="E286" s="28"/>
      <c r="F286" s="18"/>
      <c r="G286" s="25"/>
      <c r="H286" s="26" t="str">
        <f aca="false">IF(OR(F286="",G286=""),"",ROUNDDOWN(F286*G286,0))</f>
        <v/>
      </c>
      <c r="I286" s="26" t="str">
        <f aca="false">IF(OR(F286="",G286=""),"",F286+H286)</f>
        <v/>
      </c>
      <c r="J286" s="27" t="str">
        <f aca="false">IF(OR(B286="",C286="",D286="コード誤り"),"",IFERROR(DATE(YEAR(B286),MONTH(B286)+INDEX(取引先マスタ!$E$5:$E$204,MATCH($C286,取引先マスタ!$A$5:$A$204,0)),MIN(INDEX(取引先マスタ!$F$5:$F$204,MATCH($C286,取引先マスタ!$A$5:$A$204,0)),DAY(EOMONTH(B286,INDEX(取引先マスタ!$E$5:$E$204,MATCH($C286,取引先マスタ!$A$5:$A$204,0)))))),""))</f>
        <v/>
      </c>
      <c r="K286" s="22"/>
      <c r="L286" s="27" t="str">
        <f aca="false">IF(K286&lt;&gt;"",K286,J286)</f>
        <v/>
      </c>
      <c r="M286" s="28"/>
      <c r="N286" s="22"/>
      <c r="O286" s="28"/>
      <c r="P286" s="26" t="str">
        <f aca="false">IF(A286="","",SUMIF(入金明細!$F$5:$F$1004,A286,入金明細!$E$5:$E$1004))</f>
        <v/>
      </c>
      <c r="Q286" s="27" t="str">
        <f aca="false">IF(OR(A286="",N(P286)=0),"",SUMPRODUCT(MAX((入金明細!$F$5:$F$1004=A286)*入金明細!$B$5:$B$1004)))</f>
        <v/>
      </c>
      <c r="R286" s="18"/>
      <c r="S286" s="26" t="str">
        <f aca="false">IF(OR(A286="",I286=""),"",I286-N(P286)-N(R286))</f>
        <v/>
      </c>
      <c r="T286" s="28"/>
      <c r="U286" s="29" t="str">
        <f aca="false">IF(A286="","",IF(T286="取消","取消",IF(W286&lt;&gt;"","要入力",IF(N286="","未送付",IF(S286=0,"入金済",IF(S286&lt;0,"過入金",IF(設定!$C$5&gt;L286,IF(P286&gt;0,"一部入金・超過","期日超過"),IF(P286&gt;0,"一部入金",IF(L286-設定!$C$5&lt;=設定!$C$6,"期日間近","入金待ち")))))))))</f>
        <v/>
      </c>
      <c r="V286" s="30" t="str">
        <f aca="false">IF(OR(U286="期日超過",U286="一部入金・超過"),設定!$C$5-L286,"")</f>
        <v/>
      </c>
      <c r="W286" s="21" t="str">
        <f aca="false">IF(A286="","",TRIM(IF(B286="","請求日 ","")&amp;IF(C286="","取引先 ",IF(D286="コード誤り","取引先コード誤り ",""))&amp;IF(E286="","件名 ","")&amp;IF(F286="","税抜金額 ","")&amp;IF(G286="","税率 ","")&amp;IF(M286="","送付方法 ","")&amp;IF(AND(N286&lt;&gt;"",O286=""),"送付者 ","")&amp;IF(AND(I286&lt;&gt;"",L286=""),"入金期日 ","")&amp;IF(AND(N286&lt;&gt;"",P286&gt;0,S286&lt;=0,X286=""),"消込確認者 ","")))</f>
        <v/>
      </c>
      <c r="X286" s="28"/>
      <c r="Y286" s="28"/>
    </row>
    <row r="287" customFormat="false" ht="15" hidden="false" customHeight="false" outlineLevel="0" collapsed="false">
      <c r="A287" s="21" t="str">
        <f aca="false">IF(COUNTA(B287,C287,E287,F287)=0,"",設定!$C$4&amp;TEXT(ROW()-4,"00000"))</f>
        <v/>
      </c>
      <c r="B287" s="22"/>
      <c r="C287" s="23"/>
      <c r="D287" s="21" t="str">
        <f aca="false">IF(C287="","",IFERROR(INDEX(取引先マスタ!$B$5:$B$204,MATCH($C287,取引先マスタ!$A$5:$A$204,0)),"コード誤り"))</f>
        <v/>
      </c>
      <c r="E287" s="28"/>
      <c r="F287" s="18"/>
      <c r="G287" s="25"/>
      <c r="H287" s="26" t="str">
        <f aca="false">IF(OR(F287="",G287=""),"",ROUNDDOWN(F287*G287,0))</f>
        <v/>
      </c>
      <c r="I287" s="26" t="str">
        <f aca="false">IF(OR(F287="",G287=""),"",F287+H287)</f>
        <v/>
      </c>
      <c r="J287" s="27" t="str">
        <f aca="false">IF(OR(B287="",C287="",D287="コード誤り"),"",IFERROR(DATE(YEAR(B287),MONTH(B287)+INDEX(取引先マスタ!$E$5:$E$204,MATCH($C287,取引先マスタ!$A$5:$A$204,0)),MIN(INDEX(取引先マスタ!$F$5:$F$204,MATCH($C287,取引先マスタ!$A$5:$A$204,0)),DAY(EOMONTH(B287,INDEX(取引先マスタ!$E$5:$E$204,MATCH($C287,取引先マスタ!$A$5:$A$204,0)))))),""))</f>
        <v/>
      </c>
      <c r="K287" s="22"/>
      <c r="L287" s="27" t="str">
        <f aca="false">IF(K287&lt;&gt;"",K287,J287)</f>
        <v/>
      </c>
      <c r="M287" s="28"/>
      <c r="N287" s="22"/>
      <c r="O287" s="28"/>
      <c r="P287" s="26" t="str">
        <f aca="false">IF(A287="","",SUMIF(入金明細!$F$5:$F$1004,A287,入金明細!$E$5:$E$1004))</f>
        <v/>
      </c>
      <c r="Q287" s="27" t="str">
        <f aca="false">IF(OR(A287="",N(P287)=0),"",SUMPRODUCT(MAX((入金明細!$F$5:$F$1004=A287)*入金明細!$B$5:$B$1004)))</f>
        <v/>
      </c>
      <c r="R287" s="18"/>
      <c r="S287" s="26" t="str">
        <f aca="false">IF(OR(A287="",I287=""),"",I287-N(P287)-N(R287))</f>
        <v/>
      </c>
      <c r="T287" s="28"/>
      <c r="U287" s="29" t="str">
        <f aca="false">IF(A287="","",IF(T287="取消","取消",IF(W287&lt;&gt;"","要入力",IF(N287="","未送付",IF(S287=0,"入金済",IF(S287&lt;0,"過入金",IF(設定!$C$5&gt;L287,IF(P287&gt;0,"一部入金・超過","期日超過"),IF(P287&gt;0,"一部入金",IF(L287-設定!$C$5&lt;=設定!$C$6,"期日間近","入金待ち")))))))))</f>
        <v/>
      </c>
      <c r="V287" s="30" t="str">
        <f aca="false">IF(OR(U287="期日超過",U287="一部入金・超過"),設定!$C$5-L287,"")</f>
        <v/>
      </c>
      <c r="W287" s="21" t="str">
        <f aca="false">IF(A287="","",TRIM(IF(B287="","請求日 ","")&amp;IF(C287="","取引先 ",IF(D287="コード誤り","取引先コード誤り ",""))&amp;IF(E287="","件名 ","")&amp;IF(F287="","税抜金額 ","")&amp;IF(G287="","税率 ","")&amp;IF(M287="","送付方法 ","")&amp;IF(AND(N287&lt;&gt;"",O287=""),"送付者 ","")&amp;IF(AND(I287&lt;&gt;"",L287=""),"入金期日 ","")&amp;IF(AND(N287&lt;&gt;"",P287&gt;0,S287&lt;=0,X287=""),"消込確認者 ","")))</f>
        <v/>
      </c>
      <c r="X287" s="28"/>
      <c r="Y287" s="28"/>
    </row>
    <row r="288" customFormat="false" ht="15" hidden="false" customHeight="false" outlineLevel="0" collapsed="false">
      <c r="A288" s="21" t="str">
        <f aca="false">IF(COUNTA(B288,C288,E288,F288)=0,"",設定!$C$4&amp;TEXT(ROW()-4,"00000"))</f>
        <v/>
      </c>
      <c r="B288" s="22"/>
      <c r="C288" s="23"/>
      <c r="D288" s="21" t="str">
        <f aca="false">IF(C288="","",IFERROR(INDEX(取引先マスタ!$B$5:$B$204,MATCH($C288,取引先マスタ!$A$5:$A$204,0)),"コード誤り"))</f>
        <v/>
      </c>
      <c r="E288" s="28"/>
      <c r="F288" s="18"/>
      <c r="G288" s="25"/>
      <c r="H288" s="26" t="str">
        <f aca="false">IF(OR(F288="",G288=""),"",ROUNDDOWN(F288*G288,0))</f>
        <v/>
      </c>
      <c r="I288" s="26" t="str">
        <f aca="false">IF(OR(F288="",G288=""),"",F288+H288)</f>
        <v/>
      </c>
      <c r="J288" s="27" t="str">
        <f aca="false">IF(OR(B288="",C288="",D288="コード誤り"),"",IFERROR(DATE(YEAR(B288),MONTH(B288)+INDEX(取引先マスタ!$E$5:$E$204,MATCH($C288,取引先マスタ!$A$5:$A$204,0)),MIN(INDEX(取引先マスタ!$F$5:$F$204,MATCH($C288,取引先マスタ!$A$5:$A$204,0)),DAY(EOMONTH(B288,INDEX(取引先マスタ!$E$5:$E$204,MATCH($C288,取引先マスタ!$A$5:$A$204,0)))))),""))</f>
        <v/>
      </c>
      <c r="K288" s="22"/>
      <c r="L288" s="27" t="str">
        <f aca="false">IF(K288&lt;&gt;"",K288,J288)</f>
        <v/>
      </c>
      <c r="M288" s="28"/>
      <c r="N288" s="22"/>
      <c r="O288" s="28"/>
      <c r="P288" s="26" t="str">
        <f aca="false">IF(A288="","",SUMIF(入金明細!$F$5:$F$1004,A288,入金明細!$E$5:$E$1004))</f>
        <v/>
      </c>
      <c r="Q288" s="27" t="str">
        <f aca="false">IF(OR(A288="",N(P288)=0),"",SUMPRODUCT(MAX((入金明細!$F$5:$F$1004=A288)*入金明細!$B$5:$B$1004)))</f>
        <v/>
      </c>
      <c r="R288" s="18"/>
      <c r="S288" s="26" t="str">
        <f aca="false">IF(OR(A288="",I288=""),"",I288-N(P288)-N(R288))</f>
        <v/>
      </c>
      <c r="T288" s="28"/>
      <c r="U288" s="29" t="str">
        <f aca="false">IF(A288="","",IF(T288="取消","取消",IF(W288&lt;&gt;"","要入力",IF(N288="","未送付",IF(S288=0,"入金済",IF(S288&lt;0,"過入金",IF(設定!$C$5&gt;L288,IF(P288&gt;0,"一部入金・超過","期日超過"),IF(P288&gt;0,"一部入金",IF(L288-設定!$C$5&lt;=設定!$C$6,"期日間近","入金待ち")))))))))</f>
        <v/>
      </c>
      <c r="V288" s="30" t="str">
        <f aca="false">IF(OR(U288="期日超過",U288="一部入金・超過"),設定!$C$5-L288,"")</f>
        <v/>
      </c>
      <c r="W288" s="21" t="str">
        <f aca="false">IF(A288="","",TRIM(IF(B288="","請求日 ","")&amp;IF(C288="","取引先 ",IF(D288="コード誤り","取引先コード誤り ",""))&amp;IF(E288="","件名 ","")&amp;IF(F288="","税抜金額 ","")&amp;IF(G288="","税率 ","")&amp;IF(M288="","送付方法 ","")&amp;IF(AND(N288&lt;&gt;"",O288=""),"送付者 ","")&amp;IF(AND(I288&lt;&gt;"",L288=""),"入金期日 ","")&amp;IF(AND(N288&lt;&gt;"",P288&gt;0,S288&lt;=0,X288=""),"消込確認者 ","")))</f>
        <v/>
      </c>
      <c r="X288" s="28"/>
      <c r="Y288" s="28"/>
    </row>
    <row r="289" customFormat="false" ht="15" hidden="false" customHeight="false" outlineLevel="0" collapsed="false">
      <c r="A289" s="21" t="str">
        <f aca="false">IF(COUNTA(B289,C289,E289,F289)=0,"",設定!$C$4&amp;TEXT(ROW()-4,"00000"))</f>
        <v/>
      </c>
      <c r="B289" s="22"/>
      <c r="C289" s="23"/>
      <c r="D289" s="21" t="str">
        <f aca="false">IF(C289="","",IFERROR(INDEX(取引先マスタ!$B$5:$B$204,MATCH($C289,取引先マスタ!$A$5:$A$204,0)),"コード誤り"))</f>
        <v/>
      </c>
      <c r="E289" s="28"/>
      <c r="F289" s="18"/>
      <c r="G289" s="25"/>
      <c r="H289" s="26" t="str">
        <f aca="false">IF(OR(F289="",G289=""),"",ROUNDDOWN(F289*G289,0))</f>
        <v/>
      </c>
      <c r="I289" s="26" t="str">
        <f aca="false">IF(OR(F289="",G289=""),"",F289+H289)</f>
        <v/>
      </c>
      <c r="J289" s="27" t="str">
        <f aca="false">IF(OR(B289="",C289="",D289="コード誤り"),"",IFERROR(DATE(YEAR(B289),MONTH(B289)+INDEX(取引先マスタ!$E$5:$E$204,MATCH($C289,取引先マスタ!$A$5:$A$204,0)),MIN(INDEX(取引先マスタ!$F$5:$F$204,MATCH($C289,取引先マスタ!$A$5:$A$204,0)),DAY(EOMONTH(B289,INDEX(取引先マスタ!$E$5:$E$204,MATCH($C289,取引先マスタ!$A$5:$A$204,0)))))),""))</f>
        <v/>
      </c>
      <c r="K289" s="22"/>
      <c r="L289" s="27" t="str">
        <f aca="false">IF(K289&lt;&gt;"",K289,J289)</f>
        <v/>
      </c>
      <c r="M289" s="28"/>
      <c r="N289" s="22"/>
      <c r="O289" s="28"/>
      <c r="P289" s="26" t="str">
        <f aca="false">IF(A289="","",SUMIF(入金明細!$F$5:$F$1004,A289,入金明細!$E$5:$E$1004))</f>
        <v/>
      </c>
      <c r="Q289" s="27" t="str">
        <f aca="false">IF(OR(A289="",N(P289)=0),"",SUMPRODUCT(MAX((入金明細!$F$5:$F$1004=A289)*入金明細!$B$5:$B$1004)))</f>
        <v/>
      </c>
      <c r="R289" s="18"/>
      <c r="S289" s="26" t="str">
        <f aca="false">IF(OR(A289="",I289=""),"",I289-N(P289)-N(R289))</f>
        <v/>
      </c>
      <c r="T289" s="28"/>
      <c r="U289" s="29" t="str">
        <f aca="false">IF(A289="","",IF(T289="取消","取消",IF(W289&lt;&gt;"","要入力",IF(N289="","未送付",IF(S289=0,"入金済",IF(S289&lt;0,"過入金",IF(設定!$C$5&gt;L289,IF(P289&gt;0,"一部入金・超過","期日超過"),IF(P289&gt;0,"一部入金",IF(L289-設定!$C$5&lt;=設定!$C$6,"期日間近","入金待ち")))))))))</f>
        <v/>
      </c>
      <c r="V289" s="30" t="str">
        <f aca="false">IF(OR(U289="期日超過",U289="一部入金・超過"),設定!$C$5-L289,"")</f>
        <v/>
      </c>
      <c r="W289" s="21" t="str">
        <f aca="false">IF(A289="","",TRIM(IF(B289="","請求日 ","")&amp;IF(C289="","取引先 ",IF(D289="コード誤り","取引先コード誤り ",""))&amp;IF(E289="","件名 ","")&amp;IF(F289="","税抜金額 ","")&amp;IF(G289="","税率 ","")&amp;IF(M289="","送付方法 ","")&amp;IF(AND(N289&lt;&gt;"",O289=""),"送付者 ","")&amp;IF(AND(I289&lt;&gt;"",L289=""),"入金期日 ","")&amp;IF(AND(N289&lt;&gt;"",P289&gt;0,S289&lt;=0,X289=""),"消込確認者 ","")))</f>
        <v/>
      </c>
      <c r="X289" s="28"/>
      <c r="Y289" s="28"/>
    </row>
    <row r="290" customFormat="false" ht="15" hidden="false" customHeight="false" outlineLevel="0" collapsed="false">
      <c r="A290" s="21" t="str">
        <f aca="false">IF(COUNTA(B290,C290,E290,F290)=0,"",設定!$C$4&amp;TEXT(ROW()-4,"00000"))</f>
        <v/>
      </c>
      <c r="B290" s="22"/>
      <c r="C290" s="23"/>
      <c r="D290" s="21" t="str">
        <f aca="false">IF(C290="","",IFERROR(INDEX(取引先マスタ!$B$5:$B$204,MATCH($C290,取引先マスタ!$A$5:$A$204,0)),"コード誤り"))</f>
        <v/>
      </c>
      <c r="E290" s="28"/>
      <c r="F290" s="18"/>
      <c r="G290" s="25"/>
      <c r="H290" s="26" t="str">
        <f aca="false">IF(OR(F290="",G290=""),"",ROUNDDOWN(F290*G290,0))</f>
        <v/>
      </c>
      <c r="I290" s="26" t="str">
        <f aca="false">IF(OR(F290="",G290=""),"",F290+H290)</f>
        <v/>
      </c>
      <c r="J290" s="27" t="str">
        <f aca="false">IF(OR(B290="",C290="",D290="コード誤り"),"",IFERROR(DATE(YEAR(B290),MONTH(B290)+INDEX(取引先マスタ!$E$5:$E$204,MATCH($C290,取引先マスタ!$A$5:$A$204,0)),MIN(INDEX(取引先マスタ!$F$5:$F$204,MATCH($C290,取引先マスタ!$A$5:$A$204,0)),DAY(EOMONTH(B290,INDEX(取引先マスタ!$E$5:$E$204,MATCH($C290,取引先マスタ!$A$5:$A$204,0)))))),""))</f>
        <v/>
      </c>
      <c r="K290" s="22"/>
      <c r="L290" s="27" t="str">
        <f aca="false">IF(K290&lt;&gt;"",K290,J290)</f>
        <v/>
      </c>
      <c r="M290" s="28"/>
      <c r="N290" s="22"/>
      <c r="O290" s="28"/>
      <c r="P290" s="26" t="str">
        <f aca="false">IF(A290="","",SUMIF(入金明細!$F$5:$F$1004,A290,入金明細!$E$5:$E$1004))</f>
        <v/>
      </c>
      <c r="Q290" s="27" t="str">
        <f aca="false">IF(OR(A290="",N(P290)=0),"",SUMPRODUCT(MAX((入金明細!$F$5:$F$1004=A290)*入金明細!$B$5:$B$1004)))</f>
        <v/>
      </c>
      <c r="R290" s="18"/>
      <c r="S290" s="26" t="str">
        <f aca="false">IF(OR(A290="",I290=""),"",I290-N(P290)-N(R290))</f>
        <v/>
      </c>
      <c r="T290" s="28"/>
      <c r="U290" s="29" t="str">
        <f aca="false">IF(A290="","",IF(T290="取消","取消",IF(W290&lt;&gt;"","要入力",IF(N290="","未送付",IF(S290=0,"入金済",IF(S290&lt;0,"過入金",IF(設定!$C$5&gt;L290,IF(P290&gt;0,"一部入金・超過","期日超過"),IF(P290&gt;0,"一部入金",IF(L290-設定!$C$5&lt;=設定!$C$6,"期日間近","入金待ち")))))))))</f>
        <v/>
      </c>
      <c r="V290" s="30" t="str">
        <f aca="false">IF(OR(U290="期日超過",U290="一部入金・超過"),設定!$C$5-L290,"")</f>
        <v/>
      </c>
      <c r="W290" s="21" t="str">
        <f aca="false">IF(A290="","",TRIM(IF(B290="","請求日 ","")&amp;IF(C290="","取引先 ",IF(D290="コード誤り","取引先コード誤り ",""))&amp;IF(E290="","件名 ","")&amp;IF(F290="","税抜金額 ","")&amp;IF(G290="","税率 ","")&amp;IF(M290="","送付方法 ","")&amp;IF(AND(N290&lt;&gt;"",O290=""),"送付者 ","")&amp;IF(AND(I290&lt;&gt;"",L290=""),"入金期日 ","")&amp;IF(AND(N290&lt;&gt;"",P290&gt;0,S290&lt;=0,X290=""),"消込確認者 ","")))</f>
        <v/>
      </c>
      <c r="X290" s="28"/>
      <c r="Y290" s="28"/>
    </row>
    <row r="291" customFormat="false" ht="15" hidden="false" customHeight="false" outlineLevel="0" collapsed="false">
      <c r="A291" s="21" t="str">
        <f aca="false">IF(COUNTA(B291,C291,E291,F291)=0,"",設定!$C$4&amp;TEXT(ROW()-4,"00000"))</f>
        <v/>
      </c>
      <c r="B291" s="22"/>
      <c r="C291" s="23"/>
      <c r="D291" s="21" t="str">
        <f aca="false">IF(C291="","",IFERROR(INDEX(取引先マスタ!$B$5:$B$204,MATCH($C291,取引先マスタ!$A$5:$A$204,0)),"コード誤り"))</f>
        <v/>
      </c>
      <c r="E291" s="28"/>
      <c r="F291" s="18"/>
      <c r="G291" s="25"/>
      <c r="H291" s="26" t="str">
        <f aca="false">IF(OR(F291="",G291=""),"",ROUNDDOWN(F291*G291,0))</f>
        <v/>
      </c>
      <c r="I291" s="26" t="str">
        <f aca="false">IF(OR(F291="",G291=""),"",F291+H291)</f>
        <v/>
      </c>
      <c r="J291" s="27" t="str">
        <f aca="false">IF(OR(B291="",C291="",D291="コード誤り"),"",IFERROR(DATE(YEAR(B291),MONTH(B291)+INDEX(取引先マスタ!$E$5:$E$204,MATCH($C291,取引先マスタ!$A$5:$A$204,0)),MIN(INDEX(取引先マスタ!$F$5:$F$204,MATCH($C291,取引先マスタ!$A$5:$A$204,0)),DAY(EOMONTH(B291,INDEX(取引先マスタ!$E$5:$E$204,MATCH($C291,取引先マスタ!$A$5:$A$204,0)))))),""))</f>
        <v/>
      </c>
      <c r="K291" s="22"/>
      <c r="L291" s="27" t="str">
        <f aca="false">IF(K291&lt;&gt;"",K291,J291)</f>
        <v/>
      </c>
      <c r="M291" s="28"/>
      <c r="N291" s="22"/>
      <c r="O291" s="28"/>
      <c r="P291" s="26" t="str">
        <f aca="false">IF(A291="","",SUMIF(入金明細!$F$5:$F$1004,A291,入金明細!$E$5:$E$1004))</f>
        <v/>
      </c>
      <c r="Q291" s="27" t="str">
        <f aca="false">IF(OR(A291="",N(P291)=0),"",SUMPRODUCT(MAX((入金明細!$F$5:$F$1004=A291)*入金明細!$B$5:$B$1004)))</f>
        <v/>
      </c>
      <c r="R291" s="18"/>
      <c r="S291" s="26" t="str">
        <f aca="false">IF(OR(A291="",I291=""),"",I291-N(P291)-N(R291))</f>
        <v/>
      </c>
      <c r="T291" s="28"/>
      <c r="U291" s="29" t="str">
        <f aca="false">IF(A291="","",IF(T291="取消","取消",IF(W291&lt;&gt;"","要入力",IF(N291="","未送付",IF(S291=0,"入金済",IF(S291&lt;0,"過入金",IF(設定!$C$5&gt;L291,IF(P291&gt;0,"一部入金・超過","期日超過"),IF(P291&gt;0,"一部入金",IF(L291-設定!$C$5&lt;=設定!$C$6,"期日間近","入金待ち")))))))))</f>
        <v/>
      </c>
      <c r="V291" s="30" t="str">
        <f aca="false">IF(OR(U291="期日超過",U291="一部入金・超過"),設定!$C$5-L291,"")</f>
        <v/>
      </c>
      <c r="W291" s="21" t="str">
        <f aca="false">IF(A291="","",TRIM(IF(B291="","請求日 ","")&amp;IF(C291="","取引先 ",IF(D291="コード誤り","取引先コード誤り ",""))&amp;IF(E291="","件名 ","")&amp;IF(F291="","税抜金額 ","")&amp;IF(G291="","税率 ","")&amp;IF(M291="","送付方法 ","")&amp;IF(AND(N291&lt;&gt;"",O291=""),"送付者 ","")&amp;IF(AND(I291&lt;&gt;"",L291=""),"入金期日 ","")&amp;IF(AND(N291&lt;&gt;"",P291&gt;0,S291&lt;=0,X291=""),"消込確認者 ","")))</f>
        <v/>
      </c>
      <c r="X291" s="28"/>
      <c r="Y291" s="28"/>
    </row>
    <row r="292" customFormat="false" ht="15" hidden="false" customHeight="false" outlineLevel="0" collapsed="false">
      <c r="A292" s="21" t="str">
        <f aca="false">IF(COUNTA(B292,C292,E292,F292)=0,"",設定!$C$4&amp;TEXT(ROW()-4,"00000"))</f>
        <v/>
      </c>
      <c r="B292" s="22"/>
      <c r="C292" s="23"/>
      <c r="D292" s="21" t="str">
        <f aca="false">IF(C292="","",IFERROR(INDEX(取引先マスタ!$B$5:$B$204,MATCH($C292,取引先マスタ!$A$5:$A$204,0)),"コード誤り"))</f>
        <v/>
      </c>
      <c r="E292" s="28"/>
      <c r="F292" s="18"/>
      <c r="G292" s="25"/>
      <c r="H292" s="26" t="str">
        <f aca="false">IF(OR(F292="",G292=""),"",ROUNDDOWN(F292*G292,0))</f>
        <v/>
      </c>
      <c r="I292" s="26" t="str">
        <f aca="false">IF(OR(F292="",G292=""),"",F292+H292)</f>
        <v/>
      </c>
      <c r="J292" s="27" t="str">
        <f aca="false">IF(OR(B292="",C292="",D292="コード誤り"),"",IFERROR(DATE(YEAR(B292),MONTH(B292)+INDEX(取引先マスタ!$E$5:$E$204,MATCH($C292,取引先マスタ!$A$5:$A$204,0)),MIN(INDEX(取引先マスタ!$F$5:$F$204,MATCH($C292,取引先マスタ!$A$5:$A$204,0)),DAY(EOMONTH(B292,INDEX(取引先マスタ!$E$5:$E$204,MATCH($C292,取引先マスタ!$A$5:$A$204,0)))))),""))</f>
        <v/>
      </c>
      <c r="K292" s="22"/>
      <c r="L292" s="27" t="str">
        <f aca="false">IF(K292&lt;&gt;"",K292,J292)</f>
        <v/>
      </c>
      <c r="M292" s="28"/>
      <c r="N292" s="22"/>
      <c r="O292" s="28"/>
      <c r="P292" s="26" t="str">
        <f aca="false">IF(A292="","",SUMIF(入金明細!$F$5:$F$1004,A292,入金明細!$E$5:$E$1004))</f>
        <v/>
      </c>
      <c r="Q292" s="27" t="str">
        <f aca="false">IF(OR(A292="",N(P292)=0),"",SUMPRODUCT(MAX((入金明細!$F$5:$F$1004=A292)*入金明細!$B$5:$B$1004)))</f>
        <v/>
      </c>
      <c r="R292" s="18"/>
      <c r="S292" s="26" t="str">
        <f aca="false">IF(OR(A292="",I292=""),"",I292-N(P292)-N(R292))</f>
        <v/>
      </c>
      <c r="T292" s="28"/>
      <c r="U292" s="29" t="str">
        <f aca="false">IF(A292="","",IF(T292="取消","取消",IF(W292&lt;&gt;"","要入力",IF(N292="","未送付",IF(S292=0,"入金済",IF(S292&lt;0,"過入金",IF(設定!$C$5&gt;L292,IF(P292&gt;0,"一部入金・超過","期日超過"),IF(P292&gt;0,"一部入金",IF(L292-設定!$C$5&lt;=設定!$C$6,"期日間近","入金待ち")))))))))</f>
        <v/>
      </c>
      <c r="V292" s="30" t="str">
        <f aca="false">IF(OR(U292="期日超過",U292="一部入金・超過"),設定!$C$5-L292,"")</f>
        <v/>
      </c>
      <c r="W292" s="21" t="str">
        <f aca="false">IF(A292="","",TRIM(IF(B292="","請求日 ","")&amp;IF(C292="","取引先 ",IF(D292="コード誤り","取引先コード誤り ",""))&amp;IF(E292="","件名 ","")&amp;IF(F292="","税抜金額 ","")&amp;IF(G292="","税率 ","")&amp;IF(M292="","送付方法 ","")&amp;IF(AND(N292&lt;&gt;"",O292=""),"送付者 ","")&amp;IF(AND(I292&lt;&gt;"",L292=""),"入金期日 ","")&amp;IF(AND(N292&lt;&gt;"",P292&gt;0,S292&lt;=0,X292=""),"消込確認者 ","")))</f>
        <v/>
      </c>
      <c r="X292" s="28"/>
      <c r="Y292" s="28"/>
    </row>
    <row r="293" customFormat="false" ht="15" hidden="false" customHeight="false" outlineLevel="0" collapsed="false">
      <c r="A293" s="21" t="str">
        <f aca="false">IF(COUNTA(B293,C293,E293,F293)=0,"",設定!$C$4&amp;TEXT(ROW()-4,"00000"))</f>
        <v/>
      </c>
      <c r="B293" s="22"/>
      <c r="C293" s="23"/>
      <c r="D293" s="21" t="str">
        <f aca="false">IF(C293="","",IFERROR(INDEX(取引先マスタ!$B$5:$B$204,MATCH($C293,取引先マスタ!$A$5:$A$204,0)),"コード誤り"))</f>
        <v/>
      </c>
      <c r="E293" s="28"/>
      <c r="F293" s="18"/>
      <c r="G293" s="25"/>
      <c r="H293" s="26" t="str">
        <f aca="false">IF(OR(F293="",G293=""),"",ROUNDDOWN(F293*G293,0))</f>
        <v/>
      </c>
      <c r="I293" s="26" t="str">
        <f aca="false">IF(OR(F293="",G293=""),"",F293+H293)</f>
        <v/>
      </c>
      <c r="J293" s="27" t="str">
        <f aca="false">IF(OR(B293="",C293="",D293="コード誤り"),"",IFERROR(DATE(YEAR(B293),MONTH(B293)+INDEX(取引先マスタ!$E$5:$E$204,MATCH($C293,取引先マスタ!$A$5:$A$204,0)),MIN(INDEX(取引先マスタ!$F$5:$F$204,MATCH($C293,取引先マスタ!$A$5:$A$204,0)),DAY(EOMONTH(B293,INDEX(取引先マスタ!$E$5:$E$204,MATCH($C293,取引先マスタ!$A$5:$A$204,0)))))),""))</f>
        <v/>
      </c>
      <c r="K293" s="22"/>
      <c r="L293" s="27" t="str">
        <f aca="false">IF(K293&lt;&gt;"",K293,J293)</f>
        <v/>
      </c>
      <c r="M293" s="28"/>
      <c r="N293" s="22"/>
      <c r="O293" s="28"/>
      <c r="P293" s="26" t="str">
        <f aca="false">IF(A293="","",SUMIF(入金明細!$F$5:$F$1004,A293,入金明細!$E$5:$E$1004))</f>
        <v/>
      </c>
      <c r="Q293" s="27" t="str">
        <f aca="false">IF(OR(A293="",N(P293)=0),"",SUMPRODUCT(MAX((入金明細!$F$5:$F$1004=A293)*入金明細!$B$5:$B$1004)))</f>
        <v/>
      </c>
      <c r="R293" s="18"/>
      <c r="S293" s="26" t="str">
        <f aca="false">IF(OR(A293="",I293=""),"",I293-N(P293)-N(R293))</f>
        <v/>
      </c>
      <c r="T293" s="28"/>
      <c r="U293" s="29" t="str">
        <f aca="false">IF(A293="","",IF(T293="取消","取消",IF(W293&lt;&gt;"","要入力",IF(N293="","未送付",IF(S293=0,"入金済",IF(S293&lt;0,"過入金",IF(設定!$C$5&gt;L293,IF(P293&gt;0,"一部入金・超過","期日超過"),IF(P293&gt;0,"一部入金",IF(L293-設定!$C$5&lt;=設定!$C$6,"期日間近","入金待ち")))))))))</f>
        <v/>
      </c>
      <c r="V293" s="30" t="str">
        <f aca="false">IF(OR(U293="期日超過",U293="一部入金・超過"),設定!$C$5-L293,"")</f>
        <v/>
      </c>
      <c r="W293" s="21" t="str">
        <f aca="false">IF(A293="","",TRIM(IF(B293="","請求日 ","")&amp;IF(C293="","取引先 ",IF(D293="コード誤り","取引先コード誤り ",""))&amp;IF(E293="","件名 ","")&amp;IF(F293="","税抜金額 ","")&amp;IF(G293="","税率 ","")&amp;IF(M293="","送付方法 ","")&amp;IF(AND(N293&lt;&gt;"",O293=""),"送付者 ","")&amp;IF(AND(I293&lt;&gt;"",L293=""),"入金期日 ","")&amp;IF(AND(N293&lt;&gt;"",P293&gt;0,S293&lt;=0,X293=""),"消込確認者 ","")))</f>
        <v/>
      </c>
      <c r="X293" s="28"/>
      <c r="Y293" s="28"/>
    </row>
    <row r="294" customFormat="false" ht="15" hidden="false" customHeight="false" outlineLevel="0" collapsed="false">
      <c r="A294" s="21" t="str">
        <f aca="false">IF(COUNTA(B294,C294,E294,F294)=0,"",設定!$C$4&amp;TEXT(ROW()-4,"00000"))</f>
        <v/>
      </c>
      <c r="B294" s="22"/>
      <c r="C294" s="23"/>
      <c r="D294" s="21" t="str">
        <f aca="false">IF(C294="","",IFERROR(INDEX(取引先マスタ!$B$5:$B$204,MATCH($C294,取引先マスタ!$A$5:$A$204,0)),"コード誤り"))</f>
        <v/>
      </c>
      <c r="E294" s="28"/>
      <c r="F294" s="18"/>
      <c r="G294" s="25"/>
      <c r="H294" s="26" t="str">
        <f aca="false">IF(OR(F294="",G294=""),"",ROUNDDOWN(F294*G294,0))</f>
        <v/>
      </c>
      <c r="I294" s="26" t="str">
        <f aca="false">IF(OR(F294="",G294=""),"",F294+H294)</f>
        <v/>
      </c>
      <c r="J294" s="27" t="str">
        <f aca="false">IF(OR(B294="",C294="",D294="コード誤り"),"",IFERROR(DATE(YEAR(B294),MONTH(B294)+INDEX(取引先マスタ!$E$5:$E$204,MATCH($C294,取引先マスタ!$A$5:$A$204,0)),MIN(INDEX(取引先マスタ!$F$5:$F$204,MATCH($C294,取引先マスタ!$A$5:$A$204,0)),DAY(EOMONTH(B294,INDEX(取引先マスタ!$E$5:$E$204,MATCH($C294,取引先マスタ!$A$5:$A$204,0)))))),""))</f>
        <v/>
      </c>
      <c r="K294" s="22"/>
      <c r="L294" s="27" t="str">
        <f aca="false">IF(K294&lt;&gt;"",K294,J294)</f>
        <v/>
      </c>
      <c r="M294" s="28"/>
      <c r="N294" s="22"/>
      <c r="O294" s="28"/>
      <c r="P294" s="26" t="str">
        <f aca="false">IF(A294="","",SUMIF(入金明細!$F$5:$F$1004,A294,入金明細!$E$5:$E$1004))</f>
        <v/>
      </c>
      <c r="Q294" s="27" t="str">
        <f aca="false">IF(OR(A294="",N(P294)=0),"",SUMPRODUCT(MAX((入金明細!$F$5:$F$1004=A294)*入金明細!$B$5:$B$1004)))</f>
        <v/>
      </c>
      <c r="R294" s="18"/>
      <c r="S294" s="26" t="str">
        <f aca="false">IF(OR(A294="",I294=""),"",I294-N(P294)-N(R294))</f>
        <v/>
      </c>
      <c r="T294" s="28"/>
      <c r="U294" s="29" t="str">
        <f aca="false">IF(A294="","",IF(T294="取消","取消",IF(W294&lt;&gt;"","要入力",IF(N294="","未送付",IF(S294=0,"入金済",IF(S294&lt;0,"過入金",IF(設定!$C$5&gt;L294,IF(P294&gt;0,"一部入金・超過","期日超過"),IF(P294&gt;0,"一部入金",IF(L294-設定!$C$5&lt;=設定!$C$6,"期日間近","入金待ち")))))))))</f>
        <v/>
      </c>
      <c r="V294" s="30" t="str">
        <f aca="false">IF(OR(U294="期日超過",U294="一部入金・超過"),設定!$C$5-L294,"")</f>
        <v/>
      </c>
      <c r="W294" s="21" t="str">
        <f aca="false">IF(A294="","",TRIM(IF(B294="","請求日 ","")&amp;IF(C294="","取引先 ",IF(D294="コード誤り","取引先コード誤り ",""))&amp;IF(E294="","件名 ","")&amp;IF(F294="","税抜金額 ","")&amp;IF(G294="","税率 ","")&amp;IF(M294="","送付方法 ","")&amp;IF(AND(N294&lt;&gt;"",O294=""),"送付者 ","")&amp;IF(AND(I294&lt;&gt;"",L294=""),"入金期日 ","")&amp;IF(AND(N294&lt;&gt;"",P294&gt;0,S294&lt;=0,X294=""),"消込確認者 ","")))</f>
        <v/>
      </c>
      <c r="X294" s="28"/>
      <c r="Y294" s="28"/>
    </row>
    <row r="295" customFormat="false" ht="15" hidden="false" customHeight="false" outlineLevel="0" collapsed="false">
      <c r="A295" s="21" t="str">
        <f aca="false">IF(COUNTA(B295,C295,E295,F295)=0,"",設定!$C$4&amp;TEXT(ROW()-4,"00000"))</f>
        <v/>
      </c>
      <c r="B295" s="22"/>
      <c r="C295" s="23"/>
      <c r="D295" s="21" t="str">
        <f aca="false">IF(C295="","",IFERROR(INDEX(取引先マスタ!$B$5:$B$204,MATCH($C295,取引先マスタ!$A$5:$A$204,0)),"コード誤り"))</f>
        <v/>
      </c>
      <c r="E295" s="28"/>
      <c r="F295" s="18"/>
      <c r="G295" s="25"/>
      <c r="H295" s="26" t="str">
        <f aca="false">IF(OR(F295="",G295=""),"",ROUNDDOWN(F295*G295,0))</f>
        <v/>
      </c>
      <c r="I295" s="26" t="str">
        <f aca="false">IF(OR(F295="",G295=""),"",F295+H295)</f>
        <v/>
      </c>
      <c r="J295" s="27" t="str">
        <f aca="false">IF(OR(B295="",C295="",D295="コード誤り"),"",IFERROR(DATE(YEAR(B295),MONTH(B295)+INDEX(取引先マスタ!$E$5:$E$204,MATCH($C295,取引先マスタ!$A$5:$A$204,0)),MIN(INDEX(取引先マスタ!$F$5:$F$204,MATCH($C295,取引先マスタ!$A$5:$A$204,0)),DAY(EOMONTH(B295,INDEX(取引先マスタ!$E$5:$E$204,MATCH($C295,取引先マスタ!$A$5:$A$204,0)))))),""))</f>
        <v/>
      </c>
      <c r="K295" s="22"/>
      <c r="L295" s="27" t="str">
        <f aca="false">IF(K295&lt;&gt;"",K295,J295)</f>
        <v/>
      </c>
      <c r="M295" s="28"/>
      <c r="N295" s="22"/>
      <c r="O295" s="28"/>
      <c r="P295" s="26" t="str">
        <f aca="false">IF(A295="","",SUMIF(入金明細!$F$5:$F$1004,A295,入金明細!$E$5:$E$1004))</f>
        <v/>
      </c>
      <c r="Q295" s="27" t="str">
        <f aca="false">IF(OR(A295="",N(P295)=0),"",SUMPRODUCT(MAX((入金明細!$F$5:$F$1004=A295)*入金明細!$B$5:$B$1004)))</f>
        <v/>
      </c>
      <c r="R295" s="18"/>
      <c r="S295" s="26" t="str">
        <f aca="false">IF(OR(A295="",I295=""),"",I295-N(P295)-N(R295))</f>
        <v/>
      </c>
      <c r="T295" s="28"/>
      <c r="U295" s="29" t="str">
        <f aca="false">IF(A295="","",IF(T295="取消","取消",IF(W295&lt;&gt;"","要入力",IF(N295="","未送付",IF(S295=0,"入金済",IF(S295&lt;0,"過入金",IF(設定!$C$5&gt;L295,IF(P295&gt;0,"一部入金・超過","期日超過"),IF(P295&gt;0,"一部入金",IF(L295-設定!$C$5&lt;=設定!$C$6,"期日間近","入金待ち")))))))))</f>
        <v/>
      </c>
      <c r="V295" s="30" t="str">
        <f aca="false">IF(OR(U295="期日超過",U295="一部入金・超過"),設定!$C$5-L295,"")</f>
        <v/>
      </c>
      <c r="W295" s="21" t="str">
        <f aca="false">IF(A295="","",TRIM(IF(B295="","請求日 ","")&amp;IF(C295="","取引先 ",IF(D295="コード誤り","取引先コード誤り ",""))&amp;IF(E295="","件名 ","")&amp;IF(F295="","税抜金額 ","")&amp;IF(G295="","税率 ","")&amp;IF(M295="","送付方法 ","")&amp;IF(AND(N295&lt;&gt;"",O295=""),"送付者 ","")&amp;IF(AND(I295&lt;&gt;"",L295=""),"入金期日 ","")&amp;IF(AND(N295&lt;&gt;"",P295&gt;0,S295&lt;=0,X295=""),"消込確認者 ","")))</f>
        <v/>
      </c>
      <c r="X295" s="28"/>
      <c r="Y295" s="28"/>
    </row>
    <row r="296" customFormat="false" ht="15" hidden="false" customHeight="false" outlineLevel="0" collapsed="false">
      <c r="A296" s="21" t="str">
        <f aca="false">IF(COUNTA(B296,C296,E296,F296)=0,"",設定!$C$4&amp;TEXT(ROW()-4,"00000"))</f>
        <v/>
      </c>
      <c r="B296" s="22"/>
      <c r="C296" s="23"/>
      <c r="D296" s="21" t="str">
        <f aca="false">IF(C296="","",IFERROR(INDEX(取引先マスタ!$B$5:$B$204,MATCH($C296,取引先マスタ!$A$5:$A$204,0)),"コード誤り"))</f>
        <v/>
      </c>
      <c r="E296" s="28"/>
      <c r="F296" s="18"/>
      <c r="G296" s="25"/>
      <c r="H296" s="26" t="str">
        <f aca="false">IF(OR(F296="",G296=""),"",ROUNDDOWN(F296*G296,0))</f>
        <v/>
      </c>
      <c r="I296" s="26" t="str">
        <f aca="false">IF(OR(F296="",G296=""),"",F296+H296)</f>
        <v/>
      </c>
      <c r="J296" s="27" t="str">
        <f aca="false">IF(OR(B296="",C296="",D296="コード誤り"),"",IFERROR(DATE(YEAR(B296),MONTH(B296)+INDEX(取引先マスタ!$E$5:$E$204,MATCH($C296,取引先マスタ!$A$5:$A$204,0)),MIN(INDEX(取引先マスタ!$F$5:$F$204,MATCH($C296,取引先マスタ!$A$5:$A$204,0)),DAY(EOMONTH(B296,INDEX(取引先マスタ!$E$5:$E$204,MATCH($C296,取引先マスタ!$A$5:$A$204,0)))))),""))</f>
        <v/>
      </c>
      <c r="K296" s="22"/>
      <c r="L296" s="27" t="str">
        <f aca="false">IF(K296&lt;&gt;"",K296,J296)</f>
        <v/>
      </c>
      <c r="M296" s="28"/>
      <c r="N296" s="22"/>
      <c r="O296" s="28"/>
      <c r="P296" s="26" t="str">
        <f aca="false">IF(A296="","",SUMIF(入金明細!$F$5:$F$1004,A296,入金明細!$E$5:$E$1004))</f>
        <v/>
      </c>
      <c r="Q296" s="27" t="str">
        <f aca="false">IF(OR(A296="",N(P296)=0),"",SUMPRODUCT(MAX((入金明細!$F$5:$F$1004=A296)*入金明細!$B$5:$B$1004)))</f>
        <v/>
      </c>
      <c r="R296" s="18"/>
      <c r="S296" s="26" t="str">
        <f aca="false">IF(OR(A296="",I296=""),"",I296-N(P296)-N(R296))</f>
        <v/>
      </c>
      <c r="T296" s="28"/>
      <c r="U296" s="29" t="str">
        <f aca="false">IF(A296="","",IF(T296="取消","取消",IF(W296&lt;&gt;"","要入力",IF(N296="","未送付",IF(S296=0,"入金済",IF(S296&lt;0,"過入金",IF(設定!$C$5&gt;L296,IF(P296&gt;0,"一部入金・超過","期日超過"),IF(P296&gt;0,"一部入金",IF(L296-設定!$C$5&lt;=設定!$C$6,"期日間近","入金待ち")))))))))</f>
        <v/>
      </c>
      <c r="V296" s="30" t="str">
        <f aca="false">IF(OR(U296="期日超過",U296="一部入金・超過"),設定!$C$5-L296,"")</f>
        <v/>
      </c>
      <c r="W296" s="21" t="str">
        <f aca="false">IF(A296="","",TRIM(IF(B296="","請求日 ","")&amp;IF(C296="","取引先 ",IF(D296="コード誤り","取引先コード誤り ",""))&amp;IF(E296="","件名 ","")&amp;IF(F296="","税抜金額 ","")&amp;IF(G296="","税率 ","")&amp;IF(M296="","送付方法 ","")&amp;IF(AND(N296&lt;&gt;"",O296=""),"送付者 ","")&amp;IF(AND(I296&lt;&gt;"",L296=""),"入金期日 ","")&amp;IF(AND(N296&lt;&gt;"",P296&gt;0,S296&lt;=0,X296=""),"消込確認者 ","")))</f>
        <v/>
      </c>
      <c r="X296" s="28"/>
      <c r="Y296" s="28"/>
    </row>
    <row r="297" customFormat="false" ht="15" hidden="false" customHeight="false" outlineLevel="0" collapsed="false">
      <c r="A297" s="21" t="str">
        <f aca="false">IF(COUNTA(B297,C297,E297,F297)=0,"",設定!$C$4&amp;TEXT(ROW()-4,"00000"))</f>
        <v/>
      </c>
      <c r="B297" s="22"/>
      <c r="C297" s="23"/>
      <c r="D297" s="21" t="str">
        <f aca="false">IF(C297="","",IFERROR(INDEX(取引先マスタ!$B$5:$B$204,MATCH($C297,取引先マスタ!$A$5:$A$204,0)),"コード誤り"))</f>
        <v/>
      </c>
      <c r="E297" s="28"/>
      <c r="F297" s="18"/>
      <c r="G297" s="25"/>
      <c r="H297" s="26" t="str">
        <f aca="false">IF(OR(F297="",G297=""),"",ROUNDDOWN(F297*G297,0))</f>
        <v/>
      </c>
      <c r="I297" s="26" t="str">
        <f aca="false">IF(OR(F297="",G297=""),"",F297+H297)</f>
        <v/>
      </c>
      <c r="J297" s="27" t="str">
        <f aca="false">IF(OR(B297="",C297="",D297="コード誤り"),"",IFERROR(DATE(YEAR(B297),MONTH(B297)+INDEX(取引先マスタ!$E$5:$E$204,MATCH($C297,取引先マスタ!$A$5:$A$204,0)),MIN(INDEX(取引先マスタ!$F$5:$F$204,MATCH($C297,取引先マスタ!$A$5:$A$204,0)),DAY(EOMONTH(B297,INDEX(取引先マスタ!$E$5:$E$204,MATCH($C297,取引先マスタ!$A$5:$A$204,0)))))),""))</f>
        <v/>
      </c>
      <c r="K297" s="22"/>
      <c r="L297" s="27" t="str">
        <f aca="false">IF(K297&lt;&gt;"",K297,J297)</f>
        <v/>
      </c>
      <c r="M297" s="28"/>
      <c r="N297" s="22"/>
      <c r="O297" s="28"/>
      <c r="P297" s="26" t="str">
        <f aca="false">IF(A297="","",SUMIF(入金明細!$F$5:$F$1004,A297,入金明細!$E$5:$E$1004))</f>
        <v/>
      </c>
      <c r="Q297" s="27" t="str">
        <f aca="false">IF(OR(A297="",N(P297)=0),"",SUMPRODUCT(MAX((入金明細!$F$5:$F$1004=A297)*入金明細!$B$5:$B$1004)))</f>
        <v/>
      </c>
      <c r="R297" s="18"/>
      <c r="S297" s="26" t="str">
        <f aca="false">IF(OR(A297="",I297=""),"",I297-N(P297)-N(R297))</f>
        <v/>
      </c>
      <c r="T297" s="28"/>
      <c r="U297" s="29" t="str">
        <f aca="false">IF(A297="","",IF(T297="取消","取消",IF(W297&lt;&gt;"","要入力",IF(N297="","未送付",IF(S297=0,"入金済",IF(S297&lt;0,"過入金",IF(設定!$C$5&gt;L297,IF(P297&gt;0,"一部入金・超過","期日超過"),IF(P297&gt;0,"一部入金",IF(L297-設定!$C$5&lt;=設定!$C$6,"期日間近","入金待ち")))))))))</f>
        <v/>
      </c>
      <c r="V297" s="30" t="str">
        <f aca="false">IF(OR(U297="期日超過",U297="一部入金・超過"),設定!$C$5-L297,"")</f>
        <v/>
      </c>
      <c r="W297" s="21" t="str">
        <f aca="false">IF(A297="","",TRIM(IF(B297="","請求日 ","")&amp;IF(C297="","取引先 ",IF(D297="コード誤り","取引先コード誤り ",""))&amp;IF(E297="","件名 ","")&amp;IF(F297="","税抜金額 ","")&amp;IF(G297="","税率 ","")&amp;IF(M297="","送付方法 ","")&amp;IF(AND(N297&lt;&gt;"",O297=""),"送付者 ","")&amp;IF(AND(I297&lt;&gt;"",L297=""),"入金期日 ","")&amp;IF(AND(N297&lt;&gt;"",P297&gt;0,S297&lt;=0,X297=""),"消込確認者 ","")))</f>
        <v/>
      </c>
      <c r="X297" s="28"/>
      <c r="Y297" s="28"/>
    </row>
    <row r="298" customFormat="false" ht="15" hidden="false" customHeight="false" outlineLevel="0" collapsed="false">
      <c r="A298" s="21" t="str">
        <f aca="false">IF(COUNTA(B298,C298,E298,F298)=0,"",設定!$C$4&amp;TEXT(ROW()-4,"00000"))</f>
        <v/>
      </c>
      <c r="B298" s="22"/>
      <c r="C298" s="23"/>
      <c r="D298" s="21" t="str">
        <f aca="false">IF(C298="","",IFERROR(INDEX(取引先マスタ!$B$5:$B$204,MATCH($C298,取引先マスタ!$A$5:$A$204,0)),"コード誤り"))</f>
        <v/>
      </c>
      <c r="E298" s="28"/>
      <c r="F298" s="18"/>
      <c r="G298" s="25"/>
      <c r="H298" s="26" t="str">
        <f aca="false">IF(OR(F298="",G298=""),"",ROUNDDOWN(F298*G298,0))</f>
        <v/>
      </c>
      <c r="I298" s="26" t="str">
        <f aca="false">IF(OR(F298="",G298=""),"",F298+H298)</f>
        <v/>
      </c>
      <c r="J298" s="27" t="str">
        <f aca="false">IF(OR(B298="",C298="",D298="コード誤り"),"",IFERROR(DATE(YEAR(B298),MONTH(B298)+INDEX(取引先マスタ!$E$5:$E$204,MATCH($C298,取引先マスタ!$A$5:$A$204,0)),MIN(INDEX(取引先マスタ!$F$5:$F$204,MATCH($C298,取引先マスタ!$A$5:$A$204,0)),DAY(EOMONTH(B298,INDEX(取引先マスタ!$E$5:$E$204,MATCH($C298,取引先マスタ!$A$5:$A$204,0)))))),""))</f>
        <v/>
      </c>
      <c r="K298" s="22"/>
      <c r="L298" s="27" t="str">
        <f aca="false">IF(K298&lt;&gt;"",K298,J298)</f>
        <v/>
      </c>
      <c r="M298" s="28"/>
      <c r="N298" s="22"/>
      <c r="O298" s="28"/>
      <c r="P298" s="26" t="str">
        <f aca="false">IF(A298="","",SUMIF(入金明細!$F$5:$F$1004,A298,入金明細!$E$5:$E$1004))</f>
        <v/>
      </c>
      <c r="Q298" s="27" t="str">
        <f aca="false">IF(OR(A298="",N(P298)=0),"",SUMPRODUCT(MAX((入金明細!$F$5:$F$1004=A298)*入金明細!$B$5:$B$1004)))</f>
        <v/>
      </c>
      <c r="R298" s="18"/>
      <c r="S298" s="26" t="str">
        <f aca="false">IF(OR(A298="",I298=""),"",I298-N(P298)-N(R298))</f>
        <v/>
      </c>
      <c r="T298" s="28"/>
      <c r="U298" s="29" t="str">
        <f aca="false">IF(A298="","",IF(T298="取消","取消",IF(W298&lt;&gt;"","要入力",IF(N298="","未送付",IF(S298=0,"入金済",IF(S298&lt;0,"過入金",IF(設定!$C$5&gt;L298,IF(P298&gt;0,"一部入金・超過","期日超過"),IF(P298&gt;0,"一部入金",IF(L298-設定!$C$5&lt;=設定!$C$6,"期日間近","入金待ち")))))))))</f>
        <v/>
      </c>
      <c r="V298" s="30" t="str">
        <f aca="false">IF(OR(U298="期日超過",U298="一部入金・超過"),設定!$C$5-L298,"")</f>
        <v/>
      </c>
      <c r="W298" s="21" t="str">
        <f aca="false">IF(A298="","",TRIM(IF(B298="","請求日 ","")&amp;IF(C298="","取引先 ",IF(D298="コード誤り","取引先コード誤り ",""))&amp;IF(E298="","件名 ","")&amp;IF(F298="","税抜金額 ","")&amp;IF(G298="","税率 ","")&amp;IF(M298="","送付方法 ","")&amp;IF(AND(N298&lt;&gt;"",O298=""),"送付者 ","")&amp;IF(AND(I298&lt;&gt;"",L298=""),"入金期日 ","")&amp;IF(AND(N298&lt;&gt;"",P298&gt;0,S298&lt;=0,X298=""),"消込確認者 ","")))</f>
        <v/>
      </c>
      <c r="X298" s="28"/>
      <c r="Y298" s="28"/>
    </row>
    <row r="299" customFormat="false" ht="15" hidden="false" customHeight="false" outlineLevel="0" collapsed="false">
      <c r="A299" s="21" t="str">
        <f aca="false">IF(COUNTA(B299,C299,E299,F299)=0,"",設定!$C$4&amp;TEXT(ROW()-4,"00000"))</f>
        <v/>
      </c>
      <c r="B299" s="22"/>
      <c r="C299" s="23"/>
      <c r="D299" s="21" t="str">
        <f aca="false">IF(C299="","",IFERROR(INDEX(取引先マスタ!$B$5:$B$204,MATCH($C299,取引先マスタ!$A$5:$A$204,0)),"コード誤り"))</f>
        <v/>
      </c>
      <c r="E299" s="28"/>
      <c r="F299" s="18"/>
      <c r="G299" s="25"/>
      <c r="H299" s="26" t="str">
        <f aca="false">IF(OR(F299="",G299=""),"",ROUNDDOWN(F299*G299,0))</f>
        <v/>
      </c>
      <c r="I299" s="26" t="str">
        <f aca="false">IF(OR(F299="",G299=""),"",F299+H299)</f>
        <v/>
      </c>
      <c r="J299" s="27" t="str">
        <f aca="false">IF(OR(B299="",C299="",D299="コード誤り"),"",IFERROR(DATE(YEAR(B299),MONTH(B299)+INDEX(取引先マスタ!$E$5:$E$204,MATCH($C299,取引先マスタ!$A$5:$A$204,0)),MIN(INDEX(取引先マスタ!$F$5:$F$204,MATCH($C299,取引先マスタ!$A$5:$A$204,0)),DAY(EOMONTH(B299,INDEX(取引先マスタ!$E$5:$E$204,MATCH($C299,取引先マスタ!$A$5:$A$204,0)))))),""))</f>
        <v/>
      </c>
      <c r="K299" s="22"/>
      <c r="L299" s="27" t="str">
        <f aca="false">IF(K299&lt;&gt;"",K299,J299)</f>
        <v/>
      </c>
      <c r="M299" s="28"/>
      <c r="N299" s="22"/>
      <c r="O299" s="28"/>
      <c r="P299" s="26" t="str">
        <f aca="false">IF(A299="","",SUMIF(入金明細!$F$5:$F$1004,A299,入金明細!$E$5:$E$1004))</f>
        <v/>
      </c>
      <c r="Q299" s="27" t="str">
        <f aca="false">IF(OR(A299="",N(P299)=0),"",SUMPRODUCT(MAX((入金明細!$F$5:$F$1004=A299)*入金明細!$B$5:$B$1004)))</f>
        <v/>
      </c>
      <c r="R299" s="18"/>
      <c r="S299" s="26" t="str">
        <f aca="false">IF(OR(A299="",I299=""),"",I299-N(P299)-N(R299))</f>
        <v/>
      </c>
      <c r="T299" s="28"/>
      <c r="U299" s="29" t="str">
        <f aca="false">IF(A299="","",IF(T299="取消","取消",IF(W299&lt;&gt;"","要入力",IF(N299="","未送付",IF(S299=0,"入金済",IF(S299&lt;0,"過入金",IF(設定!$C$5&gt;L299,IF(P299&gt;0,"一部入金・超過","期日超過"),IF(P299&gt;0,"一部入金",IF(L299-設定!$C$5&lt;=設定!$C$6,"期日間近","入金待ち")))))))))</f>
        <v/>
      </c>
      <c r="V299" s="30" t="str">
        <f aca="false">IF(OR(U299="期日超過",U299="一部入金・超過"),設定!$C$5-L299,"")</f>
        <v/>
      </c>
      <c r="W299" s="21" t="str">
        <f aca="false">IF(A299="","",TRIM(IF(B299="","請求日 ","")&amp;IF(C299="","取引先 ",IF(D299="コード誤り","取引先コード誤り ",""))&amp;IF(E299="","件名 ","")&amp;IF(F299="","税抜金額 ","")&amp;IF(G299="","税率 ","")&amp;IF(M299="","送付方法 ","")&amp;IF(AND(N299&lt;&gt;"",O299=""),"送付者 ","")&amp;IF(AND(I299&lt;&gt;"",L299=""),"入金期日 ","")&amp;IF(AND(N299&lt;&gt;"",P299&gt;0,S299&lt;=0,X299=""),"消込確認者 ","")))</f>
        <v/>
      </c>
      <c r="X299" s="28"/>
      <c r="Y299" s="28"/>
    </row>
    <row r="300" customFormat="false" ht="15" hidden="false" customHeight="false" outlineLevel="0" collapsed="false">
      <c r="A300" s="21" t="str">
        <f aca="false">IF(COUNTA(B300,C300,E300,F300)=0,"",設定!$C$4&amp;TEXT(ROW()-4,"00000"))</f>
        <v/>
      </c>
      <c r="B300" s="22"/>
      <c r="C300" s="23"/>
      <c r="D300" s="21" t="str">
        <f aca="false">IF(C300="","",IFERROR(INDEX(取引先マスタ!$B$5:$B$204,MATCH($C300,取引先マスタ!$A$5:$A$204,0)),"コード誤り"))</f>
        <v/>
      </c>
      <c r="E300" s="28"/>
      <c r="F300" s="18"/>
      <c r="G300" s="25"/>
      <c r="H300" s="26" t="str">
        <f aca="false">IF(OR(F300="",G300=""),"",ROUNDDOWN(F300*G300,0))</f>
        <v/>
      </c>
      <c r="I300" s="26" t="str">
        <f aca="false">IF(OR(F300="",G300=""),"",F300+H300)</f>
        <v/>
      </c>
      <c r="J300" s="27" t="str">
        <f aca="false">IF(OR(B300="",C300="",D300="コード誤り"),"",IFERROR(DATE(YEAR(B300),MONTH(B300)+INDEX(取引先マスタ!$E$5:$E$204,MATCH($C300,取引先マスタ!$A$5:$A$204,0)),MIN(INDEX(取引先マスタ!$F$5:$F$204,MATCH($C300,取引先マスタ!$A$5:$A$204,0)),DAY(EOMONTH(B300,INDEX(取引先マスタ!$E$5:$E$204,MATCH($C300,取引先マスタ!$A$5:$A$204,0)))))),""))</f>
        <v/>
      </c>
      <c r="K300" s="22"/>
      <c r="L300" s="27" t="str">
        <f aca="false">IF(K300&lt;&gt;"",K300,J300)</f>
        <v/>
      </c>
      <c r="M300" s="28"/>
      <c r="N300" s="22"/>
      <c r="O300" s="28"/>
      <c r="P300" s="26" t="str">
        <f aca="false">IF(A300="","",SUMIF(入金明細!$F$5:$F$1004,A300,入金明細!$E$5:$E$1004))</f>
        <v/>
      </c>
      <c r="Q300" s="27" t="str">
        <f aca="false">IF(OR(A300="",N(P300)=0),"",SUMPRODUCT(MAX((入金明細!$F$5:$F$1004=A300)*入金明細!$B$5:$B$1004)))</f>
        <v/>
      </c>
      <c r="R300" s="18"/>
      <c r="S300" s="26" t="str">
        <f aca="false">IF(OR(A300="",I300=""),"",I300-N(P300)-N(R300))</f>
        <v/>
      </c>
      <c r="T300" s="28"/>
      <c r="U300" s="29" t="str">
        <f aca="false">IF(A300="","",IF(T300="取消","取消",IF(W300&lt;&gt;"","要入力",IF(N300="","未送付",IF(S300=0,"入金済",IF(S300&lt;0,"過入金",IF(設定!$C$5&gt;L300,IF(P300&gt;0,"一部入金・超過","期日超過"),IF(P300&gt;0,"一部入金",IF(L300-設定!$C$5&lt;=設定!$C$6,"期日間近","入金待ち")))))))))</f>
        <v/>
      </c>
      <c r="V300" s="30" t="str">
        <f aca="false">IF(OR(U300="期日超過",U300="一部入金・超過"),設定!$C$5-L300,"")</f>
        <v/>
      </c>
      <c r="W300" s="21" t="str">
        <f aca="false">IF(A300="","",TRIM(IF(B300="","請求日 ","")&amp;IF(C300="","取引先 ",IF(D300="コード誤り","取引先コード誤り ",""))&amp;IF(E300="","件名 ","")&amp;IF(F300="","税抜金額 ","")&amp;IF(G300="","税率 ","")&amp;IF(M300="","送付方法 ","")&amp;IF(AND(N300&lt;&gt;"",O300=""),"送付者 ","")&amp;IF(AND(I300&lt;&gt;"",L300=""),"入金期日 ","")&amp;IF(AND(N300&lt;&gt;"",P300&gt;0,S300&lt;=0,X300=""),"消込確認者 ","")))</f>
        <v/>
      </c>
      <c r="X300" s="28"/>
      <c r="Y300" s="28"/>
    </row>
    <row r="301" customFormat="false" ht="15" hidden="false" customHeight="false" outlineLevel="0" collapsed="false">
      <c r="A301" s="21" t="str">
        <f aca="false">IF(COUNTA(B301,C301,E301,F301)=0,"",設定!$C$4&amp;TEXT(ROW()-4,"00000"))</f>
        <v/>
      </c>
      <c r="B301" s="22"/>
      <c r="C301" s="23"/>
      <c r="D301" s="21" t="str">
        <f aca="false">IF(C301="","",IFERROR(INDEX(取引先マスタ!$B$5:$B$204,MATCH($C301,取引先マスタ!$A$5:$A$204,0)),"コード誤り"))</f>
        <v/>
      </c>
      <c r="E301" s="28"/>
      <c r="F301" s="18"/>
      <c r="G301" s="25"/>
      <c r="H301" s="26" t="str">
        <f aca="false">IF(OR(F301="",G301=""),"",ROUNDDOWN(F301*G301,0))</f>
        <v/>
      </c>
      <c r="I301" s="26" t="str">
        <f aca="false">IF(OR(F301="",G301=""),"",F301+H301)</f>
        <v/>
      </c>
      <c r="J301" s="27" t="str">
        <f aca="false">IF(OR(B301="",C301="",D301="コード誤り"),"",IFERROR(DATE(YEAR(B301),MONTH(B301)+INDEX(取引先マスタ!$E$5:$E$204,MATCH($C301,取引先マスタ!$A$5:$A$204,0)),MIN(INDEX(取引先マスタ!$F$5:$F$204,MATCH($C301,取引先マスタ!$A$5:$A$204,0)),DAY(EOMONTH(B301,INDEX(取引先マスタ!$E$5:$E$204,MATCH($C301,取引先マスタ!$A$5:$A$204,0)))))),""))</f>
        <v/>
      </c>
      <c r="K301" s="22"/>
      <c r="L301" s="27" t="str">
        <f aca="false">IF(K301&lt;&gt;"",K301,J301)</f>
        <v/>
      </c>
      <c r="M301" s="28"/>
      <c r="N301" s="22"/>
      <c r="O301" s="28"/>
      <c r="P301" s="26" t="str">
        <f aca="false">IF(A301="","",SUMIF(入金明細!$F$5:$F$1004,A301,入金明細!$E$5:$E$1004))</f>
        <v/>
      </c>
      <c r="Q301" s="27" t="str">
        <f aca="false">IF(OR(A301="",N(P301)=0),"",SUMPRODUCT(MAX((入金明細!$F$5:$F$1004=A301)*入金明細!$B$5:$B$1004)))</f>
        <v/>
      </c>
      <c r="R301" s="18"/>
      <c r="S301" s="26" t="str">
        <f aca="false">IF(OR(A301="",I301=""),"",I301-N(P301)-N(R301))</f>
        <v/>
      </c>
      <c r="T301" s="28"/>
      <c r="U301" s="29" t="str">
        <f aca="false">IF(A301="","",IF(T301="取消","取消",IF(W301&lt;&gt;"","要入力",IF(N301="","未送付",IF(S301=0,"入金済",IF(S301&lt;0,"過入金",IF(設定!$C$5&gt;L301,IF(P301&gt;0,"一部入金・超過","期日超過"),IF(P301&gt;0,"一部入金",IF(L301-設定!$C$5&lt;=設定!$C$6,"期日間近","入金待ち")))))))))</f>
        <v/>
      </c>
      <c r="V301" s="30" t="str">
        <f aca="false">IF(OR(U301="期日超過",U301="一部入金・超過"),設定!$C$5-L301,"")</f>
        <v/>
      </c>
      <c r="W301" s="21" t="str">
        <f aca="false">IF(A301="","",TRIM(IF(B301="","請求日 ","")&amp;IF(C301="","取引先 ",IF(D301="コード誤り","取引先コード誤り ",""))&amp;IF(E301="","件名 ","")&amp;IF(F301="","税抜金額 ","")&amp;IF(G301="","税率 ","")&amp;IF(M301="","送付方法 ","")&amp;IF(AND(N301&lt;&gt;"",O301=""),"送付者 ","")&amp;IF(AND(I301&lt;&gt;"",L301=""),"入金期日 ","")&amp;IF(AND(N301&lt;&gt;"",P301&gt;0,S301&lt;=0,X301=""),"消込確認者 ","")))</f>
        <v/>
      </c>
      <c r="X301" s="28"/>
      <c r="Y301" s="28"/>
    </row>
    <row r="302" customFormat="false" ht="15" hidden="false" customHeight="false" outlineLevel="0" collapsed="false">
      <c r="A302" s="21" t="str">
        <f aca="false">IF(COUNTA(B302,C302,E302,F302)=0,"",設定!$C$4&amp;TEXT(ROW()-4,"00000"))</f>
        <v/>
      </c>
      <c r="B302" s="22"/>
      <c r="C302" s="23"/>
      <c r="D302" s="21" t="str">
        <f aca="false">IF(C302="","",IFERROR(INDEX(取引先マスタ!$B$5:$B$204,MATCH($C302,取引先マスタ!$A$5:$A$204,0)),"コード誤り"))</f>
        <v/>
      </c>
      <c r="E302" s="28"/>
      <c r="F302" s="18"/>
      <c r="G302" s="25"/>
      <c r="H302" s="26" t="str">
        <f aca="false">IF(OR(F302="",G302=""),"",ROUNDDOWN(F302*G302,0))</f>
        <v/>
      </c>
      <c r="I302" s="26" t="str">
        <f aca="false">IF(OR(F302="",G302=""),"",F302+H302)</f>
        <v/>
      </c>
      <c r="J302" s="27" t="str">
        <f aca="false">IF(OR(B302="",C302="",D302="コード誤り"),"",IFERROR(DATE(YEAR(B302),MONTH(B302)+INDEX(取引先マスタ!$E$5:$E$204,MATCH($C302,取引先マスタ!$A$5:$A$204,0)),MIN(INDEX(取引先マスタ!$F$5:$F$204,MATCH($C302,取引先マスタ!$A$5:$A$204,0)),DAY(EOMONTH(B302,INDEX(取引先マスタ!$E$5:$E$204,MATCH($C302,取引先マスタ!$A$5:$A$204,0)))))),""))</f>
        <v/>
      </c>
      <c r="K302" s="22"/>
      <c r="L302" s="27" t="str">
        <f aca="false">IF(K302&lt;&gt;"",K302,J302)</f>
        <v/>
      </c>
      <c r="M302" s="28"/>
      <c r="N302" s="22"/>
      <c r="O302" s="28"/>
      <c r="P302" s="26" t="str">
        <f aca="false">IF(A302="","",SUMIF(入金明細!$F$5:$F$1004,A302,入金明細!$E$5:$E$1004))</f>
        <v/>
      </c>
      <c r="Q302" s="27" t="str">
        <f aca="false">IF(OR(A302="",N(P302)=0),"",SUMPRODUCT(MAX((入金明細!$F$5:$F$1004=A302)*入金明細!$B$5:$B$1004)))</f>
        <v/>
      </c>
      <c r="R302" s="18"/>
      <c r="S302" s="26" t="str">
        <f aca="false">IF(OR(A302="",I302=""),"",I302-N(P302)-N(R302))</f>
        <v/>
      </c>
      <c r="T302" s="28"/>
      <c r="U302" s="29" t="str">
        <f aca="false">IF(A302="","",IF(T302="取消","取消",IF(W302&lt;&gt;"","要入力",IF(N302="","未送付",IF(S302=0,"入金済",IF(S302&lt;0,"過入金",IF(設定!$C$5&gt;L302,IF(P302&gt;0,"一部入金・超過","期日超過"),IF(P302&gt;0,"一部入金",IF(L302-設定!$C$5&lt;=設定!$C$6,"期日間近","入金待ち")))))))))</f>
        <v/>
      </c>
      <c r="V302" s="30" t="str">
        <f aca="false">IF(OR(U302="期日超過",U302="一部入金・超過"),設定!$C$5-L302,"")</f>
        <v/>
      </c>
      <c r="W302" s="21" t="str">
        <f aca="false">IF(A302="","",TRIM(IF(B302="","請求日 ","")&amp;IF(C302="","取引先 ",IF(D302="コード誤り","取引先コード誤り ",""))&amp;IF(E302="","件名 ","")&amp;IF(F302="","税抜金額 ","")&amp;IF(G302="","税率 ","")&amp;IF(M302="","送付方法 ","")&amp;IF(AND(N302&lt;&gt;"",O302=""),"送付者 ","")&amp;IF(AND(I302&lt;&gt;"",L302=""),"入金期日 ","")&amp;IF(AND(N302&lt;&gt;"",P302&gt;0,S302&lt;=0,X302=""),"消込確認者 ","")))</f>
        <v/>
      </c>
      <c r="X302" s="28"/>
      <c r="Y302" s="28"/>
    </row>
    <row r="303" customFormat="false" ht="15" hidden="false" customHeight="false" outlineLevel="0" collapsed="false">
      <c r="A303" s="21" t="str">
        <f aca="false">IF(COUNTA(B303,C303,E303,F303)=0,"",設定!$C$4&amp;TEXT(ROW()-4,"00000"))</f>
        <v/>
      </c>
      <c r="B303" s="22"/>
      <c r="C303" s="23"/>
      <c r="D303" s="21" t="str">
        <f aca="false">IF(C303="","",IFERROR(INDEX(取引先マスタ!$B$5:$B$204,MATCH($C303,取引先マスタ!$A$5:$A$204,0)),"コード誤り"))</f>
        <v/>
      </c>
      <c r="E303" s="28"/>
      <c r="F303" s="18"/>
      <c r="G303" s="25"/>
      <c r="H303" s="26" t="str">
        <f aca="false">IF(OR(F303="",G303=""),"",ROUNDDOWN(F303*G303,0))</f>
        <v/>
      </c>
      <c r="I303" s="26" t="str">
        <f aca="false">IF(OR(F303="",G303=""),"",F303+H303)</f>
        <v/>
      </c>
      <c r="J303" s="27" t="str">
        <f aca="false">IF(OR(B303="",C303="",D303="コード誤り"),"",IFERROR(DATE(YEAR(B303),MONTH(B303)+INDEX(取引先マスタ!$E$5:$E$204,MATCH($C303,取引先マスタ!$A$5:$A$204,0)),MIN(INDEX(取引先マスタ!$F$5:$F$204,MATCH($C303,取引先マスタ!$A$5:$A$204,0)),DAY(EOMONTH(B303,INDEX(取引先マスタ!$E$5:$E$204,MATCH($C303,取引先マスタ!$A$5:$A$204,0)))))),""))</f>
        <v/>
      </c>
      <c r="K303" s="22"/>
      <c r="L303" s="27" t="str">
        <f aca="false">IF(K303&lt;&gt;"",K303,J303)</f>
        <v/>
      </c>
      <c r="M303" s="28"/>
      <c r="N303" s="22"/>
      <c r="O303" s="28"/>
      <c r="P303" s="26" t="str">
        <f aca="false">IF(A303="","",SUMIF(入金明細!$F$5:$F$1004,A303,入金明細!$E$5:$E$1004))</f>
        <v/>
      </c>
      <c r="Q303" s="27" t="str">
        <f aca="false">IF(OR(A303="",N(P303)=0),"",SUMPRODUCT(MAX((入金明細!$F$5:$F$1004=A303)*入金明細!$B$5:$B$1004)))</f>
        <v/>
      </c>
      <c r="R303" s="18"/>
      <c r="S303" s="26" t="str">
        <f aca="false">IF(OR(A303="",I303=""),"",I303-N(P303)-N(R303))</f>
        <v/>
      </c>
      <c r="T303" s="28"/>
      <c r="U303" s="29" t="str">
        <f aca="false">IF(A303="","",IF(T303="取消","取消",IF(W303&lt;&gt;"","要入力",IF(N303="","未送付",IF(S303=0,"入金済",IF(S303&lt;0,"過入金",IF(設定!$C$5&gt;L303,IF(P303&gt;0,"一部入金・超過","期日超過"),IF(P303&gt;0,"一部入金",IF(L303-設定!$C$5&lt;=設定!$C$6,"期日間近","入金待ち")))))))))</f>
        <v/>
      </c>
      <c r="V303" s="30" t="str">
        <f aca="false">IF(OR(U303="期日超過",U303="一部入金・超過"),設定!$C$5-L303,"")</f>
        <v/>
      </c>
      <c r="W303" s="21" t="str">
        <f aca="false">IF(A303="","",TRIM(IF(B303="","請求日 ","")&amp;IF(C303="","取引先 ",IF(D303="コード誤り","取引先コード誤り ",""))&amp;IF(E303="","件名 ","")&amp;IF(F303="","税抜金額 ","")&amp;IF(G303="","税率 ","")&amp;IF(M303="","送付方法 ","")&amp;IF(AND(N303&lt;&gt;"",O303=""),"送付者 ","")&amp;IF(AND(I303&lt;&gt;"",L303=""),"入金期日 ","")&amp;IF(AND(N303&lt;&gt;"",P303&gt;0,S303&lt;=0,X303=""),"消込確認者 ","")))</f>
        <v/>
      </c>
      <c r="X303" s="28"/>
      <c r="Y303" s="28"/>
    </row>
    <row r="304" customFormat="false" ht="15" hidden="false" customHeight="false" outlineLevel="0" collapsed="false">
      <c r="A304" s="21" t="str">
        <f aca="false">IF(COUNTA(B304,C304,E304,F304)=0,"",設定!$C$4&amp;TEXT(ROW()-4,"00000"))</f>
        <v/>
      </c>
      <c r="B304" s="22"/>
      <c r="C304" s="23"/>
      <c r="D304" s="21" t="str">
        <f aca="false">IF(C304="","",IFERROR(INDEX(取引先マスタ!$B$5:$B$204,MATCH($C304,取引先マスタ!$A$5:$A$204,0)),"コード誤り"))</f>
        <v/>
      </c>
      <c r="E304" s="28"/>
      <c r="F304" s="18"/>
      <c r="G304" s="25"/>
      <c r="H304" s="26" t="str">
        <f aca="false">IF(OR(F304="",G304=""),"",ROUNDDOWN(F304*G304,0))</f>
        <v/>
      </c>
      <c r="I304" s="26" t="str">
        <f aca="false">IF(OR(F304="",G304=""),"",F304+H304)</f>
        <v/>
      </c>
      <c r="J304" s="27" t="str">
        <f aca="false">IF(OR(B304="",C304="",D304="コード誤り"),"",IFERROR(DATE(YEAR(B304),MONTH(B304)+INDEX(取引先マスタ!$E$5:$E$204,MATCH($C304,取引先マスタ!$A$5:$A$204,0)),MIN(INDEX(取引先マスタ!$F$5:$F$204,MATCH($C304,取引先マスタ!$A$5:$A$204,0)),DAY(EOMONTH(B304,INDEX(取引先マスタ!$E$5:$E$204,MATCH($C304,取引先マスタ!$A$5:$A$204,0)))))),""))</f>
        <v/>
      </c>
      <c r="K304" s="22"/>
      <c r="L304" s="27" t="str">
        <f aca="false">IF(K304&lt;&gt;"",K304,J304)</f>
        <v/>
      </c>
      <c r="M304" s="28"/>
      <c r="N304" s="22"/>
      <c r="O304" s="28"/>
      <c r="P304" s="26" t="str">
        <f aca="false">IF(A304="","",SUMIF(入金明細!$F$5:$F$1004,A304,入金明細!$E$5:$E$1004))</f>
        <v/>
      </c>
      <c r="Q304" s="27" t="str">
        <f aca="false">IF(OR(A304="",N(P304)=0),"",SUMPRODUCT(MAX((入金明細!$F$5:$F$1004=A304)*入金明細!$B$5:$B$1004)))</f>
        <v/>
      </c>
      <c r="R304" s="18"/>
      <c r="S304" s="26" t="str">
        <f aca="false">IF(OR(A304="",I304=""),"",I304-N(P304)-N(R304))</f>
        <v/>
      </c>
      <c r="T304" s="28"/>
      <c r="U304" s="29" t="str">
        <f aca="false">IF(A304="","",IF(T304="取消","取消",IF(W304&lt;&gt;"","要入力",IF(N304="","未送付",IF(S304=0,"入金済",IF(S304&lt;0,"過入金",IF(設定!$C$5&gt;L304,IF(P304&gt;0,"一部入金・超過","期日超過"),IF(P304&gt;0,"一部入金",IF(L304-設定!$C$5&lt;=設定!$C$6,"期日間近","入金待ち")))))))))</f>
        <v/>
      </c>
      <c r="V304" s="30" t="str">
        <f aca="false">IF(OR(U304="期日超過",U304="一部入金・超過"),設定!$C$5-L304,"")</f>
        <v/>
      </c>
      <c r="W304" s="21" t="str">
        <f aca="false">IF(A304="","",TRIM(IF(B304="","請求日 ","")&amp;IF(C304="","取引先 ",IF(D304="コード誤り","取引先コード誤り ",""))&amp;IF(E304="","件名 ","")&amp;IF(F304="","税抜金額 ","")&amp;IF(G304="","税率 ","")&amp;IF(M304="","送付方法 ","")&amp;IF(AND(N304&lt;&gt;"",O304=""),"送付者 ","")&amp;IF(AND(I304&lt;&gt;"",L304=""),"入金期日 ","")&amp;IF(AND(N304&lt;&gt;"",P304&gt;0,S304&lt;=0,X304=""),"消込確認者 ","")))</f>
        <v/>
      </c>
      <c r="X304" s="28"/>
      <c r="Y304" s="28"/>
    </row>
    <row r="305" customFormat="false" ht="15" hidden="false" customHeight="false" outlineLevel="0" collapsed="false">
      <c r="A305" s="21" t="str">
        <f aca="false">IF(COUNTA(B305,C305,E305,F305)=0,"",設定!$C$4&amp;TEXT(ROW()-4,"00000"))</f>
        <v/>
      </c>
      <c r="B305" s="22"/>
      <c r="C305" s="23"/>
      <c r="D305" s="21" t="str">
        <f aca="false">IF(C305="","",IFERROR(INDEX(取引先マスタ!$B$5:$B$204,MATCH($C305,取引先マスタ!$A$5:$A$204,0)),"コード誤り"))</f>
        <v/>
      </c>
      <c r="E305" s="28"/>
      <c r="F305" s="18"/>
      <c r="G305" s="25"/>
      <c r="H305" s="26" t="str">
        <f aca="false">IF(OR(F305="",G305=""),"",ROUNDDOWN(F305*G305,0))</f>
        <v/>
      </c>
      <c r="I305" s="26" t="str">
        <f aca="false">IF(OR(F305="",G305=""),"",F305+H305)</f>
        <v/>
      </c>
      <c r="J305" s="27" t="str">
        <f aca="false">IF(OR(B305="",C305="",D305="コード誤り"),"",IFERROR(DATE(YEAR(B305),MONTH(B305)+INDEX(取引先マスタ!$E$5:$E$204,MATCH($C305,取引先マスタ!$A$5:$A$204,0)),MIN(INDEX(取引先マスタ!$F$5:$F$204,MATCH($C305,取引先マスタ!$A$5:$A$204,0)),DAY(EOMONTH(B305,INDEX(取引先マスタ!$E$5:$E$204,MATCH($C305,取引先マスタ!$A$5:$A$204,0)))))),""))</f>
        <v/>
      </c>
      <c r="K305" s="22"/>
      <c r="L305" s="27" t="str">
        <f aca="false">IF(K305&lt;&gt;"",K305,J305)</f>
        <v/>
      </c>
      <c r="M305" s="28"/>
      <c r="N305" s="22"/>
      <c r="O305" s="28"/>
      <c r="P305" s="26" t="str">
        <f aca="false">IF(A305="","",SUMIF(入金明細!$F$5:$F$1004,A305,入金明細!$E$5:$E$1004))</f>
        <v/>
      </c>
      <c r="Q305" s="27" t="str">
        <f aca="false">IF(OR(A305="",N(P305)=0),"",SUMPRODUCT(MAX((入金明細!$F$5:$F$1004=A305)*入金明細!$B$5:$B$1004)))</f>
        <v/>
      </c>
      <c r="R305" s="18"/>
      <c r="S305" s="26" t="str">
        <f aca="false">IF(OR(A305="",I305=""),"",I305-N(P305)-N(R305))</f>
        <v/>
      </c>
      <c r="T305" s="28"/>
      <c r="U305" s="29" t="str">
        <f aca="false">IF(A305="","",IF(T305="取消","取消",IF(W305&lt;&gt;"","要入力",IF(N305="","未送付",IF(S305=0,"入金済",IF(S305&lt;0,"過入金",IF(設定!$C$5&gt;L305,IF(P305&gt;0,"一部入金・超過","期日超過"),IF(P305&gt;0,"一部入金",IF(L305-設定!$C$5&lt;=設定!$C$6,"期日間近","入金待ち")))))))))</f>
        <v/>
      </c>
      <c r="V305" s="30" t="str">
        <f aca="false">IF(OR(U305="期日超過",U305="一部入金・超過"),設定!$C$5-L305,"")</f>
        <v/>
      </c>
      <c r="W305" s="21" t="str">
        <f aca="false">IF(A305="","",TRIM(IF(B305="","請求日 ","")&amp;IF(C305="","取引先 ",IF(D305="コード誤り","取引先コード誤り ",""))&amp;IF(E305="","件名 ","")&amp;IF(F305="","税抜金額 ","")&amp;IF(G305="","税率 ","")&amp;IF(M305="","送付方法 ","")&amp;IF(AND(N305&lt;&gt;"",O305=""),"送付者 ","")&amp;IF(AND(I305&lt;&gt;"",L305=""),"入金期日 ","")&amp;IF(AND(N305&lt;&gt;"",P305&gt;0,S305&lt;=0,X305=""),"消込確認者 ","")))</f>
        <v/>
      </c>
      <c r="X305" s="28"/>
      <c r="Y305" s="28"/>
    </row>
    <row r="306" customFormat="false" ht="15" hidden="false" customHeight="false" outlineLevel="0" collapsed="false">
      <c r="A306" s="21" t="str">
        <f aca="false">IF(COUNTA(B306,C306,E306,F306)=0,"",設定!$C$4&amp;TEXT(ROW()-4,"00000"))</f>
        <v/>
      </c>
      <c r="B306" s="22"/>
      <c r="C306" s="23"/>
      <c r="D306" s="21" t="str">
        <f aca="false">IF(C306="","",IFERROR(INDEX(取引先マスタ!$B$5:$B$204,MATCH($C306,取引先マスタ!$A$5:$A$204,0)),"コード誤り"))</f>
        <v/>
      </c>
      <c r="E306" s="28"/>
      <c r="F306" s="18"/>
      <c r="G306" s="25"/>
      <c r="H306" s="26" t="str">
        <f aca="false">IF(OR(F306="",G306=""),"",ROUNDDOWN(F306*G306,0))</f>
        <v/>
      </c>
      <c r="I306" s="26" t="str">
        <f aca="false">IF(OR(F306="",G306=""),"",F306+H306)</f>
        <v/>
      </c>
      <c r="J306" s="27" t="str">
        <f aca="false">IF(OR(B306="",C306="",D306="コード誤り"),"",IFERROR(DATE(YEAR(B306),MONTH(B306)+INDEX(取引先マスタ!$E$5:$E$204,MATCH($C306,取引先マスタ!$A$5:$A$204,0)),MIN(INDEX(取引先マスタ!$F$5:$F$204,MATCH($C306,取引先マスタ!$A$5:$A$204,0)),DAY(EOMONTH(B306,INDEX(取引先マスタ!$E$5:$E$204,MATCH($C306,取引先マスタ!$A$5:$A$204,0)))))),""))</f>
        <v/>
      </c>
      <c r="K306" s="22"/>
      <c r="L306" s="27" t="str">
        <f aca="false">IF(K306&lt;&gt;"",K306,J306)</f>
        <v/>
      </c>
      <c r="M306" s="28"/>
      <c r="N306" s="22"/>
      <c r="O306" s="28"/>
      <c r="P306" s="26" t="str">
        <f aca="false">IF(A306="","",SUMIF(入金明細!$F$5:$F$1004,A306,入金明細!$E$5:$E$1004))</f>
        <v/>
      </c>
      <c r="Q306" s="27" t="str">
        <f aca="false">IF(OR(A306="",N(P306)=0),"",SUMPRODUCT(MAX((入金明細!$F$5:$F$1004=A306)*入金明細!$B$5:$B$1004)))</f>
        <v/>
      </c>
      <c r="R306" s="18"/>
      <c r="S306" s="26" t="str">
        <f aca="false">IF(OR(A306="",I306=""),"",I306-N(P306)-N(R306))</f>
        <v/>
      </c>
      <c r="T306" s="28"/>
      <c r="U306" s="29" t="str">
        <f aca="false">IF(A306="","",IF(T306="取消","取消",IF(W306&lt;&gt;"","要入力",IF(N306="","未送付",IF(S306=0,"入金済",IF(S306&lt;0,"過入金",IF(設定!$C$5&gt;L306,IF(P306&gt;0,"一部入金・超過","期日超過"),IF(P306&gt;0,"一部入金",IF(L306-設定!$C$5&lt;=設定!$C$6,"期日間近","入金待ち")))))))))</f>
        <v/>
      </c>
      <c r="V306" s="30" t="str">
        <f aca="false">IF(OR(U306="期日超過",U306="一部入金・超過"),設定!$C$5-L306,"")</f>
        <v/>
      </c>
      <c r="W306" s="21" t="str">
        <f aca="false">IF(A306="","",TRIM(IF(B306="","請求日 ","")&amp;IF(C306="","取引先 ",IF(D306="コード誤り","取引先コード誤り ",""))&amp;IF(E306="","件名 ","")&amp;IF(F306="","税抜金額 ","")&amp;IF(G306="","税率 ","")&amp;IF(M306="","送付方法 ","")&amp;IF(AND(N306&lt;&gt;"",O306=""),"送付者 ","")&amp;IF(AND(I306&lt;&gt;"",L306=""),"入金期日 ","")&amp;IF(AND(N306&lt;&gt;"",P306&gt;0,S306&lt;=0,X306=""),"消込確認者 ","")))</f>
        <v/>
      </c>
      <c r="X306" s="28"/>
      <c r="Y306" s="28"/>
    </row>
    <row r="307" customFormat="false" ht="15" hidden="false" customHeight="false" outlineLevel="0" collapsed="false">
      <c r="A307" s="21" t="str">
        <f aca="false">IF(COUNTA(B307,C307,E307,F307)=0,"",設定!$C$4&amp;TEXT(ROW()-4,"00000"))</f>
        <v/>
      </c>
      <c r="B307" s="22"/>
      <c r="C307" s="23"/>
      <c r="D307" s="21" t="str">
        <f aca="false">IF(C307="","",IFERROR(INDEX(取引先マスタ!$B$5:$B$204,MATCH($C307,取引先マスタ!$A$5:$A$204,0)),"コード誤り"))</f>
        <v/>
      </c>
      <c r="E307" s="28"/>
      <c r="F307" s="18"/>
      <c r="G307" s="25"/>
      <c r="H307" s="26" t="str">
        <f aca="false">IF(OR(F307="",G307=""),"",ROUNDDOWN(F307*G307,0))</f>
        <v/>
      </c>
      <c r="I307" s="26" t="str">
        <f aca="false">IF(OR(F307="",G307=""),"",F307+H307)</f>
        <v/>
      </c>
      <c r="J307" s="27" t="str">
        <f aca="false">IF(OR(B307="",C307="",D307="コード誤り"),"",IFERROR(DATE(YEAR(B307),MONTH(B307)+INDEX(取引先マスタ!$E$5:$E$204,MATCH($C307,取引先マスタ!$A$5:$A$204,0)),MIN(INDEX(取引先マスタ!$F$5:$F$204,MATCH($C307,取引先マスタ!$A$5:$A$204,0)),DAY(EOMONTH(B307,INDEX(取引先マスタ!$E$5:$E$204,MATCH($C307,取引先マスタ!$A$5:$A$204,0)))))),""))</f>
        <v/>
      </c>
      <c r="K307" s="22"/>
      <c r="L307" s="27" t="str">
        <f aca="false">IF(K307&lt;&gt;"",K307,J307)</f>
        <v/>
      </c>
      <c r="M307" s="28"/>
      <c r="N307" s="22"/>
      <c r="O307" s="28"/>
      <c r="P307" s="26" t="str">
        <f aca="false">IF(A307="","",SUMIF(入金明細!$F$5:$F$1004,A307,入金明細!$E$5:$E$1004))</f>
        <v/>
      </c>
      <c r="Q307" s="27" t="str">
        <f aca="false">IF(OR(A307="",N(P307)=0),"",SUMPRODUCT(MAX((入金明細!$F$5:$F$1004=A307)*入金明細!$B$5:$B$1004)))</f>
        <v/>
      </c>
      <c r="R307" s="18"/>
      <c r="S307" s="26" t="str">
        <f aca="false">IF(OR(A307="",I307=""),"",I307-N(P307)-N(R307))</f>
        <v/>
      </c>
      <c r="T307" s="28"/>
      <c r="U307" s="29" t="str">
        <f aca="false">IF(A307="","",IF(T307="取消","取消",IF(W307&lt;&gt;"","要入力",IF(N307="","未送付",IF(S307=0,"入金済",IF(S307&lt;0,"過入金",IF(設定!$C$5&gt;L307,IF(P307&gt;0,"一部入金・超過","期日超過"),IF(P307&gt;0,"一部入金",IF(L307-設定!$C$5&lt;=設定!$C$6,"期日間近","入金待ち")))))))))</f>
        <v/>
      </c>
      <c r="V307" s="30" t="str">
        <f aca="false">IF(OR(U307="期日超過",U307="一部入金・超過"),設定!$C$5-L307,"")</f>
        <v/>
      </c>
      <c r="W307" s="21" t="str">
        <f aca="false">IF(A307="","",TRIM(IF(B307="","請求日 ","")&amp;IF(C307="","取引先 ",IF(D307="コード誤り","取引先コード誤り ",""))&amp;IF(E307="","件名 ","")&amp;IF(F307="","税抜金額 ","")&amp;IF(G307="","税率 ","")&amp;IF(M307="","送付方法 ","")&amp;IF(AND(N307&lt;&gt;"",O307=""),"送付者 ","")&amp;IF(AND(I307&lt;&gt;"",L307=""),"入金期日 ","")&amp;IF(AND(N307&lt;&gt;"",P307&gt;0,S307&lt;=0,X307=""),"消込確認者 ","")))</f>
        <v/>
      </c>
      <c r="X307" s="28"/>
      <c r="Y307" s="28"/>
    </row>
    <row r="308" customFormat="false" ht="15" hidden="false" customHeight="false" outlineLevel="0" collapsed="false">
      <c r="A308" s="21" t="str">
        <f aca="false">IF(COUNTA(B308,C308,E308,F308)=0,"",設定!$C$4&amp;TEXT(ROW()-4,"00000"))</f>
        <v/>
      </c>
      <c r="B308" s="22"/>
      <c r="C308" s="23"/>
      <c r="D308" s="21" t="str">
        <f aca="false">IF(C308="","",IFERROR(INDEX(取引先マスタ!$B$5:$B$204,MATCH($C308,取引先マスタ!$A$5:$A$204,0)),"コード誤り"))</f>
        <v/>
      </c>
      <c r="E308" s="28"/>
      <c r="F308" s="18"/>
      <c r="G308" s="25"/>
      <c r="H308" s="26" t="str">
        <f aca="false">IF(OR(F308="",G308=""),"",ROUNDDOWN(F308*G308,0))</f>
        <v/>
      </c>
      <c r="I308" s="26" t="str">
        <f aca="false">IF(OR(F308="",G308=""),"",F308+H308)</f>
        <v/>
      </c>
      <c r="J308" s="27" t="str">
        <f aca="false">IF(OR(B308="",C308="",D308="コード誤り"),"",IFERROR(DATE(YEAR(B308),MONTH(B308)+INDEX(取引先マスタ!$E$5:$E$204,MATCH($C308,取引先マスタ!$A$5:$A$204,0)),MIN(INDEX(取引先マスタ!$F$5:$F$204,MATCH($C308,取引先マスタ!$A$5:$A$204,0)),DAY(EOMONTH(B308,INDEX(取引先マスタ!$E$5:$E$204,MATCH($C308,取引先マスタ!$A$5:$A$204,0)))))),""))</f>
        <v/>
      </c>
      <c r="K308" s="22"/>
      <c r="L308" s="27" t="str">
        <f aca="false">IF(K308&lt;&gt;"",K308,J308)</f>
        <v/>
      </c>
      <c r="M308" s="28"/>
      <c r="N308" s="22"/>
      <c r="O308" s="28"/>
      <c r="P308" s="26" t="str">
        <f aca="false">IF(A308="","",SUMIF(入金明細!$F$5:$F$1004,A308,入金明細!$E$5:$E$1004))</f>
        <v/>
      </c>
      <c r="Q308" s="27" t="str">
        <f aca="false">IF(OR(A308="",N(P308)=0),"",SUMPRODUCT(MAX((入金明細!$F$5:$F$1004=A308)*入金明細!$B$5:$B$1004)))</f>
        <v/>
      </c>
      <c r="R308" s="18"/>
      <c r="S308" s="26" t="str">
        <f aca="false">IF(OR(A308="",I308=""),"",I308-N(P308)-N(R308))</f>
        <v/>
      </c>
      <c r="T308" s="28"/>
      <c r="U308" s="29" t="str">
        <f aca="false">IF(A308="","",IF(T308="取消","取消",IF(W308&lt;&gt;"","要入力",IF(N308="","未送付",IF(S308=0,"入金済",IF(S308&lt;0,"過入金",IF(設定!$C$5&gt;L308,IF(P308&gt;0,"一部入金・超過","期日超過"),IF(P308&gt;0,"一部入金",IF(L308-設定!$C$5&lt;=設定!$C$6,"期日間近","入金待ち")))))))))</f>
        <v/>
      </c>
      <c r="V308" s="30" t="str">
        <f aca="false">IF(OR(U308="期日超過",U308="一部入金・超過"),設定!$C$5-L308,"")</f>
        <v/>
      </c>
      <c r="W308" s="21" t="str">
        <f aca="false">IF(A308="","",TRIM(IF(B308="","請求日 ","")&amp;IF(C308="","取引先 ",IF(D308="コード誤り","取引先コード誤り ",""))&amp;IF(E308="","件名 ","")&amp;IF(F308="","税抜金額 ","")&amp;IF(G308="","税率 ","")&amp;IF(M308="","送付方法 ","")&amp;IF(AND(N308&lt;&gt;"",O308=""),"送付者 ","")&amp;IF(AND(I308&lt;&gt;"",L308=""),"入金期日 ","")&amp;IF(AND(N308&lt;&gt;"",P308&gt;0,S308&lt;=0,X308=""),"消込確認者 ","")))</f>
        <v/>
      </c>
      <c r="X308" s="28"/>
      <c r="Y308" s="28"/>
    </row>
    <row r="309" customFormat="false" ht="15" hidden="false" customHeight="false" outlineLevel="0" collapsed="false">
      <c r="A309" s="21" t="str">
        <f aca="false">IF(COUNTA(B309,C309,E309,F309)=0,"",設定!$C$4&amp;TEXT(ROW()-4,"00000"))</f>
        <v/>
      </c>
      <c r="B309" s="22"/>
      <c r="C309" s="23"/>
      <c r="D309" s="21" t="str">
        <f aca="false">IF(C309="","",IFERROR(INDEX(取引先マスタ!$B$5:$B$204,MATCH($C309,取引先マスタ!$A$5:$A$204,0)),"コード誤り"))</f>
        <v/>
      </c>
      <c r="E309" s="28"/>
      <c r="F309" s="18"/>
      <c r="G309" s="25"/>
      <c r="H309" s="26" t="str">
        <f aca="false">IF(OR(F309="",G309=""),"",ROUNDDOWN(F309*G309,0))</f>
        <v/>
      </c>
      <c r="I309" s="26" t="str">
        <f aca="false">IF(OR(F309="",G309=""),"",F309+H309)</f>
        <v/>
      </c>
      <c r="J309" s="27" t="str">
        <f aca="false">IF(OR(B309="",C309="",D309="コード誤り"),"",IFERROR(DATE(YEAR(B309),MONTH(B309)+INDEX(取引先マスタ!$E$5:$E$204,MATCH($C309,取引先マスタ!$A$5:$A$204,0)),MIN(INDEX(取引先マスタ!$F$5:$F$204,MATCH($C309,取引先マスタ!$A$5:$A$204,0)),DAY(EOMONTH(B309,INDEX(取引先マスタ!$E$5:$E$204,MATCH($C309,取引先マスタ!$A$5:$A$204,0)))))),""))</f>
        <v/>
      </c>
      <c r="K309" s="22"/>
      <c r="L309" s="27" t="str">
        <f aca="false">IF(K309&lt;&gt;"",K309,J309)</f>
        <v/>
      </c>
      <c r="M309" s="28"/>
      <c r="N309" s="22"/>
      <c r="O309" s="28"/>
      <c r="P309" s="26" t="str">
        <f aca="false">IF(A309="","",SUMIF(入金明細!$F$5:$F$1004,A309,入金明細!$E$5:$E$1004))</f>
        <v/>
      </c>
      <c r="Q309" s="27" t="str">
        <f aca="false">IF(OR(A309="",N(P309)=0),"",SUMPRODUCT(MAX((入金明細!$F$5:$F$1004=A309)*入金明細!$B$5:$B$1004)))</f>
        <v/>
      </c>
      <c r="R309" s="18"/>
      <c r="S309" s="26" t="str">
        <f aca="false">IF(OR(A309="",I309=""),"",I309-N(P309)-N(R309))</f>
        <v/>
      </c>
      <c r="T309" s="28"/>
      <c r="U309" s="29" t="str">
        <f aca="false">IF(A309="","",IF(T309="取消","取消",IF(W309&lt;&gt;"","要入力",IF(N309="","未送付",IF(S309=0,"入金済",IF(S309&lt;0,"過入金",IF(設定!$C$5&gt;L309,IF(P309&gt;0,"一部入金・超過","期日超過"),IF(P309&gt;0,"一部入金",IF(L309-設定!$C$5&lt;=設定!$C$6,"期日間近","入金待ち")))))))))</f>
        <v/>
      </c>
      <c r="V309" s="30" t="str">
        <f aca="false">IF(OR(U309="期日超過",U309="一部入金・超過"),設定!$C$5-L309,"")</f>
        <v/>
      </c>
      <c r="W309" s="21" t="str">
        <f aca="false">IF(A309="","",TRIM(IF(B309="","請求日 ","")&amp;IF(C309="","取引先 ",IF(D309="コード誤り","取引先コード誤り ",""))&amp;IF(E309="","件名 ","")&amp;IF(F309="","税抜金額 ","")&amp;IF(G309="","税率 ","")&amp;IF(M309="","送付方法 ","")&amp;IF(AND(N309&lt;&gt;"",O309=""),"送付者 ","")&amp;IF(AND(I309&lt;&gt;"",L309=""),"入金期日 ","")&amp;IF(AND(N309&lt;&gt;"",P309&gt;0,S309&lt;=0,X309=""),"消込確認者 ","")))</f>
        <v/>
      </c>
      <c r="X309" s="28"/>
      <c r="Y309" s="28"/>
    </row>
    <row r="310" customFormat="false" ht="15" hidden="false" customHeight="false" outlineLevel="0" collapsed="false">
      <c r="A310" s="21" t="str">
        <f aca="false">IF(COUNTA(B310,C310,E310,F310)=0,"",設定!$C$4&amp;TEXT(ROW()-4,"00000"))</f>
        <v/>
      </c>
      <c r="B310" s="22"/>
      <c r="C310" s="23"/>
      <c r="D310" s="21" t="str">
        <f aca="false">IF(C310="","",IFERROR(INDEX(取引先マスタ!$B$5:$B$204,MATCH($C310,取引先マスタ!$A$5:$A$204,0)),"コード誤り"))</f>
        <v/>
      </c>
      <c r="E310" s="28"/>
      <c r="F310" s="18"/>
      <c r="G310" s="25"/>
      <c r="H310" s="26" t="str">
        <f aca="false">IF(OR(F310="",G310=""),"",ROUNDDOWN(F310*G310,0))</f>
        <v/>
      </c>
      <c r="I310" s="26" t="str">
        <f aca="false">IF(OR(F310="",G310=""),"",F310+H310)</f>
        <v/>
      </c>
      <c r="J310" s="27" t="str">
        <f aca="false">IF(OR(B310="",C310="",D310="コード誤り"),"",IFERROR(DATE(YEAR(B310),MONTH(B310)+INDEX(取引先マスタ!$E$5:$E$204,MATCH($C310,取引先マスタ!$A$5:$A$204,0)),MIN(INDEX(取引先マスタ!$F$5:$F$204,MATCH($C310,取引先マスタ!$A$5:$A$204,0)),DAY(EOMONTH(B310,INDEX(取引先マスタ!$E$5:$E$204,MATCH($C310,取引先マスタ!$A$5:$A$204,0)))))),""))</f>
        <v/>
      </c>
      <c r="K310" s="22"/>
      <c r="L310" s="27" t="str">
        <f aca="false">IF(K310&lt;&gt;"",K310,J310)</f>
        <v/>
      </c>
      <c r="M310" s="28"/>
      <c r="N310" s="22"/>
      <c r="O310" s="28"/>
      <c r="P310" s="26" t="str">
        <f aca="false">IF(A310="","",SUMIF(入金明細!$F$5:$F$1004,A310,入金明細!$E$5:$E$1004))</f>
        <v/>
      </c>
      <c r="Q310" s="27" t="str">
        <f aca="false">IF(OR(A310="",N(P310)=0),"",SUMPRODUCT(MAX((入金明細!$F$5:$F$1004=A310)*入金明細!$B$5:$B$1004)))</f>
        <v/>
      </c>
      <c r="R310" s="18"/>
      <c r="S310" s="26" t="str">
        <f aca="false">IF(OR(A310="",I310=""),"",I310-N(P310)-N(R310))</f>
        <v/>
      </c>
      <c r="T310" s="28"/>
      <c r="U310" s="29" t="str">
        <f aca="false">IF(A310="","",IF(T310="取消","取消",IF(W310&lt;&gt;"","要入力",IF(N310="","未送付",IF(S310=0,"入金済",IF(S310&lt;0,"過入金",IF(設定!$C$5&gt;L310,IF(P310&gt;0,"一部入金・超過","期日超過"),IF(P310&gt;0,"一部入金",IF(L310-設定!$C$5&lt;=設定!$C$6,"期日間近","入金待ち")))))))))</f>
        <v/>
      </c>
      <c r="V310" s="30" t="str">
        <f aca="false">IF(OR(U310="期日超過",U310="一部入金・超過"),設定!$C$5-L310,"")</f>
        <v/>
      </c>
      <c r="W310" s="21" t="str">
        <f aca="false">IF(A310="","",TRIM(IF(B310="","請求日 ","")&amp;IF(C310="","取引先 ",IF(D310="コード誤り","取引先コード誤り ",""))&amp;IF(E310="","件名 ","")&amp;IF(F310="","税抜金額 ","")&amp;IF(G310="","税率 ","")&amp;IF(M310="","送付方法 ","")&amp;IF(AND(N310&lt;&gt;"",O310=""),"送付者 ","")&amp;IF(AND(I310&lt;&gt;"",L310=""),"入金期日 ","")&amp;IF(AND(N310&lt;&gt;"",P310&gt;0,S310&lt;=0,X310=""),"消込確認者 ","")))</f>
        <v/>
      </c>
      <c r="X310" s="28"/>
      <c r="Y310" s="28"/>
    </row>
    <row r="311" customFormat="false" ht="15" hidden="false" customHeight="false" outlineLevel="0" collapsed="false">
      <c r="A311" s="21" t="str">
        <f aca="false">IF(COUNTA(B311,C311,E311,F311)=0,"",設定!$C$4&amp;TEXT(ROW()-4,"00000"))</f>
        <v/>
      </c>
      <c r="B311" s="22"/>
      <c r="C311" s="23"/>
      <c r="D311" s="21" t="str">
        <f aca="false">IF(C311="","",IFERROR(INDEX(取引先マスタ!$B$5:$B$204,MATCH($C311,取引先マスタ!$A$5:$A$204,0)),"コード誤り"))</f>
        <v/>
      </c>
      <c r="E311" s="28"/>
      <c r="F311" s="18"/>
      <c r="G311" s="25"/>
      <c r="H311" s="26" t="str">
        <f aca="false">IF(OR(F311="",G311=""),"",ROUNDDOWN(F311*G311,0))</f>
        <v/>
      </c>
      <c r="I311" s="26" t="str">
        <f aca="false">IF(OR(F311="",G311=""),"",F311+H311)</f>
        <v/>
      </c>
      <c r="J311" s="27" t="str">
        <f aca="false">IF(OR(B311="",C311="",D311="コード誤り"),"",IFERROR(DATE(YEAR(B311),MONTH(B311)+INDEX(取引先マスタ!$E$5:$E$204,MATCH($C311,取引先マスタ!$A$5:$A$204,0)),MIN(INDEX(取引先マスタ!$F$5:$F$204,MATCH($C311,取引先マスタ!$A$5:$A$204,0)),DAY(EOMONTH(B311,INDEX(取引先マスタ!$E$5:$E$204,MATCH($C311,取引先マスタ!$A$5:$A$204,0)))))),""))</f>
        <v/>
      </c>
      <c r="K311" s="22"/>
      <c r="L311" s="27" t="str">
        <f aca="false">IF(K311&lt;&gt;"",K311,J311)</f>
        <v/>
      </c>
      <c r="M311" s="28"/>
      <c r="N311" s="22"/>
      <c r="O311" s="28"/>
      <c r="P311" s="26" t="str">
        <f aca="false">IF(A311="","",SUMIF(入金明細!$F$5:$F$1004,A311,入金明細!$E$5:$E$1004))</f>
        <v/>
      </c>
      <c r="Q311" s="27" t="str">
        <f aca="false">IF(OR(A311="",N(P311)=0),"",SUMPRODUCT(MAX((入金明細!$F$5:$F$1004=A311)*入金明細!$B$5:$B$1004)))</f>
        <v/>
      </c>
      <c r="R311" s="18"/>
      <c r="S311" s="26" t="str">
        <f aca="false">IF(OR(A311="",I311=""),"",I311-N(P311)-N(R311))</f>
        <v/>
      </c>
      <c r="T311" s="28"/>
      <c r="U311" s="29" t="str">
        <f aca="false">IF(A311="","",IF(T311="取消","取消",IF(W311&lt;&gt;"","要入力",IF(N311="","未送付",IF(S311=0,"入金済",IF(S311&lt;0,"過入金",IF(設定!$C$5&gt;L311,IF(P311&gt;0,"一部入金・超過","期日超過"),IF(P311&gt;0,"一部入金",IF(L311-設定!$C$5&lt;=設定!$C$6,"期日間近","入金待ち")))))))))</f>
        <v/>
      </c>
      <c r="V311" s="30" t="str">
        <f aca="false">IF(OR(U311="期日超過",U311="一部入金・超過"),設定!$C$5-L311,"")</f>
        <v/>
      </c>
      <c r="W311" s="21" t="str">
        <f aca="false">IF(A311="","",TRIM(IF(B311="","請求日 ","")&amp;IF(C311="","取引先 ",IF(D311="コード誤り","取引先コード誤り ",""))&amp;IF(E311="","件名 ","")&amp;IF(F311="","税抜金額 ","")&amp;IF(G311="","税率 ","")&amp;IF(M311="","送付方法 ","")&amp;IF(AND(N311&lt;&gt;"",O311=""),"送付者 ","")&amp;IF(AND(I311&lt;&gt;"",L311=""),"入金期日 ","")&amp;IF(AND(N311&lt;&gt;"",P311&gt;0,S311&lt;=0,X311=""),"消込確認者 ","")))</f>
        <v/>
      </c>
      <c r="X311" s="28"/>
      <c r="Y311" s="28"/>
    </row>
    <row r="312" customFormat="false" ht="15" hidden="false" customHeight="false" outlineLevel="0" collapsed="false">
      <c r="A312" s="21" t="str">
        <f aca="false">IF(COUNTA(B312,C312,E312,F312)=0,"",設定!$C$4&amp;TEXT(ROW()-4,"00000"))</f>
        <v/>
      </c>
      <c r="B312" s="22"/>
      <c r="C312" s="23"/>
      <c r="D312" s="21" t="str">
        <f aca="false">IF(C312="","",IFERROR(INDEX(取引先マスタ!$B$5:$B$204,MATCH($C312,取引先マスタ!$A$5:$A$204,0)),"コード誤り"))</f>
        <v/>
      </c>
      <c r="E312" s="28"/>
      <c r="F312" s="18"/>
      <c r="G312" s="25"/>
      <c r="H312" s="26" t="str">
        <f aca="false">IF(OR(F312="",G312=""),"",ROUNDDOWN(F312*G312,0))</f>
        <v/>
      </c>
      <c r="I312" s="26" t="str">
        <f aca="false">IF(OR(F312="",G312=""),"",F312+H312)</f>
        <v/>
      </c>
      <c r="J312" s="27" t="str">
        <f aca="false">IF(OR(B312="",C312="",D312="コード誤り"),"",IFERROR(DATE(YEAR(B312),MONTH(B312)+INDEX(取引先マスタ!$E$5:$E$204,MATCH($C312,取引先マスタ!$A$5:$A$204,0)),MIN(INDEX(取引先マスタ!$F$5:$F$204,MATCH($C312,取引先マスタ!$A$5:$A$204,0)),DAY(EOMONTH(B312,INDEX(取引先マスタ!$E$5:$E$204,MATCH($C312,取引先マスタ!$A$5:$A$204,0)))))),""))</f>
        <v/>
      </c>
      <c r="K312" s="22"/>
      <c r="L312" s="27" t="str">
        <f aca="false">IF(K312&lt;&gt;"",K312,J312)</f>
        <v/>
      </c>
      <c r="M312" s="28"/>
      <c r="N312" s="22"/>
      <c r="O312" s="28"/>
      <c r="P312" s="26" t="str">
        <f aca="false">IF(A312="","",SUMIF(入金明細!$F$5:$F$1004,A312,入金明細!$E$5:$E$1004))</f>
        <v/>
      </c>
      <c r="Q312" s="27" t="str">
        <f aca="false">IF(OR(A312="",N(P312)=0),"",SUMPRODUCT(MAX((入金明細!$F$5:$F$1004=A312)*入金明細!$B$5:$B$1004)))</f>
        <v/>
      </c>
      <c r="R312" s="18"/>
      <c r="S312" s="26" t="str">
        <f aca="false">IF(OR(A312="",I312=""),"",I312-N(P312)-N(R312))</f>
        <v/>
      </c>
      <c r="T312" s="28"/>
      <c r="U312" s="29" t="str">
        <f aca="false">IF(A312="","",IF(T312="取消","取消",IF(W312&lt;&gt;"","要入力",IF(N312="","未送付",IF(S312=0,"入金済",IF(S312&lt;0,"過入金",IF(設定!$C$5&gt;L312,IF(P312&gt;0,"一部入金・超過","期日超過"),IF(P312&gt;0,"一部入金",IF(L312-設定!$C$5&lt;=設定!$C$6,"期日間近","入金待ち")))))))))</f>
        <v/>
      </c>
      <c r="V312" s="30" t="str">
        <f aca="false">IF(OR(U312="期日超過",U312="一部入金・超過"),設定!$C$5-L312,"")</f>
        <v/>
      </c>
      <c r="W312" s="21" t="str">
        <f aca="false">IF(A312="","",TRIM(IF(B312="","請求日 ","")&amp;IF(C312="","取引先 ",IF(D312="コード誤り","取引先コード誤り ",""))&amp;IF(E312="","件名 ","")&amp;IF(F312="","税抜金額 ","")&amp;IF(G312="","税率 ","")&amp;IF(M312="","送付方法 ","")&amp;IF(AND(N312&lt;&gt;"",O312=""),"送付者 ","")&amp;IF(AND(I312&lt;&gt;"",L312=""),"入金期日 ","")&amp;IF(AND(N312&lt;&gt;"",P312&gt;0,S312&lt;=0,X312=""),"消込確認者 ","")))</f>
        <v/>
      </c>
      <c r="X312" s="28"/>
      <c r="Y312" s="28"/>
    </row>
    <row r="313" customFormat="false" ht="15" hidden="false" customHeight="false" outlineLevel="0" collapsed="false">
      <c r="A313" s="21" t="str">
        <f aca="false">IF(COUNTA(B313,C313,E313,F313)=0,"",設定!$C$4&amp;TEXT(ROW()-4,"00000"))</f>
        <v/>
      </c>
      <c r="B313" s="22"/>
      <c r="C313" s="23"/>
      <c r="D313" s="21" t="str">
        <f aca="false">IF(C313="","",IFERROR(INDEX(取引先マスタ!$B$5:$B$204,MATCH($C313,取引先マスタ!$A$5:$A$204,0)),"コード誤り"))</f>
        <v/>
      </c>
      <c r="E313" s="28"/>
      <c r="F313" s="18"/>
      <c r="G313" s="25"/>
      <c r="H313" s="26" t="str">
        <f aca="false">IF(OR(F313="",G313=""),"",ROUNDDOWN(F313*G313,0))</f>
        <v/>
      </c>
      <c r="I313" s="26" t="str">
        <f aca="false">IF(OR(F313="",G313=""),"",F313+H313)</f>
        <v/>
      </c>
      <c r="J313" s="27" t="str">
        <f aca="false">IF(OR(B313="",C313="",D313="コード誤り"),"",IFERROR(DATE(YEAR(B313),MONTH(B313)+INDEX(取引先マスタ!$E$5:$E$204,MATCH($C313,取引先マスタ!$A$5:$A$204,0)),MIN(INDEX(取引先マスタ!$F$5:$F$204,MATCH($C313,取引先マスタ!$A$5:$A$204,0)),DAY(EOMONTH(B313,INDEX(取引先マスタ!$E$5:$E$204,MATCH($C313,取引先マスタ!$A$5:$A$204,0)))))),""))</f>
        <v/>
      </c>
      <c r="K313" s="22"/>
      <c r="L313" s="27" t="str">
        <f aca="false">IF(K313&lt;&gt;"",K313,J313)</f>
        <v/>
      </c>
      <c r="M313" s="28"/>
      <c r="N313" s="22"/>
      <c r="O313" s="28"/>
      <c r="P313" s="26" t="str">
        <f aca="false">IF(A313="","",SUMIF(入金明細!$F$5:$F$1004,A313,入金明細!$E$5:$E$1004))</f>
        <v/>
      </c>
      <c r="Q313" s="27" t="str">
        <f aca="false">IF(OR(A313="",N(P313)=0),"",SUMPRODUCT(MAX((入金明細!$F$5:$F$1004=A313)*入金明細!$B$5:$B$1004)))</f>
        <v/>
      </c>
      <c r="R313" s="18"/>
      <c r="S313" s="26" t="str">
        <f aca="false">IF(OR(A313="",I313=""),"",I313-N(P313)-N(R313))</f>
        <v/>
      </c>
      <c r="T313" s="28"/>
      <c r="U313" s="29" t="str">
        <f aca="false">IF(A313="","",IF(T313="取消","取消",IF(W313&lt;&gt;"","要入力",IF(N313="","未送付",IF(S313=0,"入金済",IF(S313&lt;0,"過入金",IF(設定!$C$5&gt;L313,IF(P313&gt;0,"一部入金・超過","期日超過"),IF(P313&gt;0,"一部入金",IF(L313-設定!$C$5&lt;=設定!$C$6,"期日間近","入金待ち")))))))))</f>
        <v/>
      </c>
      <c r="V313" s="30" t="str">
        <f aca="false">IF(OR(U313="期日超過",U313="一部入金・超過"),設定!$C$5-L313,"")</f>
        <v/>
      </c>
      <c r="W313" s="21" t="str">
        <f aca="false">IF(A313="","",TRIM(IF(B313="","請求日 ","")&amp;IF(C313="","取引先 ",IF(D313="コード誤り","取引先コード誤り ",""))&amp;IF(E313="","件名 ","")&amp;IF(F313="","税抜金額 ","")&amp;IF(G313="","税率 ","")&amp;IF(M313="","送付方法 ","")&amp;IF(AND(N313&lt;&gt;"",O313=""),"送付者 ","")&amp;IF(AND(I313&lt;&gt;"",L313=""),"入金期日 ","")&amp;IF(AND(N313&lt;&gt;"",P313&gt;0,S313&lt;=0,X313=""),"消込確認者 ","")))</f>
        <v/>
      </c>
      <c r="X313" s="28"/>
      <c r="Y313" s="28"/>
    </row>
    <row r="314" customFormat="false" ht="15" hidden="false" customHeight="false" outlineLevel="0" collapsed="false">
      <c r="A314" s="21" t="str">
        <f aca="false">IF(COUNTA(B314,C314,E314,F314)=0,"",設定!$C$4&amp;TEXT(ROW()-4,"00000"))</f>
        <v/>
      </c>
      <c r="B314" s="22"/>
      <c r="C314" s="23"/>
      <c r="D314" s="21" t="str">
        <f aca="false">IF(C314="","",IFERROR(INDEX(取引先マスタ!$B$5:$B$204,MATCH($C314,取引先マスタ!$A$5:$A$204,0)),"コード誤り"))</f>
        <v/>
      </c>
      <c r="E314" s="28"/>
      <c r="F314" s="18"/>
      <c r="G314" s="25"/>
      <c r="H314" s="26" t="str">
        <f aca="false">IF(OR(F314="",G314=""),"",ROUNDDOWN(F314*G314,0))</f>
        <v/>
      </c>
      <c r="I314" s="26" t="str">
        <f aca="false">IF(OR(F314="",G314=""),"",F314+H314)</f>
        <v/>
      </c>
      <c r="J314" s="27" t="str">
        <f aca="false">IF(OR(B314="",C314="",D314="コード誤り"),"",IFERROR(DATE(YEAR(B314),MONTH(B314)+INDEX(取引先マスタ!$E$5:$E$204,MATCH($C314,取引先マスタ!$A$5:$A$204,0)),MIN(INDEX(取引先マスタ!$F$5:$F$204,MATCH($C314,取引先マスタ!$A$5:$A$204,0)),DAY(EOMONTH(B314,INDEX(取引先マスタ!$E$5:$E$204,MATCH($C314,取引先マスタ!$A$5:$A$204,0)))))),""))</f>
        <v/>
      </c>
      <c r="K314" s="22"/>
      <c r="L314" s="27" t="str">
        <f aca="false">IF(K314&lt;&gt;"",K314,J314)</f>
        <v/>
      </c>
      <c r="M314" s="28"/>
      <c r="N314" s="22"/>
      <c r="O314" s="28"/>
      <c r="P314" s="26" t="str">
        <f aca="false">IF(A314="","",SUMIF(入金明細!$F$5:$F$1004,A314,入金明細!$E$5:$E$1004))</f>
        <v/>
      </c>
      <c r="Q314" s="27" t="str">
        <f aca="false">IF(OR(A314="",N(P314)=0),"",SUMPRODUCT(MAX((入金明細!$F$5:$F$1004=A314)*入金明細!$B$5:$B$1004)))</f>
        <v/>
      </c>
      <c r="R314" s="18"/>
      <c r="S314" s="26" t="str">
        <f aca="false">IF(OR(A314="",I314=""),"",I314-N(P314)-N(R314))</f>
        <v/>
      </c>
      <c r="T314" s="28"/>
      <c r="U314" s="29" t="str">
        <f aca="false">IF(A314="","",IF(T314="取消","取消",IF(W314&lt;&gt;"","要入力",IF(N314="","未送付",IF(S314=0,"入金済",IF(S314&lt;0,"過入金",IF(設定!$C$5&gt;L314,IF(P314&gt;0,"一部入金・超過","期日超過"),IF(P314&gt;0,"一部入金",IF(L314-設定!$C$5&lt;=設定!$C$6,"期日間近","入金待ち")))))))))</f>
        <v/>
      </c>
      <c r="V314" s="30" t="str">
        <f aca="false">IF(OR(U314="期日超過",U314="一部入金・超過"),設定!$C$5-L314,"")</f>
        <v/>
      </c>
      <c r="W314" s="21" t="str">
        <f aca="false">IF(A314="","",TRIM(IF(B314="","請求日 ","")&amp;IF(C314="","取引先 ",IF(D314="コード誤り","取引先コード誤り ",""))&amp;IF(E314="","件名 ","")&amp;IF(F314="","税抜金額 ","")&amp;IF(G314="","税率 ","")&amp;IF(M314="","送付方法 ","")&amp;IF(AND(N314&lt;&gt;"",O314=""),"送付者 ","")&amp;IF(AND(I314&lt;&gt;"",L314=""),"入金期日 ","")&amp;IF(AND(N314&lt;&gt;"",P314&gt;0,S314&lt;=0,X314=""),"消込確認者 ","")))</f>
        <v/>
      </c>
      <c r="X314" s="28"/>
      <c r="Y314" s="28"/>
    </row>
    <row r="315" customFormat="false" ht="15" hidden="false" customHeight="false" outlineLevel="0" collapsed="false">
      <c r="A315" s="21" t="str">
        <f aca="false">IF(COUNTA(B315,C315,E315,F315)=0,"",設定!$C$4&amp;TEXT(ROW()-4,"00000"))</f>
        <v/>
      </c>
      <c r="B315" s="22"/>
      <c r="C315" s="23"/>
      <c r="D315" s="21" t="str">
        <f aca="false">IF(C315="","",IFERROR(INDEX(取引先マスタ!$B$5:$B$204,MATCH($C315,取引先マスタ!$A$5:$A$204,0)),"コード誤り"))</f>
        <v/>
      </c>
      <c r="E315" s="28"/>
      <c r="F315" s="18"/>
      <c r="G315" s="25"/>
      <c r="H315" s="26" t="str">
        <f aca="false">IF(OR(F315="",G315=""),"",ROUNDDOWN(F315*G315,0))</f>
        <v/>
      </c>
      <c r="I315" s="26" t="str">
        <f aca="false">IF(OR(F315="",G315=""),"",F315+H315)</f>
        <v/>
      </c>
      <c r="J315" s="27" t="str">
        <f aca="false">IF(OR(B315="",C315="",D315="コード誤り"),"",IFERROR(DATE(YEAR(B315),MONTH(B315)+INDEX(取引先マスタ!$E$5:$E$204,MATCH($C315,取引先マスタ!$A$5:$A$204,0)),MIN(INDEX(取引先マスタ!$F$5:$F$204,MATCH($C315,取引先マスタ!$A$5:$A$204,0)),DAY(EOMONTH(B315,INDEX(取引先マスタ!$E$5:$E$204,MATCH($C315,取引先マスタ!$A$5:$A$204,0)))))),""))</f>
        <v/>
      </c>
      <c r="K315" s="22"/>
      <c r="L315" s="27" t="str">
        <f aca="false">IF(K315&lt;&gt;"",K315,J315)</f>
        <v/>
      </c>
      <c r="M315" s="28"/>
      <c r="N315" s="22"/>
      <c r="O315" s="28"/>
      <c r="P315" s="26" t="str">
        <f aca="false">IF(A315="","",SUMIF(入金明細!$F$5:$F$1004,A315,入金明細!$E$5:$E$1004))</f>
        <v/>
      </c>
      <c r="Q315" s="27" t="str">
        <f aca="false">IF(OR(A315="",N(P315)=0),"",SUMPRODUCT(MAX((入金明細!$F$5:$F$1004=A315)*入金明細!$B$5:$B$1004)))</f>
        <v/>
      </c>
      <c r="R315" s="18"/>
      <c r="S315" s="26" t="str">
        <f aca="false">IF(OR(A315="",I315=""),"",I315-N(P315)-N(R315))</f>
        <v/>
      </c>
      <c r="T315" s="28"/>
      <c r="U315" s="29" t="str">
        <f aca="false">IF(A315="","",IF(T315="取消","取消",IF(W315&lt;&gt;"","要入力",IF(N315="","未送付",IF(S315=0,"入金済",IF(S315&lt;0,"過入金",IF(設定!$C$5&gt;L315,IF(P315&gt;0,"一部入金・超過","期日超過"),IF(P315&gt;0,"一部入金",IF(L315-設定!$C$5&lt;=設定!$C$6,"期日間近","入金待ち")))))))))</f>
        <v/>
      </c>
      <c r="V315" s="30" t="str">
        <f aca="false">IF(OR(U315="期日超過",U315="一部入金・超過"),設定!$C$5-L315,"")</f>
        <v/>
      </c>
      <c r="W315" s="21" t="str">
        <f aca="false">IF(A315="","",TRIM(IF(B315="","請求日 ","")&amp;IF(C315="","取引先 ",IF(D315="コード誤り","取引先コード誤り ",""))&amp;IF(E315="","件名 ","")&amp;IF(F315="","税抜金額 ","")&amp;IF(G315="","税率 ","")&amp;IF(M315="","送付方法 ","")&amp;IF(AND(N315&lt;&gt;"",O315=""),"送付者 ","")&amp;IF(AND(I315&lt;&gt;"",L315=""),"入金期日 ","")&amp;IF(AND(N315&lt;&gt;"",P315&gt;0,S315&lt;=0,X315=""),"消込確認者 ","")))</f>
        <v/>
      </c>
      <c r="X315" s="28"/>
      <c r="Y315" s="28"/>
    </row>
    <row r="316" customFormat="false" ht="15" hidden="false" customHeight="false" outlineLevel="0" collapsed="false">
      <c r="A316" s="21" t="str">
        <f aca="false">IF(COUNTA(B316,C316,E316,F316)=0,"",設定!$C$4&amp;TEXT(ROW()-4,"00000"))</f>
        <v/>
      </c>
      <c r="B316" s="22"/>
      <c r="C316" s="23"/>
      <c r="D316" s="21" t="str">
        <f aca="false">IF(C316="","",IFERROR(INDEX(取引先マスタ!$B$5:$B$204,MATCH($C316,取引先マスタ!$A$5:$A$204,0)),"コード誤り"))</f>
        <v/>
      </c>
      <c r="E316" s="28"/>
      <c r="F316" s="18"/>
      <c r="G316" s="25"/>
      <c r="H316" s="26" t="str">
        <f aca="false">IF(OR(F316="",G316=""),"",ROUNDDOWN(F316*G316,0))</f>
        <v/>
      </c>
      <c r="I316" s="26" t="str">
        <f aca="false">IF(OR(F316="",G316=""),"",F316+H316)</f>
        <v/>
      </c>
      <c r="J316" s="27" t="str">
        <f aca="false">IF(OR(B316="",C316="",D316="コード誤り"),"",IFERROR(DATE(YEAR(B316),MONTH(B316)+INDEX(取引先マスタ!$E$5:$E$204,MATCH($C316,取引先マスタ!$A$5:$A$204,0)),MIN(INDEX(取引先マスタ!$F$5:$F$204,MATCH($C316,取引先マスタ!$A$5:$A$204,0)),DAY(EOMONTH(B316,INDEX(取引先マスタ!$E$5:$E$204,MATCH($C316,取引先マスタ!$A$5:$A$204,0)))))),""))</f>
        <v/>
      </c>
      <c r="K316" s="22"/>
      <c r="L316" s="27" t="str">
        <f aca="false">IF(K316&lt;&gt;"",K316,J316)</f>
        <v/>
      </c>
      <c r="M316" s="28"/>
      <c r="N316" s="22"/>
      <c r="O316" s="28"/>
      <c r="P316" s="26" t="str">
        <f aca="false">IF(A316="","",SUMIF(入金明細!$F$5:$F$1004,A316,入金明細!$E$5:$E$1004))</f>
        <v/>
      </c>
      <c r="Q316" s="27" t="str">
        <f aca="false">IF(OR(A316="",N(P316)=0),"",SUMPRODUCT(MAX((入金明細!$F$5:$F$1004=A316)*入金明細!$B$5:$B$1004)))</f>
        <v/>
      </c>
      <c r="R316" s="18"/>
      <c r="S316" s="26" t="str">
        <f aca="false">IF(OR(A316="",I316=""),"",I316-N(P316)-N(R316))</f>
        <v/>
      </c>
      <c r="T316" s="28"/>
      <c r="U316" s="29" t="str">
        <f aca="false">IF(A316="","",IF(T316="取消","取消",IF(W316&lt;&gt;"","要入力",IF(N316="","未送付",IF(S316=0,"入金済",IF(S316&lt;0,"過入金",IF(設定!$C$5&gt;L316,IF(P316&gt;0,"一部入金・超過","期日超過"),IF(P316&gt;0,"一部入金",IF(L316-設定!$C$5&lt;=設定!$C$6,"期日間近","入金待ち")))))))))</f>
        <v/>
      </c>
      <c r="V316" s="30" t="str">
        <f aca="false">IF(OR(U316="期日超過",U316="一部入金・超過"),設定!$C$5-L316,"")</f>
        <v/>
      </c>
      <c r="W316" s="21" t="str">
        <f aca="false">IF(A316="","",TRIM(IF(B316="","請求日 ","")&amp;IF(C316="","取引先 ",IF(D316="コード誤り","取引先コード誤り ",""))&amp;IF(E316="","件名 ","")&amp;IF(F316="","税抜金額 ","")&amp;IF(G316="","税率 ","")&amp;IF(M316="","送付方法 ","")&amp;IF(AND(N316&lt;&gt;"",O316=""),"送付者 ","")&amp;IF(AND(I316&lt;&gt;"",L316=""),"入金期日 ","")&amp;IF(AND(N316&lt;&gt;"",P316&gt;0,S316&lt;=0,X316=""),"消込確認者 ","")))</f>
        <v/>
      </c>
      <c r="X316" s="28"/>
      <c r="Y316" s="28"/>
    </row>
    <row r="317" customFormat="false" ht="15" hidden="false" customHeight="false" outlineLevel="0" collapsed="false">
      <c r="A317" s="21" t="str">
        <f aca="false">IF(COUNTA(B317,C317,E317,F317)=0,"",設定!$C$4&amp;TEXT(ROW()-4,"00000"))</f>
        <v/>
      </c>
      <c r="B317" s="22"/>
      <c r="C317" s="23"/>
      <c r="D317" s="21" t="str">
        <f aca="false">IF(C317="","",IFERROR(INDEX(取引先マスタ!$B$5:$B$204,MATCH($C317,取引先マスタ!$A$5:$A$204,0)),"コード誤り"))</f>
        <v/>
      </c>
      <c r="E317" s="28"/>
      <c r="F317" s="18"/>
      <c r="G317" s="25"/>
      <c r="H317" s="26" t="str">
        <f aca="false">IF(OR(F317="",G317=""),"",ROUNDDOWN(F317*G317,0))</f>
        <v/>
      </c>
      <c r="I317" s="26" t="str">
        <f aca="false">IF(OR(F317="",G317=""),"",F317+H317)</f>
        <v/>
      </c>
      <c r="J317" s="27" t="str">
        <f aca="false">IF(OR(B317="",C317="",D317="コード誤り"),"",IFERROR(DATE(YEAR(B317),MONTH(B317)+INDEX(取引先マスタ!$E$5:$E$204,MATCH($C317,取引先マスタ!$A$5:$A$204,0)),MIN(INDEX(取引先マスタ!$F$5:$F$204,MATCH($C317,取引先マスタ!$A$5:$A$204,0)),DAY(EOMONTH(B317,INDEX(取引先マスタ!$E$5:$E$204,MATCH($C317,取引先マスタ!$A$5:$A$204,0)))))),""))</f>
        <v/>
      </c>
      <c r="K317" s="22"/>
      <c r="L317" s="27" t="str">
        <f aca="false">IF(K317&lt;&gt;"",K317,J317)</f>
        <v/>
      </c>
      <c r="M317" s="28"/>
      <c r="N317" s="22"/>
      <c r="O317" s="28"/>
      <c r="P317" s="26" t="str">
        <f aca="false">IF(A317="","",SUMIF(入金明細!$F$5:$F$1004,A317,入金明細!$E$5:$E$1004))</f>
        <v/>
      </c>
      <c r="Q317" s="27" t="str">
        <f aca="false">IF(OR(A317="",N(P317)=0),"",SUMPRODUCT(MAX((入金明細!$F$5:$F$1004=A317)*入金明細!$B$5:$B$1004)))</f>
        <v/>
      </c>
      <c r="R317" s="18"/>
      <c r="S317" s="26" t="str">
        <f aca="false">IF(OR(A317="",I317=""),"",I317-N(P317)-N(R317))</f>
        <v/>
      </c>
      <c r="T317" s="28"/>
      <c r="U317" s="29" t="str">
        <f aca="false">IF(A317="","",IF(T317="取消","取消",IF(W317&lt;&gt;"","要入力",IF(N317="","未送付",IF(S317=0,"入金済",IF(S317&lt;0,"過入金",IF(設定!$C$5&gt;L317,IF(P317&gt;0,"一部入金・超過","期日超過"),IF(P317&gt;0,"一部入金",IF(L317-設定!$C$5&lt;=設定!$C$6,"期日間近","入金待ち")))))))))</f>
        <v/>
      </c>
      <c r="V317" s="30" t="str">
        <f aca="false">IF(OR(U317="期日超過",U317="一部入金・超過"),設定!$C$5-L317,"")</f>
        <v/>
      </c>
      <c r="W317" s="21" t="str">
        <f aca="false">IF(A317="","",TRIM(IF(B317="","請求日 ","")&amp;IF(C317="","取引先 ",IF(D317="コード誤り","取引先コード誤り ",""))&amp;IF(E317="","件名 ","")&amp;IF(F317="","税抜金額 ","")&amp;IF(G317="","税率 ","")&amp;IF(M317="","送付方法 ","")&amp;IF(AND(N317&lt;&gt;"",O317=""),"送付者 ","")&amp;IF(AND(I317&lt;&gt;"",L317=""),"入金期日 ","")&amp;IF(AND(N317&lt;&gt;"",P317&gt;0,S317&lt;=0,X317=""),"消込確認者 ","")))</f>
        <v/>
      </c>
      <c r="X317" s="28"/>
      <c r="Y317" s="28"/>
    </row>
    <row r="318" customFormat="false" ht="15" hidden="false" customHeight="false" outlineLevel="0" collapsed="false">
      <c r="A318" s="21" t="str">
        <f aca="false">IF(COUNTA(B318,C318,E318,F318)=0,"",設定!$C$4&amp;TEXT(ROW()-4,"00000"))</f>
        <v/>
      </c>
      <c r="B318" s="22"/>
      <c r="C318" s="23"/>
      <c r="D318" s="21" t="str">
        <f aca="false">IF(C318="","",IFERROR(INDEX(取引先マスタ!$B$5:$B$204,MATCH($C318,取引先マスタ!$A$5:$A$204,0)),"コード誤り"))</f>
        <v/>
      </c>
      <c r="E318" s="28"/>
      <c r="F318" s="18"/>
      <c r="G318" s="25"/>
      <c r="H318" s="26" t="str">
        <f aca="false">IF(OR(F318="",G318=""),"",ROUNDDOWN(F318*G318,0))</f>
        <v/>
      </c>
      <c r="I318" s="26" t="str">
        <f aca="false">IF(OR(F318="",G318=""),"",F318+H318)</f>
        <v/>
      </c>
      <c r="J318" s="27" t="str">
        <f aca="false">IF(OR(B318="",C318="",D318="コード誤り"),"",IFERROR(DATE(YEAR(B318),MONTH(B318)+INDEX(取引先マスタ!$E$5:$E$204,MATCH($C318,取引先マスタ!$A$5:$A$204,0)),MIN(INDEX(取引先マスタ!$F$5:$F$204,MATCH($C318,取引先マスタ!$A$5:$A$204,0)),DAY(EOMONTH(B318,INDEX(取引先マスタ!$E$5:$E$204,MATCH($C318,取引先マスタ!$A$5:$A$204,0)))))),""))</f>
        <v/>
      </c>
      <c r="K318" s="22"/>
      <c r="L318" s="27" t="str">
        <f aca="false">IF(K318&lt;&gt;"",K318,J318)</f>
        <v/>
      </c>
      <c r="M318" s="28"/>
      <c r="N318" s="22"/>
      <c r="O318" s="28"/>
      <c r="P318" s="26" t="str">
        <f aca="false">IF(A318="","",SUMIF(入金明細!$F$5:$F$1004,A318,入金明細!$E$5:$E$1004))</f>
        <v/>
      </c>
      <c r="Q318" s="27" t="str">
        <f aca="false">IF(OR(A318="",N(P318)=0),"",SUMPRODUCT(MAX((入金明細!$F$5:$F$1004=A318)*入金明細!$B$5:$B$1004)))</f>
        <v/>
      </c>
      <c r="R318" s="18"/>
      <c r="S318" s="26" t="str">
        <f aca="false">IF(OR(A318="",I318=""),"",I318-N(P318)-N(R318))</f>
        <v/>
      </c>
      <c r="T318" s="28"/>
      <c r="U318" s="29" t="str">
        <f aca="false">IF(A318="","",IF(T318="取消","取消",IF(W318&lt;&gt;"","要入力",IF(N318="","未送付",IF(S318=0,"入金済",IF(S318&lt;0,"過入金",IF(設定!$C$5&gt;L318,IF(P318&gt;0,"一部入金・超過","期日超過"),IF(P318&gt;0,"一部入金",IF(L318-設定!$C$5&lt;=設定!$C$6,"期日間近","入金待ち")))))))))</f>
        <v/>
      </c>
      <c r="V318" s="30" t="str">
        <f aca="false">IF(OR(U318="期日超過",U318="一部入金・超過"),設定!$C$5-L318,"")</f>
        <v/>
      </c>
      <c r="W318" s="21" t="str">
        <f aca="false">IF(A318="","",TRIM(IF(B318="","請求日 ","")&amp;IF(C318="","取引先 ",IF(D318="コード誤り","取引先コード誤り ",""))&amp;IF(E318="","件名 ","")&amp;IF(F318="","税抜金額 ","")&amp;IF(G318="","税率 ","")&amp;IF(M318="","送付方法 ","")&amp;IF(AND(N318&lt;&gt;"",O318=""),"送付者 ","")&amp;IF(AND(I318&lt;&gt;"",L318=""),"入金期日 ","")&amp;IF(AND(N318&lt;&gt;"",P318&gt;0,S318&lt;=0,X318=""),"消込確認者 ","")))</f>
        <v/>
      </c>
      <c r="X318" s="28"/>
      <c r="Y318" s="28"/>
    </row>
    <row r="319" customFormat="false" ht="15" hidden="false" customHeight="false" outlineLevel="0" collapsed="false">
      <c r="A319" s="21" t="str">
        <f aca="false">IF(COUNTA(B319,C319,E319,F319)=0,"",設定!$C$4&amp;TEXT(ROW()-4,"00000"))</f>
        <v/>
      </c>
      <c r="B319" s="22"/>
      <c r="C319" s="23"/>
      <c r="D319" s="21" t="str">
        <f aca="false">IF(C319="","",IFERROR(INDEX(取引先マスタ!$B$5:$B$204,MATCH($C319,取引先マスタ!$A$5:$A$204,0)),"コード誤り"))</f>
        <v/>
      </c>
      <c r="E319" s="28"/>
      <c r="F319" s="18"/>
      <c r="G319" s="25"/>
      <c r="H319" s="26" t="str">
        <f aca="false">IF(OR(F319="",G319=""),"",ROUNDDOWN(F319*G319,0))</f>
        <v/>
      </c>
      <c r="I319" s="26" t="str">
        <f aca="false">IF(OR(F319="",G319=""),"",F319+H319)</f>
        <v/>
      </c>
      <c r="J319" s="27" t="str">
        <f aca="false">IF(OR(B319="",C319="",D319="コード誤り"),"",IFERROR(DATE(YEAR(B319),MONTH(B319)+INDEX(取引先マスタ!$E$5:$E$204,MATCH($C319,取引先マスタ!$A$5:$A$204,0)),MIN(INDEX(取引先マスタ!$F$5:$F$204,MATCH($C319,取引先マスタ!$A$5:$A$204,0)),DAY(EOMONTH(B319,INDEX(取引先マスタ!$E$5:$E$204,MATCH($C319,取引先マスタ!$A$5:$A$204,0)))))),""))</f>
        <v/>
      </c>
      <c r="K319" s="22"/>
      <c r="L319" s="27" t="str">
        <f aca="false">IF(K319&lt;&gt;"",K319,J319)</f>
        <v/>
      </c>
      <c r="M319" s="28"/>
      <c r="N319" s="22"/>
      <c r="O319" s="28"/>
      <c r="P319" s="26" t="str">
        <f aca="false">IF(A319="","",SUMIF(入金明細!$F$5:$F$1004,A319,入金明細!$E$5:$E$1004))</f>
        <v/>
      </c>
      <c r="Q319" s="27" t="str">
        <f aca="false">IF(OR(A319="",N(P319)=0),"",SUMPRODUCT(MAX((入金明細!$F$5:$F$1004=A319)*入金明細!$B$5:$B$1004)))</f>
        <v/>
      </c>
      <c r="R319" s="18"/>
      <c r="S319" s="26" t="str">
        <f aca="false">IF(OR(A319="",I319=""),"",I319-N(P319)-N(R319))</f>
        <v/>
      </c>
      <c r="T319" s="28"/>
      <c r="U319" s="29" t="str">
        <f aca="false">IF(A319="","",IF(T319="取消","取消",IF(W319&lt;&gt;"","要入力",IF(N319="","未送付",IF(S319=0,"入金済",IF(S319&lt;0,"過入金",IF(設定!$C$5&gt;L319,IF(P319&gt;0,"一部入金・超過","期日超過"),IF(P319&gt;0,"一部入金",IF(L319-設定!$C$5&lt;=設定!$C$6,"期日間近","入金待ち")))))))))</f>
        <v/>
      </c>
      <c r="V319" s="30" t="str">
        <f aca="false">IF(OR(U319="期日超過",U319="一部入金・超過"),設定!$C$5-L319,"")</f>
        <v/>
      </c>
      <c r="W319" s="21" t="str">
        <f aca="false">IF(A319="","",TRIM(IF(B319="","請求日 ","")&amp;IF(C319="","取引先 ",IF(D319="コード誤り","取引先コード誤り ",""))&amp;IF(E319="","件名 ","")&amp;IF(F319="","税抜金額 ","")&amp;IF(G319="","税率 ","")&amp;IF(M319="","送付方法 ","")&amp;IF(AND(N319&lt;&gt;"",O319=""),"送付者 ","")&amp;IF(AND(I319&lt;&gt;"",L319=""),"入金期日 ","")&amp;IF(AND(N319&lt;&gt;"",P319&gt;0,S319&lt;=0,X319=""),"消込確認者 ","")))</f>
        <v/>
      </c>
      <c r="X319" s="28"/>
      <c r="Y319" s="28"/>
    </row>
    <row r="320" customFormat="false" ht="15" hidden="false" customHeight="false" outlineLevel="0" collapsed="false">
      <c r="A320" s="21" t="str">
        <f aca="false">IF(COUNTA(B320,C320,E320,F320)=0,"",設定!$C$4&amp;TEXT(ROW()-4,"00000"))</f>
        <v/>
      </c>
      <c r="B320" s="22"/>
      <c r="C320" s="23"/>
      <c r="D320" s="21" t="str">
        <f aca="false">IF(C320="","",IFERROR(INDEX(取引先マスタ!$B$5:$B$204,MATCH($C320,取引先マスタ!$A$5:$A$204,0)),"コード誤り"))</f>
        <v/>
      </c>
      <c r="E320" s="28"/>
      <c r="F320" s="18"/>
      <c r="G320" s="25"/>
      <c r="H320" s="26" t="str">
        <f aca="false">IF(OR(F320="",G320=""),"",ROUNDDOWN(F320*G320,0))</f>
        <v/>
      </c>
      <c r="I320" s="26" t="str">
        <f aca="false">IF(OR(F320="",G320=""),"",F320+H320)</f>
        <v/>
      </c>
      <c r="J320" s="27" t="str">
        <f aca="false">IF(OR(B320="",C320="",D320="コード誤り"),"",IFERROR(DATE(YEAR(B320),MONTH(B320)+INDEX(取引先マスタ!$E$5:$E$204,MATCH($C320,取引先マスタ!$A$5:$A$204,0)),MIN(INDEX(取引先マスタ!$F$5:$F$204,MATCH($C320,取引先マスタ!$A$5:$A$204,0)),DAY(EOMONTH(B320,INDEX(取引先マスタ!$E$5:$E$204,MATCH($C320,取引先マスタ!$A$5:$A$204,0)))))),""))</f>
        <v/>
      </c>
      <c r="K320" s="22"/>
      <c r="L320" s="27" t="str">
        <f aca="false">IF(K320&lt;&gt;"",K320,J320)</f>
        <v/>
      </c>
      <c r="M320" s="28"/>
      <c r="N320" s="22"/>
      <c r="O320" s="28"/>
      <c r="P320" s="26" t="str">
        <f aca="false">IF(A320="","",SUMIF(入金明細!$F$5:$F$1004,A320,入金明細!$E$5:$E$1004))</f>
        <v/>
      </c>
      <c r="Q320" s="27" t="str">
        <f aca="false">IF(OR(A320="",N(P320)=0),"",SUMPRODUCT(MAX((入金明細!$F$5:$F$1004=A320)*入金明細!$B$5:$B$1004)))</f>
        <v/>
      </c>
      <c r="R320" s="18"/>
      <c r="S320" s="26" t="str">
        <f aca="false">IF(OR(A320="",I320=""),"",I320-N(P320)-N(R320))</f>
        <v/>
      </c>
      <c r="T320" s="28"/>
      <c r="U320" s="29" t="str">
        <f aca="false">IF(A320="","",IF(T320="取消","取消",IF(W320&lt;&gt;"","要入力",IF(N320="","未送付",IF(S320=0,"入金済",IF(S320&lt;0,"過入金",IF(設定!$C$5&gt;L320,IF(P320&gt;0,"一部入金・超過","期日超過"),IF(P320&gt;0,"一部入金",IF(L320-設定!$C$5&lt;=設定!$C$6,"期日間近","入金待ち")))))))))</f>
        <v/>
      </c>
      <c r="V320" s="30" t="str">
        <f aca="false">IF(OR(U320="期日超過",U320="一部入金・超過"),設定!$C$5-L320,"")</f>
        <v/>
      </c>
      <c r="W320" s="21" t="str">
        <f aca="false">IF(A320="","",TRIM(IF(B320="","請求日 ","")&amp;IF(C320="","取引先 ",IF(D320="コード誤り","取引先コード誤り ",""))&amp;IF(E320="","件名 ","")&amp;IF(F320="","税抜金額 ","")&amp;IF(G320="","税率 ","")&amp;IF(M320="","送付方法 ","")&amp;IF(AND(N320&lt;&gt;"",O320=""),"送付者 ","")&amp;IF(AND(I320&lt;&gt;"",L320=""),"入金期日 ","")&amp;IF(AND(N320&lt;&gt;"",P320&gt;0,S320&lt;=0,X320=""),"消込確認者 ","")))</f>
        <v/>
      </c>
      <c r="X320" s="28"/>
      <c r="Y320" s="28"/>
    </row>
    <row r="321" customFormat="false" ht="15" hidden="false" customHeight="false" outlineLevel="0" collapsed="false">
      <c r="A321" s="21" t="str">
        <f aca="false">IF(COUNTA(B321,C321,E321,F321)=0,"",設定!$C$4&amp;TEXT(ROW()-4,"00000"))</f>
        <v/>
      </c>
      <c r="B321" s="22"/>
      <c r="C321" s="23"/>
      <c r="D321" s="21" t="str">
        <f aca="false">IF(C321="","",IFERROR(INDEX(取引先マスタ!$B$5:$B$204,MATCH($C321,取引先マスタ!$A$5:$A$204,0)),"コード誤り"))</f>
        <v/>
      </c>
      <c r="E321" s="28"/>
      <c r="F321" s="18"/>
      <c r="G321" s="25"/>
      <c r="H321" s="26" t="str">
        <f aca="false">IF(OR(F321="",G321=""),"",ROUNDDOWN(F321*G321,0))</f>
        <v/>
      </c>
      <c r="I321" s="26" t="str">
        <f aca="false">IF(OR(F321="",G321=""),"",F321+H321)</f>
        <v/>
      </c>
      <c r="J321" s="27" t="str">
        <f aca="false">IF(OR(B321="",C321="",D321="コード誤り"),"",IFERROR(DATE(YEAR(B321),MONTH(B321)+INDEX(取引先マスタ!$E$5:$E$204,MATCH($C321,取引先マスタ!$A$5:$A$204,0)),MIN(INDEX(取引先マスタ!$F$5:$F$204,MATCH($C321,取引先マスタ!$A$5:$A$204,0)),DAY(EOMONTH(B321,INDEX(取引先マスタ!$E$5:$E$204,MATCH($C321,取引先マスタ!$A$5:$A$204,0)))))),""))</f>
        <v/>
      </c>
      <c r="K321" s="22"/>
      <c r="L321" s="27" t="str">
        <f aca="false">IF(K321&lt;&gt;"",K321,J321)</f>
        <v/>
      </c>
      <c r="M321" s="28"/>
      <c r="N321" s="22"/>
      <c r="O321" s="28"/>
      <c r="P321" s="26" t="str">
        <f aca="false">IF(A321="","",SUMIF(入金明細!$F$5:$F$1004,A321,入金明細!$E$5:$E$1004))</f>
        <v/>
      </c>
      <c r="Q321" s="27" t="str">
        <f aca="false">IF(OR(A321="",N(P321)=0),"",SUMPRODUCT(MAX((入金明細!$F$5:$F$1004=A321)*入金明細!$B$5:$B$1004)))</f>
        <v/>
      </c>
      <c r="R321" s="18"/>
      <c r="S321" s="26" t="str">
        <f aca="false">IF(OR(A321="",I321=""),"",I321-N(P321)-N(R321))</f>
        <v/>
      </c>
      <c r="T321" s="28"/>
      <c r="U321" s="29" t="str">
        <f aca="false">IF(A321="","",IF(T321="取消","取消",IF(W321&lt;&gt;"","要入力",IF(N321="","未送付",IF(S321=0,"入金済",IF(S321&lt;0,"過入金",IF(設定!$C$5&gt;L321,IF(P321&gt;0,"一部入金・超過","期日超過"),IF(P321&gt;0,"一部入金",IF(L321-設定!$C$5&lt;=設定!$C$6,"期日間近","入金待ち")))))))))</f>
        <v/>
      </c>
      <c r="V321" s="30" t="str">
        <f aca="false">IF(OR(U321="期日超過",U321="一部入金・超過"),設定!$C$5-L321,"")</f>
        <v/>
      </c>
      <c r="W321" s="21" t="str">
        <f aca="false">IF(A321="","",TRIM(IF(B321="","請求日 ","")&amp;IF(C321="","取引先 ",IF(D321="コード誤り","取引先コード誤り ",""))&amp;IF(E321="","件名 ","")&amp;IF(F321="","税抜金額 ","")&amp;IF(G321="","税率 ","")&amp;IF(M321="","送付方法 ","")&amp;IF(AND(N321&lt;&gt;"",O321=""),"送付者 ","")&amp;IF(AND(I321&lt;&gt;"",L321=""),"入金期日 ","")&amp;IF(AND(N321&lt;&gt;"",P321&gt;0,S321&lt;=0,X321=""),"消込確認者 ","")))</f>
        <v/>
      </c>
      <c r="X321" s="28"/>
      <c r="Y321" s="28"/>
    </row>
    <row r="322" customFormat="false" ht="15" hidden="false" customHeight="false" outlineLevel="0" collapsed="false">
      <c r="A322" s="21" t="str">
        <f aca="false">IF(COUNTA(B322,C322,E322,F322)=0,"",設定!$C$4&amp;TEXT(ROW()-4,"00000"))</f>
        <v/>
      </c>
      <c r="B322" s="22"/>
      <c r="C322" s="23"/>
      <c r="D322" s="21" t="str">
        <f aca="false">IF(C322="","",IFERROR(INDEX(取引先マスタ!$B$5:$B$204,MATCH($C322,取引先マスタ!$A$5:$A$204,0)),"コード誤り"))</f>
        <v/>
      </c>
      <c r="E322" s="28"/>
      <c r="F322" s="18"/>
      <c r="G322" s="25"/>
      <c r="H322" s="26" t="str">
        <f aca="false">IF(OR(F322="",G322=""),"",ROUNDDOWN(F322*G322,0))</f>
        <v/>
      </c>
      <c r="I322" s="26" t="str">
        <f aca="false">IF(OR(F322="",G322=""),"",F322+H322)</f>
        <v/>
      </c>
      <c r="J322" s="27" t="str">
        <f aca="false">IF(OR(B322="",C322="",D322="コード誤り"),"",IFERROR(DATE(YEAR(B322),MONTH(B322)+INDEX(取引先マスタ!$E$5:$E$204,MATCH($C322,取引先マスタ!$A$5:$A$204,0)),MIN(INDEX(取引先マスタ!$F$5:$F$204,MATCH($C322,取引先マスタ!$A$5:$A$204,0)),DAY(EOMONTH(B322,INDEX(取引先マスタ!$E$5:$E$204,MATCH($C322,取引先マスタ!$A$5:$A$204,0)))))),""))</f>
        <v/>
      </c>
      <c r="K322" s="22"/>
      <c r="L322" s="27" t="str">
        <f aca="false">IF(K322&lt;&gt;"",K322,J322)</f>
        <v/>
      </c>
      <c r="M322" s="28"/>
      <c r="N322" s="22"/>
      <c r="O322" s="28"/>
      <c r="P322" s="26" t="str">
        <f aca="false">IF(A322="","",SUMIF(入金明細!$F$5:$F$1004,A322,入金明細!$E$5:$E$1004))</f>
        <v/>
      </c>
      <c r="Q322" s="27" t="str">
        <f aca="false">IF(OR(A322="",N(P322)=0),"",SUMPRODUCT(MAX((入金明細!$F$5:$F$1004=A322)*入金明細!$B$5:$B$1004)))</f>
        <v/>
      </c>
      <c r="R322" s="18"/>
      <c r="S322" s="26" t="str">
        <f aca="false">IF(OR(A322="",I322=""),"",I322-N(P322)-N(R322))</f>
        <v/>
      </c>
      <c r="T322" s="28"/>
      <c r="U322" s="29" t="str">
        <f aca="false">IF(A322="","",IF(T322="取消","取消",IF(W322&lt;&gt;"","要入力",IF(N322="","未送付",IF(S322=0,"入金済",IF(S322&lt;0,"過入金",IF(設定!$C$5&gt;L322,IF(P322&gt;0,"一部入金・超過","期日超過"),IF(P322&gt;0,"一部入金",IF(L322-設定!$C$5&lt;=設定!$C$6,"期日間近","入金待ち")))))))))</f>
        <v/>
      </c>
      <c r="V322" s="30" t="str">
        <f aca="false">IF(OR(U322="期日超過",U322="一部入金・超過"),設定!$C$5-L322,"")</f>
        <v/>
      </c>
      <c r="W322" s="21" t="str">
        <f aca="false">IF(A322="","",TRIM(IF(B322="","請求日 ","")&amp;IF(C322="","取引先 ",IF(D322="コード誤り","取引先コード誤り ",""))&amp;IF(E322="","件名 ","")&amp;IF(F322="","税抜金額 ","")&amp;IF(G322="","税率 ","")&amp;IF(M322="","送付方法 ","")&amp;IF(AND(N322&lt;&gt;"",O322=""),"送付者 ","")&amp;IF(AND(I322&lt;&gt;"",L322=""),"入金期日 ","")&amp;IF(AND(N322&lt;&gt;"",P322&gt;0,S322&lt;=0,X322=""),"消込確認者 ","")))</f>
        <v/>
      </c>
      <c r="X322" s="28"/>
      <c r="Y322" s="28"/>
    </row>
    <row r="323" customFormat="false" ht="15" hidden="false" customHeight="false" outlineLevel="0" collapsed="false">
      <c r="A323" s="21" t="str">
        <f aca="false">IF(COUNTA(B323,C323,E323,F323)=0,"",設定!$C$4&amp;TEXT(ROW()-4,"00000"))</f>
        <v/>
      </c>
      <c r="B323" s="22"/>
      <c r="C323" s="23"/>
      <c r="D323" s="21" t="str">
        <f aca="false">IF(C323="","",IFERROR(INDEX(取引先マスタ!$B$5:$B$204,MATCH($C323,取引先マスタ!$A$5:$A$204,0)),"コード誤り"))</f>
        <v/>
      </c>
      <c r="E323" s="28"/>
      <c r="F323" s="18"/>
      <c r="G323" s="25"/>
      <c r="H323" s="26" t="str">
        <f aca="false">IF(OR(F323="",G323=""),"",ROUNDDOWN(F323*G323,0))</f>
        <v/>
      </c>
      <c r="I323" s="26" t="str">
        <f aca="false">IF(OR(F323="",G323=""),"",F323+H323)</f>
        <v/>
      </c>
      <c r="J323" s="27" t="str">
        <f aca="false">IF(OR(B323="",C323="",D323="コード誤り"),"",IFERROR(DATE(YEAR(B323),MONTH(B323)+INDEX(取引先マスタ!$E$5:$E$204,MATCH($C323,取引先マスタ!$A$5:$A$204,0)),MIN(INDEX(取引先マスタ!$F$5:$F$204,MATCH($C323,取引先マスタ!$A$5:$A$204,0)),DAY(EOMONTH(B323,INDEX(取引先マスタ!$E$5:$E$204,MATCH($C323,取引先マスタ!$A$5:$A$204,0)))))),""))</f>
        <v/>
      </c>
      <c r="K323" s="22"/>
      <c r="L323" s="27" t="str">
        <f aca="false">IF(K323&lt;&gt;"",K323,J323)</f>
        <v/>
      </c>
      <c r="M323" s="28"/>
      <c r="N323" s="22"/>
      <c r="O323" s="28"/>
      <c r="P323" s="26" t="str">
        <f aca="false">IF(A323="","",SUMIF(入金明細!$F$5:$F$1004,A323,入金明細!$E$5:$E$1004))</f>
        <v/>
      </c>
      <c r="Q323" s="27" t="str">
        <f aca="false">IF(OR(A323="",N(P323)=0),"",SUMPRODUCT(MAX((入金明細!$F$5:$F$1004=A323)*入金明細!$B$5:$B$1004)))</f>
        <v/>
      </c>
      <c r="R323" s="18"/>
      <c r="S323" s="26" t="str">
        <f aca="false">IF(OR(A323="",I323=""),"",I323-N(P323)-N(R323))</f>
        <v/>
      </c>
      <c r="T323" s="28"/>
      <c r="U323" s="29" t="str">
        <f aca="false">IF(A323="","",IF(T323="取消","取消",IF(W323&lt;&gt;"","要入力",IF(N323="","未送付",IF(S323=0,"入金済",IF(S323&lt;0,"過入金",IF(設定!$C$5&gt;L323,IF(P323&gt;0,"一部入金・超過","期日超過"),IF(P323&gt;0,"一部入金",IF(L323-設定!$C$5&lt;=設定!$C$6,"期日間近","入金待ち")))))))))</f>
        <v/>
      </c>
      <c r="V323" s="30" t="str">
        <f aca="false">IF(OR(U323="期日超過",U323="一部入金・超過"),設定!$C$5-L323,"")</f>
        <v/>
      </c>
      <c r="W323" s="21" t="str">
        <f aca="false">IF(A323="","",TRIM(IF(B323="","請求日 ","")&amp;IF(C323="","取引先 ",IF(D323="コード誤り","取引先コード誤り ",""))&amp;IF(E323="","件名 ","")&amp;IF(F323="","税抜金額 ","")&amp;IF(G323="","税率 ","")&amp;IF(M323="","送付方法 ","")&amp;IF(AND(N323&lt;&gt;"",O323=""),"送付者 ","")&amp;IF(AND(I323&lt;&gt;"",L323=""),"入金期日 ","")&amp;IF(AND(N323&lt;&gt;"",P323&gt;0,S323&lt;=0,X323=""),"消込確認者 ","")))</f>
        <v/>
      </c>
      <c r="X323" s="28"/>
      <c r="Y323" s="28"/>
    </row>
    <row r="324" customFormat="false" ht="15" hidden="false" customHeight="false" outlineLevel="0" collapsed="false">
      <c r="A324" s="21" t="str">
        <f aca="false">IF(COUNTA(B324,C324,E324,F324)=0,"",設定!$C$4&amp;TEXT(ROW()-4,"00000"))</f>
        <v/>
      </c>
      <c r="B324" s="22"/>
      <c r="C324" s="23"/>
      <c r="D324" s="21" t="str">
        <f aca="false">IF(C324="","",IFERROR(INDEX(取引先マスタ!$B$5:$B$204,MATCH($C324,取引先マスタ!$A$5:$A$204,0)),"コード誤り"))</f>
        <v/>
      </c>
      <c r="E324" s="28"/>
      <c r="F324" s="18"/>
      <c r="G324" s="25"/>
      <c r="H324" s="26" t="str">
        <f aca="false">IF(OR(F324="",G324=""),"",ROUNDDOWN(F324*G324,0))</f>
        <v/>
      </c>
      <c r="I324" s="26" t="str">
        <f aca="false">IF(OR(F324="",G324=""),"",F324+H324)</f>
        <v/>
      </c>
      <c r="J324" s="27" t="str">
        <f aca="false">IF(OR(B324="",C324="",D324="コード誤り"),"",IFERROR(DATE(YEAR(B324),MONTH(B324)+INDEX(取引先マスタ!$E$5:$E$204,MATCH($C324,取引先マスタ!$A$5:$A$204,0)),MIN(INDEX(取引先マスタ!$F$5:$F$204,MATCH($C324,取引先マスタ!$A$5:$A$204,0)),DAY(EOMONTH(B324,INDEX(取引先マスタ!$E$5:$E$204,MATCH($C324,取引先マスタ!$A$5:$A$204,0)))))),""))</f>
        <v/>
      </c>
      <c r="K324" s="22"/>
      <c r="L324" s="27" t="str">
        <f aca="false">IF(K324&lt;&gt;"",K324,J324)</f>
        <v/>
      </c>
      <c r="M324" s="28"/>
      <c r="N324" s="22"/>
      <c r="O324" s="28"/>
      <c r="P324" s="26" t="str">
        <f aca="false">IF(A324="","",SUMIF(入金明細!$F$5:$F$1004,A324,入金明細!$E$5:$E$1004))</f>
        <v/>
      </c>
      <c r="Q324" s="27" t="str">
        <f aca="false">IF(OR(A324="",N(P324)=0),"",SUMPRODUCT(MAX((入金明細!$F$5:$F$1004=A324)*入金明細!$B$5:$B$1004)))</f>
        <v/>
      </c>
      <c r="R324" s="18"/>
      <c r="S324" s="26" t="str">
        <f aca="false">IF(OR(A324="",I324=""),"",I324-N(P324)-N(R324))</f>
        <v/>
      </c>
      <c r="T324" s="28"/>
      <c r="U324" s="29" t="str">
        <f aca="false">IF(A324="","",IF(T324="取消","取消",IF(W324&lt;&gt;"","要入力",IF(N324="","未送付",IF(S324=0,"入金済",IF(S324&lt;0,"過入金",IF(設定!$C$5&gt;L324,IF(P324&gt;0,"一部入金・超過","期日超過"),IF(P324&gt;0,"一部入金",IF(L324-設定!$C$5&lt;=設定!$C$6,"期日間近","入金待ち")))))))))</f>
        <v/>
      </c>
      <c r="V324" s="30" t="str">
        <f aca="false">IF(OR(U324="期日超過",U324="一部入金・超過"),設定!$C$5-L324,"")</f>
        <v/>
      </c>
      <c r="W324" s="21" t="str">
        <f aca="false">IF(A324="","",TRIM(IF(B324="","請求日 ","")&amp;IF(C324="","取引先 ",IF(D324="コード誤り","取引先コード誤り ",""))&amp;IF(E324="","件名 ","")&amp;IF(F324="","税抜金額 ","")&amp;IF(G324="","税率 ","")&amp;IF(M324="","送付方法 ","")&amp;IF(AND(N324&lt;&gt;"",O324=""),"送付者 ","")&amp;IF(AND(I324&lt;&gt;"",L324=""),"入金期日 ","")&amp;IF(AND(N324&lt;&gt;"",P324&gt;0,S324&lt;=0,X324=""),"消込確認者 ","")))</f>
        <v/>
      </c>
      <c r="X324" s="28"/>
      <c r="Y324" s="28"/>
    </row>
    <row r="325" customFormat="false" ht="15" hidden="false" customHeight="false" outlineLevel="0" collapsed="false">
      <c r="A325" s="21" t="str">
        <f aca="false">IF(COUNTA(B325,C325,E325,F325)=0,"",設定!$C$4&amp;TEXT(ROW()-4,"00000"))</f>
        <v/>
      </c>
      <c r="B325" s="22"/>
      <c r="C325" s="23"/>
      <c r="D325" s="21" t="str">
        <f aca="false">IF(C325="","",IFERROR(INDEX(取引先マスタ!$B$5:$B$204,MATCH($C325,取引先マスタ!$A$5:$A$204,0)),"コード誤り"))</f>
        <v/>
      </c>
      <c r="E325" s="28"/>
      <c r="F325" s="18"/>
      <c r="G325" s="25"/>
      <c r="H325" s="26" t="str">
        <f aca="false">IF(OR(F325="",G325=""),"",ROUNDDOWN(F325*G325,0))</f>
        <v/>
      </c>
      <c r="I325" s="26" t="str">
        <f aca="false">IF(OR(F325="",G325=""),"",F325+H325)</f>
        <v/>
      </c>
      <c r="J325" s="27" t="str">
        <f aca="false">IF(OR(B325="",C325="",D325="コード誤り"),"",IFERROR(DATE(YEAR(B325),MONTH(B325)+INDEX(取引先マスタ!$E$5:$E$204,MATCH($C325,取引先マスタ!$A$5:$A$204,0)),MIN(INDEX(取引先マスタ!$F$5:$F$204,MATCH($C325,取引先マスタ!$A$5:$A$204,0)),DAY(EOMONTH(B325,INDEX(取引先マスタ!$E$5:$E$204,MATCH($C325,取引先マスタ!$A$5:$A$204,0)))))),""))</f>
        <v/>
      </c>
      <c r="K325" s="22"/>
      <c r="L325" s="27" t="str">
        <f aca="false">IF(K325&lt;&gt;"",K325,J325)</f>
        <v/>
      </c>
      <c r="M325" s="28"/>
      <c r="N325" s="22"/>
      <c r="O325" s="28"/>
      <c r="P325" s="26" t="str">
        <f aca="false">IF(A325="","",SUMIF(入金明細!$F$5:$F$1004,A325,入金明細!$E$5:$E$1004))</f>
        <v/>
      </c>
      <c r="Q325" s="27" t="str">
        <f aca="false">IF(OR(A325="",N(P325)=0),"",SUMPRODUCT(MAX((入金明細!$F$5:$F$1004=A325)*入金明細!$B$5:$B$1004)))</f>
        <v/>
      </c>
      <c r="R325" s="18"/>
      <c r="S325" s="26" t="str">
        <f aca="false">IF(OR(A325="",I325=""),"",I325-N(P325)-N(R325))</f>
        <v/>
      </c>
      <c r="T325" s="28"/>
      <c r="U325" s="29" t="str">
        <f aca="false">IF(A325="","",IF(T325="取消","取消",IF(W325&lt;&gt;"","要入力",IF(N325="","未送付",IF(S325=0,"入金済",IF(S325&lt;0,"過入金",IF(設定!$C$5&gt;L325,IF(P325&gt;0,"一部入金・超過","期日超過"),IF(P325&gt;0,"一部入金",IF(L325-設定!$C$5&lt;=設定!$C$6,"期日間近","入金待ち")))))))))</f>
        <v/>
      </c>
      <c r="V325" s="30" t="str">
        <f aca="false">IF(OR(U325="期日超過",U325="一部入金・超過"),設定!$C$5-L325,"")</f>
        <v/>
      </c>
      <c r="W325" s="21" t="str">
        <f aca="false">IF(A325="","",TRIM(IF(B325="","請求日 ","")&amp;IF(C325="","取引先 ",IF(D325="コード誤り","取引先コード誤り ",""))&amp;IF(E325="","件名 ","")&amp;IF(F325="","税抜金額 ","")&amp;IF(G325="","税率 ","")&amp;IF(M325="","送付方法 ","")&amp;IF(AND(N325&lt;&gt;"",O325=""),"送付者 ","")&amp;IF(AND(I325&lt;&gt;"",L325=""),"入金期日 ","")&amp;IF(AND(N325&lt;&gt;"",P325&gt;0,S325&lt;=0,X325=""),"消込確認者 ","")))</f>
        <v/>
      </c>
      <c r="X325" s="28"/>
      <c r="Y325" s="28"/>
    </row>
    <row r="326" customFormat="false" ht="15" hidden="false" customHeight="false" outlineLevel="0" collapsed="false">
      <c r="A326" s="21" t="str">
        <f aca="false">IF(COUNTA(B326,C326,E326,F326)=0,"",設定!$C$4&amp;TEXT(ROW()-4,"00000"))</f>
        <v/>
      </c>
      <c r="B326" s="22"/>
      <c r="C326" s="23"/>
      <c r="D326" s="21" t="str">
        <f aca="false">IF(C326="","",IFERROR(INDEX(取引先マスタ!$B$5:$B$204,MATCH($C326,取引先マスタ!$A$5:$A$204,0)),"コード誤り"))</f>
        <v/>
      </c>
      <c r="E326" s="28"/>
      <c r="F326" s="18"/>
      <c r="G326" s="25"/>
      <c r="H326" s="26" t="str">
        <f aca="false">IF(OR(F326="",G326=""),"",ROUNDDOWN(F326*G326,0))</f>
        <v/>
      </c>
      <c r="I326" s="26" t="str">
        <f aca="false">IF(OR(F326="",G326=""),"",F326+H326)</f>
        <v/>
      </c>
      <c r="J326" s="27" t="str">
        <f aca="false">IF(OR(B326="",C326="",D326="コード誤り"),"",IFERROR(DATE(YEAR(B326),MONTH(B326)+INDEX(取引先マスタ!$E$5:$E$204,MATCH($C326,取引先マスタ!$A$5:$A$204,0)),MIN(INDEX(取引先マスタ!$F$5:$F$204,MATCH($C326,取引先マスタ!$A$5:$A$204,0)),DAY(EOMONTH(B326,INDEX(取引先マスタ!$E$5:$E$204,MATCH($C326,取引先マスタ!$A$5:$A$204,0)))))),""))</f>
        <v/>
      </c>
      <c r="K326" s="22"/>
      <c r="L326" s="27" t="str">
        <f aca="false">IF(K326&lt;&gt;"",K326,J326)</f>
        <v/>
      </c>
      <c r="M326" s="28"/>
      <c r="N326" s="22"/>
      <c r="O326" s="28"/>
      <c r="P326" s="26" t="str">
        <f aca="false">IF(A326="","",SUMIF(入金明細!$F$5:$F$1004,A326,入金明細!$E$5:$E$1004))</f>
        <v/>
      </c>
      <c r="Q326" s="27" t="str">
        <f aca="false">IF(OR(A326="",N(P326)=0),"",SUMPRODUCT(MAX((入金明細!$F$5:$F$1004=A326)*入金明細!$B$5:$B$1004)))</f>
        <v/>
      </c>
      <c r="R326" s="18"/>
      <c r="S326" s="26" t="str">
        <f aca="false">IF(OR(A326="",I326=""),"",I326-N(P326)-N(R326))</f>
        <v/>
      </c>
      <c r="T326" s="28"/>
      <c r="U326" s="29" t="str">
        <f aca="false">IF(A326="","",IF(T326="取消","取消",IF(W326&lt;&gt;"","要入力",IF(N326="","未送付",IF(S326=0,"入金済",IF(S326&lt;0,"過入金",IF(設定!$C$5&gt;L326,IF(P326&gt;0,"一部入金・超過","期日超過"),IF(P326&gt;0,"一部入金",IF(L326-設定!$C$5&lt;=設定!$C$6,"期日間近","入金待ち")))))))))</f>
        <v/>
      </c>
      <c r="V326" s="30" t="str">
        <f aca="false">IF(OR(U326="期日超過",U326="一部入金・超過"),設定!$C$5-L326,"")</f>
        <v/>
      </c>
      <c r="W326" s="21" t="str">
        <f aca="false">IF(A326="","",TRIM(IF(B326="","請求日 ","")&amp;IF(C326="","取引先 ",IF(D326="コード誤り","取引先コード誤り ",""))&amp;IF(E326="","件名 ","")&amp;IF(F326="","税抜金額 ","")&amp;IF(G326="","税率 ","")&amp;IF(M326="","送付方法 ","")&amp;IF(AND(N326&lt;&gt;"",O326=""),"送付者 ","")&amp;IF(AND(I326&lt;&gt;"",L326=""),"入金期日 ","")&amp;IF(AND(N326&lt;&gt;"",P326&gt;0,S326&lt;=0,X326=""),"消込確認者 ","")))</f>
        <v/>
      </c>
      <c r="X326" s="28"/>
      <c r="Y326" s="28"/>
    </row>
    <row r="327" customFormat="false" ht="15" hidden="false" customHeight="false" outlineLevel="0" collapsed="false">
      <c r="A327" s="21" t="str">
        <f aca="false">IF(COUNTA(B327,C327,E327,F327)=0,"",設定!$C$4&amp;TEXT(ROW()-4,"00000"))</f>
        <v/>
      </c>
      <c r="B327" s="22"/>
      <c r="C327" s="23"/>
      <c r="D327" s="21" t="str">
        <f aca="false">IF(C327="","",IFERROR(INDEX(取引先マスタ!$B$5:$B$204,MATCH($C327,取引先マスタ!$A$5:$A$204,0)),"コード誤り"))</f>
        <v/>
      </c>
      <c r="E327" s="28"/>
      <c r="F327" s="18"/>
      <c r="G327" s="25"/>
      <c r="H327" s="26" t="str">
        <f aca="false">IF(OR(F327="",G327=""),"",ROUNDDOWN(F327*G327,0))</f>
        <v/>
      </c>
      <c r="I327" s="26" t="str">
        <f aca="false">IF(OR(F327="",G327=""),"",F327+H327)</f>
        <v/>
      </c>
      <c r="J327" s="27" t="str">
        <f aca="false">IF(OR(B327="",C327="",D327="コード誤り"),"",IFERROR(DATE(YEAR(B327),MONTH(B327)+INDEX(取引先マスタ!$E$5:$E$204,MATCH($C327,取引先マスタ!$A$5:$A$204,0)),MIN(INDEX(取引先マスタ!$F$5:$F$204,MATCH($C327,取引先マスタ!$A$5:$A$204,0)),DAY(EOMONTH(B327,INDEX(取引先マスタ!$E$5:$E$204,MATCH($C327,取引先マスタ!$A$5:$A$204,0)))))),""))</f>
        <v/>
      </c>
      <c r="K327" s="22"/>
      <c r="L327" s="27" t="str">
        <f aca="false">IF(K327&lt;&gt;"",K327,J327)</f>
        <v/>
      </c>
      <c r="M327" s="28"/>
      <c r="N327" s="22"/>
      <c r="O327" s="28"/>
      <c r="P327" s="26" t="str">
        <f aca="false">IF(A327="","",SUMIF(入金明細!$F$5:$F$1004,A327,入金明細!$E$5:$E$1004))</f>
        <v/>
      </c>
      <c r="Q327" s="27" t="str">
        <f aca="false">IF(OR(A327="",N(P327)=0),"",SUMPRODUCT(MAX((入金明細!$F$5:$F$1004=A327)*入金明細!$B$5:$B$1004)))</f>
        <v/>
      </c>
      <c r="R327" s="18"/>
      <c r="S327" s="26" t="str">
        <f aca="false">IF(OR(A327="",I327=""),"",I327-N(P327)-N(R327))</f>
        <v/>
      </c>
      <c r="T327" s="28"/>
      <c r="U327" s="29" t="str">
        <f aca="false">IF(A327="","",IF(T327="取消","取消",IF(W327&lt;&gt;"","要入力",IF(N327="","未送付",IF(S327=0,"入金済",IF(S327&lt;0,"過入金",IF(設定!$C$5&gt;L327,IF(P327&gt;0,"一部入金・超過","期日超過"),IF(P327&gt;0,"一部入金",IF(L327-設定!$C$5&lt;=設定!$C$6,"期日間近","入金待ち")))))))))</f>
        <v/>
      </c>
      <c r="V327" s="30" t="str">
        <f aca="false">IF(OR(U327="期日超過",U327="一部入金・超過"),設定!$C$5-L327,"")</f>
        <v/>
      </c>
      <c r="W327" s="21" t="str">
        <f aca="false">IF(A327="","",TRIM(IF(B327="","請求日 ","")&amp;IF(C327="","取引先 ",IF(D327="コード誤り","取引先コード誤り ",""))&amp;IF(E327="","件名 ","")&amp;IF(F327="","税抜金額 ","")&amp;IF(G327="","税率 ","")&amp;IF(M327="","送付方法 ","")&amp;IF(AND(N327&lt;&gt;"",O327=""),"送付者 ","")&amp;IF(AND(I327&lt;&gt;"",L327=""),"入金期日 ","")&amp;IF(AND(N327&lt;&gt;"",P327&gt;0,S327&lt;=0,X327=""),"消込確認者 ","")))</f>
        <v/>
      </c>
      <c r="X327" s="28"/>
      <c r="Y327" s="28"/>
    </row>
    <row r="328" customFormat="false" ht="15" hidden="false" customHeight="false" outlineLevel="0" collapsed="false">
      <c r="A328" s="21" t="str">
        <f aca="false">IF(COUNTA(B328,C328,E328,F328)=0,"",設定!$C$4&amp;TEXT(ROW()-4,"00000"))</f>
        <v/>
      </c>
      <c r="B328" s="22"/>
      <c r="C328" s="23"/>
      <c r="D328" s="21" t="str">
        <f aca="false">IF(C328="","",IFERROR(INDEX(取引先マスタ!$B$5:$B$204,MATCH($C328,取引先マスタ!$A$5:$A$204,0)),"コード誤り"))</f>
        <v/>
      </c>
      <c r="E328" s="28"/>
      <c r="F328" s="18"/>
      <c r="G328" s="25"/>
      <c r="H328" s="26" t="str">
        <f aca="false">IF(OR(F328="",G328=""),"",ROUNDDOWN(F328*G328,0))</f>
        <v/>
      </c>
      <c r="I328" s="26" t="str">
        <f aca="false">IF(OR(F328="",G328=""),"",F328+H328)</f>
        <v/>
      </c>
      <c r="J328" s="27" t="str">
        <f aca="false">IF(OR(B328="",C328="",D328="コード誤り"),"",IFERROR(DATE(YEAR(B328),MONTH(B328)+INDEX(取引先マスタ!$E$5:$E$204,MATCH($C328,取引先マスタ!$A$5:$A$204,0)),MIN(INDEX(取引先マスタ!$F$5:$F$204,MATCH($C328,取引先マスタ!$A$5:$A$204,0)),DAY(EOMONTH(B328,INDEX(取引先マスタ!$E$5:$E$204,MATCH($C328,取引先マスタ!$A$5:$A$204,0)))))),""))</f>
        <v/>
      </c>
      <c r="K328" s="22"/>
      <c r="L328" s="27" t="str">
        <f aca="false">IF(K328&lt;&gt;"",K328,J328)</f>
        <v/>
      </c>
      <c r="M328" s="28"/>
      <c r="N328" s="22"/>
      <c r="O328" s="28"/>
      <c r="P328" s="26" t="str">
        <f aca="false">IF(A328="","",SUMIF(入金明細!$F$5:$F$1004,A328,入金明細!$E$5:$E$1004))</f>
        <v/>
      </c>
      <c r="Q328" s="27" t="str">
        <f aca="false">IF(OR(A328="",N(P328)=0),"",SUMPRODUCT(MAX((入金明細!$F$5:$F$1004=A328)*入金明細!$B$5:$B$1004)))</f>
        <v/>
      </c>
      <c r="R328" s="18"/>
      <c r="S328" s="26" t="str">
        <f aca="false">IF(OR(A328="",I328=""),"",I328-N(P328)-N(R328))</f>
        <v/>
      </c>
      <c r="T328" s="28"/>
      <c r="U328" s="29" t="str">
        <f aca="false">IF(A328="","",IF(T328="取消","取消",IF(W328&lt;&gt;"","要入力",IF(N328="","未送付",IF(S328=0,"入金済",IF(S328&lt;0,"過入金",IF(設定!$C$5&gt;L328,IF(P328&gt;0,"一部入金・超過","期日超過"),IF(P328&gt;0,"一部入金",IF(L328-設定!$C$5&lt;=設定!$C$6,"期日間近","入金待ち")))))))))</f>
        <v/>
      </c>
      <c r="V328" s="30" t="str">
        <f aca="false">IF(OR(U328="期日超過",U328="一部入金・超過"),設定!$C$5-L328,"")</f>
        <v/>
      </c>
      <c r="W328" s="21" t="str">
        <f aca="false">IF(A328="","",TRIM(IF(B328="","請求日 ","")&amp;IF(C328="","取引先 ",IF(D328="コード誤り","取引先コード誤り ",""))&amp;IF(E328="","件名 ","")&amp;IF(F328="","税抜金額 ","")&amp;IF(G328="","税率 ","")&amp;IF(M328="","送付方法 ","")&amp;IF(AND(N328&lt;&gt;"",O328=""),"送付者 ","")&amp;IF(AND(I328&lt;&gt;"",L328=""),"入金期日 ","")&amp;IF(AND(N328&lt;&gt;"",P328&gt;0,S328&lt;=0,X328=""),"消込確認者 ","")))</f>
        <v/>
      </c>
      <c r="X328" s="28"/>
      <c r="Y328" s="28"/>
    </row>
    <row r="329" customFormat="false" ht="15" hidden="false" customHeight="false" outlineLevel="0" collapsed="false">
      <c r="A329" s="21" t="str">
        <f aca="false">IF(COUNTA(B329,C329,E329,F329)=0,"",設定!$C$4&amp;TEXT(ROW()-4,"00000"))</f>
        <v/>
      </c>
      <c r="B329" s="22"/>
      <c r="C329" s="23"/>
      <c r="D329" s="21" t="str">
        <f aca="false">IF(C329="","",IFERROR(INDEX(取引先マスタ!$B$5:$B$204,MATCH($C329,取引先マスタ!$A$5:$A$204,0)),"コード誤り"))</f>
        <v/>
      </c>
      <c r="E329" s="28"/>
      <c r="F329" s="18"/>
      <c r="G329" s="25"/>
      <c r="H329" s="26" t="str">
        <f aca="false">IF(OR(F329="",G329=""),"",ROUNDDOWN(F329*G329,0))</f>
        <v/>
      </c>
      <c r="I329" s="26" t="str">
        <f aca="false">IF(OR(F329="",G329=""),"",F329+H329)</f>
        <v/>
      </c>
      <c r="J329" s="27" t="str">
        <f aca="false">IF(OR(B329="",C329="",D329="コード誤り"),"",IFERROR(DATE(YEAR(B329),MONTH(B329)+INDEX(取引先マスタ!$E$5:$E$204,MATCH($C329,取引先マスタ!$A$5:$A$204,0)),MIN(INDEX(取引先マスタ!$F$5:$F$204,MATCH($C329,取引先マスタ!$A$5:$A$204,0)),DAY(EOMONTH(B329,INDEX(取引先マスタ!$E$5:$E$204,MATCH($C329,取引先マスタ!$A$5:$A$204,0)))))),""))</f>
        <v/>
      </c>
      <c r="K329" s="22"/>
      <c r="L329" s="27" t="str">
        <f aca="false">IF(K329&lt;&gt;"",K329,J329)</f>
        <v/>
      </c>
      <c r="M329" s="28"/>
      <c r="N329" s="22"/>
      <c r="O329" s="28"/>
      <c r="P329" s="26" t="str">
        <f aca="false">IF(A329="","",SUMIF(入金明細!$F$5:$F$1004,A329,入金明細!$E$5:$E$1004))</f>
        <v/>
      </c>
      <c r="Q329" s="27" t="str">
        <f aca="false">IF(OR(A329="",N(P329)=0),"",SUMPRODUCT(MAX((入金明細!$F$5:$F$1004=A329)*入金明細!$B$5:$B$1004)))</f>
        <v/>
      </c>
      <c r="R329" s="18"/>
      <c r="S329" s="26" t="str">
        <f aca="false">IF(OR(A329="",I329=""),"",I329-N(P329)-N(R329))</f>
        <v/>
      </c>
      <c r="T329" s="28"/>
      <c r="U329" s="29" t="str">
        <f aca="false">IF(A329="","",IF(T329="取消","取消",IF(W329&lt;&gt;"","要入力",IF(N329="","未送付",IF(S329=0,"入金済",IF(S329&lt;0,"過入金",IF(設定!$C$5&gt;L329,IF(P329&gt;0,"一部入金・超過","期日超過"),IF(P329&gt;0,"一部入金",IF(L329-設定!$C$5&lt;=設定!$C$6,"期日間近","入金待ち")))))))))</f>
        <v/>
      </c>
      <c r="V329" s="30" t="str">
        <f aca="false">IF(OR(U329="期日超過",U329="一部入金・超過"),設定!$C$5-L329,"")</f>
        <v/>
      </c>
      <c r="W329" s="21" t="str">
        <f aca="false">IF(A329="","",TRIM(IF(B329="","請求日 ","")&amp;IF(C329="","取引先 ",IF(D329="コード誤り","取引先コード誤り ",""))&amp;IF(E329="","件名 ","")&amp;IF(F329="","税抜金額 ","")&amp;IF(G329="","税率 ","")&amp;IF(M329="","送付方法 ","")&amp;IF(AND(N329&lt;&gt;"",O329=""),"送付者 ","")&amp;IF(AND(I329&lt;&gt;"",L329=""),"入金期日 ","")&amp;IF(AND(N329&lt;&gt;"",P329&gt;0,S329&lt;=0,X329=""),"消込確認者 ","")))</f>
        <v/>
      </c>
      <c r="X329" s="28"/>
      <c r="Y329" s="28"/>
    </row>
    <row r="330" customFormat="false" ht="15" hidden="false" customHeight="false" outlineLevel="0" collapsed="false">
      <c r="A330" s="21" t="str">
        <f aca="false">IF(COUNTA(B330,C330,E330,F330)=0,"",設定!$C$4&amp;TEXT(ROW()-4,"00000"))</f>
        <v/>
      </c>
      <c r="B330" s="22"/>
      <c r="C330" s="23"/>
      <c r="D330" s="21" t="str">
        <f aca="false">IF(C330="","",IFERROR(INDEX(取引先マスタ!$B$5:$B$204,MATCH($C330,取引先マスタ!$A$5:$A$204,0)),"コード誤り"))</f>
        <v/>
      </c>
      <c r="E330" s="28"/>
      <c r="F330" s="18"/>
      <c r="G330" s="25"/>
      <c r="H330" s="26" t="str">
        <f aca="false">IF(OR(F330="",G330=""),"",ROUNDDOWN(F330*G330,0))</f>
        <v/>
      </c>
      <c r="I330" s="26" t="str">
        <f aca="false">IF(OR(F330="",G330=""),"",F330+H330)</f>
        <v/>
      </c>
      <c r="J330" s="27" t="str">
        <f aca="false">IF(OR(B330="",C330="",D330="コード誤り"),"",IFERROR(DATE(YEAR(B330),MONTH(B330)+INDEX(取引先マスタ!$E$5:$E$204,MATCH($C330,取引先マスタ!$A$5:$A$204,0)),MIN(INDEX(取引先マスタ!$F$5:$F$204,MATCH($C330,取引先マスタ!$A$5:$A$204,0)),DAY(EOMONTH(B330,INDEX(取引先マスタ!$E$5:$E$204,MATCH($C330,取引先マスタ!$A$5:$A$204,0)))))),""))</f>
        <v/>
      </c>
      <c r="K330" s="22"/>
      <c r="L330" s="27" t="str">
        <f aca="false">IF(K330&lt;&gt;"",K330,J330)</f>
        <v/>
      </c>
      <c r="M330" s="28"/>
      <c r="N330" s="22"/>
      <c r="O330" s="28"/>
      <c r="P330" s="26" t="str">
        <f aca="false">IF(A330="","",SUMIF(入金明細!$F$5:$F$1004,A330,入金明細!$E$5:$E$1004))</f>
        <v/>
      </c>
      <c r="Q330" s="27" t="str">
        <f aca="false">IF(OR(A330="",N(P330)=0),"",SUMPRODUCT(MAX((入金明細!$F$5:$F$1004=A330)*入金明細!$B$5:$B$1004)))</f>
        <v/>
      </c>
      <c r="R330" s="18"/>
      <c r="S330" s="26" t="str">
        <f aca="false">IF(OR(A330="",I330=""),"",I330-N(P330)-N(R330))</f>
        <v/>
      </c>
      <c r="T330" s="28"/>
      <c r="U330" s="29" t="str">
        <f aca="false">IF(A330="","",IF(T330="取消","取消",IF(W330&lt;&gt;"","要入力",IF(N330="","未送付",IF(S330=0,"入金済",IF(S330&lt;0,"過入金",IF(設定!$C$5&gt;L330,IF(P330&gt;0,"一部入金・超過","期日超過"),IF(P330&gt;0,"一部入金",IF(L330-設定!$C$5&lt;=設定!$C$6,"期日間近","入金待ち")))))))))</f>
        <v/>
      </c>
      <c r="V330" s="30" t="str">
        <f aca="false">IF(OR(U330="期日超過",U330="一部入金・超過"),設定!$C$5-L330,"")</f>
        <v/>
      </c>
      <c r="W330" s="21" t="str">
        <f aca="false">IF(A330="","",TRIM(IF(B330="","請求日 ","")&amp;IF(C330="","取引先 ",IF(D330="コード誤り","取引先コード誤り ",""))&amp;IF(E330="","件名 ","")&amp;IF(F330="","税抜金額 ","")&amp;IF(G330="","税率 ","")&amp;IF(M330="","送付方法 ","")&amp;IF(AND(N330&lt;&gt;"",O330=""),"送付者 ","")&amp;IF(AND(I330&lt;&gt;"",L330=""),"入金期日 ","")&amp;IF(AND(N330&lt;&gt;"",P330&gt;0,S330&lt;=0,X330=""),"消込確認者 ","")))</f>
        <v/>
      </c>
      <c r="X330" s="28"/>
      <c r="Y330" s="28"/>
    </row>
    <row r="331" customFormat="false" ht="15" hidden="false" customHeight="false" outlineLevel="0" collapsed="false">
      <c r="A331" s="21" t="str">
        <f aca="false">IF(COUNTA(B331,C331,E331,F331)=0,"",設定!$C$4&amp;TEXT(ROW()-4,"00000"))</f>
        <v/>
      </c>
      <c r="B331" s="22"/>
      <c r="C331" s="23"/>
      <c r="D331" s="21" t="str">
        <f aca="false">IF(C331="","",IFERROR(INDEX(取引先マスタ!$B$5:$B$204,MATCH($C331,取引先マスタ!$A$5:$A$204,0)),"コード誤り"))</f>
        <v/>
      </c>
      <c r="E331" s="28"/>
      <c r="F331" s="18"/>
      <c r="G331" s="25"/>
      <c r="H331" s="26" t="str">
        <f aca="false">IF(OR(F331="",G331=""),"",ROUNDDOWN(F331*G331,0))</f>
        <v/>
      </c>
      <c r="I331" s="26" t="str">
        <f aca="false">IF(OR(F331="",G331=""),"",F331+H331)</f>
        <v/>
      </c>
      <c r="J331" s="27" t="str">
        <f aca="false">IF(OR(B331="",C331="",D331="コード誤り"),"",IFERROR(DATE(YEAR(B331),MONTH(B331)+INDEX(取引先マスタ!$E$5:$E$204,MATCH($C331,取引先マスタ!$A$5:$A$204,0)),MIN(INDEX(取引先マスタ!$F$5:$F$204,MATCH($C331,取引先マスタ!$A$5:$A$204,0)),DAY(EOMONTH(B331,INDEX(取引先マスタ!$E$5:$E$204,MATCH($C331,取引先マスタ!$A$5:$A$204,0)))))),""))</f>
        <v/>
      </c>
      <c r="K331" s="22"/>
      <c r="L331" s="27" t="str">
        <f aca="false">IF(K331&lt;&gt;"",K331,J331)</f>
        <v/>
      </c>
      <c r="M331" s="28"/>
      <c r="N331" s="22"/>
      <c r="O331" s="28"/>
      <c r="P331" s="26" t="str">
        <f aca="false">IF(A331="","",SUMIF(入金明細!$F$5:$F$1004,A331,入金明細!$E$5:$E$1004))</f>
        <v/>
      </c>
      <c r="Q331" s="27" t="str">
        <f aca="false">IF(OR(A331="",N(P331)=0),"",SUMPRODUCT(MAX((入金明細!$F$5:$F$1004=A331)*入金明細!$B$5:$B$1004)))</f>
        <v/>
      </c>
      <c r="R331" s="18"/>
      <c r="S331" s="26" t="str">
        <f aca="false">IF(OR(A331="",I331=""),"",I331-N(P331)-N(R331))</f>
        <v/>
      </c>
      <c r="T331" s="28"/>
      <c r="U331" s="29" t="str">
        <f aca="false">IF(A331="","",IF(T331="取消","取消",IF(W331&lt;&gt;"","要入力",IF(N331="","未送付",IF(S331=0,"入金済",IF(S331&lt;0,"過入金",IF(設定!$C$5&gt;L331,IF(P331&gt;0,"一部入金・超過","期日超過"),IF(P331&gt;0,"一部入金",IF(L331-設定!$C$5&lt;=設定!$C$6,"期日間近","入金待ち")))))))))</f>
        <v/>
      </c>
      <c r="V331" s="30" t="str">
        <f aca="false">IF(OR(U331="期日超過",U331="一部入金・超過"),設定!$C$5-L331,"")</f>
        <v/>
      </c>
      <c r="W331" s="21" t="str">
        <f aca="false">IF(A331="","",TRIM(IF(B331="","請求日 ","")&amp;IF(C331="","取引先 ",IF(D331="コード誤り","取引先コード誤り ",""))&amp;IF(E331="","件名 ","")&amp;IF(F331="","税抜金額 ","")&amp;IF(G331="","税率 ","")&amp;IF(M331="","送付方法 ","")&amp;IF(AND(N331&lt;&gt;"",O331=""),"送付者 ","")&amp;IF(AND(I331&lt;&gt;"",L331=""),"入金期日 ","")&amp;IF(AND(N331&lt;&gt;"",P331&gt;0,S331&lt;=0,X331=""),"消込確認者 ","")))</f>
        <v/>
      </c>
      <c r="X331" s="28"/>
      <c r="Y331" s="28"/>
    </row>
    <row r="332" customFormat="false" ht="15" hidden="false" customHeight="false" outlineLevel="0" collapsed="false">
      <c r="A332" s="21" t="str">
        <f aca="false">IF(COUNTA(B332,C332,E332,F332)=0,"",設定!$C$4&amp;TEXT(ROW()-4,"00000"))</f>
        <v/>
      </c>
      <c r="B332" s="22"/>
      <c r="C332" s="23"/>
      <c r="D332" s="21" t="str">
        <f aca="false">IF(C332="","",IFERROR(INDEX(取引先マスタ!$B$5:$B$204,MATCH($C332,取引先マスタ!$A$5:$A$204,0)),"コード誤り"))</f>
        <v/>
      </c>
      <c r="E332" s="28"/>
      <c r="F332" s="18"/>
      <c r="G332" s="25"/>
      <c r="H332" s="26" t="str">
        <f aca="false">IF(OR(F332="",G332=""),"",ROUNDDOWN(F332*G332,0))</f>
        <v/>
      </c>
      <c r="I332" s="26" t="str">
        <f aca="false">IF(OR(F332="",G332=""),"",F332+H332)</f>
        <v/>
      </c>
      <c r="J332" s="27" t="str">
        <f aca="false">IF(OR(B332="",C332="",D332="コード誤り"),"",IFERROR(DATE(YEAR(B332),MONTH(B332)+INDEX(取引先マスタ!$E$5:$E$204,MATCH($C332,取引先マスタ!$A$5:$A$204,0)),MIN(INDEX(取引先マスタ!$F$5:$F$204,MATCH($C332,取引先マスタ!$A$5:$A$204,0)),DAY(EOMONTH(B332,INDEX(取引先マスタ!$E$5:$E$204,MATCH($C332,取引先マスタ!$A$5:$A$204,0)))))),""))</f>
        <v/>
      </c>
      <c r="K332" s="22"/>
      <c r="L332" s="27" t="str">
        <f aca="false">IF(K332&lt;&gt;"",K332,J332)</f>
        <v/>
      </c>
      <c r="M332" s="28"/>
      <c r="N332" s="22"/>
      <c r="O332" s="28"/>
      <c r="P332" s="26" t="str">
        <f aca="false">IF(A332="","",SUMIF(入金明細!$F$5:$F$1004,A332,入金明細!$E$5:$E$1004))</f>
        <v/>
      </c>
      <c r="Q332" s="27" t="str">
        <f aca="false">IF(OR(A332="",N(P332)=0),"",SUMPRODUCT(MAX((入金明細!$F$5:$F$1004=A332)*入金明細!$B$5:$B$1004)))</f>
        <v/>
      </c>
      <c r="R332" s="18"/>
      <c r="S332" s="26" t="str">
        <f aca="false">IF(OR(A332="",I332=""),"",I332-N(P332)-N(R332))</f>
        <v/>
      </c>
      <c r="T332" s="28"/>
      <c r="U332" s="29" t="str">
        <f aca="false">IF(A332="","",IF(T332="取消","取消",IF(W332&lt;&gt;"","要入力",IF(N332="","未送付",IF(S332=0,"入金済",IF(S332&lt;0,"過入金",IF(設定!$C$5&gt;L332,IF(P332&gt;0,"一部入金・超過","期日超過"),IF(P332&gt;0,"一部入金",IF(L332-設定!$C$5&lt;=設定!$C$6,"期日間近","入金待ち")))))))))</f>
        <v/>
      </c>
      <c r="V332" s="30" t="str">
        <f aca="false">IF(OR(U332="期日超過",U332="一部入金・超過"),設定!$C$5-L332,"")</f>
        <v/>
      </c>
      <c r="W332" s="21" t="str">
        <f aca="false">IF(A332="","",TRIM(IF(B332="","請求日 ","")&amp;IF(C332="","取引先 ",IF(D332="コード誤り","取引先コード誤り ",""))&amp;IF(E332="","件名 ","")&amp;IF(F332="","税抜金額 ","")&amp;IF(G332="","税率 ","")&amp;IF(M332="","送付方法 ","")&amp;IF(AND(N332&lt;&gt;"",O332=""),"送付者 ","")&amp;IF(AND(I332&lt;&gt;"",L332=""),"入金期日 ","")&amp;IF(AND(N332&lt;&gt;"",P332&gt;0,S332&lt;=0,X332=""),"消込確認者 ","")))</f>
        <v/>
      </c>
      <c r="X332" s="28"/>
      <c r="Y332" s="28"/>
    </row>
    <row r="333" customFormat="false" ht="15" hidden="false" customHeight="false" outlineLevel="0" collapsed="false">
      <c r="A333" s="21" t="str">
        <f aca="false">IF(COUNTA(B333,C333,E333,F333)=0,"",設定!$C$4&amp;TEXT(ROW()-4,"00000"))</f>
        <v/>
      </c>
      <c r="B333" s="22"/>
      <c r="C333" s="23"/>
      <c r="D333" s="21" t="str">
        <f aca="false">IF(C333="","",IFERROR(INDEX(取引先マスタ!$B$5:$B$204,MATCH($C333,取引先マスタ!$A$5:$A$204,0)),"コード誤り"))</f>
        <v/>
      </c>
      <c r="E333" s="28"/>
      <c r="F333" s="18"/>
      <c r="G333" s="25"/>
      <c r="H333" s="26" t="str">
        <f aca="false">IF(OR(F333="",G333=""),"",ROUNDDOWN(F333*G333,0))</f>
        <v/>
      </c>
      <c r="I333" s="26" t="str">
        <f aca="false">IF(OR(F333="",G333=""),"",F333+H333)</f>
        <v/>
      </c>
      <c r="J333" s="27" t="str">
        <f aca="false">IF(OR(B333="",C333="",D333="コード誤り"),"",IFERROR(DATE(YEAR(B333),MONTH(B333)+INDEX(取引先マスタ!$E$5:$E$204,MATCH($C333,取引先マスタ!$A$5:$A$204,0)),MIN(INDEX(取引先マスタ!$F$5:$F$204,MATCH($C333,取引先マスタ!$A$5:$A$204,0)),DAY(EOMONTH(B333,INDEX(取引先マスタ!$E$5:$E$204,MATCH($C333,取引先マスタ!$A$5:$A$204,0)))))),""))</f>
        <v/>
      </c>
      <c r="K333" s="22"/>
      <c r="L333" s="27" t="str">
        <f aca="false">IF(K333&lt;&gt;"",K333,J333)</f>
        <v/>
      </c>
      <c r="M333" s="28"/>
      <c r="N333" s="22"/>
      <c r="O333" s="28"/>
      <c r="P333" s="26" t="str">
        <f aca="false">IF(A333="","",SUMIF(入金明細!$F$5:$F$1004,A333,入金明細!$E$5:$E$1004))</f>
        <v/>
      </c>
      <c r="Q333" s="27" t="str">
        <f aca="false">IF(OR(A333="",N(P333)=0),"",SUMPRODUCT(MAX((入金明細!$F$5:$F$1004=A333)*入金明細!$B$5:$B$1004)))</f>
        <v/>
      </c>
      <c r="R333" s="18"/>
      <c r="S333" s="26" t="str">
        <f aca="false">IF(OR(A333="",I333=""),"",I333-N(P333)-N(R333))</f>
        <v/>
      </c>
      <c r="T333" s="28"/>
      <c r="U333" s="29" t="str">
        <f aca="false">IF(A333="","",IF(T333="取消","取消",IF(W333&lt;&gt;"","要入力",IF(N333="","未送付",IF(S333=0,"入金済",IF(S333&lt;0,"過入金",IF(設定!$C$5&gt;L333,IF(P333&gt;0,"一部入金・超過","期日超過"),IF(P333&gt;0,"一部入金",IF(L333-設定!$C$5&lt;=設定!$C$6,"期日間近","入金待ち")))))))))</f>
        <v/>
      </c>
      <c r="V333" s="30" t="str">
        <f aca="false">IF(OR(U333="期日超過",U333="一部入金・超過"),設定!$C$5-L333,"")</f>
        <v/>
      </c>
      <c r="W333" s="21" t="str">
        <f aca="false">IF(A333="","",TRIM(IF(B333="","請求日 ","")&amp;IF(C333="","取引先 ",IF(D333="コード誤り","取引先コード誤り ",""))&amp;IF(E333="","件名 ","")&amp;IF(F333="","税抜金額 ","")&amp;IF(G333="","税率 ","")&amp;IF(M333="","送付方法 ","")&amp;IF(AND(N333&lt;&gt;"",O333=""),"送付者 ","")&amp;IF(AND(I333&lt;&gt;"",L333=""),"入金期日 ","")&amp;IF(AND(N333&lt;&gt;"",P333&gt;0,S333&lt;=0,X333=""),"消込確認者 ","")))</f>
        <v/>
      </c>
      <c r="X333" s="28"/>
      <c r="Y333" s="28"/>
    </row>
    <row r="334" customFormat="false" ht="15" hidden="false" customHeight="false" outlineLevel="0" collapsed="false">
      <c r="A334" s="21" t="str">
        <f aca="false">IF(COUNTA(B334,C334,E334,F334)=0,"",設定!$C$4&amp;TEXT(ROW()-4,"00000"))</f>
        <v/>
      </c>
      <c r="B334" s="22"/>
      <c r="C334" s="23"/>
      <c r="D334" s="21" t="str">
        <f aca="false">IF(C334="","",IFERROR(INDEX(取引先マスタ!$B$5:$B$204,MATCH($C334,取引先マスタ!$A$5:$A$204,0)),"コード誤り"))</f>
        <v/>
      </c>
      <c r="E334" s="28"/>
      <c r="F334" s="18"/>
      <c r="G334" s="25"/>
      <c r="H334" s="26" t="str">
        <f aca="false">IF(OR(F334="",G334=""),"",ROUNDDOWN(F334*G334,0))</f>
        <v/>
      </c>
      <c r="I334" s="26" t="str">
        <f aca="false">IF(OR(F334="",G334=""),"",F334+H334)</f>
        <v/>
      </c>
      <c r="J334" s="27" t="str">
        <f aca="false">IF(OR(B334="",C334="",D334="コード誤り"),"",IFERROR(DATE(YEAR(B334),MONTH(B334)+INDEX(取引先マスタ!$E$5:$E$204,MATCH($C334,取引先マスタ!$A$5:$A$204,0)),MIN(INDEX(取引先マスタ!$F$5:$F$204,MATCH($C334,取引先マスタ!$A$5:$A$204,0)),DAY(EOMONTH(B334,INDEX(取引先マスタ!$E$5:$E$204,MATCH($C334,取引先マスタ!$A$5:$A$204,0)))))),""))</f>
        <v/>
      </c>
      <c r="K334" s="22"/>
      <c r="L334" s="27" t="str">
        <f aca="false">IF(K334&lt;&gt;"",K334,J334)</f>
        <v/>
      </c>
      <c r="M334" s="28"/>
      <c r="N334" s="22"/>
      <c r="O334" s="28"/>
      <c r="P334" s="26" t="str">
        <f aca="false">IF(A334="","",SUMIF(入金明細!$F$5:$F$1004,A334,入金明細!$E$5:$E$1004))</f>
        <v/>
      </c>
      <c r="Q334" s="27" t="str">
        <f aca="false">IF(OR(A334="",N(P334)=0),"",SUMPRODUCT(MAX((入金明細!$F$5:$F$1004=A334)*入金明細!$B$5:$B$1004)))</f>
        <v/>
      </c>
      <c r="R334" s="18"/>
      <c r="S334" s="26" t="str">
        <f aca="false">IF(OR(A334="",I334=""),"",I334-N(P334)-N(R334))</f>
        <v/>
      </c>
      <c r="T334" s="28"/>
      <c r="U334" s="29" t="str">
        <f aca="false">IF(A334="","",IF(T334="取消","取消",IF(W334&lt;&gt;"","要入力",IF(N334="","未送付",IF(S334=0,"入金済",IF(S334&lt;0,"過入金",IF(設定!$C$5&gt;L334,IF(P334&gt;0,"一部入金・超過","期日超過"),IF(P334&gt;0,"一部入金",IF(L334-設定!$C$5&lt;=設定!$C$6,"期日間近","入金待ち")))))))))</f>
        <v/>
      </c>
      <c r="V334" s="30" t="str">
        <f aca="false">IF(OR(U334="期日超過",U334="一部入金・超過"),設定!$C$5-L334,"")</f>
        <v/>
      </c>
      <c r="W334" s="21" t="str">
        <f aca="false">IF(A334="","",TRIM(IF(B334="","請求日 ","")&amp;IF(C334="","取引先 ",IF(D334="コード誤り","取引先コード誤り ",""))&amp;IF(E334="","件名 ","")&amp;IF(F334="","税抜金額 ","")&amp;IF(G334="","税率 ","")&amp;IF(M334="","送付方法 ","")&amp;IF(AND(N334&lt;&gt;"",O334=""),"送付者 ","")&amp;IF(AND(I334&lt;&gt;"",L334=""),"入金期日 ","")&amp;IF(AND(N334&lt;&gt;"",P334&gt;0,S334&lt;=0,X334=""),"消込確認者 ","")))</f>
        <v/>
      </c>
      <c r="X334" s="28"/>
      <c r="Y334" s="28"/>
    </row>
    <row r="335" customFormat="false" ht="15" hidden="false" customHeight="false" outlineLevel="0" collapsed="false">
      <c r="A335" s="21" t="str">
        <f aca="false">IF(COUNTA(B335,C335,E335,F335)=0,"",設定!$C$4&amp;TEXT(ROW()-4,"00000"))</f>
        <v/>
      </c>
      <c r="B335" s="22"/>
      <c r="C335" s="23"/>
      <c r="D335" s="21" t="str">
        <f aca="false">IF(C335="","",IFERROR(INDEX(取引先マスタ!$B$5:$B$204,MATCH($C335,取引先マスタ!$A$5:$A$204,0)),"コード誤り"))</f>
        <v/>
      </c>
      <c r="E335" s="28"/>
      <c r="F335" s="18"/>
      <c r="G335" s="25"/>
      <c r="H335" s="26" t="str">
        <f aca="false">IF(OR(F335="",G335=""),"",ROUNDDOWN(F335*G335,0))</f>
        <v/>
      </c>
      <c r="I335" s="26" t="str">
        <f aca="false">IF(OR(F335="",G335=""),"",F335+H335)</f>
        <v/>
      </c>
      <c r="J335" s="27" t="str">
        <f aca="false">IF(OR(B335="",C335="",D335="コード誤り"),"",IFERROR(DATE(YEAR(B335),MONTH(B335)+INDEX(取引先マスタ!$E$5:$E$204,MATCH($C335,取引先マスタ!$A$5:$A$204,0)),MIN(INDEX(取引先マスタ!$F$5:$F$204,MATCH($C335,取引先マスタ!$A$5:$A$204,0)),DAY(EOMONTH(B335,INDEX(取引先マスタ!$E$5:$E$204,MATCH($C335,取引先マスタ!$A$5:$A$204,0)))))),""))</f>
        <v/>
      </c>
      <c r="K335" s="22"/>
      <c r="L335" s="27" t="str">
        <f aca="false">IF(K335&lt;&gt;"",K335,J335)</f>
        <v/>
      </c>
      <c r="M335" s="28"/>
      <c r="N335" s="22"/>
      <c r="O335" s="28"/>
      <c r="P335" s="26" t="str">
        <f aca="false">IF(A335="","",SUMIF(入金明細!$F$5:$F$1004,A335,入金明細!$E$5:$E$1004))</f>
        <v/>
      </c>
      <c r="Q335" s="27" t="str">
        <f aca="false">IF(OR(A335="",N(P335)=0),"",SUMPRODUCT(MAX((入金明細!$F$5:$F$1004=A335)*入金明細!$B$5:$B$1004)))</f>
        <v/>
      </c>
      <c r="R335" s="18"/>
      <c r="S335" s="26" t="str">
        <f aca="false">IF(OR(A335="",I335=""),"",I335-N(P335)-N(R335))</f>
        <v/>
      </c>
      <c r="T335" s="28"/>
      <c r="U335" s="29" t="str">
        <f aca="false">IF(A335="","",IF(T335="取消","取消",IF(W335&lt;&gt;"","要入力",IF(N335="","未送付",IF(S335=0,"入金済",IF(S335&lt;0,"過入金",IF(設定!$C$5&gt;L335,IF(P335&gt;0,"一部入金・超過","期日超過"),IF(P335&gt;0,"一部入金",IF(L335-設定!$C$5&lt;=設定!$C$6,"期日間近","入金待ち")))))))))</f>
        <v/>
      </c>
      <c r="V335" s="30" t="str">
        <f aca="false">IF(OR(U335="期日超過",U335="一部入金・超過"),設定!$C$5-L335,"")</f>
        <v/>
      </c>
      <c r="W335" s="21" t="str">
        <f aca="false">IF(A335="","",TRIM(IF(B335="","請求日 ","")&amp;IF(C335="","取引先 ",IF(D335="コード誤り","取引先コード誤り ",""))&amp;IF(E335="","件名 ","")&amp;IF(F335="","税抜金額 ","")&amp;IF(G335="","税率 ","")&amp;IF(M335="","送付方法 ","")&amp;IF(AND(N335&lt;&gt;"",O335=""),"送付者 ","")&amp;IF(AND(I335&lt;&gt;"",L335=""),"入金期日 ","")&amp;IF(AND(N335&lt;&gt;"",P335&gt;0,S335&lt;=0,X335=""),"消込確認者 ","")))</f>
        <v/>
      </c>
      <c r="X335" s="28"/>
      <c r="Y335" s="28"/>
    </row>
    <row r="336" customFormat="false" ht="15" hidden="false" customHeight="false" outlineLevel="0" collapsed="false">
      <c r="A336" s="21" t="str">
        <f aca="false">IF(COUNTA(B336,C336,E336,F336)=0,"",設定!$C$4&amp;TEXT(ROW()-4,"00000"))</f>
        <v/>
      </c>
      <c r="B336" s="22"/>
      <c r="C336" s="23"/>
      <c r="D336" s="21" t="str">
        <f aca="false">IF(C336="","",IFERROR(INDEX(取引先マスタ!$B$5:$B$204,MATCH($C336,取引先マスタ!$A$5:$A$204,0)),"コード誤り"))</f>
        <v/>
      </c>
      <c r="E336" s="28"/>
      <c r="F336" s="18"/>
      <c r="G336" s="25"/>
      <c r="H336" s="26" t="str">
        <f aca="false">IF(OR(F336="",G336=""),"",ROUNDDOWN(F336*G336,0))</f>
        <v/>
      </c>
      <c r="I336" s="26" t="str">
        <f aca="false">IF(OR(F336="",G336=""),"",F336+H336)</f>
        <v/>
      </c>
      <c r="J336" s="27" t="str">
        <f aca="false">IF(OR(B336="",C336="",D336="コード誤り"),"",IFERROR(DATE(YEAR(B336),MONTH(B336)+INDEX(取引先マスタ!$E$5:$E$204,MATCH($C336,取引先マスタ!$A$5:$A$204,0)),MIN(INDEX(取引先マスタ!$F$5:$F$204,MATCH($C336,取引先マスタ!$A$5:$A$204,0)),DAY(EOMONTH(B336,INDEX(取引先マスタ!$E$5:$E$204,MATCH($C336,取引先マスタ!$A$5:$A$204,0)))))),""))</f>
        <v/>
      </c>
      <c r="K336" s="22"/>
      <c r="L336" s="27" t="str">
        <f aca="false">IF(K336&lt;&gt;"",K336,J336)</f>
        <v/>
      </c>
      <c r="M336" s="28"/>
      <c r="N336" s="22"/>
      <c r="O336" s="28"/>
      <c r="P336" s="26" t="str">
        <f aca="false">IF(A336="","",SUMIF(入金明細!$F$5:$F$1004,A336,入金明細!$E$5:$E$1004))</f>
        <v/>
      </c>
      <c r="Q336" s="27" t="str">
        <f aca="false">IF(OR(A336="",N(P336)=0),"",SUMPRODUCT(MAX((入金明細!$F$5:$F$1004=A336)*入金明細!$B$5:$B$1004)))</f>
        <v/>
      </c>
      <c r="R336" s="18"/>
      <c r="S336" s="26" t="str">
        <f aca="false">IF(OR(A336="",I336=""),"",I336-N(P336)-N(R336))</f>
        <v/>
      </c>
      <c r="T336" s="28"/>
      <c r="U336" s="29" t="str">
        <f aca="false">IF(A336="","",IF(T336="取消","取消",IF(W336&lt;&gt;"","要入力",IF(N336="","未送付",IF(S336=0,"入金済",IF(S336&lt;0,"過入金",IF(設定!$C$5&gt;L336,IF(P336&gt;0,"一部入金・超過","期日超過"),IF(P336&gt;0,"一部入金",IF(L336-設定!$C$5&lt;=設定!$C$6,"期日間近","入金待ち")))))))))</f>
        <v/>
      </c>
      <c r="V336" s="30" t="str">
        <f aca="false">IF(OR(U336="期日超過",U336="一部入金・超過"),設定!$C$5-L336,"")</f>
        <v/>
      </c>
      <c r="W336" s="21" t="str">
        <f aca="false">IF(A336="","",TRIM(IF(B336="","請求日 ","")&amp;IF(C336="","取引先 ",IF(D336="コード誤り","取引先コード誤り ",""))&amp;IF(E336="","件名 ","")&amp;IF(F336="","税抜金額 ","")&amp;IF(G336="","税率 ","")&amp;IF(M336="","送付方法 ","")&amp;IF(AND(N336&lt;&gt;"",O336=""),"送付者 ","")&amp;IF(AND(I336&lt;&gt;"",L336=""),"入金期日 ","")&amp;IF(AND(N336&lt;&gt;"",P336&gt;0,S336&lt;=0,X336=""),"消込確認者 ","")))</f>
        <v/>
      </c>
      <c r="X336" s="28"/>
      <c r="Y336" s="28"/>
    </row>
    <row r="337" customFormat="false" ht="15" hidden="false" customHeight="false" outlineLevel="0" collapsed="false">
      <c r="A337" s="21" t="str">
        <f aca="false">IF(COUNTA(B337,C337,E337,F337)=0,"",設定!$C$4&amp;TEXT(ROW()-4,"00000"))</f>
        <v/>
      </c>
      <c r="B337" s="22"/>
      <c r="C337" s="23"/>
      <c r="D337" s="21" t="str">
        <f aca="false">IF(C337="","",IFERROR(INDEX(取引先マスタ!$B$5:$B$204,MATCH($C337,取引先マスタ!$A$5:$A$204,0)),"コード誤り"))</f>
        <v/>
      </c>
      <c r="E337" s="28"/>
      <c r="F337" s="18"/>
      <c r="G337" s="25"/>
      <c r="H337" s="26" t="str">
        <f aca="false">IF(OR(F337="",G337=""),"",ROUNDDOWN(F337*G337,0))</f>
        <v/>
      </c>
      <c r="I337" s="26" t="str">
        <f aca="false">IF(OR(F337="",G337=""),"",F337+H337)</f>
        <v/>
      </c>
      <c r="J337" s="27" t="str">
        <f aca="false">IF(OR(B337="",C337="",D337="コード誤り"),"",IFERROR(DATE(YEAR(B337),MONTH(B337)+INDEX(取引先マスタ!$E$5:$E$204,MATCH($C337,取引先マスタ!$A$5:$A$204,0)),MIN(INDEX(取引先マスタ!$F$5:$F$204,MATCH($C337,取引先マスタ!$A$5:$A$204,0)),DAY(EOMONTH(B337,INDEX(取引先マスタ!$E$5:$E$204,MATCH($C337,取引先マスタ!$A$5:$A$204,0)))))),""))</f>
        <v/>
      </c>
      <c r="K337" s="22"/>
      <c r="L337" s="27" t="str">
        <f aca="false">IF(K337&lt;&gt;"",K337,J337)</f>
        <v/>
      </c>
      <c r="M337" s="28"/>
      <c r="N337" s="22"/>
      <c r="O337" s="28"/>
      <c r="P337" s="26" t="str">
        <f aca="false">IF(A337="","",SUMIF(入金明細!$F$5:$F$1004,A337,入金明細!$E$5:$E$1004))</f>
        <v/>
      </c>
      <c r="Q337" s="27" t="str">
        <f aca="false">IF(OR(A337="",N(P337)=0),"",SUMPRODUCT(MAX((入金明細!$F$5:$F$1004=A337)*入金明細!$B$5:$B$1004)))</f>
        <v/>
      </c>
      <c r="R337" s="18"/>
      <c r="S337" s="26" t="str">
        <f aca="false">IF(OR(A337="",I337=""),"",I337-N(P337)-N(R337))</f>
        <v/>
      </c>
      <c r="T337" s="28"/>
      <c r="U337" s="29" t="str">
        <f aca="false">IF(A337="","",IF(T337="取消","取消",IF(W337&lt;&gt;"","要入力",IF(N337="","未送付",IF(S337=0,"入金済",IF(S337&lt;0,"過入金",IF(設定!$C$5&gt;L337,IF(P337&gt;0,"一部入金・超過","期日超過"),IF(P337&gt;0,"一部入金",IF(L337-設定!$C$5&lt;=設定!$C$6,"期日間近","入金待ち")))))))))</f>
        <v/>
      </c>
      <c r="V337" s="30" t="str">
        <f aca="false">IF(OR(U337="期日超過",U337="一部入金・超過"),設定!$C$5-L337,"")</f>
        <v/>
      </c>
      <c r="W337" s="21" t="str">
        <f aca="false">IF(A337="","",TRIM(IF(B337="","請求日 ","")&amp;IF(C337="","取引先 ",IF(D337="コード誤り","取引先コード誤り ",""))&amp;IF(E337="","件名 ","")&amp;IF(F337="","税抜金額 ","")&amp;IF(G337="","税率 ","")&amp;IF(M337="","送付方法 ","")&amp;IF(AND(N337&lt;&gt;"",O337=""),"送付者 ","")&amp;IF(AND(I337&lt;&gt;"",L337=""),"入金期日 ","")&amp;IF(AND(N337&lt;&gt;"",P337&gt;0,S337&lt;=0,X337=""),"消込確認者 ","")))</f>
        <v/>
      </c>
      <c r="X337" s="28"/>
      <c r="Y337" s="28"/>
    </row>
    <row r="338" customFormat="false" ht="15" hidden="false" customHeight="false" outlineLevel="0" collapsed="false">
      <c r="A338" s="21" t="str">
        <f aca="false">IF(COUNTA(B338,C338,E338,F338)=0,"",設定!$C$4&amp;TEXT(ROW()-4,"00000"))</f>
        <v/>
      </c>
      <c r="B338" s="22"/>
      <c r="C338" s="23"/>
      <c r="D338" s="21" t="str">
        <f aca="false">IF(C338="","",IFERROR(INDEX(取引先マスタ!$B$5:$B$204,MATCH($C338,取引先マスタ!$A$5:$A$204,0)),"コード誤り"))</f>
        <v/>
      </c>
      <c r="E338" s="28"/>
      <c r="F338" s="18"/>
      <c r="G338" s="25"/>
      <c r="H338" s="26" t="str">
        <f aca="false">IF(OR(F338="",G338=""),"",ROUNDDOWN(F338*G338,0))</f>
        <v/>
      </c>
      <c r="I338" s="26" t="str">
        <f aca="false">IF(OR(F338="",G338=""),"",F338+H338)</f>
        <v/>
      </c>
      <c r="J338" s="27" t="str">
        <f aca="false">IF(OR(B338="",C338="",D338="コード誤り"),"",IFERROR(DATE(YEAR(B338),MONTH(B338)+INDEX(取引先マスタ!$E$5:$E$204,MATCH($C338,取引先マスタ!$A$5:$A$204,0)),MIN(INDEX(取引先マスタ!$F$5:$F$204,MATCH($C338,取引先マスタ!$A$5:$A$204,0)),DAY(EOMONTH(B338,INDEX(取引先マスタ!$E$5:$E$204,MATCH($C338,取引先マスタ!$A$5:$A$204,0)))))),""))</f>
        <v/>
      </c>
      <c r="K338" s="22"/>
      <c r="L338" s="27" t="str">
        <f aca="false">IF(K338&lt;&gt;"",K338,J338)</f>
        <v/>
      </c>
      <c r="M338" s="28"/>
      <c r="N338" s="22"/>
      <c r="O338" s="28"/>
      <c r="P338" s="26" t="str">
        <f aca="false">IF(A338="","",SUMIF(入金明細!$F$5:$F$1004,A338,入金明細!$E$5:$E$1004))</f>
        <v/>
      </c>
      <c r="Q338" s="27" t="str">
        <f aca="false">IF(OR(A338="",N(P338)=0),"",SUMPRODUCT(MAX((入金明細!$F$5:$F$1004=A338)*入金明細!$B$5:$B$1004)))</f>
        <v/>
      </c>
      <c r="R338" s="18"/>
      <c r="S338" s="26" t="str">
        <f aca="false">IF(OR(A338="",I338=""),"",I338-N(P338)-N(R338))</f>
        <v/>
      </c>
      <c r="T338" s="28"/>
      <c r="U338" s="29" t="str">
        <f aca="false">IF(A338="","",IF(T338="取消","取消",IF(W338&lt;&gt;"","要入力",IF(N338="","未送付",IF(S338=0,"入金済",IF(S338&lt;0,"過入金",IF(設定!$C$5&gt;L338,IF(P338&gt;0,"一部入金・超過","期日超過"),IF(P338&gt;0,"一部入金",IF(L338-設定!$C$5&lt;=設定!$C$6,"期日間近","入金待ち")))))))))</f>
        <v/>
      </c>
      <c r="V338" s="30" t="str">
        <f aca="false">IF(OR(U338="期日超過",U338="一部入金・超過"),設定!$C$5-L338,"")</f>
        <v/>
      </c>
      <c r="W338" s="21" t="str">
        <f aca="false">IF(A338="","",TRIM(IF(B338="","請求日 ","")&amp;IF(C338="","取引先 ",IF(D338="コード誤り","取引先コード誤り ",""))&amp;IF(E338="","件名 ","")&amp;IF(F338="","税抜金額 ","")&amp;IF(G338="","税率 ","")&amp;IF(M338="","送付方法 ","")&amp;IF(AND(N338&lt;&gt;"",O338=""),"送付者 ","")&amp;IF(AND(I338&lt;&gt;"",L338=""),"入金期日 ","")&amp;IF(AND(N338&lt;&gt;"",P338&gt;0,S338&lt;=0,X338=""),"消込確認者 ","")))</f>
        <v/>
      </c>
      <c r="X338" s="28"/>
      <c r="Y338" s="28"/>
    </row>
    <row r="339" customFormat="false" ht="15" hidden="false" customHeight="false" outlineLevel="0" collapsed="false">
      <c r="A339" s="21" t="str">
        <f aca="false">IF(COUNTA(B339,C339,E339,F339)=0,"",設定!$C$4&amp;TEXT(ROW()-4,"00000"))</f>
        <v/>
      </c>
      <c r="B339" s="22"/>
      <c r="C339" s="23"/>
      <c r="D339" s="21" t="str">
        <f aca="false">IF(C339="","",IFERROR(INDEX(取引先マスタ!$B$5:$B$204,MATCH($C339,取引先マスタ!$A$5:$A$204,0)),"コード誤り"))</f>
        <v/>
      </c>
      <c r="E339" s="28"/>
      <c r="F339" s="18"/>
      <c r="G339" s="25"/>
      <c r="H339" s="26" t="str">
        <f aca="false">IF(OR(F339="",G339=""),"",ROUNDDOWN(F339*G339,0))</f>
        <v/>
      </c>
      <c r="I339" s="26" t="str">
        <f aca="false">IF(OR(F339="",G339=""),"",F339+H339)</f>
        <v/>
      </c>
      <c r="J339" s="27" t="str">
        <f aca="false">IF(OR(B339="",C339="",D339="コード誤り"),"",IFERROR(DATE(YEAR(B339),MONTH(B339)+INDEX(取引先マスタ!$E$5:$E$204,MATCH($C339,取引先マスタ!$A$5:$A$204,0)),MIN(INDEX(取引先マスタ!$F$5:$F$204,MATCH($C339,取引先マスタ!$A$5:$A$204,0)),DAY(EOMONTH(B339,INDEX(取引先マスタ!$E$5:$E$204,MATCH($C339,取引先マスタ!$A$5:$A$204,0)))))),""))</f>
        <v/>
      </c>
      <c r="K339" s="22"/>
      <c r="L339" s="27" t="str">
        <f aca="false">IF(K339&lt;&gt;"",K339,J339)</f>
        <v/>
      </c>
      <c r="M339" s="28"/>
      <c r="N339" s="22"/>
      <c r="O339" s="28"/>
      <c r="P339" s="26" t="str">
        <f aca="false">IF(A339="","",SUMIF(入金明細!$F$5:$F$1004,A339,入金明細!$E$5:$E$1004))</f>
        <v/>
      </c>
      <c r="Q339" s="27" t="str">
        <f aca="false">IF(OR(A339="",N(P339)=0),"",SUMPRODUCT(MAX((入金明細!$F$5:$F$1004=A339)*入金明細!$B$5:$B$1004)))</f>
        <v/>
      </c>
      <c r="R339" s="18"/>
      <c r="S339" s="26" t="str">
        <f aca="false">IF(OR(A339="",I339=""),"",I339-N(P339)-N(R339))</f>
        <v/>
      </c>
      <c r="T339" s="28"/>
      <c r="U339" s="29" t="str">
        <f aca="false">IF(A339="","",IF(T339="取消","取消",IF(W339&lt;&gt;"","要入力",IF(N339="","未送付",IF(S339=0,"入金済",IF(S339&lt;0,"過入金",IF(設定!$C$5&gt;L339,IF(P339&gt;0,"一部入金・超過","期日超過"),IF(P339&gt;0,"一部入金",IF(L339-設定!$C$5&lt;=設定!$C$6,"期日間近","入金待ち")))))))))</f>
        <v/>
      </c>
      <c r="V339" s="30" t="str">
        <f aca="false">IF(OR(U339="期日超過",U339="一部入金・超過"),設定!$C$5-L339,"")</f>
        <v/>
      </c>
      <c r="W339" s="21" t="str">
        <f aca="false">IF(A339="","",TRIM(IF(B339="","請求日 ","")&amp;IF(C339="","取引先 ",IF(D339="コード誤り","取引先コード誤り ",""))&amp;IF(E339="","件名 ","")&amp;IF(F339="","税抜金額 ","")&amp;IF(G339="","税率 ","")&amp;IF(M339="","送付方法 ","")&amp;IF(AND(N339&lt;&gt;"",O339=""),"送付者 ","")&amp;IF(AND(I339&lt;&gt;"",L339=""),"入金期日 ","")&amp;IF(AND(N339&lt;&gt;"",P339&gt;0,S339&lt;=0,X339=""),"消込確認者 ","")))</f>
        <v/>
      </c>
      <c r="X339" s="28"/>
      <c r="Y339" s="28"/>
    </row>
    <row r="340" customFormat="false" ht="15" hidden="false" customHeight="false" outlineLevel="0" collapsed="false">
      <c r="A340" s="21" t="str">
        <f aca="false">IF(COUNTA(B340,C340,E340,F340)=0,"",設定!$C$4&amp;TEXT(ROW()-4,"00000"))</f>
        <v/>
      </c>
      <c r="B340" s="22"/>
      <c r="C340" s="23"/>
      <c r="D340" s="21" t="str">
        <f aca="false">IF(C340="","",IFERROR(INDEX(取引先マスタ!$B$5:$B$204,MATCH($C340,取引先マスタ!$A$5:$A$204,0)),"コード誤り"))</f>
        <v/>
      </c>
      <c r="E340" s="28"/>
      <c r="F340" s="18"/>
      <c r="G340" s="25"/>
      <c r="H340" s="26" t="str">
        <f aca="false">IF(OR(F340="",G340=""),"",ROUNDDOWN(F340*G340,0))</f>
        <v/>
      </c>
      <c r="I340" s="26" t="str">
        <f aca="false">IF(OR(F340="",G340=""),"",F340+H340)</f>
        <v/>
      </c>
      <c r="J340" s="27" t="str">
        <f aca="false">IF(OR(B340="",C340="",D340="コード誤り"),"",IFERROR(DATE(YEAR(B340),MONTH(B340)+INDEX(取引先マスタ!$E$5:$E$204,MATCH($C340,取引先マスタ!$A$5:$A$204,0)),MIN(INDEX(取引先マスタ!$F$5:$F$204,MATCH($C340,取引先マスタ!$A$5:$A$204,0)),DAY(EOMONTH(B340,INDEX(取引先マスタ!$E$5:$E$204,MATCH($C340,取引先マスタ!$A$5:$A$204,0)))))),""))</f>
        <v/>
      </c>
      <c r="K340" s="22"/>
      <c r="L340" s="27" t="str">
        <f aca="false">IF(K340&lt;&gt;"",K340,J340)</f>
        <v/>
      </c>
      <c r="M340" s="28"/>
      <c r="N340" s="22"/>
      <c r="O340" s="28"/>
      <c r="P340" s="26" t="str">
        <f aca="false">IF(A340="","",SUMIF(入金明細!$F$5:$F$1004,A340,入金明細!$E$5:$E$1004))</f>
        <v/>
      </c>
      <c r="Q340" s="27" t="str">
        <f aca="false">IF(OR(A340="",N(P340)=0),"",SUMPRODUCT(MAX((入金明細!$F$5:$F$1004=A340)*入金明細!$B$5:$B$1004)))</f>
        <v/>
      </c>
      <c r="R340" s="18"/>
      <c r="S340" s="26" t="str">
        <f aca="false">IF(OR(A340="",I340=""),"",I340-N(P340)-N(R340))</f>
        <v/>
      </c>
      <c r="T340" s="28"/>
      <c r="U340" s="29" t="str">
        <f aca="false">IF(A340="","",IF(T340="取消","取消",IF(W340&lt;&gt;"","要入力",IF(N340="","未送付",IF(S340=0,"入金済",IF(S340&lt;0,"過入金",IF(設定!$C$5&gt;L340,IF(P340&gt;0,"一部入金・超過","期日超過"),IF(P340&gt;0,"一部入金",IF(L340-設定!$C$5&lt;=設定!$C$6,"期日間近","入金待ち")))))))))</f>
        <v/>
      </c>
      <c r="V340" s="30" t="str">
        <f aca="false">IF(OR(U340="期日超過",U340="一部入金・超過"),設定!$C$5-L340,"")</f>
        <v/>
      </c>
      <c r="W340" s="21" t="str">
        <f aca="false">IF(A340="","",TRIM(IF(B340="","請求日 ","")&amp;IF(C340="","取引先 ",IF(D340="コード誤り","取引先コード誤り ",""))&amp;IF(E340="","件名 ","")&amp;IF(F340="","税抜金額 ","")&amp;IF(G340="","税率 ","")&amp;IF(M340="","送付方法 ","")&amp;IF(AND(N340&lt;&gt;"",O340=""),"送付者 ","")&amp;IF(AND(I340&lt;&gt;"",L340=""),"入金期日 ","")&amp;IF(AND(N340&lt;&gt;"",P340&gt;0,S340&lt;=0,X340=""),"消込確認者 ","")))</f>
        <v/>
      </c>
      <c r="X340" s="28"/>
      <c r="Y340" s="28"/>
    </row>
    <row r="341" customFormat="false" ht="15" hidden="false" customHeight="false" outlineLevel="0" collapsed="false">
      <c r="A341" s="21" t="str">
        <f aca="false">IF(COUNTA(B341,C341,E341,F341)=0,"",設定!$C$4&amp;TEXT(ROW()-4,"00000"))</f>
        <v/>
      </c>
      <c r="B341" s="22"/>
      <c r="C341" s="23"/>
      <c r="D341" s="21" t="str">
        <f aca="false">IF(C341="","",IFERROR(INDEX(取引先マスタ!$B$5:$B$204,MATCH($C341,取引先マスタ!$A$5:$A$204,0)),"コード誤り"))</f>
        <v/>
      </c>
      <c r="E341" s="28"/>
      <c r="F341" s="18"/>
      <c r="G341" s="25"/>
      <c r="H341" s="26" t="str">
        <f aca="false">IF(OR(F341="",G341=""),"",ROUNDDOWN(F341*G341,0))</f>
        <v/>
      </c>
      <c r="I341" s="26" t="str">
        <f aca="false">IF(OR(F341="",G341=""),"",F341+H341)</f>
        <v/>
      </c>
      <c r="J341" s="27" t="str">
        <f aca="false">IF(OR(B341="",C341="",D341="コード誤り"),"",IFERROR(DATE(YEAR(B341),MONTH(B341)+INDEX(取引先マスタ!$E$5:$E$204,MATCH($C341,取引先マスタ!$A$5:$A$204,0)),MIN(INDEX(取引先マスタ!$F$5:$F$204,MATCH($C341,取引先マスタ!$A$5:$A$204,0)),DAY(EOMONTH(B341,INDEX(取引先マスタ!$E$5:$E$204,MATCH($C341,取引先マスタ!$A$5:$A$204,0)))))),""))</f>
        <v/>
      </c>
      <c r="K341" s="22"/>
      <c r="L341" s="27" t="str">
        <f aca="false">IF(K341&lt;&gt;"",K341,J341)</f>
        <v/>
      </c>
      <c r="M341" s="28"/>
      <c r="N341" s="22"/>
      <c r="O341" s="28"/>
      <c r="P341" s="26" t="str">
        <f aca="false">IF(A341="","",SUMIF(入金明細!$F$5:$F$1004,A341,入金明細!$E$5:$E$1004))</f>
        <v/>
      </c>
      <c r="Q341" s="27" t="str">
        <f aca="false">IF(OR(A341="",N(P341)=0),"",SUMPRODUCT(MAX((入金明細!$F$5:$F$1004=A341)*入金明細!$B$5:$B$1004)))</f>
        <v/>
      </c>
      <c r="R341" s="18"/>
      <c r="S341" s="26" t="str">
        <f aca="false">IF(OR(A341="",I341=""),"",I341-N(P341)-N(R341))</f>
        <v/>
      </c>
      <c r="T341" s="28"/>
      <c r="U341" s="29" t="str">
        <f aca="false">IF(A341="","",IF(T341="取消","取消",IF(W341&lt;&gt;"","要入力",IF(N341="","未送付",IF(S341=0,"入金済",IF(S341&lt;0,"過入金",IF(設定!$C$5&gt;L341,IF(P341&gt;0,"一部入金・超過","期日超過"),IF(P341&gt;0,"一部入金",IF(L341-設定!$C$5&lt;=設定!$C$6,"期日間近","入金待ち")))))))))</f>
        <v/>
      </c>
      <c r="V341" s="30" t="str">
        <f aca="false">IF(OR(U341="期日超過",U341="一部入金・超過"),設定!$C$5-L341,"")</f>
        <v/>
      </c>
      <c r="W341" s="21" t="str">
        <f aca="false">IF(A341="","",TRIM(IF(B341="","請求日 ","")&amp;IF(C341="","取引先 ",IF(D341="コード誤り","取引先コード誤り ",""))&amp;IF(E341="","件名 ","")&amp;IF(F341="","税抜金額 ","")&amp;IF(G341="","税率 ","")&amp;IF(M341="","送付方法 ","")&amp;IF(AND(N341&lt;&gt;"",O341=""),"送付者 ","")&amp;IF(AND(I341&lt;&gt;"",L341=""),"入金期日 ","")&amp;IF(AND(N341&lt;&gt;"",P341&gt;0,S341&lt;=0,X341=""),"消込確認者 ","")))</f>
        <v/>
      </c>
      <c r="X341" s="28"/>
      <c r="Y341" s="28"/>
    </row>
    <row r="342" customFormat="false" ht="15" hidden="false" customHeight="false" outlineLevel="0" collapsed="false">
      <c r="A342" s="21" t="str">
        <f aca="false">IF(COUNTA(B342,C342,E342,F342)=0,"",設定!$C$4&amp;TEXT(ROW()-4,"00000"))</f>
        <v/>
      </c>
      <c r="B342" s="22"/>
      <c r="C342" s="23"/>
      <c r="D342" s="21" t="str">
        <f aca="false">IF(C342="","",IFERROR(INDEX(取引先マスタ!$B$5:$B$204,MATCH($C342,取引先マスタ!$A$5:$A$204,0)),"コード誤り"))</f>
        <v/>
      </c>
      <c r="E342" s="28"/>
      <c r="F342" s="18"/>
      <c r="G342" s="25"/>
      <c r="H342" s="26" t="str">
        <f aca="false">IF(OR(F342="",G342=""),"",ROUNDDOWN(F342*G342,0))</f>
        <v/>
      </c>
      <c r="I342" s="26" t="str">
        <f aca="false">IF(OR(F342="",G342=""),"",F342+H342)</f>
        <v/>
      </c>
      <c r="J342" s="27" t="str">
        <f aca="false">IF(OR(B342="",C342="",D342="コード誤り"),"",IFERROR(DATE(YEAR(B342),MONTH(B342)+INDEX(取引先マスタ!$E$5:$E$204,MATCH($C342,取引先マスタ!$A$5:$A$204,0)),MIN(INDEX(取引先マスタ!$F$5:$F$204,MATCH($C342,取引先マスタ!$A$5:$A$204,0)),DAY(EOMONTH(B342,INDEX(取引先マスタ!$E$5:$E$204,MATCH($C342,取引先マスタ!$A$5:$A$204,0)))))),""))</f>
        <v/>
      </c>
      <c r="K342" s="22"/>
      <c r="L342" s="27" t="str">
        <f aca="false">IF(K342&lt;&gt;"",K342,J342)</f>
        <v/>
      </c>
      <c r="M342" s="28"/>
      <c r="N342" s="22"/>
      <c r="O342" s="28"/>
      <c r="P342" s="26" t="str">
        <f aca="false">IF(A342="","",SUMIF(入金明細!$F$5:$F$1004,A342,入金明細!$E$5:$E$1004))</f>
        <v/>
      </c>
      <c r="Q342" s="27" t="str">
        <f aca="false">IF(OR(A342="",N(P342)=0),"",SUMPRODUCT(MAX((入金明細!$F$5:$F$1004=A342)*入金明細!$B$5:$B$1004)))</f>
        <v/>
      </c>
      <c r="R342" s="18"/>
      <c r="S342" s="26" t="str">
        <f aca="false">IF(OR(A342="",I342=""),"",I342-N(P342)-N(R342))</f>
        <v/>
      </c>
      <c r="T342" s="28"/>
      <c r="U342" s="29" t="str">
        <f aca="false">IF(A342="","",IF(T342="取消","取消",IF(W342&lt;&gt;"","要入力",IF(N342="","未送付",IF(S342=0,"入金済",IF(S342&lt;0,"過入金",IF(設定!$C$5&gt;L342,IF(P342&gt;0,"一部入金・超過","期日超過"),IF(P342&gt;0,"一部入金",IF(L342-設定!$C$5&lt;=設定!$C$6,"期日間近","入金待ち")))))))))</f>
        <v/>
      </c>
      <c r="V342" s="30" t="str">
        <f aca="false">IF(OR(U342="期日超過",U342="一部入金・超過"),設定!$C$5-L342,"")</f>
        <v/>
      </c>
      <c r="W342" s="21" t="str">
        <f aca="false">IF(A342="","",TRIM(IF(B342="","請求日 ","")&amp;IF(C342="","取引先 ",IF(D342="コード誤り","取引先コード誤り ",""))&amp;IF(E342="","件名 ","")&amp;IF(F342="","税抜金額 ","")&amp;IF(G342="","税率 ","")&amp;IF(M342="","送付方法 ","")&amp;IF(AND(N342&lt;&gt;"",O342=""),"送付者 ","")&amp;IF(AND(I342&lt;&gt;"",L342=""),"入金期日 ","")&amp;IF(AND(N342&lt;&gt;"",P342&gt;0,S342&lt;=0,X342=""),"消込確認者 ","")))</f>
        <v/>
      </c>
      <c r="X342" s="28"/>
      <c r="Y342" s="28"/>
    </row>
    <row r="343" customFormat="false" ht="15" hidden="false" customHeight="false" outlineLevel="0" collapsed="false">
      <c r="A343" s="21" t="str">
        <f aca="false">IF(COUNTA(B343,C343,E343,F343)=0,"",設定!$C$4&amp;TEXT(ROW()-4,"00000"))</f>
        <v/>
      </c>
      <c r="B343" s="22"/>
      <c r="C343" s="23"/>
      <c r="D343" s="21" t="str">
        <f aca="false">IF(C343="","",IFERROR(INDEX(取引先マスタ!$B$5:$B$204,MATCH($C343,取引先マスタ!$A$5:$A$204,0)),"コード誤り"))</f>
        <v/>
      </c>
      <c r="E343" s="28"/>
      <c r="F343" s="18"/>
      <c r="G343" s="25"/>
      <c r="H343" s="26" t="str">
        <f aca="false">IF(OR(F343="",G343=""),"",ROUNDDOWN(F343*G343,0))</f>
        <v/>
      </c>
      <c r="I343" s="26" t="str">
        <f aca="false">IF(OR(F343="",G343=""),"",F343+H343)</f>
        <v/>
      </c>
      <c r="J343" s="27" t="str">
        <f aca="false">IF(OR(B343="",C343="",D343="コード誤り"),"",IFERROR(DATE(YEAR(B343),MONTH(B343)+INDEX(取引先マスタ!$E$5:$E$204,MATCH($C343,取引先マスタ!$A$5:$A$204,0)),MIN(INDEX(取引先マスタ!$F$5:$F$204,MATCH($C343,取引先マスタ!$A$5:$A$204,0)),DAY(EOMONTH(B343,INDEX(取引先マスタ!$E$5:$E$204,MATCH($C343,取引先マスタ!$A$5:$A$204,0)))))),""))</f>
        <v/>
      </c>
      <c r="K343" s="22"/>
      <c r="L343" s="27" t="str">
        <f aca="false">IF(K343&lt;&gt;"",K343,J343)</f>
        <v/>
      </c>
      <c r="M343" s="28"/>
      <c r="N343" s="22"/>
      <c r="O343" s="28"/>
      <c r="P343" s="26" t="str">
        <f aca="false">IF(A343="","",SUMIF(入金明細!$F$5:$F$1004,A343,入金明細!$E$5:$E$1004))</f>
        <v/>
      </c>
      <c r="Q343" s="27" t="str">
        <f aca="false">IF(OR(A343="",N(P343)=0),"",SUMPRODUCT(MAX((入金明細!$F$5:$F$1004=A343)*入金明細!$B$5:$B$1004)))</f>
        <v/>
      </c>
      <c r="R343" s="18"/>
      <c r="S343" s="26" t="str">
        <f aca="false">IF(OR(A343="",I343=""),"",I343-N(P343)-N(R343))</f>
        <v/>
      </c>
      <c r="T343" s="28"/>
      <c r="U343" s="29" t="str">
        <f aca="false">IF(A343="","",IF(T343="取消","取消",IF(W343&lt;&gt;"","要入力",IF(N343="","未送付",IF(S343=0,"入金済",IF(S343&lt;0,"過入金",IF(設定!$C$5&gt;L343,IF(P343&gt;0,"一部入金・超過","期日超過"),IF(P343&gt;0,"一部入金",IF(L343-設定!$C$5&lt;=設定!$C$6,"期日間近","入金待ち")))))))))</f>
        <v/>
      </c>
      <c r="V343" s="30" t="str">
        <f aca="false">IF(OR(U343="期日超過",U343="一部入金・超過"),設定!$C$5-L343,"")</f>
        <v/>
      </c>
      <c r="W343" s="21" t="str">
        <f aca="false">IF(A343="","",TRIM(IF(B343="","請求日 ","")&amp;IF(C343="","取引先 ",IF(D343="コード誤り","取引先コード誤り ",""))&amp;IF(E343="","件名 ","")&amp;IF(F343="","税抜金額 ","")&amp;IF(G343="","税率 ","")&amp;IF(M343="","送付方法 ","")&amp;IF(AND(N343&lt;&gt;"",O343=""),"送付者 ","")&amp;IF(AND(I343&lt;&gt;"",L343=""),"入金期日 ","")&amp;IF(AND(N343&lt;&gt;"",P343&gt;0,S343&lt;=0,X343=""),"消込確認者 ","")))</f>
        <v/>
      </c>
      <c r="X343" s="28"/>
      <c r="Y343" s="28"/>
    </row>
    <row r="344" customFormat="false" ht="15" hidden="false" customHeight="false" outlineLevel="0" collapsed="false">
      <c r="A344" s="21" t="str">
        <f aca="false">IF(COUNTA(B344,C344,E344,F344)=0,"",設定!$C$4&amp;TEXT(ROW()-4,"00000"))</f>
        <v/>
      </c>
      <c r="B344" s="22"/>
      <c r="C344" s="23"/>
      <c r="D344" s="21" t="str">
        <f aca="false">IF(C344="","",IFERROR(INDEX(取引先マスタ!$B$5:$B$204,MATCH($C344,取引先マスタ!$A$5:$A$204,0)),"コード誤り"))</f>
        <v/>
      </c>
      <c r="E344" s="28"/>
      <c r="F344" s="18"/>
      <c r="G344" s="25"/>
      <c r="H344" s="26" t="str">
        <f aca="false">IF(OR(F344="",G344=""),"",ROUNDDOWN(F344*G344,0))</f>
        <v/>
      </c>
      <c r="I344" s="26" t="str">
        <f aca="false">IF(OR(F344="",G344=""),"",F344+H344)</f>
        <v/>
      </c>
      <c r="J344" s="27" t="str">
        <f aca="false">IF(OR(B344="",C344="",D344="コード誤り"),"",IFERROR(DATE(YEAR(B344),MONTH(B344)+INDEX(取引先マスタ!$E$5:$E$204,MATCH($C344,取引先マスタ!$A$5:$A$204,0)),MIN(INDEX(取引先マスタ!$F$5:$F$204,MATCH($C344,取引先マスタ!$A$5:$A$204,0)),DAY(EOMONTH(B344,INDEX(取引先マスタ!$E$5:$E$204,MATCH($C344,取引先マスタ!$A$5:$A$204,0)))))),""))</f>
        <v/>
      </c>
      <c r="K344" s="22"/>
      <c r="L344" s="27" t="str">
        <f aca="false">IF(K344&lt;&gt;"",K344,J344)</f>
        <v/>
      </c>
      <c r="M344" s="28"/>
      <c r="N344" s="22"/>
      <c r="O344" s="28"/>
      <c r="P344" s="26" t="str">
        <f aca="false">IF(A344="","",SUMIF(入金明細!$F$5:$F$1004,A344,入金明細!$E$5:$E$1004))</f>
        <v/>
      </c>
      <c r="Q344" s="27" t="str">
        <f aca="false">IF(OR(A344="",N(P344)=0),"",SUMPRODUCT(MAX((入金明細!$F$5:$F$1004=A344)*入金明細!$B$5:$B$1004)))</f>
        <v/>
      </c>
      <c r="R344" s="18"/>
      <c r="S344" s="26" t="str">
        <f aca="false">IF(OR(A344="",I344=""),"",I344-N(P344)-N(R344))</f>
        <v/>
      </c>
      <c r="T344" s="28"/>
      <c r="U344" s="29" t="str">
        <f aca="false">IF(A344="","",IF(T344="取消","取消",IF(W344&lt;&gt;"","要入力",IF(N344="","未送付",IF(S344=0,"入金済",IF(S344&lt;0,"過入金",IF(設定!$C$5&gt;L344,IF(P344&gt;0,"一部入金・超過","期日超過"),IF(P344&gt;0,"一部入金",IF(L344-設定!$C$5&lt;=設定!$C$6,"期日間近","入金待ち")))))))))</f>
        <v/>
      </c>
      <c r="V344" s="30" t="str">
        <f aca="false">IF(OR(U344="期日超過",U344="一部入金・超過"),設定!$C$5-L344,"")</f>
        <v/>
      </c>
      <c r="W344" s="21" t="str">
        <f aca="false">IF(A344="","",TRIM(IF(B344="","請求日 ","")&amp;IF(C344="","取引先 ",IF(D344="コード誤り","取引先コード誤り ",""))&amp;IF(E344="","件名 ","")&amp;IF(F344="","税抜金額 ","")&amp;IF(G344="","税率 ","")&amp;IF(M344="","送付方法 ","")&amp;IF(AND(N344&lt;&gt;"",O344=""),"送付者 ","")&amp;IF(AND(I344&lt;&gt;"",L344=""),"入金期日 ","")&amp;IF(AND(N344&lt;&gt;"",P344&gt;0,S344&lt;=0,X344=""),"消込確認者 ","")))</f>
        <v/>
      </c>
      <c r="X344" s="28"/>
      <c r="Y344" s="28"/>
    </row>
    <row r="345" customFormat="false" ht="15" hidden="false" customHeight="false" outlineLevel="0" collapsed="false">
      <c r="A345" s="21" t="str">
        <f aca="false">IF(COUNTA(B345,C345,E345,F345)=0,"",設定!$C$4&amp;TEXT(ROW()-4,"00000"))</f>
        <v/>
      </c>
      <c r="B345" s="22"/>
      <c r="C345" s="23"/>
      <c r="D345" s="21" t="str">
        <f aca="false">IF(C345="","",IFERROR(INDEX(取引先マスタ!$B$5:$B$204,MATCH($C345,取引先マスタ!$A$5:$A$204,0)),"コード誤り"))</f>
        <v/>
      </c>
      <c r="E345" s="28"/>
      <c r="F345" s="18"/>
      <c r="G345" s="25"/>
      <c r="H345" s="26" t="str">
        <f aca="false">IF(OR(F345="",G345=""),"",ROUNDDOWN(F345*G345,0))</f>
        <v/>
      </c>
      <c r="I345" s="26" t="str">
        <f aca="false">IF(OR(F345="",G345=""),"",F345+H345)</f>
        <v/>
      </c>
      <c r="J345" s="27" t="str">
        <f aca="false">IF(OR(B345="",C345="",D345="コード誤り"),"",IFERROR(DATE(YEAR(B345),MONTH(B345)+INDEX(取引先マスタ!$E$5:$E$204,MATCH($C345,取引先マスタ!$A$5:$A$204,0)),MIN(INDEX(取引先マスタ!$F$5:$F$204,MATCH($C345,取引先マスタ!$A$5:$A$204,0)),DAY(EOMONTH(B345,INDEX(取引先マスタ!$E$5:$E$204,MATCH($C345,取引先マスタ!$A$5:$A$204,0)))))),""))</f>
        <v/>
      </c>
      <c r="K345" s="22"/>
      <c r="L345" s="27" t="str">
        <f aca="false">IF(K345&lt;&gt;"",K345,J345)</f>
        <v/>
      </c>
      <c r="M345" s="28"/>
      <c r="N345" s="22"/>
      <c r="O345" s="28"/>
      <c r="P345" s="26" t="str">
        <f aca="false">IF(A345="","",SUMIF(入金明細!$F$5:$F$1004,A345,入金明細!$E$5:$E$1004))</f>
        <v/>
      </c>
      <c r="Q345" s="27" t="str">
        <f aca="false">IF(OR(A345="",N(P345)=0),"",SUMPRODUCT(MAX((入金明細!$F$5:$F$1004=A345)*入金明細!$B$5:$B$1004)))</f>
        <v/>
      </c>
      <c r="R345" s="18"/>
      <c r="S345" s="26" t="str">
        <f aca="false">IF(OR(A345="",I345=""),"",I345-N(P345)-N(R345))</f>
        <v/>
      </c>
      <c r="T345" s="28"/>
      <c r="U345" s="29" t="str">
        <f aca="false">IF(A345="","",IF(T345="取消","取消",IF(W345&lt;&gt;"","要入力",IF(N345="","未送付",IF(S345=0,"入金済",IF(S345&lt;0,"過入金",IF(設定!$C$5&gt;L345,IF(P345&gt;0,"一部入金・超過","期日超過"),IF(P345&gt;0,"一部入金",IF(L345-設定!$C$5&lt;=設定!$C$6,"期日間近","入金待ち")))))))))</f>
        <v/>
      </c>
      <c r="V345" s="30" t="str">
        <f aca="false">IF(OR(U345="期日超過",U345="一部入金・超過"),設定!$C$5-L345,"")</f>
        <v/>
      </c>
      <c r="W345" s="21" t="str">
        <f aca="false">IF(A345="","",TRIM(IF(B345="","請求日 ","")&amp;IF(C345="","取引先 ",IF(D345="コード誤り","取引先コード誤り ",""))&amp;IF(E345="","件名 ","")&amp;IF(F345="","税抜金額 ","")&amp;IF(G345="","税率 ","")&amp;IF(M345="","送付方法 ","")&amp;IF(AND(N345&lt;&gt;"",O345=""),"送付者 ","")&amp;IF(AND(I345&lt;&gt;"",L345=""),"入金期日 ","")&amp;IF(AND(N345&lt;&gt;"",P345&gt;0,S345&lt;=0,X345=""),"消込確認者 ","")))</f>
        <v/>
      </c>
      <c r="X345" s="28"/>
      <c r="Y345" s="28"/>
    </row>
    <row r="346" customFormat="false" ht="15" hidden="false" customHeight="false" outlineLevel="0" collapsed="false">
      <c r="A346" s="21" t="str">
        <f aca="false">IF(COUNTA(B346,C346,E346,F346)=0,"",設定!$C$4&amp;TEXT(ROW()-4,"00000"))</f>
        <v/>
      </c>
      <c r="B346" s="22"/>
      <c r="C346" s="23"/>
      <c r="D346" s="21" t="str">
        <f aca="false">IF(C346="","",IFERROR(INDEX(取引先マスタ!$B$5:$B$204,MATCH($C346,取引先マスタ!$A$5:$A$204,0)),"コード誤り"))</f>
        <v/>
      </c>
      <c r="E346" s="28"/>
      <c r="F346" s="18"/>
      <c r="G346" s="25"/>
      <c r="H346" s="26" t="str">
        <f aca="false">IF(OR(F346="",G346=""),"",ROUNDDOWN(F346*G346,0))</f>
        <v/>
      </c>
      <c r="I346" s="26" t="str">
        <f aca="false">IF(OR(F346="",G346=""),"",F346+H346)</f>
        <v/>
      </c>
      <c r="J346" s="27" t="str">
        <f aca="false">IF(OR(B346="",C346="",D346="コード誤り"),"",IFERROR(DATE(YEAR(B346),MONTH(B346)+INDEX(取引先マスタ!$E$5:$E$204,MATCH($C346,取引先マスタ!$A$5:$A$204,0)),MIN(INDEX(取引先マスタ!$F$5:$F$204,MATCH($C346,取引先マスタ!$A$5:$A$204,0)),DAY(EOMONTH(B346,INDEX(取引先マスタ!$E$5:$E$204,MATCH($C346,取引先マスタ!$A$5:$A$204,0)))))),""))</f>
        <v/>
      </c>
      <c r="K346" s="22"/>
      <c r="L346" s="27" t="str">
        <f aca="false">IF(K346&lt;&gt;"",K346,J346)</f>
        <v/>
      </c>
      <c r="M346" s="28"/>
      <c r="N346" s="22"/>
      <c r="O346" s="28"/>
      <c r="P346" s="26" t="str">
        <f aca="false">IF(A346="","",SUMIF(入金明細!$F$5:$F$1004,A346,入金明細!$E$5:$E$1004))</f>
        <v/>
      </c>
      <c r="Q346" s="27" t="str">
        <f aca="false">IF(OR(A346="",N(P346)=0),"",SUMPRODUCT(MAX((入金明細!$F$5:$F$1004=A346)*入金明細!$B$5:$B$1004)))</f>
        <v/>
      </c>
      <c r="R346" s="18"/>
      <c r="S346" s="26" t="str">
        <f aca="false">IF(OR(A346="",I346=""),"",I346-N(P346)-N(R346))</f>
        <v/>
      </c>
      <c r="T346" s="28"/>
      <c r="U346" s="29" t="str">
        <f aca="false">IF(A346="","",IF(T346="取消","取消",IF(W346&lt;&gt;"","要入力",IF(N346="","未送付",IF(S346=0,"入金済",IF(S346&lt;0,"過入金",IF(設定!$C$5&gt;L346,IF(P346&gt;0,"一部入金・超過","期日超過"),IF(P346&gt;0,"一部入金",IF(L346-設定!$C$5&lt;=設定!$C$6,"期日間近","入金待ち")))))))))</f>
        <v/>
      </c>
      <c r="V346" s="30" t="str">
        <f aca="false">IF(OR(U346="期日超過",U346="一部入金・超過"),設定!$C$5-L346,"")</f>
        <v/>
      </c>
      <c r="W346" s="21" t="str">
        <f aca="false">IF(A346="","",TRIM(IF(B346="","請求日 ","")&amp;IF(C346="","取引先 ",IF(D346="コード誤り","取引先コード誤り ",""))&amp;IF(E346="","件名 ","")&amp;IF(F346="","税抜金額 ","")&amp;IF(G346="","税率 ","")&amp;IF(M346="","送付方法 ","")&amp;IF(AND(N346&lt;&gt;"",O346=""),"送付者 ","")&amp;IF(AND(I346&lt;&gt;"",L346=""),"入金期日 ","")&amp;IF(AND(N346&lt;&gt;"",P346&gt;0,S346&lt;=0,X346=""),"消込確認者 ","")))</f>
        <v/>
      </c>
      <c r="X346" s="28"/>
      <c r="Y346" s="28"/>
    </row>
    <row r="347" customFormat="false" ht="15" hidden="false" customHeight="false" outlineLevel="0" collapsed="false">
      <c r="A347" s="21" t="str">
        <f aca="false">IF(COUNTA(B347,C347,E347,F347)=0,"",設定!$C$4&amp;TEXT(ROW()-4,"00000"))</f>
        <v/>
      </c>
      <c r="B347" s="22"/>
      <c r="C347" s="23"/>
      <c r="D347" s="21" t="str">
        <f aca="false">IF(C347="","",IFERROR(INDEX(取引先マスタ!$B$5:$B$204,MATCH($C347,取引先マスタ!$A$5:$A$204,0)),"コード誤り"))</f>
        <v/>
      </c>
      <c r="E347" s="28"/>
      <c r="F347" s="18"/>
      <c r="G347" s="25"/>
      <c r="H347" s="26" t="str">
        <f aca="false">IF(OR(F347="",G347=""),"",ROUNDDOWN(F347*G347,0))</f>
        <v/>
      </c>
      <c r="I347" s="26" t="str">
        <f aca="false">IF(OR(F347="",G347=""),"",F347+H347)</f>
        <v/>
      </c>
      <c r="J347" s="27" t="str">
        <f aca="false">IF(OR(B347="",C347="",D347="コード誤り"),"",IFERROR(DATE(YEAR(B347),MONTH(B347)+INDEX(取引先マスタ!$E$5:$E$204,MATCH($C347,取引先マスタ!$A$5:$A$204,0)),MIN(INDEX(取引先マスタ!$F$5:$F$204,MATCH($C347,取引先マスタ!$A$5:$A$204,0)),DAY(EOMONTH(B347,INDEX(取引先マスタ!$E$5:$E$204,MATCH($C347,取引先マスタ!$A$5:$A$204,0)))))),""))</f>
        <v/>
      </c>
      <c r="K347" s="22"/>
      <c r="L347" s="27" t="str">
        <f aca="false">IF(K347&lt;&gt;"",K347,J347)</f>
        <v/>
      </c>
      <c r="M347" s="28"/>
      <c r="N347" s="22"/>
      <c r="O347" s="28"/>
      <c r="P347" s="26" t="str">
        <f aca="false">IF(A347="","",SUMIF(入金明細!$F$5:$F$1004,A347,入金明細!$E$5:$E$1004))</f>
        <v/>
      </c>
      <c r="Q347" s="27" t="str">
        <f aca="false">IF(OR(A347="",N(P347)=0),"",SUMPRODUCT(MAX((入金明細!$F$5:$F$1004=A347)*入金明細!$B$5:$B$1004)))</f>
        <v/>
      </c>
      <c r="R347" s="18"/>
      <c r="S347" s="26" t="str">
        <f aca="false">IF(OR(A347="",I347=""),"",I347-N(P347)-N(R347))</f>
        <v/>
      </c>
      <c r="T347" s="28"/>
      <c r="U347" s="29" t="str">
        <f aca="false">IF(A347="","",IF(T347="取消","取消",IF(W347&lt;&gt;"","要入力",IF(N347="","未送付",IF(S347=0,"入金済",IF(S347&lt;0,"過入金",IF(設定!$C$5&gt;L347,IF(P347&gt;0,"一部入金・超過","期日超過"),IF(P347&gt;0,"一部入金",IF(L347-設定!$C$5&lt;=設定!$C$6,"期日間近","入金待ち")))))))))</f>
        <v/>
      </c>
      <c r="V347" s="30" t="str">
        <f aca="false">IF(OR(U347="期日超過",U347="一部入金・超過"),設定!$C$5-L347,"")</f>
        <v/>
      </c>
      <c r="W347" s="21" t="str">
        <f aca="false">IF(A347="","",TRIM(IF(B347="","請求日 ","")&amp;IF(C347="","取引先 ",IF(D347="コード誤り","取引先コード誤り ",""))&amp;IF(E347="","件名 ","")&amp;IF(F347="","税抜金額 ","")&amp;IF(G347="","税率 ","")&amp;IF(M347="","送付方法 ","")&amp;IF(AND(N347&lt;&gt;"",O347=""),"送付者 ","")&amp;IF(AND(I347&lt;&gt;"",L347=""),"入金期日 ","")&amp;IF(AND(N347&lt;&gt;"",P347&gt;0,S347&lt;=0,X347=""),"消込確認者 ","")))</f>
        <v/>
      </c>
      <c r="X347" s="28"/>
      <c r="Y347" s="28"/>
    </row>
    <row r="348" customFormat="false" ht="15" hidden="false" customHeight="false" outlineLevel="0" collapsed="false">
      <c r="A348" s="21" t="str">
        <f aca="false">IF(COUNTA(B348,C348,E348,F348)=0,"",設定!$C$4&amp;TEXT(ROW()-4,"00000"))</f>
        <v/>
      </c>
      <c r="B348" s="22"/>
      <c r="C348" s="23"/>
      <c r="D348" s="21" t="str">
        <f aca="false">IF(C348="","",IFERROR(INDEX(取引先マスタ!$B$5:$B$204,MATCH($C348,取引先マスタ!$A$5:$A$204,0)),"コード誤り"))</f>
        <v/>
      </c>
      <c r="E348" s="28"/>
      <c r="F348" s="18"/>
      <c r="G348" s="25"/>
      <c r="H348" s="26" t="str">
        <f aca="false">IF(OR(F348="",G348=""),"",ROUNDDOWN(F348*G348,0))</f>
        <v/>
      </c>
      <c r="I348" s="26" t="str">
        <f aca="false">IF(OR(F348="",G348=""),"",F348+H348)</f>
        <v/>
      </c>
      <c r="J348" s="27" t="str">
        <f aca="false">IF(OR(B348="",C348="",D348="コード誤り"),"",IFERROR(DATE(YEAR(B348),MONTH(B348)+INDEX(取引先マスタ!$E$5:$E$204,MATCH($C348,取引先マスタ!$A$5:$A$204,0)),MIN(INDEX(取引先マスタ!$F$5:$F$204,MATCH($C348,取引先マスタ!$A$5:$A$204,0)),DAY(EOMONTH(B348,INDEX(取引先マスタ!$E$5:$E$204,MATCH($C348,取引先マスタ!$A$5:$A$204,0)))))),""))</f>
        <v/>
      </c>
      <c r="K348" s="22"/>
      <c r="L348" s="27" t="str">
        <f aca="false">IF(K348&lt;&gt;"",K348,J348)</f>
        <v/>
      </c>
      <c r="M348" s="28"/>
      <c r="N348" s="22"/>
      <c r="O348" s="28"/>
      <c r="P348" s="26" t="str">
        <f aca="false">IF(A348="","",SUMIF(入金明細!$F$5:$F$1004,A348,入金明細!$E$5:$E$1004))</f>
        <v/>
      </c>
      <c r="Q348" s="27" t="str">
        <f aca="false">IF(OR(A348="",N(P348)=0),"",SUMPRODUCT(MAX((入金明細!$F$5:$F$1004=A348)*入金明細!$B$5:$B$1004)))</f>
        <v/>
      </c>
      <c r="R348" s="18"/>
      <c r="S348" s="26" t="str">
        <f aca="false">IF(OR(A348="",I348=""),"",I348-N(P348)-N(R348))</f>
        <v/>
      </c>
      <c r="T348" s="28"/>
      <c r="U348" s="29" t="str">
        <f aca="false">IF(A348="","",IF(T348="取消","取消",IF(W348&lt;&gt;"","要入力",IF(N348="","未送付",IF(S348=0,"入金済",IF(S348&lt;0,"過入金",IF(設定!$C$5&gt;L348,IF(P348&gt;0,"一部入金・超過","期日超過"),IF(P348&gt;0,"一部入金",IF(L348-設定!$C$5&lt;=設定!$C$6,"期日間近","入金待ち")))))))))</f>
        <v/>
      </c>
      <c r="V348" s="30" t="str">
        <f aca="false">IF(OR(U348="期日超過",U348="一部入金・超過"),設定!$C$5-L348,"")</f>
        <v/>
      </c>
      <c r="W348" s="21" t="str">
        <f aca="false">IF(A348="","",TRIM(IF(B348="","請求日 ","")&amp;IF(C348="","取引先 ",IF(D348="コード誤り","取引先コード誤り ",""))&amp;IF(E348="","件名 ","")&amp;IF(F348="","税抜金額 ","")&amp;IF(G348="","税率 ","")&amp;IF(M348="","送付方法 ","")&amp;IF(AND(N348&lt;&gt;"",O348=""),"送付者 ","")&amp;IF(AND(I348&lt;&gt;"",L348=""),"入金期日 ","")&amp;IF(AND(N348&lt;&gt;"",P348&gt;0,S348&lt;=0,X348=""),"消込確認者 ","")))</f>
        <v/>
      </c>
      <c r="X348" s="28"/>
      <c r="Y348" s="28"/>
    </row>
    <row r="349" customFormat="false" ht="15" hidden="false" customHeight="false" outlineLevel="0" collapsed="false">
      <c r="A349" s="21" t="str">
        <f aca="false">IF(COUNTA(B349,C349,E349,F349)=0,"",設定!$C$4&amp;TEXT(ROW()-4,"00000"))</f>
        <v/>
      </c>
      <c r="B349" s="22"/>
      <c r="C349" s="23"/>
      <c r="D349" s="21" t="str">
        <f aca="false">IF(C349="","",IFERROR(INDEX(取引先マスタ!$B$5:$B$204,MATCH($C349,取引先マスタ!$A$5:$A$204,0)),"コード誤り"))</f>
        <v/>
      </c>
      <c r="E349" s="28"/>
      <c r="F349" s="18"/>
      <c r="G349" s="25"/>
      <c r="H349" s="26" t="str">
        <f aca="false">IF(OR(F349="",G349=""),"",ROUNDDOWN(F349*G349,0))</f>
        <v/>
      </c>
      <c r="I349" s="26" t="str">
        <f aca="false">IF(OR(F349="",G349=""),"",F349+H349)</f>
        <v/>
      </c>
      <c r="J349" s="27" t="str">
        <f aca="false">IF(OR(B349="",C349="",D349="コード誤り"),"",IFERROR(DATE(YEAR(B349),MONTH(B349)+INDEX(取引先マスタ!$E$5:$E$204,MATCH($C349,取引先マスタ!$A$5:$A$204,0)),MIN(INDEX(取引先マスタ!$F$5:$F$204,MATCH($C349,取引先マスタ!$A$5:$A$204,0)),DAY(EOMONTH(B349,INDEX(取引先マスタ!$E$5:$E$204,MATCH($C349,取引先マスタ!$A$5:$A$204,0)))))),""))</f>
        <v/>
      </c>
      <c r="K349" s="22"/>
      <c r="L349" s="27" t="str">
        <f aca="false">IF(K349&lt;&gt;"",K349,J349)</f>
        <v/>
      </c>
      <c r="M349" s="28"/>
      <c r="N349" s="22"/>
      <c r="O349" s="28"/>
      <c r="P349" s="26" t="str">
        <f aca="false">IF(A349="","",SUMIF(入金明細!$F$5:$F$1004,A349,入金明細!$E$5:$E$1004))</f>
        <v/>
      </c>
      <c r="Q349" s="27" t="str">
        <f aca="false">IF(OR(A349="",N(P349)=0),"",SUMPRODUCT(MAX((入金明細!$F$5:$F$1004=A349)*入金明細!$B$5:$B$1004)))</f>
        <v/>
      </c>
      <c r="R349" s="18"/>
      <c r="S349" s="26" t="str">
        <f aca="false">IF(OR(A349="",I349=""),"",I349-N(P349)-N(R349))</f>
        <v/>
      </c>
      <c r="T349" s="28"/>
      <c r="U349" s="29" t="str">
        <f aca="false">IF(A349="","",IF(T349="取消","取消",IF(W349&lt;&gt;"","要入力",IF(N349="","未送付",IF(S349=0,"入金済",IF(S349&lt;0,"過入金",IF(設定!$C$5&gt;L349,IF(P349&gt;0,"一部入金・超過","期日超過"),IF(P349&gt;0,"一部入金",IF(L349-設定!$C$5&lt;=設定!$C$6,"期日間近","入金待ち")))))))))</f>
        <v/>
      </c>
      <c r="V349" s="30" t="str">
        <f aca="false">IF(OR(U349="期日超過",U349="一部入金・超過"),設定!$C$5-L349,"")</f>
        <v/>
      </c>
      <c r="W349" s="21" t="str">
        <f aca="false">IF(A349="","",TRIM(IF(B349="","請求日 ","")&amp;IF(C349="","取引先 ",IF(D349="コード誤り","取引先コード誤り ",""))&amp;IF(E349="","件名 ","")&amp;IF(F349="","税抜金額 ","")&amp;IF(G349="","税率 ","")&amp;IF(M349="","送付方法 ","")&amp;IF(AND(N349&lt;&gt;"",O349=""),"送付者 ","")&amp;IF(AND(I349&lt;&gt;"",L349=""),"入金期日 ","")&amp;IF(AND(N349&lt;&gt;"",P349&gt;0,S349&lt;=0,X349=""),"消込確認者 ","")))</f>
        <v/>
      </c>
      <c r="X349" s="28"/>
      <c r="Y349" s="28"/>
    </row>
    <row r="350" customFormat="false" ht="15" hidden="false" customHeight="false" outlineLevel="0" collapsed="false">
      <c r="A350" s="21" t="str">
        <f aca="false">IF(COUNTA(B350,C350,E350,F350)=0,"",設定!$C$4&amp;TEXT(ROW()-4,"00000"))</f>
        <v/>
      </c>
      <c r="B350" s="22"/>
      <c r="C350" s="23"/>
      <c r="D350" s="21" t="str">
        <f aca="false">IF(C350="","",IFERROR(INDEX(取引先マスタ!$B$5:$B$204,MATCH($C350,取引先マスタ!$A$5:$A$204,0)),"コード誤り"))</f>
        <v/>
      </c>
      <c r="E350" s="28"/>
      <c r="F350" s="18"/>
      <c r="G350" s="25"/>
      <c r="H350" s="26" t="str">
        <f aca="false">IF(OR(F350="",G350=""),"",ROUNDDOWN(F350*G350,0))</f>
        <v/>
      </c>
      <c r="I350" s="26" t="str">
        <f aca="false">IF(OR(F350="",G350=""),"",F350+H350)</f>
        <v/>
      </c>
      <c r="J350" s="27" t="str">
        <f aca="false">IF(OR(B350="",C350="",D350="コード誤り"),"",IFERROR(DATE(YEAR(B350),MONTH(B350)+INDEX(取引先マスタ!$E$5:$E$204,MATCH($C350,取引先マスタ!$A$5:$A$204,0)),MIN(INDEX(取引先マスタ!$F$5:$F$204,MATCH($C350,取引先マスタ!$A$5:$A$204,0)),DAY(EOMONTH(B350,INDEX(取引先マスタ!$E$5:$E$204,MATCH($C350,取引先マスタ!$A$5:$A$204,0)))))),""))</f>
        <v/>
      </c>
      <c r="K350" s="22"/>
      <c r="L350" s="27" t="str">
        <f aca="false">IF(K350&lt;&gt;"",K350,J350)</f>
        <v/>
      </c>
      <c r="M350" s="28"/>
      <c r="N350" s="22"/>
      <c r="O350" s="28"/>
      <c r="P350" s="26" t="str">
        <f aca="false">IF(A350="","",SUMIF(入金明細!$F$5:$F$1004,A350,入金明細!$E$5:$E$1004))</f>
        <v/>
      </c>
      <c r="Q350" s="27" t="str">
        <f aca="false">IF(OR(A350="",N(P350)=0),"",SUMPRODUCT(MAX((入金明細!$F$5:$F$1004=A350)*入金明細!$B$5:$B$1004)))</f>
        <v/>
      </c>
      <c r="R350" s="18"/>
      <c r="S350" s="26" t="str">
        <f aca="false">IF(OR(A350="",I350=""),"",I350-N(P350)-N(R350))</f>
        <v/>
      </c>
      <c r="T350" s="28"/>
      <c r="U350" s="29" t="str">
        <f aca="false">IF(A350="","",IF(T350="取消","取消",IF(W350&lt;&gt;"","要入力",IF(N350="","未送付",IF(S350=0,"入金済",IF(S350&lt;0,"過入金",IF(設定!$C$5&gt;L350,IF(P350&gt;0,"一部入金・超過","期日超過"),IF(P350&gt;0,"一部入金",IF(L350-設定!$C$5&lt;=設定!$C$6,"期日間近","入金待ち")))))))))</f>
        <v/>
      </c>
      <c r="V350" s="30" t="str">
        <f aca="false">IF(OR(U350="期日超過",U350="一部入金・超過"),設定!$C$5-L350,"")</f>
        <v/>
      </c>
      <c r="W350" s="21" t="str">
        <f aca="false">IF(A350="","",TRIM(IF(B350="","請求日 ","")&amp;IF(C350="","取引先 ",IF(D350="コード誤り","取引先コード誤り ",""))&amp;IF(E350="","件名 ","")&amp;IF(F350="","税抜金額 ","")&amp;IF(G350="","税率 ","")&amp;IF(M350="","送付方法 ","")&amp;IF(AND(N350&lt;&gt;"",O350=""),"送付者 ","")&amp;IF(AND(I350&lt;&gt;"",L350=""),"入金期日 ","")&amp;IF(AND(N350&lt;&gt;"",P350&gt;0,S350&lt;=0,X350=""),"消込確認者 ","")))</f>
        <v/>
      </c>
      <c r="X350" s="28"/>
      <c r="Y350" s="28"/>
    </row>
    <row r="351" customFormat="false" ht="15" hidden="false" customHeight="false" outlineLevel="0" collapsed="false">
      <c r="A351" s="21" t="str">
        <f aca="false">IF(COUNTA(B351,C351,E351,F351)=0,"",設定!$C$4&amp;TEXT(ROW()-4,"00000"))</f>
        <v/>
      </c>
      <c r="B351" s="22"/>
      <c r="C351" s="23"/>
      <c r="D351" s="21" t="str">
        <f aca="false">IF(C351="","",IFERROR(INDEX(取引先マスタ!$B$5:$B$204,MATCH($C351,取引先マスタ!$A$5:$A$204,0)),"コード誤り"))</f>
        <v/>
      </c>
      <c r="E351" s="28"/>
      <c r="F351" s="18"/>
      <c r="G351" s="25"/>
      <c r="H351" s="26" t="str">
        <f aca="false">IF(OR(F351="",G351=""),"",ROUNDDOWN(F351*G351,0))</f>
        <v/>
      </c>
      <c r="I351" s="26" t="str">
        <f aca="false">IF(OR(F351="",G351=""),"",F351+H351)</f>
        <v/>
      </c>
      <c r="J351" s="27" t="str">
        <f aca="false">IF(OR(B351="",C351="",D351="コード誤り"),"",IFERROR(DATE(YEAR(B351),MONTH(B351)+INDEX(取引先マスタ!$E$5:$E$204,MATCH($C351,取引先マスタ!$A$5:$A$204,0)),MIN(INDEX(取引先マスタ!$F$5:$F$204,MATCH($C351,取引先マスタ!$A$5:$A$204,0)),DAY(EOMONTH(B351,INDEX(取引先マスタ!$E$5:$E$204,MATCH($C351,取引先マスタ!$A$5:$A$204,0)))))),""))</f>
        <v/>
      </c>
      <c r="K351" s="22"/>
      <c r="L351" s="27" t="str">
        <f aca="false">IF(K351&lt;&gt;"",K351,J351)</f>
        <v/>
      </c>
      <c r="M351" s="28"/>
      <c r="N351" s="22"/>
      <c r="O351" s="28"/>
      <c r="P351" s="26" t="str">
        <f aca="false">IF(A351="","",SUMIF(入金明細!$F$5:$F$1004,A351,入金明細!$E$5:$E$1004))</f>
        <v/>
      </c>
      <c r="Q351" s="27" t="str">
        <f aca="false">IF(OR(A351="",N(P351)=0),"",SUMPRODUCT(MAX((入金明細!$F$5:$F$1004=A351)*入金明細!$B$5:$B$1004)))</f>
        <v/>
      </c>
      <c r="R351" s="18"/>
      <c r="S351" s="26" t="str">
        <f aca="false">IF(OR(A351="",I351=""),"",I351-N(P351)-N(R351))</f>
        <v/>
      </c>
      <c r="T351" s="28"/>
      <c r="U351" s="29" t="str">
        <f aca="false">IF(A351="","",IF(T351="取消","取消",IF(W351&lt;&gt;"","要入力",IF(N351="","未送付",IF(S351=0,"入金済",IF(S351&lt;0,"過入金",IF(設定!$C$5&gt;L351,IF(P351&gt;0,"一部入金・超過","期日超過"),IF(P351&gt;0,"一部入金",IF(L351-設定!$C$5&lt;=設定!$C$6,"期日間近","入金待ち")))))))))</f>
        <v/>
      </c>
      <c r="V351" s="30" t="str">
        <f aca="false">IF(OR(U351="期日超過",U351="一部入金・超過"),設定!$C$5-L351,"")</f>
        <v/>
      </c>
      <c r="W351" s="21" t="str">
        <f aca="false">IF(A351="","",TRIM(IF(B351="","請求日 ","")&amp;IF(C351="","取引先 ",IF(D351="コード誤り","取引先コード誤り ",""))&amp;IF(E351="","件名 ","")&amp;IF(F351="","税抜金額 ","")&amp;IF(G351="","税率 ","")&amp;IF(M351="","送付方法 ","")&amp;IF(AND(N351&lt;&gt;"",O351=""),"送付者 ","")&amp;IF(AND(I351&lt;&gt;"",L351=""),"入金期日 ","")&amp;IF(AND(N351&lt;&gt;"",P351&gt;0,S351&lt;=0,X351=""),"消込確認者 ","")))</f>
        <v/>
      </c>
      <c r="X351" s="28"/>
      <c r="Y351" s="28"/>
    </row>
    <row r="352" customFormat="false" ht="15" hidden="false" customHeight="false" outlineLevel="0" collapsed="false">
      <c r="A352" s="21" t="str">
        <f aca="false">IF(COUNTA(B352,C352,E352,F352)=0,"",設定!$C$4&amp;TEXT(ROW()-4,"00000"))</f>
        <v/>
      </c>
      <c r="B352" s="22"/>
      <c r="C352" s="23"/>
      <c r="D352" s="21" t="str">
        <f aca="false">IF(C352="","",IFERROR(INDEX(取引先マスタ!$B$5:$B$204,MATCH($C352,取引先マスタ!$A$5:$A$204,0)),"コード誤り"))</f>
        <v/>
      </c>
      <c r="E352" s="28"/>
      <c r="F352" s="18"/>
      <c r="G352" s="25"/>
      <c r="H352" s="26" t="str">
        <f aca="false">IF(OR(F352="",G352=""),"",ROUNDDOWN(F352*G352,0))</f>
        <v/>
      </c>
      <c r="I352" s="26" t="str">
        <f aca="false">IF(OR(F352="",G352=""),"",F352+H352)</f>
        <v/>
      </c>
      <c r="J352" s="27" t="str">
        <f aca="false">IF(OR(B352="",C352="",D352="コード誤り"),"",IFERROR(DATE(YEAR(B352),MONTH(B352)+INDEX(取引先マスタ!$E$5:$E$204,MATCH($C352,取引先マスタ!$A$5:$A$204,0)),MIN(INDEX(取引先マスタ!$F$5:$F$204,MATCH($C352,取引先マスタ!$A$5:$A$204,0)),DAY(EOMONTH(B352,INDEX(取引先マスタ!$E$5:$E$204,MATCH($C352,取引先マスタ!$A$5:$A$204,0)))))),""))</f>
        <v/>
      </c>
      <c r="K352" s="22"/>
      <c r="L352" s="27" t="str">
        <f aca="false">IF(K352&lt;&gt;"",K352,J352)</f>
        <v/>
      </c>
      <c r="M352" s="28"/>
      <c r="N352" s="22"/>
      <c r="O352" s="28"/>
      <c r="P352" s="26" t="str">
        <f aca="false">IF(A352="","",SUMIF(入金明細!$F$5:$F$1004,A352,入金明細!$E$5:$E$1004))</f>
        <v/>
      </c>
      <c r="Q352" s="27" t="str">
        <f aca="false">IF(OR(A352="",N(P352)=0),"",SUMPRODUCT(MAX((入金明細!$F$5:$F$1004=A352)*入金明細!$B$5:$B$1004)))</f>
        <v/>
      </c>
      <c r="R352" s="18"/>
      <c r="S352" s="26" t="str">
        <f aca="false">IF(OR(A352="",I352=""),"",I352-N(P352)-N(R352))</f>
        <v/>
      </c>
      <c r="T352" s="28"/>
      <c r="U352" s="29" t="str">
        <f aca="false">IF(A352="","",IF(T352="取消","取消",IF(W352&lt;&gt;"","要入力",IF(N352="","未送付",IF(S352=0,"入金済",IF(S352&lt;0,"過入金",IF(設定!$C$5&gt;L352,IF(P352&gt;0,"一部入金・超過","期日超過"),IF(P352&gt;0,"一部入金",IF(L352-設定!$C$5&lt;=設定!$C$6,"期日間近","入金待ち")))))))))</f>
        <v/>
      </c>
      <c r="V352" s="30" t="str">
        <f aca="false">IF(OR(U352="期日超過",U352="一部入金・超過"),設定!$C$5-L352,"")</f>
        <v/>
      </c>
      <c r="W352" s="21" t="str">
        <f aca="false">IF(A352="","",TRIM(IF(B352="","請求日 ","")&amp;IF(C352="","取引先 ",IF(D352="コード誤り","取引先コード誤り ",""))&amp;IF(E352="","件名 ","")&amp;IF(F352="","税抜金額 ","")&amp;IF(G352="","税率 ","")&amp;IF(M352="","送付方法 ","")&amp;IF(AND(N352&lt;&gt;"",O352=""),"送付者 ","")&amp;IF(AND(I352&lt;&gt;"",L352=""),"入金期日 ","")&amp;IF(AND(N352&lt;&gt;"",P352&gt;0,S352&lt;=0,X352=""),"消込確認者 ","")))</f>
        <v/>
      </c>
      <c r="X352" s="28"/>
      <c r="Y352" s="28"/>
    </row>
    <row r="353" customFormat="false" ht="15" hidden="false" customHeight="false" outlineLevel="0" collapsed="false">
      <c r="A353" s="21" t="str">
        <f aca="false">IF(COUNTA(B353,C353,E353,F353)=0,"",設定!$C$4&amp;TEXT(ROW()-4,"00000"))</f>
        <v/>
      </c>
      <c r="B353" s="22"/>
      <c r="C353" s="23"/>
      <c r="D353" s="21" t="str">
        <f aca="false">IF(C353="","",IFERROR(INDEX(取引先マスタ!$B$5:$B$204,MATCH($C353,取引先マスタ!$A$5:$A$204,0)),"コード誤り"))</f>
        <v/>
      </c>
      <c r="E353" s="28"/>
      <c r="F353" s="18"/>
      <c r="G353" s="25"/>
      <c r="H353" s="26" t="str">
        <f aca="false">IF(OR(F353="",G353=""),"",ROUNDDOWN(F353*G353,0))</f>
        <v/>
      </c>
      <c r="I353" s="26" t="str">
        <f aca="false">IF(OR(F353="",G353=""),"",F353+H353)</f>
        <v/>
      </c>
      <c r="J353" s="27" t="str">
        <f aca="false">IF(OR(B353="",C353="",D353="コード誤り"),"",IFERROR(DATE(YEAR(B353),MONTH(B353)+INDEX(取引先マスタ!$E$5:$E$204,MATCH($C353,取引先マスタ!$A$5:$A$204,0)),MIN(INDEX(取引先マスタ!$F$5:$F$204,MATCH($C353,取引先マスタ!$A$5:$A$204,0)),DAY(EOMONTH(B353,INDEX(取引先マスタ!$E$5:$E$204,MATCH($C353,取引先マスタ!$A$5:$A$204,0)))))),""))</f>
        <v/>
      </c>
      <c r="K353" s="22"/>
      <c r="L353" s="27" t="str">
        <f aca="false">IF(K353&lt;&gt;"",K353,J353)</f>
        <v/>
      </c>
      <c r="M353" s="28"/>
      <c r="N353" s="22"/>
      <c r="O353" s="28"/>
      <c r="P353" s="26" t="str">
        <f aca="false">IF(A353="","",SUMIF(入金明細!$F$5:$F$1004,A353,入金明細!$E$5:$E$1004))</f>
        <v/>
      </c>
      <c r="Q353" s="27" t="str">
        <f aca="false">IF(OR(A353="",N(P353)=0),"",SUMPRODUCT(MAX((入金明細!$F$5:$F$1004=A353)*入金明細!$B$5:$B$1004)))</f>
        <v/>
      </c>
      <c r="R353" s="18"/>
      <c r="S353" s="26" t="str">
        <f aca="false">IF(OR(A353="",I353=""),"",I353-N(P353)-N(R353))</f>
        <v/>
      </c>
      <c r="T353" s="28"/>
      <c r="U353" s="29" t="str">
        <f aca="false">IF(A353="","",IF(T353="取消","取消",IF(W353&lt;&gt;"","要入力",IF(N353="","未送付",IF(S353=0,"入金済",IF(S353&lt;0,"過入金",IF(設定!$C$5&gt;L353,IF(P353&gt;0,"一部入金・超過","期日超過"),IF(P353&gt;0,"一部入金",IF(L353-設定!$C$5&lt;=設定!$C$6,"期日間近","入金待ち")))))))))</f>
        <v/>
      </c>
      <c r="V353" s="30" t="str">
        <f aca="false">IF(OR(U353="期日超過",U353="一部入金・超過"),設定!$C$5-L353,"")</f>
        <v/>
      </c>
      <c r="W353" s="21" t="str">
        <f aca="false">IF(A353="","",TRIM(IF(B353="","請求日 ","")&amp;IF(C353="","取引先 ",IF(D353="コード誤り","取引先コード誤り ",""))&amp;IF(E353="","件名 ","")&amp;IF(F353="","税抜金額 ","")&amp;IF(G353="","税率 ","")&amp;IF(M353="","送付方法 ","")&amp;IF(AND(N353&lt;&gt;"",O353=""),"送付者 ","")&amp;IF(AND(I353&lt;&gt;"",L353=""),"入金期日 ","")&amp;IF(AND(N353&lt;&gt;"",P353&gt;0,S353&lt;=0,X353=""),"消込確認者 ","")))</f>
        <v/>
      </c>
      <c r="X353" s="28"/>
      <c r="Y353" s="28"/>
    </row>
    <row r="354" customFormat="false" ht="15" hidden="false" customHeight="false" outlineLevel="0" collapsed="false">
      <c r="A354" s="21" t="str">
        <f aca="false">IF(COUNTA(B354,C354,E354,F354)=0,"",設定!$C$4&amp;TEXT(ROW()-4,"00000"))</f>
        <v/>
      </c>
      <c r="B354" s="22"/>
      <c r="C354" s="23"/>
      <c r="D354" s="21" t="str">
        <f aca="false">IF(C354="","",IFERROR(INDEX(取引先マスタ!$B$5:$B$204,MATCH($C354,取引先マスタ!$A$5:$A$204,0)),"コード誤り"))</f>
        <v/>
      </c>
      <c r="E354" s="28"/>
      <c r="F354" s="18"/>
      <c r="G354" s="25"/>
      <c r="H354" s="26" t="str">
        <f aca="false">IF(OR(F354="",G354=""),"",ROUNDDOWN(F354*G354,0))</f>
        <v/>
      </c>
      <c r="I354" s="26" t="str">
        <f aca="false">IF(OR(F354="",G354=""),"",F354+H354)</f>
        <v/>
      </c>
      <c r="J354" s="27" t="str">
        <f aca="false">IF(OR(B354="",C354="",D354="コード誤り"),"",IFERROR(DATE(YEAR(B354),MONTH(B354)+INDEX(取引先マスタ!$E$5:$E$204,MATCH($C354,取引先マスタ!$A$5:$A$204,0)),MIN(INDEX(取引先マスタ!$F$5:$F$204,MATCH($C354,取引先マスタ!$A$5:$A$204,0)),DAY(EOMONTH(B354,INDEX(取引先マスタ!$E$5:$E$204,MATCH($C354,取引先マスタ!$A$5:$A$204,0)))))),""))</f>
        <v/>
      </c>
      <c r="K354" s="22"/>
      <c r="L354" s="27" t="str">
        <f aca="false">IF(K354&lt;&gt;"",K354,J354)</f>
        <v/>
      </c>
      <c r="M354" s="28"/>
      <c r="N354" s="22"/>
      <c r="O354" s="28"/>
      <c r="P354" s="26" t="str">
        <f aca="false">IF(A354="","",SUMIF(入金明細!$F$5:$F$1004,A354,入金明細!$E$5:$E$1004))</f>
        <v/>
      </c>
      <c r="Q354" s="27" t="str">
        <f aca="false">IF(OR(A354="",N(P354)=0),"",SUMPRODUCT(MAX((入金明細!$F$5:$F$1004=A354)*入金明細!$B$5:$B$1004)))</f>
        <v/>
      </c>
      <c r="R354" s="18"/>
      <c r="S354" s="26" t="str">
        <f aca="false">IF(OR(A354="",I354=""),"",I354-N(P354)-N(R354))</f>
        <v/>
      </c>
      <c r="T354" s="28"/>
      <c r="U354" s="29" t="str">
        <f aca="false">IF(A354="","",IF(T354="取消","取消",IF(W354&lt;&gt;"","要入力",IF(N354="","未送付",IF(S354=0,"入金済",IF(S354&lt;0,"過入金",IF(設定!$C$5&gt;L354,IF(P354&gt;0,"一部入金・超過","期日超過"),IF(P354&gt;0,"一部入金",IF(L354-設定!$C$5&lt;=設定!$C$6,"期日間近","入金待ち")))))))))</f>
        <v/>
      </c>
      <c r="V354" s="30" t="str">
        <f aca="false">IF(OR(U354="期日超過",U354="一部入金・超過"),設定!$C$5-L354,"")</f>
        <v/>
      </c>
      <c r="W354" s="21" t="str">
        <f aca="false">IF(A354="","",TRIM(IF(B354="","請求日 ","")&amp;IF(C354="","取引先 ",IF(D354="コード誤り","取引先コード誤り ",""))&amp;IF(E354="","件名 ","")&amp;IF(F354="","税抜金額 ","")&amp;IF(G354="","税率 ","")&amp;IF(M354="","送付方法 ","")&amp;IF(AND(N354&lt;&gt;"",O354=""),"送付者 ","")&amp;IF(AND(I354&lt;&gt;"",L354=""),"入金期日 ","")&amp;IF(AND(N354&lt;&gt;"",P354&gt;0,S354&lt;=0,X354=""),"消込確認者 ","")))</f>
        <v/>
      </c>
      <c r="X354" s="28"/>
      <c r="Y354" s="28"/>
    </row>
    <row r="355" customFormat="false" ht="15" hidden="false" customHeight="false" outlineLevel="0" collapsed="false">
      <c r="A355" s="21" t="str">
        <f aca="false">IF(COUNTA(B355,C355,E355,F355)=0,"",設定!$C$4&amp;TEXT(ROW()-4,"00000"))</f>
        <v/>
      </c>
      <c r="B355" s="22"/>
      <c r="C355" s="23"/>
      <c r="D355" s="21" t="str">
        <f aca="false">IF(C355="","",IFERROR(INDEX(取引先マスタ!$B$5:$B$204,MATCH($C355,取引先マスタ!$A$5:$A$204,0)),"コード誤り"))</f>
        <v/>
      </c>
      <c r="E355" s="28"/>
      <c r="F355" s="18"/>
      <c r="G355" s="25"/>
      <c r="H355" s="26" t="str">
        <f aca="false">IF(OR(F355="",G355=""),"",ROUNDDOWN(F355*G355,0))</f>
        <v/>
      </c>
      <c r="I355" s="26" t="str">
        <f aca="false">IF(OR(F355="",G355=""),"",F355+H355)</f>
        <v/>
      </c>
      <c r="J355" s="27" t="str">
        <f aca="false">IF(OR(B355="",C355="",D355="コード誤り"),"",IFERROR(DATE(YEAR(B355),MONTH(B355)+INDEX(取引先マスタ!$E$5:$E$204,MATCH($C355,取引先マスタ!$A$5:$A$204,0)),MIN(INDEX(取引先マスタ!$F$5:$F$204,MATCH($C355,取引先マスタ!$A$5:$A$204,0)),DAY(EOMONTH(B355,INDEX(取引先マスタ!$E$5:$E$204,MATCH($C355,取引先マスタ!$A$5:$A$204,0)))))),""))</f>
        <v/>
      </c>
      <c r="K355" s="22"/>
      <c r="L355" s="27" t="str">
        <f aca="false">IF(K355&lt;&gt;"",K355,J355)</f>
        <v/>
      </c>
      <c r="M355" s="28"/>
      <c r="N355" s="22"/>
      <c r="O355" s="28"/>
      <c r="P355" s="26" t="str">
        <f aca="false">IF(A355="","",SUMIF(入金明細!$F$5:$F$1004,A355,入金明細!$E$5:$E$1004))</f>
        <v/>
      </c>
      <c r="Q355" s="27" t="str">
        <f aca="false">IF(OR(A355="",N(P355)=0),"",SUMPRODUCT(MAX((入金明細!$F$5:$F$1004=A355)*入金明細!$B$5:$B$1004)))</f>
        <v/>
      </c>
      <c r="R355" s="18"/>
      <c r="S355" s="26" t="str">
        <f aca="false">IF(OR(A355="",I355=""),"",I355-N(P355)-N(R355))</f>
        <v/>
      </c>
      <c r="T355" s="28"/>
      <c r="U355" s="29" t="str">
        <f aca="false">IF(A355="","",IF(T355="取消","取消",IF(W355&lt;&gt;"","要入力",IF(N355="","未送付",IF(S355=0,"入金済",IF(S355&lt;0,"過入金",IF(設定!$C$5&gt;L355,IF(P355&gt;0,"一部入金・超過","期日超過"),IF(P355&gt;0,"一部入金",IF(L355-設定!$C$5&lt;=設定!$C$6,"期日間近","入金待ち")))))))))</f>
        <v/>
      </c>
      <c r="V355" s="30" t="str">
        <f aca="false">IF(OR(U355="期日超過",U355="一部入金・超過"),設定!$C$5-L355,"")</f>
        <v/>
      </c>
      <c r="W355" s="21" t="str">
        <f aca="false">IF(A355="","",TRIM(IF(B355="","請求日 ","")&amp;IF(C355="","取引先 ",IF(D355="コード誤り","取引先コード誤り ",""))&amp;IF(E355="","件名 ","")&amp;IF(F355="","税抜金額 ","")&amp;IF(G355="","税率 ","")&amp;IF(M355="","送付方法 ","")&amp;IF(AND(N355&lt;&gt;"",O355=""),"送付者 ","")&amp;IF(AND(I355&lt;&gt;"",L355=""),"入金期日 ","")&amp;IF(AND(N355&lt;&gt;"",P355&gt;0,S355&lt;=0,X355=""),"消込確認者 ","")))</f>
        <v/>
      </c>
      <c r="X355" s="28"/>
      <c r="Y355" s="28"/>
    </row>
    <row r="356" customFormat="false" ht="15" hidden="false" customHeight="false" outlineLevel="0" collapsed="false">
      <c r="A356" s="21" t="str">
        <f aca="false">IF(COUNTA(B356,C356,E356,F356)=0,"",設定!$C$4&amp;TEXT(ROW()-4,"00000"))</f>
        <v/>
      </c>
      <c r="B356" s="22"/>
      <c r="C356" s="23"/>
      <c r="D356" s="21" t="str">
        <f aca="false">IF(C356="","",IFERROR(INDEX(取引先マスタ!$B$5:$B$204,MATCH($C356,取引先マスタ!$A$5:$A$204,0)),"コード誤り"))</f>
        <v/>
      </c>
      <c r="E356" s="28"/>
      <c r="F356" s="18"/>
      <c r="G356" s="25"/>
      <c r="H356" s="26" t="str">
        <f aca="false">IF(OR(F356="",G356=""),"",ROUNDDOWN(F356*G356,0))</f>
        <v/>
      </c>
      <c r="I356" s="26" t="str">
        <f aca="false">IF(OR(F356="",G356=""),"",F356+H356)</f>
        <v/>
      </c>
      <c r="J356" s="27" t="str">
        <f aca="false">IF(OR(B356="",C356="",D356="コード誤り"),"",IFERROR(DATE(YEAR(B356),MONTH(B356)+INDEX(取引先マスタ!$E$5:$E$204,MATCH($C356,取引先マスタ!$A$5:$A$204,0)),MIN(INDEX(取引先マスタ!$F$5:$F$204,MATCH($C356,取引先マスタ!$A$5:$A$204,0)),DAY(EOMONTH(B356,INDEX(取引先マスタ!$E$5:$E$204,MATCH($C356,取引先マスタ!$A$5:$A$204,0)))))),""))</f>
        <v/>
      </c>
      <c r="K356" s="22"/>
      <c r="L356" s="27" t="str">
        <f aca="false">IF(K356&lt;&gt;"",K356,J356)</f>
        <v/>
      </c>
      <c r="M356" s="28"/>
      <c r="N356" s="22"/>
      <c r="O356" s="28"/>
      <c r="P356" s="26" t="str">
        <f aca="false">IF(A356="","",SUMIF(入金明細!$F$5:$F$1004,A356,入金明細!$E$5:$E$1004))</f>
        <v/>
      </c>
      <c r="Q356" s="27" t="str">
        <f aca="false">IF(OR(A356="",N(P356)=0),"",SUMPRODUCT(MAX((入金明細!$F$5:$F$1004=A356)*入金明細!$B$5:$B$1004)))</f>
        <v/>
      </c>
      <c r="R356" s="18"/>
      <c r="S356" s="26" t="str">
        <f aca="false">IF(OR(A356="",I356=""),"",I356-N(P356)-N(R356))</f>
        <v/>
      </c>
      <c r="T356" s="28"/>
      <c r="U356" s="29" t="str">
        <f aca="false">IF(A356="","",IF(T356="取消","取消",IF(W356&lt;&gt;"","要入力",IF(N356="","未送付",IF(S356=0,"入金済",IF(S356&lt;0,"過入金",IF(設定!$C$5&gt;L356,IF(P356&gt;0,"一部入金・超過","期日超過"),IF(P356&gt;0,"一部入金",IF(L356-設定!$C$5&lt;=設定!$C$6,"期日間近","入金待ち")))))))))</f>
        <v/>
      </c>
      <c r="V356" s="30" t="str">
        <f aca="false">IF(OR(U356="期日超過",U356="一部入金・超過"),設定!$C$5-L356,"")</f>
        <v/>
      </c>
      <c r="W356" s="21" t="str">
        <f aca="false">IF(A356="","",TRIM(IF(B356="","請求日 ","")&amp;IF(C356="","取引先 ",IF(D356="コード誤り","取引先コード誤り ",""))&amp;IF(E356="","件名 ","")&amp;IF(F356="","税抜金額 ","")&amp;IF(G356="","税率 ","")&amp;IF(M356="","送付方法 ","")&amp;IF(AND(N356&lt;&gt;"",O356=""),"送付者 ","")&amp;IF(AND(I356&lt;&gt;"",L356=""),"入金期日 ","")&amp;IF(AND(N356&lt;&gt;"",P356&gt;0,S356&lt;=0,X356=""),"消込確認者 ","")))</f>
        <v/>
      </c>
      <c r="X356" s="28"/>
      <c r="Y356" s="28"/>
    </row>
    <row r="357" customFormat="false" ht="15" hidden="false" customHeight="false" outlineLevel="0" collapsed="false">
      <c r="A357" s="21" t="str">
        <f aca="false">IF(COUNTA(B357,C357,E357,F357)=0,"",設定!$C$4&amp;TEXT(ROW()-4,"00000"))</f>
        <v/>
      </c>
      <c r="B357" s="22"/>
      <c r="C357" s="23"/>
      <c r="D357" s="21" t="str">
        <f aca="false">IF(C357="","",IFERROR(INDEX(取引先マスタ!$B$5:$B$204,MATCH($C357,取引先マスタ!$A$5:$A$204,0)),"コード誤り"))</f>
        <v/>
      </c>
      <c r="E357" s="28"/>
      <c r="F357" s="18"/>
      <c r="G357" s="25"/>
      <c r="H357" s="26" t="str">
        <f aca="false">IF(OR(F357="",G357=""),"",ROUNDDOWN(F357*G357,0))</f>
        <v/>
      </c>
      <c r="I357" s="26" t="str">
        <f aca="false">IF(OR(F357="",G357=""),"",F357+H357)</f>
        <v/>
      </c>
      <c r="J357" s="27" t="str">
        <f aca="false">IF(OR(B357="",C357="",D357="コード誤り"),"",IFERROR(DATE(YEAR(B357),MONTH(B357)+INDEX(取引先マスタ!$E$5:$E$204,MATCH($C357,取引先マスタ!$A$5:$A$204,0)),MIN(INDEX(取引先マスタ!$F$5:$F$204,MATCH($C357,取引先マスタ!$A$5:$A$204,0)),DAY(EOMONTH(B357,INDEX(取引先マスタ!$E$5:$E$204,MATCH($C357,取引先マスタ!$A$5:$A$204,0)))))),""))</f>
        <v/>
      </c>
      <c r="K357" s="22"/>
      <c r="L357" s="27" t="str">
        <f aca="false">IF(K357&lt;&gt;"",K357,J357)</f>
        <v/>
      </c>
      <c r="M357" s="28"/>
      <c r="N357" s="22"/>
      <c r="O357" s="28"/>
      <c r="P357" s="26" t="str">
        <f aca="false">IF(A357="","",SUMIF(入金明細!$F$5:$F$1004,A357,入金明細!$E$5:$E$1004))</f>
        <v/>
      </c>
      <c r="Q357" s="27" t="str">
        <f aca="false">IF(OR(A357="",N(P357)=0),"",SUMPRODUCT(MAX((入金明細!$F$5:$F$1004=A357)*入金明細!$B$5:$B$1004)))</f>
        <v/>
      </c>
      <c r="R357" s="18"/>
      <c r="S357" s="26" t="str">
        <f aca="false">IF(OR(A357="",I357=""),"",I357-N(P357)-N(R357))</f>
        <v/>
      </c>
      <c r="T357" s="28"/>
      <c r="U357" s="29" t="str">
        <f aca="false">IF(A357="","",IF(T357="取消","取消",IF(W357&lt;&gt;"","要入力",IF(N357="","未送付",IF(S357=0,"入金済",IF(S357&lt;0,"過入金",IF(設定!$C$5&gt;L357,IF(P357&gt;0,"一部入金・超過","期日超過"),IF(P357&gt;0,"一部入金",IF(L357-設定!$C$5&lt;=設定!$C$6,"期日間近","入金待ち")))))))))</f>
        <v/>
      </c>
      <c r="V357" s="30" t="str">
        <f aca="false">IF(OR(U357="期日超過",U357="一部入金・超過"),設定!$C$5-L357,"")</f>
        <v/>
      </c>
      <c r="W357" s="21" t="str">
        <f aca="false">IF(A357="","",TRIM(IF(B357="","請求日 ","")&amp;IF(C357="","取引先 ",IF(D357="コード誤り","取引先コード誤り ",""))&amp;IF(E357="","件名 ","")&amp;IF(F357="","税抜金額 ","")&amp;IF(G357="","税率 ","")&amp;IF(M357="","送付方法 ","")&amp;IF(AND(N357&lt;&gt;"",O357=""),"送付者 ","")&amp;IF(AND(I357&lt;&gt;"",L357=""),"入金期日 ","")&amp;IF(AND(N357&lt;&gt;"",P357&gt;0,S357&lt;=0,X357=""),"消込確認者 ","")))</f>
        <v/>
      </c>
      <c r="X357" s="28"/>
      <c r="Y357" s="28"/>
    </row>
    <row r="358" customFormat="false" ht="15" hidden="false" customHeight="false" outlineLevel="0" collapsed="false">
      <c r="A358" s="21" t="str">
        <f aca="false">IF(COUNTA(B358,C358,E358,F358)=0,"",設定!$C$4&amp;TEXT(ROW()-4,"00000"))</f>
        <v/>
      </c>
      <c r="B358" s="22"/>
      <c r="C358" s="23"/>
      <c r="D358" s="21" t="str">
        <f aca="false">IF(C358="","",IFERROR(INDEX(取引先マスタ!$B$5:$B$204,MATCH($C358,取引先マスタ!$A$5:$A$204,0)),"コード誤り"))</f>
        <v/>
      </c>
      <c r="E358" s="28"/>
      <c r="F358" s="18"/>
      <c r="G358" s="25"/>
      <c r="H358" s="26" t="str">
        <f aca="false">IF(OR(F358="",G358=""),"",ROUNDDOWN(F358*G358,0))</f>
        <v/>
      </c>
      <c r="I358" s="26" t="str">
        <f aca="false">IF(OR(F358="",G358=""),"",F358+H358)</f>
        <v/>
      </c>
      <c r="J358" s="27" t="str">
        <f aca="false">IF(OR(B358="",C358="",D358="コード誤り"),"",IFERROR(DATE(YEAR(B358),MONTH(B358)+INDEX(取引先マスタ!$E$5:$E$204,MATCH($C358,取引先マスタ!$A$5:$A$204,0)),MIN(INDEX(取引先マスタ!$F$5:$F$204,MATCH($C358,取引先マスタ!$A$5:$A$204,0)),DAY(EOMONTH(B358,INDEX(取引先マスタ!$E$5:$E$204,MATCH($C358,取引先マスタ!$A$5:$A$204,0)))))),""))</f>
        <v/>
      </c>
      <c r="K358" s="22"/>
      <c r="L358" s="27" t="str">
        <f aca="false">IF(K358&lt;&gt;"",K358,J358)</f>
        <v/>
      </c>
      <c r="M358" s="28"/>
      <c r="N358" s="22"/>
      <c r="O358" s="28"/>
      <c r="P358" s="26" t="str">
        <f aca="false">IF(A358="","",SUMIF(入金明細!$F$5:$F$1004,A358,入金明細!$E$5:$E$1004))</f>
        <v/>
      </c>
      <c r="Q358" s="27" t="str">
        <f aca="false">IF(OR(A358="",N(P358)=0),"",SUMPRODUCT(MAX((入金明細!$F$5:$F$1004=A358)*入金明細!$B$5:$B$1004)))</f>
        <v/>
      </c>
      <c r="R358" s="18"/>
      <c r="S358" s="26" t="str">
        <f aca="false">IF(OR(A358="",I358=""),"",I358-N(P358)-N(R358))</f>
        <v/>
      </c>
      <c r="T358" s="28"/>
      <c r="U358" s="29" t="str">
        <f aca="false">IF(A358="","",IF(T358="取消","取消",IF(W358&lt;&gt;"","要入力",IF(N358="","未送付",IF(S358=0,"入金済",IF(S358&lt;0,"過入金",IF(設定!$C$5&gt;L358,IF(P358&gt;0,"一部入金・超過","期日超過"),IF(P358&gt;0,"一部入金",IF(L358-設定!$C$5&lt;=設定!$C$6,"期日間近","入金待ち")))))))))</f>
        <v/>
      </c>
      <c r="V358" s="30" t="str">
        <f aca="false">IF(OR(U358="期日超過",U358="一部入金・超過"),設定!$C$5-L358,"")</f>
        <v/>
      </c>
      <c r="W358" s="21" t="str">
        <f aca="false">IF(A358="","",TRIM(IF(B358="","請求日 ","")&amp;IF(C358="","取引先 ",IF(D358="コード誤り","取引先コード誤り ",""))&amp;IF(E358="","件名 ","")&amp;IF(F358="","税抜金額 ","")&amp;IF(G358="","税率 ","")&amp;IF(M358="","送付方法 ","")&amp;IF(AND(N358&lt;&gt;"",O358=""),"送付者 ","")&amp;IF(AND(I358&lt;&gt;"",L358=""),"入金期日 ","")&amp;IF(AND(N358&lt;&gt;"",P358&gt;0,S358&lt;=0,X358=""),"消込確認者 ","")))</f>
        <v/>
      </c>
      <c r="X358" s="28"/>
      <c r="Y358" s="28"/>
    </row>
    <row r="359" customFormat="false" ht="15" hidden="false" customHeight="false" outlineLevel="0" collapsed="false">
      <c r="A359" s="21" t="str">
        <f aca="false">IF(COUNTA(B359,C359,E359,F359)=0,"",設定!$C$4&amp;TEXT(ROW()-4,"00000"))</f>
        <v/>
      </c>
      <c r="B359" s="22"/>
      <c r="C359" s="23"/>
      <c r="D359" s="21" t="str">
        <f aca="false">IF(C359="","",IFERROR(INDEX(取引先マスタ!$B$5:$B$204,MATCH($C359,取引先マスタ!$A$5:$A$204,0)),"コード誤り"))</f>
        <v/>
      </c>
      <c r="E359" s="28"/>
      <c r="F359" s="18"/>
      <c r="G359" s="25"/>
      <c r="H359" s="26" t="str">
        <f aca="false">IF(OR(F359="",G359=""),"",ROUNDDOWN(F359*G359,0))</f>
        <v/>
      </c>
      <c r="I359" s="26" t="str">
        <f aca="false">IF(OR(F359="",G359=""),"",F359+H359)</f>
        <v/>
      </c>
      <c r="J359" s="27" t="str">
        <f aca="false">IF(OR(B359="",C359="",D359="コード誤り"),"",IFERROR(DATE(YEAR(B359),MONTH(B359)+INDEX(取引先マスタ!$E$5:$E$204,MATCH($C359,取引先マスタ!$A$5:$A$204,0)),MIN(INDEX(取引先マスタ!$F$5:$F$204,MATCH($C359,取引先マスタ!$A$5:$A$204,0)),DAY(EOMONTH(B359,INDEX(取引先マスタ!$E$5:$E$204,MATCH($C359,取引先マスタ!$A$5:$A$204,0)))))),""))</f>
        <v/>
      </c>
      <c r="K359" s="22"/>
      <c r="L359" s="27" t="str">
        <f aca="false">IF(K359&lt;&gt;"",K359,J359)</f>
        <v/>
      </c>
      <c r="M359" s="28"/>
      <c r="N359" s="22"/>
      <c r="O359" s="28"/>
      <c r="P359" s="26" t="str">
        <f aca="false">IF(A359="","",SUMIF(入金明細!$F$5:$F$1004,A359,入金明細!$E$5:$E$1004))</f>
        <v/>
      </c>
      <c r="Q359" s="27" t="str">
        <f aca="false">IF(OR(A359="",N(P359)=0),"",SUMPRODUCT(MAX((入金明細!$F$5:$F$1004=A359)*入金明細!$B$5:$B$1004)))</f>
        <v/>
      </c>
      <c r="R359" s="18"/>
      <c r="S359" s="26" t="str">
        <f aca="false">IF(OR(A359="",I359=""),"",I359-N(P359)-N(R359))</f>
        <v/>
      </c>
      <c r="T359" s="28"/>
      <c r="U359" s="29" t="str">
        <f aca="false">IF(A359="","",IF(T359="取消","取消",IF(W359&lt;&gt;"","要入力",IF(N359="","未送付",IF(S359=0,"入金済",IF(S359&lt;0,"過入金",IF(設定!$C$5&gt;L359,IF(P359&gt;0,"一部入金・超過","期日超過"),IF(P359&gt;0,"一部入金",IF(L359-設定!$C$5&lt;=設定!$C$6,"期日間近","入金待ち")))))))))</f>
        <v/>
      </c>
      <c r="V359" s="30" t="str">
        <f aca="false">IF(OR(U359="期日超過",U359="一部入金・超過"),設定!$C$5-L359,"")</f>
        <v/>
      </c>
      <c r="W359" s="21" t="str">
        <f aca="false">IF(A359="","",TRIM(IF(B359="","請求日 ","")&amp;IF(C359="","取引先 ",IF(D359="コード誤り","取引先コード誤り ",""))&amp;IF(E359="","件名 ","")&amp;IF(F359="","税抜金額 ","")&amp;IF(G359="","税率 ","")&amp;IF(M359="","送付方法 ","")&amp;IF(AND(N359&lt;&gt;"",O359=""),"送付者 ","")&amp;IF(AND(I359&lt;&gt;"",L359=""),"入金期日 ","")&amp;IF(AND(N359&lt;&gt;"",P359&gt;0,S359&lt;=0,X359=""),"消込確認者 ","")))</f>
        <v/>
      </c>
      <c r="X359" s="28"/>
      <c r="Y359" s="28"/>
    </row>
    <row r="360" customFormat="false" ht="15" hidden="false" customHeight="false" outlineLevel="0" collapsed="false">
      <c r="A360" s="21" t="str">
        <f aca="false">IF(COUNTA(B360,C360,E360,F360)=0,"",設定!$C$4&amp;TEXT(ROW()-4,"00000"))</f>
        <v/>
      </c>
      <c r="B360" s="22"/>
      <c r="C360" s="23"/>
      <c r="D360" s="21" t="str">
        <f aca="false">IF(C360="","",IFERROR(INDEX(取引先マスタ!$B$5:$B$204,MATCH($C360,取引先マスタ!$A$5:$A$204,0)),"コード誤り"))</f>
        <v/>
      </c>
      <c r="E360" s="28"/>
      <c r="F360" s="18"/>
      <c r="G360" s="25"/>
      <c r="H360" s="26" t="str">
        <f aca="false">IF(OR(F360="",G360=""),"",ROUNDDOWN(F360*G360,0))</f>
        <v/>
      </c>
      <c r="I360" s="26" t="str">
        <f aca="false">IF(OR(F360="",G360=""),"",F360+H360)</f>
        <v/>
      </c>
      <c r="J360" s="27" t="str">
        <f aca="false">IF(OR(B360="",C360="",D360="コード誤り"),"",IFERROR(DATE(YEAR(B360),MONTH(B360)+INDEX(取引先マスタ!$E$5:$E$204,MATCH($C360,取引先マスタ!$A$5:$A$204,0)),MIN(INDEX(取引先マスタ!$F$5:$F$204,MATCH($C360,取引先マスタ!$A$5:$A$204,0)),DAY(EOMONTH(B360,INDEX(取引先マスタ!$E$5:$E$204,MATCH($C360,取引先マスタ!$A$5:$A$204,0)))))),""))</f>
        <v/>
      </c>
      <c r="K360" s="22"/>
      <c r="L360" s="27" t="str">
        <f aca="false">IF(K360&lt;&gt;"",K360,J360)</f>
        <v/>
      </c>
      <c r="M360" s="28"/>
      <c r="N360" s="22"/>
      <c r="O360" s="28"/>
      <c r="P360" s="26" t="str">
        <f aca="false">IF(A360="","",SUMIF(入金明細!$F$5:$F$1004,A360,入金明細!$E$5:$E$1004))</f>
        <v/>
      </c>
      <c r="Q360" s="27" t="str">
        <f aca="false">IF(OR(A360="",N(P360)=0),"",SUMPRODUCT(MAX((入金明細!$F$5:$F$1004=A360)*入金明細!$B$5:$B$1004)))</f>
        <v/>
      </c>
      <c r="R360" s="18"/>
      <c r="S360" s="26" t="str">
        <f aca="false">IF(OR(A360="",I360=""),"",I360-N(P360)-N(R360))</f>
        <v/>
      </c>
      <c r="T360" s="28"/>
      <c r="U360" s="29" t="str">
        <f aca="false">IF(A360="","",IF(T360="取消","取消",IF(W360&lt;&gt;"","要入力",IF(N360="","未送付",IF(S360=0,"入金済",IF(S360&lt;0,"過入金",IF(設定!$C$5&gt;L360,IF(P360&gt;0,"一部入金・超過","期日超過"),IF(P360&gt;0,"一部入金",IF(L360-設定!$C$5&lt;=設定!$C$6,"期日間近","入金待ち")))))))))</f>
        <v/>
      </c>
      <c r="V360" s="30" t="str">
        <f aca="false">IF(OR(U360="期日超過",U360="一部入金・超過"),設定!$C$5-L360,"")</f>
        <v/>
      </c>
      <c r="W360" s="21" t="str">
        <f aca="false">IF(A360="","",TRIM(IF(B360="","請求日 ","")&amp;IF(C360="","取引先 ",IF(D360="コード誤り","取引先コード誤り ",""))&amp;IF(E360="","件名 ","")&amp;IF(F360="","税抜金額 ","")&amp;IF(G360="","税率 ","")&amp;IF(M360="","送付方法 ","")&amp;IF(AND(N360&lt;&gt;"",O360=""),"送付者 ","")&amp;IF(AND(I360&lt;&gt;"",L360=""),"入金期日 ","")&amp;IF(AND(N360&lt;&gt;"",P360&gt;0,S360&lt;=0,X360=""),"消込確認者 ","")))</f>
        <v/>
      </c>
      <c r="X360" s="28"/>
      <c r="Y360" s="28"/>
    </row>
    <row r="361" customFormat="false" ht="15" hidden="false" customHeight="false" outlineLevel="0" collapsed="false">
      <c r="A361" s="21" t="str">
        <f aca="false">IF(COUNTA(B361,C361,E361,F361)=0,"",設定!$C$4&amp;TEXT(ROW()-4,"00000"))</f>
        <v/>
      </c>
      <c r="B361" s="22"/>
      <c r="C361" s="23"/>
      <c r="D361" s="21" t="str">
        <f aca="false">IF(C361="","",IFERROR(INDEX(取引先マスタ!$B$5:$B$204,MATCH($C361,取引先マスタ!$A$5:$A$204,0)),"コード誤り"))</f>
        <v/>
      </c>
      <c r="E361" s="28"/>
      <c r="F361" s="18"/>
      <c r="G361" s="25"/>
      <c r="H361" s="26" t="str">
        <f aca="false">IF(OR(F361="",G361=""),"",ROUNDDOWN(F361*G361,0))</f>
        <v/>
      </c>
      <c r="I361" s="26" t="str">
        <f aca="false">IF(OR(F361="",G361=""),"",F361+H361)</f>
        <v/>
      </c>
      <c r="J361" s="27" t="str">
        <f aca="false">IF(OR(B361="",C361="",D361="コード誤り"),"",IFERROR(DATE(YEAR(B361),MONTH(B361)+INDEX(取引先マスタ!$E$5:$E$204,MATCH($C361,取引先マスタ!$A$5:$A$204,0)),MIN(INDEX(取引先マスタ!$F$5:$F$204,MATCH($C361,取引先マスタ!$A$5:$A$204,0)),DAY(EOMONTH(B361,INDEX(取引先マスタ!$E$5:$E$204,MATCH($C361,取引先マスタ!$A$5:$A$204,0)))))),""))</f>
        <v/>
      </c>
      <c r="K361" s="22"/>
      <c r="L361" s="27" t="str">
        <f aca="false">IF(K361&lt;&gt;"",K361,J361)</f>
        <v/>
      </c>
      <c r="M361" s="28"/>
      <c r="N361" s="22"/>
      <c r="O361" s="28"/>
      <c r="P361" s="26" t="str">
        <f aca="false">IF(A361="","",SUMIF(入金明細!$F$5:$F$1004,A361,入金明細!$E$5:$E$1004))</f>
        <v/>
      </c>
      <c r="Q361" s="27" t="str">
        <f aca="false">IF(OR(A361="",N(P361)=0),"",SUMPRODUCT(MAX((入金明細!$F$5:$F$1004=A361)*入金明細!$B$5:$B$1004)))</f>
        <v/>
      </c>
      <c r="R361" s="18"/>
      <c r="S361" s="26" t="str">
        <f aca="false">IF(OR(A361="",I361=""),"",I361-N(P361)-N(R361))</f>
        <v/>
      </c>
      <c r="T361" s="28"/>
      <c r="U361" s="29" t="str">
        <f aca="false">IF(A361="","",IF(T361="取消","取消",IF(W361&lt;&gt;"","要入力",IF(N361="","未送付",IF(S361=0,"入金済",IF(S361&lt;0,"過入金",IF(設定!$C$5&gt;L361,IF(P361&gt;0,"一部入金・超過","期日超過"),IF(P361&gt;0,"一部入金",IF(L361-設定!$C$5&lt;=設定!$C$6,"期日間近","入金待ち")))))))))</f>
        <v/>
      </c>
      <c r="V361" s="30" t="str">
        <f aca="false">IF(OR(U361="期日超過",U361="一部入金・超過"),設定!$C$5-L361,"")</f>
        <v/>
      </c>
      <c r="W361" s="21" t="str">
        <f aca="false">IF(A361="","",TRIM(IF(B361="","請求日 ","")&amp;IF(C361="","取引先 ",IF(D361="コード誤り","取引先コード誤り ",""))&amp;IF(E361="","件名 ","")&amp;IF(F361="","税抜金額 ","")&amp;IF(G361="","税率 ","")&amp;IF(M361="","送付方法 ","")&amp;IF(AND(N361&lt;&gt;"",O361=""),"送付者 ","")&amp;IF(AND(I361&lt;&gt;"",L361=""),"入金期日 ","")&amp;IF(AND(N361&lt;&gt;"",P361&gt;0,S361&lt;=0,X361=""),"消込確認者 ","")))</f>
        <v/>
      </c>
      <c r="X361" s="28"/>
      <c r="Y361" s="28"/>
    </row>
    <row r="362" customFormat="false" ht="15" hidden="false" customHeight="false" outlineLevel="0" collapsed="false">
      <c r="A362" s="21" t="str">
        <f aca="false">IF(COUNTA(B362,C362,E362,F362)=0,"",設定!$C$4&amp;TEXT(ROW()-4,"00000"))</f>
        <v/>
      </c>
      <c r="B362" s="22"/>
      <c r="C362" s="23"/>
      <c r="D362" s="21" t="str">
        <f aca="false">IF(C362="","",IFERROR(INDEX(取引先マスタ!$B$5:$B$204,MATCH($C362,取引先マスタ!$A$5:$A$204,0)),"コード誤り"))</f>
        <v/>
      </c>
      <c r="E362" s="28"/>
      <c r="F362" s="18"/>
      <c r="G362" s="25"/>
      <c r="H362" s="26" t="str">
        <f aca="false">IF(OR(F362="",G362=""),"",ROUNDDOWN(F362*G362,0))</f>
        <v/>
      </c>
      <c r="I362" s="26" t="str">
        <f aca="false">IF(OR(F362="",G362=""),"",F362+H362)</f>
        <v/>
      </c>
      <c r="J362" s="27" t="str">
        <f aca="false">IF(OR(B362="",C362="",D362="コード誤り"),"",IFERROR(DATE(YEAR(B362),MONTH(B362)+INDEX(取引先マスタ!$E$5:$E$204,MATCH($C362,取引先マスタ!$A$5:$A$204,0)),MIN(INDEX(取引先マスタ!$F$5:$F$204,MATCH($C362,取引先マスタ!$A$5:$A$204,0)),DAY(EOMONTH(B362,INDEX(取引先マスタ!$E$5:$E$204,MATCH($C362,取引先マスタ!$A$5:$A$204,0)))))),""))</f>
        <v/>
      </c>
      <c r="K362" s="22"/>
      <c r="L362" s="27" t="str">
        <f aca="false">IF(K362&lt;&gt;"",K362,J362)</f>
        <v/>
      </c>
      <c r="M362" s="28"/>
      <c r="N362" s="22"/>
      <c r="O362" s="28"/>
      <c r="P362" s="26" t="str">
        <f aca="false">IF(A362="","",SUMIF(入金明細!$F$5:$F$1004,A362,入金明細!$E$5:$E$1004))</f>
        <v/>
      </c>
      <c r="Q362" s="27" t="str">
        <f aca="false">IF(OR(A362="",N(P362)=0),"",SUMPRODUCT(MAX((入金明細!$F$5:$F$1004=A362)*入金明細!$B$5:$B$1004)))</f>
        <v/>
      </c>
      <c r="R362" s="18"/>
      <c r="S362" s="26" t="str">
        <f aca="false">IF(OR(A362="",I362=""),"",I362-N(P362)-N(R362))</f>
        <v/>
      </c>
      <c r="T362" s="28"/>
      <c r="U362" s="29" t="str">
        <f aca="false">IF(A362="","",IF(T362="取消","取消",IF(W362&lt;&gt;"","要入力",IF(N362="","未送付",IF(S362=0,"入金済",IF(S362&lt;0,"過入金",IF(設定!$C$5&gt;L362,IF(P362&gt;0,"一部入金・超過","期日超過"),IF(P362&gt;0,"一部入金",IF(L362-設定!$C$5&lt;=設定!$C$6,"期日間近","入金待ち")))))))))</f>
        <v/>
      </c>
      <c r="V362" s="30" t="str">
        <f aca="false">IF(OR(U362="期日超過",U362="一部入金・超過"),設定!$C$5-L362,"")</f>
        <v/>
      </c>
      <c r="W362" s="21" t="str">
        <f aca="false">IF(A362="","",TRIM(IF(B362="","請求日 ","")&amp;IF(C362="","取引先 ",IF(D362="コード誤り","取引先コード誤り ",""))&amp;IF(E362="","件名 ","")&amp;IF(F362="","税抜金額 ","")&amp;IF(G362="","税率 ","")&amp;IF(M362="","送付方法 ","")&amp;IF(AND(N362&lt;&gt;"",O362=""),"送付者 ","")&amp;IF(AND(I362&lt;&gt;"",L362=""),"入金期日 ","")&amp;IF(AND(N362&lt;&gt;"",P362&gt;0,S362&lt;=0,X362=""),"消込確認者 ","")))</f>
        <v/>
      </c>
      <c r="X362" s="28"/>
      <c r="Y362" s="28"/>
    </row>
    <row r="363" customFormat="false" ht="15" hidden="false" customHeight="false" outlineLevel="0" collapsed="false">
      <c r="A363" s="21" t="str">
        <f aca="false">IF(COUNTA(B363,C363,E363,F363)=0,"",設定!$C$4&amp;TEXT(ROW()-4,"00000"))</f>
        <v/>
      </c>
      <c r="B363" s="22"/>
      <c r="C363" s="23"/>
      <c r="D363" s="21" t="str">
        <f aca="false">IF(C363="","",IFERROR(INDEX(取引先マスタ!$B$5:$B$204,MATCH($C363,取引先マスタ!$A$5:$A$204,0)),"コード誤り"))</f>
        <v/>
      </c>
      <c r="E363" s="28"/>
      <c r="F363" s="18"/>
      <c r="G363" s="25"/>
      <c r="H363" s="26" t="str">
        <f aca="false">IF(OR(F363="",G363=""),"",ROUNDDOWN(F363*G363,0))</f>
        <v/>
      </c>
      <c r="I363" s="26" t="str">
        <f aca="false">IF(OR(F363="",G363=""),"",F363+H363)</f>
        <v/>
      </c>
      <c r="J363" s="27" t="str">
        <f aca="false">IF(OR(B363="",C363="",D363="コード誤り"),"",IFERROR(DATE(YEAR(B363),MONTH(B363)+INDEX(取引先マスタ!$E$5:$E$204,MATCH($C363,取引先マスタ!$A$5:$A$204,0)),MIN(INDEX(取引先マスタ!$F$5:$F$204,MATCH($C363,取引先マスタ!$A$5:$A$204,0)),DAY(EOMONTH(B363,INDEX(取引先マスタ!$E$5:$E$204,MATCH($C363,取引先マスタ!$A$5:$A$204,0)))))),""))</f>
        <v/>
      </c>
      <c r="K363" s="22"/>
      <c r="L363" s="27" t="str">
        <f aca="false">IF(K363&lt;&gt;"",K363,J363)</f>
        <v/>
      </c>
      <c r="M363" s="28"/>
      <c r="N363" s="22"/>
      <c r="O363" s="28"/>
      <c r="P363" s="26" t="str">
        <f aca="false">IF(A363="","",SUMIF(入金明細!$F$5:$F$1004,A363,入金明細!$E$5:$E$1004))</f>
        <v/>
      </c>
      <c r="Q363" s="27" t="str">
        <f aca="false">IF(OR(A363="",N(P363)=0),"",SUMPRODUCT(MAX((入金明細!$F$5:$F$1004=A363)*入金明細!$B$5:$B$1004)))</f>
        <v/>
      </c>
      <c r="R363" s="18"/>
      <c r="S363" s="26" t="str">
        <f aca="false">IF(OR(A363="",I363=""),"",I363-N(P363)-N(R363))</f>
        <v/>
      </c>
      <c r="T363" s="28"/>
      <c r="U363" s="29" t="str">
        <f aca="false">IF(A363="","",IF(T363="取消","取消",IF(W363&lt;&gt;"","要入力",IF(N363="","未送付",IF(S363=0,"入金済",IF(S363&lt;0,"過入金",IF(設定!$C$5&gt;L363,IF(P363&gt;0,"一部入金・超過","期日超過"),IF(P363&gt;0,"一部入金",IF(L363-設定!$C$5&lt;=設定!$C$6,"期日間近","入金待ち")))))))))</f>
        <v/>
      </c>
      <c r="V363" s="30" t="str">
        <f aca="false">IF(OR(U363="期日超過",U363="一部入金・超過"),設定!$C$5-L363,"")</f>
        <v/>
      </c>
      <c r="W363" s="21" t="str">
        <f aca="false">IF(A363="","",TRIM(IF(B363="","請求日 ","")&amp;IF(C363="","取引先 ",IF(D363="コード誤り","取引先コード誤り ",""))&amp;IF(E363="","件名 ","")&amp;IF(F363="","税抜金額 ","")&amp;IF(G363="","税率 ","")&amp;IF(M363="","送付方法 ","")&amp;IF(AND(N363&lt;&gt;"",O363=""),"送付者 ","")&amp;IF(AND(I363&lt;&gt;"",L363=""),"入金期日 ","")&amp;IF(AND(N363&lt;&gt;"",P363&gt;0,S363&lt;=0,X363=""),"消込確認者 ","")))</f>
        <v/>
      </c>
      <c r="X363" s="28"/>
      <c r="Y363" s="28"/>
    </row>
    <row r="364" customFormat="false" ht="15" hidden="false" customHeight="false" outlineLevel="0" collapsed="false">
      <c r="A364" s="21" t="str">
        <f aca="false">IF(COUNTA(B364,C364,E364,F364)=0,"",設定!$C$4&amp;TEXT(ROW()-4,"00000"))</f>
        <v/>
      </c>
      <c r="B364" s="22"/>
      <c r="C364" s="23"/>
      <c r="D364" s="21" t="str">
        <f aca="false">IF(C364="","",IFERROR(INDEX(取引先マスタ!$B$5:$B$204,MATCH($C364,取引先マスタ!$A$5:$A$204,0)),"コード誤り"))</f>
        <v/>
      </c>
      <c r="E364" s="28"/>
      <c r="F364" s="18"/>
      <c r="G364" s="25"/>
      <c r="H364" s="26" t="str">
        <f aca="false">IF(OR(F364="",G364=""),"",ROUNDDOWN(F364*G364,0))</f>
        <v/>
      </c>
      <c r="I364" s="26" t="str">
        <f aca="false">IF(OR(F364="",G364=""),"",F364+H364)</f>
        <v/>
      </c>
      <c r="J364" s="27" t="str">
        <f aca="false">IF(OR(B364="",C364="",D364="コード誤り"),"",IFERROR(DATE(YEAR(B364),MONTH(B364)+INDEX(取引先マスタ!$E$5:$E$204,MATCH($C364,取引先マスタ!$A$5:$A$204,0)),MIN(INDEX(取引先マスタ!$F$5:$F$204,MATCH($C364,取引先マスタ!$A$5:$A$204,0)),DAY(EOMONTH(B364,INDEX(取引先マスタ!$E$5:$E$204,MATCH($C364,取引先マスタ!$A$5:$A$204,0)))))),""))</f>
        <v/>
      </c>
      <c r="K364" s="22"/>
      <c r="L364" s="27" t="str">
        <f aca="false">IF(K364&lt;&gt;"",K364,J364)</f>
        <v/>
      </c>
      <c r="M364" s="28"/>
      <c r="N364" s="22"/>
      <c r="O364" s="28"/>
      <c r="P364" s="26" t="str">
        <f aca="false">IF(A364="","",SUMIF(入金明細!$F$5:$F$1004,A364,入金明細!$E$5:$E$1004))</f>
        <v/>
      </c>
      <c r="Q364" s="27" t="str">
        <f aca="false">IF(OR(A364="",N(P364)=0),"",SUMPRODUCT(MAX((入金明細!$F$5:$F$1004=A364)*入金明細!$B$5:$B$1004)))</f>
        <v/>
      </c>
      <c r="R364" s="18"/>
      <c r="S364" s="26" t="str">
        <f aca="false">IF(OR(A364="",I364=""),"",I364-N(P364)-N(R364))</f>
        <v/>
      </c>
      <c r="T364" s="28"/>
      <c r="U364" s="29" t="str">
        <f aca="false">IF(A364="","",IF(T364="取消","取消",IF(W364&lt;&gt;"","要入力",IF(N364="","未送付",IF(S364=0,"入金済",IF(S364&lt;0,"過入金",IF(設定!$C$5&gt;L364,IF(P364&gt;0,"一部入金・超過","期日超過"),IF(P364&gt;0,"一部入金",IF(L364-設定!$C$5&lt;=設定!$C$6,"期日間近","入金待ち")))))))))</f>
        <v/>
      </c>
      <c r="V364" s="30" t="str">
        <f aca="false">IF(OR(U364="期日超過",U364="一部入金・超過"),設定!$C$5-L364,"")</f>
        <v/>
      </c>
      <c r="W364" s="21" t="str">
        <f aca="false">IF(A364="","",TRIM(IF(B364="","請求日 ","")&amp;IF(C364="","取引先 ",IF(D364="コード誤り","取引先コード誤り ",""))&amp;IF(E364="","件名 ","")&amp;IF(F364="","税抜金額 ","")&amp;IF(G364="","税率 ","")&amp;IF(M364="","送付方法 ","")&amp;IF(AND(N364&lt;&gt;"",O364=""),"送付者 ","")&amp;IF(AND(I364&lt;&gt;"",L364=""),"入金期日 ","")&amp;IF(AND(N364&lt;&gt;"",P364&gt;0,S364&lt;=0,X364=""),"消込確認者 ","")))</f>
        <v/>
      </c>
      <c r="X364" s="28"/>
      <c r="Y364" s="28"/>
    </row>
    <row r="365" customFormat="false" ht="15" hidden="false" customHeight="false" outlineLevel="0" collapsed="false">
      <c r="A365" s="21" t="str">
        <f aca="false">IF(COUNTA(B365,C365,E365,F365)=0,"",設定!$C$4&amp;TEXT(ROW()-4,"00000"))</f>
        <v/>
      </c>
      <c r="B365" s="22"/>
      <c r="C365" s="23"/>
      <c r="D365" s="21" t="str">
        <f aca="false">IF(C365="","",IFERROR(INDEX(取引先マスタ!$B$5:$B$204,MATCH($C365,取引先マスタ!$A$5:$A$204,0)),"コード誤り"))</f>
        <v/>
      </c>
      <c r="E365" s="28"/>
      <c r="F365" s="18"/>
      <c r="G365" s="25"/>
      <c r="H365" s="26" t="str">
        <f aca="false">IF(OR(F365="",G365=""),"",ROUNDDOWN(F365*G365,0))</f>
        <v/>
      </c>
      <c r="I365" s="26" t="str">
        <f aca="false">IF(OR(F365="",G365=""),"",F365+H365)</f>
        <v/>
      </c>
      <c r="J365" s="27" t="str">
        <f aca="false">IF(OR(B365="",C365="",D365="コード誤り"),"",IFERROR(DATE(YEAR(B365),MONTH(B365)+INDEX(取引先マスタ!$E$5:$E$204,MATCH($C365,取引先マスタ!$A$5:$A$204,0)),MIN(INDEX(取引先マスタ!$F$5:$F$204,MATCH($C365,取引先マスタ!$A$5:$A$204,0)),DAY(EOMONTH(B365,INDEX(取引先マスタ!$E$5:$E$204,MATCH($C365,取引先マスタ!$A$5:$A$204,0)))))),""))</f>
        <v/>
      </c>
      <c r="K365" s="22"/>
      <c r="L365" s="27" t="str">
        <f aca="false">IF(K365&lt;&gt;"",K365,J365)</f>
        <v/>
      </c>
      <c r="M365" s="28"/>
      <c r="N365" s="22"/>
      <c r="O365" s="28"/>
      <c r="P365" s="26" t="str">
        <f aca="false">IF(A365="","",SUMIF(入金明細!$F$5:$F$1004,A365,入金明細!$E$5:$E$1004))</f>
        <v/>
      </c>
      <c r="Q365" s="27" t="str">
        <f aca="false">IF(OR(A365="",N(P365)=0),"",SUMPRODUCT(MAX((入金明細!$F$5:$F$1004=A365)*入金明細!$B$5:$B$1004)))</f>
        <v/>
      </c>
      <c r="R365" s="18"/>
      <c r="S365" s="26" t="str">
        <f aca="false">IF(OR(A365="",I365=""),"",I365-N(P365)-N(R365))</f>
        <v/>
      </c>
      <c r="T365" s="28"/>
      <c r="U365" s="29" t="str">
        <f aca="false">IF(A365="","",IF(T365="取消","取消",IF(W365&lt;&gt;"","要入力",IF(N365="","未送付",IF(S365=0,"入金済",IF(S365&lt;0,"過入金",IF(設定!$C$5&gt;L365,IF(P365&gt;0,"一部入金・超過","期日超過"),IF(P365&gt;0,"一部入金",IF(L365-設定!$C$5&lt;=設定!$C$6,"期日間近","入金待ち")))))))))</f>
        <v/>
      </c>
      <c r="V365" s="30" t="str">
        <f aca="false">IF(OR(U365="期日超過",U365="一部入金・超過"),設定!$C$5-L365,"")</f>
        <v/>
      </c>
      <c r="W365" s="21" t="str">
        <f aca="false">IF(A365="","",TRIM(IF(B365="","請求日 ","")&amp;IF(C365="","取引先 ",IF(D365="コード誤り","取引先コード誤り ",""))&amp;IF(E365="","件名 ","")&amp;IF(F365="","税抜金額 ","")&amp;IF(G365="","税率 ","")&amp;IF(M365="","送付方法 ","")&amp;IF(AND(N365&lt;&gt;"",O365=""),"送付者 ","")&amp;IF(AND(I365&lt;&gt;"",L365=""),"入金期日 ","")&amp;IF(AND(N365&lt;&gt;"",P365&gt;0,S365&lt;=0,X365=""),"消込確認者 ","")))</f>
        <v/>
      </c>
      <c r="X365" s="28"/>
      <c r="Y365" s="28"/>
    </row>
    <row r="366" customFormat="false" ht="15" hidden="false" customHeight="false" outlineLevel="0" collapsed="false">
      <c r="A366" s="21" t="str">
        <f aca="false">IF(COUNTA(B366,C366,E366,F366)=0,"",設定!$C$4&amp;TEXT(ROW()-4,"00000"))</f>
        <v/>
      </c>
      <c r="B366" s="22"/>
      <c r="C366" s="23"/>
      <c r="D366" s="21" t="str">
        <f aca="false">IF(C366="","",IFERROR(INDEX(取引先マスタ!$B$5:$B$204,MATCH($C366,取引先マスタ!$A$5:$A$204,0)),"コード誤り"))</f>
        <v/>
      </c>
      <c r="E366" s="28"/>
      <c r="F366" s="18"/>
      <c r="G366" s="25"/>
      <c r="H366" s="26" t="str">
        <f aca="false">IF(OR(F366="",G366=""),"",ROUNDDOWN(F366*G366,0))</f>
        <v/>
      </c>
      <c r="I366" s="26" t="str">
        <f aca="false">IF(OR(F366="",G366=""),"",F366+H366)</f>
        <v/>
      </c>
      <c r="J366" s="27" t="str">
        <f aca="false">IF(OR(B366="",C366="",D366="コード誤り"),"",IFERROR(DATE(YEAR(B366),MONTH(B366)+INDEX(取引先マスタ!$E$5:$E$204,MATCH($C366,取引先マスタ!$A$5:$A$204,0)),MIN(INDEX(取引先マスタ!$F$5:$F$204,MATCH($C366,取引先マスタ!$A$5:$A$204,0)),DAY(EOMONTH(B366,INDEX(取引先マスタ!$E$5:$E$204,MATCH($C366,取引先マスタ!$A$5:$A$204,0)))))),""))</f>
        <v/>
      </c>
      <c r="K366" s="22"/>
      <c r="L366" s="27" t="str">
        <f aca="false">IF(K366&lt;&gt;"",K366,J366)</f>
        <v/>
      </c>
      <c r="M366" s="28"/>
      <c r="N366" s="22"/>
      <c r="O366" s="28"/>
      <c r="P366" s="26" t="str">
        <f aca="false">IF(A366="","",SUMIF(入金明細!$F$5:$F$1004,A366,入金明細!$E$5:$E$1004))</f>
        <v/>
      </c>
      <c r="Q366" s="27" t="str">
        <f aca="false">IF(OR(A366="",N(P366)=0),"",SUMPRODUCT(MAX((入金明細!$F$5:$F$1004=A366)*入金明細!$B$5:$B$1004)))</f>
        <v/>
      </c>
      <c r="R366" s="18"/>
      <c r="S366" s="26" t="str">
        <f aca="false">IF(OR(A366="",I366=""),"",I366-N(P366)-N(R366))</f>
        <v/>
      </c>
      <c r="T366" s="28"/>
      <c r="U366" s="29" t="str">
        <f aca="false">IF(A366="","",IF(T366="取消","取消",IF(W366&lt;&gt;"","要入力",IF(N366="","未送付",IF(S366=0,"入金済",IF(S366&lt;0,"過入金",IF(設定!$C$5&gt;L366,IF(P366&gt;0,"一部入金・超過","期日超過"),IF(P366&gt;0,"一部入金",IF(L366-設定!$C$5&lt;=設定!$C$6,"期日間近","入金待ち")))))))))</f>
        <v/>
      </c>
      <c r="V366" s="30" t="str">
        <f aca="false">IF(OR(U366="期日超過",U366="一部入金・超過"),設定!$C$5-L366,"")</f>
        <v/>
      </c>
      <c r="W366" s="21" t="str">
        <f aca="false">IF(A366="","",TRIM(IF(B366="","請求日 ","")&amp;IF(C366="","取引先 ",IF(D366="コード誤り","取引先コード誤り ",""))&amp;IF(E366="","件名 ","")&amp;IF(F366="","税抜金額 ","")&amp;IF(G366="","税率 ","")&amp;IF(M366="","送付方法 ","")&amp;IF(AND(N366&lt;&gt;"",O366=""),"送付者 ","")&amp;IF(AND(I366&lt;&gt;"",L366=""),"入金期日 ","")&amp;IF(AND(N366&lt;&gt;"",P366&gt;0,S366&lt;=0,X366=""),"消込確認者 ","")))</f>
        <v/>
      </c>
      <c r="X366" s="28"/>
      <c r="Y366" s="28"/>
    </row>
    <row r="367" customFormat="false" ht="15" hidden="false" customHeight="false" outlineLevel="0" collapsed="false">
      <c r="A367" s="21" t="str">
        <f aca="false">IF(COUNTA(B367,C367,E367,F367)=0,"",設定!$C$4&amp;TEXT(ROW()-4,"00000"))</f>
        <v/>
      </c>
      <c r="B367" s="22"/>
      <c r="C367" s="23"/>
      <c r="D367" s="21" t="str">
        <f aca="false">IF(C367="","",IFERROR(INDEX(取引先マスタ!$B$5:$B$204,MATCH($C367,取引先マスタ!$A$5:$A$204,0)),"コード誤り"))</f>
        <v/>
      </c>
      <c r="E367" s="28"/>
      <c r="F367" s="18"/>
      <c r="G367" s="25"/>
      <c r="H367" s="26" t="str">
        <f aca="false">IF(OR(F367="",G367=""),"",ROUNDDOWN(F367*G367,0))</f>
        <v/>
      </c>
      <c r="I367" s="26" t="str">
        <f aca="false">IF(OR(F367="",G367=""),"",F367+H367)</f>
        <v/>
      </c>
      <c r="J367" s="27" t="str">
        <f aca="false">IF(OR(B367="",C367="",D367="コード誤り"),"",IFERROR(DATE(YEAR(B367),MONTH(B367)+INDEX(取引先マスタ!$E$5:$E$204,MATCH($C367,取引先マスタ!$A$5:$A$204,0)),MIN(INDEX(取引先マスタ!$F$5:$F$204,MATCH($C367,取引先マスタ!$A$5:$A$204,0)),DAY(EOMONTH(B367,INDEX(取引先マスタ!$E$5:$E$204,MATCH($C367,取引先マスタ!$A$5:$A$204,0)))))),""))</f>
        <v/>
      </c>
      <c r="K367" s="22"/>
      <c r="L367" s="27" t="str">
        <f aca="false">IF(K367&lt;&gt;"",K367,J367)</f>
        <v/>
      </c>
      <c r="M367" s="28"/>
      <c r="N367" s="22"/>
      <c r="O367" s="28"/>
      <c r="P367" s="26" t="str">
        <f aca="false">IF(A367="","",SUMIF(入金明細!$F$5:$F$1004,A367,入金明細!$E$5:$E$1004))</f>
        <v/>
      </c>
      <c r="Q367" s="27" t="str">
        <f aca="false">IF(OR(A367="",N(P367)=0),"",SUMPRODUCT(MAX((入金明細!$F$5:$F$1004=A367)*入金明細!$B$5:$B$1004)))</f>
        <v/>
      </c>
      <c r="R367" s="18"/>
      <c r="S367" s="26" t="str">
        <f aca="false">IF(OR(A367="",I367=""),"",I367-N(P367)-N(R367))</f>
        <v/>
      </c>
      <c r="T367" s="28"/>
      <c r="U367" s="29" t="str">
        <f aca="false">IF(A367="","",IF(T367="取消","取消",IF(W367&lt;&gt;"","要入力",IF(N367="","未送付",IF(S367=0,"入金済",IF(S367&lt;0,"過入金",IF(設定!$C$5&gt;L367,IF(P367&gt;0,"一部入金・超過","期日超過"),IF(P367&gt;0,"一部入金",IF(L367-設定!$C$5&lt;=設定!$C$6,"期日間近","入金待ち")))))))))</f>
        <v/>
      </c>
      <c r="V367" s="30" t="str">
        <f aca="false">IF(OR(U367="期日超過",U367="一部入金・超過"),設定!$C$5-L367,"")</f>
        <v/>
      </c>
      <c r="W367" s="21" t="str">
        <f aca="false">IF(A367="","",TRIM(IF(B367="","請求日 ","")&amp;IF(C367="","取引先 ",IF(D367="コード誤り","取引先コード誤り ",""))&amp;IF(E367="","件名 ","")&amp;IF(F367="","税抜金額 ","")&amp;IF(G367="","税率 ","")&amp;IF(M367="","送付方法 ","")&amp;IF(AND(N367&lt;&gt;"",O367=""),"送付者 ","")&amp;IF(AND(I367&lt;&gt;"",L367=""),"入金期日 ","")&amp;IF(AND(N367&lt;&gt;"",P367&gt;0,S367&lt;=0,X367=""),"消込確認者 ","")))</f>
        <v/>
      </c>
      <c r="X367" s="28"/>
      <c r="Y367" s="28"/>
    </row>
    <row r="368" customFormat="false" ht="15" hidden="false" customHeight="false" outlineLevel="0" collapsed="false">
      <c r="A368" s="21" t="str">
        <f aca="false">IF(COUNTA(B368,C368,E368,F368)=0,"",設定!$C$4&amp;TEXT(ROW()-4,"00000"))</f>
        <v/>
      </c>
      <c r="B368" s="22"/>
      <c r="C368" s="23"/>
      <c r="D368" s="21" t="str">
        <f aca="false">IF(C368="","",IFERROR(INDEX(取引先マスタ!$B$5:$B$204,MATCH($C368,取引先マスタ!$A$5:$A$204,0)),"コード誤り"))</f>
        <v/>
      </c>
      <c r="E368" s="28"/>
      <c r="F368" s="18"/>
      <c r="G368" s="25"/>
      <c r="H368" s="26" t="str">
        <f aca="false">IF(OR(F368="",G368=""),"",ROUNDDOWN(F368*G368,0))</f>
        <v/>
      </c>
      <c r="I368" s="26" t="str">
        <f aca="false">IF(OR(F368="",G368=""),"",F368+H368)</f>
        <v/>
      </c>
      <c r="J368" s="27" t="str">
        <f aca="false">IF(OR(B368="",C368="",D368="コード誤り"),"",IFERROR(DATE(YEAR(B368),MONTH(B368)+INDEX(取引先マスタ!$E$5:$E$204,MATCH($C368,取引先マスタ!$A$5:$A$204,0)),MIN(INDEX(取引先マスタ!$F$5:$F$204,MATCH($C368,取引先マスタ!$A$5:$A$204,0)),DAY(EOMONTH(B368,INDEX(取引先マスタ!$E$5:$E$204,MATCH($C368,取引先マスタ!$A$5:$A$204,0)))))),""))</f>
        <v/>
      </c>
      <c r="K368" s="22"/>
      <c r="L368" s="27" t="str">
        <f aca="false">IF(K368&lt;&gt;"",K368,J368)</f>
        <v/>
      </c>
      <c r="M368" s="28"/>
      <c r="N368" s="22"/>
      <c r="O368" s="28"/>
      <c r="P368" s="26" t="str">
        <f aca="false">IF(A368="","",SUMIF(入金明細!$F$5:$F$1004,A368,入金明細!$E$5:$E$1004))</f>
        <v/>
      </c>
      <c r="Q368" s="27" t="str">
        <f aca="false">IF(OR(A368="",N(P368)=0),"",SUMPRODUCT(MAX((入金明細!$F$5:$F$1004=A368)*入金明細!$B$5:$B$1004)))</f>
        <v/>
      </c>
      <c r="R368" s="18"/>
      <c r="S368" s="26" t="str">
        <f aca="false">IF(OR(A368="",I368=""),"",I368-N(P368)-N(R368))</f>
        <v/>
      </c>
      <c r="T368" s="28"/>
      <c r="U368" s="29" t="str">
        <f aca="false">IF(A368="","",IF(T368="取消","取消",IF(W368&lt;&gt;"","要入力",IF(N368="","未送付",IF(S368=0,"入金済",IF(S368&lt;0,"過入金",IF(設定!$C$5&gt;L368,IF(P368&gt;0,"一部入金・超過","期日超過"),IF(P368&gt;0,"一部入金",IF(L368-設定!$C$5&lt;=設定!$C$6,"期日間近","入金待ち")))))))))</f>
        <v/>
      </c>
      <c r="V368" s="30" t="str">
        <f aca="false">IF(OR(U368="期日超過",U368="一部入金・超過"),設定!$C$5-L368,"")</f>
        <v/>
      </c>
      <c r="W368" s="21" t="str">
        <f aca="false">IF(A368="","",TRIM(IF(B368="","請求日 ","")&amp;IF(C368="","取引先 ",IF(D368="コード誤り","取引先コード誤り ",""))&amp;IF(E368="","件名 ","")&amp;IF(F368="","税抜金額 ","")&amp;IF(G368="","税率 ","")&amp;IF(M368="","送付方法 ","")&amp;IF(AND(N368&lt;&gt;"",O368=""),"送付者 ","")&amp;IF(AND(I368&lt;&gt;"",L368=""),"入金期日 ","")&amp;IF(AND(N368&lt;&gt;"",P368&gt;0,S368&lt;=0,X368=""),"消込確認者 ","")))</f>
        <v/>
      </c>
      <c r="X368" s="28"/>
      <c r="Y368" s="28"/>
    </row>
    <row r="369" customFormat="false" ht="15" hidden="false" customHeight="false" outlineLevel="0" collapsed="false">
      <c r="A369" s="21" t="str">
        <f aca="false">IF(COUNTA(B369,C369,E369,F369)=0,"",設定!$C$4&amp;TEXT(ROW()-4,"00000"))</f>
        <v/>
      </c>
      <c r="B369" s="22"/>
      <c r="C369" s="23"/>
      <c r="D369" s="21" t="str">
        <f aca="false">IF(C369="","",IFERROR(INDEX(取引先マスタ!$B$5:$B$204,MATCH($C369,取引先マスタ!$A$5:$A$204,0)),"コード誤り"))</f>
        <v/>
      </c>
      <c r="E369" s="28"/>
      <c r="F369" s="18"/>
      <c r="G369" s="25"/>
      <c r="H369" s="26" t="str">
        <f aca="false">IF(OR(F369="",G369=""),"",ROUNDDOWN(F369*G369,0))</f>
        <v/>
      </c>
      <c r="I369" s="26" t="str">
        <f aca="false">IF(OR(F369="",G369=""),"",F369+H369)</f>
        <v/>
      </c>
      <c r="J369" s="27" t="str">
        <f aca="false">IF(OR(B369="",C369="",D369="コード誤り"),"",IFERROR(DATE(YEAR(B369),MONTH(B369)+INDEX(取引先マスタ!$E$5:$E$204,MATCH($C369,取引先マスタ!$A$5:$A$204,0)),MIN(INDEX(取引先マスタ!$F$5:$F$204,MATCH($C369,取引先マスタ!$A$5:$A$204,0)),DAY(EOMONTH(B369,INDEX(取引先マスタ!$E$5:$E$204,MATCH($C369,取引先マスタ!$A$5:$A$204,0)))))),""))</f>
        <v/>
      </c>
      <c r="K369" s="22"/>
      <c r="L369" s="27" t="str">
        <f aca="false">IF(K369&lt;&gt;"",K369,J369)</f>
        <v/>
      </c>
      <c r="M369" s="28"/>
      <c r="N369" s="22"/>
      <c r="O369" s="28"/>
      <c r="P369" s="26" t="str">
        <f aca="false">IF(A369="","",SUMIF(入金明細!$F$5:$F$1004,A369,入金明細!$E$5:$E$1004))</f>
        <v/>
      </c>
      <c r="Q369" s="27" t="str">
        <f aca="false">IF(OR(A369="",N(P369)=0),"",SUMPRODUCT(MAX((入金明細!$F$5:$F$1004=A369)*入金明細!$B$5:$B$1004)))</f>
        <v/>
      </c>
      <c r="R369" s="18"/>
      <c r="S369" s="26" t="str">
        <f aca="false">IF(OR(A369="",I369=""),"",I369-N(P369)-N(R369))</f>
        <v/>
      </c>
      <c r="T369" s="28"/>
      <c r="U369" s="29" t="str">
        <f aca="false">IF(A369="","",IF(T369="取消","取消",IF(W369&lt;&gt;"","要入力",IF(N369="","未送付",IF(S369=0,"入金済",IF(S369&lt;0,"過入金",IF(設定!$C$5&gt;L369,IF(P369&gt;0,"一部入金・超過","期日超過"),IF(P369&gt;0,"一部入金",IF(L369-設定!$C$5&lt;=設定!$C$6,"期日間近","入金待ち")))))))))</f>
        <v/>
      </c>
      <c r="V369" s="30" t="str">
        <f aca="false">IF(OR(U369="期日超過",U369="一部入金・超過"),設定!$C$5-L369,"")</f>
        <v/>
      </c>
      <c r="W369" s="21" t="str">
        <f aca="false">IF(A369="","",TRIM(IF(B369="","請求日 ","")&amp;IF(C369="","取引先 ",IF(D369="コード誤り","取引先コード誤り ",""))&amp;IF(E369="","件名 ","")&amp;IF(F369="","税抜金額 ","")&amp;IF(G369="","税率 ","")&amp;IF(M369="","送付方法 ","")&amp;IF(AND(N369&lt;&gt;"",O369=""),"送付者 ","")&amp;IF(AND(I369&lt;&gt;"",L369=""),"入金期日 ","")&amp;IF(AND(N369&lt;&gt;"",P369&gt;0,S369&lt;=0,X369=""),"消込確認者 ","")))</f>
        <v/>
      </c>
      <c r="X369" s="28"/>
      <c r="Y369" s="28"/>
    </row>
    <row r="370" customFormat="false" ht="15" hidden="false" customHeight="false" outlineLevel="0" collapsed="false">
      <c r="A370" s="21" t="str">
        <f aca="false">IF(COUNTA(B370,C370,E370,F370)=0,"",設定!$C$4&amp;TEXT(ROW()-4,"00000"))</f>
        <v/>
      </c>
      <c r="B370" s="22"/>
      <c r="C370" s="23"/>
      <c r="D370" s="21" t="str">
        <f aca="false">IF(C370="","",IFERROR(INDEX(取引先マスタ!$B$5:$B$204,MATCH($C370,取引先マスタ!$A$5:$A$204,0)),"コード誤り"))</f>
        <v/>
      </c>
      <c r="E370" s="28"/>
      <c r="F370" s="18"/>
      <c r="G370" s="25"/>
      <c r="H370" s="26" t="str">
        <f aca="false">IF(OR(F370="",G370=""),"",ROUNDDOWN(F370*G370,0))</f>
        <v/>
      </c>
      <c r="I370" s="26" t="str">
        <f aca="false">IF(OR(F370="",G370=""),"",F370+H370)</f>
        <v/>
      </c>
      <c r="J370" s="27" t="str">
        <f aca="false">IF(OR(B370="",C370="",D370="コード誤り"),"",IFERROR(DATE(YEAR(B370),MONTH(B370)+INDEX(取引先マスタ!$E$5:$E$204,MATCH($C370,取引先マスタ!$A$5:$A$204,0)),MIN(INDEX(取引先マスタ!$F$5:$F$204,MATCH($C370,取引先マスタ!$A$5:$A$204,0)),DAY(EOMONTH(B370,INDEX(取引先マスタ!$E$5:$E$204,MATCH($C370,取引先マスタ!$A$5:$A$204,0)))))),""))</f>
        <v/>
      </c>
      <c r="K370" s="22"/>
      <c r="L370" s="27" t="str">
        <f aca="false">IF(K370&lt;&gt;"",K370,J370)</f>
        <v/>
      </c>
      <c r="M370" s="28"/>
      <c r="N370" s="22"/>
      <c r="O370" s="28"/>
      <c r="P370" s="26" t="str">
        <f aca="false">IF(A370="","",SUMIF(入金明細!$F$5:$F$1004,A370,入金明細!$E$5:$E$1004))</f>
        <v/>
      </c>
      <c r="Q370" s="27" t="str">
        <f aca="false">IF(OR(A370="",N(P370)=0),"",SUMPRODUCT(MAX((入金明細!$F$5:$F$1004=A370)*入金明細!$B$5:$B$1004)))</f>
        <v/>
      </c>
      <c r="R370" s="18"/>
      <c r="S370" s="26" t="str">
        <f aca="false">IF(OR(A370="",I370=""),"",I370-N(P370)-N(R370))</f>
        <v/>
      </c>
      <c r="T370" s="28"/>
      <c r="U370" s="29" t="str">
        <f aca="false">IF(A370="","",IF(T370="取消","取消",IF(W370&lt;&gt;"","要入力",IF(N370="","未送付",IF(S370=0,"入金済",IF(S370&lt;0,"過入金",IF(設定!$C$5&gt;L370,IF(P370&gt;0,"一部入金・超過","期日超過"),IF(P370&gt;0,"一部入金",IF(L370-設定!$C$5&lt;=設定!$C$6,"期日間近","入金待ち")))))))))</f>
        <v/>
      </c>
      <c r="V370" s="30" t="str">
        <f aca="false">IF(OR(U370="期日超過",U370="一部入金・超過"),設定!$C$5-L370,"")</f>
        <v/>
      </c>
      <c r="W370" s="21" t="str">
        <f aca="false">IF(A370="","",TRIM(IF(B370="","請求日 ","")&amp;IF(C370="","取引先 ",IF(D370="コード誤り","取引先コード誤り ",""))&amp;IF(E370="","件名 ","")&amp;IF(F370="","税抜金額 ","")&amp;IF(G370="","税率 ","")&amp;IF(M370="","送付方法 ","")&amp;IF(AND(N370&lt;&gt;"",O370=""),"送付者 ","")&amp;IF(AND(I370&lt;&gt;"",L370=""),"入金期日 ","")&amp;IF(AND(N370&lt;&gt;"",P370&gt;0,S370&lt;=0,X370=""),"消込確認者 ","")))</f>
        <v/>
      </c>
      <c r="X370" s="28"/>
      <c r="Y370" s="28"/>
    </row>
    <row r="371" customFormat="false" ht="15" hidden="false" customHeight="false" outlineLevel="0" collapsed="false">
      <c r="A371" s="21" t="str">
        <f aca="false">IF(COUNTA(B371,C371,E371,F371)=0,"",設定!$C$4&amp;TEXT(ROW()-4,"00000"))</f>
        <v/>
      </c>
      <c r="B371" s="22"/>
      <c r="C371" s="23"/>
      <c r="D371" s="21" t="str">
        <f aca="false">IF(C371="","",IFERROR(INDEX(取引先マスタ!$B$5:$B$204,MATCH($C371,取引先マスタ!$A$5:$A$204,0)),"コード誤り"))</f>
        <v/>
      </c>
      <c r="E371" s="28"/>
      <c r="F371" s="18"/>
      <c r="G371" s="25"/>
      <c r="H371" s="26" t="str">
        <f aca="false">IF(OR(F371="",G371=""),"",ROUNDDOWN(F371*G371,0))</f>
        <v/>
      </c>
      <c r="I371" s="26" t="str">
        <f aca="false">IF(OR(F371="",G371=""),"",F371+H371)</f>
        <v/>
      </c>
      <c r="J371" s="27" t="str">
        <f aca="false">IF(OR(B371="",C371="",D371="コード誤り"),"",IFERROR(DATE(YEAR(B371),MONTH(B371)+INDEX(取引先マスタ!$E$5:$E$204,MATCH($C371,取引先マスタ!$A$5:$A$204,0)),MIN(INDEX(取引先マスタ!$F$5:$F$204,MATCH($C371,取引先マスタ!$A$5:$A$204,0)),DAY(EOMONTH(B371,INDEX(取引先マスタ!$E$5:$E$204,MATCH($C371,取引先マスタ!$A$5:$A$204,0)))))),""))</f>
        <v/>
      </c>
      <c r="K371" s="22"/>
      <c r="L371" s="27" t="str">
        <f aca="false">IF(K371&lt;&gt;"",K371,J371)</f>
        <v/>
      </c>
      <c r="M371" s="28"/>
      <c r="N371" s="22"/>
      <c r="O371" s="28"/>
      <c r="P371" s="26" t="str">
        <f aca="false">IF(A371="","",SUMIF(入金明細!$F$5:$F$1004,A371,入金明細!$E$5:$E$1004))</f>
        <v/>
      </c>
      <c r="Q371" s="27" t="str">
        <f aca="false">IF(OR(A371="",N(P371)=0),"",SUMPRODUCT(MAX((入金明細!$F$5:$F$1004=A371)*入金明細!$B$5:$B$1004)))</f>
        <v/>
      </c>
      <c r="R371" s="18"/>
      <c r="S371" s="26" t="str">
        <f aca="false">IF(OR(A371="",I371=""),"",I371-N(P371)-N(R371))</f>
        <v/>
      </c>
      <c r="T371" s="28"/>
      <c r="U371" s="29" t="str">
        <f aca="false">IF(A371="","",IF(T371="取消","取消",IF(W371&lt;&gt;"","要入力",IF(N371="","未送付",IF(S371=0,"入金済",IF(S371&lt;0,"過入金",IF(設定!$C$5&gt;L371,IF(P371&gt;0,"一部入金・超過","期日超過"),IF(P371&gt;0,"一部入金",IF(L371-設定!$C$5&lt;=設定!$C$6,"期日間近","入金待ち")))))))))</f>
        <v/>
      </c>
      <c r="V371" s="30" t="str">
        <f aca="false">IF(OR(U371="期日超過",U371="一部入金・超過"),設定!$C$5-L371,"")</f>
        <v/>
      </c>
      <c r="W371" s="21" t="str">
        <f aca="false">IF(A371="","",TRIM(IF(B371="","請求日 ","")&amp;IF(C371="","取引先 ",IF(D371="コード誤り","取引先コード誤り ",""))&amp;IF(E371="","件名 ","")&amp;IF(F371="","税抜金額 ","")&amp;IF(G371="","税率 ","")&amp;IF(M371="","送付方法 ","")&amp;IF(AND(N371&lt;&gt;"",O371=""),"送付者 ","")&amp;IF(AND(I371&lt;&gt;"",L371=""),"入金期日 ","")&amp;IF(AND(N371&lt;&gt;"",P371&gt;0,S371&lt;=0,X371=""),"消込確認者 ","")))</f>
        <v/>
      </c>
      <c r="X371" s="28"/>
      <c r="Y371" s="28"/>
    </row>
    <row r="372" customFormat="false" ht="15" hidden="false" customHeight="false" outlineLevel="0" collapsed="false">
      <c r="A372" s="21" t="str">
        <f aca="false">IF(COUNTA(B372,C372,E372,F372)=0,"",設定!$C$4&amp;TEXT(ROW()-4,"00000"))</f>
        <v/>
      </c>
      <c r="B372" s="22"/>
      <c r="C372" s="23"/>
      <c r="D372" s="21" t="str">
        <f aca="false">IF(C372="","",IFERROR(INDEX(取引先マスタ!$B$5:$B$204,MATCH($C372,取引先マスタ!$A$5:$A$204,0)),"コード誤り"))</f>
        <v/>
      </c>
      <c r="E372" s="28"/>
      <c r="F372" s="18"/>
      <c r="G372" s="25"/>
      <c r="H372" s="26" t="str">
        <f aca="false">IF(OR(F372="",G372=""),"",ROUNDDOWN(F372*G372,0))</f>
        <v/>
      </c>
      <c r="I372" s="26" t="str">
        <f aca="false">IF(OR(F372="",G372=""),"",F372+H372)</f>
        <v/>
      </c>
      <c r="J372" s="27" t="str">
        <f aca="false">IF(OR(B372="",C372="",D372="コード誤り"),"",IFERROR(DATE(YEAR(B372),MONTH(B372)+INDEX(取引先マスタ!$E$5:$E$204,MATCH($C372,取引先マスタ!$A$5:$A$204,0)),MIN(INDEX(取引先マスタ!$F$5:$F$204,MATCH($C372,取引先マスタ!$A$5:$A$204,0)),DAY(EOMONTH(B372,INDEX(取引先マスタ!$E$5:$E$204,MATCH($C372,取引先マスタ!$A$5:$A$204,0)))))),""))</f>
        <v/>
      </c>
      <c r="K372" s="22"/>
      <c r="L372" s="27" t="str">
        <f aca="false">IF(K372&lt;&gt;"",K372,J372)</f>
        <v/>
      </c>
      <c r="M372" s="28"/>
      <c r="N372" s="22"/>
      <c r="O372" s="28"/>
      <c r="P372" s="26" t="str">
        <f aca="false">IF(A372="","",SUMIF(入金明細!$F$5:$F$1004,A372,入金明細!$E$5:$E$1004))</f>
        <v/>
      </c>
      <c r="Q372" s="27" t="str">
        <f aca="false">IF(OR(A372="",N(P372)=0),"",SUMPRODUCT(MAX((入金明細!$F$5:$F$1004=A372)*入金明細!$B$5:$B$1004)))</f>
        <v/>
      </c>
      <c r="R372" s="18"/>
      <c r="S372" s="26" t="str">
        <f aca="false">IF(OR(A372="",I372=""),"",I372-N(P372)-N(R372))</f>
        <v/>
      </c>
      <c r="T372" s="28"/>
      <c r="U372" s="29" t="str">
        <f aca="false">IF(A372="","",IF(T372="取消","取消",IF(W372&lt;&gt;"","要入力",IF(N372="","未送付",IF(S372=0,"入金済",IF(S372&lt;0,"過入金",IF(設定!$C$5&gt;L372,IF(P372&gt;0,"一部入金・超過","期日超過"),IF(P372&gt;0,"一部入金",IF(L372-設定!$C$5&lt;=設定!$C$6,"期日間近","入金待ち")))))))))</f>
        <v/>
      </c>
      <c r="V372" s="30" t="str">
        <f aca="false">IF(OR(U372="期日超過",U372="一部入金・超過"),設定!$C$5-L372,"")</f>
        <v/>
      </c>
      <c r="W372" s="21" t="str">
        <f aca="false">IF(A372="","",TRIM(IF(B372="","請求日 ","")&amp;IF(C372="","取引先 ",IF(D372="コード誤り","取引先コード誤り ",""))&amp;IF(E372="","件名 ","")&amp;IF(F372="","税抜金額 ","")&amp;IF(G372="","税率 ","")&amp;IF(M372="","送付方法 ","")&amp;IF(AND(N372&lt;&gt;"",O372=""),"送付者 ","")&amp;IF(AND(I372&lt;&gt;"",L372=""),"入金期日 ","")&amp;IF(AND(N372&lt;&gt;"",P372&gt;0,S372&lt;=0,X372=""),"消込確認者 ","")))</f>
        <v/>
      </c>
      <c r="X372" s="28"/>
      <c r="Y372" s="28"/>
    </row>
    <row r="373" customFormat="false" ht="15" hidden="false" customHeight="false" outlineLevel="0" collapsed="false">
      <c r="A373" s="21" t="str">
        <f aca="false">IF(COUNTA(B373,C373,E373,F373)=0,"",設定!$C$4&amp;TEXT(ROW()-4,"00000"))</f>
        <v/>
      </c>
      <c r="B373" s="22"/>
      <c r="C373" s="23"/>
      <c r="D373" s="21" t="str">
        <f aca="false">IF(C373="","",IFERROR(INDEX(取引先マスタ!$B$5:$B$204,MATCH($C373,取引先マスタ!$A$5:$A$204,0)),"コード誤り"))</f>
        <v/>
      </c>
      <c r="E373" s="28"/>
      <c r="F373" s="18"/>
      <c r="G373" s="25"/>
      <c r="H373" s="26" t="str">
        <f aca="false">IF(OR(F373="",G373=""),"",ROUNDDOWN(F373*G373,0))</f>
        <v/>
      </c>
      <c r="I373" s="26" t="str">
        <f aca="false">IF(OR(F373="",G373=""),"",F373+H373)</f>
        <v/>
      </c>
      <c r="J373" s="27" t="str">
        <f aca="false">IF(OR(B373="",C373="",D373="コード誤り"),"",IFERROR(DATE(YEAR(B373),MONTH(B373)+INDEX(取引先マスタ!$E$5:$E$204,MATCH($C373,取引先マスタ!$A$5:$A$204,0)),MIN(INDEX(取引先マスタ!$F$5:$F$204,MATCH($C373,取引先マスタ!$A$5:$A$204,0)),DAY(EOMONTH(B373,INDEX(取引先マスタ!$E$5:$E$204,MATCH($C373,取引先マスタ!$A$5:$A$204,0)))))),""))</f>
        <v/>
      </c>
      <c r="K373" s="22"/>
      <c r="L373" s="27" t="str">
        <f aca="false">IF(K373&lt;&gt;"",K373,J373)</f>
        <v/>
      </c>
      <c r="M373" s="28"/>
      <c r="N373" s="22"/>
      <c r="O373" s="28"/>
      <c r="P373" s="26" t="str">
        <f aca="false">IF(A373="","",SUMIF(入金明細!$F$5:$F$1004,A373,入金明細!$E$5:$E$1004))</f>
        <v/>
      </c>
      <c r="Q373" s="27" t="str">
        <f aca="false">IF(OR(A373="",N(P373)=0),"",SUMPRODUCT(MAX((入金明細!$F$5:$F$1004=A373)*入金明細!$B$5:$B$1004)))</f>
        <v/>
      </c>
      <c r="R373" s="18"/>
      <c r="S373" s="26" t="str">
        <f aca="false">IF(OR(A373="",I373=""),"",I373-N(P373)-N(R373))</f>
        <v/>
      </c>
      <c r="T373" s="28"/>
      <c r="U373" s="29" t="str">
        <f aca="false">IF(A373="","",IF(T373="取消","取消",IF(W373&lt;&gt;"","要入力",IF(N373="","未送付",IF(S373=0,"入金済",IF(S373&lt;0,"過入金",IF(設定!$C$5&gt;L373,IF(P373&gt;0,"一部入金・超過","期日超過"),IF(P373&gt;0,"一部入金",IF(L373-設定!$C$5&lt;=設定!$C$6,"期日間近","入金待ち")))))))))</f>
        <v/>
      </c>
      <c r="V373" s="30" t="str">
        <f aca="false">IF(OR(U373="期日超過",U373="一部入金・超過"),設定!$C$5-L373,"")</f>
        <v/>
      </c>
      <c r="W373" s="21" t="str">
        <f aca="false">IF(A373="","",TRIM(IF(B373="","請求日 ","")&amp;IF(C373="","取引先 ",IF(D373="コード誤り","取引先コード誤り ",""))&amp;IF(E373="","件名 ","")&amp;IF(F373="","税抜金額 ","")&amp;IF(G373="","税率 ","")&amp;IF(M373="","送付方法 ","")&amp;IF(AND(N373&lt;&gt;"",O373=""),"送付者 ","")&amp;IF(AND(I373&lt;&gt;"",L373=""),"入金期日 ","")&amp;IF(AND(N373&lt;&gt;"",P373&gt;0,S373&lt;=0,X373=""),"消込確認者 ","")))</f>
        <v/>
      </c>
      <c r="X373" s="28"/>
      <c r="Y373" s="28"/>
    </row>
    <row r="374" customFormat="false" ht="15" hidden="false" customHeight="false" outlineLevel="0" collapsed="false">
      <c r="A374" s="21" t="str">
        <f aca="false">IF(COUNTA(B374,C374,E374,F374)=0,"",設定!$C$4&amp;TEXT(ROW()-4,"00000"))</f>
        <v/>
      </c>
      <c r="B374" s="22"/>
      <c r="C374" s="23"/>
      <c r="D374" s="21" t="str">
        <f aca="false">IF(C374="","",IFERROR(INDEX(取引先マスタ!$B$5:$B$204,MATCH($C374,取引先マスタ!$A$5:$A$204,0)),"コード誤り"))</f>
        <v/>
      </c>
      <c r="E374" s="28"/>
      <c r="F374" s="18"/>
      <c r="G374" s="25"/>
      <c r="H374" s="26" t="str">
        <f aca="false">IF(OR(F374="",G374=""),"",ROUNDDOWN(F374*G374,0))</f>
        <v/>
      </c>
      <c r="I374" s="26" t="str">
        <f aca="false">IF(OR(F374="",G374=""),"",F374+H374)</f>
        <v/>
      </c>
      <c r="J374" s="27" t="str">
        <f aca="false">IF(OR(B374="",C374="",D374="コード誤り"),"",IFERROR(DATE(YEAR(B374),MONTH(B374)+INDEX(取引先マスタ!$E$5:$E$204,MATCH($C374,取引先マスタ!$A$5:$A$204,0)),MIN(INDEX(取引先マスタ!$F$5:$F$204,MATCH($C374,取引先マスタ!$A$5:$A$204,0)),DAY(EOMONTH(B374,INDEX(取引先マスタ!$E$5:$E$204,MATCH($C374,取引先マスタ!$A$5:$A$204,0)))))),""))</f>
        <v/>
      </c>
      <c r="K374" s="22"/>
      <c r="L374" s="27" t="str">
        <f aca="false">IF(K374&lt;&gt;"",K374,J374)</f>
        <v/>
      </c>
      <c r="M374" s="28"/>
      <c r="N374" s="22"/>
      <c r="O374" s="28"/>
      <c r="P374" s="26" t="str">
        <f aca="false">IF(A374="","",SUMIF(入金明細!$F$5:$F$1004,A374,入金明細!$E$5:$E$1004))</f>
        <v/>
      </c>
      <c r="Q374" s="27" t="str">
        <f aca="false">IF(OR(A374="",N(P374)=0),"",SUMPRODUCT(MAX((入金明細!$F$5:$F$1004=A374)*入金明細!$B$5:$B$1004)))</f>
        <v/>
      </c>
      <c r="R374" s="18"/>
      <c r="S374" s="26" t="str">
        <f aca="false">IF(OR(A374="",I374=""),"",I374-N(P374)-N(R374))</f>
        <v/>
      </c>
      <c r="T374" s="28"/>
      <c r="U374" s="29" t="str">
        <f aca="false">IF(A374="","",IF(T374="取消","取消",IF(W374&lt;&gt;"","要入力",IF(N374="","未送付",IF(S374=0,"入金済",IF(S374&lt;0,"過入金",IF(設定!$C$5&gt;L374,IF(P374&gt;0,"一部入金・超過","期日超過"),IF(P374&gt;0,"一部入金",IF(L374-設定!$C$5&lt;=設定!$C$6,"期日間近","入金待ち")))))))))</f>
        <v/>
      </c>
      <c r="V374" s="30" t="str">
        <f aca="false">IF(OR(U374="期日超過",U374="一部入金・超過"),設定!$C$5-L374,"")</f>
        <v/>
      </c>
      <c r="W374" s="21" t="str">
        <f aca="false">IF(A374="","",TRIM(IF(B374="","請求日 ","")&amp;IF(C374="","取引先 ",IF(D374="コード誤り","取引先コード誤り ",""))&amp;IF(E374="","件名 ","")&amp;IF(F374="","税抜金額 ","")&amp;IF(G374="","税率 ","")&amp;IF(M374="","送付方法 ","")&amp;IF(AND(N374&lt;&gt;"",O374=""),"送付者 ","")&amp;IF(AND(I374&lt;&gt;"",L374=""),"入金期日 ","")&amp;IF(AND(N374&lt;&gt;"",P374&gt;0,S374&lt;=0,X374=""),"消込確認者 ","")))</f>
        <v/>
      </c>
      <c r="X374" s="28"/>
      <c r="Y374" s="28"/>
    </row>
    <row r="375" customFormat="false" ht="15" hidden="false" customHeight="false" outlineLevel="0" collapsed="false">
      <c r="A375" s="21" t="str">
        <f aca="false">IF(COUNTA(B375,C375,E375,F375)=0,"",設定!$C$4&amp;TEXT(ROW()-4,"00000"))</f>
        <v/>
      </c>
      <c r="B375" s="22"/>
      <c r="C375" s="23"/>
      <c r="D375" s="21" t="str">
        <f aca="false">IF(C375="","",IFERROR(INDEX(取引先マスタ!$B$5:$B$204,MATCH($C375,取引先マスタ!$A$5:$A$204,0)),"コード誤り"))</f>
        <v/>
      </c>
      <c r="E375" s="28"/>
      <c r="F375" s="18"/>
      <c r="G375" s="25"/>
      <c r="H375" s="26" t="str">
        <f aca="false">IF(OR(F375="",G375=""),"",ROUNDDOWN(F375*G375,0))</f>
        <v/>
      </c>
      <c r="I375" s="26" t="str">
        <f aca="false">IF(OR(F375="",G375=""),"",F375+H375)</f>
        <v/>
      </c>
      <c r="J375" s="27" t="str">
        <f aca="false">IF(OR(B375="",C375="",D375="コード誤り"),"",IFERROR(DATE(YEAR(B375),MONTH(B375)+INDEX(取引先マスタ!$E$5:$E$204,MATCH($C375,取引先マスタ!$A$5:$A$204,0)),MIN(INDEX(取引先マスタ!$F$5:$F$204,MATCH($C375,取引先マスタ!$A$5:$A$204,0)),DAY(EOMONTH(B375,INDEX(取引先マスタ!$E$5:$E$204,MATCH($C375,取引先マスタ!$A$5:$A$204,0)))))),""))</f>
        <v/>
      </c>
      <c r="K375" s="22"/>
      <c r="L375" s="27" t="str">
        <f aca="false">IF(K375&lt;&gt;"",K375,J375)</f>
        <v/>
      </c>
      <c r="M375" s="28"/>
      <c r="N375" s="22"/>
      <c r="O375" s="28"/>
      <c r="P375" s="26" t="str">
        <f aca="false">IF(A375="","",SUMIF(入金明細!$F$5:$F$1004,A375,入金明細!$E$5:$E$1004))</f>
        <v/>
      </c>
      <c r="Q375" s="27" t="str">
        <f aca="false">IF(OR(A375="",N(P375)=0),"",SUMPRODUCT(MAX((入金明細!$F$5:$F$1004=A375)*入金明細!$B$5:$B$1004)))</f>
        <v/>
      </c>
      <c r="R375" s="18"/>
      <c r="S375" s="26" t="str">
        <f aca="false">IF(OR(A375="",I375=""),"",I375-N(P375)-N(R375))</f>
        <v/>
      </c>
      <c r="T375" s="28"/>
      <c r="U375" s="29" t="str">
        <f aca="false">IF(A375="","",IF(T375="取消","取消",IF(W375&lt;&gt;"","要入力",IF(N375="","未送付",IF(S375=0,"入金済",IF(S375&lt;0,"過入金",IF(設定!$C$5&gt;L375,IF(P375&gt;0,"一部入金・超過","期日超過"),IF(P375&gt;0,"一部入金",IF(L375-設定!$C$5&lt;=設定!$C$6,"期日間近","入金待ち")))))))))</f>
        <v/>
      </c>
      <c r="V375" s="30" t="str">
        <f aca="false">IF(OR(U375="期日超過",U375="一部入金・超過"),設定!$C$5-L375,"")</f>
        <v/>
      </c>
      <c r="W375" s="21" t="str">
        <f aca="false">IF(A375="","",TRIM(IF(B375="","請求日 ","")&amp;IF(C375="","取引先 ",IF(D375="コード誤り","取引先コード誤り ",""))&amp;IF(E375="","件名 ","")&amp;IF(F375="","税抜金額 ","")&amp;IF(G375="","税率 ","")&amp;IF(M375="","送付方法 ","")&amp;IF(AND(N375&lt;&gt;"",O375=""),"送付者 ","")&amp;IF(AND(I375&lt;&gt;"",L375=""),"入金期日 ","")&amp;IF(AND(N375&lt;&gt;"",P375&gt;0,S375&lt;=0,X375=""),"消込確認者 ","")))</f>
        <v/>
      </c>
      <c r="X375" s="28"/>
      <c r="Y375" s="28"/>
    </row>
    <row r="376" customFormat="false" ht="15" hidden="false" customHeight="false" outlineLevel="0" collapsed="false">
      <c r="A376" s="21" t="str">
        <f aca="false">IF(COUNTA(B376,C376,E376,F376)=0,"",設定!$C$4&amp;TEXT(ROW()-4,"00000"))</f>
        <v/>
      </c>
      <c r="B376" s="22"/>
      <c r="C376" s="23"/>
      <c r="D376" s="21" t="str">
        <f aca="false">IF(C376="","",IFERROR(INDEX(取引先マスタ!$B$5:$B$204,MATCH($C376,取引先マスタ!$A$5:$A$204,0)),"コード誤り"))</f>
        <v/>
      </c>
      <c r="E376" s="28"/>
      <c r="F376" s="18"/>
      <c r="G376" s="25"/>
      <c r="H376" s="26" t="str">
        <f aca="false">IF(OR(F376="",G376=""),"",ROUNDDOWN(F376*G376,0))</f>
        <v/>
      </c>
      <c r="I376" s="26" t="str">
        <f aca="false">IF(OR(F376="",G376=""),"",F376+H376)</f>
        <v/>
      </c>
      <c r="J376" s="27" t="str">
        <f aca="false">IF(OR(B376="",C376="",D376="コード誤り"),"",IFERROR(DATE(YEAR(B376),MONTH(B376)+INDEX(取引先マスタ!$E$5:$E$204,MATCH($C376,取引先マスタ!$A$5:$A$204,0)),MIN(INDEX(取引先マスタ!$F$5:$F$204,MATCH($C376,取引先マスタ!$A$5:$A$204,0)),DAY(EOMONTH(B376,INDEX(取引先マスタ!$E$5:$E$204,MATCH($C376,取引先マスタ!$A$5:$A$204,0)))))),""))</f>
        <v/>
      </c>
      <c r="K376" s="22"/>
      <c r="L376" s="27" t="str">
        <f aca="false">IF(K376&lt;&gt;"",K376,J376)</f>
        <v/>
      </c>
      <c r="M376" s="28"/>
      <c r="N376" s="22"/>
      <c r="O376" s="28"/>
      <c r="P376" s="26" t="str">
        <f aca="false">IF(A376="","",SUMIF(入金明細!$F$5:$F$1004,A376,入金明細!$E$5:$E$1004))</f>
        <v/>
      </c>
      <c r="Q376" s="27" t="str">
        <f aca="false">IF(OR(A376="",N(P376)=0),"",SUMPRODUCT(MAX((入金明細!$F$5:$F$1004=A376)*入金明細!$B$5:$B$1004)))</f>
        <v/>
      </c>
      <c r="R376" s="18"/>
      <c r="S376" s="26" t="str">
        <f aca="false">IF(OR(A376="",I376=""),"",I376-N(P376)-N(R376))</f>
        <v/>
      </c>
      <c r="T376" s="28"/>
      <c r="U376" s="29" t="str">
        <f aca="false">IF(A376="","",IF(T376="取消","取消",IF(W376&lt;&gt;"","要入力",IF(N376="","未送付",IF(S376=0,"入金済",IF(S376&lt;0,"過入金",IF(設定!$C$5&gt;L376,IF(P376&gt;0,"一部入金・超過","期日超過"),IF(P376&gt;0,"一部入金",IF(L376-設定!$C$5&lt;=設定!$C$6,"期日間近","入金待ち")))))))))</f>
        <v/>
      </c>
      <c r="V376" s="30" t="str">
        <f aca="false">IF(OR(U376="期日超過",U376="一部入金・超過"),設定!$C$5-L376,"")</f>
        <v/>
      </c>
      <c r="W376" s="21" t="str">
        <f aca="false">IF(A376="","",TRIM(IF(B376="","請求日 ","")&amp;IF(C376="","取引先 ",IF(D376="コード誤り","取引先コード誤り ",""))&amp;IF(E376="","件名 ","")&amp;IF(F376="","税抜金額 ","")&amp;IF(G376="","税率 ","")&amp;IF(M376="","送付方法 ","")&amp;IF(AND(N376&lt;&gt;"",O376=""),"送付者 ","")&amp;IF(AND(I376&lt;&gt;"",L376=""),"入金期日 ","")&amp;IF(AND(N376&lt;&gt;"",P376&gt;0,S376&lt;=0,X376=""),"消込確認者 ","")))</f>
        <v/>
      </c>
      <c r="X376" s="28"/>
      <c r="Y376" s="28"/>
    </row>
    <row r="377" customFormat="false" ht="15" hidden="false" customHeight="false" outlineLevel="0" collapsed="false">
      <c r="A377" s="21" t="str">
        <f aca="false">IF(COUNTA(B377,C377,E377,F377)=0,"",設定!$C$4&amp;TEXT(ROW()-4,"00000"))</f>
        <v/>
      </c>
      <c r="B377" s="22"/>
      <c r="C377" s="23"/>
      <c r="D377" s="21" t="str">
        <f aca="false">IF(C377="","",IFERROR(INDEX(取引先マスタ!$B$5:$B$204,MATCH($C377,取引先マスタ!$A$5:$A$204,0)),"コード誤り"))</f>
        <v/>
      </c>
      <c r="E377" s="28"/>
      <c r="F377" s="18"/>
      <c r="G377" s="25"/>
      <c r="H377" s="26" t="str">
        <f aca="false">IF(OR(F377="",G377=""),"",ROUNDDOWN(F377*G377,0))</f>
        <v/>
      </c>
      <c r="I377" s="26" t="str">
        <f aca="false">IF(OR(F377="",G377=""),"",F377+H377)</f>
        <v/>
      </c>
      <c r="J377" s="27" t="str">
        <f aca="false">IF(OR(B377="",C377="",D377="コード誤り"),"",IFERROR(DATE(YEAR(B377),MONTH(B377)+INDEX(取引先マスタ!$E$5:$E$204,MATCH($C377,取引先マスタ!$A$5:$A$204,0)),MIN(INDEX(取引先マスタ!$F$5:$F$204,MATCH($C377,取引先マスタ!$A$5:$A$204,0)),DAY(EOMONTH(B377,INDEX(取引先マスタ!$E$5:$E$204,MATCH($C377,取引先マスタ!$A$5:$A$204,0)))))),""))</f>
        <v/>
      </c>
      <c r="K377" s="22"/>
      <c r="L377" s="27" t="str">
        <f aca="false">IF(K377&lt;&gt;"",K377,J377)</f>
        <v/>
      </c>
      <c r="M377" s="28"/>
      <c r="N377" s="22"/>
      <c r="O377" s="28"/>
      <c r="P377" s="26" t="str">
        <f aca="false">IF(A377="","",SUMIF(入金明細!$F$5:$F$1004,A377,入金明細!$E$5:$E$1004))</f>
        <v/>
      </c>
      <c r="Q377" s="27" t="str">
        <f aca="false">IF(OR(A377="",N(P377)=0),"",SUMPRODUCT(MAX((入金明細!$F$5:$F$1004=A377)*入金明細!$B$5:$B$1004)))</f>
        <v/>
      </c>
      <c r="R377" s="18"/>
      <c r="S377" s="26" t="str">
        <f aca="false">IF(OR(A377="",I377=""),"",I377-N(P377)-N(R377))</f>
        <v/>
      </c>
      <c r="T377" s="28"/>
      <c r="U377" s="29" t="str">
        <f aca="false">IF(A377="","",IF(T377="取消","取消",IF(W377&lt;&gt;"","要入力",IF(N377="","未送付",IF(S377=0,"入金済",IF(S377&lt;0,"過入金",IF(設定!$C$5&gt;L377,IF(P377&gt;0,"一部入金・超過","期日超過"),IF(P377&gt;0,"一部入金",IF(L377-設定!$C$5&lt;=設定!$C$6,"期日間近","入金待ち")))))))))</f>
        <v/>
      </c>
      <c r="V377" s="30" t="str">
        <f aca="false">IF(OR(U377="期日超過",U377="一部入金・超過"),設定!$C$5-L377,"")</f>
        <v/>
      </c>
      <c r="W377" s="21" t="str">
        <f aca="false">IF(A377="","",TRIM(IF(B377="","請求日 ","")&amp;IF(C377="","取引先 ",IF(D377="コード誤り","取引先コード誤り ",""))&amp;IF(E377="","件名 ","")&amp;IF(F377="","税抜金額 ","")&amp;IF(G377="","税率 ","")&amp;IF(M377="","送付方法 ","")&amp;IF(AND(N377&lt;&gt;"",O377=""),"送付者 ","")&amp;IF(AND(I377&lt;&gt;"",L377=""),"入金期日 ","")&amp;IF(AND(N377&lt;&gt;"",P377&gt;0,S377&lt;=0,X377=""),"消込確認者 ","")))</f>
        <v/>
      </c>
      <c r="X377" s="28"/>
      <c r="Y377" s="28"/>
    </row>
    <row r="378" customFormat="false" ht="15" hidden="false" customHeight="false" outlineLevel="0" collapsed="false">
      <c r="A378" s="21" t="str">
        <f aca="false">IF(COUNTA(B378,C378,E378,F378)=0,"",設定!$C$4&amp;TEXT(ROW()-4,"00000"))</f>
        <v/>
      </c>
      <c r="B378" s="22"/>
      <c r="C378" s="23"/>
      <c r="D378" s="21" t="str">
        <f aca="false">IF(C378="","",IFERROR(INDEX(取引先マスタ!$B$5:$B$204,MATCH($C378,取引先マスタ!$A$5:$A$204,0)),"コード誤り"))</f>
        <v/>
      </c>
      <c r="E378" s="28"/>
      <c r="F378" s="18"/>
      <c r="G378" s="25"/>
      <c r="H378" s="26" t="str">
        <f aca="false">IF(OR(F378="",G378=""),"",ROUNDDOWN(F378*G378,0))</f>
        <v/>
      </c>
      <c r="I378" s="26" t="str">
        <f aca="false">IF(OR(F378="",G378=""),"",F378+H378)</f>
        <v/>
      </c>
      <c r="J378" s="27" t="str">
        <f aca="false">IF(OR(B378="",C378="",D378="コード誤り"),"",IFERROR(DATE(YEAR(B378),MONTH(B378)+INDEX(取引先マスタ!$E$5:$E$204,MATCH($C378,取引先マスタ!$A$5:$A$204,0)),MIN(INDEX(取引先マスタ!$F$5:$F$204,MATCH($C378,取引先マスタ!$A$5:$A$204,0)),DAY(EOMONTH(B378,INDEX(取引先マスタ!$E$5:$E$204,MATCH($C378,取引先マスタ!$A$5:$A$204,0)))))),""))</f>
        <v/>
      </c>
      <c r="K378" s="22"/>
      <c r="L378" s="27" t="str">
        <f aca="false">IF(K378&lt;&gt;"",K378,J378)</f>
        <v/>
      </c>
      <c r="M378" s="28"/>
      <c r="N378" s="22"/>
      <c r="O378" s="28"/>
      <c r="P378" s="26" t="str">
        <f aca="false">IF(A378="","",SUMIF(入金明細!$F$5:$F$1004,A378,入金明細!$E$5:$E$1004))</f>
        <v/>
      </c>
      <c r="Q378" s="27" t="str">
        <f aca="false">IF(OR(A378="",N(P378)=0),"",SUMPRODUCT(MAX((入金明細!$F$5:$F$1004=A378)*入金明細!$B$5:$B$1004)))</f>
        <v/>
      </c>
      <c r="R378" s="18"/>
      <c r="S378" s="26" t="str">
        <f aca="false">IF(OR(A378="",I378=""),"",I378-N(P378)-N(R378))</f>
        <v/>
      </c>
      <c r="T378" s="28"/>
      <c r="U378" s="29" t="str">
        <f aca="false">IF(A378="","",IF(T378="取消","取消",IF(W378&lt;&gt;"","要入力",IF(N378="","未送付",IF(S378=0,"入金済",IF(S378&lt;0,"過入金",IF(設定!$C$5&gt;L378,IF(P378&gt;0,"一部入金・超過","期日超過"),IF(P378&gt;0,"一部入金",IF(L378-設定!$C$5&lt;=設定!$C$6,"期日間近","入金待ち")))))))))</f>
        <v/>
      </c>
      <c r="V378" s="30" t="str">
        <f aca="false">IF(OR(U378="期日超過",U378="一部入金・超過"),設定!$C$5-L378,"")</f>
        <v/>
      </c>
      <c r="W378" s="21" t="str">
        <f aca="false">IF(A378="","",TRIM(IF(B378="","請求日 ","")&amp;IF(C378="","取引先 ",IF(D378="コード誤り","取引先コード誤り ",""))&amp;IF(E378="","件名 ","")&amp;IF(F378="","税抜金額 ","")&amp;IF(G378="","税率 ","")&amp;IF(M378="","送付方法 ","")&amp;IF(AND(N378&lt;&gt;"",O378=""),"送付者 ","")&amp;IF(AND(I378&lt;&gt;"",L378=""),"入金期日 ","")&amp;IF(AND(N378&lt;&gt;"",P378&gt;0,S378&lt;=0,X378=""),"消込確認者 ","")))</f>
        <v/>
      </c>
      <c r="X378" s="28"/>
      <c r="Y378" s="28"/>
    </row>
    <row r="379" customFormat="false" ht="15" hidden="false" customHeight="false" outlineLevel="0" collapsed="false">
      <c r="A379" s="21" t="str">
        <f aca="false">IF(COUNTA(B379,C379,E379,F379)=0,"",設定!$C$4&amp;TEXT(ROW()-4,"00000"))</f>
        <v/>
      </c>
      <c r="B379" s="22"/>
      <c r="C379" s="23"/>
      <c r="D379" s="21" t="str">
        <f aca="false">IF(C379="","",IFERROR(INDEX(取引先マスタ!$B$5:$B$204,MATCH($C379,取引先マスタ!$A$5:$A$204,0)),"コード誤り"))</f>
        <v/>
      </c>
      <c r="E379" s="28"/>
      <c r="F379" s="18"/>
      <c r="G379" s="25"/>
      <c r="H379" s="26" t="str">
        <f aca="false">IF(OR(F379="",G379=""),"",ROUNDDOWN(F379*G379,0))</f>
        <v/>
      </c>
      <c r="I379" s="26" t="str">
        <f aca="false">IF(OR(F379="",G379=""),"",F379+H379)</f>
        <v/>
      </c>
      <c r="J379" s="27" t="str">
        <f aca="false">IF(OR(B379="",C379="",D379="コード誤り"),"",IFERROR(DATE(YEAR(B379),MONTH(B379)+INDEX(取引先マスタ!$E$5:$E$204,MATCH($C379,取引先マスタ!$A$5:$A$204,0)),MIN(INDEX(取引先マスタ!$F$5:$F$204,MATCH($C379,取引先マスタ!$A$5:$A$204,0)),DAY(EOMONTH(B379,INDEX(取引先マスタ!$E$5:$E$204,MATCH($C379,取引先マスタ!$A$5:$A$204,0)))))),""))</f>
        <v/>
      </c>
      <c r="K379" s="22"/>
      <c r="L379" s="27" t="str">
        <f aca="false">IF(K379&lt;&gt;"",K379,J379)</f>
        <v/>
      </c>
      <c r="M379" s="28"/>
      <c r="N379" s="22"/>
      <c r="O379" s="28"/>
      <c r="P379" s="26" t="str">
        <f aca="false">IF(A379="","",SUMIF(入金明細!$F$5:$F$1004,A379,入金明細!$E$5:$E$1004))</f>
        <v/>
      </c>
      <c r="Q379" s="27" t="str">
        <f aca="false">IF(OR(A379="",N(P379)=0),"",SUMPRODUCT(MAX((入金明細!$F$5:$F$1004=A379)*入金明細!$B$5:$B$1004)))</f>
        <v/>
      </c>
      <c r="R379" s="18"/>
      <c r="S379" s="26" t="str">
        <f aca="false">IF(OR(A379="",I379=""),"",I379-N(P379)-N(R379))</f>
        <v/>
      </c>
      <c r="T379" s="28"/>
      <c r="U379" s="29" t="str">
        <f aca="false">IF(A379="","",IF(T379="取消","取消",IF(W379&lt;&gt;"","要入力",IF(N379="","未送付",IF(S379=0,"入金済",IF(S379&lt;0,"過入金",IF(設定!$C$5&gt;L379,IF(P379&gt;0,"一部入金・超過","期日超過"),IF(P379&gt;0,"一部入金",IF(L379-設定!$C$5&lt;=設定!$C$6,"期日間近","入金待ち")))))))))</f>
        <v/>
      </c>
      <c r="V379" s="30" t="str">
        <f aca="false">IF(OR(U379="期日超過",U379="一部入金・超過"),設定!$C$5-L379,"")</f>
        <v/>
      </c>
      <c r="W379" s="21" t="str">
        <f aca="false">IF(A379="","",TRIM(IF(B379="","請求日 ","")&amp;IF(C379="","取引先 ",IF(D379="コード誤り","取引先コード誤り ",""))&amp;IF(E379="","件名 ","")&amp;IF(F379="","税抜金額 ","")&amp;IF(G379="","税率 ","")&amp;IF(M379="","送付方法 ","")&amp;IF(AND(N379&lt;&gt;"",O379=""),"送付者 ","")&amp;IF(AND(I379&lt;&gt;"",L379=""),"入金期日 ","")&amp;IF(AND(N379&lt;&gt;"",P379&gt;0,S379&lt;=0,X379=""),"消込確認者 ","")))</f>
        <v/>
      </c>
      <c r="X379" s="28"/>
      <c r="Y379" s="28"/>
    </row>
    <row r="380" customFormat="false" ht="15" hidden="false" customHeight="false" outlineLevel="0" collapsed="false">
      <c r="A380" s="21" t="str">
        <f aca="false">IF(COUNTA(B380,C380,E380,F380)=0,"",設定!$C$4&amp;TEXT(ROW()-4,"00000"))</f>
        <v/>
      </c>
      <c r="B380" s="22"/>
      <c r="C380" s="23"/>
      <c r="D380" s="21" t="str">
        <f aca="false">IF(C380="","",IFERROR(INDEX(取引先マスタ!$B$5:$B$204,MATCH($C380,取引先マスタ!$A$5:$A$204,0)),"コード誤り"))</f>
        <v/>
      </c>
      <c r="E380" s="28"/>
      <c r="F380" s="18"/>
      <c r="G380" s="25"/>
      <c r="H380" s="26" t="str">
        <f aca="false">IF(OR(F380="",G380=""),"",ROUNDDOWN(F380*G380,0))</f>
        <v/>
      </c>
      <c r="I380" s="26" t="str">
        <f aca="false">IF(OR(F380="",G380=""),"",F380+H380)</f>
        <v/>
      </c>
      <c r="J380" s="27" t="str">
        <f aca="false">IF(OR(B380="",C380="",D380="コード誤り"),"",IFERROR(DATE(YEAR(B380),MONTH(B380)+INDEX(取引先マスタ!$E$5:$E$204,MATCH($C380,取引先マスタ!$A$5:$A$204,0)),MIN(INDEX(取引先マスタ!$F$5:$F$204,MATCH($C380,取引先マスタ!$A$5:$A$204,0)),DAY(EOMONTH(B380,INDEX(取引先マスタ!$E$5:$E$204,MATCH($C380,取引先マスタ!$A$5:$A$204,0)))))),""))</f>
        <v/>
      </c>
      <c r="K380" s="22"/>
      <c r="L380" s="27" t="str">
        <f aca="false">IF(K380&lt;&gt;"",K380,J380)</f>
        <v/>
      </c>
      <c r="M380" s="28"/>
      <c r="N380" s="22"/>
      <c r="O380" s="28"/>
      <c r="P380" s="26" t="str">
        <f aca="false">IF(A380="","",SUMIF(入金明細!$F$5:$F$1004,A380,入金明細!$E$5:$E$1004))</f>
        <v/>
      </c>
      <c r="Q380" s="27" t="str">
        <f aca="false">IF(OR(A380="",N(P380)=0),"",SUMPRODUCT(MAX((入金明細!$F$5:$F$1004=A380)*入金明細!$B$5:$B$1004)))</f>
        <v/>
      </c>
      <c r="R380" s="18"/>
      <c r="S380" s="26" t="str">
        <f aca="false">IF(OR(A380="",I380=""),"",I380-N(P380)-N(R380))</f>
        <v/>
      </c>
      <c r="T380" s="28"/>
      <c r="U380" s="29" t="str">
        <f aca="false">IF(A380="","",IF(T380="取消","取消",IF(W380&lt;&gt;"","要入力",IF(N380="","未送付",IF(S380=0,"入金済",IF(S380&lt;0,"過入金",IF(設定!$C$5&gt;L380,IF(P380&gt;0,"一部入金・超過","期日超過"),IF(P380&gt;0,"一部入金",IF(L380-設定!$C$5&lt;=設定!$C$6,"期日間近","入金待ち")))))))))</f>
        <v/>
      </c>
      <c r="V380" s="30" t="str">
        <f aca="false">IF(OR(U380="期日超過",U380="一部入金・超過"),設定!$C$5-L380,"")</f>
        <v/>
      </c>
      <c r="W380" s="21" t="str">
        <f aca="false">IF(A380="","",TRIM(IF(B380="","請求日 ","")&amp;IF(C380="","取引先 ",IF(D380="コード誤り","取引先コード誤り ",""))&amp;IF(E380="","件名 ","")&amp;IF(F380="","税抜金額 ","")&amp;IF(G380="","税率 ","")&amp;IF(M380="","送付方法 ","")&amp;IF(AND(N380&lt;&gt;"",O380=""),"送付者 ","")&amp;IF(AND(I380&lt;&gt;"",L380=""),"入金期日 ","")&amp;IF(AND(N380&lt;&gt;"",P380&gt;0,S380&lt;=0,X380=""),"消込確認者 ","")))</f>
        <v/>
      </c>
      <c r="X380" s="28"/>
      <c r="Y380" s="28"/>
    </row>
    <row r="381" customFormat="false" ht="15" hidden="false" customHeight="false" outlineLevel="0" collapsed="false">
      <c r="A381" s="21" t="str">
        <f aca="false">IF(COUNTA(B381,C381,E381,F381)=0,"",設定!$C$4&amp;TEXT(ROW()-4,"00000"))</f>
        <v/>
      </c>
      <c r="B381" s="22"/>
      <c r="C381" s="23"/>
      <c r="D381" s="21" t="str">
        <f aca="false">IF(C381="","",IFERROR(INDEX(取引先マスタ!$B$5:$B$204,MATCH($C381,取引先マスタ!$A$5:$A$204,0)),"コード誤り"))</f>
        <v/>
      </c>
      <c r="E381" s="28"/>
      <c r="F381" s="18"/>
      <c r="G381" s="25"/>
      <c r="H381" s="26" t="str">
        <f aca="false">IF(OR(F381="",G381=""),"",ROUNDDOWN(F381*G381,0))</f>
        <v/>
      </c>
      <c r="I381" s="26" t="str">
        <f aca="false">IF(OR(F381="",G381=""),"",F381+H381)</f>
        <v/>
      </c>
      <c r="J381" s="27" t="str">
        <f aca="false">IF(OR(B381="",C381="",D381="コード誤り"),"",IFERROR(DATE(YEAR(B381),MONTH(B381)+INDEX(取引先マスタ!$E$5:$E$204,MATCH($C381,取引先マスタ!$A$5:$A$204,0)),MIN(INDEX(取引先マスタ!$F$5:$F$204,MATCH($C381,取引先マスタ!$A$5:$A$204,0)),DAY(EOMONTH(B381,INDEX(取引先マスタ!$E$5:$E$204,MATCH($C381,取引先マスタ!$A$5:$A$204,0)))))),""))</f>
        <v/>
      </c>
      <c r="K381" s="22"/>
      <c r="L381" s="27" t="str">
        <f aca="false">IF(K381&lt;&gt;"",K381,J381)</f>
        <v/>
      </c>
      <c r="M381" s="28"/>
      <c r="N381" s="22"/>
      <c r="O381" s="28"/>
      <c r="P381" s="26" t="str">
        <f aca="false">IF(A381="","",SUMIF(入金明細!$F$5:$F$1004,A381,入金明細!$E$5:$E$1004))</f>
        <v/>
      </c>
      <c r="Q381" s="27" t="str">
        <f aca="false">IF(OR(A381="",N(P381)=0),"",SUMPRODUCT(MAX((入金明細!$F$5:$F$1004=A381)*入金明細!$B$5:$B$1004)))</f>
        <v/>
      </c>
      <c r="R381" s="18"/>
      <c r="S381" s="26" t="str">
        <f aca="false">IF(OR(A381="",I381=""),"",I381-N(P381)-N(R381))</f>
        <v/>
      </c>
      <c r="T381" s="28"/>
      <c r="U381" s="29" t="str">
        <f aca="false">IF(A381="","",IF(T381="取消","取消",IF(W381&lt;&gt;"","要入力",IF(N381="","未送付",IF(S381=0,"入金済",IF(S381&lt;0,"過入金",IF(設定!$C$5&gt;L381,IF(P381&gt;0,"一部入金・超過","期日超過"),IF(P381&gt;0,"一部入金",IF(L381-設定!$C$5&lt;=設定!$C$6,"期日間近","入金待ち")))))))))</f>
        <v/>
      </c>
      <c r="V381" s="30" t="str">
        <f aca="false">IF(OR(U381="期日超過",U381="一部入金・超過"),設定!$C$5-L381,"")</f>
        <v/>
      </c>
      <c r="W381" s="21" t="str">
        <f aca="false">IF(A381="","",TRIM(IF(B381="","請求日 ","")&amp;IF(C381="","取引先 ",IF(D381="コード誤り","取引先コード誤り ",""))&amp;IF(E381="","件名 ","")&amp;IF(F381="","税抜金額 ","")&amp;IF(G381="","税率 ","")&amp;IF(M381="","送付方法 ","")&amp;IF(AND(N381&lt;&gt;"",O381=""),"送付者 ","")&amp;IF(AND(I381&lt;&gt;"",L381=""),"入金期日 ","")&amp;IF(AND(N381&lt;&gt;"",P381&gt;0,S381&lt;=0,X381=""),"消込確認者 ","")))</f>
        <v/>
      </c>
      <c r="X381" s="28"/>
      <c r="Y381" s="28"/>
    </row>
    <row r="382" customFormat="false" ht="15" hidden="false" customHeight="false" outlineLevel="0" collapsed="false">
      <c r="A382" s="21" t="str">
        <f aca="false">IF(COUNTA(B382,C382,E382,F382)=0,"",設定!$C$4&amp;TEXT(ROW()-4,"00000"))</f>
        <v/>
      </c>
      <c r="B382" s="22"/>
      <c r="C382" s="23"/>
      <c r="D382" s="21" t="str">
        <f aca="false">IF(C382="","",IFERROR(INDEX(取引先マスタ!$B$5:$B$204,MATCH($C382,取引先マスタ!$A$5:$A$204,0)),"コード誤り"))</f>
        <v/>
      </c>
      <c r="E382" s="28"/>
      <c r="F382" s="18"/>
      <c r="G382" s="25"/>
      <c r="H382" s="26" t="str">
        <f aca="false">IF(OR(F382="",G382=""),"",ROUNDDOWN(F382*G382,0))</f>
        <v/>
      </c>
      <c r="I382" s="26" t="str">
        <f aca="false">IF(OR(F382="",G382=""),"",F382+H382)</f>
        <v/>
      </c>
      <c r="J382" s="27" t="str">
        <f aca="false">IF(OR(B382="",C382="",D382="コード誤り"),"",IFERROR(DATE(YEAR(B382),MONTH(B382)+INDEX(取引先マスタ!$E$5:$E$204,MATCH($C382,取引先マスタ!$A$5:$A$204,0)),MIN(INDEX(取引先マスタ!$F$5:$F$204,MATCH($C382,取引先マスタ!$A$5:$A$204,0)),DAY(EOMONTH(B382,INDEX(取引先マスタ!$E$5:$E$204,MATCH($C382,取引先マスタ!$A$5:$A$204,0)))))),""))</f>
        <v/>
      </c>
      <c r="K382" s="22"/>
      <c r="L382" s="27" t="str">
        <f aca="false">IF(K382&lt;&gt;"",K382,J382)</f>
        <v/>
      </c>
      <c r="M382" s="28"/>
      <c r="N382" s="22"/>
      <c r="O382" s="28"/>
      <c r="P382" s="26" t="str">
        <f aca="false">IF(A382="","",SUMIF(入金明細!$F$5:$F$1004,A382,入金明細!$E$5:$E$1004))</f>
        <v/>
      </c>
      <c r="Q382" s="27" t="str">
        <f aca="false">IF(OR(A382="",N(P382)=0),"",SUMPRODUCT(MAX((入金明細!$F$5:$F$1004=A382)*入金明細!$B$5:$B$1004)))</f>
        <v/>
      </c>
      <c r="R382" s="18"/>
      <c r="S382" s="26" t="str">
        <f aca="false">IF(OR(A382="",I382=""),"",I382-N(P382)-N(R382))</f>
        <v/>
      </c>
      <c r="T382" s="28"/>
      <c r="U382" s="29" t="str">
        <f aca="false">IF(A382="","",IF(T382="取消","取消",IF(W382&lt;&gt;"","要入力",IF(N382="","未送付",IF(S382=0,"入金済",IF(S382&lt;0,"過入金",IF(設定!$C$5&gt;L382,IF(P382&gt;0,"一部入金・超過","期日超過"),IF(P382&gt;0,"一部入金",IF(L382-設定!$C$5&lt;=設定!$C$6,"期日間近","入金待ち")))))))))</f>
        <v/>
      </c>
      <c r="V382" s="30" t="str">
        <f aca="false">IF(OR(U382="期日超過",U382="一部入金・超過"),設定!$C$5-L382,"")</f>
        <v/>
      </c>
      <c r="W382" s="21" t="str">
        <f aca="false">IF(A382="","",TRIM(IF(B382="","請求日 ","")&amp;IF(C382="","取引先 ",IF(D382="コード誤り","取引先コード誤り ",""))&amp;IF(E382="","件名 ","")&amp;IF(F382="","税抜金額 ","")&amp;IF(G382="","税率 ","")&amp;IF(M382="","送付方法 ","")&amp;IF(AND(N382&lt;&gt;"",O382=""),"送付者 ","")&amp;IF(AND(I382&lt;&gt;"",L382=""),"入金期日 ","")&amp;IF(AND(N382&lt;&gt;"",P382&gt;0,S382&lt;=0,X382=""),"消込確認者 ","")))</f>
        <v/>
      </c>
      <c r="X382" s="28"/>
      <c r="Y382" s="28"/>
    </row>
    <row r="383" customFormat="false" ht="15" hidden="false" customHeight="false" outlineLevel="0" collapsed="false">
      <c r="A383" s="21" t="str">
        <f aca="false">IF(COUNTA(B383,C383,E383,F383)=0,"",設定!$C$4&amp;TEXT(ROW()-4,"00000"))</f>
        <v/>
      </c>
      <c r="B383" s="22"/>
      <c r="C383" s="23"/>
      <c r="D383" s="21" t="str">
        <f aca="false">IF(C383="","",IFERROR(INDEX(取引先マスタ!$B$5:$B$204,MATCH($C383,取引先マスタ!$A$5:$A$204,0)),"コード誤り"))</f>
        <v/>
      </c>
      <c r="E383" s="28"/>
      <c r="F383" s="18"/>
      <c r="G383" s="25"/>
      <c r="H383" s="26" t="str">
        <f aca="false">IF(OR(F383="",G383=""),"",ROUNDDOWN(F383*G383,0))</f>
        <v/>
      </c>
      <c r="I383" s="26" t="str">
        <f aca="false">IF(OR(F383="",G383=""),"",F383+H383)</f>
        <v/>
      </c>
      <c r="J383" s="27" t="str">
        <f aca="false">IF(OR(B383="",C383="",D383="コード誤り"),"",IFERROR(DATE(YEAR(B383),MONTH(B383)+INDEX(取引先マスタ!$E$5:$E$204,MATCH($C383,取引先マスタ!$A$5:$A$204,0)),MIN(INDEX(取引先マスタ!$F$5:$F$204,MATCH($C383,取引先マスタ!$A$5:$A$204,0)),DAY(EOMONTH(B383,INDEX(取引先マスタ!$E$5:$E$204,MATCH($C383,取引先マスタ!$A$5:$A$204,0)))))),""))</f>
        <v/>
      </c>
      <c r="K383" s="22"/>
      <c r="L383" s="27" t="str">
        <f aca="false">IF(K383&lt;&gt;"",K383,J383)</f>
        <v/>
      </c>
      <c r="M383" s="28"/>
      <c r="N383" s="22"/>
      <c r="O383" s="28"/>
      <c r="P383" s="26" t="str">
        <f aca="false">IF(A383="","",SUMIF(入金明細!$F$5:$F$1004,A383,入金明細!$E$5:$E$1004))</f>
        <v/>
      </c>
      <c r="Q383" s="27" t="str">
        <f aca="false">IF(OR(A383="",N(P383)=0),"",SUMPRODUCT(MAX((入金明細!$F$5:$F$1004=A383)*入金明細!$B$5:$B$1004)))</f>
        <v/>
      </c>
      <c r="R383" s="18"/>
      <c r="S383" s="26" t="str">
        <f aca="false">IF(OR(A383="",I383=""),"",I383-N(P383)-N(R383))</f>
        <v/>
      </c>
      <c r="T383" s="28"/>
      <c r="U383" s="29" t="str">
        <f aca="false">IF(A383="","",IF(T383="取消","取消",IF(W383&lt;&gt;"","要入力",IF(N383="","未送付",IF(S383=0,"入金済",IF(S383&lt;0,"過入金",IF(設定!$C$5&gt;L383,IF(P383&gt;0,"一部入金・超過","期日超過"),IF(P383&gt;0,"一部入金",IF(L383-設定!$C$5&lt;=設定!$C$6,"期日間近","入金待ち")))))))))</f>
        <v/>
      </c>
      <c r="V383" s="30" t="str">
        <f aca="false">IF(OR(U383="期日超過",U383="一部入金・超過"),設定!$C$5-L383,"")</f>
        <v/>
      </c>
      <c r="W383" s="21" t="str">
        <f aca="false">IF(A383="","",TRIM(IF(B383="","請求日 ","")&amp;IF(C383="","取引先 ",IF(D383="コード誤り","取引先コード誤り ",""))&amp;IF(E383="","件名 ","")&amp;IF(F383="","税抜金額 ","")&amp;IF(G383="","税率 ","")&amp;IF(M383="","送付方法 ","")&amp;IF(AND(N383&lt;&gt;"",O383=""),"送付者 ","")&amp;IF(AND(I383&lt;&gt;"",L383=""),"入金期日 ","")&amp;IF(AND(N383&lt;&gt;"",P383&gt;0,S383&lt;=0,X383=""),"消込確認者 ","")))</f>
        <v/>
      </c>
      <c r="X383" s="28"/>
      <c r="Y383" s="28"/>
    </row>
    <row r="384" customFormat="false" ht="15" hidden="false" customHeight="false" outlineLevel="0" collapsed="false">
      <c r="A384" s="21" t="str">
        <f aca="false">IF(COUNTA(B384,C384,E384,F384)=0,"",設定!$C$4&amp;TEXT(ROW()-4,"00000"))</f>
        <v/>
      </c>
      <c r="B384" s="22"/>
      <c r="C384" s="23"/>
      <c r="D384" s="21" t="str">
        <f aca="false">IF(C384="","",IFERROR(INDEX(取引先マスタ!$B$5:$B$204,MATCH($C384,取引先マスタ!$A$5:$A$204,0)),"コード誤り"))</f>
        <v/>
      </c>
      <c r="E384" s="28"/>
      <c r="F384" s="18"/>
      <c r="G384" s="25"/>
      <c r="H384" s="26" t="str">
        <f aca="false">IF(OR(F384="",G384=""),"",ROUNDDOWN(F384*G384,0))</f>
        <v/>
      </c>
      <c r="I384" s="26" t="str">
        <f aca="false">IF(OR(F384="",G384=""),"",F384+H384)</f>
        <v/>
      </c>
      <c r="J384" s="27" t="str">
        <f aca="false">IF(OR(B384="",C384="",D384="コード誤り"),"",IFERROR(DATE(YEAR(B384),MONTH(B384)+INDEX(取引先マスタ!$E$5:$E$204,MATCH($C384,取引先マスタ!$A$5:$A$204,0)),MIN(INDEX(取引先マスタ!$F$5:$F$204,MATCH($C384,取引先マスタ!$A$5:$A$204,0)),DAY(EOMONTH(B384,INDEX(取引先マスタ!$E$5:$E$204,MATCH($C384,取引先マスタ!$A$5:$A$204,0)))))),""))</f>
        <v/>
      </c>
      <c r="K384" s="22"/>
      <c r="L384" s="27" t="str">
        <f aca="false">IF(K384&lt;&gt;"",K384,J384)</f>
        <v/>
      </c>
      <c r="M384" s="28"/>
      <c r="N384" s="22"/>
      <c r="O384" s="28"/>
      <c r="P384" s="26" t="str">
        <f aca="false">IF(A384="","",SUMIF(入金明細!$F$5:$F$1004,A384,入金明細!$E$5:$E$1004))</f>
        <v/>
      </c>
      <c r="Q384" s="27" t="str">
        <f aca="false">IF(OR(A384="",N(P384)=0),"",SUMPRODUCT(MAX((入金明細!$F$5:$F$1004=A384)*入金明細!$B$5:$B$1004)))</f>
        <v/>
      </c>
      <c r="R384" s="18"/>
      <c r="S384" s="26" t="str">
        <f aca="false">IF(OR(A384="",I384=""),"",I384-N(P384)-N(R384))</f>
        <v/>
      </c>
      <c r="T384" s="28"/>
      <c r="U384" s="29" t="str">
        <f aca="false">IF(A384="","",IF(T384="取消","取消",IF(W384&lt;&gt;"","要入力",IF(N384="","未送付",IF(S384=0,"入金済",IF(S384&lt;0,"過入金",IF(設定!$C$5&gt;L384,IF(P384&gt;0,"一部入金・超過","期日超過"),IF(P384&gt;0,"一部入金",IF(L384-設定!$C$5&lt;=設定!$C$6,"期日間近","入金待ち")))))))))</f>
        <v/>
      </c>
      <c r="V384" s="30" t="str">
        <f aca="false">IF(OR(U384="期日超過",U384="一部入金・超過"),設定!$C$5-L384,"")</f>
        <v/>
      </c>
      <c r="W384" s="21" t="str">
        <f aca="false">IF(A384="","",TRIM(IF(B384="","請求日 ","")&amp;IF(C384="","取引先 ",IF(D384="コード誤り","取引先コード誤り ",""))&amp;IF(E384="","件名 ","")&amp;IF(F384="","税抜金額 ","")&amp;IF(G384="","税率 ","")&amp;IF(M384="","送付方法 ","")&amp;IF(AND(N384&lt;&gt;"",O384=""),"送付者 ","")&amp;IF(AND(I384&lt;&gt;"",L384=""),"入金期日 ","")&amp;IF(AND(N384&lt;&gt;"",P384&gt;0,S384&lt;=0,X384=""),"消込確認者 ","")))</f>
        <v/>
      </c>
      <c r="X384" s="28"/>
      <c r="Y384" s="28"/>
    </row>
    <row r="385" customFormat="false" ht="15" hidden="false" customHeight="false" outlineLevel="0" collapsed="false">
      <c r="A385" s="21" t="str">
        <f aca="false">IF(COUNTA(B385,C385,E385,F385)=0,"",設定!$C$4&amp;TEXT(ROW()-4,"00000"))</f>
        <v/>
      </c>
      <c r="B385" s="22"/>
      <c r="C385" s="23"/>
      <c r="D385" s="21" t="str">
        <f aca="false">IF(C385="","",IFERROR(INDEX(取引先マスタ!$B$5:$B$204,MATCH($C385,取引先マスタ!$A$5:$A$204,0)),"コード誤り"))</f>
        <v/>
      </c>
      <c r="E385" s="28"/>
      <c r="F385" s="18"/>
      <c r="G385" s="25"/>
      <c r="H385" s="26" t="str">
        <f aca="false">IF(OR(F385="",G385=""),"",ROUNDDOWN(F385*G385,0))</f>
        <v/>
      </c>
      <c r="I385" s="26" t="str">
        <f aca="false">IF(OR(F385="",G385=""),"",F385+H385)</f>
        <v/>
      </c>
      <c r="J385" s="27" t="str">
        <f aca="false">IF(OR(B385="",C385="",D385="コード誤り"),"",IFERROR(DATE(YEAR(B385),MONTH(B385)+INDEX(取引先マスタ!$E$5:$E$204,MATCH($C385,取引先マスタ!$A$5:$A$204,0)),MIN(INDEX(取引先マスタ!$F$5:$F$204,MATCH($C385,取引先マスタ!$A$5:$A$204,0)),DAY(EOMONTH(B385,INDEX(取引先マスタ!$E$5:$E$204,MATCH($C385,取引先マスタ!$A$5:$A$204,0)))))),""))</f>
        <v/>
      </c>
      <c r="K385" s="22"/>
      <c r="L385" s="27" t="str">
        <f aca="false">IF(K385&lt;&gt;"",K385,J385)</f>
        <v/>
      </c>
      <c r="M385" s="28"/>
      <c r="N385" s="22"/>
      <c r="O385" s="28"/>
      <c r="P385" s="26" t="str">
        <f aca="false">IF(A385="","",SUMIF(入金明細!$F$5:$F$1004,A385,入金明細!$E$5:$E$1004))</f>
        <v/>
      </c>
      <c r="Q385" s="27" t="str">
        <f aca="false">IF(OR(A385="",N(P385)=0),"",SUMPRODUCT(MAX((入金明細!$F$5:$F$1004=A385)*入金明細!$B$5:$B$1004)))</f>
        <v/>
      </c>
      <c r="R385" s="18"/>
      <c r="S385" s="26" t="str">
        <f aca="false">IF(OR(A385="",I385=""),"",I385-N(P385)-N(R385))</f>
        <v/>
      </c>
      <c r="T385" s="28"/>
      <c r="U385" s="29" t="str">
        <f aca="false">IF(A385="","",IF(T385="取消","取消",IF(W385&lt;&gt;"","要入力",IF(N385="","未送付",IF(S385=0,"入金済",IF(S385&lt;0,"過入金",IF(設定!$C$5&gt;L385,IF(P385&gt;0,"一部入金・超過","期日超過"),IF(P385&gt;0,"一部入金",IF(L385-設定!$C$5&lt;=設定!$C$6,"期日間近","入金待ち")))))))))</f>
        <v/>
      </c>
      <c r="V385" s="30" t="str">
        <f aca="false">IF(OR(U385="期日超過",U385="一部入金・超過"),設定!$C$5-L385,"")</f>
        <v/>
      </c>
      <c r="W385" s="21" t="str">
        <f aca="false">IF(A385="","",TRIM(IF(B385="","請求日 ","")&amp;IF(C385="","取引先 ",IF(D385="コード誤り","取引先コード誤り ",""))&amp;IF(E385="","件名 ","")&amp;IF(F385="","税抜金額 ","")&amp;IF(G385="","税率 ","")&amp;IF(M385="","送付方法 ","")&amp;IF(AND(N385&lt;&gt;"",O385=""),"送付者 ","")&amp;IF(AND(I385&lt;&gt;"",L385=""),"入金期日 ","")&amp;IF(AND(N385&lt;&gt;"",P385&gt;0,S385&lt;=0,X385=""),"消込確認者 ","")))</f>
        <v/>
      </c>
      <c r="X385" s="28"/>
      <c r="Y385" s="28"/>
    </row>
    <row r="386" customFormat="false" ht="15" hidden="false" customHeight="false" outlineLevel="0" collapsed="false">
      <c r="A386" s="21" t="str">
        <f aca="false">IF(COUNTA(B386,C386,E386,F386)=0,"",設定!$C$4&amp;TEXT(ROW()-4,"00000"))</f>
        <v/>
      </c>
      <c r="B386" s="22"/>
      <c r="C386" s="23"/>
      <c r="D386" s="21" t="str">
        <f aca="false">IF(C386="","",IFERROR(INDEX(取引先マスタ!$B$5:$B$204,MATCH($C386,取引先マスタ!$A$5:$A$204,0)),"コード誤り"))</f>
        <v/>
      </c>
      <c r="E386" s="28"/>
      <c r="F386" s="18"/>
      <c r="G386" s="25"/>
      <c r="H386" s="26" t="str">
        <f aca="false">IF(OR(F386="",G386=""),"",ROUNDDOWN(F386*G386,0))</f>
        <v/>
      </c>
      <c r="I386" s="26" t="str">
        <f aca="false">IF(OR(F386="",G386=""),"",F386+H386)</f>
        <v/>
      </c>
      <c r="J386" s="27" t="str">
        <f aca="false">IF(OR(B386="",C386="",D386="コード誤り"),"",IFERROR(DATE(YEAR(B386),MONTH(B386)+INDEX(取引先マスタ!$E$5:$E$204,MATCH($C386,取引先マスタ!$A$5:$A$204,0)),MIN(INDEX(取引先マスタ!$F$5:$F$204,MATCH($C386,取引先マスタ!$A$5:$A$204,0)),DAY(EOMONTH(B386,INDEX(取引先マスタ!$E$5:$E$204,MATCH($C386,取引先マスタ!$A$5:$A$204,0)))))),""))</f>
        <v/>
      </c>
      <c r="K386" s="22"/>
      <c r="L386" s="27" t="str">
        <f aca="false">IF(K386&lt;&gt;"",K386,J386)</f>
        <v/>
      </c>
      <c r="M386" s="28"/>
      <c r="N386" s="22"/>
      <c r="O386" s="28"/>
      <c r="P386" s="26" t="str">
        <f aca="false">IF(A386="","",SUMIF(入金明細!$F$5:$F$1004,A386,入金明細!$E$5:$E$1004))</f>
        <v/>
      </c>
      <c r="Q386" s="27" t="str">
        <f aca="false">IF(OR(A386="",N(P386)=0),"",SUMPRODUCT(MAX((入金明細!$F$5:$F$1004=A386)*入金明細!$B$5:$B$1004)))</f>
        <v/>
      </c>
      <c r="R386" s="18"/>
      <c r="S386" s="26" t="str">
        <f aca="false">IF(OR(A386="",I386=""),"",I386-N(P386)-N(R386))</f>
        <v/>
      </c>
      <c r="T386" s="28"/>
      <c r="U386" s="29" t="str">
        <f aca="false">IF(A386="","",IF(T386="取消","取消",IF(W386&lt;&gt;"","要入力",IF(N386="","未送付",IF(S386=0,"入金済",IF(S386&lt;0,"過入金",IF(設定!$C$5&gt;L386,IF(P386&gt;0,"一部入金・超過","期日超過"),IF(P386&gt;0,"一部入金",IF(L386-設定!$C$5&lt;=設定!$C$6,"期日間近","入金待ち")))))))))</f>
        <v/>
      </c>
      <c r="V386" s="30" t="str">
        <f aca="false">IF(OR(U386="期日超過",U386="一部入金・超過"),設定!$C$5-L386,"")</f>
        <v/>
      </c>
      <c r="W386" s="21" t="str">
        <f aca="false">IF(A386="","",TRIM(IF(B386="","請求日 ","")&amp;IF(C386="","取引先 ",IF(D386="コード誤り","取引先コード誤り ",""))&amp;IF(E386="","件名 ","")&amp;IF(F386="","税抜金額 ","")&amp;IF(G386="","税率 ","")&amp;IF(M386="","送付方法 ","")&amp;IF(AND(N386&lt;&gt;"",O386=""),"送付者 ","")&amp;IF(AND(I386&lt;&gt;"",L386=""),"入金期日 ","")&amp;IF(AND(N386&lt;&gt;"",P386&gt;0,S386&lt;=0,X386=""),"消込確認者 ","")))</f>
        <v/>
      </c>
      <c r="X386" s="28"/>
      <c r="Y386" s="28"/>
    </row>
    <row r="387" customFormat="false" ht="15" hidden="false" customHeight="false" outlineLevel="0" collapsed="false">
      <c r="A387" s="21" t="str">
        <f aca="false">IF(COUNTA(B387,C387,E387,F387)=0,"",設定!$C$4&amp;TEXT(ROW()-4,"00000"))</f>
        <v/>
      </c>
      <c r="B387" s="22"/>
      <c r="C387" s="23"/>
      <c r="D387" s="21" t="str">
        <f aca="false">IF(C387="","",IFERROR(INDEX(取引先マスタ!$B$5:$B$204,MATCH($C387,取引先マスタ!$A$5:$A$204,0)),"コード誤り"))</f>
        <v/>
      </c>
      <c r="E387" s="28"/>
      <c r="F387" s="18"/>
      <c r="G387" s="25"/>
      <c r="H387" s="26" t="str">
        <f aca="false">IF(OR(F387="",G387=""),"",ROUNDDOWN(F387*G387,0))</f>
        <v/>
      </c>
      <c r="I387" s="26" t="str">
        <f aca="false">IF(OR(F387="",G387=""),"",F387+H387)</f>
        <v/>
      </c>
      <c r="J387" s="27" t="str">
        <f aca="false">IF(OR(B387="",C387="",D387="コード誤り"),"",IFERROR(DATE(YEAR(B387),MONTH(B387)+INDEX(取引先マスタ!$E$5:$E$204,MATCH($C387,取引先マスタ!$A$5:$A$204,0)),MIN(INDEX(取引先マスタ!$F$5:$F$204,MATCH($C387,取引先マスタ!$A$5:$A$204,0)),DAY(EOMONTH(B387,INDEX(取引先マスタ!$E$5:$E$204,MATCH($C387,取引先マスタ!$A$5:$A$204,0)))))),""))</f>
        <v/>
      </c>
      <c r="K387" s="22"/>
      <c r="L387" s="27" t="str">
        <f aca="false">IF(K387&lt;&gt;"",K387,J387)</f>
        <v/>
      </c>
      <c r="M387" s="28"/>
      <c r="N387" s="22"/>
      <c r="O387" s="28"/>
      <c r="P387" s="26" t="str">
        <f aca="false">IF(A387="","",SUMIF(入金明細!$F$5:$F$1004,A387,入金明細!$E$5:$E$1004))</f>
        <v/>
      </c>
      <c r="Q387" s="27" t="str">
        <f aca="false">IF(OR(A387="",N(P387)=0),"",SUMPRODUCT(MAX((入金明細!$F$5:$F$1004=A387)*入金明細!$B$5:$B$1004)))</f>
        <v/>
      </c>
      <c r="R387" s="18"/>
      <c r="S387" s="26" t="str">
        <f aca="false">IF(OR(A387="",I387=""),"",I387-N(P387)-N(R387))</f>
        <v/>
      </c>
      <c r="T387" s="28"/>
      <c r="U387" s="29" t="str">
        <f aca="false">IF(A387="","",IF(T387="取消","取消",IF(W387&lt;&gt;"","要入力",IF(N387="","未送付",IF(S387=0,"入金済",IF(S387&lt;0,"過入金",IF(設定!$C$5&gt;L387,IF(P387&gt;0,"一部入金・超過","期日超過"),IF(P387&gt;0,"一部入金",IF(L387-設定!$C$5&lt;=設定!$C$6,"期日間近","入金待ち")))))))))</f>
        <v/>
      </c>
      <c r="V387" s="30" t="str">
        <f aca="false">IF(OR(U387="期日超過",U387="一部入金・超過"),設定!$C$5-L387,"")</f>
        <v/>
      </c>
      <c r="W387" s="21" t="str">
        <f aca="false">IF(A387="","",TRIM(IF(B387="","請求日 ","")&amp;IF(C387="","取引先 ",IF(D387="コード誤り","取引先コード誤り ",""))&amp;IF(E387="","件名 ","")&amp;IF(F387="","税抜金額 ","")&amp;IF(G387="","税率 ","")&amp;IF(M387="","送付方法 ","")&amp;IF(AND(N387&lt;&gt;"",O387=""),"送付者 ","")&amp;IF(AND(I387&lt;&gt;"",L387=""),"入金期日 ","")&amp;IF(AND(N387&lt;&gt;"",P387&gt;0,S387&lt;=0,X387=""),"消込確認者 ","")))</f>
        <v/>
      </c>
      <c r="X387" s="28"/>
      <c r="Y387" s="28"/>
    </row>
    <row r="388" customFormat="false" ht="15" hidden="false" customHeight="false" outlineLevel="0" collapsed="false">
      <c r="A388" s="21" t="str">
        <f aca="false">IF(COUNTA(B388,C388,E388,F388)=0,"",設定!$C$4&amp;TEXT(ROW()-4,"00000"))</f>
        <v/>
      </c>
      <c r="B388" s="22"/>
      <c r="C388" s="23"/>
      <c r="D388" s="21" t="str">
        <f aca="false">IF(C388="","",IFERROR(INDEX(取引先マスタ!$B$5:$B$204,MATCH($C388,取引先マスタ!$A$5:$A$204,0)),"コード誤り"))</f>
        <v/>
      </c>
      <c r="E388" s="28"/>
      <c r="F388" s="18"/>
      <c r="G388" s="25"/>
      <c r="H388" s="26" t="str">
        <f aca="false">IF(OR(F388="",G388=""),"",ROUNDDOWN(F388*G388,0))</f>
        <v/>
      </c>
      <c r="I388" s="26" t="str">
        <f aca="false">IF(OR(F388="",G388=""),"",F388+H388)</f>
        <v/>
      </c>
      <c r="J388" s="27" t="str">
        <f aca="false">IF(OR(B388="",C388="",D388="コード誤り"),"",IFERROR(DATE(YEAR(B388),MONTH(B388)+INDEX(取引先マスタ!$E$5:$E$204,MATCH($C388,取引先マスタ!$A$5:$A$204,0)),MIN(INDEX(取引先マスタ!$F$5:$F$204,MATCH($C388,取引先マスタ!$A$5:$A$204,0)),DAY(EOMONTH(B388,INDEX(取引先マスタ!$E$5:$E$204,MATCH($C388,取引先マスタ!$A$5:$A$204,0)))))),""))</f>
        <v/>
      </c>
      <c r="K388" s="22"/>
      <c r="L388" s="27" t="str">
        <f aca="false">IF(K388&lt;&gt;"",K388,J388)</f>
        <v/>
      </c>
      <c r="M388" s="28"/>
      <c r="N388" s="22"/>
      <c r="O388" s="28"/>
      <c r="P388" s="26" t="str">
        <f aca="false">IF(A388="","",SUMIF(入金明細!$F$5:$F$1004,A388,入金明細!$E$5:$E$1004))</f>
        <v/>
      </c>
      <c r="Q388" s="27" t="str">
        <f aca="false">IF(OR(A388="",N(P388)=0),"",SUMPRODUCT(MAX((入金明細!$F$5:$F$1004=A388)*入金明細!$B$5:$B$1004)))</f>
        <v/>
      </c>
      <c r="R388" s="18"/>
      <c r="S388" s="26" t="str">
        <f aca="false">IF(OR(A388="",I388=""),"",I388-N(P388)-N(R388))</f>
        <v/>
      </c>
      <c r="T388" s="28"/>
      <c r="U388" s="29" t="str">
        <f aca="false">IF(A388="","",IF(T388="取消","取消",IF(W388&lt;&gt;"","要入力",IF(N388="","未送付",IF(S388=0,"入金済",IF(S388&lt;0,"過入金",IF(設定!$C$5&gt;L388,IF(P388&gt;0,"一部入金・超過","期日超過"),IF(P388&gt;0,"一部入金",IF(L388-設定!$C$5&lt;=設定!$C$6,"期日間近","入金待ち")))))))))</f>
        <v/>
      </c>
      <c r="V388" s="30" t="str">
        <f aca="false">IF(OR(U388="期日超過",U388="一部入金・超過"),設定!$C$5-L388,"")</f>
        <v/>
      </c>
      <c r="W388" s="21" t="str">
        <f aca="false">IF(A388="","",TRIM(IF(B388="","請求日 ","")&amp;IF(C388="","取引先 ",IF(D388="コード誤り","取引先コード誤り ",""))&amp;IF(E388="","件名 ","")&amp;IF(F388="","税抜金額 ","")&amp;IF(G388="","税率 ","")&amp;IF(M388="","送付方法 ","")&amp;IF(AND(N388&lt;&gt;"",O388=""),"送付者 ","")&amp;IF(AND(I388&lt;&gt;"",L388=""),"入金期日 ","")&amp;IF(AND(N388&lt;&gt;"",P388&gt;0,S388&lt;=0,X388=""),"消込確認者 ","")))</f>
        <v/>
      </c>
      <c r="X388" s="28"/>
      <c r="Y388" s="28"/>
    </row>
    <row r="389" customFormat="false" ht="15" hidden="false" customHeight="false" outlineLevel="0" collapsed="false">
      <c r="A389" s="21" t="str">
        <f aca="false">IF(COUNTA(B389,C389,E389,F389)=0,"",設定!$C$4&amp;TEXT(ROW()-4,"00000"))</f>
        <v/>
      </c>
      <c r="B389" s="22"/>
      <c r="C389" s="23"/>
      <c r="D389" s="21" t="str">
        <f aca="false">IF(C389="","",IFERROR(INDEX(取引先マスタ!$B$5:$B$204,MATCH($C389,取引先マスタ!$A$5:$A$204,0)),"コード誤り"))</f>
        <v/>
      </c>
      <c r="E389" s="28"/>
      <c r="F389" s="18"/>
      <c r="G389" s="25"/>
      <c r="H389" s="26" t="str">
        <f aca="false">IF(OR(F389="",G389=""),"",ROUNDDOWN(F389*G389,0))</f>
        <v/>
      </c>
      <c r="I389" s="26" t="str">
        <f aca="false">IF(OR(F389="",G389=""),"",F389+H389)</f>
        <v/>
      </c>
      <c r="J389" s="27" t="str">
        <f aca="false">IF(OR(B389="",C389="",D389="コード誤り"),"",IFERROR(DATE(YEAR(B389),MONTH(B389)+INDEX(取引先マスタ!$E$5:$E$204,MATCH($C389,取引先マスタ!$A$5:$A$204,0)),MIN(INDEX(取引先マスタ!$F$5:$F$204,MATCH($C389,取引先マスタ!$A$5:$A$204,0)),DAY(EOMONTH(B389,INDEX(取引先マスタ!$E$5:$E$204,MATCH($C389,取引先マスタ!$A$5:$A$204,0)))))),""))</f>
        <v/>
      </c>
      <c r="K389" s="22"/>
      <c r="L389" s="27" t="str">
        <f aca="false">IF(K389&lt;&gt;"",K389,J389)</f>
        <v/>
      </c>
      <c r="M389" s="28"/>
      <c r="N389" s="22"/>
      <c r="O389" s="28"/>
      <c r="P389" s="26" t="str">
        <f aca="false">IF(A389="","",SUMIF(入金明細!$F$5:$F$1004,A389,入金明細!$E$5:$E$1004))</f>
        <v/>
      </c>
      <c r="Q389" s="27" t="str">
        <f aca="false">IF(OR(A389="",N(P389)=0),"",SUMPRODUCT(MAX((入金明細!$F$5:$F$1004=A389)*入金明細!$B$5:$B$1004)))</f>
        <v/>
      </c>
      <c r="R389" s="18"/>
      <c r="S389" s="26" t="str">
        <f aca="false">IF(OR(A389="",I389=""),"",I389-N(P389)-N(R389))</f>
        <v/>
      </c>
      <c r="T389" s="28"/>
      <c r="U389" s="29" t="str">
        <f aca="false">IF(A389="","",IF(T389="取消","取消",IF(W389&lt;&gt;"","要入力",IF(N389="","未送付",IF(S389=0,"入金済",IF(S389&lt;0,"過入金",IF(設定!$C$5&gt;L389,IF(P389&gt;0,"一部入金・超過","期日超過"),IF(P389&gt;0,"一部入金",IF(L389-設定!$C$5&lt;=設定!$C$6,"期日間近","入金待ち")))))))))</f>
        <v/>
      </c>
      <c r="V389" s="30" t="str">
        <f aca="false">IF(OR(U389="期日超過",U389="一部入金・超過"),設定!$C$5-L389,"")</f>
        <v/>
      </c>
      <c r="W389" s="21" t="str">
        <f aca="false">IF(A389="","",TRIM(IF(B389="","請求日 ","")&amp;IF(C389="","取引先 ",IF(D389="コード誤り","取引先コード誤り ",""))&amp;IF(E389="","件名 ","")&amp;IF(F389="","税抜金額 ","")&amp;IF(G389="","税率 ","")&amp;IF(M389="","送付方法 ","")&amp;IF(AND(N389&lt;&gt;"",O389=""),"送付者 ","")&amp;IF(AND(I389&lt;&gt;"",L389=""),"入金期日 ","")&amp;IF(AND(N389&lt;&gt;"",P389&gt;0,S389&lt;=0,X389=""),"消込確認者 ","")))</f>
        <v/>
      </c>
      <c r="X389" s="28"/>
      <c r="Y389" s="28"/>
    </row>
    <row r="390" customFormat="false" ht="15" hidden="false" customHeight="false" outlineLevel="0" collapsed="false">
      <c r="A390" s="21" t="str">
        <f aca="false">IF(COUNTA(B390,C390,E390,F390)=0,"",設定!$C$4&amp;TEXT(ROW()-4,"00000"))</f>
        <v/>
      </c>
      <c r="B390" s="22"/>
      <c r="C390" s="23"/>
      <c r="D390" s="21" t="str">
        <f aca="false">IF(C390="","",IFERROR(INDEX(取引先マスタ!$B$5:$B$204,MATCH($C390,取引先マスタ!$A$5:$A$204,0)),"コード誤り"))</f>
        <v/>
      </c>
      <c r="E390" s="28"/>
      <c r="F390" s="18"/>
      <c r="G390" s="25"/>
      <c r="H390" s="26" t="str">
        <f aca="false">IF(OR(F390="",G390=""),"",ROUNDDOWN(F390*G390,0))</f>
        <v/>
      </c>
      <c r="I390" s="26" t="str">
        <f aca="false">IF(OR(F390="",G390=""),"",F390+H390)</f>
        <v/>
      </c>
      <c r="J390" s="27" t="str">
        <f aca="false">IF(OR(B390="",C390="",D390="コード誤り"),"",IFERROR(DATE(YEAR(B390),MONTH(B390)+INDEX(取引先マスタ!$E$5:$E$204,MATCH($C390,取引先マスタ!$A$5:$A$204,0)),MIN(INDEX(取引先マスタ!$F$5:$F$204,MATCH($C390,取引先マスタ!$A$5:$A$204,0)),DAY(EOMONTH(B390,INDEX(取引先マスタ!$E$5:$E$204,MATCH($C390,取引先マスタ!$A$5:$A$204,0)))))),""))</f>
        <v/>
      </c>
      <c r="K390" s="22"/>
      <c r="L390" s="27" t="str">
        <f aca="false">IF(K390&lt;&gt;"",K390,J390)</f>
        <v/>
      </c>
      <c r="M390" s="28"/>
      <c r="N390" s="22"/>
      <c r="O390" s="28"/>
      <c r="P390" s="26" t="str">
        <f aca="false">IF(A390="","",SUMIF(入金明細!$F$5:$F$1004,A390,入金明細!$E$5:$E$1004))</f>
        <v/>
      </c>
      <c r="Q390" s="27" t="str">
        <f aca="false">IF(OR(A390="",N(P390)=0),"",SUMPRODUCT(MAX((入金明細!$F$5:$F$1004=A390)*入金明細!$B$5:$B$1004)))</f>
        <v/>
      </c>
      <c r="R390" s="18"/>
      <c r="S390" s="26" t="str">
        <f aca="false">IF(OR(A390="",I390=""),"",I390-N(P390)-N(R390))</f>
        <v/>
      </c>
      <c r="T390" s="28"/>
      <c r="U390" s="29" t="str">
        <f aca="false">IF(A390="","",IF(T390="取消","取消",IF(W390&lt;&gt;"","要入力",IF(N390="","未送付",IF(S390=0,"入金済",IF(S390&lt;0,"過入金",IF(設定!$C$5&gt;L390,IF(P390&gt;0,"一部入金・超過","期日超過"),IF(P390&gt;0,"一部入金",IF(L390-設定!$C$5&lt;=設定!$C$6,"期日間近","入金待ち")))))))))</f>
        <v/>
      </c>
      <c r="V390" s="30" t="str">
        <f aca="false">IF(OR(U390="期日超過",U390="一部入金・超過"),設定!$C$5-L390,"")</f>
        <v/>
      </c>
      <c r="W390" s="21" t="str">
        <f aca="false">IF(A390="","",TRIM(IF(B390="","請求日 ","")&amp;IF(C390="","取引先 ",IF(D390="コード誤り","取引先コード誤り ",""))&amp;IF(E390="","件名 ","")&amp;IF(F390="","税抜金額 ","")&amp;IF(G390="","税率 ","")&amp;IF(M390="","送付方法 ","")&amp;IF(AND(N390&lt;&gt;"",O390=""),"送付者 ","")&amp;IF(AND(I390&lt;&gt;"",L390=""),"入金期日 ","")&amp;IF(AND(N390&lt;&gt;"",P390&gt;0,S390&lt;=0,X390=""),"消込確認者 ","")))</f>
        <v/>
      </c>
      <c r="X390" s="28"/>
      <c r="Y390" s="28"/>
    </row>
    <row r="391" customFormat="false" ht="15" hidden="false" customHeight="false" outlineLevel="0" collapsed="false">
      <c r="A391" s="21" t="str">
        <f aca="false">IF(COUNTA(B391,C391,E391,F391)=0,"",設定!$C$4&amp;TEXT(ROW()-4,"00000"))</f>
        <v/>
      </c>
      <c r="B391" s="22"/>
      <c r="C391" s="23"/>
      <c r="D391" s="21" t="str">
        <f aca="false">IF(C391="","",IFERROR(INDEX(取引先マスタ!$B$5:$B$204,MATCH($C391,取引先マスタ!$A$5:$A$204,0)),"コード誤り"))</f>
        <v/>
      </c>
      <c r="E391" s="28"/>
      <c r="F391" s="18"/>
      <c r="G391" s="25"/>
      <c r="H391" s="26" t="str">
        <f aca="false">IF(OR(F391="",G391=""),"",ROUNDDOWN(F391*G391,0))</f>
        <v/>
      </c>
      <c r="I391" s="26" t="str">
        <f aca="false">IF(OR(F391="",G391=""),"",F391+H391)</f>
        <v/>
      </c>
      <c r="J391" s="27" t="str">
        <f aca="false">IF(OR(B391="",C391="",D391="コード誤り"),"",IFERROR(DATE(YEAR(B391),MONTH(B391)+INDEX(取引先マスタ!$E$5:$E$204,MATCH($C391,取引先マスタ!$A$5:$A$204,0)),MIN(INDEX(取引先マスタ!$F$5:$F$204,MATCH($C391,取引先マスタ!$A$5:$A$204,0)),DAY(EOMONTH(B391,INDEX(取引先マスタ!$E$5:$E$204,MATCH($C391,取引先マスタ!$A$5:$A$204,0)))))),""))</f>
        <v/>
      </c>
      <c r="K391" s="22"/>
      <c r="L391" s="27" t="str">
        <f aca="false">IF(K391&lt;&gt;"",K391,J391)</f>
        <v/>
      </c>
      <c r="M391" s="28"/>
      <c r="N391" s="22"/>
      <c r="O391" s="28"/>
      <c r="P391" s="26" t="str">
        <f aca="false">IF(A391="","",SUMIF(入金明細!$F$5:$F$1004,A391,入金明細!$E$5:$E$1004))</f>
        <v/>
      </c>
      <c r="Q391" s="27" t="str">
        <f aca="false">IF(OR(A391="",N(P391)=0),"",SUMPRODUCT(MAX((入金明細!$F$5:$F$1004=A391)*入金明細!$B$5:$B$1004)))</f>
        <v/>
      </c>
      <c r="R391" s="18"/>
      <c r="S391" s="26" t="str">
        <f aca="false">IF(OR(A391="",I391=""),"",I391-N(P391)-N(R391))</f>
        <v/>
      </c>
      <c r="T391" s="28"/>
      <c r="U391" s="29" t="str">
        <f aca="false">IF(A391="","",IF(T391="取消","取消",IF(W391&lt;&gt;"","要入力",IF(N391="","未送付",IF(S391=0,"入金済",IF(S391&lt;0,"過入金",IF(設定!$C$5&gt;L391,IF(P391&gt;0,"一部入金・超過","期日超過"),IF(P391&gt;0,"一部入金",IF(L391-設定!$C$5&lt;=設定!$C$6,"期日間近","入金待ち")))))))))</f>
        <v/>
      </c>
      <c r="V391" s="30" t="str">
        <f aca="false">IF(OR(U391="期日超過",U391="一部入金・超過"),設定!$C$5-L391,"")</f>
        <v/>
      </c>
      <c r="W391" s="21" t="str">
        <f aca="false">IF(A391="","",TRIM(IF(B391="","請求日 ","")&amp;IF(C391="","取引先 ",IF(D391="コード誤り","取引先コード誤り ",""))&amp;IF(E391="","件名 ","")&amp;IF(F391="","税抜金額 ","")&amp;IF(G391="","税率 ","")&amp;IF(M391="","送付方法 ","")&amp;IF(AND(N391&lt;&gt;"",O391=""),"送付者 ","")&amp;IF(AND(I391&lt;&gt;"",L391=""),"入金期日 ","")&amp;IF(AND(N391&lt;&gt;"",P391&gt;0,S391&lt;=0,X391=""),"消込確認者 ","")))</f>
        <v/>
      </c>
      <c r="X391" s="28"/>
      <c r="Y391" s="28"/>
    </row>
    <row r="392" customFormat="false" ht="15" hidden="false" customHeight="false" outlineLevel="0" collapsed="false">
      <c r="A392" s="21" t="str">
        <f aca="false">IF(COUNTA(B392,C392,E392,F392)=0,"",設定!$C$4&amp;TEXT(ROW()-4,"00000"))</f>
        <v/>
      </c>
      <c r="B392" s="22"/>
      <c r="C392" s="23"/>
      <c r="D392" s="21" t="str">
        <f aca="false">IF(C392="","",IFERROR(INDEX(取引先マスタ!$B$5:$B$204,MATCH($C392,取引先マスタ!$A$5:$A$204,0)),"コード誤り"))</f>
        <v/>
      </c>
      <c r="E392" s="28"/>
      <c r="F392" s="18"/>
      <c r="G392" s="25"/>
      <c r="H392" s="26" t="str">
        <f aca="false">IF(OR(F392="",G392=""),"",ROUNDDOWN(F392*G392,0))</f>
        <v/>
      </c>
      <c r="I392" s="26" t="str">
        <f aca="false">IF(OR(F392="",G392=""),"",F392+H392)</f>
        <v/>
      </c>
      <c r="J392" s="27" t="str">
        <f aca="false">IF(OR(B392="",C392="",D392="コード誤り"),"",IFERROR(DATE(YEAR(B392),MONTH(B392)+INDEX(取引先マスタ!$E$5:$E$204,MATCH($C392,取引先マスタ!$A$5:$A$204,0)),MIN(INDEX(取引先マスタ!$F$5:$F$204,MATCH($C392,取引先マスタ!$A$5:$A$204,0)),DAY(EOMONTH(B392,INDEX(取引先マスタ!$E$5:$E$204,MATCH($C392,取引先マスタ!$A$5:$A$204,0)))))),""))</f>
        <v/>
      </c>
      <c r="K392" s="22"/>
      <c r="L392" s="27" t="str">
        <f aca="false">IF(K392&lt;&gt;"",K392,J392)</f>
        <v/>
      </c>
      <c r="M392" s="28"/>
      <c r="N392" s="22"/>
      <c r="O392" s="28"/>
      <c r="P392" s="26" t="str">
        <f aca="false">IF(A392="","",SUMIF(入金明細!$F$5:$F$1004,A392,入金明細!$E$5:$E$1004))</f>
        <v/>
      </c>
      <c r="Q392" s="27" t="str">
        <f aca="false">IF(OR(A392="",N(P392)=0),"",SUMPRODUCT(MAX((入金明細!$F$5:$F$1004=A392)*入金明細!$B$5:$B$1004)))</f>
        <v/>
      </c>
      <c r="R392" s="18"/>
      <c r="S392" s="26" t="str">
        <f aca="false">IF(OR(A392="",I392=""),"",I392-N(P392)-N(R392))</f>
        <v/>
      </c>
      <c r="T392" s="28"/>
      <c r="U392" s="29" t="str">
        <f aca="false">IF(A392="","",IF(T392="取消","取消",IF(W392&lt;&gt;"","要入力",IF(N392="","未送付",IF(S392=0,"入金済",IF(S392&lt;0,"過入金",IF(設定!$C$5&gt;L392,IF(P392&gt;0,"一部入金・超過","期日超過"),IF(P392&gt;0,"一部入金",IF(L392-設定!$C$5&lt;=設定!$C$6,"期日間近","入金待ち")))))))))</f>
        <v/>
      </c>
      <c r="V392" s="30" t="str">
        <f aca="false">IF(OR(U392="期日超過",U392="一部入金・超過"),設定!$C$5-L392,"")</f>
        <v/>
      </c>
      <c r="W392" s="21" t="str">
        <f aca="false">IF(A392="","",TRIM(IF(B392="","請求日 ","")&amp;IF(C392="","取引先 ",IF(D392="コード誤り","取引先コード誤り ",""))&amp;IF(E392="","件名 ","")&amp;IF(F392="","税抜金額 ","")&amp;IF(G392="","税率 ","")&amp;IF(M392="","送付方法 ","")&amp;IF(AND(N392&lt;&gt;"",O392=""),"送付者 ","")&amp;IF(AND(I392&lt;&gt;"",L392=""),"入金期日 ","")&amp;IF(AND(N392&lt;&gt;"",P392&gt;0,S392&lt;=0,X392=""),"消込確認者 ","")))</f>
        <v/>
      </c>
      <c r="X392" s="28"/>
      <c r="Y392" s="28"/>
    </row>
    <row r="393" customFormat="false" ht="15" hidden="false" customHeight="false" outlineLevel="0" collapsed="false">
      <c r="A393" s="21" t="str">
        <f aca="false">IF(COUNTA(B393,C393,E393,F393)=0,"",設定!$C$4&amp;TEXT(ROW()-4,"00000"))</f>
        <v/>
      </c>
      <c r="B393" s="22"/>
      <c r="C393" s="23"/>
      <c r="D393" s="21" t="str">
        <f aca="false">IF(C393="","",IFERROR(INDEX(取引先マスタ!$B$5:$B$204,MATCH($C393,取引先マスタ!$A$5:$A$204,0)),"コード誤り"))</f>
        <v/>
      </c>
      <c r="E393" s="28"/>
      <c r="F393" s="18"/>
      <c r="G393" s="25"/>
      <c r="H393" s="26" t="str">
        <f aca="false">IF(OR(F393="",G393=""),"",ROUNDDOWN(F393*G393,0))</f>
        <v/>
      </c>
      <c r="I393" s="26" t="str">
        <f aca="false">IF(OR(F393="",G393=""),"",F393+H393)</f>
        <v/>
      </c>
      <c r="J393" s="27" t="str">
        <f aca="false">IF(OR(B393="",C393="",D393="コード誤り"),"",IFERROR(DATE(YEAR(B393),MONTH(B393)+INDEX(取引先マスタ!$E$5:$E$204,MATCH($C393,取引先マスタ!$A$5:$A$204,0)),MIN(INDEX(取引先マスタ!$F$5:$F$204,MATCH($C393,取引先マスタ!$A$5:$A$204,0)),DAY(EOMONTH(B393,INDEX(取引先マスタ!$E$5:$E$204,MATCH($C393,取引先マスタ!$A$5:$A$204,0)))))),""))</f>
        <v/>
      </c>
      <c r="K393" s="22"/>
      <c r="L393" s="27" t="str">
        <f aca="false">IF(K393&lt;&gt;"",K393,J393)</f>
        <v/>
      </c>
      <c r="M393" s="28"/>
      <c r="N393" s="22"/>
      <c r="O393" s="28"/>
      <c r="P393" s="26" t="str">
        <f aca="false">IF(A393="","",SUMIF(入金明細!$F$5:$F$1004,A393,入金明細!$E$5:$E$1004))</f>
        <v/>
      </c>
      <c r="Q393" s="27" t="str">
        <f aca="false">IF(OR(A393="",N(P393)=0),"",SUMPRODUCT(MAX((入金明細!$F$5:$F$1004=A393)*入金明細!$B$5:$B$1004)))</f>
        <v/>
      </c>
      <c r="R393" s="18"/>
      <c r="S393" s="26" t="str">
        <f aca="false">IF(OR(A393="",I393=""),"",I393-N(P393)-N(R393))</f>
        <v/>
      </c>
      <c r="T393" s="28"/>
      <c r="U393" s="29" t="str">
        <f aca="false">IF(A393="","",IF(T393="取消","取消",IF(W393&lt;&gt;"","要入力",IF(N393="","未送付",IF(S393=0,"入金済",IF(S393&lt;0,"過入金",IF(設定!$C$5&gt;L393,IF(P393&gt;0,"一部入金・超過","期日超過"),IF(P393&gt;0,"一部入金",IF(L393-設定!$C$5&lt;=設定!$C$6,"期日間近","入金待ち")))))))))</f>
        <v/>
      </c>
      <c r="V393" s="30" t="str">
        <f aca="false">IF(OR(U393="期日超過",U393="一部入金・超過"),設定!$C$5-L393,"")</f>
        <v/>
      </c>
      <c r="W393" s="21" t="str">
        <f aca="false">IF(A393="","",TRIM(IF(B393="","請求日 ","")&amp;IF(C393="","取引先 ",IF(D393="コード誤り","取引先コード誤り ",""))&amp;IF(E393="","件名 ","")&amp;IF(F393="","税抜金額 ","")&amp;IF(G393="","税率 ","")&amp;IF(M393="","送付方法 ","")&amp;IF(AND(N393&lt;&gt;"",O393=""),"送付者 ","")&amp;IF(AND(I393&lt;&gt;"",L393=""),"入金期日 ","")&amp;IF(AND(N393&lt;&gt;"",P393&gt;0,S393&lt;=0,X393=""),"消込確認者 ","")))</f>
        <v/>
      </c>
      <c r="X393" s="28"/>
      <c r="Y393" s="28"/>
    </row>
    <row r="394" customFormat="false" ht="15" hidden="false" customHeight="false" outlineLevel="0" collapsed="false">
      <c r="A394" s="21" t="str">
        <f aca="false">IF(COUNTA(B394,C394,E394,F394)=0,"",設定!$C$4&amp;TEXT(ROW()-4,"00000"))</f>
        <v/>
      </c>
      <c r="B394" s="22"/>
      <c r="C394" s="23"/>
      <c r="D394" s="21" t="str">
        <f aca="false">IF(C394="","",IFERROR(INDEX(取引先マスタ!$B$5:$B$204,MATCH($C394,取引先マスタ!$A$5:$A$204,0)),"コード誤り"))</f>
        <v/>
      </c>
      <c r="E394" s="28"/>
      <c r="F394" s="18"/>
      <c r="G394" s="25"/>
      <c r="H394" s="26" t="str">
        <f aca="false">IF(OR(F394="",G394=""),"",ROUNDDOWN(F394*G394,0))</f>
        <v/>
      </c>
      <c r="I394" s="26" t="str">
        <f aca="false">IF(OR(F394="",G394=""),"",F394+H394)</f>
        <v/>
      </c>
      <c r="J394" s="27" t="str">
        <f aca="false">IF(OR(B394="",C394="",D394="コード誤り"),"",IFERROR(DATE(YEAR(B394),MONTH(B394)+INDEX(取引先マスタ!$E$5:$E$204,MATCH($C394,取引先マスタ!$A$5:$A$204,0)),MIN(INDEX(取引先マスタ!$F$5:$F$204,MATCH($C394,取引先マスタ!$A$5:$A$204,0)),DAY(EOMONTH(B394,INDEX(取引先マスタ!$E$5:$E$204,MATCH($C394,取引先マスタ!$A$5:$A$204,0)))))),""))</f>
        <v/>
      </c>
      <c r="K394" s="22"/>
      <c r="L394" s="27" t="str">
        <f aca="false">IF(K394&lt;&gt;"",K394,J394)</f>
        <v/>
      </c>
      <c r="M394" s="28"/>
      <c r="N394" s="22"/>
      <c r="O394" s="28"/>
      <c r="P394" s="26" t="str">
        <f aca="false">IF(A394="","",SUMIF(入金明細!$F$5:$F$1004,A394,入金明細!$E$5:$E$1004))</f>
        <v/>
      </c>
      <c r="Q394" s="27" t="str">
        <f aca="false">IF(OR(A394="",N(P394)=0),"",SUMPRODUCT(MAX((入金明細!$F$5:$F$1004=A394)*入金明細!$B$5:$B$1004)))</f>
        <v/>
      </c>
      <c r="R394" s="18"/>
      <c r="S394" s="26" t="str">
        <f aca="false">IF(OR(A394="",I394=""),"",I394-N(P394)-N(R394))</f>
        <v/>
      </c>
      <c r="T394" s="28"/>
      <c r="U394" s="29" t="str">
        <f aca="false">IF(A394="","",IF(T394="取消","取消",IF(W394&lt;&gt;"","要入力",IF(N394="","未送付",IF(S394=0,"入金済",IF(S394&lt;0,"過入金",IF(設定!$C$5&gt;L394,IF(P394&gt;0,"一部入金・超過","期日超過"),IF(P394&gt;0,"一部入金",IF(L394-設定!$C$5&lt;=設定!$C$6,"期日間近","入金待ち")))))))))</f>
        <v/>
      </c>
      <c r="V394" s="30" t="str">
        <f aca="false">IF(OR(U394="期日超過",U394="一部入金・超過"),設定!$C$5-L394,"")</f>
        <v/>
      </c>
      <c r="W394" s="21" t="str">
        <f aca="false">IF(A394="","",TRIM(IF(B394="","請求日 ","")&amp;IF(C394="","取引先 ",IF(D394="コード誤り","取引先コード誤り ",""))&amp;IF(E394="","件名 ","")&amp;IF(F394="","税抜金額 ","")&amp;IF(G394="","税率 ","")&amp;IF(M394="","送付方法 ","")&amp;IF(AND(N394&lt;&gt;"",O394=""),"送付者 ","")&amp;IF(AND(I394&lt;&gt;"",L394=""),"入金期日 ","")&amp;IF(AND(N394&lt;&gt;"",P394&gt;0,S394&lt;=0,X394=""),"消込確認者 ","")))</f>
        <v/>
      </c>
      <c r="X394" s="28"/>
      <c r="Y394" s="28"/>
    </row>
    <row r="395" customFormat="false" ht="15" hidden="false" customHeight="false" outlineLevel="0" collapsed="false">
      <c r="A395" s="21" t="str">
        <f aca="false">IF(COUNTA(B395,C395,E395,F395)=0,"",設定!$C$4&amp;TEXT(ROW()-4,"00000"))</f>
        <v/>
      </c>
      <c r="B395" s="22"/>
      <c r="C395" s="23"/>
      <c r="D395" s="21" t="str">
        <f aca="false">IF(C395="","",IFERROR(INDEX(取引先マスタ!$B$5:$B$204,MATCH($C395,取引先マスタ!$A$5:$A$204,0)),"コード誤り"))</f>
        <v/>
      </c>
      <c r="E395" s="28"/>
      <c r="F395" s="18"/>
      <c r="G395" s="25"/>
      <c r="H395" s="26" t="str">
        <f aca="false">IF(OR(F395="",G395=""),"",ROUNDDOWN(F395*G395,0))</f>
        <v/>
      </c>
      <c r="I395" s="26" t="str">
        <f aca="false">IF(OR(F395="",G395=""),"",F395+H395)</f>
        <v/>
      </c>
      <c r="J395" s="27" t="str">
        <f aca="false">IF(OR(B395="",C395="",D395="コード誤り"),"",IFERROR(DATE(YEAR(B395),MONTH(B395)+INDEX(取引先マスタ!$E$5:$E$204,MATCH($C395,取引先マスタ!$A$5:$A$204,0)),MIN(INDEX(取引先マスタ!$F$5:$F$204,MATCH($C395,取引先マスタ!$A$5:$A$204,0)),DAY(EOMONTH(B395,INDEX(取引先マスタ!$E$5:$E$204,MATCH($C395,取引先マスタ!$A$5:$A$204,0)))))),""))</f>
        <v/>
      </c>
      <c r="K395" s="22"/>
      <c r="L395" s="27" t="str">
        <f aca="false">IF(K395&lt;&gt;"",K395,J395)</f>
        <v/>
      </c>
      <c r="M395" s="28"/>
      <c r="N395" s="22"/>
      <c r="O395" s="28"/>
      <c r="P395" s="26" t="str">
        <f aca="false">IF(A395="","",SUMIF(入金明細!$F$5:$F$1004,A395,入金明細!$E$5:$E$1004))</f>
        <v/>
      </c>
      <c r="Q395" s="27" t="str">
        <f aca="false">IF(OR(A395="",N(P395)=0),"",SUMPRODUCT(MAX((入金明細!$F$5:$F$1004=A395)*入金明細!$B$5:$B$1004)))</f>
        <v/>
      </c>
      <c r="R395" s="18"/>
      <c r="S395" s="26" t="str">
        <f aca="false">IF(OR(A395="",I395=""),"",I395-N(P395)-N(R395))</f>
        <v/>
      </c>
      <c r="T395" s="28"/>
      <c r="U395" s="29" t="str">
        <f aca="false">IF(A395="","",IF(T395="取消","取消",IF(W395&lt;&gt;"","要入力",IF(N395="","未送付",IF(S395=0,"入金済",IF(S395&lt;0,"過入金",IF(設定!$C$5&gt;L395,IF(P395&gt;0,"一部入金・超過","期日超過"),IF(P395&gt;0,"一部入金",IF(L395-設定!$C$5&lt;=設定!$C$6,"期日間近","入金待ち")))))))))</f>
        <v/>
      </c>
      <c r="V395" s="30" t="str">
        <f aca="false">IF(OR(U395="期日超過",U395="一部入金・超過"),設定!$C$5-L395,"")</f>
        <v/>
      </c>
      <c r="W395" s="21" t="str">
        <f aca="false">IF(A395="","",TRIM(IF(B395="","請求日 ","")&amp;IF(C395="","取引先 ",IF(D395="コード誤り","取引先コード誤り ",""))&amp;IF(E395="","件名 ","")&amp;IF(F395="","税抜金額 ","")&amp;IF(G395="","税率 ","")&amp;IF(M395="","送付方法 ","")&amp;IF(AND(N395&lt;&gt;"",O395=""),"送付者 ","")&amp;IF(AND(I395&lt;&gt;"",L395=""),"入金期日 ","")&amp;IF(AND(N395&lt;&gt;"",P395&gt;0,S395&lt;=0,X395=""),"消込確認者 ","")))</f>
        <v/>
      </c>
      <c r="X395" s="28"/>
      <c r="Y395" s="28"/>
    </row>
    <row r="396" customFormat="false" ht="15" hidden="false" customHeight="false" outlineLevel="0" collapsed="false">
      <c r="A396" s="21" t="str">
        <f aca="false">IF(COUNTA(B396,C396,E396,F396)=0,"",設定!$C$4&amp;TEXT(ROW()-4,"00000"))</f>
        <v/>
      </c>
      <c r="B396" s="22"/>
      <c r="C396" s="23"/>
      <c r="D396" s="21" t="str">
        <f aca="false">IF(C396="","",IFERROR(INDEX(取引先マスタ!$B$5:$B$204,MATCH($C396,取引先マスタ!$A$5:$A$204,0)),"コード誤り"))</f>
        <v/>
      </c>
      <c r="E396" s="28"/>
      <c r="F396" s="18"/>
      <c r="G396" s="25"/>
      <c r="H396" s="26" t="str">
        <f aca="false">IF(OR(F396="",G396=""),"",ROUNDDOWN(F396*G396,0))</f>
        <v/>
      </c>
      <c r="I396" s="26" t="str">
        <f aca="false">IF(OR(F396="",G396=""),"",F396+H396)</f>
        <v/>
      </c>
      <c r="J396" s="27" t="str">
        <f aca="false">IF(OR(B396="",C396="",D396="コード誤り"),"",IFERROR(DATE(YEAR(B396),MONTH(B396)+INDEX(取引先マスタ!$E$5:$E$204,MATCH($C396,取引先マスタ!$A$5:$A$204,0)),MIN(INDEX(取引先マスタ!$F$5:$F$204,MATCH($C396,取引先マスタ!$A$5:$A$204,0)),DAY(EOMONTH(B396,INDEX(取引先マスタ!$E$5:$E$204,MATCH($C396,取引先マスタ!$A$5:$A$204,0)))))),""))</f>
        <v/>
      </c>
      <c r="K396" s="22"/>
      <c r="L396" s="27" t="str">
        <f aca="false">IF(K396&lt;&gt;"",K396,J396)</f>
        <v/>
      </c>
      <c r="M396" s="28"/>
      <c r="N396" s="22"/>
      <c r="O396" s="28"/>
      <c r="P396" s="26" t="str">
        <f aca="false">IF(A396="","",SUMIF(入金明細!$F$5:$F$1004,A396,入金明細!$E$5:$E$1004))</f>
        <v/>
      </c>
      <c r="Q396" s="27" t="str">
        <f aca="false">IF(OR(A396="",N(P396)=0),"",SUMPRODUCT(MAX((入金明細!$F$5:$F$1004=A396)*入金明細!$B$5:$B$1004)))</f>
        <v/>
      </c>
      <c r="R396" s="18"/>
      <c r="S396" s="26" t="str">
        <f aca="false">IF(OR(A396="",I396=""),"",I396-N(P396)-N(R396))</f>
        <v/>
      </c>
      <c r="T396" s="28"/>
      <c r="U396" s="29" t="str">
        <f aca="false">IF(A396="","",IF(T396="取消","取消",IF(W396&lt;&gt;"","要入力",IF(N396="","未送付",IF(S396=0,"入金済",IF(S396&lt;0,"過入金",IF(設定!$C$5&gt;L396,IF(P396&gt;0,"一部入金・超過","期日超過"),IF(P396&gt;0,"一部入金",IF(L396-設定!$C$5&lt;=設定!$C$6,"期日間近","入金待ち")))))))))</f>
        <v/>
      </c>
      <c r="V396" s="30" t="str">
        <f aca="false">IF(OR(U396="期日超過",U396="一部入金・超過"),設定!$C$5-L396,"")</f>
        <v/>
      </c>
      <c r="W396" s="21" t="str">
        <f aca="false">IF(A396="","",TRIM(IF(B396="","請求日 ","")&amp;IF(C396="","取引先 ",IF(D396="コード誤り","取引先コード誤り ",""))&amp;IF(E396="","件名 ","")&amp;IF(F396="","税抜金額 ","")&amp;IF(G396="","税率 ","")&amp;IF(M396="","送付方法 ","")&amp;IF(AND(N396&lt;&gt;"",O396=""),"送付者 ","")&amp;IF(AND(I396&lt;&gt;"",L396=""),"入金期日 ","")&amp;IF(AND(N396&lt;&gt;"",P396&gt;0,S396&lt;=0,X396=""),"消込確認者 ","")))</f>
        <v/>
      </c>
      <c r="X396" s="28"/>
      <c r="Y396" s="28"/>
    </row>
    <row r="397" customFormat="false" ht="15" hidden="false" customHeight="false" outlineLevel="0" collapsed="false">
      <c r="A397" s="21" t="str">
        <f aca="false">IF(COUNTA(B397,C397,E397,F397)=0,"",設定!$C$4&amp;TEXT(ROW()-4,"00000"))</f>
        <v/>
      </c>
      <c r="B397" s="22"/>
      <c r="C397" s="23"/>
      <c r="D397" s="21" t="str">
        <f aca="false">IF(C397="","",IFERROR(INDEX(取引先マスタ!$B$5:$B$204,MATCH($C397,取引先マスタ!$A$5:$A$204,0)),"コード誤り"))</f>
        <v/>
      </c>
      <c r="E397" s="28"/>
      <c r="F397" s="18"/>
      <c r="G397" s="25"/>
      <c r="H397" s="26" t="str">
        <f aca="false">IF(OR(F397="",G397=""),"",ROUNDDOWN(F397*G397,0))</f>
        <v/>
      </c>
      <c r="I397" s="26" t="str">
        <f aca="false">IF(OR(F397="",G397=""),"",F397+H397)</f>
        <v/>
      </c>
      <c r="J397" s="27" t="str">
        <f aca="false">IF(OR(B397="",C397="",D397="コード誤り"),"",IFERROR(DATE(YEAR(B397),MONTH(B397)+INDEX(取引先マスタ!$E$5:$E$204,MATCH($C397,取引先マスタ!$A$5:$A$204,0)),MIN(INDEX(取引先マスタ!$F$5:$F$204,MATCH($C397,取引先マスタ!$A$5:$A$204,0)),DAY(EOMONTH(B397,INDEX(取引先マスタ!$E$5:$E$204,MATCH($C397,取引先マスタ!$A$5:$A$204,0)))))),""))</f>
        <v/>
      </c>
      <c r="K397" s="22"/>
      <c r="L397" s="27" t="str">
        <f aca="false">IF(K397&lt;&gt;"",K397,J397)</f>
        <v/>
      </c>
      <c r="M397" s="28"/>
      <c r="N397" s="22"/>
      <c r="O397" s="28"/>
      <c r="P397" s="26" t="str">
        <f aca="false">IF(A397="","",SUMIF(入金明細!$F$5:$F$1004,A397,入金明細!$E$5:$E$1004))</f>
        <v/>
      </c>
      <c r="Q397" s="27" t="str">
        <f aca="false">IF(OR(A397="",N(P397)=0),"",SUMPRODUCT(MAX((入金明細!$F$5:$F$1004=A397)*入金明細!$B$5:$B$1004)))</f>
        <v/>
      </c>
      <c r="R397" s="18"/>
      <c r="S397" s="26" t="str">
        <f aca="false">IF(OR(A397="",I397=""),"",I397-N(P397)-N(R397))</f>
        <v/>
      </c>
      <c r="T397" s="28"/>
      <c r="U397" s="29" t="str">
        <f aca="false">IF(A397="","",IF(T397="取消","取消",IF(W397&lt;&gt;"","要入力",IF(N397="","未送付",IF(S397=0,"入金済",IF(S397&lt;0,"過入金",IF(設定!$C$5&gt;L397,IF(P397&gt;0,"一部入金・超過","期日超過"),IF(P397&gt;0,"一部入金",IF(L397-設定!$C$5&lt;=設定!$C$6,"期日間近","入金待ち")))))))))</f>
        <v/>
      </c>
      <c r="V397" s="30" t="str">
        <f aca="false">IF(OR(U397="期日超過",U397="一部入金・超過"),設定!$C$5-L397,"")</f>
        <v/>
      </c>
      <c r="W397" s="21" t="str">
        <f aca="false">IF(A397="","",TRIM(IF(B397="","請求日 ","")&amp;IF(C397="","取引先 ",IF(D397="コード誤り","取引先コード誤り ",""))&amp;IF(E397="","件名 ","")&amp;IF(F397="","税抜金額 ","")&amp;IF(G397="","税率 ","")&amp;IF(M397="","送付方法 ","")&amp;IF(AND(N397&lt;&gt;"",O397=""),"送付者 ","")&amp;IF(AND(I397&lt;&gt;"",L397=""),"入金期日 ","")&amp;IF(AND(N397&lt;&gt;"",P397&gt;0,S397&lt;=0,X397=""),"消込確認者 ","")))</f>
        <v/>
      </c>
      <c r="X397" s="28"/>
      <c r="Y397" s="28"/>
    </row>
    <row r="398" customFormat="false" ht="15" hidden="false" customHeight="false" outlineLevel="0" collapsed="false">
      <c r="A398" s="21" t="str">
        <f aca="false">IF(COUNTA(B398,C398,E398,F398)=0,"",設定!$C$4&amp;TEXT(ROW()-4,"00000"))</f>
        <v/>
      </c>
      <c r="B398" s="22"/>
      <c r="C398" s="23"/>
      <c r="D398" s="21" t="str">
        <f aca="false">IF(C398="","",IFERROR(INDEX(取引先マスタ!$B$5:$B$204,MATCH($C398,取引先マスタ!$A$5:$A$204,0)),"コード誤り"))</f>
        <v/>
      </c>
      <c r="E398" s="28"/>
      <c r="F398" s="18"/>
      <c r="G398" s="25"/>
      <c r="H398" s="26" t="str">
        <f aca="false">IF(OR(F398="",G398=""),"",ROUNDDOWN(F398*G398,0))</f>
        <v/>
      </c>
      <c r="I398" s="26" t="str">
        <f aca="false">IF(OR(F398="",G398=""),"",F398+H398)</f>
        <v/>
      </c>
      <c r="J398" s="27" t="str">
        <f aca="false">IF(OR(B398="",C398="",D398="コード誤り"),"",IFERROR(DATE(YEAR(B398),MONTH(B398)+INDEX(取引先マスタ!$E$5:$E$204,MATCH($C398,取引先マスタ!$A$5:$A$204,0)),MIN(INDEX(取引先マスタ!$F$5:$F$204,MATCH($C398,取引先マスタ!$A$5:$A$204,0)),DAY(EOMONTH(B398,INDEX(取引先マスタ!$E$5:$E$204,MATCH($C398,取引先マスタ!$A$5:$A$204,0)))))),""))</f>
        <v/>
      </c>
      <c r="K398" s="22"/>
      <c r="L398" s="27" t="str">
        <f aca="false">IF(K398&lt;&gt;"",K398,J398)</f>
        <v/>
      </c>
      <c r="M398" s="28"/>
      <c r="N398" s="22"/>
      <c r="O398" s="28"/>
      <c r="P398" s="26" t="str">
        <f aca="false">IF(A398="","",SUMIF(入金明細!$F$5:$F$1004,A398,入金明細!$E$5:$E$1004))</f>
        <v/>
      </c>
      <c r="Q398" s="27" t="str">
        <f aca="false">IF(OR(A398="",N(P398)=0),"",SUMPRODUCT(MAX((入金明細!$F$5:$F$1004=A398)*入金明細!$B$5:$B$1004)))</f>
        <v/>
      </c>
      <c r="R398" s="18"/>
      <c r="S398" s="26" t="str">
        <f aca="false">IF(OR(A398="",I398=""),"",I398-N(P398)-N(R398))</f>
        <v/>
      </c>
      <c r="T398" s="28"/>
      <c r="U398" s="29" t="str">
        <f aca="false">IF(A398="","",IF(T398="取消","取消",IF(W398&lt;&gt;"","要入力",IF(N398="","未送付",IF(S398=0,"入金済",IF(S398&lt;0,"過入金",IF(設定!$C$5&gt;L398,IF(P398&gt;0,"一部入金・超過","期日超過"),IF(P398&gt;0,"一部入金",IF(L398-設定!$C$5&lt;=設定!$C$6,"期日間近","入金待ち")))))))))</f>
        <v/>
      </c>
      <c r="V398" s="30" t="str">
        <f aca="false">IF(OR(U398="期日超過",U398="一部入金・超過"),設定!$C$5-L398,"")</f>
        <v/>
      </c>
      <c r="W398" s="21" t="str">
        <f aca="false">IF(A398="","",TRIM(IF(B398="","請求日 ","")&amp;IF(C398="","取引先 ",IF(D398="コード誤り","取引先コード誤り ",""))&amp;IF(E398="","件名 ","")&amp;IF(F398="","税抜金額 ","")&amp;IF(G398="","税率 ","")&amp;IF(M398="","送付方法 ","")&amp;IF(AND(N398&lt;&gt;"",O398=""),"送付者 ","")&amp;IF(AND(I398&lt;&gt;"",L398=""),"入金期日 ","")&amp;IF(AND(N398&lt;&gt;"",P398&gt;0,S398&lt;=0,X398=""),"消込確認者 ","")))</f>
        <v/>
      </c>
      <c r="X398" s="28"/>
      <c r="Y398" s="28"/>
    </row>
    <row r="399" customFormat="false" ht="15" hidden="false" customHeight="false" outlineLevel="0" collapsed="false">
      <c r="A399" s="21" t="str">
        <f aca="false">IF(COUNTA(B399,C399,E399,F399)=0,"",設定!$C$4&amp;TEXT(ROW()-4,"00000"))</f>
        <v/>
      </c>
      <c r="B399" s="22"/>
      <c r="C399" s="23"/>
      <c r="D399" s="21" t="str">
        <f aca="false">IF(C399="","",IFERROR(INDEX(取引先マスタ!$B$5:$B$204,MATCH($C399,取引先マスタ!$A$5:$A$204,0)),"コード誤り"))</f>
        <v/>
      </c>
      <c r="E399" s="28"/>
      <c r="F399" s="18"/>
      <c r="G399" s="25"/>
      <c r="H399" s="26" t="str">
        <f aca="false">IF(OR(F399="",G399=""),"",ROUNDDOWN(F399*G399,0))</f>
        <v/>
      </c>
      <c r="I399" s="26" t="str">
        <f aca="false">IF(OR(F399="",G399=""),"",F399+H399)</f>
        <v/>
      </c>
      <c r="J399" s="27" t="str">
        <f aca="false">IF(OR(B399="",C399="",D399="コード誤り"),"",IFERROR(DATE(YEAR(B399),MONTH(B399)+INDEX(取引先マスタ!$E$5:$E$204,MATCH($C399,取引先マスタ!$A$5:$A$204,0)),MIN(INDEX(取引先マスタ!$F$5:$F$204,MATCH($C399,取引先マスタ!$A$5:$A$204,0)),DAY(EOMONTH(B399,INDEX(取引先マスタ!$E$5:$E$204,MATCH($C399,取引先マスタ!$A$5:$A$204,0)))))),""))</f>
        <v/>
      </c>
      <c r="K399" s="22"/>
      <c r="L399" s="27" t="str">
        <f aca="false">IF(K399&lt;&gt;"",K399,J399)</f>
        <v/>
      </c>
      <c r="M399" s="28"/>
      <c r="N399" s="22"/>
      <c r="O399" s="28"/>
      <c r="P399" s="26" t="str">
        <f aca="false">IF(A399="","",SUMIF(入金明細!$F$5:$F$1004,A399,入金明細!$E$5:$E$1004))</f>
        <v/>
      </c>
      <c r="Q399" s="27" t="str">
        <f aca="false">IF(OR(A399="",N(P399)=0),"",SUMPRODUCT(MAX((入金明細!$F$5:$F$1004=A399)*入金明細!$B$5:$B$1004)))</f>
        <v/>
      </c>
      <c r="R399" s="18"/>
      <c r="S399" s="26" t="str">
        <f aca="false">IF(OR(A399="",I399=""),"",I399-N(P399)-N(R399))</f>
        <v/>
      </c>
      <c r="T399" s="28"/>
      <c r="U399" s="29" t="str">
        <f aca="false">IF(A399="","",IF(T399="取消","取消",IF(W399&lt;&gt;"","要入力",IF(N399="","未送付",IF(S399=0,"入金済",IF(S399&lt;0,"過入金",IF(設定!$C$5&gt;L399,IF(P399&gt;0,"一部入金・超過","期日超過"),IF(P399&gt;0,"一部入金",IF(L399-設定!$C$5&lt;=設定!$C$6,"期日間近","入金待ち")))))))))</f>
        <v/>
      </c>
      <c r="V399" s="30" t="str">
        <f aca="false">IF(OR(U399="期日超過",U399="一部入金・超過"),設定!$C$5-L399,"")</f>
        <v/>
      </c>
      <c r="W399" s="21" t="str">
        <f aca="false">IF(A399="","",TRIM(IF(B399="","請求日 ","")&amp;IF(C399="","取引先 ",IF(D399="コード誤り","取引先コード誤り ",""))&amp;IF(E399="","件名 ","")&amp;IF(F399="","税抜金額 ","")&amp;IF(G399="","税率 ","")&amp;IF(M399="","送付方法 ","")&amp;IF(AND(N399&lt;&gt;"",O399=""),"送付者 ","")&amp;IF(AND(I399&lt;&gt;"",L399=""),"入金期日 ","")&amp;IF(AND(N399&lt;&gt;"",P399&gt;0,S399&lt;=0,X399=""),"消込確認者 ","")))</f>
        <v/>
      </c>
      <c r="X399" s="28"/>
      <c r="Y399" s="28"/>
    </row>
    <row r="400" customFormat="false" ht="15" hidden="false" customHeight="false" outlineLevel="0" collapsed="false">
      <c r="A400" s="21" t="str">
        <f aca="false">IF(COUNTA(B400,C400,E400,F400)=0,"",設定!$C$4&amp;TEXT(ROW()-4,"00000"))</f>
        <v/>
      </c>
      <c r="B400" s="22"/>
      <c r="C400" s="23"/>
      <c r="D400" s="21" t="str">
        <f aca="false">IF(C400="","",IFERROR(INDEX(取引先マスタ!$B$5:$B$204,MATCH($C400,取引先マスタ!$A$5:$A$204,0)),"コード誤り"))</f>
        <v/>
      </c>
      <c r="E400" s="28"/>
      <c r="F400" s="18"/>
      <c r="G400" s="25"/>
      <c r="H400" s="26" t="str">
        <f aca="false">IF(OR(F400="",G400=""),"",ROUNDDOWN(F400*G400,0))</f>
        <v/>
      </c>
      <c r="I400" s="26" t="str">
        <f aca="false">IF(OR(F400="",G400=""),"",F400+H400)</f>
        <v/>
      </c>
      <c r="J400" s="27" t="str">
        <f aca="false">IF(OR(B400="",C400="",D400="コード誤り"),"",IFERROR(DATE(YEAR(B400),MONTH(B400)+INDEX(取引先マスタ!$E$5:$E$204,MATCH($C400,取引先マスタ!$A$5:$A$204,0)),MIN(INDEX(取引先マスタ!$F$5:$F$204,MATCH($C400,取引先マスタ!$A$5:$A$204,0)),DAY(EOMONTH(B400,INDEX(取引先マスタ!$E$5:$E$204,MATCH($C400,取引先マスタ!$A$5:$A$204,0)))))),""))</f>
        <v/>
      </c>
      <c r="K400" s="22"/>
      <c r="L400" s="27" t="str">
        <f aca="false">IF(K400&lt;&gt;"",K400,J400)</f>
        <v/>
      </c>
      <c r="M400" s="28"/>
      <c r="N400" s="22"/>
      <c r="O400" s="28"/>
      <c r="P400" s="26" t="str">
        <f aca="false">IF(A400="","",SUMIF(入金明細!$F$5:$F$1004,A400,入金明細!$E$5:$E$1004))</f>
        <v/>
      </c>
      <c r="Q400" s="27" t="str">
        <f aca="false">IF(OR(A400="",N(P400)=0),"",SUMPRODUCT(MAX((入金明細!$F$5:$F$1004=A400)*入金明細!$B$5:$B$1004)))</f>
        <v/>
      </c>
      <c r="R400" s="18"/>
      <c r="S400" s="26" t="str">
        <f aca="false">IF(OR(A400="",I400=""),"",I400-N(P400)-N(R400))</f>
        <v/>
      </c>
      <c r="T400" s="28"/>
      <c r="U400" s="29" t="str">
        <f aca="false">IF(A400="","",IF(T400="取消","取消",IF(W400&lt;&gt;"","要入力",IF(N400="","未送付",IF(S400=0,"入金済",IF(S400&lt;0,"過入金",IF(設定!$C$5&gt;L400,IF(P400&gt;0,"一部入金・超過","期日超過"),IF(P400&gt;0,"一部入金",IF(L400-設定!$C$5&lt;=設定!$C$6,"期日間近","入金待ち")))))))))</f>
        <v/>
      </c>
      <c r="V400" s="30" t="str">
        <f aca="false">IF(OR(U400="期日超過",U400="一部入金・超過"),設定!$C$5-L400,"")</f>
        <v/>
      </c>
      <c r="W400" s="21" t="str">
        <f aca="false">IF(A400="","",TRIM(IF(B400="","請求日 ","")&amp;IF(C400="","取引先 ",IF(D400="コード誤り","取引先コード誤り ",""))&amp;IF(E400="","件名 ","")&amp;IF(F400="","税抜金額 ","")&amp;IF(G400="","税率 ","")&amp;IF(M400="","送付方法 ","")&amp;IF(AND(N400&lt;&gt;"",O400=""),"送付者 ","")&amp;IF(AND(I400&lt;&gt;"",L400=""),"入金期日 ","")&amp;IF(AND(N400&lt;&gt;"",P400&gt;0,S400&lt;=0,X400=""),"消込確認者 ","")))</f>
        <v/>
      </c>
      <c r="X400" s="28"/>
      <c r="Y400" s="28"/>
    </row>
    <row r="401" customFormat="false" ht="15" hidden="false" customHeight="false" outlineLevel="0" collapsed="false">
      <c r="A401" s="21" t="str">
        <f aca="false">IF(COUNTA(B401,C401,E401,F401)=0,"",設定!$C$4&amp;TEXT(ROW()-4,"00000"))</f>
        <v/>
      </c>
      <c r="B401" s="22"/>
      <c r="C401" s="23"/>
      <c r="D401" s="21" t="str">
        <f aca="false">IF(C401="","",IFERROR(INDEX(取引先マスタ!$B$5:$B$204,MATCH($C401,取引先マスタ!$A$5:$A$204,0)),"コード誤り"))</f>
        <v/>
      </c>
      <c r="E401" s="28"/>
      <c r="F401" s="18"/>
      <c r="G401" s="25"/>
      <c r="H401" s="26" t="str">
        <f aca="false">IF(OR(F401="",G401=""),"",ROUNDDOWN(F401*G401,0))</f>
        <v/>
      </c>
      <c r="I401" s="26" t="str">
        <f aca="false">IF(OR(F401="",G401=""),"",F401+H401)</f>
        <v/>
      </c>
      <c r="J401" s="27" t="str">
        <f aca="false">IF(OR(B401="",C401="",D401="コード誤り"),"",IFERROR(DATE(YEAR(B401),MONTH(B401)+INDEX(取引先マスタ!$E$5:$E$204,MATCH($C401,取引先マスタ!$A$5:$A$204,0)),MIN(INDEX(取引先マスタ!$F$5:$F$204,MATCH($C401,取引先マスタ!$A$5:$A$204,0)),DAY(EOMONTH(B401,INDEX(取引先マスタ!$E$5:$E$204,MATCH($C401,取引先マスタ!$A$5:$A$204,0)))))),""))</f>
        <v/>
      </c>
      <c r="K401" s="22"/>
      <c r="L401" s="27" t="str">
        <f aca="false">IF(K401&lt;&gt;"",K401,J401)</f>
        <v/>
      </c>
      <c r="M401" s="28"/>
      <c r="N401" s="22"/>
      <c r="O401" s="28"/>
      <c r="P401" s="26" t="str">
        <f aca="false">IF(A401="","",SUMIF(入金明細!$F$5:$F$1004,A401,入金明細!$E$5:$E$1004))</f>
        <v/>
      </c>
      <c r="Q401" s="27" t="str">
        <f aca="false">IF(OR(A401="",N(P401)=0),"",SUMPRODUCT(MAX((入金明細!$F$5:$F$1004=A401)*入金明細!$B$5:$B$1004)))</f>
        <v/>
      </c>
      <c r="R401" s="18"/>
      <c r="S401" s="26" t="str">
        <f aca="false">IF(OR(A401="",I401=""),"",I401-N(P401)-N(R401))</f>
        <v/>
      </c>
      <c r="T401" s="28"/>
      <c r="U401" s="29" t="str">
        <f aca="false">IF(A401="","",IF(T401="取消","取消",IF(W401&lt;&gt;"","要入力",IF(N401="","未送付",IF(S401=0,"入金済",IF(S401&lt;0,"過入金",IF(設定!$C$5&gt;L401,IF(P401&gt;0,"一部入金・超過","期日超過"),IF(P401&gt;0,"一部入金",IF(L401-設定!$C$5&lt;=設定!$C$6,"期日間近","入金待ち")))))))))</f>
        <v/>
      </c>
      <c r="V401" s="30" t="str">
        <f aca="false">IF(OR(U401="期日超過",U401="一部入金・超過"),設定!$C$5-L401,"")</f>
        <v/>
      </c>
      <c r="W401" s="21" t="str">
        <f aca="false">IF(A401="","",TRIM(IF(B401="","請求日 ","")&amp;IF(C401="","取引先 ",IF(D401="コード誤り","取引先コード誤り ",""))&amp;IF(E401="","件名 ","")&amp;IF(F401="","税抜金額 ","")&amp;IF(G401="","税率 ","")&amp;IF(M401="","送付方法 ","")&amp;IF(AND(N401&lt;&gt;"",O401=""),"送付者 ","")&amp;IF(AND(I401&lt;&gt;"",L401=""),"入金期日 ","")&amp;IF(AND(N401&lt;&gt;"",P401&gt;0,S401&lt;=0,X401=""),"消込確認者 ","")))</f>
        <v/>
      </c>
      <c r="X401" s="28"/>
      <c r="Y401" s="28"/>
    </row>
    <row r="402" customFormat="false" ht="15" hidden="false" customHeight="false" outlineLevel="0" collapsed="false">
      <c r="A402" s="21" t="str">
        <f aca="false">IF(COUNTA(B402,C402,E402,F402)=0,"",設定!$C$4&amp;TEXT(ROW()-4,"00000"))</f>
        <v/>
      </c>
      <c r="B402" s="22"/>
      <c r="C402" s="23"/>
      <c r="D402" s="21" t="str">
        <f aca="false">IF(C402="","",IFERROR(INDEX(取引先マスタ!$B$5:$B$204,MATCH($C402,取引先マスタ!$A$5:$A$204,0)),"コード誤り"))</f>
        <v/>
      </c>
      <c r="E402" s="28"/>
      <c r="F402" s="18"/>
      <c r="G402" s="25"/>
      <c r="H402" s="26" t="str">
        <f aca="false">IF(OR(F402="",G402=""),"",ROUNDDOWN(F402*G402,0))</f>
        <v/>
      </c>
      <c r="I402" s="26" t="str">
        <f aca="false">IF(OR(F402="",G402=""),"",F402+H402)</f>
        <v/>
      </c>
      <c r="J402" s="27" t="str">
        <f aca="false">IF(OR(B402="",C402="",D402="コード誤り"),"",IFERROR(DATE(YEAR(B402),MONTH(B402)+INDEX(取引先マスタ!$E$5:$E$204,MATCH($C402,取引先マスタ!$A$5:$A$204,0)),MIN(INDEX(取引先マスタ!$F$5:$F$204,MATCH($C402,取引先マスタ!$A$5:$A$204,0)),DAY(EOMONTH(B402,INDEX(取引先マスタ!$E$5:$E$204,MATCH($C402,取引先マスタ!$A$5:$A$204,0)))))),""))</f>
        <v/>
      </c>
      <c r="K402" s="22"/>
      <c r="L402" s="27" t="str">
        <f aca="false">IF(K402&lt;&gt;"",K402,J402)</f>
        <v/>
      </c>
      <c r="M402" s="28"/>
      <c r="N402" s="22"/>
      <c r="O402" s="28"/>
      <c r="P402" s="26" t="str">
        <f aca="false">IF(A402="","",SUMIF(入金明細!$F$5:$F$1004,A402,入金明細!$E$5:$E$1004))</f>
        <v/>
      </c>
      <c r="Q402" s="27" t="str">
        <f aca="false">IF(OR(A402="",N(P402)=0),"",SUMPRODUCT(MAX((入金明細!$F$5:$F$1004=A402)*入金明細!$B$5:$B$1004)))</f>
        <v/>
      </c>
      <c r="R402" s="18"/>
      <c r="S402" s="26" t="str">
        <f aca="false">IF(OR(A402="",I402=""),"",I402-N(P402)-N(R402))</f>
        <v/>
      </c>
      <c r="T402" s="28"/>
      <c r="U402" s="29" t="str">
        <f aca="false">IF(A402="","",IF(T402="取消","取消",IF(W402&lt;&gt;"","要入力",IF(N402="","未送付",IF(S402=0,"入金済",IF(S402&lt;0,"過入金",IF(設定!$C$5&gt;L402,IF(P402&gt;0,"一部入金・超過","期日超過"),IF(P402&gt;0,"一部入金",IF(L402-設定!$C$5&lt;=設定!$C$6,"期日間近","入金待ち")))))))))</f>
        <v/>
      </c>
      <c r="V402" s="30" t="str">
        <f aca="false">IF(OR(U402="期日超過",U402="一部入金・超過"),設定!$C$5-L402,"")</f>
        <v/>
      </c>
      <c r="W402" s="21" t="str">
        <f aca="false">IF(A402="","",TRIM(IF(B402="","請求日 ","")&amp;IF(C402="","取引先 ",IF(D402="コード誤り","取引先コード誤り ",""))&amp;IF(E402="","件名 ","")&amp;IF(F402="","税抜金額 ","")&amp;IF(G402="","税率 ","")&amp;IF(M402="","送付方法 ","")&amp;IF(AND(N402&lt;&gt;"",O402=""),"送付者 ","")&amp;IF(AND(I402&lt;&gt;"",L402=""),"入金期日 ","")&amp;IF(AND(N402&lt;&gt;"",P402&gt;0,S402&lt;=0,X402=""),"消込確認者 ","")))</f>
        <v/>
      </c>
      <c r="X402" s="28"/>
      <c r="Y402" s="28"/>
    </row>
    <row r="403" customFormat="false" ht="15" hidden="false" customHeight="false" outlineLevel="0" collapsed="false">
      <c r="A403" s="21" t="str">
        <f aca="false">IF(COUNTA(B403,C403,E403,F403)=0,"",設定!$C$4&amp;TEXT(ROW()-4,"00000"))</f>
        <v/>
      </c>
      <c r="B403" s="22"/>
      <c r="C403" s="23"/>
      <c r="D403" s="21" t="str">
        <f aca="false">IF(C403="","",IFERROR(INDEX(取引先マスタ!$B$5:$B$204,MATCH($C403,取引先マスタ!$A$5:$A$204,0)),"コード誤り"))</f>
        <v/>
      </c>
      <c r="E403" s="28"/>
      <c r="F403" s="18"/>
      <c r="G403" s="25"/>
      <c r="H403" s="26" t="str">
        <f aca="false">IF(OR(F403="",G403=""),"",ROUNDDOWN(F403*G403,0))</f>
        <v/>
      </c>
      <c r="I403" s="26" t="str">
        <f aca="false">IF(OR(F403="",G403=""),"",F403+H403)</f>
        <v/>
      </c>
      <c r="J403" s="27" t="str">
        <f aca="false">IF(OR(B403="",C403="",D403="コード誤り"),"",IFERROR(DATE(YEAR(B403),MONTH(B403)+INDEX(取引先マスタ!$E$5:$E$204,MATCH($C403,取引先マスタ!$A$5:$A$204,0)),MIN(INDEX(取引先マスタ!$F$5:$F$204,MATCH($C403,取引先マスタ!$A$5:$A$204,0)),DAY(EOMONTH(B403,INDEX(取引先マスタ!$E$5:$E$204,MATCH($C403,取引先マスタ!$A$5:$A$204,0)))))),""))</f>
        <v/>
      </c>
      <c r="K403" s="22"/>
      <c r="L403" s="27" t="str">
        <f aca="false">IF(K403&lt;&gt;"",K403,J403)</f>
        <v/>
      </c>
      <c r="M403" s="28"/>
      <c r="N403" s="22"/>
      <c r="O403" s="28"/>
      <c r="P403" s="26" t="str">
        <f aca="false">IF(A403="","",SUMIF(入金明細!$F$5:$F$1004,A403,入金明細!$E$5:$E$1004))</f>
        <v/>
      </c>
      <c r="Q403" s="27" t="str">
        <f aca="false">IF(OR(A403="",N(P403)=0),"",SUMPRODUCT(MAX((入金明細!$F$5:$F$1004=A403)*入金明細!$B$5:$B$1004)))</f>
        <v/>
      </c>
      <c r="R403" s="18"/>
      <c r="S403" s="26" t="str">
        <f aca="false">IF(OR(A403="",I403=""),"",I403-N(P403)-N(R403))</f>
        <v/>
      </c>
      <c r="T403" s="28"/>
      <c r="U403" s="29" t="str">
        <f aca="false">IF(A403="","",IF(T403="取消","取消",IF(W403&lt;&gt;"","要入力",IF(N403="","未送付",IF(S403=0,"入金済",IF(S403&lt;0,"過入金",IF(設定!$C$5&gt;L403,IF(P403&gt;0,"一部入金・超過","期日超過"),IF(P403&gt;0,"一部入金",IF(L403-設定!$C$5&lt;=設定!$C$6,"期日間近","入金待ち")))))))))</f>
        <v/>
      </c>
      <c r="V403" s="30" t="str">
        <f aca="false">IF(OR(U403="期日超過",U403="一部入金・超過"),設定!$C$5-L403,"")</f>
        <v/>
      </c>
      <c r="W403" s="21" t="str">
        <f aca="false">IF(A403="","",TRIM(IF(B403="","請求日 ","")&amp;IF(C403="","取引先 ",IF(D403="コード誤り","取引先コード誤り ",""))&amp;IF(E403="","件名 ","")&amp;IF(F403="","税抜金額 ","")&amp;IF(G403="","税率 ","")&amp;IF(M403="","送付方法 ","")&amp;IF(AND(N403&lt;&gt;"",O403=""),"送付者 ","")&amp;IF(AND(I403&lt;&gt;"",L403=""),"入金期日 ","")&amp;IF(AND(N403&lt;&gt;"",P403&gt;0,S403&lt;=0,X403=""),"消込確認者 ","")))</f>
        <v/>
      </c>
      <c r="X403" s="28"/>
      <c r="Y403" s="28"/>
    </row>
    <row r="404" customFormat="false" ht="15" hidden="false" customHeight="false" outlineLevel="0" collapsed="false">
      <c r="A404" s="21" t="str">
        <f aca="false">IF(COUNTA(B404,C404,E404,F404)=0,"",設定!$C$4&amp;TEXT(ROW()-4,"00000"))</f>
        <v/>
      </c>
      <c r="B404" s="22"/>
      <c r="C404" s="23"/>
      <c r="D404" s="21" t="str">
        <f aca="false">IF(C404="","",IFERROR(INDEX(取引先マスタ!$B$5:$B$204,MATCH($C404,取引先マスタ!$A$5:$A$204,0)),"コード誤り"))</f>
        <v/>
      </c>
      <c r="E404" s="28"/>
      <c r="F404" s="18"/>
      <c r="G404" s="25"/>
      <c r="H404" s="26" t="str">
        <f aca="false">IF(OR(F404="",G404=""),"",ROUNDDOWN(F404*G404,0))</f>
        <v/>
      </c>
      <c r="I404" s="26" t="str">
        <f aca="false">IF(OR(F404="",G404=""),"",F404+H404)</f>
        <v/>
      </c>
      <c r="J404" s="27" t="str">
        <f aca="false">IF(OR(B404="",C404="",D404="コード誤り"),"",IFERROR(DATE(YEAR(B404),MONTH(B404)+INDEX(取引先マスタ!$E$5:$E$204,MATCH($C404,取引先マスタ!$A$5:$A$204,0)),MIN(INDEX(取引先マスタ!$F$5:$F$204,MATCH($C404,取引先マスタ!$A$5:$A$204,0)),DAY(EOMONTH(B404,INDEX(取引先マスタ!$E$5:$E$204,MATCH($C404,取引先マスタ!$A$5:$A$204,0)))))),""))</f>
        <v/>
      </c>
      <c r="K404" s="22"/>
      <c r="L404" s="27" t="str">
        <f aca="false">IF(K404&lt;&gt;"",K404,J404)</f>
        <v/>
      </c>
      <c r="M404" s="28"/>
      <c r="N404" s="22"/>
      <c r="O404" s="28"/>
      <c r="P404" s="26" t="str">
        <f aca="false">IF(A404="","",SUMIF(入金明細!$F$5:$F$1004,A404,入金明細!$E$5:$E$1004))</f>
        <v/>
      </c>
      <c r="Q404" s="27" t="str">
        <f aca="false">IF(OR(A404="",N(P404)=0),"",SUMPRODUCT(MAX((入金明細!$F$5:$F$1004=A404)*入金明細!$B$5:$B$1004)))</f>
        <v/>
      </c>
      <c r="R404" s="18"/>
      <c r="S404" s="26" t="str">
        <f aca="false">IF(OR(A404="",I404=""),"",I404-N(P404)-N(R404))</f>
        <v/>
      </c>
      <c r="T404" s="28"/>
      <c r="U404" s="29" t="str">
        <f aca="false">IF(A404="","",IF(T404="取消","取消",IF(W404&lt;&gt;"","要入力",IF(N404="","未送付",IF(S404=0,"入金済",IF(S404&lt;0,"過入金",IF(設定!$C$5&gt;L404,IF(P404&gt;0,"一部入金・超過","期日超過"),IF(P404&gt;0,"一部入金",IF(L404-設定!$C$5&lt;=設定!$C$6,"期日間近","入金待ち")))))))))</f>
        <v/>
      </c>
      <c r="V404" s="30" t="str">
        <f aca="false">IF(OR(U404="期日超過",U404="一部入金・超過"),設定!$C$5-L404,"")</f>
        <v/>
      </c>
      <c r="W404" s="21" t="str">
        <f aca="false">IF(A404="","",TRIM(IF(B404="","請求日 ","")&amp;IF(C404="","取引先 ",IF(D404="コード誤り","取引先コード誤り ",""))&amp;IF(E404="","件名 ","")&amp;IF(F404="","税抜金額 ","")&amp;IF(G404="","税率 ","")&amp;IF(M404="","送付方法 ","")&amp;IF(AND(N404&lt;&gt;"",O404=""),"送付者 ","")&amp;IF(AND(I404&lt;&gt;"",L404=""),"入金期日 ","")&amp;IF(AND(N404&lt;&gt;"",P404&gt;0,S404&lt;=0,X404=""),"消込確認者 ","")))</f>
        <v/>
      </c>
      <c r="X404" s="28"/>
      <c r="Y404" s="28"/>
    </row>
    <row r="405" customFormat="false" ht="15" hidden="false" customHeight="false" outlineLevel="0" collapsed="false">
      <c r="A405" s="21" t="str">
        <f aca="false">IF(COUNTA(B405,C405,E405,F405)=0,"",設定!$C$4&amp;TEXT(ROW()-4,"00000"))</f>
        <v/>
      </c>
      <c r="B405" s="22"/>
      <c r="C405" s="23"/>
      <c r="D405" s="21" t="str">
        <f aca="false">IF(C405="","",IFERROR(INDEX(取引先マスタ!$B$5:$B$204,MATCH($C405,取引先マスタ!$A$5:$A$204,0)),"コード誤り"))</f>
        <v/>
      </c>
      <c r="E405" s="28"/>
      <c r="F405" s="18"/>
      <c r="G405" s="25"/>
      <c r="H405" s="26" t="str">
        <f aca="false">IF(OR(F405="",G405=""),"",ROUNDDOWN(F405*G405,0))</f>
        <v/>
      </c>
      <c r="I405" s="26" t="str">
        <f aca="false">IF(OR(F405="",G405=""),"",F405+H405)</f>
        <v/>
      </c>
      <c r="J405" s="27" t="str">
        <f aca="false">IF(OR(B405="",C405="",D405="コード誤り"),"",IFERROR(DATE(YEAR(B405),MONTH(B405)+INDEX(取引先マスタ!$E$5:$E$204,MATCH($C405,取引先マスタ!$A$5:$A$204,0)),MIN(INDEX(取引先マスタ!$F$5:$F$204,MATCH($C405,取引先マスタ!$A$5:$A$204,0)),DAY(EOMONTH(B405,INDEX(取引先マスタ!$E$5:$E$204,MATCH($C405,取引先マスタ!$A$5:$A$204,0)))))),""))</f>
        <v/>
      </c>
      <c r="K405" s="22"/>
      <c r="L405" s="27" t="str">
        <f aca="false">IF(K405&lt;&gt;"",K405,J405)</f>
        <v/>
      </c>
      <c r="M405" s="28"/>
      <c r="N405" s="22"/>
      <c r="O405" s="28"/>
      <c r="P405" s="26" t="str">
        <f aca="false">IF(A405="","",SUMIF(入金明細!$F$5:$F$1004,A405,入金明細!$E$5:$E$1004))</f>
        <v/>
      </c>
      <c r="Q405" s="27" t="str">
        <f aca="false">IF(OR(A405="",N(P405)=0),"",SUMPRODUCT(MAX((入金明細!$F$5:$F$1004=A405)*入金明細!$B$5:$B$1004)))</f>
        <v/>
      </c>
      <c r="R405" s="18"/>
      <c r="S405" s="26" t="str">
        <f aca="false">IF(OR(A405="",I405=""),"",I405-N(P405)-N(R405))</f>
        <v/>
      </c>
      <c r="T405" s="28"/>
      <c r="U405" s="29" t="str">
        <f aca="false">IF(A405="","",IF(T405="取消","取消",IF(W405&lt;&gt;"","要入力",IF(N405="","未送付",IF(S405=0,"入金済",IF(S405&lt;0,"過入金",IF(設定!$C$5&gt;L405,IF(P405&gt;0,"一部入金・超過","期日超過"),IF(P405&gt;0,"一部入金",IF(L405-設定!$C$5&lt;=設定!$C$6,"期日間近","入金待ち")))))))))</f>
        <v/>
      </c>
      <c r="V405" s="30" t="str">
        <f aca="false">IF(OR(U405="期日超過",U405="一部入金・超過"),設定!$C$5-L405,"")</f>
        <v/>
      </c>
      <c r="W405" s="21" t="str">
        <f aca="false">IF(A405="","",TRIM(IF(B405="","請求日 ","")&amp;IF(C405="","取引先 ",IF(D405="コード誤り","取引先コード誤り ",""))&amp;IF(E405="","件名 ","")&amp;IF(F405="","税抜金額 ","")&amp;IF(G405="","税率 ","")&amp;IF(M405="","送付方法 ","")&amp;IF(AND(N405&lt;&gt;"",O405=""),"送付者 ","")&amp;IF(AND(I405&lt;&gt;"",L405=""),"入金期日 ","")&amp;IF(AND(N405&lt;&gt;"",P405&gt;0,S405&lt;=0,X405=""),"消込確認者 ","")))</f>
        <v/>
      </c>
      <c r="X405" s="28"/>
      <c r="Y405" s="28"/>
    </row>
    <row r="406" customFormat="false" ht="15" hidden="false" customHeight="false" outlineLevel="0" collapsed="false">
      <c r="A406" s="21" t="str">
        <f aca="false">IF(COUNTA(B406,C406,E406,F406)=0,"",設定!$C$4&amp;TEXT(ROW()-4,"00000"))</f>
        <v/>
      </c>
      <c r="B406" s="22"/>
      <c r="C406" s="23"/>
      <c r="D406" s="21" t="str">
        <f aca="false">IF(C406="","",IFERROR(INDEX(取引先マスタ!$B$5:$B$204,MATCH($C406,取引先マスタ!$A$5:$A$204,0)),"コード誤り"))</f>
        <v/>
      </c>
      <c r="E406" s="28"/>
      <c r="F406" s="18"/>
      <c r="G406" s="25"/>
      <c r="H406" s="26" t="str">
        <f aca="false">IF(OR(F406="",G406=""),"",ROUNDDOWN(F406*G406,0))</f>
        <v/>
      </c>
      <c r="I406" s="26" t="str">
        <f aca="false">IF(OR(F406="",G406=""),"",F406+H406)</f>
        <v/>
      </c>
      <c r="J406" s="27" t="str">
        <f aca="false">IF(OR(B406="",C406="",D406="コード誤り"),"",IFERROR(DATE(YEAR(B406),MONTH(B406)+INDEX(取引先マスタ!$E$5:$E$204,MATCH($C406,取引先マスタ!$A$5:$A$204,0)),MIN(INDEX(取引先マスタ!$F$5:$F$204,MATCH($C406,取引先マスタ!$A$5:$A$204,0)),DAY(EOMONTH(B406,INDEX(取引先マスタ!$E$5:$E$204,MATCH($C406,取引先マスタ!$A$5:$A$204,0)))))),""))</f>
        <v/>
      </c>
      <c r="K406" s="22"/>
      <c r="L406" s="27" t="str">
        <f aca="false">IF(K406&lt;&gt;"",K406,J406)</f>
        <v/>
      </c>
      <c r="M406" s="28"/>
      <c r="N406" s="22"/>
      <c r="O406" s="28"/>
      <c r="P406" s="26" t="str">
        <f aca="false">IF(A406="","",SUMIF(入金明細!$F$5:$F$1004,A406,入金明細!$E$5:$E$1004))</f>
        <v/>
      </c>
      <c r="Q406" s="27" t="str">
        <f aca="false">IF(OR(A406="",N(P406)=0),"",SUMPRODUCT(MAX((入金明細!$F$5:$F$1004=A406)*入金明細!$B$5:$B$1004)))</f>
        <v/>
      </c>
      <c r="R406" s="18"/>
      <c r="S406" s="26" t="str">
        <f aca="false">IF(OR(A406="",I406=""),"",I406-N(P406)-N(R406))</f>
        <v/>
      </c>
      <c r="T406" s="28"/>
      <c r="U406" s="29" t="str">
        <f aca="false">IF(A406="","",IF(T406="取消","取消",IF(W406&lt;&gt;"","要入力",IF(N406="","未送付",IF(S406=0,"入金済",IF(S406&lt;0,"過入金",IF(設定!$C$5&gt;L406,IF(P406&gt;0,"一部入金・超過","期日超過"),IF(P406&gt;0,"一部入金",IF(L406-設定!$C$5&lt;=設定!$C$6,"期日間近","入金待ち")))))))))</f>
        <v/>
      </c>
      <c r="V406" s="30" t="str">
        <f aca="false">IF(OR(U406="期日超過",U406="一部入金・超過"),設定!$C$5-L406,"")</f>
        <v/>
      </c>
      <c r="W406" s="21" t="str">
        <f aca="false">IF(A406="","",TRIM(IF(B406="","請求日 ","")&amp;IF(C406="","取引先 ",IF(D406="コード誤り","取引先コード誤り ",""))&amp;IF(E406="","件名 ","")&amp;IF(F406="","税抜金額 ","")&amp;IF(G406="","税率 ","")&amp;IF(M406="","送付方法 ","")&amp;IF(AND(N406&lt;&gt;"",O406=""),"送付者 ","")&amp;IF(AND(I406&lt;&gt;"",L406=""),"入金期日 ","")&amp;IF(AND(N406&lt;&gt;"",P406&gt;0,S406&lt;=0,X406=""),"消込確認者 ","")))</f>
        <v/>
      </c>
      <c r="X406" s="28"/>
      <c r="Y406" s="28"/>
    </row>
    <row r="407" customFormat="false" ht="15" hidden="false" customHeight="false" outlineLevel="0" collapsed="false">
      <c r="A407" s="21" t="str">
        <f aca="false">IF(COUNTA(B407,C407,E407,F407)=0,"",設定!$C$4&amp;TEXT(ROW()-4,"00000"))</f>
        <v/>
      </c>
      <c r="B407" s="22"/>
      <c r="C407" s="23"/>
      <c r="D407" s="21" t="str">
        <f aca="false">IF(C407="","",IFERROR(INDEX(取引先マスタ!$B$5:$B$204,MATCH($C407,取引先マスタ!$A$5:$A$204,0)),"コード誤り"))</f>
        <v/>
      </c>
      <c r="E407" s="28"/>
      <c r="F407" s="18"/>
      <c r="G407" s="25"/>
      <c r="H407" s="26" t="str">
        <f aca="false">IF(OR(F407="",G407=""),"",ROUNDDOWN(F407*G407,0))</f>
        <v/>
      </c>
      <c r="I407" s="26" t="str">
        <f aca="false">IF(OR(F407="",G407=""),"",F407+H407)</f>
        <v/>
      </c>
      <c r="J407" s="27" t="str">
        <f aca="false">IF(OR(B407="",C407="",D407="コード誤り"),"",IFERROR(DATE(YEAR(B407),MONTH(B407)+INDEX(取引先マスタ!$E$5:$E$204,MATCH($C407,取引先マスタ!$A$5:$A$204,0)),MIN(INDEX(取引先マスタ!$F$5:$F$204,MATCH($C407,取引先マスタ!$A$5:$A$204,0)),DAY(EOMONTH(B407,INDEX(取引先マスタ!$E$5:$E$204,MATCH($C407,取引先マスタ!$A$5:$A$204,0)))))),""))</f>
        <v/>
      </c>
      <c r="K407" s="22"/>
      <c r="L407" s="27" t="str">
        <f aca="false">IF(K407&lt;&gt;"",K407,J407)</f>
        <v/>
      </c>
      <c r="M407" s="28"/>
      <c r="N407" s="22"/>
      <c r="O407" s="28"/>
      <c r="P407" s="26" t="str">
        <f aca="false">IF(A407="","",SUMIF(入金明細!$F$5:$F$1004,A407,入金明細!$E$5:$E$1004))</f>
        <v/>
      </c>
      <c r="Q407" s="27" t="str">
        <f aca="false">IF(OR(A407="",N(P407)=0),"",SUMPRODUCT(MAX((入金明細!$F$5:$F$1004=A407)*入金明細!$B$5:$B$1004)))</f>
        <v/>
      </c>
      <c r="R407" s="18"/>
      <c r="S407" s="26" t="str">
        <f aca="false">IF(OR(A407="",I407=""),"",I407-N(P407)-N(R407))</f>
        <v/>
      </c>
      <c r="T407" s="28"/>
      <c r="U407" s="29" t="str">
        <f aca="false">IF(A407="","",IF(T407="取消","取消",IF(W407&lt;&gt;"","要入力",IF(N407="","未送付",IF(S407=0,"入金済",IF(S407&lt;0,"過入金",IF(設定!$C$5&gt;L407,IF(P407&gt;0,"一部入金・超過","期日超過"),IF(P407&gt;0,"一部入金",IF(L407-設定!$C$5&lt;=設定!$C$6,"期日間近","入金待ち")))))))))</f>
        <v/>
      </c>
      <c r="V407" s="30" t="str">
        <f aca="false">IF(OR(U407="期日超過",U407="一部入金・超過"),設定!$C$5-L407,"")</f>
        <v/>
      </c>
      <c r="W407" s="21" t="str">
        <f aca="false">IF(A407="","",TRIM(IF(B407="","請求日 ","")&amp;IF(C407="","取引先 ",IF(D407="コード誤り","取引先コード誤り ",""))&amp;IF(E407="","件名 ","")&amp;IF(F407="","税抜金額 ","")&amp;IF(G407="","税率 ","")&amp;IF(M407="","送付方法 ","")&amp;IF(AND(N407&lt;&gt;"",O407=""),"送付者 ","")&amp;IF(AND(I407&lt;&gt;"",L407=""),"入金期日 ","")&amp;IF(AND(N407&lt;&gt;"",P407&gt;0,S407&lt;=0,X407=""),"消込確認者 ","")))</f>
        <v/>
      </c>
      <c r="X407" s="28"/>
      <c r="Y407" s="28"/>
    </row>
    <row r="408" customFormat="false" ht="15" hidden="false" customHeight="false" outlineLevel="0" collapsed="false">
      <c r="A408" s="21" t="str">
        <f aca="false">IF(COUNTA(B408,C408,E408,F408)=0,"",設定!$C$4&amp;TEXT(ROW()-4,"00000"))</f>
        <v/>
      </c>
      <c r="B408" s="22"/>
      <c r="C408" s="23"/>
      <c r="D408" s="21" t="str">
        <f aca="false">IF(C408="","",IFERROR(INDEX(取引先マスタ!$B$5:$B$204,MATCH($C408,取引先マスタ!$A$5:$A$204,0)),"コード誤り"))</f>
        <v/>
      </c>
      <c r="E408" s="28"/>
      <c r="F408" s="18"/>
      <c r="G408" s="25"/>
      <c r="H408" s="26" t="str">
        <f aca="false">IF(OR(F408="",G408=""),"",ROUNDDOWN(F408*G408,0))</f>
        <v/>
      </c>
      <c r="I408" s="26" t="str">
        <f aca="false">IF(OR(F408="",G408=""),"",F408+H408)</f>
        <v/>
      </c>
      <c r="J408" s="27" t="str">
        <f aca="false">IF(OR(B408="",C408="",D408="コード誤り"),"",IFERROR(DATE(YEAR(B408),MONTH(B408)+INDEX(取引先マスタ!$E$5:$E$204,MATCH($C408,取引先マスタ!$A$5:$A$204,0)),MIN(INDEX(取引先マスタ!$F$5:$F$204,MATCH($C408,取引先マスタ!$A$5:$A$204,0)),DAY(EOMONTH(B408,INDEX(取引先マスタ!$E$5:$E$204,MATCH($C408,取引先マスタ!$A$5:$A$204,0)))))),""))</f>
        <v/>
      </c>
      <c r="K408" s="22"/>
      <c r="L408" s="27" t="str">
        <f aca="false">IF(K408&lt;&gt;"",K408,J408)</f>
        <v/>
      </c>
      <c r="M408" s="28"/>
      <c r="N408" s="22"/>
      <c r="O408" s="28"/>
      <c r="P408" s="26" t="str">
        <f aca="false">IF(A408="","",SUMIF(入金明細!$F$5:$F$1004,A408,入金明細!$E$5:$E$1004))</f>
        <v/>
      </c>
      <c r="Q408" s="27" t="str">
        <f aca="false">IF(OR(A408="",N(P408)=0),"",SUMPRODUCT(MAX((入金明細!$F$5:$F$1004=A408)*入金明細!$B$5:$B$1004)))</f>
        <v/>
      </c>
      <c r="R408" s="18"/>
      <c r="S408" s="26" t="str">
        <f aca="false">IF(OR(A408="",I408=""),"",I408-N(P408)-N(R408))</f>
        <v/>
      </c>
      <c r="T408" s="28"/>
      <c r="U408" s="29" t="str">
        <f aca="false">IF(A408="","",IF(T408="取消","取消",IF(W408&lt;&gt;"","要入力",IF(N408="","未送付",IF(S408=0,"入金済",IF(S408&lt;0,"過入金",IF(設定!$C$5&gt;L408,IF(P408&gt;0,"一部入金・超過","期日超過"),IF(P408&gt;0,"一部入金",IF(L408-設定!$C$5&lt;=設定!$C$6,"期日間近","入金待ち")))))))))</f>
        <v/>
      </c>
      <c r="V408" s="30" t="str">
        <f aca="false">IF(OR(U408="期日超過",U408="一部入金・超過"),設定!$C$5-L408,"")</f>
        <v/>
      </c>
      <c r="W408" s="21" t="str">
        <f aca="false">IF(A408="","",TRIM(IF(B408="","請求日 ","")&amp;IF(C408="","取引先 ",IF(D408="コード誤り","取引先コード誤り ",""))&amp;IF(E408="","件名 ","")&amp;IF(F408="","税抜金額 ","")&amp;IF(G408="","税率 ","")&amp;IF(M408="","送付方法 ","")&amp;IF(AND(N408&lt;&gt;"",O408=""),"送付者 ","")&amp;IF(AND(I408&lt;&gt;"",L408=""),"入金期日 ","")&amp;IF(AND(N408&lt;&gt;"",P408&gt;0,S408&lt;=0,X408=""),"消込確認者 ","")))</f>
        <v/>
      </c>
      <c r="X408" s="28"/>
      <c r="Y408" s="28"/>
    </row>
    <row r="409" customFormat="false" ht="15" hidden="false" customHeight="false" outlineLevel="0" collapsed="false">
      <c r="A409" s="21" t="str">
        <f aca="false">IF(COUNTA(B409,C409,E409,F409)=0,"",設定!$C$4&amp;TEXT(ROW()-4,"00000"))</f>
        <v/>
      </c>
      <c r="B409" s="22"/>
      <c r="C409" s="23"/>
      <c r="D409" s="21" t="str">
        <f aca="false">IF(C409="","",IFERROR(INDEX(取引先マスタ!$B$5:$B$204,MATCH($C409,取引先マスタ!$A$5:$A$204,0)),"コード誤り"))</f>
        <v/>
      </c>
      <c r="E409" s="28"/>
      <c r="F409" s="18"/>
      <c r="G409" s="25"/>
      <c r="H409" s="26" t="str">
        <f aca="false">IF(OR(F409="",G409=""),"",ROUNDDOWN(F409*G409,0))</f>
        <v/>
      </c>
      <c r="I409" s="26" t="str">
        <f aca="false">IF(OR(F409="",G409=""),"",F409+H409)</f>
        <v/>
      </c>
      <c r="J409" s="27" t="str">
        <f aca="false">IF(OR(B409="",C409="",D409="コード誤り"),"",IFERROR(DATE(YEAR(B409),MONTH(B409)+INDEX(取引先マスタ!$E$5:$E$204,MATCH($C409,取引先マスタ!$A$5:$A$204,0)),MIN(INDEX(取引先マスタ!$F$5:$F$204,MATCH($C409,取引先マスタ!$A$5:$A$204,0)),DAY(EOMONTH(B409,INDEX(取引先マスタ!$E$5:$E$204,MATCH($C409,取引先マスタ!$A$5:$A$204,0)))))),""))</f>
        <v/>
      </c>
      <c r="K409" s="22"/>
      <c r="L409" s="27" t="str">
        <f aca="false">IF(K409&lt;&gt;"",K409,J409)</f>
        <v/>
      </c>
      <c r="M409" s="28"/>
      <c r="N409" s="22"/>
      <c r="O409" s="28"/>
      <c r="P409" s="26" t="str">
        <f aca="false">IF(A409="","",SUMIF(入金明細!$F$5:$F$1004,A409,入金明細!$E$5:$E$1004))</f>
        <v/>
      </c>
      <c r="Q409" s="27" t="str">
        <f aca="false">IF(OR(A409="",N(P409)=0),"",SUMPRODUCT(MAX((入金明細!$F$5:$F$1004=A409)*入金明細!$B$5:$B$1004)))</f>
        <v/>
      </c>
      <c r="R409" s="18"/>
      <c r="S409" s="26" t="str">
        <f aca="false">IF(OR(A409="",I409=""),"",I409-N(P409)-N(R409))</f>
        <v/>
      </c>
      <c r="T409" s="28"/>
      <c r="U409" s="29" t="str">
        <f aca="false">IF(A409="","",IF(T409="取消","取消",IF(W409&lt;&gt;"","要入力",IF(N409="","未送付",IF(S409=0,"入金済",IF(S409&lt;0,"過入金",IF(設定!$C$5&gt;L409,IF(P409&gt;0,"一部入金・超過","期日超過"),IF(P409&gt;0,"一部入金",IF(L409-設定!$C$5&lt;=設定!$C$6,"期日間近","入金待ち")))))))))</f>
        <v/>
      </c>
      <c r="V409" s="30" t="str">
        <f aca="false">IF(OR(U409="期日超過",U409="一部入金・超過"),設定!$C$5-L409,"")</f>
        <v/>
      </c>
      <c r="W409" s="21" t="str">
        <f aca="false">IF(A409="","",TRIM(IF(B409="","請求日 ","")&amp;IF(C409="","取引先 ",IF(D409="コード誤り","取引先コード誤り ",""))&amp;IF(E409="","件名 ","")&amp;IF(F409="","税抜金額 ","")&amp;IF(G409="","税率 ","")&amp;IF(M409="","送付方法 ","")&amp;IF(AND(N409&lt;&gt;"",O409=""),"送付者 ","")&amp;IF(AND(I409&lt;&gt;"",L409=""),"入金期日 ","")&amp;IF(AND(N409&lt;&gt;"",P409&gt;0,S409&lt;=0,X409=""),"消込確認者 ","")))</f>
        <v/>
      </c>
      <c r="X409" s="28"/>
      <c r="Y409" s="28"/>
    </row>
    <row r="410" customFormat="false" ht="15" hidden="false" customHeight="false" outlineLevel="0" collapsed="false">
      <c r="A410" s="21" t="str">
        <f aca="false">IF(COUNTA(B410,C410,E410,F410)=0,"",設定!$C$4&amp;TEXT(ROW()-4,"00000"))</f>
        <v/>
      </c>
      <c r="B410" s="22"/>
      <c r="C410" s="23"/>
      <c r="D410" s="21" t="str">
        <f aca="false">IF(C410="","",IFERROR(INDEX(取引先マスタ!$B$5:$B$204,MATCH($C410,取引先マスタ!$A$5:$A$204,0)),"コード誤り"))</f>
        <v/>
      </c>
      <c r="E410" s="28"/>
      <c r="F410" s="18"/>
      <c r="G410" s="25"/>
      <c r="H410" s="26" t="str">
        <f aca="false">IF(OR(F410="",G410=""),"",ROUNDDOWN(F410*G410,0))</f>
        <v/>
      </c>
      <c r="I410" s="26" t="str">
        <f aca="false">IF(OR(F410="",G410=""),"",F410+H410)</f>
        <v/>
      </c>
      <c r="J410" s="27" t="str">
        <f aca="false">IF(OR(B410="",C410="",D410="コード誤り"),"",IFERROR(DATE(YEAR(B410),MONTH(B410)+INDEX(取引先マスタ!$E$5:$E$204,MATCH($C410,取引先マスタ!$A$5:$A$204,0)),MIN(INDEX(取引先マスタ!$F$5:$F$204,MATCH($C410,取引先マスタ!$A$5:$A$204,0)),DAY(EOMONTH(B410,INDEX(取引先マスタ!$E$5:$E$204,MATCH($C410,取引先マスタ!$A$5:$A$204,0)))))),""))</f>
        <v/>
      </c>
      <c r="K410" s="22"/>
      <c r="L410" s="27" t="str">
        <f aca="false">IF(K410&lt;&gt;"",K410,J410)</f>
        <v/>
      </c>
      <c r="M410" s="28"/>
      <c r="N410" s="22"/>
      <c r="O410" s="28"/>
      <c r="P410" s="26" t="str">
        <f aca="false">IF(A410="","",SUMIF(入金明細!$F$5:$F$1004,A410,入金明細!$E$5:$E$1004))</f>
        <v/>
      </c>
      <c r="Q410" s="27" t="str">
        <f aca="false">IF(OR(A410="",N(P410)=0),"",SUMPRODUCT(MAX((入金明細!$F$5:$F$1004=A410)*入金明細!$B$5:$B$1004)))</f>
        <v/>
      </c>
      <c r="R410" s="18"/>
      <c r="S410" s="26" t="str">
        <f aca="false">IF(OR(A410="",I410=""),"",I410-N(P410)-N(R410))</f>
        <v/>
      </c>
      <c r="T410" s="28"/>
      <c r="U410" s="29" t="str">
        <f aca="false">IF(A410="","",IF(T410="取消","取消",IF(W410&lt;&gt;"","要入力",IF(N410="","未送付",IF(S410=0,"入金済",IF(S410&lt;0,"過入金",IF(設定!$C$5&gt;L410,IF(P410&gt;0,"一部入金・超過","期日超過"),IF(P410&gt;0,"一部入金",IF(L410-設定!$C$5&lt;=設定!$C$6,"期日間近","入金待ち")))))))))</f>
        <v/>
      </c>
      <c r="V410" s="30" t="str">
        <f aca="false">IF(OR(U410="期日超過",U410="一部入金・超過"),設定!$C$5-L410,"")</f>
        <v/>
      </c>
      <c r="W410" s="21" t="str">
        <f aca="false">IF(A410="","",TRIM(IF(B410="","請求日 ","")&amp;IF(C410="","取引先 ",IF(D410="コード誤り","取引先コード誤り ",""))&amp;IF(E410="","件名 ","")&amp;IF(F410="","税抜金額 ","")&amp;IF(G410="","税率 ","")&amp;IF(M410="","送付方法 ","")&amp;IF(AND(N410&lt;&gt;"",O410=""),"送付者 ","")&amp;IF(AND(I410&lt;&gt;"",L410=""),"入金期日 ","")&amp;IF(AND(N410&lt;&gt;"",P410&gt;0,S410&lt;=0,X410=""),"消込確認者 ","")))</f>
        <v/>
      </c>
      <c r="X410" s="28"/>
      <c r="Y410" s="28"/>
    </row>
    <row r="411" customFormat="false" ht="15" hidden="false" customHeight="false" outlineLevel="0" collapsed="false">
      <c r="A411" s="21" t="str">
        <f aca="false">IF(COUNTA(B411,C411,E411,F411)=0,"",設定!$C$4&amp;TEXT(ROW()-4,"00000"))</f>
        <v/>
      </c>
      <c r="B411" s="22"/>
      <c r="C411" s="23"/>
      <c r="D411" s="21" t="str">
        <f aca="false">IF(C411="","",IFERROR(INDEX(取引先マスタ!$B$5:$B$204,MATCH($C411,取引先マスタ!$A$5:$A$204,0)),"コード誤り"))</f>
        <v/>
      </c>
      <c r="E411" s="28"/>
      <c r="F411" s="18"/>
      <c r="G411" s="25"/>
      <c r="H411" s="26" t="str">
        <f aca="false">IF(OR(F411="",G411=""),"",ROUNDDOWN(F411*G411,0))</f>
        <v/>
      </c>
      <c r="I411" s="26" t="str">
        <f aca="false">IF(OR(F411="",G411=""),"",F411+H411)</f>
        <v/>
      </c>
      <c r="J411" s="27" t="str">
        <f aca="false">IF(OR(B411="",C411="",D411="コード誤り"),"",IFERROR(DATE(YEAR(B411),MONTH(B411)+INDEX(取引先マスタ!$E$5:$E$204,MATCH($C411,取引先マスタ!$A$5:$A$204,0)),MIN(INDEX(取引先マスタ!$F$5:$F$204,MATCH($C411,取引先マスタ!$A$5:$A$204,0)),DAY(EOMONTH(B411,INDEX(取引先マスタ!$E$5:$E$204,MATCH($C411,取引先マスタ!$A$5:$A$204,0)))))),""))</f>
        <v/>
      </c>
      <c r="K411" s="22"/>
      <c r="L411" s="27" t="str">
        <f aca="false">IF(K411&lt;&gt;"",K411,J411)</f>
        <v/>
      </c>
      <c r="M411" s="28"/>
      <c r="N411" s="22"/>
      <c r="O411" s="28"/>
      <c r="P411" s="26" t="str">
        <f aca="false">IF(A411="","",SUMIF(入金明細!$F$5:$F$1004,A411,入金明細!$E$5:$E$1004))</f>
        <v/>
      </c>
      <c r="Q411" s="27" t="str">
        <f aca="false">IF(OR(A411="",N(P411)=0),"",SUMPRODUCT(MAX((入金明細!$F$5:$F$1004=A411)*入金明細!$B$5:$B$1004)))</f>
        <v/>
      </c>
      <c r="R411" s="18"/>
      <c r="S411" s="26" t="str">
        <f aca="false">IF(OR(A411="",I411=""),"",I411-N(P411)-N(R411))</f>
        <v/>
      </c>
      <c r="T411" s="28"/>
      <c r="U411" s="29" t="str">
        <f aca="false">IF(A411="","",IF(T411="取消","取消",IF(W411&lt;&gt;"","要入力",IF(N411="","未送付",IF(S411=0,"入金済",IF(S411&lt;0,"過入金",IF(設定!$C$5&gt;L411,IF(P411&gt;0,"一部入金・超過","期日超過"),IF(P411&gt;0,"一部入金",IF(L411-設定!$C$5&lt;=設定!$C$6,"期日間近","入金待ち")))))))))</f>
        <v/>
      </c>
      <c r="V411" s="30" t="str">
        <f aca="false">IF(OR(U411="期日超過",U411="一部入金・超過"),設定!$C$5-L411,"")</f>
        <v/>
      </c>
      <c r="W411" s="21" t="str">
        <f aca="false">IF(A411="","",TRIM(IF(B411="","請求日 ","")&amp;IF(C411="","取引先 ",IF(D411="コード誤り","取引先コード誤り ",""))&amp;IF(E411="","件名 ","")&amp;IF(F411="","税抜金額 ","")&amp;IF(G411="","税率 ","")&amp;IF(M411="","送付方法 ","")&amp;IF(AND(N411&lt;&gt;"",O411=""),"送付者 ","")&amp;IF(AND(I411&lt;&gt;"",L411=""),"入金期日 ","")&amp;IF(AND(N411&lt;&gt;"",P411&gt;0,S411&lt;=0,X411=""),"消込確認者 ","")))</f>
        <v/>
      </c>
      <c r="X411" s="28"/>
      <c r="Y411" s="28"/>
    </row>
    <row r="412" customFormat="false" ht="15" hidden="false" customHeight="false" outlineLevel="0" collapsed="false">
      <c r="A412" s="21" t="str">
        <f aca="false">IF(COUNTA(B412,C412,E412,F412)=0,"",設定!$C$4&amp;TEXT(ROW()-4,"00000"))</f>
        <v/>
      </c>
      <c r="B412" s="22"/>
      <c r="C412" s="23"/>
      <c r="D412" s="21" t="str">
        <f aca="false">IF(C412="","",IFERROR(INDEX(取引先マスタ!$B$5:$B$204,MATCH($C412,取引先マスタ!$A$5:$A$204,0)),"コード誤り"))</f>
        <v/>
      </c>
      <c r="E412" s="28"/>
      <c r="F412" s="18"/>
      <c r="G412" s="25"/>
      <c r="H412" s="26" t="str">
        <f aca="false">IF(OR(F412="",G412=""),"",ROUNDDOWN(F412*G412,0))</f>
        <v/>
      </c>
      <c r="I412" s="26" t="str">
        <f aca="false">IF(OR(F412="",G412=""),"",F412+H412)</f>
        <v/>
      </c>
      <c r="J412" s="27" t="str">
        <f aca="false">IF(OR(B412="",C412="",D412="コード誤り"),"",IFERROR(DATE(YEAR(B412),MONTH(B412)+INDEX(取引先マスタ!$E$5:$E$204,MATCH($C412,取引先マスタ!$A$5:$A$204,0)),MIN(INDEX(取引先マスタ!$F$5:$F$204,MATCH($C412,取引先マスタ!$A$5:$A$204,0)),DAY(EOMONTH(B412,INDEX(取引先マスタ!$E$5:$E$204,MATCH($C412,取引先マスタ!$A$5:$A$204,0)))))),""))</f>
        <v/>
      </c>
      <c r="K412" s="22"/>
      <c r="L412" s="27" t="str">
        <f aca="false">IF(K412&lt;&gt;"",K412,J412)</f>
        <v/>
      </c>
      <c r="M412" s="28"/>
      <c r="N412" s="22"/>
      <c r="O412" s="28"/>
      <c r="P412" s="26" t="str">
        <f aca="false">IF(A412="","",SUMIF(入金明細!$F$5:$F$1004,A412,入金明細!$E$5:$E$1004))</f>
        <v/>
      </c>
      <c r="Q412" s="27" t="str">
        <f aca="false">IF(OR(A412="",N(P412)=0),"",SUMPRODUCT(MAX((入金明細!$F$5:$F$1004=A412)*入金明細!$B$5:$B$1004)))</f>
        <v/>
      </c>
      <c r="R412" s="18"/>
      <c r="S412" s="26" t="str">
        <f aca="false">IF(OR(A412="",I412=""),"",I412-N(P412)-N(R412))</f>
        <v/>
      </c>
      <c r="T412" s="28"/>
      <c r="U412" s="29" t="str">
        <f aca="false">IF(A412="","",IF(T412="取消","取消",IF(W412&lt;&gt;"","要入力",IF(N412="","未送付",IF(S412=0,"入金済",IF(S412&lt;0,"過入金",IF(設定!$C$5&gt;L412,IF(P412&gt;0,"一部入金・超過","期日超過"),IF(P412&gt;0,"一部入金",IF(L412-設定!$C$5&lt;=設定!$C$6,"期日間近","入金待ち")))))))))</f>
        <v/>
      </c>
      <c r="V412" s="30" t="str">
        <f aca="false">IF(OR(U412="期日超過",U412="一部入金・超過"),設定!$C$5-L412,"")</f>
        <v/>
      </c>
      <c r="W412" s="21" t="str">
        <f aca="false">IF(A412="","",TRIM(IF(B412="","請求日 ","")&amp;IF(C412="","取引先 ",IF(D412="コード誤り","取引先コード誤り ",""))&amp;IF(E412="","件名 ","")&amp;IF(F412="","税抜金額 ","")&amp;IF(G412="","税率 ","")&amp;IF(M412="","送付方法 ","")&amp;IF(AND(N412&lt;&gt;"",O412=""),"送付者 ","")&amp;IF(AND(I412&lt;&gt;"",L412=""),"入金期日 ","")&amp;IF(AND(N412&lt;&gt;"",P412&gt;0,S412&lt;=0,X412=""),"消込確認者 ","")))</f>
        <v/>
      </c>
      <c r="X412" s="28"/>
      <c r="Y412" s="28"/>
    </row>
    <row r="413" customFormat="false" ht="15" hidden="false" customHeight="false" outlineLevel="0" collapsed="false">
      <c r="A413" s="21" t="str">
        <f aca="false">IF(COUNTA(B413,C413,E413,F413)=0,"",設定!$C$4&amp;TEXT(ROW()-4,"00000"))</f>
        <v/>
      </c>
      <c r="B413" s="22"/>
      <c r="C413" s="23"/>
      <c r="D413" s="21" t="str">
        <f aca="false">IF(C413="","",IFERROR(INDEX(取引先マスタ!$B$5:$B$204,MATCH($C413,取引先マスタ!$A$5:$A$204,0)),"コード誤り"))</f>
        <v/>
      </c>
      <c r="E413" s="28"/>
      <c r="F413" s="18"/>
      <c r="G413" s="25"/>
      <c r="H413" s="26" t="str">
        <f aca="false">IF(OR(F413="",G413=""),"",ROUNDDOWN(F413*G413,0))</f>
        <v/>
      </c>
      <c r="I413" s="26" t="str">
        <f aca="false">IF(OR(F413="",G413=""),"",F413+H413)</f>
        <v/>
      </c>
      <c r="J413" s="27" t="str">
        <f aca="false">IF(OR(B413="",C413="",D413="コード誤り"),"",IFERROR(DATE(YEAR(B413),MONTH(B413)+INDEX(取引先マスタ!$E$5:$E$204,MATCH($C413,取引先マスタ!$A$5:$A$204,0)),MIN(INDEX(取引先マスタ!$F$5:$F$204,MATCH($C413,取引先マスタ!$A$5:$A$204,0)),DAY(EOMONTH(B413,INDEX(取引先マスタ!$E$5:$E$204,MATCH($C413,取引先マスタ!$A$5:$A$204,0)))))),""))</f>
        <v/>
      </c>
      <c r="K413" s="22"/>
      <c r="L413" s="27" t="str">
        <f aca="false">IF(K413&lt;&gt;"",K413,J413)</f>
        <v/>
      </c>
      <c r="M413" s="28"/>
      <c r="N413" s="22"/>
      <c r="O413" s="28"/>
      <c r="P413" s="26" t="str">
        <f aca="false">IF(A413="","",SUMIF(入金明細!$F$5:$F$1004,A413,入金明細!$E$5:$E$1004))</f>
        <v/>
      </c>
      <c r="Q413" s="27" t="str">
        <f aca="false">IF(OR(A413="",N(P413)=0),"",SUMPRODUCT(MAX((入金明細!$F$5:$F$1004=A413)*入金明細!$B$5:$B$1004)))</f>
        <v/>
      </c>
      <c r="R413" s="18"/>
      <c r="S413" s="26" t="str">
        <f aca="false">IF(OR(A413="",I413=""),"",I413-N(P413)-N(R413))</f>
        <v/>
      </c>
      <c r="T413" s="28"/>
      <c r="U413" s="29" t="str">
        <f aca="false">IF(A413="","",IF(T413="取消","取消",IF(W413&lt;&gt;"","要入力",IF(N413="","未送付",IF(S413=0,"入金済",IF(S413&lt;0,"過入金",IF(設定!$C$5&gt;L413,IF(P413&gt;0,"一部入金・超過","期日超過"),IF(P413&gt;0,"一部入金",IF(L413-設定!$C$5&lt;=設定!$C$6,"期日間近","入金待ち")))))))))</f>
        <v/>
      </c>
      <c r="V413" s="30" t="str">
        <f aca="false">IF(OR(U413="期日超過",U413="一部入金・超過"),設定!$C$5-L413,"")</f>
        <v/>
      </c>
      <c r="W413" s="21" t="str">
        <f aca="false">IF(A413="","",TRIM(IF(B413="","請求日 ","")&amp;IF(C413="","取引先 ",IF(D413="コード誤り","取引先コード誤り ",""))&amp;IF(E413="","件名 ","")&amp;IF(F413="","税抜金額 ","")&amp;IF(G413="","税率 ","")&amp;IF(M413="","送付方法 ","")&amp;IF(AND(N413&lt;&gt;"",O413=""),"送付者 ","")&amp;IF(AND(I413&lt;&gt;"",L413=""),"入金期日 ","")&amp;IF(AND(N413&lt;&gt;"",P413&gt;0,S413&lt;=0,X413=""),"消込確認者 ","")))</f>
        <v/>
      </c>
      <c r="X413" s="28"/>
      <c r="Y413" s="28"/>
    </row>
    <row r="414" customFormat="false" ht="15" hidden="false" customHeight="false" outlineLevel="0" collapsed="false">
      <c r="A414" s="21" t="str">
        <f aca="false">IF(COUNTA(B414,C414,E414,F414)=0,"",設定!$C$4&amp;TEXT(ROW()-4,"00000"))</f>
        <v/>
      </c>
      <c r="B414" s="22"/>
      <c r="C414" s="23"/>
      <c r="D414" s="21" t="str">
        <f aca="false">IF(C414="","",IFERROR(INDEX(取引先マスタ!$B$5:$B$204,MATCH($C414,取引先マスタ!$A$5:$A$204,0)),"コード誤り"))</f>
        <v/>
      </c>
      <c r="E414" s="28"/>
      <c r="F414" s="18"/>
      <c r="G414" s="25"/>
      <c r="H414" s="26" t="str">
        <f aca="false">IF(OR(F414="",G414=""),"",ROUNDDOWN(F414*G414,0))</f>
        <v/>
      </c>
      <c r="I414" s="26" t="str">
        <f aca="false">IF(OR(F414="",G414=""),"",F414+H414)</f>
        <v/>
      </c>
      <c r="J414" s="27" t="str">
        <f aca="false">IF(OR(B414="",C414="",D414="コード誤り"),"",IFERROR(DATE(YEAR(B414),MONTH(B414)+INDEX(取引先マスタ!$E$5:$E$204,MATCH($C414,取引先マスタ!$A$5:$A$204,0)),MIN(INDEX(取引先マスタ!$F$5:$F$204,MATCH($C414,取引先マスタ!$A$5:$A$204,0)),DAY(EOMONTH(B414,INDEX(取引先マスタ!$E$5:$E$204,MATCH($C414,取引先マスタ!$A$5:$A$204,0)))))),""))</f>
        <v/>
      </c>
      <c r="K414" s="22"/>
      <c r="L414" s="27" t="str">
        <f aca="false">IF(K414&lt;&gt;"",K414,J414)</f>
        <v/>
      </c>
      <c r="M414" s="28"/>
      <c r="N414" s="22"/>
      <c r="O414" s="28"/>
      <c r="P414" s="26" t="str">
        <f aca="false">IF(A414="","",SUMIF(入金明細!$F$5:$F$1004,A414,入金明細!$E$5:$E$1004))</f>
        <v/>
      </c>
      <c r="Q414" s="27" t="str">
        <f aca="false">IF(OR(A414="",N(P414)=0),"",SUMPRODUCT(MAX((入金明細!$F$5:$F$1004=A414)*入金明細!$B$5:$B$1004)))</f>
        <v/>
      </c>
      <c r="R414" s="18"/>
      <c r="S414" s="26" t="str">
        <f aca="false">IF(OR(A414="",I414=""),"",I414-N(P414)-N(R414))</f>
        <v/>
      </c>
      <c r="T414" s="28"/>
      <c r="U414" s="29" t="str">
        <f aca="false">IF(A414="","",IF(T414="取消","取消",IF(W414&lt;&gt;"","要入力",IF(N414="","未送付",IF(S414=0,"入金済",IF(S414&lt;0,"過入金",IF(設定!$C$5&gt;L414,IF(P414&gt;0,"一部入金・超過","期日超過"),IF(P414&gt;0,"一部入金",IF(L414-設定!$C$5&lt;=設定!$C$6,"期日間近","入金待ち")))))))))</f>
        <v/>
      </c>
      <c r="V414" s="30" t="str">
        <f aca="false">IF(OR(U414="期日超過",U414="一部入金・超過"),設定!$C$5-L414,"")</f>
        <v/>
      </c>
      <c r="W414" s="21" t="str">
        <f aca="false">IF(A414="","",TRIM(IF(B414="","請求日 ","")&amp;IF(C414="","取引先 ",IF(D414="コード誤り","取引先コード誤り ",""))&amp;IF(E414="","件名 ","")&amp;IF(F414="","税抜金額 ","")&amp;IF(G414="","税率 ","")&amp;IF(M414="","送付方法 ","")&amp;IF(AND(N414&lt;&gt;"",O414=""),"送付者 ","")&amp;IF(AND(I414&lt;&gt;"",L414=""),"入金期日 ","")&amp;IF(AND(N414&lt;&gt;"",P414&gt;0,S414&lt;=0,X414=""),"消込確認者 ","")))</f>
        <v/>
      </c>
      <c r="X414" s="28"/>
      <c r="Y414" s="28"/>
    </row>
    <row r="415" customFormat="false" ht="15" hidden="false" customHeight="false" outlineLevel="0" collapsed="false">
      <c r="A415" s="21" t="str">
        <f aca="false">IF(COUNTA(B415,C415,E415,F415)=0,"",設定!$C$4&amp;TEXT(ROW()-4,"00000"))</f>
        <v/>
      </c>
      <c r="B415" s="22"/>
      <c r="C415" s="23"/>
      <c r="D415" s="21" t="str">
        <f aca="false">IF(C415="","",IFERROR(INDEX(取引先マスタ!$B$5:$B$204,MATCH($C415,取引先マスタ!$A$5:$A$204,0)),"コード誤り"))</f>
        <v/>
      </c>
      <c r="E415" s="28"/>
      <c r="F415" s="18"/>
      <c r="G415" s="25"/>
      <c r="H415" s="26" t="str">
        <f aca="false">IF(OR(F415="",G415=""),"",ROUNDDOWN(F415*G415,0))</f>
        <v/>
      </c>
      <c r="I415" s="26" t="str">
        <f aca="false">IF(OR(F415="",G415=""),"",F415+H415)</f>
        <v/>
      </c>
      <c r="J415" s="27" t="str">
        <f aca="false">IF(OR(B415="",C415="",D415="コード誤り"),"",IFERROR(DATE(YEAR(B415),MONTH(B415)+INDEX(取引先マスタ!$E$5:$E$204,MATCH($C415,取引先マスタ!$A$5:$A$204,0)),MIN(INDEX(取引先マスタ!$F$5:$F$204,MATCH($C415,取引先マスタ!$A$5:$A$204,0)),DAY(EOMONTH(B415,INDEX(取引先マスタ!$E$5:$E$204,MATCH($C415,取引先マスタ!$A$5:$A$204,0)))))),""))</f>
        <v/>
      </c>
      <c r="K415" s="22"/>
      <c r="L415" s="27" t="str">
        <f aca="false">IF(K415&lt;&gt;"",K415,J415)</f>
        <v/>
      </c>
      <c r="M415" s="28"/>
      <c r="N415" s="22"/>
      <c r="O415" s="28"/>
      <c r="P415" s="26" t="str">
        <f aca="false">IF(A415="","",SUMIF(入金明細!$F$5:$F$1004,A415,入金明細!$E$5:$E$1004))</f>
        <v/>
      </c>
      <c r="Q415" s="27" t="str">
        <f aca="false">IF(OR(A415="",N(P415)=0),"",SUMPRODUCT(MAX((入金明細!$F$5:$F$1004=A415)*入金明細!$B$5:$B$1004)))</f>
        <v/>
      </c>
      <c r="R415" s="18"/>
      <c r="S415" s="26" t="str">
        <f aca="false">IF(OR(A415="",I415=""),"",I415-N(P415)-N(R415))</f>
        <v/>
      </c>
      <c r="T415" s="28"/>
      <c r="U415" s="29" t="str">
        <f aca="false">IF(A415="","",IF(T415="取消","取消",IF(W415&lt;&gt;"","要入力",IF(N415="","未送付",IF(S415=0,"入金済",IF(S415&lt;0,"過入金",IF(設定!$C$5&gt;L415,IF(P415&gt;0,"一部入金・超過","期日超過"),IF(P415&gt;0,"一部入金",IF(L415-設定!$C$5&lt;=設定!$C$6,"期日間近","入金待ち")))))))))</f>
        <v/>
      </c>
      <c r="V415" s="30" t="str">
        <f aca="false">IF(OR(U415="期日超過",U415="一部入金・超過"),設定!$C$5-L415,"")</f>
        <v/>
      </c>
      <c r="W415" s="21" t="str">
        <f aca="false">IF(A415="","",TRIM(IF(B415="","請求日 ","")&amp;IF(C415="","取引先 ",IF(D415="コード誤り","取引先コード誤り ",""))&amp;IF(E415="","件名 ","")&amp;IF(F415="","税抜金額 ","")&amp;IF(G415="","税率 ","")&amp;IF(M415="","送付方法 ","")&amp;IF(AND(N415&lt;&gt;"",O415=""),"送付者 ","")&amp;IF(AND(I415&lt;&gt;"",L415=""),"入金期日 ","")&amp;IF(AND(N415&lt;&gt;"",P415&gt;0,S415&lt;=0,X415=""),"消込確認者 ","")))</f>
        <v/>
      </c>
      <c r="X415" s="28"/>
      <c r="Y415" s="28"/>
    </row>
    <row r="416" customFormat="false" ht="15" hidden="false" customHeight="false" outlineLevel="0" collapsed="false">
      <c r="A416" s="21" t="str">
        <f aca="false">IF(COUNTA(B416,C416,E416,F416)=0,"",設定!$C$4&amp;TEXT(ROW()-4,"00000"))</f>
        <v/>
      </c>
      <c r="B416" s="22"/>
      <c r="C416" s="23"/>
      <c r="D416" s="21" t="str">
        <f aca="false">IF(C416="","",IFERROR(INDEX(取引先マスタ!$B$5:$B$204,MATCH($C416,取引先マスタ!$A$5:$A$204,0)),"コード誤り"))</f>
        <v/>
      </c>
      <c r="E416" s="28"/>
      <c r="F416" s="18"/>
      <c r="G416" s="25"/>
      <c r="H416" s="26" t="str">
        <f aca="false">IF(OR(F416="",G416=""),"",ROUNDDOWN(F416*G416,0))</f>
        <v/>
      </c>
      <c r="I416" s="26" t="str">
        <f aca="false">IF(OR(F416="",G416=""),"",F416+H416)</f>
        <v/>
      </c>
      <c r="J416" s="27" t="str">
        <f aca="false">IF(OR(B416="",C416="",D416="コード誤り"),"",IFERROR(DATE(YEAR(B416),MONTH(B416)+INDEX(取引先マスタ!$E$5:$E$204,MATCH($C416,取引先マスタ!$A$5:$A$204,0)),MIN(INDEX(取引先マスタ!$F$5:$F$204,MATCH($C416,取引先マスタ!$A$5:$A$204,0)),DAY(EOMONTH(B416,INDEX(取引先マスタ!$E$5:$E$204,MATCH($C416,取引先マスタ!$A$5:$A$204,0)))))),""))</f>
        <v/>
      </c>
      <c r="K416" s="22"/>
      <c r="L416" s="27" t="str">
        <f aca="false">IF(K416&lt;&gt;"",K416,J416)</f>
        <v/>
      </c>
      <c r="M416" s="28"/>
      <c r="N416" s="22"/>
      <c r="O416" s="28"/>
      <c r="P416" s="26" t="str">
        <f aca="false">IF(A416="","",SUMIF(入金明細!$F$5:$F$1004,A416,入金明細!$E$5:$E$1004))</f>
        <v/>
      </c>
      <c r="Q416" s="27" t="str">
        <f aca="false">IF(OR(A416="",N(P416)=0),"",SUMPRODUCT(MAX((入金明細!$F$5:$F$1004=A416)*入金明細!$B$5:$B$1004)))</f>
        <v/>
      </c>
      <c r="R416" s="18"/>
      <c r="S416" s="26" t="str">
        <f aca="false">IF(OR(A416="",I416=""),"",I416-N(P416)-N(R416))</f>
        <v/>
      </c>
      <c r="T416" s="28"/>
      <c r="U416" s="29" t="str">
        <f aca="false">IF(A416="","",IF(T416="取消","取消",IF(W416&lt;&gt;"","要入力",IF(N416="","未送付",IF(S416=0,"入金済",IF(S416&lt;0,"過入金",IF(設定!$C$5&gt;L416,IF(P416&gt;0,"一部入金・超過","期日超過"),IF(P416&gt;0,"一部入金",IF(L416-設定!$C$5&lt;=設定!$C$6,"期日間近","入金待ち")))))))))</f>
        <v/>
      </c>
      <c r="V416" s="30" t="str">
        <f aca="false">IF(OR(U416="期日超過",U416="一部入金・超過"),設定!$C$5-L416,"")</f>
        <v/>
      </c>
      <c r="W416" s="21" t="str">
        <f aca="false">IF(A416="","",TRIM(IF(B416="","請求日 ","")&amp;IF(C416="","取引先 ",IF(D416="コード誤り","取引先コード誤り ",""))&amp;IF(E416="","件名 ","")&amp;IF(F416="","税抜金額 ","")&amp;IF(G416="","税率 ","")&amp;IF(M416="","送付方法 ","")&amp;IF(AND(N416&lt;&gt;"",O416=""),"送付者 ","")&amp;IF(AND(I416&lt;&gt;"",L416=""),"入金期日 ","")&amp;IF(AND(N416&lt;&gt;"",P416&gt;0,S416&lt;=0,X416=""),"消込確認者 ","")))</f>
        <v/>
      </c>
      <c r="X416" s="28"/>
      <c r="Y416" s="28"/>
    </row>
    <row r="417" customFormat="false" ht="15" hidden="false" customHeight="false" outlineLevel="0" collapsed="false">
      <c r="A417" s="21" t="str">
        <f aca="false">IF(COUNTA(B417,C417,E417,F417)=0,"",設定!$C$4&amp;TEXT(ROW()-4,"00000"))</f>
        <v/>
      </c>
      <c r="B417" s="22"/>
      <c r="C417" s="23"/>
      <c r="D417" s="21" t="str">
        <f aca="false">IF(C417="","",IFERROR(INDEX(取引先マスタ!$B$5:$B$204,MATCH($C417,取引先マスタ!$A$5:$A$204,0)),"コード誤り"))</f>
        <v/>
      </c>
      <c r="E417" s="28"/>
      <c r="F417" s="18"/>
      <c r="G417" s="25"/>
      <c r="H417" s="26" t="str">
        <f aca="false">IF(OR(F417="",G417=""),"",ROUNDDOWN(F417*G417,0))</f>
        <v/>
      </c>
      <c r="I417" s="26" t="str">
        <f aca="false">IF(OR(F417="",G417=""),"",F417+H417)</f>
        <v/>
      </c>
      <c r="J417" s="27" t="str">
        <f aca="false">IF(OR(B417="",C417="",D417="コード誤り"),"",IFERROR(DATE(YEAR(B417),MONTH(B417)+INDEX(取引先マスタ!$E$5:$E$204,MATCH($C417,取引先マスタ!$A$5:$A$204,0)),MIN(INDEX(取引先マスタ!$F$5:$F$204,MATCH($C417,取引先マスタ!$A$5:$A$204,0)),DAY(EOMONTH(B417,INDEX(取引先マスタ!$E$5:$E$204,MATCH($C417,取引先マスタ!$A$5:$A$204,0)))))),""))</f>
        <v/>
      </c>
      <c r="K417" s="22"/>
      <c r="L417" s="27" t="str">
        <f aca="false">IF(K417&lt;&gt;"",K417,J417)</f>
        <v/>
      </c>
      <c r="M417" s="28"/>
      <c r="N417" s="22"/>
      <c r="O417" s="28"/>
      <c r="P417" s="26" t="str">
        <f aca="false">IF(A417="","",SUMIF(入金明細!$F$5:$F$1004,A417,入金明細!$E$5:$E$1004))</f>
        <v/>
      </c>
      <c r="Q417" s="27" t="str">
        <f aca="false">IF(OR(A417="",N(P417)=0),"",SUMPRODUCT(MAX((入金明細!$F$5:$F$1004=A417)*入金明細!$B$5:$B$1004)))</f>
        <v/>
      </c>
      <c r="R417" s="18"/>
      <c r="S417" s="26" t="str">
        <f aca="false">IF(OR(A417="",I417=""),"",I417-N(P417)-N(R417))</f>
        <v/>
      </c>
      <c r="T417" s="28"/>
      <c r="U417" s="29" t="str">
        <f aca="false">IF(A417="","",IF(T417="取消","取消",IF(W417&lt;&gt;"","要入力",IF(N417="","未送付",IF(S417=0,"入金済",IF(S417&lt;0,"過入金",IF(設定!$C$5&gt;L417,IF(P417&gt;0,"一部入金・超過","期日超過"),IF(P417&gt;0,"一部入金",IF(L417-設定!$C$5&lt;=設定!$C$6,"期日間近","入金待ち")))))))))</f>
        <v/>
      </c>
      <c r="V417" s="30" t="str">
        <f aca="false">IF(OR(U417="期日超過",U417="一部入金・超過"),設定!$C$5-L417,"")</f>
        <v/>
      </c>
      <c r="W417" s="21" t="str">
        <f aca="false">IF(A417="","",TRIM(IF(B417="","請求日 ","")&amp;IF(C417="","取引先 ",IF(D417="コード誤り","取引先コード誤り ",""))&amp;IF(E417="","件名 ","")&amp;IF(F417="","税抜金額 ","")&amp;IF(G417="","税率 ","")&amp;IF(M417="","送付方法 ","")&amp;IF(AND(N417&lt;&gt;"",O417=""),"送付者 ","")&amp;IF(AND(I417&lt;&gt;"",L417=""),"入金期日 ","")&amp;IF(AND(N417&lt;&gt;"",P417&gt;0,S417&lt;=0,X417=""),"消込確認者 ","")))</f>
        <v/>
      </c>
      <c r="X417" s="28"/>
      <c r="Y417" s="28"/>
    </row>
    <row r="418" customFormat="false" ht="15" hidden="false" customHeight="false" outlineLevel="0" collapsed="false">
      <c r="A418" s="21" t="str">
        <f aca="false">IF(COUNTA(B418,C418,E418,F418)=0,"",設定!$C$4&amp;TEXT(ROW()-4,"00000"))</f>
        <v/>
      </c>
      <c r="B418" s="22"/>
      <c r="C418" s="23"/>
      <c r="D418" s="21" t="str">
        <f aca="false">IF(C418="","",IFERROR(INDEX(取引先マスタ!$B$5:$B$204,MATCH($C418,取引先マスタ!$A$5:$A$204,0)),"コード誤り"))</f>
        <v/>
      </c>
      <c r="E418" s="28"/>
      <c r="F418" s="18"/>
      <c r="G418" s="25"/>
      <c r="H418" s="26" t="str">
        <f aca="false">IF(OR(F418="",G418=""),"",ROUNDDOWN(F418*G418,0))</f>
        <v/>
      </c>
      <c r="I418" s="26" t="str">
        <f aca="false">IF(OR(F418="",G418=""),"",F418+H418)</f>
        <v/>
      </c>
      <c r="J418" s="27" t="str">
        <f aca="false">IF(OR(B418="",C418="",D418="コード誤り"),"",IFERROR(DATE(YEAR(B418),MONTH(B418)+INDEX(取引先マスタ!$E$5:$E$204,MATCH($C418,取引先マスタ!$A$5:$A$204,0)),MIN(INDEX(取引先マスタ!$F$5:$F$204,MATCH($C418,取引先マスタ!$A$5:$A$204,0)),DAY(EOMONTH(B418,INDEX(取引先マスタ!$E$5:$E$204,MATCH($C418,取引先マスタ!$A$5:$A$204,0)))))),""))</f>
        <v/>
      </c>
      <c r="K418" s="22"/>
      <c r="L418" s="27" t="str">
        <f aca="false">IF(K418&lt;&gt;"",K418,J418)</f>
        <v/>
      </c>
      <c r="M418" s="28"/>
      <c r="N418" s="22"/>
      <c r="O418" s="28"/>
      <c r="P418" s="26" t="str">
        <f aca="false">IF(A418="","",SUMIF(入金明細!$F$5:$F$1004,A418,入金明細!$E$5:$E$1004))</f>
        <v/>
      </c>
      <c r="Q418" s="27" t="str">
        <f aca="false">IF(OR(A418="",N(P418)=0),"",SUMPRODUCT(MAX((入金明細!$F$5:$F$1004=A418)*入金明細!$B$5:$B$1004)))</f>
        <v/>
      </c>
      <c r="R418" s="18"/>
      <c r="S418" s="26" t="str">
        <f aca="false">IF(OR(A418="",I418=""),"",I418-N(P418)-N(R418))</f>
        <v/>
      </c>
      <c r="T418" s="28"/>
      <c r="U418" s="29" t="str">
        <f aca="false">IF(A418="","",IF(T418="取消","取消",IF(W418&lt;&gt;"","要入力",IF(N418="","未送付",IF(S418=0,"入金済",IF(S418&lt;0,"過入金",IF(設定!$C$5&gt;L418,IF(P418&gt;0,"一部入金・超過","期日超過"),IF(P418&gt;0,"一部入金",IF(L418-設定!$C$5&lt;=設定!$C$6,"期日間近","入金待ち")))))))))</f>
        <v/>
      </c>
      <c r="V418" s="30" t="str">
        <f aca="false">IF(OR(U418="期日超過",U418="一部入金・超過"),設定!$C$5-L418,"")</f>
        <v/>
      </c>
      <c r="W418" s="21" t="str">
        <f aca="false">IF(A418="","",TRIM(IF(B418="","請求日 ","")&amp;IF(C418="","取引先 ",IF(D418="コード誤り","取引先コード誤り ",""))&amp;IF(E418="","件名 ","")&amp;IF(F418="","税抜金額 ","")&amp;IF(G418="","税率 ","")&amp;IF(M418="","送付方法 ","")&amp;IF(AND(N418&lt;&gt;"",O418=""),"送付者 ","")&amp;IF(AND(I418&lt;&gt;"",L418=""),"入金期日 ","")&amp;IF(AND(N418&lt;&gt;"",P418&gt;0,S418&lt;=0,X418=""),"消込確認者 ","")))</f>
        <v/>
      </c>
      <c r="X418" s="28"/>
      <c r="Y418" s="28"/>
    </row>
    <row r="419" customFormat="false" ht="15" hidden="false" customHeight="false" outlineLevel="0" collapsed="false">
      <c r="A419" s="21" t="str">
        <f aca="false">IF(COUNTA(B419,C419,E419,F419)=0,"",設定!$C$4&amp;TEXT(ROW()-4,"00000"))</f>
        <v/>
      </c>
      <c r="B419" s="22"/>
      <c r="C419" s="23"/>
      <c r="D419" s="21" t="str">
        <f aca="false">IF(C419="","",IFERROR(INDEX(取引先マスタ!$B$5:$B$204,MATCH($C419,取引先マスタ!$A$5:$A$204,0)),"コード誤り"))</f>
        <v/>
      </c>
      <c r="E419" s="28"/>
      <c r="F419" s="18"/>
      <c r="G419" s="25"/>
      <c r="H419" s="26" t="str">
        <f aca="false">IF(OR(F419="",G419=""),"",ROUNDDOWN(F419*G419,0))</f>
        <v/>
      </c>
      <c r="I419" s="26" t="str">
        <f aca="false">IF(OR(F419="",G419=""),"",F419+H419)</f>
        <v/>
      </c>
      <c r="J419" s="27" t="str">
        <f aca="false">IF(OR(B419="",C419="",D419="コード誤り"),"",IFERROR(DATE(YEAR(B419),MONTH(B419)+INDEX(取引先マスタ!$E$5:$E$204,MATCH($C419,取引先マスタ!$A$5:$A$204,0)),MIN(INDEX(取引先マスタ!$F$5:$F$204,MATCH($C419,取引先マスタ!$A$5:$A$204,0)),DAY(EOMONTH(B419,INDEX(取引先マスタ!$E$5:$E$204,MATCH($C419,取引先マスタ!$A$5:$A$204,0)))))),""))</f>
        <v/>
      </c>
      <c r="K419" s="22"/>
      <c r="L419" s="27" t="str">
        <f aca="false">IF(K419&lt;&gt;"",K419,J419)</f>
        <v/>
      </c>
      <c r="M419" s="28"/>
      <c r="N419" s="22"/>
      <c r="O419" s="28"/>
      <c r="P419" s="26" t="str">
        <f aca="false">IF(A419="","",SUMIF(入金明細!$F$5:$F$1004,A419,入金明細!$E$5:$E$1004))</f>
        <v/>
      </c>
      <c r="Q419" s="27" t="str">
        <f aca="false">IF(OR(A419="",N(P419)=0),"",SUMPRODUCT(MAX((入金明細!$F$5:$F$1004=A419)*入金明細!$B$5:$B$1004)))</f>
        <v/>
      </c>
      <c r="R419" s="18"/>
      <c r="S419" s="26" t="str">
        <f aca="false">IF(OR(A419="",I419=""),"",I419-N(P419)-N(R419))</f>
        <v/>
      </c>
      <c r="T419" s="28"/>
      <c r="U419" s="29" t="str">
        <f aca="false">IF(A419="","",IF(T419="取消","取消",IF(W419&lt;&gt;"","要入力",IF(N419="","未送付",IF(S419=0,"入金済",IF(S419&lt;0,"過入金",IF(設定!$C$5&gt;L419,IF(P419&gt;0,"一部入金・超過","期日超過"),IF(P419&gt;0,"一部入金",IF(L419-設定!$C$5&lt;=設定!$C$6,"期日間近","入金待ち")))))))))</f>
        <v/>
      </c>
      <c r="V419" s="30" t="str">
        <f aca="false">IF(OR(U419="期日超過",U419="一部入金・超過"),設定!$C$5-L419,"")</f>
        <v/>
      </c>
      <c r="W419" s="21" t="str">
        <f aca="false">IF(A419="","",TRIM(IF(B419="","請求日 ","")&amp;IF(C419="","取引先 ",IF(D419="コード誤り","取引先コード誤り ",""))&amp;IF(E419="","件名 ","")&amp;IF(F419="","税抜金額 ","")&amp;IF(G419="","税率 ","")&amp;IF(M419="","送付方法 ","")&amp;IF(AND(N419&lt;&gt;"",O419=""),"送付者 ","")&amp;IF(AND(I419&lt;&gt;"",L419=""),"入金期日 ","")&amp;IF(AND(N419&lt;&gt;"",P419&gt;0,S419&lt;=0,X419=""),"消込確認者 ","")))</f>
        <v/>
      </c>
      <c r="X419" s="28"/>
      <c r="Y419" s="28"/>
    </row>
    <row r="420" customFormat="false" ht="15" hidden="false" customHeight="false" outlineLevel="0" collapsed="false">
      <c r="A420" s="21" t="str">
        <f aca="false">IF(COUNTA(B420,C420,E420,F420)=0,"",設定!$C$4&amp;TEXT(ROW()-4,"00000"))</f>
        <v/>
      </c>
      <c r="B420" s="22"/>
      <c r="C420" s="23"/>
      <c r="D420" s="21" t="str">
        <f aca="false">IF(C420="","",IFERROR(INDEX(取引先マスタ!$B$5:$B$204,MATCH($C420,取引先マスタ!$A$5:$A$204,0)),"コード誤り"))</f>
        <v/>
      </c>
      <c r="E420" s="28"/>
      <c r="F420" s="18"/>
      <c r="G420" s="25"/>
      <c r="H420" s="26" t="str">
        <f aca="false">IF(OR(F420="",G420=""),"",ROUNDDOWN(F420*G420,0))</f>
        <v/>
      </c>
      <c r="I420" s="26" t="str">
        <f aca="false">IF(OR(F420="",G420=""),"",F420+H420)</f>
        <v/>
      </c>
      <c r="J420" s="27" t="str">
        <f aca="false">IF(OR(B420="",C420="",D420="コード誤り"),"",IFERROR(DATE(YEAR(B420),MONTH(B420)+INDEX(取引先マスタ!$E$5:$E$204,MATCH($C420,取引先マスタ!$A$5:$A$204,0)),MIN(INDEX(取引先マスタ!$F$5:$F$204,MATCH($C420,取引先マスタ!$A$5:$A$204,0)),DAY(EOMONTH(B420,INDEX(取引先マスタ!$E$5:$E$204,MATCH($C420,取引先マスタ!$A$5:$A$204,0)))))),""))</f>
        <v/>
      </c>
      <c r="K420" s="22"/>
      <c r="L420" s="27" t="str">
        <f aca="false">IF(K420&lt;&gt;"",K420,J420)</f>
        <v/>
      </c>
      <c r="M420" s="28"/>
      <c r="N420" s="22"/>
      <c r="O420" s="28"/>
      <c r="P420" s="26" t="str">
        <f aca="false">IF(A420="","",SUMIF(入金明細!$F$5:$F$1004,A420,入金明細!$E$5:$E$1004))</f>
        <v/>
      </c>
      <c r="Q420" s="27" t="str">
        <f aca="false">IF(OR(A420="",N(P420)=0),"",SUMPRODUCT(MAX((入金明細!$F$5:$F$1004=A420)*入金明細!$B$5:$B$1004)))</f>
        <v/>
      </c>
      <c r="R420" s="18"/>
      <c r="S420" s="26" t="str">
        <f aca="false">IF(OR(A420="",I420=""),"",I420-N(P420)-N(R420))</f>
        <v/>
      </c>
      <c r="T420" s="28"/>
      <c r="U420" s="29" t="str">
        <f aca="false">IF(A420="","",IF(T420="取消","取消",IF(W420&lt;&gt;"","要入力",IF(N420="","未送付",IF(S420=0,"入金済",IF(S420&lt;0,"過入金",IF(設定!$C$5&gt;L420,IF(P420&gt;0,"一部入金・超過","期日超過"),IF(P420&gt;0,"一部入金",IF(L420-設定!$C$5&lt;=設定!$C$6,"期日間近","入金待ち")))))))))</f>
        <v/>
      </c>
      <c r="V420" s="30" t="str">
        <f aca="false">IF(OR(U420="期日超過",U420="一部入金・超過"),設定!$C$5-L420,"")</f>
        <v/>
      </c>
      <c r="W420" s="21" t="str">
        <f aca="false">IF(A420="","",TRIM(IF(B420="","請求日 ","")&amp;IF(C420="","取引先 ",IF(D420="コード誤り","取引先コード誤り ",""))&amp;IF(E420="","件名 ","")&amp;IF(F420="","税抜金額 ","")&amp;IF(G420="","税率 ","")&amp;IF(M420="","送付方法 ","")&amp;IF(AND(N420&lt;&gt;"",O420=""),"送付者 ","")&amp;IF(AND(I420&lt;&gt;"",L420=""),"入金期日 ","")&amp;IF(AND(N420&lt;&gt;"",P420&gt;0,S420&lt;=0,X420=""),"消込確認者 ","")))</f>
        <v/>
      </c>
      <c r="X420" s="28"/>
      <c r="Y420" s="28"/>
    </row>
    <row r="421" customFormat="false" ht="15" hidden="false" customHeight="false" outlineLevel="0" collapsed="false">
      <c r="A421" s="21" t="str">
        <f aca="false">IF(COUNTA(B421,C421,E421,F421)=0,"",設定!$C$4&amp;TEXT(ROW()-4,"00000"))</f>
        <v/>
      </c>
      <c r="B421" s="22"/>
      <c r="C421" s="23"/>
      <c r="D421" s="21" t="str">
        <f aca="false">IF(C421="","",IFERROR(INDEX(取引先マスタ!$B$5:$B$204,MATCH($C421,取引先マスタ!$A$5:$A$204,0)),"コード誤り"))</f>
        <v/>
      </c>
      <c r="E421" s="28"/>
      <c r="F421" s="18"/>
      <c r="G421" s="25"/>
      <c r="H421" s="26" t="str">
        <f aca="false">IF(OR(F421="",G421=""),"",ROUNDDOWN(F421*G421,0))</f>
        <v/>
      </c>
      <c r="I421" s="26" t="str">
        <f aca="false">IF(OR(F421="",G421=""),"",F421+H421)</f>
        <v/>
      </c>
      <c r="J421" s="27" t="str">
        <f aca="false">IF(OR(B421="",C421="",D421="コード誤り"),"",IFERROR(DATE(YEAR(B421),MONTH(B421)+INDEX(取引先マスタ!$E$5:$E$204,MATCH($C421,取引先マスタ!$A$5:$A$204,0)),MIN(INDEX(取引先マスタ!$F$5:$F$204,MATCH($C421,取引先マスタ!$A$5:$A$204,0)),DAY(EOMONTH(B421,INDEX(取引先マスタ!$E$5:$E$204,MATCH($C421,取引先マスタ!$A$5:$A$204,0)))))),""))</f>
        <v/>
      </c>
      <c r="K421" s="22"/>
      <c r="L421" s="27" t="str">
        <f aca="false">IF(K421&lt;&gt;"",K421,J421)</f>
        <v/>
      </c>
      <c r="M421" s="28"/>
      <c r="N421" s="22"/>
      <c r="O421" s="28"/>
      <c r="P421" s="26" t="str">
        <f aca="false">IF(A421="","",SUMIF(入金明細!$F$5:$F$1004,A421,入金明細!$E$5:$E$1004))</f>
        <v/>
      </c>
      <c r="Q421" s="27" t="str">
        <f aca="false">IF(OR(A421="",N(P421)=0),"",SUMPRODUCT(MAX((入金明細!$F$5:$F$1004=A421)*入金明細!$B$5:$B$1004)))</f>
        <v/>
      </c>
      <c r="R421" s="18"/>
      <c r="S421" s="26" t="str">
        <f aca="false">IF(OR(A421="",I421=""),"",I421-N(P421)-N(R421))</f>
        <v/>
      </c>
      <c r="T421" s="28"/>
      <c r="U421" s="29" t="str">
        <f aca="false">IF(A421="","",IF(T421="取消","取消",IF(W421&lt;&gt;"","要入力",IF(N421="","未送付",IF(S421=0,"入金済",IF(S421&lt;0,"過入金",IF(設定!$C$5&gt;L421,IF(P421&gt;0,"一部入金・超過","期日超過"),IF(P421&gt;0,"一部入金",IF(L421-設定!$C$5&lt;=設定!$C$6,"期日間近","入金待ち")))))))))</f>
        <v/>
      </c>
      <c r="V421" s="30" t="str">
        <f aca="false">IF(OR(U421="期日超過",U421="一部入金・超過"),設定!$C$5-L421,"")</f>
        <v/>
      </c>
      <c r="W421" s="21" t="str">
        <f aca="false">IF(A421="","",TRIM(IF(B421="","請求日 ","")&amp;IF(C421="","取引先 ",IF(D421="コード誤り","取引先コード誤り ",""))&amp;IF(E421="","件名 ","")&amp;IF(F421="","税抜金額 ","")&amp;IF(G421="","税率 ","")&amp;IF(M421="","送付方法 ","")&amp;IF(AND(N421&lt;&gt;"",O421=""),"送付者 ","")&amp;IF(AND(I421&lt;&gt;"",L421=""),"入金期日 ","")&amp;IF(AND(N421&lt;&gt;"",P421&gt;0,S421&lt;=0,X421=""),"消込確認者 ","")))</f>
        <v/>
      </c>
      <c r="X421" s="28"/>
      <c r="Y421" s="28"/>
    </row>
    <row r="422" customFormat="false" ht="15" hidden="false" customHeight="false" outlineLevel="0" collapsed="false">
      <c r="A422" s="21" t="str">
        <f aca="false">IF(COUNTA(B422,C422,E422,F422)=0,"",設定!$C$4&amp;TEXT(ROW()-4,"00000"))</f>
        <v/>
      </c>
      <c r="B422" s="22"/>
      <c r="C422" s="23"/>
      <c r="D422" s="21" t="str">
        <f aca="false">IF(C422="","",IFERROR(INDEX(取引先マスタ!$B$5:$B$204,MATCH($C422,取引先マスタ!$A$5:$A$204,0)),"コード誤り"))</f>
        <v/>
      </c>
      <c r="E422" s="28"/>
      <c r="F422" s="18"/>
      <c r="G422" s="25"/>
      <c r="H422" s="26" t="str">
        <f aca="false">IF(OR(F422="",G422=""),"",ROUNDDOWN(F422*G422,0))</f>
        <v/>
      </c>
      <c r="I422" s="26" t="str">
        <f aca="false">IF(OR(F422="",G422=""),"",F422+H422)</f>
        <v/>
      </c>
      <c r="J422" s="27" t="str">
        <f aca="false">IF(OR(B422="",C422="",D422="コード誤り"),"",IFERROR(DATE(YEAR(B422),MONTH(B422)+INDEX(取引先マスタ!$E$5:$E$204,MATCH($C422,取引先マスタ!$A$5:$A$204,0)),MIN(INDEX(取引先マスタ!$F$5:$F$204,MATCH($C422,取引先マスタ!$A$5:$A$204,0)),DAY(EOMONTH(B422,INDEX(取引先マスタ!$E$5:$E$204,MATCH($C422,取引先マスタ!$A$5:$A$204,0)))))),""))</f>
        <v/>
      </c>
      <c r="K422" s="22"/>
      <c r="L422" s="27" t="str">
        <f aca="false">IF(K422&lt;&gt;"",K422,J422)</f>
        <v/>
      </c>
      <c r="M422" s="28"/>
      <c r="N422" s="22"/>
      <c r="O422" s="28"/>
      <c r="P422" s="26" t="str">
        <f aca="false">IF(A422="","",SUMIF(入金明細!$F$5:$F$1004,A422,入金明細!$E$5:$E$1004))</f>
        <v/>
      </c>
      <c r="Q422" s="27" t="str">
        <f aca="false">IF(OR(A422="",N(P422)=0),"",SUMPRODUCT(MAX((入金明細!$F$5:$F$1004=A422)*入金明細!$B$5:$B$1004)))</f>
        <v/>
      </c>
      <c r="R422" s="18"/>
      <c r="S422" s="26" t="str">
        <f aca="false">IF(OR(A422="",I422=""),"",I422-N(P422)-N(R422))</f>
        <v/>
      </c>
      <c r="T422" s="28"/>
      <c r="U422" s="29" t="str">
        <f aca="false">IF(A422="","",IF(T422="取消","取消",IF(W422&lt;&gt;"","要入力",IF(N422="","未送付",IF(S422=0,"入金済",IF(S422&lt;0,"過入金",IF(設定!$C$5&gt;L422,IF(P422&gt;0,"一部入金・超過","期日超過"),IF(P422&gt;0,"一部入金",IF(L422-設定!$C$5&lt;=設定!$C$6,"期日間近","入金待ち")))))))))</f>
        <v/>
      </c>
      <c r="V422" s="30" t="str">
        <f aca="false">IF(OR(U422="期日超過",U422="一部入金・超過"),設定!$C$5-L422,"")</f>
        <v/>
      </c>
      <c r="W422" s="21" t="str">
        <f aca="false">IF(A422="","",TRIM(IF(B422="","請求日 ","")&amp;IF(C422="","取引先 ",IF(D422="コード誤り","取引先コード誤り ",""))&amp;IF(E422="","件名 ","")&amp;IF(F422="","税抜金額 ","")&amp;IF(G422="","税率 ","")&amp;IF(M422="","送付方法 ","")&amp;IF(AND(N422&lt;&gt;"",O422=""),"送付者 ","")&amp;IF(AND(I422&lt;&gt;"",L422=""),"入金期日 ","")&amp;IF(AND(N422&lt;&gt;"",P422&gt;0,S422&lt;=0,X422=""),"消込確認者 ","")))</f>
        <v/>
      </c>
      <c r="X422" s="28"/>
      <c r="Y422" s="28"/>
    </row>
    <row r="423" customFormat="false" ht="15" hidden="false" customHeight="false" outlineLevel="0" collapsed="false">
      <c r="A423" s="21" t="str">
        <f aca="false">IF(COUNTA(B423,C423,E423,F423)=0,"",設定!$C$4&amp;TEXT(ROW()-4,"00000"))</f>
        <v/>
      </c>
      <c r="B423" s="22"/>
      <c r="C423" s="23"/>
      <c r="D423" s="21" t="str">
        <f aca="false">IF(C423="","",IFERROR(INDEX(取引先マスタ!$B$5:$B$204,MATCH($C423,取引先マスタ!$A$5:$A$204,0)),"コード誤り"))</f>
        <v/>
      </c>
      <c r="E423" s="28"/>
      <c r="F423" s="18"/>
      <c r="G423" s="25"/>
      <c r="H423" s="26" t="str">
        <f aca="false">IF(OR(F423="",G423=""),"",ROUNDDOWN(F423*G423,0))</f>
        <v/>
      </c>
      <c r="I423" s="26" t="str">
        <f aca="false">IF(OR(F423="",G423=""),"",F423+H423)</f>
        <v/>
      </c>
      <c r="J423" s="27" t="str">
        <f aca="false">IF(OR(B423="",C423="",D423="コード誤り"),"",IFERROR(DATE(YEAR(B423),MONTH(B423)+INDEX(取引先マスタ!$E$5:$E$204,MATCH($C423,取引先マスタ!$A$5:$A$204,0)),MIN(INDEX(取引先マスタ!$F$5:$F$204,MATCH($C423,取引先マスタ!$A$5:$A$204,0)),DAY(EOMONTH(B423,INDEX(取引先マスタ!$E$5:$E$204,MATCH($C423,取引先マスタ!$A$5:$A$204,0)))))),""))</f>
        <v/>
      </c>
      <c r="K423" s="22"/>
      <c r="L423" s="27" t="str">
        <f aca="false">IF(K423&lt;&gt;"",K423,J423)</f>
        <v/>
      </c>
      <c r="M423" s="28"/>
      <c r="N423" s="22"/>
      <c r="O423" s="28"/>
      <c r="P423" s="26" t="str">
        <f aca="false">IF(A423="","",SUMIF(入金明細!$F$5:$F$1004,A423,入金明細!$E$5:$E$1004))</f>
        <v/>
      </c>
      <c r="Q423" s="27" t="str">
        <f aca="false">IF(OR(A423="",N(P423)=0),"",SUMPRODUCT(MAX((入金明細!$F$5:$F$1004=A423)*入金明細!$B$5:$B$1004)))</f>
        <v/>
      </c>
      <c r="R423" s="18"/>
      <c r="S423" s="26" t="str">
        <f aca="false">IF(OR(A423="",I423=""),"",I423-N(P423)-N(R423))</f>
        <v/>
      </c>
      <c r="T423" s="28"/>
      <c r="U423" s="29" t="str">
        <f aca="false">IF(A423="","",IF(T423="取消","取消",IF(W423&lt;&gt;"","要入力",IF(N423="","未送付",IF(S423=0,"入金済",IF(S423&lt;0,"過入金",IF(設定!$C$5&gt;L423,IF(P423&gt;0,"一部入金・超過","期日超過"),IF(P423&gt;0,"一部入金",IF(L423-設定!$C$5&lt;=設定!$C$6,"期日間近","入金待ち")))))))))</f>
        <v/>
      </c>
      <c r="V423" s="30" t="str">
        <f aca="false">IF(OR(U423="期日超過",U423="一部入金・超過"),設定!$C$5-L423,"")</f>
        <v/>
      </c>
      <c r="W423" s="21" t="str">
        <f aca="false">IF(A423="","",TRIM(IF(B423="","請求日 ","")&amp;IF(C423="","取引先 ",IF(D423="コード誤り","取引先コード誤り ",""))&amp;IF(E423="","件名 ","")&amp;IF(F423="","税抜金額 ","")&amp;IF(G423="","税率 ","")&amp;IF(M423="","送付方法 ","")&amp;IF(AND(N423&lt;&gt;"",O423=""),"送付者 ","")&amp;IF(AND(I423&lt;&gt;"",L423=""),"入金期日 ","")&amp;IF(AND(N423&lt;&gt;"",P423&gt;0,S423&lt;=0,X423=""),"消込確認者 ","")))</f>
        <v/>
      </c>
      <c r="X423" s="28"/>
      <c r="Y423" s="28"/>
    </row>
    <row r="424" customFormat="false" ht="15" hidden="false" customHeight="false" outlineLevel="0" collapsed="false">
      <c r="A424" s="21" t="str">
        <f aca="false">IF(COUNTA(B424,C424,E424,F424)=0,"",設定!$C$4&amp;TEXT(ROW()-4,"00000"))</f>
        <v/>
      </c>
      <c r="B424" s="22"/>
      <c r="C424" s="23"/>
      <c r="D424" s="21" t="str">
        <f aca="false">IF(C424="","",IFERROR(INDEX(取引先マスタ!$B$5:$B$204,MATCH($C424,取引先マスタ!$A$5:$A$204,0)),"コード誤り"))</f>
        <v/>
      </c>
      <c r="E424" s="28"/>
      <c r="F424" s="18"/>
      <c r="G424" s="25"/>
      <c r="H424" s="26" t="str">
        <f aca="false">IF(OR(F424="",G424=""),"",ROUNDDOWN(F424*G424,0))</f>
        <v/>
      </c>
      <c r="I424" s="26" t="str">
        <f aca="false">IF(OR(F424="",G424=""),"",F424+H424)</f>
        <v/>
      </c>
      <c r="J424" s="27" t="str">
        <f aca="false">IF(OR(B424="",C424="",D424="コード誤り"),"",IFERROR(DATE(YEAR(B424),MONTH(B424)+INDEX(取引先マスタ!$E$5:$E$204,MATCH($C424,取引先マスタ!$A$5:$A$204,0)),MIN(INDEX(取引先マスタ!$F$5:$F$204,MATCH($C424,取引先マスタ!$A$5:$A$204,0)),DAY(EOMONTH(B424,INDEX(取引先マスタ!$E$5:$E$204,MATCH($C424,取引先マスタ!$A$5:$A$204,0)))))),""))</f>
        <v/>
      </c>
      <c r="K424" s="22"/>
      <c r="L424" s="27" t="str">
        <f aca="false">IF(K424&lt;&gt;"",K424,J424)</f>
        <v/>
      </c>
      <c r="M424" s="28"/>
      <c r="N424" s="22"/>
      <c r="O424" s="28"/>
      <c r="P424" s="26" t="str">
        <f aca="false">IF(A424="","",SUMIF(入金明細!$F$5:$F$1004,A424,入金明細!$E$5:$E$1004))</f>
        <v/>
      </c>
      <c r="Q424" s="27" t="str">
        <f aca="false">IF(OR(A424="",N(P424)=0),"",SUMPRODUCT(MAX((入金明細!$F$5:$F$1004=A424)*入金明細!$B$5:$B$1004)))</f>
        <v/>
      </c>
      <c r="R424" s="18"/>
      <c r="S424" s="26" t="str">
        <f aca="false">IF(OR(A424="",I424=""),"",I424-N(P424)-N(R424))</f>
        <v/>
      </c>
      <c r="T424" s="28"/>
      <c r="U424" s="29" t="str">
        <f aca="false">IF(A424="","",IF(T424="取消","取消",IF(W424&lt;&gt;"","要入力",IF(N424="","未送付",IF(S424=0,"入金済",IF(S424&lt;0,"過入金",IF(設定!$C$5&gt;L424,IF(P424&gt;0,"一部入金・超過","期日超過"),IF(P424&gt;0,"一部入金",IF(L424-設定!$C$5&lt;=設定!$C$6,"期日間近","入金待ち")))))))))</f>
        <v/>
      </c>
      <c r="V424" s="30" t="str">
        <f aca="false">IF(OR(U424="期日超過",U424="一部入金・超過"),設定!$C$5-L424,"")</f>
        <v/>
      </c>
      <c r="W424" s="21" t="str">
        <f aca="false">IF(A424="","",TRIM(IF(B424="","請求日 ","")&amp;IF(C424="","取引先 ",IF(D424="コード誤り","取引先コード誤り ",""))&amp;IF(E424="","件名 ","")&amp;IF(F424="","税抜金額 ","")&amp;IF(G424="","税率 ","")&amp;IF(M424="","送付方法 ","")&amp;IF(AND(N424&lt;&gt;"",O424=""),"送付者 ","")&amp;IF(AND(I424&lt;&gt;"",L424=""),"入金期日 ","")&amp;IF(AND(N424&lt;&gt;"",P424&gt;0,S424&lt;=0,X424=""),"消込確認者 ","")))</f>
        <v/>
      </c>
      <c r="X424" s="28"/>
      <c r="Y424" s="28"/>
    </row>
    <row r="425" customFormat="false" ht="15" hidden="false" customHeight="false" outlineLevel="0" collapsed="false">
      <c r="A425" s="21" t="str">
        <f aca="false">IF(COUNTA(B425,C425,E425,F425)=0,"",設定!$C$4&amp;TEXT(ROW()-4,"00000"))</f>
        <v/>
      </c>
      <c r="B425" s="22"/>
      <c r="C425" s="23"/>
      <c r="D425" s="21" t="str">
        <f aca="false">IF(C425="","",IFERROR(INDEX(取引先マスタ!$B$5:$B$204,MATCH($C425,取引先マスタ!$A$5:$A$204,0)),"コード誤り"))</f>
        <v/>
      </c>
      <c r="E425" s="28"/>
      <c r="F425" s="18"/>
      <c r="G425" s="25"/>
      <c r="H425" s="26" t="str">
        <f aca="false">IF(OR(F425="",G425=""),"",ROUNDDOWN(F425*G425,0))</f>
        <v/>
      </c>
      <c r="I425" s="26" t="str">
        <f aca="false">IF(OR(F425="",G425=""),"",F425+H425)</f>
        <v/>
      </c>
      <c r="J425" s="27" t="str">
        <f aca="false">IF(OR(B425="",C425="",D425="コード誤り"),"",IFERROR(DATE(YEAR(B425),MONTH(B425)+INDEX(取引先マスタ!$E$5:$E$204,MATCH($C425,取引先マスタ!$A$5:$A$204,0)),MIN(INDEX(取引先マスタ!$F$5:$F$204,MATCH($C425,取引先マスタ!$A$5:$A$204,0)),DAY(EOMONTH(B425,INDEX(取引先マスタ!$E$5:$E$204,MATCH($C425,取引先マスタ!$A$5:$A$204,0)))))),""))</f>
        <v/>
      </c>
      <c r="K425" s="22"/>
      <c r="L425" s="27" t="str">
        <f aca="false">IF(K425&lt;&gt;"",K425,J425)</f>
        <v/>
      </c>
      <c r="M425" s="28"/>
      <c r="N425" s="22"/>
      <c r="O425" s="28"/>
      <c r="P425" s="26" t="str">
        <f aca="false">IF(A425="","",SUMIF(入金明細!$F$5:$F$1004,A425,入金明細!$E$5:$E$1004))</f>
        <v/>
      </c>
      <c r="Q425" s="27" t="str">
        <f aca="false">IF(OR(A425="",N(P425)=0),"",SUMPRODUCT(MAX((入金明細!$F$5:$F$1004=A425)*入金明細!$B$5:$B$1004)))</f>
        <v/>
      </c>
      <c r="R425" s="18"/>
      <c r="S425" s="26" t="str">
        <f aca="false">IF(OR(A425="",I425=""),"",I425-N(P425)-N(R425))</f>
        <v/>
      </c>
      <c r="T425" s="28"/>
      <c r="U425" s="29" t="str">
        <f aca="false">IF(A425="","",IF(T425="取消","取消",IF(W425&lt;&gt;"","要入力",IF(N425="","未送付",IF(S425=0,"入金済",IF(S425&lt;0,"過入金",IF(設定!$C$5&gt;L425,IF(P425&gt;0,"一部入金・超過","期日超過"),IF(P425&gt;0,"一部入金",IF(L425-設定!$C$5&lt;=設定!$C$6,"期日間近","入金待ち")))))))))</f>
        <v/>
      </c>
      <c r="V425" s="30" t="str">
        <f aca="false">IF(OR(U425="期日超過",U425="一部入金・超過"),設定!$C$5-L425,"")</f>
        <v/>
      </c>
      <c r="W425" s="21" t="str">
        <f aca="false">IF(A425="","",TRIM(IF(B425="","請求日 ","")&amp;IF(C425="","取引先 ",IF(D425="コード誤り","取引先コード誤り ",""))&amp;IF(E425="","件名 ","")&amp;IF(F425="","税抜金額 ","")&amp;IF(G425="","税率 ","")&amp;IF(M425="","送付方法 ","")&amp;IF(AND(N425&lt;&gt;"",O425=""),"送付者 ","")&amp;IF(AND(I425&lt;&gt;"",L425=""),"入金期日 ","")&amp;IF(AND(N425&lt;&gt;"",P425&gt;0,S425&lt;=0,X425=""),"消込確認者 ","")))</f>
        <v/>
      </c>
      <c r="X425" s="28"/>
      <c r="Y425" s="28"/>
    </row>
    <row r="426" customFormat="false" ht="15" hidden="false" customHeight="false" outlineLevel="0" collapsed="false">
      <c r="A426" s="21" t="str">
        <f aca="false">IF(COUNTA(B426,C426,E426,F426)=0,"",設定!$C$4&amp;TEXT(ROW()-4,"00000"))</f>
        <v/>
      </c>
      <c r="B426" s="22"/>
      <c r="C426" s="23"/>
      <c r="D426" s="21" t="str">
        <f aca="false">IF(C426="","",IFERROR(INDEX(取引先マスタ!$B$5:$B$204,MATCH($C426,取引先マスタ!$A$5:$A$204,0)),"コード誤り"))</f>
        <v/>
      </c>
      <c r="E426" s="28"/>
      <c r="F426" s="18"/>
      <c r="G426" s="25"/>
      <c r="H426" s="26" t="str">
        <f aca="false">IF(OR(F426="",G426=""),"",ROUNDDOWN(F426*G426,0))</f>
        <v/>
      </c>
      <c r="I426" s="26" t="str">
        <f aca="false">IF(OR(F426="",G426=""),"",F426+H426)</f>
        <v/>
      </c>
      <c r="J426" s="27" t="str">
        <f aca="false">IF(OR(B426="",C426="",D426="コード誤り"),"",IFERROR(DATE(YEAR(B426),MONTH(B426)+INDEX(取引先マスタ!$E$5:$E$204,MATCH($C426,取引先マスタ!$A$5:$A$204,0)),MIN(INDEX(取引先マスタ!$F$5:$F$204,MATCH($C426,取引先マスタ!$A$5:$A$204,0)),DAY(EOMONTH(B426,INDEX(取引先マスタ!$E$5:$E$204,MATCH($C426,取引先マスタ!$A$5:$A$204,0)))))),""))</f>
        <v/>
      </c>
      <c r="K426" s="22"/>
      <c r="L426" s="27" t="str">
        <f aca="false">IF(K426&lt;&gt;"",K426,J426)</f>
        <v/>
      </c>
      <c r="M426" s="28"/>
      <c r="N426" s="22"/>
      <c r="O426" s="28"/>
      <c r="P426" s="26" t="str">
        <f aca="false">IF(A426="","",SUMIF(入金明細!$F$5:$F$1004,A426,入金明細!$E$5:$E$1004))</f>
        <v/>
      </c>
      <c r="Q426" s="27" t="str">
        <f aca="false">IF(OR(A426="",N(P426)=0),"",SUMPRODUCT(MAX((入金明細!$F$5:$F$1004=A426)*入金明細!$B$5:$B$1004)))</f>
        <v/>
      </c>
      <c r="R426" s="18"/>
      <c r="S426" s="26" t="str">
        <f aca="false">IF(OR(A426="",I426=""),"",I426-N(P426)-N(R426))</f>
        <v/>
      </c>
      <c r="T426" s="28"/>
      <c r="U426" s="29" t="str">
        <f aca="false">IF(A426="","",IF(T426="取消","取消",IF(W426&lt;&gt;"","要入力",IF(N426="","未送付",IF(S426=0,"入金済",IF(S426&lt;0,"過入金",IF(設定!$C$5&gt;L426,IF(P426&gt;0,"一部入金・超過","期日超過"),IF(P426&gt;0,"一部入金",IF(L426-設定!$C$5&lt;=設定!$C$6,"期日間近","入金待ち")))))))))</f>
        <v/>
      </c>
      <c r="V426" s="30" t="str">
        <f aca="false">IF(OR(U426="期日超過",U426="一部入金・超過"),設定!$C$5-L426,"")</f>
        <v/>
      </c>
      <c r="W426" s="21" t="str">
        <f aca="false">IF(A426="","",TRIM(IF(B426="","請求日 ","")&amp;IF(C426="","取引先 ",IF(D426="コード誤り","取引先コード誤り ",""))&amp;IF(E426="","件名 ","")&amp;IF(F426="","税抜金額 ","")&amp;IF(G426="","税率 ","")&amp;IF(M426="","送付方法 ","")&amp;IF(AND(N426&lt;&gt;"",O426=""),"送付者 ","")&amp;IF(AND(I426&lt;&gt;"",L426=""),"入金期日 ","")&amp;IF(AND(N426&lt;&gt;"",P426&gt;0,S426&lt;=0,X426=""),"消込確認者 ","")))</f>
        <v/>
      </c>
      <c r="X426" s="28"/>
      <c r="Y426" s="28"/>
    </row>
    <row r="427" customFormat="false" ht="15" hidden="false" customHeight="false" outlineLevel="0" collapsed="false">
      <c r="A427" s="21" t="str">
        <f aca="false">IF(COUNTA(B427,C427,E427,F427)=0,"",設定!$C$4&amp;TEXT(ROW()-4,"00000"))</f>
        <v/>
      </c>
      <c r="B427" s="22"/>
      <c r="C427" s="23"/>
      <c r="D427" s="21" t="str">
        <f aca="false">IF(C427="","",IFERROR(INDEX(取引先マスタ!$B$5:$B$204,MATCH($C427,取引先マスタ!$A$5:$A$204,0)),"コード誤り"))</f>
        <v/>
      </c>
      <c r="E427" s="28"/>
      <c r="F427" s="18"/>
      <c r="G427" s="25"/>
      <c r="H427" s="26" t="str">
        <f aca="false">IF(OR(F427="",G427=""),"",ROUNDDOWN(F427*G427,0))</f>
        <v/>
      </c>
      <c r="I427" s="26" t="str">
        <f aca="false">IF(OR(F427="",G427=""),"",F427+H427)</f>
        <v/>
      </c>
      <c r="J427" s="27" t="str">
        <f aca="false">IF(OR(B427="",C427="",D427="コード誤り"),"",IFERROR(DATE(YEAR(B427),MONTH(B427)+INDEX(取引先マスタ!$E$5:$E$204,MATCH($C427,取引先マスタ!$A$5:$A$204,0)),MIN(INDEX(取引先マスタ!$F$5:$F$204,MATCH($C427,取引先マスタ!$A$5:$A$204,0)),DAY(EOMONTH(B427,INDEX(取引先マスタ!$E$5:$E$204,MATCH($C427,取引先マスタ!$A$5:$A$204,0)))))),""))</f>
        <v/>
      </c>
      <c r="K427" s="22"/>
      <c r="L427" s="27" t="str">
        <f aca="false">IF(K427&lt;&gt;"",K427,J427)</f>
        <v/>
      </c>
      <c r="M427" s="28"/>
      <c r="N427" s="22"/>
      <c r="O427" s="28"/>
      <c r="P427" s="26" t="str">
        <f aca="false">IF(A427="","",SUMIF(入金明細!$F$5:$F$1004,A427,入金明細!$E$5:$E$1004))</f>
        <v/>
      </c>
      <c r="Q427" s="27" t="str">
        <f aca="false">IF(OR(A427="",N(P427)=0),"",SUMPRODUCT(MAX((入金明細!$F$5:$F$1004=A427)*入金明細!$B$5:$B$1004)))</f>
        <v/>
      </c>
      <c r="R427" s="18"/>
      <c r="S427" s="26" t="str">
        <f aca="false">IF(OR(A427="",I427=""),"",I427-N(P427)-N(R427))</f>
        <v/>
      </c>
      <c r="T427" s="28"/>
      <c r="U427" s="29" t="str">
        <f aca="false">IF(A427="","",IF(T427="取消","取消",IF(W427&lt;&gt;"","要入力",IF(N427="","未送付",IF(S427=0,"入金済",IF(S427&lt;0,"過入金",IF(設定!$C$5&gt;L427,IF(P427&gt;0,"一部入金・超過","期日超過"),IF(P427&gt;0,"一部入金",IF(L427-設定!$C$5&lt;=設定!$C$6,"期日間近","入金待ち")))))))))</f>
        <v/>
      </c>
      <c r="V427" s="30" t="str">
        <f aca="false">IF(OR(U427="期日超過",U427="一部入金・超過"),設定!$C$5-L427,"")</f>
        <v/>
      </c>
      <c r="W427" s="21" t="str">
        <f aca="false">IF(A427="","",TRIM(IF(B427="","請求日 ","")&amp;IF(C427="","取引先 ",IF(D427="コード誤り","取引先コード誤り ",""))&amp;IF(E427="","件名 ","")&amp;IF(F427="","税抜金額 ","")&amp;IF(G427="","税率 ","")&amp;IF(M427="","送付方法 ","")&amp;IF(AND(N427&lt;&gt;"",O427=""),"送付者 ","")&amp;IF(AND(I427&lt;&gt;"",L427=""),"入金期日 ","")&amp;IF(AND(N427&lt;&gt;"",P427&gt;0,S427&lt;=0,X427=""),"消込確認者 ","")))</f>
        <v/>
      </c>
      <c r="X427" s="28"/>
      <c r="Y427" s="28"/>
    </row>
    <row r="428" customFormat="false" ht="15" hidden="false" customHeight="false" outlineLevel="0" collapsed="false">
      <c r="A428" s="21" t="str">
        <f aca="false">IF(COUNTA(B428,C428,E428,F428)=0,"",設定!$C$4&amp;TEXT(ROW()-4,"00000"))</f>
        <v/>
      </c>
      <c r="B428" s="22"/>
      <c r="C428" s="23"/>
      <c r="D428" s="21" t="str">
        <f aca="false">IF(C428="","",IFERROR(INDEX(取引先マスタ!$B$5:$B$204,MATCH($C428,取引先マスタ!$A$5:$A$204,0)),"コード誤り"))</f>
        <v/>
      </c>
      <c r="E428" s="28"/>
      <c r="F428" s="18"/>
      <c r="G428" s="25"/>
      <c r="H428" s="26" t="str">
        <f aca="false">IF(OR(F428="",G428=""),"",ROUNDDOWN(F428*G428,0))</f>
        <v/>
      </c>
      <c r="I428" s="26" t="str">
        <f aca="false">IF(OR(F428="",G428=""),"",F428+H428)</f>
        <v/>
      </c>
      <c r="J428" s="27" t="str">
        <f aca="false">IF(OR(B428="",C428="",D428="コード誤り"),"",IFERROR(DATE(YEAR(B428),MONTH(B428)+INDEX(取引先マスタ!$E$5:$E$204,MATCH($C428,取引先マスタ!$A$5:$A$204,0)),MIN(INDEX(取引先マスタ!$F$5:$F$204,MATCH($C428,取引先マスタ!$A$5:$A$204,0)),DAY(EOMONTH(B428,INDEX(取引先マスタ!$E$5:$E$204,MATCH($C428,取引先マスタ!$A$5:$A$204,0)))))),""))</f>
        <v/>
      </c>
      <c r="K428" s="22"/>
      <c r="L428" s="27" t="str">
        <f aca="false">IF(K428&lt;&gt;"",K428,J428)</f>
        <v/>
      </c>
      <c r="M428" s="28"/>
      <c r="N428" s="22"/>
      <c r="O428" s="28"/>
      <c r="P428" s="26" t="str">
        <f aca="false">IF(A428="","",SUMIF(入金明細!$F$5:$F$1004,A428,入金明細!$E$5:$E$1004))</f>
        <v/>
      </c>
      <c r="Q428" s="27" t="str">
        <f aca="false">IF(OR(A428="",N(P428)=0),"",SUMPRODUCT(MAX((入金明細!$F$5:$F$1004=A428)*入金明細!$B$5:$B$1004)))</f>
        <v/>
      </c>
      <c r="R428" s="18"/>
      <c r="S428" s="26" t="str">
        <f aca="false">IF(OR(A428="",I428=""),"",I428-N(P428)-N(R428))</f>
        <v/>
      </c>
      <c r="T428" s="28"/>
      <c r="U428" s="29" t="str">
        <f aca="false">IF(A428="","",IF(T428="取消","取消",IF(W428&lt;&gt;"","要入力",IF(N428="","未送付",IF(S428=0,"入金済",IF(S428&lt;0,"過入金",IF(設定!$C$5&gt;L428,IF(P428&gt;0,"一部入金・超過","期日超過"),IF(P428&gt;0,"一部入金",IF(L428-設定!$C$5&lt;=設定!$C$6,"期日間近","入金待ち")))))))))</f>
        <v/>
      </c>
      <c r="V428" s="30" t="str">
        <f aca="false">IF(OR(U428="期日超過",U428="一部入金・超過"),設定!$C$5-L428,"")</f>
        <v/>
      </c>
      <c r="W428" s="21" t="str">
        <f aca="false">IF(A428="","",TRIM(IF(B428="","請求日 ","")&amp;IF(C428="","取引先 ",IF(D428="コード誤り","取引先コード誤り ",""))&amp;IF(E428="","件名 ","")&amp;IF(F428="","税抜金額 ","")&amp;IF(G428="","税率 ","")&amp;IF(M428="","送付方法 ","")&amp;IF(AND(N428&lt;&gt;"",O428=""),"送付者 ","")&amp;IF(AND(I428&lt;&gt;"",L428=""),"入金期日 ","")&amp;IF(AND(N428&lt;&gt;"",P428&gt;0,S428&lt;=0,X428=""),"消込確認者 ","")))</f>
        <v/>
      </c>
      <c r="X428" s="28"/>
      <c r="Y428" s="28"/>
    </row>
    <row r="429" customFormat="false" ht="15" hidden="false" customHeight="false" outlineLevel="0" collapsed="false">
      <c r="A429" s="21" t="str">
        <f aca="false">IF(COUNTA(B429,C429,E429,F429)=0,"",設定!$C$4&amp;TEXT(ROW()-4,"00000"))</f>
        <v/>
      </c>
      <c r="B429" s="22"/>
      <c r="C429" s="23"/>
      <c r="D429" s="21" t="str">
        <f aca="false">IF(C429="","",IFERROR(INDEX(取引先マスタ!$B$5:$B$204,MATCH($C429,取引先マスタ!$A$5:$A$204,0)),"コード誤り"))</f>
        <v/>
      </c>
      <c r="E429" s="28"/>
      <c r="F429" s="18"/>
      <c r="G429" s="25"/>
      <c r="H429" s="26" t="str">
        <f aca="false">IF(OR(F429="",G429=""),"",ROUNDDOWN(F429*G429,0))</f>
        <v/>
      </c>
      <c r="I429" s="26" t="str">
        <f aca="false">IF(OR(F429="",G429=""),"",F429+H429)</f>
        <v/>
      </c>
      <c r="J429" s="27" t="str">
        <f aca="false">IF(OR(B429="",C429="",D429="コード誤り"),"",IFERROR(DATE(YEAR(B429),MONTH(B429)+INDEX(取引先マスタ!$E$5:$E$204,MATCH($C429,取引先マスタ!$A$5:$A$204,0)),MIN(INDEX(取引先マスタ!$F$5:$F$204,MATCH($C429,取引先マスタ!$A$5:$A$204,0)),DAY(EOMONTH(B429,INDEX(取引先マスタ!$E$5:$E$204,MATCH($C429,取引先マスタ!$A$5:$A$204,0)))))),""))</f>
        <v/>
      </c>
      <c r="K429" s="22"/>
      <c r="L429" s="27" t="str">
        <f aca="false">IF(K429&lt;&gt;"",K429,J429)</f>
        <v/>
      </c>
      <c r="M429" s="28"/>
      <c r="N429" s="22"/>
      <c r="O429" s="28"/>
      <c r="P429" s="26" t="str">
        <f aca="false">IF(A429="","",SUMIF(入金明細!$F$5:$F$1004,A429,入金明細!$E$5:$E$1004))</f>
        <v/>
      </c>
      <c r="Q429" s="27" t="str">
        <f aca="false">IF(OR(A429="",N(P429)=0),"",SUMPRODUCT(MAX((入金明細!$F$5:$F$1004=A429)*入金明細!$B$5:$B$1004)))</f>
        <v/>
      </c>
      <c r="R429" s="18"/>
      <c r="S429" s="26" t="str">
        <f aca="false">IF(OR(A429="",I429=""),"",I429-N(P429)-N(R429))</f>
        <v/>
      </c>
      <c r="T429" s="28"/>
      <c r="U429" s="29" t="str">
        <f aca="false">IF(A429="","",IF(T429="取消","取消",IF(W429&lt;&gt;"","要入力",IF(N429="","未送付",IF(S429=0,"入金済",IF(S429&lt;0,"過入金",IF(設定!$C$5&gt;L429,IF(P429&gt;0,"一部入金・超過","期日超過"),IF(P429&gt;0,"一部入金",IF(L429-設定!$C$5&lt;=設定!$C$6,"期日間近","入金待ち")))))))))</f>
        <v/>
      </c>
      <c r="V429" s="30" t="str">
        <f aca="false">IF(OR(U429="期日超過",U429="一部入金・超過"),設定!$C$5-L429,"")</f>
        <v/>
      </c>
      <c r="W429" s="21" t="str">
        <f aca="false">IF(A429="","",TRIM(IF(B429="","請求日 ","")&amp;IF(C429="","取引先 ",IF(D429="コード誤り","取引先コード誤り ",""))&amp;IF(E429="","件名 ","")&amp;IF(F429="","税抜金額 ","")&amp;IF(G429="","税率 ","")&amp;IF(M429="","送付方法 ","")&amp;IF(AND(N429&lt;&gt;"",O429=""),"送付者 ","")&amp;IF(AND(I429&lt;&gt;"",L429=""),"入金期日 ","")&amp;IF(AND(N429&lt;&gt;"",P429&gt;0,S429&lt;=0,X429=""),"消込確認者 ","")))</f>
        <v/>
      </c>
      <c r="X429" s="28"/>
      <c r="Y429" s="28"/>
    </row>
    <row r="430" customFormat="false" ht="15" hidden="false" customHeight="false" outlineLevel="0" collapsed="false">
      <c r="A430" s="21" t="str">
        <f aca="false">IF(COUNTA(B430,C430,E430,F430)=0,"",設定!$C$4&amp;TEXT(ROW()-4,"00000"))</f>
        <v/>
      </c>
      <c r="B430" s="22"/>
      <c r="C430" s="23"/>
      <c r="D430" s="21" t="str">
        <f aca="false">IF(C430="","",IFERROR(INDEX(取引先マスタ!$B$5:$B$204,MATCH($C430,取引先マスタ!$A$5:$A$204,0)),"コード誤り"))</f>
        <v/>
      </c>
      <c r="E430" s="28"/>
      <c r="F430" s="18"/>
      <c r="G430" s="25"/>
      <c r="H430" s="26" t="str">
        <f aca="false">IF(OR(F430="",G430=""),"",ROUNDDOWN(F430*G430,0))</f>
        <v/>
      </c>
      <c r="I430" s="26" t="str">
        <f aca="false">IF(OR(F430="",G430=""),"",F430+H430)</f>
        <v/>
      </c>
      <c r="J430" s="27" t="str">
        <f aca="false">IF(OR(B430="",C430="",D430="コード誤り"),"",IFERROR(DATE(YEAR(B430),MONTH(B430)+INDEX(取引先マスタ!$E$5:$E$204,MATCH($C430,取引先マスタ!$A$5:$A$204,0)),MIN(INDEX(取引先マスタ!$F$5:$F$204,MATCH($C430,取引先マスタ!$A$5:$A$204,0)),DAY(EOMONTH(B430,INDEX(取引先マスタ!$E$5:$E$204,MATCH($C430,取引先マスタ!$A$5:$A$204,0)))))),""))</f>
        <v/>
      </c>
      <c r="K430" s="22"/>
      <c r="L430" s="27" t="str">
        <f aca="false">IF(K430&lt;&gt;"",K430,J430)</f>
        <v/>
      </c>
      <c r="M430" s="28"/>
      <c r="N430" s="22"/>
      <c r="O430" s="28"/>
      <c r="P430" s="26" t="str">
        <f aca="false">IF(A430="","",SUMIF(入金明細!$F$5:$F$1004,A430,入金明細!$E$5:$E$1004))</f>
        <v/>
      </c>
      <c r="Q430" s="27" t="str">
        <f aca="false">IF(OR(A430="",N(P430)=0),"",SUMPRODUCT(MAX((入金明細!$F$5:$F$1004=A430)*入金明細!$B$5:$B$1004)))</f>
        <v/>
      </c>
      <c r="R430" s="18"/>
      <c r="S430" s="26" t="str">
        <f aca="false">IF(OR(A430="",I430=""),"",I430-N(P430)-N(R430))</f>
        <v/>
      </c>
      <c r="T430" s="28"/>
      <c r="U430" s="29" t="str">
        <f aca="false">IF(A430="","",IF(T430="取消","取消",IF(W430&lt;&gt;"","要入力",IF(N430="","未送付",IF(S430=0,"入金済",IF(S430&lt;0,"過入金",IF(設定!$C$5&gt;L430,IF(P430&gt;0,"一部入金・超過","期日超過"),IF(P430&gt;0,"一部入金",IF(L430-設定!$C$5&lt;=設定!$C$6,"期日間近","入金待ち")))))))))</f>
        <v/>
      </c>
      <c r="V430" s="30" t="str">
        <f aca="false">IF(OR(U430="期日超過",U430="一部入金・超過"),設定!$C$5-L430,"")</f>
        <v/>
      </c>
      <c r="W430" s="21" t="str">
        <f aca="false">IF(A430="","",TRIM(IF(B430="","請求日 ","")&amp;IF(C430="","取引先 ",IF(D430="コード誤り","取引先コード誤り ",""))&amp;IF(E430="","件名 ","")&amp;IF(F430="","税抜金額 ","")&amp;IF(G430="","税率 ","")&amp;IF(M430="","送付方法 ","")&amp;IF(AND(N430&lt;&gt;"",O430=""),"送付者 ","")&amp;IF(AND(I430&lt;&gt;"",L430=""),"入金期日 ","")&amp;IF(AND(N430&lt;&gt;"",P430&gt;0,S430&lt;=0,X430=""),"消込確認者 ","")))</f>
        <v/>
      </c>
      <c r="X430" s="28"/>
      <c r="Y430" s="28"/>
    </row>
    <row r="431" customFormat="false" ht="15" hidden="false" customHeight="false" outlineLevel="0" collapsed="false">
      <c r="A431" s="21" t="str">
        <f aca="false">IF(COUNTA(B431,C431,E431,F431)=0,"",設定!$C$4&amp;TEXT(ROW()-4,"00000"))</f>
        <v/>
      </c>
      <c r="B431" s="22"/>
      <c r="C431" s="23"/>
      <c r="D431" s="21" t="str">
        <f aca="false">IF(C431="","",IFERROR(INDEX(取引先マスタ!$B$5:$B$204,MATCH($C431,取引先マスタ!$A$5:$A$204,0)),"コード誤り"))</f>
        <v/>
      </c>
      <c r="E431" s="28"/>
      <c r="F431" s="18"/>
      <c r="G431" s="25"/>
      <c r="H431" s="26" t="str">
        <f aca="false">IF(OR(F431="",G431=""),"",ROUNDDOWN(F431*G431,0))</f>
        <v/>
      </c>
      <c r="I431" s="26" t="str">
        <f aca="false">IF(OR(F431="",G431=""),"",F431+H431)</f>
        <v/>
      </c>
      <c r="J431" s="27" t="str">
        <f aca="false">IF(OR(B431="",C431="",D431="コード誤り"),"",IFERROR(DATE(YEAR(B431),MONTH(B431)+INDEX(取引先マスタ!$E$5:$E$204,MATCH($C431,取引先マスタ!$A$5:$A$204,0)),MIN(INDEX(取引先マスタ!$F$5:$F$204,MATCH($C431,取引先マスタ!$A$5:$A$204,0)),DAY(EOMONTH(B431,INDEX(取引先マスタ!$E$5:$E$204,MATCH($C431,取引先マスタ!$A$5:$A$204,0)))))),""))</f>
        <v/>
      </c>
      <c r="K431" s="22"/>
      <c r="L431" s="27" t="str">
        <f aca="false">IF(K431&lt;&gt;"",K431,J431)</f>
        <v/>
      </c>
      <c r="M431" s="28"/>
      <c r="N431" s="22"/>
      <c r="O431" s="28"/>
      <c r="P431" s="26" t="str">
        <f aca="false">IF(A431="","",SUMIF(入金明細!$F$5:$F$1004,A431,入金明細!$E$5:$E$1004))</f>
        <v/>
      </c>
      <c r="Q431" s="27" t="str">
        <f aca="false">IF(OR(A431="",N(P431)=0),"",SUMPRODUCT(MAX((入金明細!$F$5:$F$1004=A431)*入金明細!$B$5:$B$1004)))</f>
        <v/>
      </c>
      <c r="R431" s="18"/>
      <c r="S431" s="26" t="str">
        <f aca="false">IF(OR(A431="",I431=""),"",I431-N(P431)-N(R431))</f>
        <v/>
      </c>
      <c r="T431" s="28"/>
      <c r="U431" s="29" t="str">
        <f aca="false">IF(A431="","",IF(T431="取消","取消",IF(W431&lt;&gt;"","要入力",IF(N431="","未送付",IF(S431=0,"入金済",IF(S431&lt;0,"過入金",IF(設定!$C$5&gt;L431,IF(P431&gt;0,"一部入金・超過","期日超過"),IF(P431&gt;0,"一部入金",IF(L431-設定!$C$5&lt;=設定!$C$6,"期日間近","入金待ち")))))))))</f>
        <v/>
      </c>
      <c r="V431" s="30" t="str">
        <f aca="false">IF(OR(U431="期日超過",U431="一部入金・超過"),設定!$C$5-L431,"")</f>
        <v/>
      </c>
      <c r="W431" s="21" t="str">
        <f aca="false">IF(A431="","",TRIM(IF(B431="","請求日 ","")&amp;IF(C431="","取引先 ",IF(D431="コード誤り","取引先コード誤り ",""))&amp;IF(E431="","件名 ","")&amp;IF(F431="","税抜金額 ","")&amp;IF(G431="","税率 ","")&amp;IF(M431="","送付方法 ","")&amp;IF(AND(N431&lt;&gt;"",O431=""),"送付者 ","")&amp;IF(AND(I431&lt;&gt;"",L431=""),"入金期日 ","")&amp;IF(AND(N431&lt;&gt;"",P431&gt;0,S431&lt;=0,X431=""),"消込確認者 ","")))</f>
        <v/>
      </c>
      <c r="X431" s="28"/>
      <c r="Y431" s="28"/>
    </row>
    <row r="432" customFormat="false" ht="15" hidden="false" customHeight="false" outlineLevel="0" collapsed="false">
      <c r="A432" s="21" t="str">
        <f aca="false">IF(COUNTA(B432,C432,E432,F432)=0,"",設定!$C$4&amp;TEXT(ROW()-4,"00000"))</f>
        <v/>
      </c>
      <c r="B432" s="22"/>
      <c r="C432" s="23"/>
      <c r="D432" s="21" t="str">
        <f aca="false">IF(C432="","",IFERROR(INDEX(取引先マスタ!$B$5:$B$204,MATCH($C432,取引先マスタ!$A$5:$A$204,0)),"コード誤り"))</f>
        <v/>
      </c>
      <c r="E432" s="28"/>
      <c r="F432" s="18"/>
      <c r="G432" s="25"/>
      <c r="H432" s="26" t="str">
        <f aca="false">IF(OR(F432="",G432=""),"",ROUNDDOWN(F432*G432,0))</f>
        <v/>
      </c>
      <c r="I432" s="26" t="str">
        <f aca="false">IF(OR(F432="",G432=""),"",F432+H432)</f>
        <v/>
      </c>
      <c r="J432" s="27" t="str">
        <f aca="false">IF(OR(B432="",C432="",D432="コード誤り"),"",IFERROR(DATE(YEAR(B432),MONTH(B432)+INDEX(取引先マスタ!$E$5:$E$204,MATCH($C432,取引先マスタ!$A$5:$A$204,0)),MIN(INDEX(取引先マスタ!$F$5:$F$204,MATCH($C432,取引先マスタ!$A$5:$A$204,0)),DAY(EOMONTH(B432,INDEX(取引先マスタ!$E$5:$E$204,MATCH($C432,取引先マスタ!$A$5:$A$204,0)))))),""))</f>
        <v/>
      </c>
      <c r="K432" s="22"/>
      <c r="L432" s="27" t="str">
        <f aca="false">IF(K432&lt;&gt;"",K432,J432)</f>
        <v/>
      </c>
      <c r="M432" s="28"/>
      <c r="N432" s="22"/>
      <c r="O432" s="28"/>
      <c r="P432" s="26" t="str">
        <f aca="false">IF(A432="","",SUMIF(入金明細!$F$5:$F$1004,A432,入金明細!$E$5:$E$1004))</f>
        <v/>
      </c>
      <c r="Q432" s="27" t="str">
        <f aca="false">IF(OR(A432="",N(P432)=0),"",SUMPRODUCT(MAX((入金明細!$F$5:$F$1004=A432)*入金明細!$B$5:$B$1004)))</f>
        <v/>
      </c>
      <c r="R432" s="18"/>
      <c r="S432" s="26" t="str">
        <f aca="false">IF(OR(A432="",I432=""),"",I432-N(P432)-N(R432))</f>
        <v/>
      </c>
      <c r="T432" s="28"/>
      <c r="U432" s="29" t="str">
        <f aca="false">IF(A432="","",IF(T432="取消","取消",IF(W432&lt;&gt;"","要入力",IF(N432="","未送付",IF(S432=0,"入金済",IF(S432&lt;0,"過入金",IF(設定!$C$5&gt;L432,IF(P432&gt;0,"一部入金・超過","期日超過"),IF(P432&gt;0,"一部入金",IF(L432-設定!$C$5&lt;=設定!$C$6,"期日間近","入金待ち")))))))))</f>
        <v/>
      </c>
      <c r="V432" s="30" t="str">
        <f aca="false">IF(OR(U432="期日超過",U432="一部入金・超過"),設定!$C$5-L432,"")</f>
        <v/>
      </c>
      <c r="W432" s="21" t="str">
        <f aca="false">IF(A432="","",TRIM(IF(B432="","請求日 ","")&amp;IF(C432="","取引先 ",IF(D432="コード誤り","取引先コード誤り ",""))&amp;IF(E432="","件名 ","")&amp;IF(F432="","税抜金額 ","")&amp;IF(G432="","税率 ","")&amp;IF(M432="","送付方法 ","")&amp;IF(AND(N432&lt;&gt;"",O432=""),"送付者 ","")&amp;IF(AND(I432&lt;&gt;"",L432=""),"入金期日 ","")&amp;IF(AND(N432&lt;&gt;"",P432&gt;0,S432&lt;=0,X432=""),"消込確認者 ","")))</f>
        <v/>
      </c>
      <c r="X432" s="28"/>
      <c r="Y432" s="28"/>
    </row>
    <row r="433" customFormat="false" ht="15" hidden="false" customHeight="false" outlineLevel="0" collapsed="false">
      <c r="A433" s="21" t="str">
        <f aca="false">IF(COUNTA(B433,C433,E433,F433)=0,"",設定!$C$4&amp;TEXT(ROW()-4,"00000"))</f>
        <v/>
      </c>
      <c r="B433" s="22"/>
      <c r="C433" s="23"/>
      <c r="D433" s="21" t="str">
        <f aca="false">IF(C433="","",IFERROR(INDEX(取引先マスタ!$B$5:$B$204,MATCH($C433,取引先マスタ!$A$5:$A$204,0)),"コード誤り"))</f>
        <v/>
      </c>
      <c r="E433" s="28"/>
      <c r="F433" s="18"/>
      <c r="G433" s="25"/>
      <c r="H433" s="26" t="str">
        <f aca="false">IF(OR(F433="",G433=""),"",ROUNDDOWN(F433*G433,0))</f>
        <v/>
      </c>
      <c r="I433" s="26" t="str">
        <f aca="false">IF(OR(F433="",G433=""),"",F433+H433)</f>
        <v/>
      </c>
      <c r="J433" s="27" t="str">
        <f aca="false">IF(OR(B433="",C433="",D433="コード誤り"),"",IFERROR(DATE(YEAR(B433),MONTH(B433)+INDEX(取引先マスタ!$E$5:$E$204,MATCH($C433,取引先マスタ!$A$5:$A$204,0)),MIN(INDEX(取引先マスタ!$F$5:$F$204,MATCH($C433,取引先マスタ!$A$5:$A$204,0)),DAY(EOMONTH(B433,INDEX(取引先マスタ!$E$5:$E$204,MATCH($C433,取引先マスタ!$A$5:$A$204,0)))))),""))</f>
        <v/>
      </c>
      <c r="K433" s="22"/>
      <c r="L433" s="27" t="str">
        <f aca="false">IF(K433&lt;&gt;"",K433,J433)</f>
        <v/>
      </c>
      <c r="M433" s="28"/>
      <c r="N433" s="22"/>
      <c r="O433" s="28"/>
      <c r="P433" s="26" t="str">
        <f aca="false">IF(A433="","",SUMIF(入金明細!$F$5:$F$1004,A433,入金明細!$E$5:$E$1004))</f>
        <v/>
      </c>
      <c r="Q433" s="27" t="str">
        <f aca="false">IF(OR(A433="",N(P433)=0),"",SUMPRODUCT(MAX((入金明細!$F$5:$F$1004=A433)*入金明細!$B$5:$B$1004)))</f>
        <v/>
      </c>
      <c r="R433" s="18"/>
      <c r="S433" s="26" t="str">
        <f aca="false">IF(OR(A433="",I433=""),"",I433-N(P433)-N(R433))</f>
        <v/>
      </c>
      <c r="T433" s="28"/>
      <c r="U433" s="29" t="str">
        <f aca="false">IF(A433="","",IF(T433="取消","取消",IF(W433&lt;&gt;"","要入力",IF(N433="","未送付",IF(S433=0,"入金済",IF(S433&lt;0,"過入金",IF(設定!$C$5&gt;L433,IF(P433&gt;0,"一部入金・超過","期日超過"),IF(P433&gt;0,"一部入金",IF(L433-設定!$C$5&lt;=設定!$C$6,"期日間近","入金待ち")))))))))</f>
        <v/>
      </c>
      <c r="V433" s="30" t="str">
        <f aca="false">IF(OR(U433="期日超過",U433="一部入金・超過"),設定!$C$5-L433,"")</f>
        <v/>
      </c>
      <c r="W433" s="21" t="str">
        <f aca="false">IF(A433="","",TRIM(IF(B433="","請求日 ","")&amp;IF(C433="","取引先 ",IF(D433="コード誤り","取引先コード誤り ",""))&amp;IF(E433="","件名 ","")&amp;IF(F433="","税抜金額 ","")&amp;IF(G433="","税率 ","")&amp;IF(M433="","送付方法 ","")&amp;IF(AND(N433&lt;&gt;"",O433=""),"送付者 ","")&amp;IF(AND(I433&lt;&gt;"",L433=""),"入金期日 ","")&amp;IF(AND(N433&lt;&gt;"",P433&gt;0,S433&lt;=0,X433=""),"消込確認者 ","")))</f>
        <v/>
      </c>
      <c r="X433" s="28"/>
      <c r="Y433" s="28"/>
    </row>
    <row r="434" customFormat="false" ht="15" hidden="false" customHeight="false" outlineLevel="0" collapsed="false">
      <c r="A434" s="21" t="str">
        <f aca="false">IF(COUNTA(B434,C434,E434,F434)=0,"",設定!$C$4&amp;TEXT(ROW()-4,"00000"))</f>
        <v/>
      </c>
      <c r="B434" s="22"/>
      <c r="C434" s="23"/>
      <c r="D434" s="21" t="str">
        <f aca="false">IF(C434="","",IFERROR(INDEX(取引先マスタ!$B$5:$B$204,MATCH($C434,取引先マスタ!$A$5:$A$204,0)),"コード誤り"))</f>
        <v/>
      </c>
      <c r="E434" s="28"/>
      <c r="F434" s="18"/>
      <c r="G434" s="25"/>
      <c r="H434" s="26" t="str">
        <f aca="false">IF(OR(F434="",G434=""),"",ROUNDDOWN(F434*G434,0))</f>
        <v/>
      </c>
      <c r="I434" s="26" t="str">
        <f aca="false">IF(OR(F434="",G434=""),"",F434+H434)</f>
        <v/>
      </c>
      <c r="J434" s="27" t="str">
        <f aca="false">IF(OR(B434="",C434="",D434="コード誤り"),"",IFERROR(DATE(YEAR(B434),MONTH(B434)+INDEX(取引先マスタ!$E$5:$E$204,MATCH($C434,取引先マスタ!$A$5:$A$204,0)),MIN(INDEX(取引先マスタ!$F$5:$F$204,MATCH($C434,取引先マスタ!$A$5:$A$204,0)),DAY(EOMONTH(B434,INDEX(取引先マスタ!$E$5:$E$204,MATCH($C434,取引先マスタ!$A$5:$A$204,0)))))),""))</f>
        <v/>
      </c>
      <c r="K434" s="22"/>
      <c r="L434" s="27" t="str">
        <f aca="false">IF(K434&lt;&gt;"",K434,J434)</f>
        <v/>
      </c>
      <c r="M434" s="28"/>
      <c r="N434" s="22"/>
      <c r="O434" s="28"/>
      <c r="P434" s="26" t="str">
        <f aca="false">IF(A434="","",SUMIF(入金明細!$F$5:$F$1004,A434,入金明細!$E$5:$E$1004))</f>
        <v/>
      </c>
      <c r="Q434" s="27" t="str">
        <f aca="false">IF(OR(A434="",N(P434)=0),"",SUMPRODUCT(MAX((入金明細!$F$5:$F$1004=A434)*入金明細!$B$5:$B$1004)))</f>
        <v/>
      </c>
      <c r="R434" s="18"/>
      <c r="S434" s="26" t="str">
        <f aca="false">IF(OR(A434="",I434=""),"",I434-N(P434)-N(R434))</f>
        <v/>
      </c>
      <c r="T434" s="28"/>
      <c r="U434" s="29" t="str">
        <f aca="false">IF(A434="","",IF(T434="取消","取消",IF(W434&lt;&gt;"","要入力",IF(N434="","未送付",IF(S434=0,"入金済",IF(S434&lt;0,"過入金",IF(設定!$C$5&gt;L434,IF(P434&gt;0,"一部入金・超過","期日超過"),IF(P434&gt;0,"一部入金",IF(L434-設定!$C$5&lt;=設定!$C$6,"期日間近","入金待ち")))))))))</f>
        <v/>
      </c>
      <c r="V434" s="30" t="str">
        <f aca="false">IF(OR(U434="期日超過",U434="一部入金・超過"),設定!$C$5-L434,"")</f>
        <v/>
      </c>
      <c r="W434" s="21" t="str">
        <f aca="false">IF(A434="","",TRIM(IF(B434="","請求日 ","")&amp;IF(C434="","取引先 ",IF(D434="コード誤り","取引先コード誤り ",""))&amp;IF(E434="","件名 ","")&amp;IF(F434="","税抜金額 ","")&amp;IF(G434="","税率 ","")&amp;IF(M434="","送付方法 ","")&amp;IF(AND(N434&lt;&gt;"",O434=""),"送付者 ","")&amp;IF(AND(I434&lt;&gt;"",L434=""),"入金期日 ","")&amp;IF(AND(N434&lt;&gt;"",P434&gt;0,S434&lt;=0,X434=""),"消込確認者 ","")))</f>
        <v/>
      </c>
      <c r="X434" s="28"/>
      <c r="Y434" s="28"/>
    </row>
    <row r="435" customFormat="false" ht="15" hidden="false" customHeight="false" outlineLevel="0" collapsed="false">
      <c r="A435" s="21" t="str">
        <f aca="false">IF(COUNTA(B435,C435,E435,F435)=0,"",設定!$C$4&amp;TEXT(ROW()-4,"00000"))</f>
        <v/>
      </c>
      <c r="B435" s="22"/>
      <c r="C435" s="23"/>
      <c r="D435" s="21" t="str">
        <f aca="false">IF(C435="","",IFERROR(INDEX(取引先マスタ!$B$5:$B$204,MATCH($C435,取引先マスタ!$A$5:$A$204,0)),"コード誤り"))</f>
        <v/>
      </c>
      <c r="E435" s="28"/>
      <c r="F435" s="18"/>
      <c r="G435" s="25"/>
      <c r="H435" s="26" t="str">
        <f aca="false">IF(OR(F435="",G435=""),"",ROUNDDOWN(F435*G435,0))</f>
        <v/>
      </c>
      <c r="I435" s="26" t="str">
        <f aca="false">IF(OR(F435="",G435=""),"",F435+H435)</f>
        <v/>
      </c>
      <c r="J435" s="27" t="str">
        <f aca="false">IF(OR(B435="",C435="",D435="コード誤り"),"",IFERROR(DATE(YEAR(B435),MONTH(B435)+INDEX(取引先マスタ!$E$5:$E$204,MATCH($C435,取引先マスタ!$A$5:$A$204,0)),MIN(INDEX(取引先マスタ!$F$5:$F$204,MATCH($C435,取引先マスタ!$A$5:$A$204,0)),DAY(EOMONTH(B435,INDEX(取引先マスタ!$E$5:$E$204,MATCH($C435,取引先マスタ!$A$5:$A$204,0)))))),""))</f>
        <v/>
      </c>
      <c r="K435" s="22"/>
      <c r="L435" s="27" t="str">
        <f aca="false">IF(K435&lt;&gt;"",K435,J435)</f>
        <v/>
      </c>
      <c r="M435" s="28"/>
      <c r="N435" s="22"/>
      <c r="O435" s="28"/>
      <c r="P435" s="26" t="str">
        <f aca="false">IF(A435="","",SUMIF(入金明細!$F$5:$F$1004,A435,入金明細!$E$5:$E$1004))</f>
        <v/>
      </c>
      <c r="Q435" s="27" t="str">
        <f aca="false">IF(OR(A435="",N(P435)=0),"",SUMPRODUCT(MAX((入金明細!$F$5:$F$1004=A435)*入金明細!$B$5:$B$1004)))</f>
        <v/>
      </c>
      <c r="R435" s="18"/>
      <c r="S435" s="26" t="str">
        <f aca="false">IF(OR(A435="",I435=""),"",I435-N(P435)-N(R435))</f>
        <v/>
      </c>
      <c r="T435" s="28"/>
      <c r="U435" s="29" t="str">
        <f aca="false">IF(A435="","",IF(T435="取消","取消",IF(W435&lt;&gt;"","要入力",IF(N435="","未送付",IF(S435=0,"入金済",IF(S435&lt;0,"過入金",IF(設定!$C$5&gt;L435,IF(P435&gt;0,"一部入金・超過","期日超過"),IF(P435&gt;0,"一部入金",IF(L435-設定!$C$5&lt;=設定!$C$6,"期日間近","入金待ち")))))))))</f>
        <v/>
      </c>
      <c r="V435" s="30" t="str">
        <f aca="false">IF(OR(U435="期日超過",U435="一部入金・超過"),設定!$C$5-L435,"")</f>
        <v/>
      </c>
      <c r="W435" s="21" t="str">
        <f aca="false">IF(A435="","",TRIM(IF(B435="","請求日 ","")&amp;IF(C435="","取引先 ",IF(D435="コード誤り","取引先コード誤り ",""))&amp;IF(E435="","件名 ","")&amp;IF(F435="","税抜金額 ","")&amp;IF(G435="","税率 ","")&amp;IF(M435="","送付方法 ","")&amp;IF(AND(N435&lt;&gt;"",O435=""),"送付者 ","")&amp;IF(AND(I435&lt;&gt;"",L435=""),"入金期日 ","")&amp;IF(AND(N435&lt;&gt;"",P435&gt;0,S435&lt;=0,X435=""),"消込確認者 ","")))</f>
        <v/>
      </c>
      <c r="X435" s="28"/>
      <c r="Y435" s="28"/>
    </row>
    <row r="436" customFormat="false" ht="15" hidden="false" customHeight="false" outlineLevel="0" collapsed="false">
      <c r="A436" s="21" t="str">
        <f aca="false">IF(COUNTA(B436,C436,E436,F436)=0,"",設定!$C$4&amp;TEXT(ROW()-4,"00000"))</f>
        <v/>
      </c>
      <c r="B436" s="22"/>
      <c r="C436" s="23"/>
      <c r="D436" s="21" t="str">
        <f aca="false">IF(C436="","",IFERROR(INDEX(取引先マスタ!$B$5:$B$204,MATCH($C436,取引先マスタ!$A$5:$A$204,0)),"コード誤り"))</f>
        <v/>
      </c>
      <c r="E436" s="28"/>
      <c r="F436" s="18"/>
      <c r="G436" s="25"/>
      <c r="H436" s="26" t="str">
        <f aca="false">IF(OR(F436="",G436=""),"",ROUNDDOWN(F436*G436,0))</f>
        <v/>
      </c>
      <c r="I436" s="26" t="str">
        <f aca="false">IF(OR(F436="",G436=""),"",F436+H436)</f>
        <v/>
      </c>
      <c r="J436" s="27" t="str">
        <f aca="false">IF(OR(B436="",C436="",D436="コード誤り"),"",IFERROR(DATE(YEAR(B436),MONTH(B436)+INDEX(取引先マスタ!$E$5:$E$204,MATCH($C436,取引先マスタ!$A$5:$A$204,0)),MIN(INDEX(取引先マスタ!$F$5:$F$204,MATCH($C436,取引先マスタ!$A$5:$A$204,0)),DAY(EOMONTH(B436,INDEX(取引先マスタ!$E$5:$E$204,MATCH($C436,取引先マスタ!$A$5:$A$204,0)))))),""))</f>
        <v/>
      </c>
      <c r="K436" s="22"/>
      <c r="L436" s="27" t="str">
        <f aca="false">IF(K436&lt;&gt;"",K436,J436)</f>
        <v/>
      </c>
      <c r="M436" s="28"/>
      <c r="N436" s="22"/>
      <c r="O436" s="28"/>
      <c r="P436" s="26" t="str">
        <f aca="false">IF(A436="","",SUMIF(入金明細!$F$5:$F$1004,A436,入金明細!$E$5:$E$1004))</f>
        <v/>
      </c>
      <c r="Q436" s="27" t="str">
        <f aca="false">IF(OR(A436="",N(P436)=0),"",SUMPRODUCT(MAX((入金明細!$F$5:$F$1004=A436)*入金明細!$B$5:$B$1004)))</f>
        <v/>
      </c>
      <c r="R436" s="18"/>
      <c r="S436" s="26" t="str">
        <f aca="false">IF(OR(A436="",I436=""),"",I436-N(P436)-N(R436))</f>
        <v/>
      </c>
      <c r="T436" s="28"/>
      <c r="U436" s="29" t="str">
        <f aca="false">IF(A436="","",IF(T436="取消","取消",IF(W436&lt;&gt;"","要入力",IF(N436="","未送付",IF(S436=0,"入金済",IF(S436&lt;0,"過入金",IF(設定!$C$5&gt;L436,IF(P436&gt;0,"一部入金・超過","期日超過"),IF(P436&gt;0,"一部入金",IF(L436-設定!$C$5&lt;=設定!$C$6,"期日間近","入金待ち")))))))))</f>
        <v/>
      </c>
      <c r="V436" s="30" t="str">
        <f aca="false">IF(OR(U436="期日超過",U436="一部入金・超過"),設定!$C$5-L436,"")</f>
        <v/>
      </c>
      <c r="W436" s="21" t="str">
        <f aca="false">IF(A436="","",TRIM(IF(B436="","請求日 ","")&amp;IF(C436="","取引先 ",IF(D436="コード誤り","取引先コード誤り ",""))&amp;IF(E436="","件名 ","")&amp;IF(F436="","税抜金額 ","")&amp;IF(G436="","税率 ","")&amp;IF(M436="","送付方法 ","")&amp;IF(AND(N436&lt;&gt;"",O436=""),"送付者 ","")&amp;IF(AND(I436&lt;&gt;"",L436=""),"入金期日 ","")&amp;IF(AND(N436&lt;&gt;"",P436&gt;0,S436&lt;=0,X436=""),"消込確認者 ","")))</f>
        <v/>
      </c>
      <c r="X436" s="28"/>
      <c r="Y436" s="28"/>
    </row>
    <row r="437" customFormat="false" ht="15" hidden="false" customHeight="false" outlineLevel="0" collapsed="false">
      <c r="A437" s="21" t="str">
        <f aca="false">IF(COUNTA(B437,C437,E437,F437)=0,"",設定!$C$4&amp;TEXT(ROW()-4,"00000"))</f>
        <v/>
      </c>
      <c r="B437" s="22"/>
      <c r="C437" s="23"/>
      <c r="D437" s="21" t="str">
        <f aca="false">IF(C437="","",IFERROR(INDEX(取引先マスタ!$B$5:$B$204,MATCH($C437,取引先マスタ!$A$5:$A$204,0)),"コード誤り"))</f>
        <v/>
      </c>
      <c r="E437" s="28"/>
      <c r="F437" s="18"/>
      <c r="G437" s="25"/>
      <c r="H437" s="26" t="str">
        <f aca="false">IF(OR(F437="",G437=""),"",ROUNDDOWN(F437*G437,0))</f>
        <v/>
      </c>
      <c r="I437" s="26" t="str">
        <f aca="false">IF(OR(F437="",G437=""),"",F437+H437)</f>
        <v/>
      </c>
      <c r="J437" s="27" t="str">
        <f aca="false">IF(OR(B437="",C437="",D437="コード誤り"),"",IFERROR(DATE(YEAR(B437),MONTH(B437)+INDEX(取引先マスタ!$E$5:$E$204,MATCH($C437,取引先マスタ!$A$5:$A$204,0)),MIN(INDEX(取引先マスタ!$F$5:$F$204,MATCH($C437,取引先マスタ!$A$5:$A$204,0)),DAY(EOMONTH(B437,INDEX(取引先マスタ!$E$5:$E$204,MATCH($C437,取引先マスタ!$A$5:$A$204,0)))))),""))</f>
        <v/>
      </c>
      <c r="K437" s="22"/>
      <c r="L437" s="27" t="str">
        <f aca="false">IF(K437&lt;&gt;"",K437,J437)</f>
        <v/>
      </c>
      <c r="M437" s="28"/>
      <c r="N437" s="22"/>
      <c r="O437" s="28"/>
      <c r="P437" s="26" t="str">
        <f aca="false">IF(A437="","",SUMIF(入金明細!$F$5:$F$1004,A437,入金明細!$E$5:$E$1004))</f>
        <v/>
      </c>
      <c r="Q437" s="27" t="str">
        <f aca="false">IF(OR(A437="",N(P437)=0),"",SUMPRODUCT(MAX((入金明細!$F$5:$F$1004=A437)*入金明細!$B$5:$B$1004)))</f>
        <v/>
      </c>
      <c r="R437" s="18"/>
      <c r="S437" s="26" t="str">
        <f aca="false">IF(OR(A437="",I437=""),"",I437-N(P437)-N(R437))</f>
        <v/>
      </c>
      <c r="T437" s="28"/>
      <c r="U437" s="29" t="str">
        <f aca="false">IF(A437="","",IF(T437="取消","取消",IF(W437&lt;&gt;"","要入力",IF(N437="","未送付",IF(S437=0,"入金済",IF(S437&lt;0,"過入金",IF(設定!$C$5&gt;L437,IF(P437&gt;0,"一部入金・超過","期日超過"),IF(P437&gt;0,"一部入金",IF(L437-設定!$C$5&lt;=設定!$C$6,"期日間近","入金待ち")))))))))</f>
        <v/>
      </c>
      <c r="V437" s="30" t="str">
        <f aca="false">IF(OR(U437="期日超過",U437="一部入金・超過"),設定!$C$5-L437,"")</f>
        <v/>
      </c>
      <c r="W437" s="21" t="str">
        <f aca="false">IF(A437="","",TRIM(IF(B437="","請求日 ","")&amp;IF(C437="","取引先 ",IF(D437="コード誤り","取引先コード誤り ",""))&amp;IF(E437="","件名 ","")&amp;IF(F437="","税抜金額 ","")&amp;IF(G437="","税率 ","")&amp;IF(M437="","送付方法 ","")&amp;IF(AND(N437&lt;&gt;"",O437=""),"送付者 ","")&amp;IF(AND(I437&lt;&gt;"",L437=""),"入金期日 ","")&amp;IF(AND(N437&lt;&gt;"",P437&gt;0,S437&lt;=0,X437=""),"消込確認者 ","")))</f>
        <v/>
      </c>
      <c r="X437" s="28"/>
      <c r="Y437" s="28"/>
    </row>
    <row r="438" customFormat="false" ht="15" hidden="false" customHeight="false" outlineLevel="0" collapsed="false">
      <c r="A438" s="21" t="str">
        <f aca="false">IF(COUNTA(B438,C438,E438,F438)=0,"",設定!$C$4&amp;TEXT(ROW()-4,"00000"))</f>
        <v/>
      </c>
      <c r="B438" s="22"/>
      <c r="C438" s="23"/>
      <c r="D438" s="21" t="str">
        <f aca="false">IF(C438="","",IFERROR(INDEX(取引先マスタ!$B$5:$B$204,MATCH($C438,取引先マスタ!$A$5:$A$204,0)),"コード誤り"))</f>
        <v/>
      </c>
      <c r="E438" s="28"/>
      <c r="F438" s="18"/>
      <c r="G438" s="25"/>
      <c r="H438" s="26" t="str">
        <f aca="false">IF(OR(F438="",G438=""),"",ROUNDDOWN(F438*G438,0))</f>
        <v/>
      </c>
      <c r="I438" s="26" t="str">
        <f aca="false">IF(OR(F438="",G438=""),"",F438+H438)</f>
        <v/>
      </c>
      <c r="J438" s="27" t="str">
        <f aca="false">IF(OR(B438="",C438="",D438="コード誤り"),"",IFERROR(DATE(YEAR(B438),MONTH(B438)+INDEX(取引先マスタ!$E$5:$E$204,MATCH($C438,取引先マスタ!$A$5:$A$204,0)),MIN(INDEX(取引先マスタ!$F$5:$F$204,MATCH($C438,取引先マスタ!$A$5:$A$204,0)),DAY(EOMONTH(B438,INDEX(取引先マスタ!$E$5:$E$204,MATCH($C438,取引先マスタ!$A$5:$A$204,0)))))),""))</f>
        <v/>
      </c>
      <c r="K438" s="22"/>
      <c r="L438" s="27" t="str">
        <f aca="false">IF(K438&lt;&gt;"",K438,J438)</f>
        <v/>
      </c>
      <c r="M438" s="28"/>
      <c r="N438" s="22"/>
      <c r="O438" s="28"/>
      <c r="P438" s="26" t="str">
        <f aca="false">IF(A438="","",SUMIF(入金明細!$F$5:$F$1004,A438,入金明細!$E$5:$E$1004))</f>
        <v/>
      </c>
      <c r="Q438" s="27" t="str">
        <f aca="false">IF(OR(A438="",N(P438)=0),"",SUMPRODUCT(MAX((入金明細!$F$5:$F$1004=A438)*入金明細!$B$5:$B$1004)))</f>
        <v/>
      </c>
      <c r="R438" s="18"/>
      <c r="S438" s="26" t="str">
        <f aca="false">IF(OR(A438="",I438=""),"",I438-N(P438)-N(R438))</f>
        <v/>
      </c>
      <c r="T438" s="28"/>
      <c r="U438" s="29" t="str">
        <f aca="false">IF(A438="","",IF(T438="取消","取消",IF(W438&lt;&gt;"","要入力",IF(N438="","未送付",IF(S438=0,"入金済",IF(S438&lt;0,"過入金",IF(設定!$C$5&gt;L438,IF(P438&gt;0,"一部入金・超過","期日超過"),IF(P438&gt;0,"一部入金",IF(L438-設定!$C$5&lt;=設定!$C$6,"期日間近","入金待ち")))))))))</f>
        <v/>
      </c>
      <c r="V438" s="30" t="str">
        <f aca="false">IF(OR(U438="期日超過",U438="一部入金・超過"),設定!$C$5-L438,"")</f>
        <v/>
      </c>
      <c r="W438" s="21" t="str">
        <f aca="false">IF(A438="","",TRIM(IF(B438="","請求日 ","")&amp;IF(C438="","取引先 ",IF(D438="コード誤り","取引先コード誤り ",""))&amp;IF(E438="","件名 ","")&amp;IF(F438="","税抜金額 ","")&amp;IF(G438="","税率 ","")&amp;IF(M438="","送付方法 ","")&amp;IF(AND(N438&lt;&gt;"",O438=""),"送付者 ","")&amp;IF(AND(I438&lt;&gt;"",L438=""),"入金期日 ","")&amp;IF(AND(N438&lt;&gt;"",P438&gt;0,S438&lt;=0,X438=""),"消込確認者 ","")))</f>
        <v/>
      </c>
      <c r="X438" s="28"/>
      <c r="Y438" s="28"/>
    </row>
    <row r="439" customFormat="false" ht="15" hidden="false" customHeight="false" outlineLevel="0" collapsed="false">
      <c r="A439" s="21" t="str">
        <f aca="false">IF(COUNTA(B439,C439,E439,F439)=0,"",設定!$C$4&amp;TEXT(ROW()-4,"00000"))</f>
        <v/>
      </c>
      <c r="B439" s="22"/>
      <c r="C439" s="23"/>
      <c r="D439" s="21" t="str">
        <f aca="false">IF(C439="","",IFERROR(INDEX(取引先マスタ!$B$5:$B$204,MATCH($C439,取引先マスタ!$A$5:$A$204,0)),"コード誤り"))</f>
        <v/>
      </c>
      <c r="E439" s="28"/>
      <c r="F439" s="18"/>
      <c r="G439" s="25"/>
      <c r="H439" s="26" t="str">
        <f aca="false">IF(OR(F439="",G439=""),"",ROUNDDOWN(F439*G439,0))</f>
        <v/>
      </c>
      <c r="I439" s="26" t="str">
        <f aca="false">IF(OR(F439="",G439=""),"",F439+H439)</f>
        <v/>
      </c>
      <c r="J439" s="27" t="str">
        <f aca="false">IF(OR(B439="",C439="",D439="コード誤り"),"",IFERROR(DATE(YEAR(B439),MONTH(B439)+INDEX(取引先マスタ!$E$5:$E$204,MATCH($C439,取引先マスタ!$A$5:$A$204,0)),MIN(INDEX(取引先マスタ!$F$5:$F$204,MATCH($C439,取引先マスタ!$A$5:$A$204,0)),DAY(EOMONTH(B439,INDEX(取引先マスタ!$E$5:$E$204,MATCH($C439,取引先マスタ!$A$5:$A$204,0)))))),""))</f>
        <v/>
      </c>
      <c r="K439" s="22"/>
      <c r="L439" s="27" t="str">
        <f aca="false">IF(K439&lt;&gt;"",K439,J439)</f>
        <v/>
      </c>
      <c r="M439" s="28"/>
      <c r="N439" s="22"/>
      <c r="O439" s="28"/>
      <c r="P439" s="26" t="str">
        <f aca="false">IF(A439="","",SUMIF(入金明細!$F$5:$F$1004,A439,入金明細!$E$5:$E$1004))</f>
        <v/>
      </c>
      <c r="Q439" s="27" t="str">
        <f aca="false">IF(OR(A439="",N(P439)=0),"",SUMPRODUCT(MAX((入金明細!$F$5:$F$1004=A439)*入金明細!$B$5:$B$1004)))</f>
        <v/>
      </c>
      <c r="R439" s="18"/>
      <c r="S439" s="26" t="str">
        <f aca="false">IF(OR(A439="",I439=""),"",I439-N(P439)-N(R439))</f>
        <v/>
      </c>
      <c r="T439" s="28"/>
      <c r="U439" s="29" t="str">
        <f aca="false">IF(A439="","",IF(T439="取消","取消",IF(W439&lt;&gt;"","要入力",IF(N439="","未送付",IF(S439=0,"入金済",IF(S439&lt;0,"過入金",IF(設定!$C$5&gt;L439,IF(P439&gt;0,"一部入金・超過","期日超過"),IF(P439&gt;0,"一部入金",IF(L439-設定!$C$5&lt;=設定!$C$6,"期日間近","入金待ち")))))))))</f>
        <v/>
      </c>
      <c r="V439" s="30" t="str">
        <f aca="false">IF(OR(U439="期日超過",U439="一部入金・超過"),設定!$C$5-L439,"")</f>
        <v/>
      </c>
      <c r="W439" s="21" t="str">
        <f aca="false">IF(A439="","",TRIM(IF(B439="","請求日 ","")&amp;IF(C439="","取引先 ",IF(D439="コード誤り","取引先コード誤り ",""))&amp;IF(E439="","件名 ","")&amp;IF(F439="","税抜金額 ","")&amp;IF(G439="","税率 ","")&amp;IF(M439="","送付方法 ","")&amp;IF(AND(N439&lt;&gt;"",O439=""),"送付者 ","")&amp;IF(AND(I439&lt;&gt;"",L439=""),"入金期日 ","")&amp;IF(AND(N439&lt;&gt;"",P439&gt;0,S439&lt;=0,X439=""),"消込確認者 ","")))</f>
        <v/>
      </c>
      <c r="X439" s="28"/>
      <c r="Y439" s="28"/>
    </row>
    <row r="440" customFormat="false" ht="15" hidden="false" customHeight="false" outlineLevel="0" collapsed="false">
      <c r="A440" s="21" t="str">
        <f aca="false">IF(COUNTA(B440,C440,E440,F440)=0,"",設定!$C$4&amp;TEXT(ROW()-4,"00000"))</f>
        <v/>
      </c>
      <c r="B440" s="22"/>
      <c r="C440" s="23"/>
      <c r="D440" s="21" t="str">
        <f aca="false">IF(C440="","",IFERROR(INDEX(取引先マスタ!$B$5:$B$204,MATCH($C440,取引先マスタ!$A$5:$A$204,0)),"コード誤り"))</f>
        <v/>
      </c>
      <c r="E440" s="28"/>
      <c r="F440" s="18"/>
      <c r="G440" s="25"/>
      <c r="H440" s="26" t="str">
        <f aca="false">IF(OR(F440="",G440=""),"",ROUNDDOWN(F440*G440,0))</f>
        <v/>
      </c>
      <c r="I440" s="26" t="str">
        <f aca="false">IF(OR(F440="",G440=""),"",F440+H440)</f>
        <v/>
      </c>
      <c r="J440" s="27" t="str">
        <f aca="false">IF(OR(B440="",C440="",D440="コード誤り"),"",IFERROR(DATE(YEAR(B440),MONTH(B440)+INDEX(取引先マスタ!$E$5:$E$204,MATCH($C440,取引先マスタ!$A$5:$A$204,0)),MIN(INDEX(取引先マスタ!$F$5:$F$204,MATCH($C440,取引先マスタ!$A$5:$A$204,0)),DAY(EOMONTH(B440,INDEX(取引先マスタ!$E$5:$E$204,MATCH($C440,取引先マスタ!$A$5:$A$204,0)))))),""))</f>
        <v/>
      </c>
      <c r="K440" s="22"/>
      <c r="L440" s="27" t="str">
        <f aca="false">IF(K440&lt;&gt;"",K440,J440)</f>
        <v/>
      </c>
      <c r="M440" s="28"/>
      <c r="N440" s="22"/>
      <c r="O440" s="28"/>
      <c r="P440" s="26" t="str">
        <f aca="false">IF(A440="","",SUMIF(入金明細!$F$5:$F$1004,A440,入金明細!$E$5:$E$1004))</f>
        <v/>
      </c>
      <c r="Q440" s="27" t="str">
        <f aca="false">IF(OR(A440="",N(P440)=0),"",SUMPRODUCT(MAX((入金明細!$F$5:$F$1004=A440)*入金明細!$B$5:$B$1004)))</f>
        <v/>
      </c>
      <c r="R440" s="18"/>
      <c r="S440" s="26" t="str">
        <f aca="false">IF(OR(A440="",I440=""),"",I440-N(P440)-N(R440))</f>
        <v/>
      </c>
      <c r="T440" s="28"/>
      <c r="U440" s="29" t="str">
        <f aca="false">IF(A440="","",IF(T440="取消","取消",IF(W440&lt;&gt;"","要入力",IF(N440="","未送付",IF(S440=0,"入金済",IF(S440&lt;0,"過入金",IF(設定!$C$5&gt;L440,IF(P440&gt;0,"一部入金・超過","期日超過"),IF(P440&gt;0,"一部入金",IF(L440-設定!$C$5&lt;=設定!$C$6,"期日間近","入金待ち")))))))))</f>
        <v/>
      </c>
      <c r="V440" s="30" t="str">
        <f aca="false">IF(OR(U440="期日超過",U440="一部入金・超過"),設定!$C$5-L440,"")</f>
        <v/>
      </c>
      <c r="W440" s="21" t="str">
        <f aca="false">IF(A440="","",TRIM(IF(B440="","請求日 ","")&amp;IF(C440="","取引先 ",IF(D440="コード誤り","取引先コード誤り ",""))&amp;IF(E440="","件名 ","")&amp;IF(F440="","税抜金額 ","")&amp;IF(G440="","税率 ","")&amp;IF(M440="","送付方法 ","")&amp;IF(AND(N440&lt;&gt;"",O440=""),"送付者 ","")&amp;IF(AND(I440&lt;&gt;"",L440=""),"入金期日 ","")&amp;IF(AND(N440&lt;&gt;"",P440&gt;0,S440&lt;=0,X440=""),"消込確認者 ","")))</f>
        <v/>
      </c>
      <c r="X440" s="28"/>
      <c r="Y440" s="28"/>
    </row>
    <row r="441" customFormat="false" ht="15" hidden="false" customHeight="false" outlineLevel="0" collapsed="false">
      <c r="A441" s="21" t="str">
        <f aca="false">IF(COUNTA(B441,C441,E441,F441)=0,"",設定!$C$4&amp;TEXT(ROW()-4,"00000"))</f>
        <v/>
      </c>
      <c r="B441" s="22"/>
      <c r="C441" s="23"/>
      <c r="D441" s="21" t="str">
        <f aca="false">IF(C441="","",IFERROR(INDEX(取引先マスタ!$B$5:$B$204,MATCH($C441,取引先マスタ!$A$5:$A$204,0)),"コード誤り"))</f>
        <v/>
      </c>
      <c r="E441" s="28"/>
      <c r="F441" s="18"/>
      <c r="G441" s="25"/>
      <c r="H441" s="26" t="str">
        <f aca="false">IF(OR(F441="",G441=""),"",ROUNDDOWN(F441*G441,0))</f>
        <v/>
      </c>
      <c r="I441" s="26" t="str">
        <f aca="false">IF(OR(F441="",G441=""),"",F441+H441)</f>
        <v/>
      </c>
      <c r="J441" s="27" t="str">
        <f aca="false">IF(OR(B441="",C441="",D441="コード誤り"),"",IFERROR(DATE(YEAR(B441),MONTH(B441)+INDEX(取引先マスタ!$E$5:$E$204,MATCH($C441,取引先マスタ!$A$5:$A$204,0)),MIN(INDEX(取引先マスタ!$F$5:$F$204,MATCH($C441,取引先マスタ!$A$5:$A$204,0)),DAY(EOMONTH(B441,INDEX(取引先マスタ!$E$5:$E$204,MATCH($C441,取引先マスタ!$A$5:$A$204,0)))))),""))</f>
        <v/>
      </c>
      <c r="K441" s="22"/>
      <c r="L441" s="27" t="str">
        <f aca="false">IF(K441&lt;&gt;"",K441,J441)</f>
        <v/>
      </c>
      <c r="M441" s="28"/>
      <c r="N441" s="22"/>
      <c r="O441" s="28"/>
      <c r="P441" s="26" t="str">
        <f aca="false">IF(A441="","",SUMIF(入金明細!$F$5:$F$1004,A441,入金明細!$E$5:$E$1004))</f>
        <v/>
      </c>
      <c r="Q441" s="27" t="str">
        <f aca="false">IF(OR(A441="",N(P441)=0),"",SUMPRODUCT(MAX((入金明細!$F$5:$F$1004=A441)*入金明細!$B$5:$B$1004)))</f>
        <v/>
      </c>
      <c r="R441" s="18"/>
      <c r="S441" s="26" t="str">
        <f aca="false">IF(OR(A441="",I441=""),"",I441-N(P441)-N(R441))</f>
        <v/>
      </c>
      <c r="T441" s="28"/>
      <c r="U441" s="29" t="str">
        <f aca="false">IF(A441="","",IF(T441="取消","取消",IF(W441&lt;&gt;"","要入力",IF(N441="","未送付",IF(S441=0,"入金済",IF(S441&lt;0,"過入金",IF(設定!$C$5&gt;L441,IF(P441&gt;0,"一部入金・超過","期日超過"),IF(P441&gt;0,"一部入金",IF(L441-設定!$C$5&lt;=設定!$C$6,"期日間近","入金待ち")))))))))</f>
        <v/>
      </c>
      <c r="V441" s="30" t="str">
        <f aca="false">IF(OR(U441="期日超過",U441="一部入金・超過"),設定!$C$5-L441,"")</f>
        <v/>
      </c>
      <c r="W441" s="21" t="str">
        <f aca="false">IF(A441="","",TRIM(IF(B441="","請求日 ","")&amp;IF(C441="","取引先 ",IF(D441="コード誤り","取引先コード誤り ",""))&amp;IF(E441="","件名 ","")&amp;IF(F441="","税抜金額 ","")&amp;IF(G441="","税率 ","")&amp;IF(M441="","送付方法 ","")&amp;IF(AND(N441&lt;&gt;"",O441=""),"送付者 ","")&amp;IF(AND(I441&lt;&gt;"",L441=""),"入金期日 ","")&amp;IF(AND(N441&lt;&gt;"",P441&gt;0,S441&lt;=0,X441=""),"消込確認者 ","")))</f>
        <v/>
      </c>
      <c r="X441" s="28"/>
      <c r="Y441" s="28"/>
    </row>
    <row r="442" customFormat="false" ht="15" hidden="false" customHeight="false" outlineLevel="0" collapsed="false">
      <c r="A442" s="21" t="str">
        <f aca="false">IF(COUNTA(B442,C442,E442,F442)=0,"",設定!$C$4&amp;TEXT(ROW()-4,"00000"))</f>
        <v/>
      </c>
      <c r="B442" s="22"/>
      <c r="C442" s="23"/>
      <c r="D442" s="21" t="str">
        <f aca="false">IF(C442="","",IFERROR(INDEX(取引先マスタ!$B$5:$B$204,MATCH($C442,取引先マスタ!$A$5:$A$204,0)),"コード誤り"))</f>
        <v/>
      </c>
      <c r="E442" s="28"/>
      <c r="F442" s="18"/>
      <c r="G442" s="25"/>
      <c r="H442" s="26" t="str">
        <f aca="false">IF(OR(F442="",G442=""),"",ROUNDDOWN(F442*G442,0))</f>
        <v/>
      </c>
      <c r="I442" s="26" t="str">
        <f aca="false">IF(OR(F442="",G442=""),"",F442+H442)</f>
        <v/>
      </c>
      <c r="J442" s="27" t="str">
        <f aca="false">IF(OR(B442="",C442="",D442="コード誤り"),"",IFERROR(DATE(YEAR(B442),MONTH(B442)+INDEX(取引先マスタ!$E$5:$E$204,MATCH($C442,取引先マスタ!$A$5:$A$204,0)),MIN(INDEX(取引先マスタ!$F$5:$F$204,MATCH($C442,取引先マスタ!$A$5:$A$204,0)),DAY(EOMONTH(B442,INDEX(取引先マスタ!$E$5:$E$204,MATCH($C442,取引先マスタ!$A$5:$A$204,0)))))),""))</f>
        <v/>
      </c>
      <c r="K442" s="22"/>
      <c r="L442" s="27" t="str">
        <f aca="false">IF(K442&lt;&gt;"",K442,J442)</f>
        <v/>
      </c>
      <c r="M442" s="28"/>
      <c r="N442" s="22"/>
      <c r="O442" s="28"/>
      <c r="P442" s="26" t="str">
        <f aca="false">IF(A442="","",SUMIF(入金明細!$F$5:$F$1004,A442,入金明細!$E$5:$E$1004))</f>
        <v/>
      </c>
      <c r="Q442" s="27" t="str">
        <f aca="false">IF(OR(A442="",N(P442)=0),"",SUMPRODUCT(MAX((入金明細!$F$5:$F$1004=A442)*入金明細!$B$5:$B$1004)))</f>
        <v/>
      </c>
      <c r="R442" s="18"/>
      <c r="S442" s="26" t="str">
        <f aca="false">IF(OR(A442="",I442=""),"",I442-N(P442)-N(R442))</f>
        <v/>
      </c>
      <c r="T442" s="28"/>
      <c r="U442" s="29" t="str">
        <f aca="false">IF(A442="","",IF(T442="取消","取消",IF(W442&lt;&gt;"","要入力",IF(N442="","未送付",IF(S442=0,"入金済",IF(S442&lt;0,"過入金",IF(設定!$C$5&gt;L442,IF(P442&gt;0,"一部入金・超過","期日超過"),IF(P442&gt;0,"一部入金",IF(L442-設定!$C$5&lt;=設定!$C$6,"期日間近","入金待ち")))))))))</f>
        <v/>
      </c>
      <c r="V442" s="30" t="str">
        <f aca="false">IF(OR(U442="期日超過",U442="一部入金・超過"),設定!$C$5-L442,"")</f>
        <v/>
      </c>
      <c r="W442" s="21" t="str">
        <f aca="false">IF(A442="","",TRIM(IF(B442="","請求日 ","")&amp;IF(C442="","取引先 ",IF(D442="コード誤り","取引先コード誤り ",""))&amp;IF(E442="","件名 ","")&amp;IF(F442="","税抜金額 ","")&amp;IF(G442="","税率 ","")&amp;IF(M442="","送付方法 ","")&amp;IF(AND(N442&lt;&gt;"",O442=""),"送付者 ","")&amp;IF(AND(I442&lt;&gt;"",L442=""),"入金期日 ","")&amp;IF(AND(N442&lt;&gt;"",P442&gt;0,S442&lt;=0,X442=""),"消込確認者 ","")))</f>
        <v/>
      </c>
      <c r="X442" s="28"/>
      <c r="Y442" s="28"/>
    </row>
    <row r="443" customFormat="false" ht="15" hidden="false" customHeight="false" outlineLevel="0" collapsed="false">
      <c r="A443" s="21" t="str">
        <f aca="false">IF(COUNTA(B443,C443,E443,F443)=0,"",設定!$C$4&amp;TEXT(ROW()-4,"00000"))</f>
        <v/>
      </c>
      <c r="B443" s="22"/>
      <c r="C443" s="23"/>
      <c r="D443" s="21" t="str">
        <f aca="false">IF(C443="","",IFERROR(INDEX(取引先マスタ!$B$5:$B$204,MATCH($C443,取引先マスタ!$A$5:$A$204,0)),"コード誤り"))</f>
        <v/>
      </c>
      <c r="E443" s="28"/>
      <c r="F443" s="18"/>
      <c r="G443" s="25"/>
      <c r="H443" s="26" t="str">
        <f aca="false">IF(OR(F443="",G443=""),"",ROUNDDOWN(F443*G443,0))</f>
        <v/>
      </c>
      <c r="I443" s="26" t="str">
        <f aca="false">IF(OR(F443="",G443=""),"",F443+H443)</f>
        <v/>
      </c>
      <c r="J443" s="27" t="str">
        <f aca="false">IF(OR(B443="",C443="",D443="コード誤り"),"",IFERROR(DATE(YEAR(B443),MONTH(B443)+INDEX(取引先マスタ!$E$5:$E$204,MATCH($C443,取引先マスタ!$A$5:$A$204,0)),MIN(INDEX(取引先マスタ!$F$5:$F$204,MATCH($C443,取引先マスタ!$A$5:$A$204,0)),DAY(EOMONTH(B443,INDEX(取引先マスタ!$E$5:$E$204,MATCH($C443,取引先マスタ!$A$5:$A$204,0)))))),""))</f>
        <v/>
      </c>
      <c r="K443" s="22"/>
      <c r="L443" s="27" t="str">
        <f aca="false">IF(K443&lt;&gt;"",K443,J443)</f>
        <v/>
      </c>
      <c r="M443" s="28"/>
      <c r="N443" s="22"/>
      <c r="O443" s="28"/>
      <c r="P443" s="26" t="str">
        <f aca="false">IF(A443="","",SUMIF(入金明細!$F$5:$F$1004,A443,入金明細!$E$5:$E$1004))</f>
        <v/>
      </c>
      <c r="Q443" s="27" t="str">
        <f aca="false">IF(OR(A443="",N(P443)=0),"",SUMPRODUCT(MAX((入金明細!$F$5:$F$1004=A443)*入金明細!$B$5:$B$1004)))</f>
        <v/>
      </c>
      <c r="R443" s="18"/>
      <c r="S443" s="26" t="str">
        <f aca="false">IF(OR(A443="",I443=""),"",I443-N(P443)-N(R443))</f>
        <v/>
      </c>
      <c r="T443" s="28"/>
      <c r="U443" s="29" t="str">
        <f aca="false">IF(A443="","",IF(T443="取消","取消",IF(W443&lt;&gt;"","要入力",IF(N443="","未送付",IF(S443=0,"入金済",IF(S443&lt;0,"過入金",IF(設定!$C$5&gt;L443,IF(P443&gt;0,"一部入金・超過","期日超過"),IF(P443&gt;0,"一部入金",IF(L443-設定!$C$5&lt;=設定!$C$6,"期日間近","入金待ち")))))))))</f>
        <v/>
      </c>
      <c r="V443" s="30" t="str">
        <f aca="false">IF(OR(U443="期日超過",U443="一部入金・超過"),設定!$C$5-L443,"")</f>
        <v/>
      </c>
      <c r="W443" s="21" t="str">
        <f aca="false">IF(A443="","",TRIM(IF(B443="","請求日 ","")&amp;IF(C443="","取引先 ",IF(D443="コード誤り","取引先コード誤り ",""))&amp;IF(E443="","件名 ","")&amp;IF(F443="","税抜金額 ","")&amp;IF(G443="","税率 ","")&amp;IF(M443="","送付方法 ","")&amp;IF(AND(N443&lt;&gt;"",O443=""),"送付者 ","")&amp;IF(AND(I443&lt;&gt;"",L443=""),"入金期日 ","")&amp;IF(AND(N443&lt;&gt;"",P443&gt;0,S443&lt;=0,X443=""),"消込確認者 ","")))</f>
        <v/>
      </c>
      <c r="X443" s="28"/>
      <c r="Y443" s="28"/>
    </row>
    <row r="444" customFormat="false" ht="15" hidden="false" customHeight="false" outlineLevel="0" collapsed="false">
      <c r="A444" s="21" t="str">
        <f aca="false">IF(COUNTA(B444,C444,E444,F444)=0,"",設定!$C$4&amp;TEXT(ROW()-4,"00000"))</f>
        <v/>
      </c>
      <c r="B444" s="22"/>
      <c r="C444" s="23"/>
      <c r="D444" s="21" t="str">
        <f aca="false">IF(C444="","",IFERROR(INDEX(取引先マスタ!$B$5:$B$204,MATCH($C444,取引先マスタ!$A$5:$A$204,0)),"コード誤り"))</f>
        <v/>
      </c>
      <c r="E444" s="28"/>
      <c r="F444" s="18"/>
      <c r="G444" s="25"/>
      <c r="H444" s="26" t="str">
        <f aca="false">IF(OR(F444="",G444=""),"",ROUNDDOWN(F444*G444,0))</f>
        <v/>
      </c>
      <c r="I444" s="26" t="str">
        <f aca="false">IF(OR(F444="",G444=""),"",F444+H444)</f>
        <v/>
      </c>
      <c r="J444" s="27" t="str">
        <f aca="false">IF(OR(B444="",C444="",D444="コード誤り"),"",IFERROR(DATE(YEAR(B444),MONTH(B444)+INDEX(取引先マスタ!$E$5:$E$204,MATCH($C444,取引先マスタ!$A$5:$A$204,0)),MIN(INDEX(取引先マスタ!$F$5:$F$204,MATCH($C444,取引先マスタ!$A$5:$A$204,0)),DAY(EOMONTH(B444,INDEX(取引先マスタ!$E$5:$E$204,MATCH($C444,取引先マスタ!$A$5:$A$204,0)))))),""))</f>
        <v/>
      </c>
      <c r="K444" s="22"/>
      <c r="L444" s="27" t="str">
        <f aca="false">IF(K444&lt;&gt;"",K444,J444)</f>
        <v/>
      </c>
      <c r="M444" s="28"/>
      <c r="N444" s="22"/>
      <c r="O444" s="28"/>
      <c r="P444" s="26" t="str">
        <f aca="false">IF(A444="","",SUMIF(入金明細!$F$5:$F$1004,A444,入金明細!$E$5:$E$1004))</f>
        <v/>
      </c>
      <c r="Q444" s="27" t="str">
        <f aca="false">IF(OR(A444="",N(P444)=0),"",SUMPRODUCT(MAX((入金明細!$F$5:$F$1004=A444)*入金明細!$B$5:$B$1004)))</f>
        <v/>
      </c>
      <c r="R444" s="18"/>
      <c r="S444" s="26" t="str">
        <f aca="false">IF(OR(A444="",I444=""),"",I444-N(P444)-N(R444))</f>
        <v/>
      </c>
      <c r="T444" s="28"/>
      <c r="U444" s="29" t="str">
        <f aca="false">IF(A444="","",IF(T444="取消","取消",IF(W444&lt;&gt;"","要入力",IF(N444="","未送付",IF(S444=0,"入金済",IF(S444&lt;0,"過入金",IF(設定!$C$5&gt;L444,IF(P444&gt;0,"一部入金・超過","期日超過"),IF(P444&gt;0,"一部入金",IF(L444-設定!$C$5&lt;=設定!$C$6,"期日間近","入金待ち")))))))))</f>
        <v/>
      </c>
      <c r="V444" s="30" t="str">
        <f aca="false">IF(OR(U444="期日超過",U444="一部入金・超過"),設定!$C$5-L444,"")</f>
        <v/>
      </c>
      <c r="W444" s="21" t="str">
        <f aca="false">IF(A444="","",TRIM(IF(B444="","請求日 ","")&amp;IF(C444="","取引先 ",IF(D444="コード誤り","取引先コード誤り ",""))&amp;IF(E444="","件名 ","")&amp;IF(F444="","税抜金額 ","")&amp;IF(G444="","税率 ","")&amp;IF(M444="","送付方法 ","")&amp;IF(AND(N444&lt;&gt;"",O444=""),"送付者 ","")&amp;IF(AND(I444&lt;&gt;"",L444=""),"入金期日 ","")&amp;IF(AND(N444&lt;&gt;"",P444&gt;0,S444&lt;=0,X444=""),"消込確認者 ","")))</f>
        <v/>
      </c>
      <c r="X444" s="28"/>
      <c r="Y444" s="28"/>
    </row>
    <row r="445" customFormat="false" ht="15" hidden="false" customHeight="false" outlineLevel="0" collapsed="false">
      <c r="A445" s="21" t="str">
        <f aca="false">IF(COUNTA(B445,C445,E445,F445)=0,"",設定!$C$4&amp;TEXT(ROW()-4,"00000"))</f>
        <v/>
      </c>
      <c r="B445" s="22"/>
      <c r="C445" s="23"/>
      <c r="D445" s="21" t="str">
        <f aca="false">IF(C445="","",IFERROR(INDEX(取引先マスタ!$B$5:$B$204,MATCH($C445,取引先マスタ!$A$5:$A$204,0)),"コード誤り"))</f>
        <v/>
      </c>
      <c r="E445" s="28"/>
      <c r="F445" s="18"/>
      <c r="G445" s="25"/>
      <c r="H445" s="26" t="str">
        <f aca="false">IF(OR(F445="",G445=""),"",ROUNDDOWN(F445*G445,0))</f>
        <v/>
      </c>
      <c r="I445" s="26" t="str">
        <f aca="false">IF(OR(F445="",G445=""),"",F445+H445)</f>
        <v/>
      </c>
      <c r="J445" s="27" t="str">
        <f aca="false">IF(OR(B445="",C445="",D445="コード誤り"),"",IFERROR(DATE(YEAR(B445),MONTH(B445)+INDEX(取引先マスタ!$E$5:$E$204,MATCH($C445,取引先マスタ!$A$5:$A$204,0)),MIN(INDEX(取引先マスタ!$F$5:$F$204,MATCH($C445,取引先マスタ!$A$5:$A$204,0)),DAY(EOMONTH(B445,INDEX(取引先マスタ!$E$5:$E$204,MATCH($C445,取引先マスタ!$A$5:$A$204,0)))))),""))</f>
        <v/>
      </c>
      <c r="K445" s="22"/>
      <c r="L445" s="27" t="str">
        <f aca="false">IF(K445&lt;&gt;"",K445,J445)</f>
        <v/>
      </c>
      <c r="M445" s="28"/>
      <c r="N445" s="22"/>
      <c r="O445" s="28"/>
      <c r="P445" s="26" t="str">
        <f aca="false">IF(A445="","",SUMIF(入金明細!$F$5:$F$1004,A445,入金明細!$E$5:$E$1004))</f>
        <v/>
      </c>
      <c r="Q445" s="27" t="str">
        <f aca="false">IF(OR(A445="",N(P445)=0),"",SUMPRODUCT(MAX((入金明細!$F$5:$F$1004=A445)*入金明細!$B$5:$B$1004)))</f>
        <v/>
      </c>
      <c r="R445" s="18"/>
      <c r="S445" s="26" t="str">
        <f aca="false">IF(OR(A445="",I445=""),"",I445-N(P445)-N(R445))</f>
        <v/>
      </c>
      <c r="T445" s="28"/>
      <c r="U445" s="29" t="str">
        <f aca="false">IF(A445="","",IF(T445="取消","取消",IF(W445&lt;&gt;"","要入力",IF(N445="","未送付",IF(S445=0,"入金済",IF(S445&lt;0,"過入金",IF(設定!$C$5&gt;L445,IF(P445&gt;0,"一部入金・超過","期日超過"),IF(P445&gt;0,"一部入金",IF(L445-設定!$C$5&lt;=設定!$C$6,"期日間近","入金待ち")))))))))</f>
        <v/>
      </c>
      <c r="V445" s="30" t="str">
        <f aca="false">IF(OR(U445="期日超過",U445="一部入金・超過"),設定!$C$5-L445,"")</f>
        <v/>
      </c>
      <c r="W445" s="21" t="str">
        <f aca="false">IF(A445="","",TRIM(IF(B445="","請求日 ","")&amp;IF(C445="","取引先 ",IF(D445="コード誤り","取引先コード誤り ",""))&amp;IF(E445="","件名 ","")&amp;IF(F445="","税抜金額 ","")&amp;IF(G445="","税率 ","")&amp;IF(M445="","送付方法 ","")&amp;IF(AND(N445&lt;&gt;"",O445=""),"送付者 ","")&amp;IF(AND(I445&lt;&gt;"",L445=""),"入金期日 ","")&amp;IF(AND(N445&lt;&gt;"",P445&gt;0,S445&lt;=0,X445=""),"消込確認者 ","")))</f>
        <v/>
      </c>
      <c r="X445" s="28"/>
      <c r="Y445" s="28"/>
    </row>
    <row r="446" customFormat="false" ht="15" hidden="false" customHeight="false" outlineLevel="0" collapsed="false">
      <c r="A446" s="21" t="str">
        <f aca="false">IF(COUNTA(B446,C446,E446,F446)=0,"",設定!$C$4&amp;TEXT(ROW()-4,"00000"))</f>
        <v/>
      </c>
      <c r="B446" s="22"/>
      <c r="C446" s="23"/>
      <c r="D446" s="21" t="str">
        <f aca="false">IF(C446="","",IFERROR(INDEX(取引先マスタ!$B$5:$B$204,MATCH($C446,取引先マスタ!$A$5:$A$204,0)),"コード誤り"))</f>
        <v/>
      </c>
      <c r="E446" s="28"/>
      <c r="F446" s="18"/>
      <c r="G446" s="25"/>
      <c r="H446" s="26" t="str">
        <f aca="false">IF(OR(F446="",G446=""),"",ROUNDDOWN(F446*G446,0))</f>
        <v/>
      </c>
      <c r="I446" s="26" t="str">
        <f aca="false">IF(OR(F446="",G446=""),"",F446+H446)</f>
        <v/>
      </c>
      <c r="J446" s="27" t="str">
        <f aca="false">IF(OR(B446="",C446="",D446="コード誤り"),"",IFERROR(DATE(YEAR(B446),MONTH(B446)+INDEX(取引先マスタ!$E$5:$E$204,MATCH($C446,取引先マスタ!$A$5:$A$204,0)),MIN(INDEX(取引先マスタ!$F$5:$F$204,MATCH($C446,取引先マスタ!$A$5:$A$204,0)),DAY(EOMONTH(B446,INDEX(取引先マスタ!$E$5:$E$204,MATCH($C446,取引先マスタ!$A$5:$A$204,0)))))),""))</f>
        <v/>
      </c>
      <c r="K446" s="22"/>
      <c r="L446" s="27" t="str">
        <f aca="false">IF(K446&lt;&gt;"",K446,J446)</f>
        <v/>
      </c>
      <c r="M446" s="28"/>
      <c r="N446" s="22"/>
      <c r="O446" s="28"/>
      <c r="P446" s="26" t="str">
        <f aca="false">IF(A446="","",SUMIF(入金明細!$F$5:$F$1004,A446,入金明細!$E$5:$E$1004))</f>
        <v/>
      </c>
      <c r="Q446" s="27" t="str">
        <f aca="false">IF(OR(A446="",N(P446)=0),"",SUMPRODUCT(MAX((入金明細!$F$5:$F$1004=A446)*入金明細!$B$5:$B$1004)))</f>
        <v/>
      </c>
      <c r="R446" s="18"/>
      <c r="S446" s="26" t="str">
        <f aca="false">IF(OR(A446="",I446=""),"",I446-N(P446)-N(R446))</f>
        <v/>
      </c>
      <c r="T446" s="28"/>
      <c r="U446" s="29" t="str">
        <f aca="false">IF(A446="","",IF(T446="取消","取消",IF(W446&lt;&gt;"","要入力",IF(N446="","未送付",IF(S446=0,"入金済",IF(S446&lt;0,"過入金",IF(設定!$C$5&gt;L446,IF(P446&gt;0,"一部入金・超過","期日超過"),IF(P446&gt;0,"一部入金",IF(L446-設定!$C$5&lt;=設定!$C$6,"期日間近","入金待ち")))))))))</f>
        <v/>
      </c>
      <c r="V446" s="30" t="str">
        <f aca="false">IF(OR(U446="期日超過",U446="一部入金・超過"),設定!$C$5-L446,"")</f>
        <v/>
      </c>
      <c r="W446" s="21" t="str">
        <f aca="false">IF(A446="","",TRIM(IF(B446="","請求日 ","")&amp;IF(C446="","取引先 ",IF(D446="コード誤り","取引先コード誤り ",""))&amp;IF(E446="","件名 ","")&amp;IF(F446="","税抜金額 ","")&amp;IF(G446="","税率 ","")&amp;IF(M446="","送付方法 ","")&amp;IF(AND(N446&lt;&gt;"",O446=""),"送付者 ","")&amp;IF(AND(I446&lt;&gt;"",L446=""),"入金期日 ","")&amp;IF(AND(N446&lt;&gt;"",P446&gt;0,S446&lt;=0,X446=""),"消込確認者 ","")))</f>
        <v/>
      </c>
      <c r="X446" s="28"/>
      <c r="Y446" s="28"/>
    </row>
    <row r="447" customFormat="false" ht="15" hidden="false" customHeight="false" outlineLevel="0" collapsed="false">
      <c r="A447" s="21" t="str">
        <f aca="false">IF(COUNTA(B447,C447,E447,F447)=0,"",設定!$C$4&amp;TEXT(ROW()-4,"00000"))</f>
        <v/>
      </c>
      <c r="B447" s="22"/>
      <c r="C447" s="23"/>
      <c r="D447" s="21" t="str">
        <f aca="false">IF(C447="","",IFERROR(INDEX(取引先マスタ!$B$5:$B$204,MATCH($C447,取引先マスタ!$A$5:$A$204,0)),"コード誤り"))</f>
        <v/>
      </c>
      <c r="E447" s="28"/>
      <c r="F447" s="18"/>
      <c r="G447" s="25"/>
      <c r="H447" s="26" t="str">
        <f aca="false">IF(OR(F447="",G447=""),"",ROUNDDOWN(F447*G447,0))</f>
        <v/>
      </c>
      <c r="I447" s="26" t="str">
        <f aca="false">IF(OR(F447="",G447=""),"",F447+H447)</f>
        <v/>
      </c>
      <c r="J447" s="27" t="str">
        <f aca="false">IF(OR(B447="",C447="",D447="コード誤り"),"",IFERROR(DATE(YEAR(B447),MONTH(B447)+INDEX(取引先マスタ!$E$5:$E$204,MATCH($C447,取引先マスタ!$A$5:$A$204,0)),MIN(INDEX(取引先マスタ!$F$5:$F$204,MATCH($C447,取引先マスタ!$A$5:$A$204,0)),DAY(EOMONTH(B447,INDEX(取引先マスタ!$E$5:$E$204,MATCH($C447,取引先マスタ!$A$5:$A$204,0)))))),""))</f>
        <v/>
      </c>
      <c r="K447" s="22"/>
      <c r="L447" s="27" t="str">
        <f aca="false">IF(K447&lt;&gt;"",K447,J447)</f>
        <v/>
      </c>
      <c r="M447" s="28"/>
      <c r="N447" s="22"/>
      <c r="O447" s="28"/>
      <c r="P447" s="26" t="str">
        <f aca="false">IF(A447="","",SUMIF(入金明細!$F$5:$F$1004,A447,入金明細!$E$5:$E$1004))</f>
        <v/>
      </c>
      <c r="Q447" s="27" t="str">
        <f aca="false">IF(OR(A447="",N(P447)=0),"",SUMPRODUCT(MAX((入金明細!$F$5:$F$1004=A447)*入金明細!$B$5:$B$1004)))</f>
        <v/>
      </c>
      <c r="R447" s="18"/>
      <c r="S447" s="26" t="str">
        <f aca="false">IF(OR(A447="",I447=""),"",I447-N(P447)-N(R447))</f>
        <v/>
      </c>
      <c r="T447" s="28"/>
      <c r="U447" s="29" t="str">
        <f aca="false">IF(A447="","",IF(T447="取消","取消",IF(W447&lt;&gt;"","要入力",IF(N447="","未送付",IF(S447=0,"入金済",IF(S447&lt;0,"過入金",IF(設定!$C$5&gt;L447,IF(P447&gt;0,"一部入金・超過","期日超過"),IF(P447&gt;0,"一部入金",IF(L447-設定!$C$5&lt;=設定!$C$6,"期日間近","入金待ち")))))))))</f>
        <v/>
      </c>
      <c r="V447" s="30" t="str">
        <f aca="false">IF(OR(U447="期日超過",U447="一部入金・超過"),設定!$C$5-L447,"")</f>
        <v/>
      </c>
      <c r="W447" s="21" t="str">
        <f aca="false">IF(A447="","",TRIM(IF(B447="","請求日 ","")&amp;IF(C447="","取引先 ",IF(D447="コード誤り","取引先コード誤り ",""))&amp;IF(E447="","件名 ","")&amp;IF(F447="","税抜金額 ","")&amp;IF(G447="","税率 ","")&amp;IF(M447="","送付方法 ","")&amp;IF(AND(N447&lt;&gt;"",O447=""),"送付者 ","")&amp;IF(AND(I447&lt;&gt;"",L447=""),"入金期日 ","")&amp;IF(AND(N447&lt;&gt;"",P447&gt;0,S447&lt;=0,X447=""),"消込確認者 ","")))</f>
        <v/>
      </c>
      <c r="X447" s="28"/>
      <c r="Y447" s="28"/>
    </row>
    <row r="448" customFormat="false" ht="15" hidden="false" customHeight="false" outlineLevel="0" collapsed="false">
      <c r="A448" s="21" t="str">
        <f aca="false">IF(COUNTA(B448,C448,E448,F448)=0,"",設定!$C$4&amp;TEXT(ROW()-4,"00000"))</f>
        <v/>
      </c>
      <c r="B448" s="22"/>
      <c r="C448" s="23"/>
      <c r="D448" s="21" t="str">
        <f aca="false">IF(C448="","",IFERROR(INDEX(取引先マスタ!$B$5:$B$204,MATCH($C448,取引先マスタ!$A$5:$A$204,0)),"コード誤り"))</f>
        <v/>
      </c>
      <c r="E448" s="28"/>
      <c r="F448" s="18"/>
      <c r="G448" s="25"/>
      <c r="H448" s="26" t="str">
        <f aca="false">IF(OR(F448="",G448=""),"",ROUNDDOWN(F448*G448,0))</f>
        <v/>
      </c>
      <c r="I448" s="26" t="str">
        <f aca="false">IF(OR(F448="",G448=""),"",F448+H448)</f>
        <v/>
      </c>
      <c r="J448" s="27" t="str">
        <f aca="false">IF(OR(B448="",C448="",D448="コード誤り"),"",IFERROR(DATE(YEAR(B448),MONTH(B448)+INDEX(取引先マスタ!$E$5:$E$204,MATCH($C448,取引先マスタ!$A$5:$A$204,0)),MIN(INDEX(取引先マスタ!$F$5:$F$204,MATCH($C448,取引先マスタ!$A$5:$A$204,0)),DAY(EOMONTH(B448,INDEX(取引先マスタ!$E$5:$E$204,MATCH($C448,取引先マスタ!$A$5:$A$204,0)))))),""))</f>
        <v/>
      </c>
      <c r="K448" s="22"/>
      <c r="L448" s="27" t="str">
        <f aca="false">IF(K448&lt;&gt;"",K448,J448)</f>
        <v/>
      </c>
      <c r="M448" s="28"/>
      <c r="N448" s="22"/>
      <c r="O448" s="28"/>
      <c r="P448" s="26" t="str">
        <f aca="false">IF(A448="","",SUMIF(入金明細!$F$5:$F$1004,A448,入金明細!$E$5:$E$1004))</f>
        <v/>
      </c>
      <c r="Q448" s="27" t="str">
        <f aca="false">IF(OR(A448="",N(P448)=0),"",SUMPRODUCT(MAX((入金明細!$F$5:$F$1004=A448)*入金明細!$B$5:$B$1004)))</f>
        <v/>
      </c>
      <c r="R448" s="18"/>
      <c r="S448" s="26" t="str">
        <f aca="false">IF(OR(A448="",I448=""),"",I448-N(P448)-N(R448))</f>
        <v/>
      </c>
      <c r="T448" s="28"/>
      <c r="U448" s="29" t="str">
        <f aca="false">IF(A448="","",IF(T448="取消","取消",IF(W448&lt;&gt;"","要入力",IF(N448="","未送付",IF(S448=0,"入金済",IF(S448&lt;0,"過入金",IF(設定!$C$5&gt;L448,IF(P448&gt;0,"一部入金・超過","期日超過"),IF(P448&gt;0,"一部入金",IF(L448-設定!$C$5&lt;=設定!$C$6,"期日間近","入金待ち")))))))))</f>
        <v/>
      </c>
      <c r="V448" s="30" t="str">
        <f aca="false">IF(OR(U448="期日超過",U448="一部入金・超過"),設定!$C$5-L448,"")</f>
        <v/>
      </c>
      <c r="W448" s="21" t="str">
        <f aca="false">IF(A448="","",TRIM(IF(B448="","請求日 ","")&amp;IF(C448="","取引先 ",IF(D448="コード誤り","取引先コード誤り ",""))&amp;IF(E448="","件名 ","")&amp;IF(F448="","税抜金額 ","")&amp;IF(G448="","税率 ","")&amp;IF(M448="","送付方法 ","")&amp;IF(AND(N448&lt;&gt;"",O448=""),"送付者 ","")&amp;IF(AND(I448&lt;&gt;"",L448=""),"入金期日 ","")&amp;IF(AND(N448&lt;&gt;"",P448&gt;0,S448&lt;=0,X448=""),"消込確認者 ","")))</f>
        <v/>
      </c>
      <c r="X448" s="28"/>
      <c r="Y448" s="28"/>
    </row>
    <row r="449" customFormat="false" ht="15" hidden="false" customHeight="false" outlineLevel="0" collapsed="false">
      <c r="A449" s="21" t="str">
        <f aca="false">IF(COUNTA(B449,C449,E449,F449)=0,"",設定!$C$4&amp;TEXT(ROW()-4,"00000"))</f>
        <v/>
      </c>
      <c r="B449" s="22"/>
      <c r="C449" s="23"/>
      <c r="D449" s="21" t="str">
        <f aca="false">IF(C449="","",IFERROR(INDEX(取引先マスタ!$B$5:$B$204,MATCH($C449,取引先マスタ!$A$5:$A$204,0)),"コード誤り"))</f>
        <v/>
      </c>
      <c r="E449" s="28"/>
      <c r="F449" s="18"/>
      <c r="G449" s="25"/>
      <c r="H449" s="26" t="str">
        <f aca="false">IF(OR(F449="",G449=""),"",ROUNDDOWN(F449*G449,0))</f>
        <v/>
      </c>
      <c r="I449" s="26" t="str">
        <f aca="false">IF(OR(F449="",G449=""),"",F449+H449)</f>
        <v/>
      </c>
      <c r="J449" s="27" t="str">
        <f aca="false">IF(OR(B449="",C449="",D449="コード誤り"),"",IFERROR(DATE(YEAR(B449),MONTH(B449)+INDEX(取引先マスタ!$E$5:$E$204,MATCH($C449,取引先マスタ!$A$5:$A$204,0)),MIN(INDEX(取引先マスタ!$F$5:$F$204,MATCH($C449,取引先マスタ!$A$5:$A$204,0)),DAY(EOMONTH(B449,INDEX(取引先マスタ!$E$5:$E$204,MATCH($C449,取引先マスタ!$A$5:$A$204,0)))))),""))</f>
        <v/>
      </c>
      <c r="K449" s="22"/>
      <c r="L449" s="27" t="str">
        <f aca="false">IF(K449&lt;&gt;"",K449,J449)</f>
        <v/>
      </c>
      <c r="M449" s="28"/>
      <c r="N449" s="22"/>
      <c r="O449" s="28"/>
      <c r="P449" s="26" t="str">
        <f aca="false">IF(A449="","",SUMIF(入金明細!$F$5:$F$1004,A449,入金明細!$E$5:$E$1004))</f>
        <v/>
      </c>
      <c r="Q449" s="27" t="str">
        <f aca="false">IF(OR(A449="",N(P449)=0),"",SUMPRODUCT(MAX((入金明細!$F$5:$F$1004=A449)*入金明細!$B$5:$B$1004)))</f>
        <v/>
      </c>
      <c r="R449" s="18"/>
      <c r="S449" s="26" t="str">
        <f aca="false">IF(OR(A449="",I449=""),"",I449-N(P449)-N(R449))</f>
        <v/>
      </c>
      <c r="T449" s="28"/>
      <c r="U449" s="29" t="str">
        <f aca="false">IF(A449="","",IF(T449="取消","取消",IF(W449&lt;&gt;"","要入力",IF(N449="","未送付",IF(S449=0,"入金済",IF(S449&lt;0,"過入金",IF(設定!$C$5&gt;L449,IF(P449&gt;0,"一部入金・超過","期日超過"),IF(P449&gt;0,"一部入金",IF(L449-設定!$C$5&lt;=設定!$C$6,"期日間近","入金待ち")))))))))</f>
        <v/>
      </c>
      <c r="V449" s="30" t="str">
        <f aca="false">IF(OR(U449="期日超過",U449="一部入金・超過"),設定!$C$5-L449,"")</f>
        <v/>
      </c>
      <c r="W449" s="21" t="str">
        <f aca="false">IF(A449="","",TRIM(IF(B449="","請求日 ","")&amp;IF(C449="","取引先 ",IF(D449="コード誤り","取引先コード誤り ",""))&amp;IF(E449="","件名 ","")&amp;IF(F449="","税抜金額 ","")&amp;IF(G449="","税率 ","")&amp;IF(M449="","送付方法 ","")&amp;IF(AND(N449&lt;&gt;"",O449=""),"送付者 ","")&amp;IF(AND(I449&lt;&gt;"",L449=""),"入金期日 ","")&amp;IF(AND(N449&lt;&gt;"",P449&gt;0,S449&lt;=0,X449=""),"消込確認者 ","")))</f>
        <v/>
      </c>
      <c r="X449" s="28"/>
      <c r="Y449" s="28"/>
    </row>
    <row r="450" customFormat="false" ht="15" hidden="false" customHeight="false" outlineLevel="0" collapsed="false">
      <c r="A450" s="21" t="str">
        <f aca="false">IF(COUNTA(B450,C450,E450,F450)=0,"",設定!$C$4&amp;TEXT(ROW()-4,"00000"))</f>
        <v/>
      </c>
      <c r="B450" s="22"/>
      <c r="C450" s="23"/>
      <c r="D450" s="21" t="str">
        <f aca="false">IF(C450="","",IFERROR(INDEX(取引先マスタ!$B$5:$B$204,MATCH($C450,取引先マスタ!$A$5:$A$204,0)),"コード誤り"))</f>
        <v/>
      </c>
      <c r="E450" s="28"/>
      <c r="F450" s="18"/>
      <c r="G450" s="25"/>
      <c r="H450" s="26" t="str">
        <f aca="false">IF(OR(F450="",G450=""),"",ROUNDDOWN(F450*G450,0))</f>
        <v/>
      </c>
      <c r="I450" s="26" t="str">
        <f aca="false">IF(OR(F450="",G450=""),"",F450+H450)</f>
        <v/>
      </c>
      <c r="J450" s="27" t="str">
        <f aca="false">IF(OR(B450="",C450="",D450="コード誤り"),"",IFERROR(DATE(YEAR(B450),MONTH(B450)+INDEX(取引先マスタ!$E$5:$E$204,MATCH($C450,取引先マスタ!$A$5:$A$204,0)),MIN(INDEX(取引先マスタ!$F$5:$F$204,MATCH($C450,取引先マスタ!$A$5:$A$204,0)),DAY(EOMONTH(B450,INDEX(取引先マスタ!$E$5:$E$204,MATCH($C450,取引先マスタ!$A$5:$A$204,0)))))),""))</f>
        <v/>
      </c>
      <c r="K450" s="22"/>
      <c r="L450" s="27" t="str">
        <f aca="false">IF(K450&lt;&gt;"",K450,J450)</f>
        <v/>
      </c>
      <c r="M450" s="28"/>
      <c r="N450" s="22"/>
      <c r="O450" s="28"/>
      <c r="P450" s="26" t="str">
        <f aca="false">IF(A450="","",SUMIF(入金明細!$F$5:$F$1004,A450,入金明細!$E$5:$E$1004))</f>
        <v/>
      </c>
      <c r="Q450" s="27" t="str">
        <f aca="false">IF(OR(A450="",N(P450)=0),"",SUMPRODUCT(MAX((入金明細!$F$5:$F$1004=A450)*入金明細!$B$5:$B$1004)))</f>
        <v/>
      </c>
      <c r="R450" s="18"/>
      <c r="S450" s="26" t="str">
        <f aca="false">IF(OR(A450="",I450=""),"",I450-N(P450)-N(R450))</f>
        <v/>
      </c>
      <c r="T450" s="28"/>
      <c r="U450" s="29" t="str">
        <f aca="false">IF(A450="","",IF(T450="取消","取消",IF(W450&lt;&gt;"","要入力",IF(N450="","未送付",IF(S450=0,"入金済",IF(S450&lt;0,"過入金",IF(設定!$C$5&gt;L450,IF(P450&gt;0,"一部入金・超過","期日超過"),IF(P450&gt;0,"一部入金",IF(L450-設定!$C$5&lt;=設定!$C$6,"期日間近","入金待ち")))))))))</f>
        <v/>
      </c>
      <c r="V450" s="30" t="str">
        <f aca="false">IF(OR(U450="期日超過",U450="一部入金・超過"),設定!$C$5-L450,"")</f>
        <v/>
      </c>
      <c r="W450" s="21" t="str">
        <f aca="false">IF(A450="","",TRIM(IF(B450="","請求日 ","")&amp;IF(C450="","取引先 ",IF(D450="コード誤り","取引先コード誤り ",""))&amp;IF(E450="","件名 ","")&amp;IF(F450="","税抜金額 ","")&amp;IF(G450="","税率 ","")&amp;IF(M450="","送付方法 ","")&amp;IF(AND(N450&lt;&gt;"",O450=""),"送付者 ","")&amp;IF(AND(I450&lt;&gt;"",L450=""),"入金期日 ","")&amp;IF(AND(N450&lt;&gt;"",P450&gt;0,S450&lt;=0,X450=""),"消込確認者 ","")))</f>
        <v/>
      </c>
      <c r="X450" s="28"/>
      <c r="Y450" s="28"/>
    </row>
    <row r="451" customFormat="false" ht="15" hidden="false" customHeight="false" outlineLevel="0" collapsed="false">
      <c r="A451" s="21" t="str">
        <f aca="false">IF(COUNTA(B451,C451,E451,F451)=0,"",設定!$C$4&amp;TEXT(ROW()-4,"00000"))</f>
        <v/>
      </c>
      <c r="B451" s="22"/>
      <c r="C451" s="23"/>
      <c r="D451" s="21" t="str">
        <f aca="false">IF(C451="","",IFERROR(INDEX(取引先マスタ!$B$5:$B$204,MATCH($C451,取引先マスタ!$A$5:$A$204,0)),"コード誤り"))</f>
        <v/>
      </c>
      <c r="E451" s="28"/>
      <c r="F451" s="18"/>
      <c r="G451" s="25"/>
      <c r="H451" s="26" t="str">
        <f aca="false">IF(OR(F451="",G451=""),"",ROUNDDOWN(F451*G451,0))</f>
        <v/>
      </c>
      <c r="I451" s="26" t="str">
        <f aca="false">IF(OR(F451="",G451=""),"",F451+H451)</f>
        <v/>
      </c>
      <c r="J451" s="27" t="str">
        <f aca="false">IF(OR(B451="",C451="",D451="コード誤り"),"",IFERROR(DATE(YEAR(B451),MONTH(B451)+INDEX(取引先マスタ!$E$5:$E$204,MATCH($C451,取引先マスタ!$A$5:$A$204,0)),MIN(INDEX(取引先マスタ!$F$5:$F$204,MATCH($C451,取引先マスタ!$A$5:$A$204,0)),DAY(EOMONTH(B451,INDEX(取引先マスタ!$E$5:$E$204,MATCH($C451,取引先マスタ!$A$5:$A$204,0)))))),""))</f>
        <v/>
      </c>
      <c r="K451" s="22"/>
      <c r="L451" s="27" t="str">
        <f aca="false">IF(K451&lt;&gt;"",K451,J451)</f>
        <v/>
      </c>
      <c r="M451" s="28"/>
      <c r="N451" s="22"/>
      <c r="O451" s="28"/>
      <c r="P451" s="26" t="str">
        <f aca="false">IF(A451="","",SUMIF(入金明細!$F$5:$F$1004,A451,入金明細!$E$5:$E$1004))</f>
        <v/>
      </c>
      <c r="Q451" s="27" t="str">
        <f aca="false">IF(OR(A451="",N(P451)=0),"",SUMPRODUCT(MAX((入金明細!$F$5:$F$1004=A451)*入金明細!$B$5:$B$1004)))</f>
        <v/>
      </c>
      <c r="R451" s="18"/>
      <c r="S451" s="26" t="str">
        <f aca="false">IF(OR(A451="",I451=""),"",I451-N(P451)-N(R451))</f>
        <v/>
      </c>
      <c r="T451" s="28"/>
      <c r="U451" s="29" t="str">
        <f aca="false">IF(A451="","",IF(T451="取消","取消",IF(W451&lt;&gt;"","要入力",IF(N451="","未送付",IF(S451=0,"入金済",IF(S451&lt;0,"過入金",IF(設定!$C$5&gt;L451,IF(P451&gt;0,"一部入金・超過","期日超過"),IF(P451&gt;0,"一部入金",IF(L451-設定!$C$5&lt;=設定!$C$6,"期日間近","入金待ち")))))))))</f>
        <v/>
      </c>
      <c r="V451" s="30" t="str">
        <f aca="false">IF(OR(U451="期日超過",U451="一部入金・超過"),設定!$C$5-L451,"")</f>
        <v/>
      </c>
      <c r="W451" s="21" t="str">
        <f aca="false">IF(A451="","",TRIM(IF(B451="","請求日 ","")&amp;IF(C451="","取引先 ",IF(D451="コード誤り","取引先コード誤り ",""))&amp;IF(E451="","件名 ","")&amp;IF(F451="","税抜金額 ","")&amp;IF(G451="","税率 ","")&amp;IF(M451="","送付方法 ","")&amp;IF(AND(N451&lt;&gt;"",O451=""),"送付者 ","")&amp;IF(AND(I451&lt;&gt;"",L451=""),"入金期日 ","")&amp;IF(AND(N451&lt;&gt;"",P451&gt;0,S451&lt;=0,X451=""),"消込確認者 ","")))</f>
        <v/>
      </c>
      <c r="X451" s="28"/>
      <c r="Y451" s="28"/>
    </row>
    <row r="452" customFormat="false" ht="15" hidden="false" customHeight="false" outlineLevel="0" collapsed="false">
      <c r="A452" s="21" t="str">
        <f aca="false">IF(COUNTA(B452,C452,E452,F452)=0,"",設定!$C$4&amp;TEXT(ROW()-4,"00000"))</f>
        <v/>
      </c>
      <c r="B452" s="22"/>
      <c r="C452" s="23"/>
      <c r="D452" s="21" t="str">
        <f aca="false">IF(C452="","",IFERROR(INDEX(取引先マスタ!$B$5:$B$204,MATCH($C452,取引先マスタ!$A$5:$A$204,0)),"コード誤り"))</f>
        <v/>
      </c>
      <c r="E452" s="28"/>
      <c r="F452" s="18"/>
      <c r="G452" s="25"/>
      <c r="H452" s="26" t="str">
        <f aca="false">IF(OR(F452="",G452=""),"",ROUNDDOWN(F452*G452,0))</f>
        <v/>
      </c>
      <c r="I452" s="26" t="str">
        <f aca="false">IF(OR(F452="",G452=""),"",F452+H452)</f>
        <v/>
      </c>
      <c r="J452" s="27" t="str">
        <f aca="false">IF(OR(B452="",C452="",D452="コード誤り"),"",IFERROR(DATE(YEAR(B452),MONTH(B452)+INDEX(取引先マスタ!$E$5:$E$204,MATCH($C452,取引先マスタ!$A$5:$A$204,0)),MIN(INDEX(取引先マスタ!$F$5:$F$204,MATCH($C452,取引先マスタ!$A$5:$A$204,0)),DAY(EOMONTH(B452,INDEX(取引先マスタ!$E$5:$E$204,MATCH($C452,取引先マスタ!$A$5:$A$204,0)))))),""))</f>
        <v/>
      </c>
      <c r="K452" s="22"/>
      <c r="L452" s="27" t="str">
        <f aca="false">IF(K452&lt;&gt;"",K452,J452)</f>
        <v/>
      </c>
      <c r="M452" s="28"/>
      <c r="N452" s="22"/>
      <c r="O452" s="28"/>
      <c r="P452" s="26" t="str">
        <f aca="false">IF(A452="","",SUMIF(入金明細!$F$5:$F$1004,A452,入金明細!$E$5:$E$1004))</f>
        <v/>
      </c>
      <c r="Q452" s="27" t="str">
        <f aca="false">IF(OR(A452="",N(P452)=0),"",SUMPRODUCT(MAX((入金明細!$F$5:$F$1004=A452)*入金明細!$B$5:$B$1004)))</f>
        <v/>
      </c>
      <c r="R452" s="18"/>
      <c r="S452" s="26" t="str">
        <f aca="false">IF(OR(A452="",I452=""),"",I452-N(P452)-N(R452))</f>
        <v/>
      </c>
      <c r="T452" s="28"/>
      <c r="U452" s="29" t="str">
        <f aca="false">IF(A452="","",IF(T452="取消","取消",IF(W452&lt;&gt;"","要入力",IF(N452="","未送付",IF(S452=0,"入金済",IF(S452&lt;0,"過入金",IF(設定!$C$5&gt;L452,IF(P452&gt;0,"一部入金・超過","期日超過"),IF(P452&gt;0,"一部入金",IF(L452-設定!$C$5&lt;=設定!$C$6,"期日間近","入金待ち")))))))))</f>
        <v/>
      </c>
      <c r="V452" s="30" t="str">
        <f aca="false">IF(OR(U452="期日超過",U452="一部入金・超過"),設定!$C$5-L452,"")</f>
        <v/>
      </c>
      <c r="W452" s="21" t="str">
        <f aca="false">IF(A452="","",TRIM(IF(B452="","請求日 ","")&amp;IF(C452="","取引先 ",IF(D452="コード誤り","取引先コード誤り ",""))&amp;IF(E452="","件名 ","")&amp;IF(F452="","税抜金額 ","")&amp;IF(G452="","税率 ","")&amp;IF(M452="","送付方法 ","")&amp;IF(AND(N452&lt;&gt;"",O452=""),"送付者 ","")&amp;IF(AND(I452&lt;&gt;"",L452=""),"入金期日 ","")&amp;IF(AND(N452&lt;&gt;"",P452&gt;0,S452&lt;=0,X452=""),"消込確認者 ","")))</f>
        <v/>
      </c>
      <c r="X452" s="28"/>
      <c r="Y452" s="28"/>
    </row>
    <row r="453" customFormat="false" ht="15" hidden="false" customHeight="false" outlineLevel="0" collapsed="false">
      <c r="A453" s="21" t="str">
        <f aca="false">IF(COUNTA(B453,C453,E453,F453)=0,"",設定!$C$4&amp;TEXT(ROW()-4,"00000"))</f>
        <v/>
      </c>
      <c r="B453" s="22"/>
      <c r="C453" s="23"/>
      <c r="D453" s="21" t="str">
        <f aca="false">IF(C453="","",IFERROR(INDEX(取引先マスタ!$B$5:$B$204,MATCH($C453,取引先マスタ!$A$5:$A$204,0)),"コード誤り"))</f>
        <v/>
      </c>
      <c r="E453" s="28"/>
      <c r="F453" s="18"/>
      <c r="G453" s="25"/>
      <c r="H453" s="26" t="str">
        <f aca="false">IF(OR(F453="",G453=""),"",ROUNDDOWN(F453*G453,0))</f>
        <v/>
      </c>
      <c r="I453" s="26" t="str">
        <f aca="false">IF(OR(F453="",G453=""),"",F453+H453)</f>
        <v/>
      </c>
      <c r="J453" s="27" t="str">
        <f aca="false">IF(OR(B453="",C453="",D453="コード誤り"),"",IFERROR(DATE(YEAR(B453),MONTH(B453)+INDEX(取引先マスタ!$E$5:$E$204,MATCH($C453,取引先マスタ!$A$5:$A$204,0)),MIN(INDEX(取引先マスタ!$F$5:$F$204,MATCH($C453,取引先マスタ!$A$5:$A$204,0)),DAY(EOMONTH(B453,INDEX(取引先マスタ!$E$5:$E$204,MATCH($C453,取引先マスタ!$A$5:$A$204,0)))))),""))</f>
        <v/>
      </c>
      <c r="K453" s="22"/>
      <c r="L453" s="27" t="str">
        <f aca="false">IF(K453&lt;&gt;"",K453,J453)</f>
        <v/>
      </c>
      <c r="M453" s="28"/>
      <c r="N453" s="22"/>
      <c r="O453" s="28"/>
      <c r="P453" s="26" t="str">
        <f aca="false">IF(A453="","",SUMIF(入金明細!$F$5:$F$1004,A453,入金明細!$E$5:$E$1004))</f>
        <v/>
      </c>
      <c r="Q453" s="27" t="str">
        <f aca="false">IF(OR(A453="",N(P453)=0),"",SUMPRODUCT(MAX((入金明細!$F$5:$F$1004=A453)*入金明細!$B$5:$B$1004)))</f>
        <v/>
      </c>
      <c r="R453" s="18"/>
      <c r="S453" s="26" t="str">
        <f aca="false">IF(OR(A453="",I453=""),"",I453-N(P453)-N(R453))</f>
        <v/>
      </c>
      <c r="T453" s="28"/>
      <c r="U453" s="29" t="str">
        <f aca="false">IF(A453="","",IF(T453="取消","取消",IF(W453&lt;&gt;"","要入力",IF(N453="","未送付",IF(S453=0,"入金済",IF(S453&lt;0,"過入金",IF(設定!$C$5&gt;L453,IF(P453&gt;0,"一部入金・超過","期日超過"),IF(P453&gt;0,"一部入金",IF(L453-設定!$C$5&lt;=設定!$C$6,"期日間近","入金待ち")))))))))</f>
        <v/>
      </c>
      <c r="V453" s="30" t="str">
        <f aca="false">IF(OR(U453="期日超過",U453="一部入金・超過"),設定!$C$5-L453,"")</f>
        <v/>
      </c>
      <c r="W453" s="21" t="str">
        <f aca="false">IF(A453="","",TRIM(IF(B453="","請求日 ","")&amp;IF(C453="","取引先 ",IF(D453="コード誤り","取引先コード誤り ",""))&amp;IF(E453="","件名 ","")&amp;IF(F453="","税抜金額 ","")&amp;IF(G453="","税率 ","")&amp;IF(M453="","送付方法 ","")&amp;IF(AND(N453&lt;&gt;"",O453=""),"送付者 ","")&amp;IF(AND(I453&lt;&gt;"",L453=""),"入金期日 ","")&amp;IF(AND(N453&lt;&gt;"",P453&gt;0,S453&lt;=0,X453=""),"消込確認者 ","")))</f>
        <v/>
      </c>
      <c r="X453" s="28"/>
      <c r="Y453" s="28"/>
    </row>
    <row r="454" customFormat="false" ht="15" hidden="false" customHeight="false" outlineLevel="0" collapsed="false">
      <c r="A454" s="21" t="str">
        <f aca="false">IF(COUNTA(B454,C454,E454,F454)=0,"",設定!$C$4&amp;TEXT(ROW()-4,"00000"))</f>
        <v/>
      </c>
      <c r="B454" s="22"/>
      <c r="C454" s="23"/>
      <c r="D454" s="21" t="str">
        <f aca="false">IF(C454="","",IFERROR(INDEX(取引先マスタ!$B$5:$B$204,MATCH($C454,取引先マスタ!$A$5:$A$204,0)),"コード誤り"))</f>
        <v/>
      </c>
      <c r="E454" s="28"/>
      <c r="F454" s="18"/>
      <c r="G454" s="25"/>
      <c r="H454" s="26" t="str">
        <f aca="false">IF(OR(F454="",G454=""),"",ROUNDDOWN(F454*G454,0))</f>
        <v/>
      </c>
      <c r="I454" s="26" t="str">
        <f aca="false">IF(OR(F454="",G454=""),"",F454+H454)</f>
        <v/>
      </c>
      <c r="J454" s="27" t="str">
        <f aca="false">IF(OR(B454="",C454="",D454="コード誤り"),"",IFERROR(DATE(YEAR(B454),MONTH(B454)+INDEX(取引先マスタ!$E$5:$E$204,MATCH($C454,取引先マスタ!$A$5:$A$204,0)),MIN(INDEX(取引先マスタ!$F$5:$F$204,MATCH($C454,取引先マスタ!$A$5:$A$204,0)),DAY(EOMONTH(B454,INDEX(取引先マスタ!$E$5:$E$204,MATCH($C454,取引先マスタ!$A$5:$A$204,0)))))),""))</f>
        <v/>
      </c>
      <c r="K454" s="22"/>
      <c r="L454" s="27" t="str">
        <f aca="false">IF(K454&lt;&gt;"",K454,J454)</f>
        <v/>
      </c>
      <c r="M454" s="28"/>
      <c r="N454" s="22"/>
      <c r="O454" s="28"/>
      <c r="P454" s="26" t="str">
        <f aca="false">IF(A454="","",SUMIF(入金明細!$F$5:$F$1004,A454,入金明細!$E$5:$E$1004))</f>
        <v/>
      </c>
      <c r="Q454" s="27" t="str">
        <f aca="false">IF(OR(A454="",N(P454)=0),"",SUMPRODUCT(MAX((入金明細!$F$5:$F$1004=A454)*入金明細!$B$5:$B$1004)))</f>
        <v/>
      </c>
      <c r="R454" s="18"/>
      <c r="S454" s="26" t="str">
        <f aca="false">IF(OR(A454="",I454=""),"",I454-N(P454)-N(R454))</f>
        <v/>
      </c>
      <c r="T454" s="28"/>
      <c r="U454" s="29" t="str">
        <f aca="false">IF(A454="","",IF(T454="取消","取消",IF(W454&lt;&gt;"","要入力",IF(N454="","未送付",IF(S454=0,"入金済",IF(S454&lt;0,"過入金",IF(設定!$C$5&gt;L454,IF(P454&gt;0,"一部入金・超過","期日超過"),IF(P454&gt;0,"一部入金",IF(L454-設定!$C$5&lt;=設定!$C$6,"期日間近","入金待ち")))))))))</f>
        <v/>
      </c>
      <c r="V454" s="30" t="str">
        <f aca="false">IF(OR(U454="期日超過",U454="一部入金・超過"),設定!$C$5-L454,"")</f>
        <v/>
      </c>
      <c r="W454" s="21" t="str">
        <f aca="false">IF(A454="","",TRIM(IF(B454="","請求日 ","")&amp;IF(C454="","取引先 ",IF(D454="コード誤り","取引先コード誤り ",""))&amp;IF(E454="","件名 ","")&amp;IF(F454="","税抜金額 ","")&amp;IF(G454="","税率 ","")&amp;IF(M454="","送付方法 ","")&amp;IF(AND(N454&lt;&gt;"",O454=""),"送付者 ","")&amp;IF(AND(I454&lt;&gt;"",L454=""),"入金期日 ","")&amp;IF(AND(N454&lt;&gt;"",P454&gt;0,S454&lt;=0,X454=""),"消込確認者 ","")))</f>
        <v/>
      </c>
      <c r="X454" s="28"/>
      <c r="Y454" s="28"/>
    </row>
    <row r="455" customFormat="false" ht="15" hidden="false" customHeight="false" outlineLevel="0" collapsed="false">
      <c r="A455" s="21" t="str">
        <f aca="false">IF(COUNTA(B455,C455,E455,F455)=0,"",設定!$C$4&amp;TEXT(ROW()-4,"00000"))</f>
        <v/>
      </c>
      <c r="B455" s="22"/>
      <c r="C455" s="23"/>
      <c r="D455" s="21" t="str">
        <f aca="false">IF(C455="","",IFERROR(INDEX(取引先マスタ!$B$5:$B$204,MATCH($C455,取引先マスタ!$A$5:$A$204,0)),"コード誤り"))</f>
        <v/>
      </c>
      <c r="E455" s="28"/>
      <c r="F455" s="18"/>
      <c r="G455" s="25"/>
      <c r="H455" s="26" t="str">
        <f aca="false">IF(OR(F455="",G455=""),"",ROUNDDOWN(F455*G455,0))</f>
        <v/>
      </c>
      <c r="I455" s="26" t="str">
        <f aca="false">IF(OR(F455="",G455=""),"",F455+H455)</f>
        <v/>
      </c>
      <c r="J455" s="27" t="str">
        <f aca="false">IF(OR(B455="",C455="",D455="コード誤り"),"",IFERROR(DATE(YEAR(B455),MONTH(B455)+INDEX(取引先マスタ!$E$5:$E$204,MATCH($C455,取引先マスタ!$A$5:$A$204,0)),MIN(INDEX(取引先マスタ!$F$5:$F$204,MATCH($C455,取引先マスタ!$A$5:$A$204,0)),DAY(EOMONTH(B455,INDEX(取引先マスタ!$E$5:$E$204,MATCH($C455,取引先マスタ!$A$5:$A$204,0)))))),""))</f>
        <v/>
      </c>
      <c r="K455" s="22"/>
      <c r="L455" s="27" t="str">
        <f aca="false">IF(K455&lt;&gt;"",K455,J455)</f>
        <v/>
      </c>
      <c r="M455" s="28"/>
      <c r="N455" s="22"/>
      <c r="O455" s="28"/>
      <c r="P455" s="26" t="str">
        <f aca="false">IF(A455="","",SUMIF(入金明細!$F$5:$F$1004,A455,入金明細!$E$5:$E$1004))</f>
        <v/>
      </c>
      <c r="Q455" s="27" t="str">
        <f aca="false">IF(OR(A455="",N(P455)=0),"",SUMPRODUCT(MAX((入金明細!$F$5:$F$1004=A455)*入金明細!$B$5:$B$1004)))</f>
        <v/>
      </c>
      <c r="R455" s="18"/>
      <c r="S455" s="26" t="str">
        <f aca="false">IF(OR(A455="",I455=""),"",I455-N(P455)-N(R455))</f>
        <v/>
      </c>
      <c r="T455" s="28"/>
      <c r="U455" s="29" t="str">
        <f aca="false">IF(A455="","",IF(T455="取消","取消",IF(W455&lt;&gt;"","要入力",IF(N455="","未送付",IF(S455=0,"入金済",IF(S455&lt;0,"過入金",IF(設定!$C$5&gt;L455,IF(P455&gt;0,"一部入金・超過","期日超過"),IF(P455&gt;0,"一部入金",IF(L455-設定!$C$5&lt;=設定!$C$6,"期日間近","入金待ち")))))))))</f>
        <v/>
      </c>
      <c r="V455" s="30" t="str">
        <f aca="false">IF(OR(U455="期日超過",U455="一部入金・超過"),設定!$C$5-L455,"")</f>
        <v/>
      </c>
      <c r="W455" s="21" t="str">
        <f aca="false">IF(A455="","",TRIM(IF(B455="","請求日 ","")&amp;IF(C455="","取引先 ",IF(D455="コード誤り","取引先コード誤り ",""))&amp;IF(E455="","件名 ","")&amp;IF(F455="","税抜金額 ","")&amp;IF(G455="","税率 ","")&amp;IF(M455="","送付方法 ","")&amp;IF(AND(N455&lt;&gt;"",O455=""),"送付者 ","")&amp;IF(AND(I455&lt;&gt;"",L455=""),"入金期日 ","")&amp;IF(AND(N455&lt;&gt;"",P455&gt;0,S455&lt;=0,X455=""),"消込確認者 ","")))</f>
        <v/>
      </c>
      <c r="X455" s="28"/>
      <c r="Y455" s="28"/>
    </row>
    <row r="456" customFormat="false" ht="15" hidden="false" customHeight="false" outlineLevel="0" collapsed="false">
      <c r="A456" s="21" t="str">
        <f aca="false">IF(COUNTA(B456,C456,E456,F456)=0,"",設定!$C$4&amp;TEXT(ROW()-4,"00000"))</f>
        <v/>
      </c>
      <c r="B456" s="22"/>
      <c r="C456" s="23"/>
      <c r="D456" s="21" t="str">
        <f aca="false">IF(C456="","",IFERROR(INDEX(取引先マスタ!$B$5:$B$204,MATCH($C456,取引先マスタ!$A$5:$A$204,0)),"コード誤り"))</f>
        <v/>
      </c>
      <c r="E456" s="28"/>
      <c r="F456" s="18"/>
      <c r="G456" s="25"/>
      <c r="H456" s="26" t="str">
        <f aca="false">IF(OR(F456="",G456=""),"",ROUNDDOWN(F456*G456,0))</f>
        <v/>
      </c>
      <c r="I456" s="26" t="str">
        <f aca="false">IF(OR(F456="",G456=""),"",F456+H456)</f>
        <v/>
      </c>
      <c r="J456" s="27" t="str">
        <f aca="false">IF(OR(B456="",C456="",D456="コード誤り"),"",IFERROR(DATE(YEAR(B456),MONTH(B456)+INDEX(取引先マスタ!$E$5:$E$204,MATCH($C456,取引先マスタ!$A$5:$A$204,0)),MIN(INDEX(取引先マスタ!$F$5:$F$204,MATCH($C456,取引先マスタ!$A$5:$A$204,0)),DAY(EOMONTH(B456,INDEX(取引先マスタ!$E$5:$E$204,MATCH($C456,取引先マスタ!$A$5:$A$204,0)))))),""))</f>
        <v/>
      </c>
      <c r="K456" s="22"/>
      <c r="L456" s="27" t="str">
        <f aca="false">IF(K456&lt;&gt;"",K456,J456)</f>
        <v/>
      </c>
      <c r="M456" s="28"/>
      <c r="N456" s="22"/>
      <c r="O456" s="28"/>
      <c r="P456" s="26" t="str">
        <f aca="false">IF(A456="","",SUMIF(入金明細!$F$5:$F$1004,A456,入金明細!$E$5:$E$1004))</f>
        <v/>
      </c>
      <c r="Q456" s="27" t="str">
        <f aca="false">IF(OR(A456="",N(P456)=0),"",SUMPRODUCT(MAX((入金明細!$F$5:$F$1004=A456)*入金明細!$B$5:$B$1004)))</f>
        <v/>
      </c>
      <c r="R456" s="18"/>
      <c r="S456" s="26" t="str">
        <f aca="false">IF(OR(A456="",I456=""),"",I456-N(P456)-N(R456))</f>
        <v/>
      </c>
      <c r="T456" s="28"/>
      <c r="U456" s="29" t="str">
        <f aca="false">IF(A456="","",IF(T456="取消","取消",IF(W456&lt;&gt;"","要入力",IF(N456="","未送付",IF(S456=0,"入金済",IF(S456&lt;0,"過入金",IF(設定!$C$5&gt;L456,IF(P456&gt;0,"一部入金・超過","期日超過"),IF(P456&gt;0,"一部入金",IF(L456-設定!$C$5&lt;=設定!$C$6,"期日間近","入金待ち")))))))))</f>
        <v/>
      </c>
      <c r="V456" s="30" t="str">
        <f aca="false">IF(OR(U456="期日超過",U456="一部入金・超過"),設定!$C$5-L456,"")</f>
        <v/>
      </c>
      <c r="W456" s="21" t="str">
        <f aca="false">IF(A456="","",TRIM(IF(B456="","請求日 ","")&amp;IF(C456="","取引先 ",IF(D456="コード誤り","取引先コード誤り ",""))&amp;IF(E456="","件名 ","")&amp;IF(F456="","税抜金額 ","")&amp;IF(G456="","税率 ","")&amp;IF(M456="","送付方法 ","")&amp;IF(AND(N456&lt;&gt;"",O456=""),"送付者 ","")&amp;IF(AND(I456&lt;&gt;"",L456=""),"入金期日 ","")&amp;IF(AND(N456&lt;&gt;"",P456&gt;0,S456&lt;=0,X456=""),"消込確認者 ","")))</f>
        <v/>
      </c>
      <c r="X456" s="28"/>
      <c r="Y456" s="28"/>
    </row>
    <row r="457" customFormat="false" ht="15" hidden="false" customHeight="false" outlineLevel="0" collapsed="false">
      <c r="A457" s="21" t="str">
        <f aca="false">IF(COUNTA(B457,C457,E457,F457)=0,"",設定!$C$4&amp;TEXT(ROW()-4,"00000"))</f>
        <v/>
      </c>
      <c r="B457" s="22"/>
      <c r="C457" s="23"/>
      <c r="D457" s="21" t="str">
        <f aca="false">IF(C457="","",IFERROR(INDEX(取引先マスタ!$B$5:$B$204,MATCH($C457,取引先マスタ!$A$5:$A$204,0)),"コード誤り"))</f>
        <v/>
      </c>
      <c r="E457" s="28"/>
      <c r="F457" s="18"/>
      <c r="G457" s="25"/>
      <c r="H457" s="26" t="str">
        <f aca="false">IF(OR(F457="",G457=""),"",ROUNDDOWN(F457*G457,0))</f>
        <v/>
      </c>
      <c r="I457" s="26" t="str">
        <f aca="false">IF(OR(F457="",G457=""),"",F457+H457)</f>
        <v/>
      </c>
      <c r="J457" s="27" t="str">
        <f aca="false">IF(OR(B457="",C457="",D457="コード誤り"),"",IFERROR(DATE(YEAR(B457),MONTH(B457)+INDEX(取引先マスタ!$E$5:$E$204,MATCH($C457,取引先マスタ!$A$5:$A$204,0)),MIN(INDEX(取引先マスタ!$F$5:$F$204,MATCH($C457,取引先マスタ!$A$5:$A$204,0)),DAY(EOMONTH(B457,INDEX(取引先マスタ!$E$5:$E$204,MATCH($C457,取引先マスタ!$A$5:$A$204,0)))))),""))</f>
        <v/>
      </c>
      <c r="K457" s="22"/>
      <c r="L457" s="27" t="str">
        <f aca="false">IF(K457&lt;&gt;"",K457,J457)</f>
        <v/>
      </c>
      <c r="M457" s="28"/>
      <c r="N457" s="22"/>
      <c r="O457" s="28"/>
      <c r="P457" s="26" t="str">
        <f aca="false">IF(A457="","",SUMIF(入金明細!$F$5:$F$1004,A457,入金明細!$E$5:$E$1004))</f>
        <v/>
      </c>
      <c r="Q457" s="27" t="str">
        <f aca="false">IF(OR(A457="",N(P457)=0),"",SUMPRODUCT(MAX((入金明細!$F$5:$F$1004=A457)*入金明細!$B$5:$B$1004)))</f>
        <v/>
      </c>
      <c r="R457" s="18"/>
      <c r="S457" s="26" t="str">
        <f aca="false">IF(OR(A457="",I457=""),"",I457-N(P457)-N(R457))</f>
        <v/>
      </c>
      <c r="T457" s="28"/>
      <c r="U457" s="29" t="str">
        <f aca="false">IF(A457="","",IF(T457="取消","取消",IF(W457&lt;&gt;"","要入力",IF(N457="","未送付",IF(S457=0,"入金済",IF(S457&lt;0,"過入金",IF(設定!$C$5&gt;L457,IF(P457&gt;0,"一部入金・超過","期日超過"),IF(P457&gt;0,"一部入金",IF(L457-設定!$C$5&lt;=設定!$C$6,"期日間近","入金待ち")))))))))</f>
        <v/>
      </c>
      <c r="V457" s="30" t="str">
        <f aca="false">IF(OR(U457="期日超過",U457="一部入金・超過"),設定!$C$5-L457,"")</f>
        <v/>
      </c>
      <c r="W457" s="21" t="str">
        <f aca="false">IF(A457="","",TRIM(IF(B457="","請求日 ","")&amp;IF(C457="","取引先 ",IF(D457="コード誤り","取引先コード誤り ",""))&amp;IF(E457="","件名 ","")&amp;IF(F457="","税抜金額 ","")&amp;IF(G457="","税率 ","")&amp;IF(M457="","送付方法 ","")&amp;IF(AND(N457&lt;&gt;"",O457=""),"送付者 ","")&amp;IF(AND(I457&lt;&gt;"",L457=""),"入金期日 ","")&amp;IF(AND(N457&lt;&gt;"",P457&gt;0,S457&lt;=0,X457=""),"消込確認者 ","")))</f>
        <v/>
      </c>
      <c r="X457" s="28"/>
      <c r="Y457" s="28"/>
    </row>
    <row r="458" customFormat="false" ht="15" hidden="false" customHeight="false" outlineLevel="0" collapsed="false">
      <c r="A458" s="21" t="str">
        <f aca="false">IF(COUNTA(B458,C458,E458,F458)=0,"",設定!$C$4&amp;TEXT(ROW()-4,"00000"))</f>
        <v/>
      </c>
      <c r="B458" s="22"/>
      <c r="C458" s="23"/>
      <c r="D458" s="21" t="str">
        <f aca="false">IF(C458="","",IFERROR(INDEX(取引先マスタ!$B$5:$B$204,MATCH($C458,取引先マスタ!$A$5:$A$204,0)),"コード誤り"))</f>
        <v/>
      </c>
      <c r="E458" s="28"/>
      <c r="F458" s="18"/>
      <c r="G458" s="25"/>
      <c r="H458" s="26" t="str">
        <f aca="false">IF(OR(F458="",G458=""),"",ROUNDDOWN(F458*G458,0))</f>
        <v/>
      </c>
      <c r="I458" s="26" t="str">
        <f aca="false">IF(OR(F458="",G458=""),"",F458+H458)</f>
        <v/>
      </c>
      <c r="J458" s="27" t="str">
        <f aca="false">IF(OR(B458="",C458="",D458="コード誤り"),"",IFERROR(DATE(YEAR(B458),MONTH(B458)+INDEX(取引先マスタ!$E$5:$E$204,MATCH($C458,取引先マスタ!$A$5:$A$204,0)),MIN(INDEX(取引先マスタ!$F$5:$F$204,MATCH($C458,取引先マスタ!$A$5:$A$204,0)),DAY(EOMONTH(B458,INDEX(取引先マスタ!$E$5:$E$204,MATCH($C458,取引先マスタ!$A$5:$A$204,0)))))),""))</f>
        <v/>
      </c>
      <c r="K458" s="22"/>
      <c r="L458" s="27" t="str">
        <f aca="false">IF(K458&lt;&gt;"",K458,J458)</f>
        <v/>
      </c>
      <c r="M458" s="28"/>
      <c r="N458" s="22"/>
      <c r="O458" s="28"/>
      <c r="P458" s="26" t="str">
        <f aca="false">IF(A458="","",SUMIF(入金明細!$F$5:$F$1004,A458,入金明細!$E$5:$E$1004))</f>
        <v/>
      </c>
      <c r="Q458" s="27" t="str">
        <f aca="false">IF(OR(A458="",N(P458)=0),"",SUMPRODUCT(MAX((入金明細!$F$5:$F$1004=A458)*入金明細!$B$5:$B$1004)))</f>
        <v/>
      </c>
      <c r="R458" s="18"/>
      <c r="S458" s="26" t="str">
        <f aca="false">IF(OR(A458="",I458=""),"",I458-N(P458)-N(R458))</f>
        <v/>
      </c>
      <c r="T458" s="28"/>
      <c r="U458" s="29" t="str">
        <f aca="false">IF(A458="","",IF(T458="取消","取消",IF(W458&lt;&gt;"","要入力",IF(N458="","未送付",IF(S458=0,"入金済",IF(S458&lt;0,"過入金",IF(設定!$C$5&gt;L458,IF(P458&gt;0,"一部入金・超過","期日超過"),IF(P458&gt;0,"一部入金",IF(L458-設定!$C$5&lt;=設定!$C$6,"期日間近","入金待ち")))))))))</f>
        <v/>
      </c>
      <c r="V458" s="30" t="str">
        <f aca="false">IF(OR(U458="期日超過",U458="一部入金・超過"),設定!$C$5-L458,"")</f>
        <v/>
      </c>
      <c r="W458" s="21" t="str">
        <f aca="false">IF(A458="","",TRIM(IF(B458="","請求日 ","")&amp;IF(C458="","取引先 ",IF(D458="コード誤り","取引先コード誤り ",""))&amp;IF(E458="","件名 ","")&amp;IF(F458="","税抜金額 ","")&amp;IF(G458="","税率 ","")&amp;IF(M458="","送付方法 ","")&amp;IF(AND(N458&lt;&gt;"",O458=""),"送付者 ","")&amp;IF(AND(I458&lt;&gt;"",L458=""),"入金期日 ","")&amp;IF(AND(N458&lt;&gt;"",P458&gt;0,S458&lt;=0,X458=""),"消込確認者 ","")))</f>
        <v/>
      </c>
      <c r="X458" s="28"/>
      <c r="Y458" s="28"/>
    </row>
    <row r="459" customFormat="false" ht="15" hidden="false" customHeight="false" outlineLevel="0" collapsed="false">
      <c r="A459" s="21" t="str">
        <f aca="false">IF(COUNTA(B459,C459,E459,F459)=0,"",設定!$C$4&amp;TEXT(ROW()-4,"00000"))</f>
        <v/>
      </c>
      <c r="B459" s="22"/>
      <c r="C459" s="23"/>
      <c r="D459" s="21" t="str">
        <f aca="false">IF(C459="","",IFERROR(INDEX(取引先マスタ!$B$5:$B$204,MATCH($C459,取引先マスタ!$A$5:$A$204,0)),"コード誤り"))</f>
        <v/>
      </c>
      <c r="E459" s="28"/>
      <c r="F459" s="18"/>
      <c r="G459" s="25"/>
      <c r="H459" s="26" t="str">
        <f aca="false">IF(OR(F459="",G459=""),"",ROUNDDOWN(F459*G459,0))</f>
        <v/>
      </c>
      <c r="I459" s="26" t="str">
        <f aca="false">IF(OR(F459="",G459=""),"",F459+H459)</f>
        <v/>
      </c>
      <c r="J459" s="27" t="str">
        <f aca="false">IF(OR(B459="",C459="",D459="コード誤り"),"",IFERROR(DATE(YEAR(B459),MONTH(B459)+INDEX(取引先マスタ!$E$5:$E$204,MATCH($C459,取引先マスタ!$A$5:$A$204,0)),MIN(INDEX(取引先マスタ!$F$5:$F$204,MATCH($C459,取引先マスタ!$A$5:$A$204,0)),DAY(EOMONTH(B459,INDEX(取引先マスタ!$E$5:$E$204,MATCH($C459,取引先マスタ!$A$5:$A$204,0)))))),""))</f>
        <v/>
      </c>
      <c r="K459" s="22"/>
      <c r="L459" s="27" t="str">
        <f aca="false">IF(K459&lt;&gt;"",K459,J459)</f>
        <v/>
      </c>
      <c r="M459" s="28"/>
      <c r="N459" s="22"/>
      <c r="O459" s="28"/>
      <c r="P459" s="26" t="str">
        <f aca="false">IF(A459="","",SUMIF(入金明細!$F$5:$F$1004,A459,入金明細!$E$5:$E$1004))</f>
        <v/>
      </c>
      <c r="Q459" s="27" t="str">
        <f aca="false">IF(OR(A459="",N(P459)=0),"",SUMPRODUCT(MAX((入金明細!$F$5:$F$1004=A459)*入金明細!$B$5:$B$1004)))</f>
        <v/>
      </c>
      <c r="R459" s="18"/>
      <c r="S459" s="26" t="str">
        <f aca="false">IF(OR(A459="",I459=""),"",I459-N(P459)-N(R459))</f>
        <v/>
      </c>
      <c r="T459" s="28"/>
      <c r="U459" s="29" t="str">
        <f aca="false">IF(A459="","",IF(T459="取消","取消",IF(W459&lt;&gt;"","要入力",IF(N459="","未送付",IF(S459=0,"入金済",IF(S459&lt;0,"過入金",IF(設定!$C$5&gt;L459,IF(P459&gt;0,"一部入金・超過","期日超過"),IF(P459&gt;0,"一部入金",IF(L459-設定!$C$5&lt;=設定!$C$6,"期日間近","入金待ち")))))))))</f>
        <v/>
      </c>
      <c r="V459" s="30" t="str">
        <f aca="false">IF(OR(U459="期日超過",U459="一部入金・超過"),設定!$C$5-L459,"")</f>
        <v/>
      </c>
      <c r="W459" s="21" t="str">
        <f aca="false">IF(A459="","",TRIM(IF(B459="","請求日 ","")&amp;IF(C459="","取引先 ",IF(D459="コード誤り","取引先コード誤り ",""))&amp;IF(E459="","件名 ","")&amp;IF(F459="","税抜金額 ","")&amp;IF(G459="","税率 ","")&amp;IF(M459="","送付方法 ","")&amp;IF(AND(N459&lt;&gt;"",O459=""),"送付者 ","")&amp;IF(AND(I459&lt;&gt;"",L459=""),"入金期日 ","")&amp;IF(AND(N459&lt;&gt;"",P459&gt;0,S459&lt;=0,X459=""),"消込確認者 ","")))</f>
        <v/>
      </c>
      <c r="X459" s="28"/>
      <c r="Y459" s="28"/>
    </row>
    <row r="460" customFormat="false" ht="15" hidden="false" customHeight="false" outlineLevel="0" collapsed="false">
      <c r="A460" s="21" t="str">
        <f aca="false">IF(COUNTA(B460,C460,E460,F460)=0,"",設定!$C$4&amp;TEXT(ROW()-4,"00000"))</f>
        <v/>
      </c>
      <c r="B460" s="22"/>
      <c r="C460" s="23"/>
      <c r="D460" s="21" t="str">
        <f aca="false">IF(C460="","",IFERROR(INDEX(取引先マスタ!$B$5:$B$204,MATCH($C460,取引先マスタ!$A$5:$A$204,0)),"コード誤り"))</f>
        <v/>
      </c>
      <c r="E460" s="28"/>
      <c r="F460" s="18"/>
      <c r="G460" s="25"/>
      <c r="H460" s="26" t="str">
        <f aca="false">IF(OR(F460="",G460=""),"",ROUNDDOWN(F460*G460,0))</f>
        <v/>
      </c>
      <c r="I460" s="26" t="str">
        <f aca="false">IF(OR(F460="",G460=""),"",F460+H460)</f>
        <v/>
      </c>
      <c r="J460" s="27" t="str">
        <f aca="false">IF(OR(B460="",C460="",D460="コード誤り"),"",IFERROR(DATE(YEAR(B460),MONTH(B460)+INDEX(取引先マスタ!$E$5:$E$204,MATCH($C460,取引先マスタ!$A$5:$A$204,0)),MIN(INDEX(取引先マスタ!$F$5:$F$204,MATCH($C460,取引先マスタ!$A$5:$A$204,0)),DAY(EOMONTH(B460,INDEX(取引先マスタ!$E$5:$E$204,MATCH($C460,取引先マスタ!$A$5:$A$204,0)))))),""))</f>
        <v/>
      </c>
      <c r="K460" s="22"/>
      <c r="L460" s="27" t="str">
        <f aca="false">IF(K460&lt;&gt;"",K460,J460)</f>
        <v/>
      </c>
      <c r="M460" s="28"/>
      <c r="N460" s="22"/>
      <c r="O460" s="28"/>
      <c r="P460" s="26" t="str">
        <f aca="false">IF(A460="","",SUMIF(入金明細!$F$5:$F$1004,A460,入金明細!$E$5:$E$1004))</f>
        <v/>
      </c>
      <c r="Q460" s="27" t="str">
        <f aca="false">IF(OR(A460="",N(P460)=0),"",SUMPRODUCT(MAX((入金明細!$F$5:$F$1004=A460)*入金明細!$B$5:$B$1004)))</f>
        <v/>
      </c>
      <c r="R460" s="18"/>
      <c r="S460" s="26" t="str">
        <f aca="false">IF(OR(A460="",I460=""),"",I460-N(P460)-N(R460))</f>
        <v/>
      </c>
      <c r="T460" s="28"/>
      <c r="U460" s="29" t="str">
        <f aca="false">IF(A460="","",IF(T460="取消","取消",IF(W460&lt;&gt;"","要入力",IF(N460="","未送付",IF(S460=0,"入金済",IF(S460&lt;0,"過入金",IF(設定!$C$5&gt;L460,IF(P460&gt;0,"一部入金・超過","期日超過"),IF(P460&gt;0,"一部入金",IF(L460-設定!$C$5&lt;=設定!$C$6,"期日間近","入金待ち")))))))))</f>
        <v/>
      </c>
      <c r="V460" s="30" t="str">
        <f aca="false">IF(OR(U460="期日超過",U460="一部入金・超過"),設定!$C$5-L460,"")</f>
        <v/>
      </c>
      <c r="W460" s="21" t="str">
        <f aca="false">IF(A460="","",TRIM(IF(B460="","請求日 ","")&amp;IF(C460="","取引先 ",IF(D460="コード誤り","取引先コード誤り ",""))&amp;IF(E460="","件名 ","")&amp;IF(F460="","税抜金額 ","")&amp;IF(G460="","税率 ","")&amp;IF(M460="","送付方法 ","")&amp;IF(AND(N460&lt;&gt;"",O460=""),"送付者 ","")&amp;IF(AND(I460&lt;&gt;"",L460=""),"入金期日 ","")&amp;IF(AND(N460&lt;&gt;"",P460&gt;0,S460&lt;=0,X460=""),"消込確認者 ","")))</f>
        <v/>
      </c>
      <c r="X460" s="28"/>
      <c r="Y460" s="28"/>
    </row>
    <row r="461" customFormat="false" ht="15" hidden="false" customHeight="false" outlineLevel="0" collapsed="false">
      <c r="A461" s="21" t="str">
        <f aca="false">IF(COUNTA(B461,C461,E461,F461)=0,"",設定!$C$4&amp;TEXT(ROW()-4,"00000"))</f>
        <v/>
      </c>
      <c r="B461" s="22"/>
      <c r="C461" s="23"/>
      <c r="D461" s="21" t="str">
        <f aca="false">IF(C461="","",IFERROR(INDEX(取引先マスタ!$B$5:$B$204,MATCH($C461,取引先マスタ!$A$5:$A$204,0)),"コード誤り"))</f>
        <v/>
      </c>
      <c r="E461" s="28"/>
      <c r="F461" s="18"/>
      <c r="G461" s="25"/>
      <c r="H461" s="26" t="str">
        <f aca="false">IF(OR(F461="",G461=""),"",ROUNDDOWN(F461*G461,0))</f>
        <v/>
      </c>
      <c r="I461" s="26" t="str">
        <f aca="false">IF(OR(F461="",G461=""),"",F461+H461)</f>
        <v/>
      </c>
      <c r="J461" s="27" t="str">
        <f aca="false">IF(OR(B461="",C461="",D461="コード誤り"),"",IFERROR(DATE(YEAR(B461),MONTH(B461)+INDEX(取引先マスタ!$E$5:$E$204,MATCH($C461,取引先マスタ!$A$5:$A$204,0)),MIN(INDEX(取引先マスタ!$F$5:$F$204,MATCH($C461,取引先マスタ!$A$5:$A$204,0)),DAY(EOMONTH(B461,INDEX(取引先マスタ!$E$5:$E$204,MATCH($C461,取引先マスタ!$A$5:$A$204,0)))))),""))</f>
        <v/>
      </c>
      <c r="K461" s="22"/>
      <c r="L461" s="27" t="str">
        <f aca="false">IF(K461&lt;&gt;"",K461,J461)</f>
        <v/>
      </c>
      <c r="M461" s="28"/>
      <c r="N461" s="22"/>
      <c r="O461" s="28"/>
      <c r="P461" s="26" t="str">
        <f aca="false">IF(A461="","",SUMIF(入金明細!$F$5:$F$1004,A461,入金明細!$E$5:$E$1004))</f>
        <v/>
      </c>
      <c r="Q461" s="27" t="str">
        <f aca="false">IF(OR(A461="",N(P461)=0),"",SUMPRODUCT(MAX((入金明細!$F$5:$F$1004=A461)*入金明細!$B$5:$B$1004)))</f>
        <v/>
      </c>
      <c r="R461" s="18"/>
      <c r="S461" s="26" t="str">
        <f aca="false">IF(OR(A461="",I461=""),"",I461-N(P461)-N(R461))</f>
        <v/>
      </c>
      <c r="T461" s="28"/>
      <c r="U461" s="29" t="str">
        <f aca="false">IF(A461="","",IF(T461="取消","取消",IF(W461&lt;&gt;"","要入力",IF(N461="","未送付",IF(S461=0,"入金済",IF(S461&lt;0,"過入金",IF(設定!$C$5&gt;L461,IF(P461&gt;0,"一部入金・超過","期日超過"),IF(P461&gt;0,"一部入金",IF(L461-設定!$C$5&lt;=設定!$C$6,"期日間近","入金待ち")))))))))</f>
        <v/>
      </c>
      <c r="V461" s="30" t="str">
        <f aca="false">IF(OR(U461="期日超過",U461="一部入金・超過"),設定!$C$5-L461,"")</f>
        <v/>
      </c>
      <c r="W461" s="21" t="str">
        <f aca="false">IF(A461="","",TRIM(IF(B461="","請求日 ","")&amp;IF(C461="","取引先 ",IF(D461="コード誤り","取引先コード誤り ",""))&amp;IF(E461="","件名 ","")&amp;IF(F461="","税抜金額 ","")&amp;IF(G461="","税率 ","")&amp;IF(M461="","送付方法 ","")&amp;IF(AND(N461&lt;&gt;"",O461=""),"送付者 ","")&amp;IF(AND(I461&lt;&gt;"",L461=""),"入金期日 ","")&amp;IF(AND(N461&lt;&gt;"",P461&gt;0,S461&lt;=0,X461=""),"消込確認者 ","")))</f>
        <v/>
      </c>
      <c r="X461" s="28"/>
      <c r="Y461" s="28"/>
    </row>
    <row r="462" customFormat="false" ht="15" hidden="false" customHeight="false" outlineLevel="0" collapsed="false">
      <c r="A462" s="21" t="str">
        <f aca="false">IF(COUNTA(B462,C462,E462,F462)=0,"",設定!$C$4&amp;TEXT(ROW()-4,"00000"))</f>
        <v/>
      </c>
      <c r="B462" s="22"/>
      <c r="C462" s="23"/>
      <c r="D462" s="21" t="str">
        <f aca="false">IF(C462="","",IFERROR(INDEX(取引先マスタ!$B$5:$B$204,MATCH($C462,取引先マスタ!$A$5:$A$204,0)),"コード誤り"))</f>
        <v/>
      </c>
      <c r="E462" s="28"/>
      <c r="F462" s="18"/>
      <c r="G462" s="25"/>
      <c r="H462" s="26" t="str">
        <f aca="false">IF(OR(F462="",G462=""),"",ROUNDDOWN(F462*G462,0))</f>
        <v/>
      </c>
      <c r="I462" s="26" t="str">
        <f aca="false">IF(OR(F462="",G462=""),"",F462+H462)</f>
        <v/>
      </c>
      <c r="J462" s="27" t="str">
        <f aca="false">IF(OR(B462="",C462="",D462="コード誤り"),"",IFERROR(DATE(YEAR(B462),MONTH(B462)+INDEX(取引先マスタ!$E$5:$E$204,MATCH($C462,取引先マスタ!$A$5:$A$204,0)),MIN(INDEX(取引先マスタ!$F$5:$F$204,MATCH($C462,取引先マスタ!$A$5:$A$204,0)),DAY(EOMONTH(B462,INDEX(取引先マスタ!$E$5:$E$204,MATCH($C462,取引先マスタ!$A$5:$A$204,0)))))),""))</f>
        <v/>
      </c>
      <c r="K462" s="22"/>
      <c r="L462" s="27" t="str">
        <f aca="false">IF(K462&lt;&gt;"",K462,J462)</f>
        <v/>
      </c>
      <c r="M462" s="28"/>
      <c r="N462" s="22"/>
      <c r="O462" s="28"/>
      <c r="P462" s="26" t="str">
        <f aca="false">IF(A462="","",SUMIF(入金明細!$F$5:$F$1004,A462,入金明細!$E$5:$E$1004))</f>
        <v/>
      </c>
      <c r="Q462" s="27" t="str">
        <f aca="false">IF(OR(A462="",N(P462)=0),"",SUMPRODUCT(MAX((入金明細!$F$5:$F$1004=A462)*入金明細!$B$5:$B$1004)))</f>
        <v/>
      </c>
      <c r="R462" s="18"/>
      <c r="S462" s="26" t="str">
        <f aca="false">IF(OR(A462="",I462=""),"",I462-N(P462)-N(R462))</f>
        <v/>
      </c>
      <c r="T462" s="28"/>
      <c r="U462" s="29" t="str">
        <f aca="false">IF(A462="","",IF(T462="取消","取消",IF(W462&lt;&gt;"","要入力",IF(N462="","未送付",IF(S462=0,"入金済",IF(S462&lt;0,"過入金",IF(設定!$C$5&gt;L462,IF(P462&gt;0,"一部入金・超過","期日超過"),IF(P462&gt;0,"一部入金",IF(L462-設定!$C$5&lt;=設定!$C$6,"期日間近","入金待ち")))))))))</f>
        <v/>
      </c>
      <c r="V462" s="30" t="str">
        <f aca="false">IF(OR(U462="期日超過",U462="一部入金・超過"),設定!$C$5-L462,"")</f>
        <v/>
      </c>
      <c r="W462" s="21" t="str">
        <f aca="false">IF(A462="","",TRIM(IF(B462="","請求日 ","")&amp;IF(C462="","取引先 ",IF(D462="コード誤り","取引先コード誤り ",""))&amp;IF(E462="","件名 ","")&amp;IF(F462="","税抜金額 ","")&amp;IF(G462="","税率 ","")&amp;IF(M462="","送付方法 ","")&amp;IF(AND(N462&lt;&gt;"",O462=""),"送付者 ","")&amp;IF(AND(I462&lt;&gt;"",L462=""),"入金期日 ","")&amp;IF(AND(N462&lt;&gt;"",P462&gt;0,S462&lt;=0,X462=""),"消込確認者 ","")))</f>
        <v/>
      </c>
      <c r="X462" s="28"/>
      <c r="Y462" s="28"/>
    </row>
    <row r="463" customFormat="false" ht="15" hidden="false" customHeight="false" outlineLevel="0" collapsed="false">
      <c r="A463" s="21" t="str">
        <f aca="false">IF(COUNTA(B463,C463,E463,F463)=0,"",設定!$C$4&amp;TEXT(ROW()-4,"00000"))</f>
        <v/>
      </c>
      <c r="B463" s="22"/>
      <c r="C463" s="23"/>
      <c r="D463" s="21" t="str">
        <f aca="false">IF(C463="","",IFERROR(INDEX(取引先マスタ!$B$5:$B$204,MATCH($C463,取引先マスタ!$A$5:$A$204,0)),"コード誤り"))</f>
        <v/>
      </c>
      <c r="E463" s="28"/>
      <c r="F463" s="18"/>
      <c r="G463" s="25"/>
      <c r="H463" s="26" t="str">
        <f aca="false">IF(OR(F463="",G463=""),"",ROUNDDOWN(F463*G463,0))</f>
        <v/>
      </c>
      <c r="I463" s="26" t="str">
        <f aca="false">IF(OR(F463="",G463=""),"",F463+H463)</f>
        <v/>
      </c>
      <c r="J463" s="27" t="str">
        <f aca="false">IF(OR(B463="",C463="",D463="コード誤り"),"",IFERROR(DATE(YEAR(B463),MONTH(B463)+INDEX(取引先マスタ!$E$5:$E$204,MATCH($C463,取引先マスタ!$A$5:$A$204,0)),MIN(INDEX(取引先マスタ!$F$5:$F$204,MATCH($C463,取引先マスタ!$A$5:$A$204,0)),DAY(EOMONTH(B463,INDEX(取引先マスタ!$E$5:$E$204,MATCH($C463,取引先マスタ!$A$5:$A$204,0)))))),""))</f>
        <v/>
      </c>
      <c r="K463" s="22"/>
      <c r="L463" s="27" t="str">
        <f aca="false">IF(K463&lt;&gt;"",K463,J463)</f>
        <v/>
      </c>
      <c r="M463" s="28"/>
      <c r="N463" s="22"/>
      <c r="O463" s="28"/>
      <c r="P463" s="26" t="str">
        <f aca="false">IF(A463="","",SUMIF(入金明細!$F$5:$F$1004,A463,入金明細!$E$5:$E$1004))</f>
        <v/>
      </c>
      <c r="Q463" s="27" t="str">
        <f aca="false">IF(OR(A463="",N(P463)=0),"",SUMPRODUCT(MAX((入金明細!$F$5:$F$1004=A463)*入金明細!$B$5:$B$1004)))</f>
        <v/>
      </c>
      <c r="R463" s="18"/>
      <c r="S463" s="26" t="str">
        <f aca="false">IF(OR(A463="",I463=""),"",I463-N(P463)-N(R463))</f>
        <v/>
      </c>
      <c r="T463" s="28"/>
      <c r="U463" s="29" t="str">
        <f aca="false">IF(A463="","",IF(T463="取消","取消",IF(W463&lt;&gt;"","要入力",IF(N463="","未送付",IF(S463=0,"入金済",IF(S463&lt;0,"過入金",IF(設定!$C$5&gt;L463,IF(P463&gt;0,"一部入金・超過","期日超過"),IF(P463&gt;0,"一部入金",IF(L463-設定!$C$5&lt;=設定!$C$6,"期日間近","入金待ち")))))))))</f>
        <v/>
      </c>
      <c r="V463" s="30" t="str">
        <f aca="false">IF(OR(U463="期日超過",U463="一部入金・超過"),設定!$C$5-L463,"")</f>
        <v/>
      </c>
      <c r="W463" s="21" t="str">
        <f aca="false">IF(A463="","",TRIM(IF(B463="","請求日 ","")&amp;IF(C463="","取引先 ",IF(D463="コード誤り","取引先コード誤り ",""))&amp;IF(E463="","件名 ","")&amp;IF(F463="","税抜金額 ","")&amp;IF(G463="","税率 ","")&amp;IF(M463="","送付方法 ","")&amp;IF(AND(N463&lt;&gt;"",O463=""),"送付者 ","")&amp;IF(AND(I463&lt;&gt;"",L463=""),"入金期日 ","")&amp;IF(AND(N463&lt;&gt;"",P463&gt;0,S463&lt;=0,X463=""),"消込確認者 ","")))</f>
        <v/>
      </c>
      <c r="X463" s="28"/>
      <c r="Y463" s="28"/>
    </row>
    <row r="464" customFormat="false" ht="15" hidden="false" customHeight="false" outlineLevel="0" collapsed="false">
      <c r="A464" s="21" t="str">
        <f aca="false">IF(COUNTA(B464,C464,E464,F464)=0,"",設定!$C$4&amp;TEXT(ROW()-4,"00000"))</f>
        <v/>
      </c>
      <c r="B464" s="22"/>
      <c r="C464" s="23"/>
      <c r="D464" s="21" t="str">
        <f aca="false">IF(C464="","",IFERROR(INDEX(取引先マスタ!$B$5:$B$204,MATCH($C464,取引先マスタ!$A$5:$A$204,0)),"コード誤り"))</f>
        <v/>
      </c>
      <c r="E464" s="28"/>
      <c r="F464" s="18"/>
      <c r="G464" s="25"/>
      <c r="H464" s="26" t="str">
        <f aca="false">IF(OR(F464="",G464=""),"",ROUNDDOWN(F464*G464,0))</f>
        <v/>
      </c>
      <c r="I464" s="26" t="str">
        <f aca="false">IF(OR(F464="",G464=""),"",F464+H464)</f>
        <v/>
      </c>
      <c r="J464" s="27" t="str">
        <f aca="false">IF(OR(B464="",C464="",D464="コード誤り"),"",IFERROR(DATE(YEAR(B464),MONTH(B464)+INDEX(取引先マスタ!$E$5:$E$204,MATCH($C464,取引先マスタ!$A$5:$A$204,0)),MIN(INDEX(取引先マスタ!$F$5:$F$204,MATCH($C464,取引先マスタ!$A$5:$A$204,0)),DAY(EOMONTH(B464,INDEX(取引先マスタ!$E$5:$E$204,MATCH($C464,取引先マスタ!$A$5:$A$204,0)))))),""))</f>
        <v/>
      </c>
      <c r="K464" s="22"/>
      <c r="L464" s="27" t="str">
        <f aca="false">IF(K464&lt;&gt;"",K464,J464)</f>
        <v/>
      </c>
      <c r="M464" s="28"/>
      <c r="N464" s="22"/>
      <c r="O464" s="28"/>
      <c r="P464" s="26" t="str">
        <f aca="false">IF(A464="","",SUMIF(入金明細!$F$5:$F$1004,A464,入金明細!$E$5:$E$1004))</f>
        <v/>
      </c>
      <c r="Q464" s="27" t="str">
        <f aca="false">IF(OR(A464="",N(P464)=0),"",SUMPRODUCT(MAX((入金明細!$F$5:$F$1004=A464)*入金明細!$B$5:$B$1004)))</f>
        <v/>
      </c>
      <c r="R464" s="18"/>
      <c r="S464" s="26" t="str">
        <f aca="false">IF(OR(A464="",I464=""),"",I464-N(P464)-N(R464))</f>
        <v/>
      </c>
      <c r="T464" s="28"/>
      <c r="U464" s="29" t="str">
        <f aca="false">IF(A464="","",IF(T464="取消","取消",IF(W464&lt;&gt;"","要入力",IF(N464="","未送付",IF(S464=0,"入金済",IF(S464&lt;0,"過入金",IF(設定!$C$5&gt;L464,IF(P464&gt;0,"一部入金・超過","期日超過"),IF(P464&gt;0,"一部入金",IF(L464-設定!$C$5&lt;=設定!$C$6,"期日間近","入金待ち")))))))))</f>
        <v/>
      </c>
      <c r="V464" s="30" t="str">
        <f aca="false">IF(OR(U464="期日超過",U464="一部入金・超過"),設定!$C$5-L464,"")</f>
        <v/>
      </c>
      <c r="W464" s="21" t="str">
        <f aca="false">IF(A464="","",TRIM(IF(B464="","請求日 ","")&amp;IF(C464="","取引先 ",IF(D464="コード誤り","取引先コード誤り ",""))&amp;IF(E464="","件名 ","")&amp;IF(F464="","税抜金額 ","")&amp;IF(G464="","税率 ","")&amp;IF(M464="","送付方法 ","")&amp;IF(AND(N464&lt;&gt;"",O464=""),"送付者 ","")&amp;IF(AND(I464&lt;&gt;"",L464=""),"入金期日 ","")&amp;IF(AND(N464&lt;&gt;"",P464&gt;0,S464&lt;=0,X464=""),"消込確認者 ","")))</f>
        <v/>
      </c>
      <c r="X464" s="28"/>
      <c r="Y464" s="28"/>
    </row>
    <row r="465" customFormat="false" ht="15" hidden="false" customHeight="false" outlineLevel="0" collapsed="false">
      <c r="A465" s="21" t="str">
        <f aca="false">IF(COUNTA(B465,C465,E465,F465)=0,"",設定!$C$4&amp;TEXT(ROW()-4,"00000"))</f>
        <v/>
      </c>
      <c r="B465" s="22"/>
      <c r="C465" s="23"/>
      <c r="D465" s="21" t="str">
        <f aca="false">IF(C465="","",IFERROR(INDEX(取引先マスタ!$B$5:$B$204,MATCH($C465,取引先マスタ!$A$5:$A$204,0)),"コード誤り"))</f>
        <v/>
      </c>
      <c r="E465" s="28"/>
      <c r="F465" s="18"/>
      <c r="G465" s="25"/>
      <c r="H465" s="26" t="str">
        <f aca="false">IF(OR(F465="",G465=""),"",ROUNDDOWN(F465*G465,0))</f>
        <v/>
      </c>
      <c r="I465" s="26" t="str">
        <f aca="false">IF(OR(F465="",G465=""),"",F465+H465)</f>
        <v/>
      </c>
      <c r="J465" s="27" t="str">
        <f aca="false">IF(OR(B465="",C465="",D465="コード誤り"),"",IFERROR(DATE(YEAR(B465),MONTH(B465)+INDEX(取引先マスタ!$E$5:$E$204,MATCH($C465,取引先マスタ!$A$5:$A$204,0)),MIN(INDEX(取引先マスタ!$F$5:$F$204,MATCH($C465,取引先マスタ!$A$5:$A$204,0)),DAY(EOMONTH(B465,INDEX(取引先マスタ!$E$5:$E$204,MATCH($C465,取引先マスタ!$A$5:$A$204,0)))))),""))</f>
        <v/>
      </c>
      <c r="K465" s="22"/>
      <c r="L465" s="27" t="str">
        <f aca="false">IF(K465&lt;&gt;"",K465,J465)</f>
        <v/>
      </c>
      <c r="M465" s="28"/>
      <c r="N465" s="22"/>
      <c r="O465" s="28"/>
      <c r="P465" s="26" t="str">
        <f aca="false">IF(A465="","",SUMIF(入金明細!$F$5:$F$1004,A465,入金明細!$E$5:$E$1004))</f>
        <v/>
      </c>
      <c r="Q465" s="27" t="str">
        <f aca="false">IF(OR(A465="",N(P465)=0),"",SUMPRODUCT(MAX((入金明細!$F$5:$F$1004=A465)*入金明細!$B$5:$B$1004)))</f>
        <v/>
      </c>
      <c r="R465" s="18"/>
      <c r="S465" s="26" t="str">
        <f aca="false">IF(OR(A465="",I465=""),"",I465-N(P465)-N(R465))</f>
        <v/>
      </c>
      <c r="T465" s="28"/>
      <c r="U465" s="29" t="str">
        <f aca="false">IF(A465="","",IF(T465="取消","取消",IF(W465&lt;&gt;"","要入力",IF(N465="","未送付",IF(S465=0,"入金済",IF(S465&lt;0,"過入金",IF(設定!$C$5&gt;L465,IF(P465&gt;0,"一部入金・超過","期日超過"),IF(P465&gt;0,"一部入金",IF(L465-設定!$C$5&lt;=設定!$C$6,"期日間近","入金待ち")))))))))</f>
        <v/>
      </c>
      <c r="V465" s="30" t="str">
        <f aca="false">IF(OR(U465="期日超過",U465="一部入金・超過"),設定!$C$5-L465,"")</f>
        <v/>
      </c>
      <c r="W465" s="21" t="str">
        <f aca="false">IF(A465="","",TRIM(IF(B465="","請求日 ","")&amp;IF(C465="","取引先 ",IF(D465="コード誤り","取引先コード誤り ",""))&amp;IF(E465="","件名 ","")&amp;IF(F465="","税抜金額 ","")&amp;IF(G465="","税率 ","")&amp;IF(M465="","送付方法 ","")&amp;IF(AND(N465&lt;&gt;"",O465=""),"送付者 ","")&amp;IF(AND(I465&lt;&gt;"",L465=""),"入金期日 ","")&amp;IF(AND(N465&lt;&gt;"",P465&gt;0,S465&lt;=0,X465=""),"消込確認者 ","")))</f>
        <v/>
      </c>
      <c r="X465" s="28"/>
      <c r="Y465" s="28"/>
    </row>
    <row r="466" customFormat="false" ht="15" hidden="false" customHeight="false" outlineLevel="0" collapsed="false">
      <c r="A466" s="21" t="str">
        <f aca="false">IF(COUNTA(B466,C466,E466,F466)=0,"",設定!$C$4&amp;TEXT(ROW()-4,"00000"))</f>
        <v/>
      </c>
      <c r="B466" s="22"/>
      <c r="C466" s="23"/>
      <c r="D466" s="21" t="str">
        <f aca="false">IF(C466="","",IFERROR(INDEX(取引先マスタ!$B$5:$B$204,MATCH($C466,取引先マスタ!$A$5:$A$204,0)),"コード誤り"))</f>
        <v/>
      </c>
      <c r="E466" s="28"/>
      <c r="F466" s="18"/>
      <c r="G466" s="25"/>
      <c r="H466" s="26" t="str">
        <f aca="false">IF(OR(F466="",G466=""),"",ROUNDDOWN(F466*G466,0))</f>
        <v/>
      </c>
      <c r="I466" s="26" t="str">
        <f aca="false">IF(OR(F466="",G466=""),"",F466+H466)</f>
        <v/>
      </c>
      <c r="J466" s="27" t="str">
        <f aca="false">IF(OR(B466="",C466="",D466="コード誤り"),"",IFERROR(DATE(YEAR(B466),MONTH(B466)+INDEX(取引先マスタ!$E$5:$E$204,MATCH($C466,取引先マスタ!$A$5:$A$204,0)),MIN(INDEX(取引先マスタ!$F$5:$F$204,MATCH($C466,取引先マスタ!$A$5:$A$204,0)),DAY(EOMONTH(B466,INDEX(取引先マスタ!$E$5:$E$204,MATCH($C466,取引先マスタ!$A$5:$A$204,0)))))),""))</f>
        <v/>
      </c>
      <c r="K466" s="22"/>
      <c r="L466" s="27" t="str">
        <f aca="false">IF(K466&lt;&gt;"",K466,J466)</f>
        <v/>
      </c>
      <c r="M466" s="28"/>
      <c r="N466" s="22"/>
      <c r="O466" s="28"/>
      <c r="P466" s="26" t="str">
        <f aca="false">IF(A466="","",SUMIF(入金明細!$F$5:$F$1004,A466,入金明細!$E$5:$E$1004))</f>
        <v/>
      </c>
      <c r="Q466" s="27" t="str">
        <f aca="false">IF(OR(A466="",N(P466)=0),"",SUMPRODUCT(MAX((入金明細!$F$5:$F$1004=A466)*入金明細!$B$5:$B$1004)))</f>
        <v/>
      </c>
      <c r="R466" s="18"/>
      <c r="S466" s="26" t="str">
        <f aca="false">IF(OR(A466="",I466=""),"",I466-N(P466)-N(R466))</f>
        <v/>
      </c>
      <c r="T466" s="28"/>
      <c r="U466" s="29" t="str">
        <f aca="false">IF(A466="","",IF(T466="取消","取消",IF(W466&lt;&gt;"","要入力",IF(N466="","未送付",IF(S466=0,"入金済",IF(S466&lt;0,"過入金",IF(設定!$C$5&gt;L466,IF(P466&gt;0,"一部入金・超過","期日超過"),IF(P466&gt;0,"一部入金",IF(L466-設定!$C$5&lt;=設定!$C$6,"期日間近","入金待ち")))))))))</f>
        <v/>
      </c>
      <c r="V466" s="30" t="str">
        <f aca="false">IF(OR(U466="期日超過",U466="一部入金・超過"),設定!$C$5-L466,"")</f>
        <v/>
      </c>
      <c r="W466" s="21" t="str">
        <f aca="false">IF(A466="","",TRIM(IF(B466="","請求日 ","")&amp;IF(C466="","取引先 ",IF(D466="コード誤り","取引先コード誤り ",""))&amp;IF(E466="","件名 ","")&amp;IF(F466="","税抜金額 ","")&amp;IF(G466="","税率 ","")&amp;IF(M466="","送付方法 ","")&amp;IF(AND(N466&lt;&gt;"",O466=""),"送付者 ","")&amp;IF(AND(I466&lt;&gt;"",L466=""),"入金期日 ","")&amp;IF(AND(N466&lt;&gt;"",P466&gt;0,S466&lt;=0,X466=""),"消込確認者 ","")))</f>
        <v/>
      </c>
      <c r="X466" s="28"/>
      <c r="Y466" s="28"/>
    </row>
    <row r="467" customFormat="false" ht="15" hidden="false" customHeight="false" outlineLevel="0" collapsed="false">
      <c r="A467" s="21" t="str">
        <f aca="false">IF(COUNTA(B467,C467,E467,F467)=0,"",設定!$C$4&amp;TEXT(ROW()-4,"00000"))</f>
        <v/>
      </c>
      <c r="B467" s="22"/>
      <c r="C467" s="23"/>
      <c r="D467" s="21" t="str">
        <f aca="false">IF(C467="","",IFERROR(INDEX(取引先マスタ!$B$5:$B$204,MATCH($C467,取引先マスタ!$A$5:$A$204,0)),"コード誤り"))</f>
        <v/>
      </c>
      <c r="E467" s="28"/>
      <c r="F467" s="18"/>
      <c r="G467" s="25"/>
      <c r="H467" s="26" t="str">
        <f aca="false">IF(OR(F467="",G467=""),"",ROUNDDOWN(F467*G467,0))</f>
        <v/>
      </c>
      <c r="I467" s="26" t="str">
        <f aca="false">IF(OR(F467="",G467=""),"",F467+H467)</f>
        <v/>
      </c>
      <c r="J467" s="27" t="str">
        <f aca="false">IF(OR(B467="",C467="",D467="コード誤り"),"",IFERROR(DATE(YEAR(B467),MONTH(B467)+INDEX(取引先マスタ!$E$5:$E$204,MATCH($C467,取引先マスタ!$A$5:$A$204,0)),MIN(INDEX(取引先マスタ!$F$5:$F$204,MATCH($C467,取引先マスタ!$A$5:$A$204,0)),DAY(EOMONTH(B467,INDEX(取引先マスタ!$E$5:$E$204,MATCH($C467,取引先マスタ!$A$5:$A$204,0)))))),""))</f>
        <v/>
      </c>
      <c r="K467" s="22"/>
      <c r="L467" s="27" t="str">
        <f aca="false">IF(K467&lt;&gt;"",K467,J467)</f>
        <v/>
      </c>
      <c r="M467" s="28"/>
      <c r="N467" s="22"/>
      <c r="O467" s="28"/>
      <c r="P467" s="26" t="str">
        <f aca="false">IF(A467="","",SUMIF(入金明細!$F$5:$F$1004,A467,入金明細!$E$5:$E$1004))</f>
        <v/>
      </c>
      <c r="Q467" s="27" t="str">
        <f aca="false">IF(OR(A467="",N(P467)=0),"",SUMPRODUCT(MAX((入金明細!$F$5:$F$1004=A467)*入金明細!$B$5:$B$1004)))</f>
        <v/>
      </c>
      <c r="R467" s="18"/>
      <c r="S467" s="26" t="str">
        <f aca="false">IF(OR(A467="",I467=""),"",I467-N(P467)-N(R467))</f>
        <v/>
      </c>
      <c r="T467" s="28"/>
      <c r="U467" s="29" t="str">
        <f aca="false">IF(A467="","",IF(T467="取消","取消",IF(W467&lt;&gt;"","要入力",IF(N467="","未送付",IF(S467=0,"入金済",IF(S467&lt;0,"過入金",IF(設定!$C$5&gt;L467,IF(P467&gt;0,"一部入金・超過","期日超過"),IF(P467&gt;0,"一部入金",IF(L467-設定!$C$5&lt;=設定!$C$6,"期日間近","入金待ち")))))))))</f>
        <v/>
      </c>
      <c r="V467" s="30" t="str">
        <f aca="false">IF(OR(U467="期日超過",U467="一部入金・超過"),設定!$C$5-L467,"")</f>
        <v/>
      </c>
      <c r="W467" s="21" t="str">
        <f aca="false">IF(A467="","",TRIM(IF(B467="","請求日 ","")&amp;IF(C467="","取引先 ",IF(D467="コード誤り","取引先コード誤り ",""))&amp;IF(E467="","件名 ","")&amp;IF(F467="","税抜金額 ","")&amp;IF(G467="","税率 ","")&amp;IF(M467="","送付方法 ","")&amp;IF(AND(N467&lt;&gt;"",O467=""),"送付者 ","")&amp;IF(AND(I467&lt;&gt;"",L467=""),"入金期日 ","")&amp;IF(AND(N467&lt;&gt;"",P467&gt;0,S467&lt;=0,X467=""),"消込確認者 ","")))</f>
        <v/>
      </c>
      <c r="X467" s="28"/>
      <c r="Y467" s="28"/>
    </row>
    <row r="468" customFormat="false" ht="15" hidden="false" customHeight="false" outlineLevel="0" collapsed="false">
      <c r="A468" s="21" t="str">
        <f aca="false">IF(COUNTA(B468,C468,E468,F468)=0,"",設定!$C$4&amp;TEXT(ROW()-4,"00000"))</f>
        <v/>
      </c>
      <c r="B468" s="22"/>
      <c r="C468" s="23"/>
      <c r="D468" s="21" t="str">
        <f aca="false">IF(C468="","",IFERROR(INDEX(取引先マスタ!$B$5:$B$204,MATCH($C468,取引先マスタ!$A$5:$A$204,0)),"コード誤り"))</f>
        <v/>
      </c>
      <c r="E468" s="28"/>
      <c r="F468" s="18"/>
      <c r="G468" s="25"/>
      <c r="H468" s="26" t="str">
        <f aca="false">IF(OR(F468="",G468=""),"",ROUNDDOWN(F468*G468,0))</f>
        <v/>
      </c>
      <c r="I468" s="26" t="str">
        <f aca="false">IF(OR(F468="",G468=""),"",F468+H468)</f>
        <v/>
      </c>
      <c r="J468" s="27" t="str">
        <f aca="false">IF(OR(B468="",C468="",D468="コード誤り"),"",IFERROR(DATE(YEAR(B468),MONTH(B468)+INDEX(取引先マスタ!$E$5:$E$204,MATCH($C468,取引先マスタ!$A$5:$A$204,0)),MIN(INDEX(取引先マスタ!$F$5:$F$204,MATCH($C468,取引先マスタ!$A$5:$A$204,0)),DAY(EOMONTH(B468,INDEX(取引先マスタ!$E$5:$E$204,MATCH($C468,取引先マスタ!$A$5:$A$204,0)))))),""))</f>
        <v/>
      </c>
      <c r="K468" s="22"/>
      <c r="L468" s="27" t="str">
        <f aca="false">IF(K468&lt;&gt;"",K468,J468)</f>
        <v/>
      </c>
      <c r="M468" s="28"/>
      <c r="N468" s="22"/>
      <c r="O468" s="28"/>
      <c r="P468" s="26" t="str">
        <f aca="false">IF(A468="","",SUMIF(入金明細!$F$5:$F$1004,A468,入金明細!$E$5:$E$1004))</f>
        <v/>
      </c>
      <c r="Q468" s="27" t="str">
        <f aca="false">IF(OR(A468="",N(P468)=0),"",SUMPRODUCT(MAX((入金明細!$F$5:$F$1004=A468)*入金明細!$B$5:$B$1004)))</f>
        <v/>
      </c>
      <c r="R468" s="18"/>
      <c r="S468" s="26" t="str">
        <f aca="false">IF(OR(A468="",I468=""),"",I468-N(P468)-N(R468))</f>
        <v/>
      </c>
      <c r="T468" s="28"/>
      <c r="U468" s="29" t="str">
        <f aca="false">IF(A468="","",IF(T468="取消","取消",IF(W468&lt;&gt;"","要入力",IF(N468="","未送付",IF(S468=0,"入金済",IF(S468&lt;0,"過入金",IF(設定!$C$5&gt;L468,IF(P468&gt;0,"一部入金・超過","期日超過"),IF(P468&gt;0,"一部入金",IF(L468-設定!$C$5&lt;=設定!$C$6,"期日間近","入金待ち")))))))))</f>
        <v/>
      </c>
      <c r="V468" s="30" t="str">
        <f aca="false">IF(OR(U468="期日超過",U468="一部入金・超過"),設定!$C$5-L468,"")</f>
        <v/>
      </c>
      <c r="W468" s="21" t="str">
        <f aca="false">IF(A468="","",TRIM(IF(B468="","請求日 ","")&amp;IF(C468="","取引先 ",IF(D468="コード誤り","取引先コード誤り ",""))&amp;IF(E468="","件名 ","")&amp;IF(F468="","税抜金額 ","")&amp;IF(G468="","税率 ","")&amp;IF(M468="","送付方法 ","")&amp;IF(AND(N468&lt;&gt;"",O468=""),"送付者 ","")&amp;IF(AND(I468&lt;&gt;"",L468=""),"入金期日 ","")&amp;IF(AND(N468&lt;&gt;"",P468&gt;0,S468&lt;=0,X468=""),"消込確認者 ","")))</f>
        <v/>
      </c>
      <c r="X468" s="28"/>
      <c r="Y468" s="28"/>
    </row>
    <row r="469" customFormat="false" ht="15" hidden="false" customHeight="false" outlineLevel="0" collapsed="false">
      <c r="A469" s="21" t="str">
        <f aca="false">IF(COUNTA(B469,C469,E469,F469)=0,"",設定!$C$4&amp;TEXT(ROW()-4,"00000"))</f>
        <v/>
      </c>
      <c r="B469" s="22"/>
      <c r="C469" s="23"/>
      <c r="D469" s="21" t="str">
        <f aca="false">IF(C469="","",IFERROR(INDEX(取引先マスタ!$B$5:$B$204,MATCH($C469,取引先マスタ!$A$5:$A$204,0)),"コード誤り"))</f>
        <v/>
      </c>
      <c r="E469" s="28"/>
      <c r="F469" s="18"/>
      <c r="G469" s="25"/>
      <c r="H469" s="26" t="str">
        <f aca="false">IF(OR(F469="",G469=""),"",ROUNDDOWN(F469*G469,0))</f>
        <v/>
      </c>
      <c r="I469" s="26" t="str">
        <f aca="false">IF(OR(F469="",G469=""),"",F469+H469)</f>
        <v/>
      </c>
      <c r="J469" s="27" t="str">
        <f aca="false">IF(OR(B469="",C469="",D469="コード誤り"),"",IFERROR(DATE(YEAR(B469),MONTH(B469)+INDEX(取引先マスタ!$E$5:$E$204,MATCH($C469,取引先マスタ!$A$5:$A$204,0)),MIN(INDEX(取引先マスタ!$F$5:$F$204,MATCH($C469,取引先マスタ!$A$5:$A$204,0)),DAY(EOMONTH(B469,INDEX(取引先マスタ!$E$5:$E$204,MATCH($C469,取引先マスタ!$A$5:$A$204,0)))))),""))</f>
        <v/>
      </c>
      <c r="K469" s="22"/>
      <c r="L469" s="27" t="str">
        <f aca="false">IF(K469&lt;&gt;"",K469,J469)</f>
        <v/>
      </c>
      <c r="M469" s="28"/>
      <c r="N469" s="22"/>
      <c r="O469" s="28"/>
      <c r="P469" s="26" t="str">
        <f aca="false">IF(A469="","",SUMIF(入金明細!$F$5:$F$1004,A469,入金明細!$E$5:$E$1004))</f>
        <v/>
      </c>
      <c r="Q469" s="27" t="str">
        <f aca="false">IF(OR(A469="",N(P469)=0),"",SUMPRODUCT(MAX((入金明細!$F$5:$F$1004=A469)*入金明細!$B$5:$B$1004)))</f>
        <v/>
      </c>
      <c r="R469" s="18"/>
      <c r="S469" s="26" t="str">
        <f aca="false">IF(OR(A469="",I469=""),"",I469-N(P469)-N(R469))</f>
        <v/>
      </c>
      <c r="T469" s="28"/>
      <c r="U469" s="29" t="str">
        <f aca="false">IF(A469="","",IF(T469="取消","取消",IF(W469&lt;&gt;"","要入力",IF(N469="","未送付",IF(S469=0,"入金済",IF(S469&lt;0,"過入金",IF(設定!$C$5&gt;L469,IF(P469&gt;0,"一部入金・超過","期日超過"),IF(P469&gt;0,"一部入金",IF(L469-設定!$C$5&lt;=設定!$C$6,"期日間近","入金待ち")))))))))</f>
        <v/>
      </c>
      <c r="V469" s="30" t="str">
        <f aca="false">IF(OR(U469="期日超過",U469="一部入金・超過"),設定!$C$5-L469,"")</f>
        <v/>
      </c>
      <c r="W469" s="21" t="str">
        <f aca="false">IF(A469="","",TRIM(IF(B469="","請求日 ","")&amp;IF(C469="","取引先 ",IF(D469="コード誤り","取引先コード誤り ",""))&amp;IF(E469="","件名 ","")&amp;IF(F469="","税抜金額 ","")&amp;IF(G469="","税率 ","")&amp;IF(M469="","送付方法 ","")&amp;IF(AND(N469&lt;&gt;"",O469=""),"送付者 ","")&amp;IF(AND(I469&lt;&gt;"",L469=""),"入金期日 ","")&amp;IF(AND(N469&lt;&gt;"",P469&gt;0,S469&lt;=0,X469=""),"消込確認者 ","")))</f>
        <v/>
      </c>
      <c r="X469" s="28"/>
      <c r="Y469" s="28"/>
    </row>
    <row r="470" customFormat="false" ht="15" hidden="false" customHeight="false" outlineLevel="0" collapsed="false">
      <c r="A470" s="21" t="str">
        <f aca="false">IF(COUNTA(B470,C470,E470,F470)=0,"",設定!$C$4&amp;TEXT(ROW()-4,"00000"))</f>
        <v/>
      </c>
      <c r="B470" s="22"/>
      <c r="C470" s="23"/>
      <c r="D470" s="21" t="str">
        <f aca="false">IF(C470="","",IFERROR(INDEX(取引先マスタ!$B$5:$B$204,MATCH($C470,取引先マスタ!$A$5:$A$204,0)),"コード誤り"))</f>
        <v/>
      </c>
      <c r="E470" s="28"/>
      <c r="F470" s="18"/>
      <c r="G470" s="25"/>
      <c r="H470" s="26" t="str">
        <f aca="false">IF(OR(F470="",G470=""),"",ROUNDDOWN(F470*G470,0))</f>
        <v/>
      </c>
      <c r="I470" s="26" t="str">
        <f aca="false">IF(OR(F470="",G470=""),"",F470+H470)</f>
        <v/>
      </c>
      <c r="J470" s="27" t="str">
        <f aca="false">IF(OR(B470="",C470="",D470="コード誤り"),"",IFERROR(DATE(YEAR(B470),MONTH(B470)+INDEX(取引先マスタ!$E$5:$E$204,MATCH($C470,取引先マスタ!$A$5:$A$204,0)),MIN(INDEX(取引先マスタ!$F$5:$F$204,MATCH($C470,取引先マスタ!$A$5:$A$204,0)),DAY(EOMONTH(B470,INDEX(取引先マスタ!$E$5:$E$204,MATCH($C470,取引先マスタ!$A$5:$A$204,0)))))),""))</f>
        <v/>
      </c>
      <c r="K470" s="22"/>
      <c r="L470" s="27" t="str">
        <f aca="false">IF(K470&lt;&gt;"",K470,J470)</f>
        <v/>
      </c>
      <c r="M470" s="28"/>
      <c r="N470" s="22"/>
      <c r="O470" s="28"/>
      <c r="P470" s="26" t="str">
        <f aca="false">IF(A470="","",SUMIF(入金明細!$F$5:$F$1004,A470,入金明細!$E$5:$E$1004))</f>
        <v/>
      </c>
      <c r="Q470" s="27" t="str">
        <f aca="false">IF(OR(A470="",N(P470)=0),"",SUMPRODUCT(MAX((入金明細!$F$5:$F$1004=A470)*入金明細!$B$5:$B$1004)))</f>
        <v/>
      </c>
      <c r="R470" s="18"/>
      <c r="S470" s="26" t="str">
        <f aca="false">IF(OR(A470="",I470=""),"",I470-N(P470)-N(R470))</f>
        <v/>
      </c>
      <c r="T470" s="28"/>
      <c r="U470" s="29" t="str">
        <f aca="false">IF(A470="","",IF(T470="取消","取消",IF(W470&lt;&gt;"","要入力",IF(N470="","未送付",IF(S470=0,"入金済",IF(S470&lt;0,"過入金",IF(設定!$C$5&gt;L470,IF(P470&gt;0,"一部入金・超過","期日超過"),IF(P470&gt;0,"一部入金",IF(L470-設定!$C$5&lt;=設定!$C$6,"期日間近","入金待ち")))))))))</f>
        <v/>
      </c>
      <c r="V470" s="30" t="str">
        <f aca="false">IF(OR(U470="期日超過",U470="一部入金・超過"),設定!$C$5-L470,"")</f>
        <v/>
      </c>
      <c r="W470" s="21" t="str">
        <f aca="false">IF(A470="","",TRIM(IF(B470="","請求日 ","")&amp;IF(C470="","取引先 ",IF(D470="コード誤り","取引先コード誤り ",""))&amp;IF(E470="","件名 ","")&amp;IF(F470="","税抜金額 ","")&amp;IF(G470="","税率 ","")&amp;IF(M470="","送付方法 ","")&amp;IF(AND(N470&lt;&gt;"",O470=""),"送付者 ","")&amp;IF(AND(I470&lt;&gt;"",L470=""),"入金期日 ","")&amp;IF(AND(N470&lt;&gt;"",P470&gt;0,S470&lt;=0,X470=""),"消込確認者 ","")))</f>
        <v/>
      </c>
      <c r="X470" s="28"/>
      <c r="Y470" s="28"/>
    </row>
    <row r="471" customFormat="false" ht="15" hidden="false" customHeight="false" outlineLevel="0" collapsed="false">
      <c r="A471" s="21" t="str">
        <f aca="false">IF(COUNTA(B471,C471,E471,F471)=0,"",設定!$C$4&amp;TEXT(ROW()-4,"00000"))</f>
        <v/>
      </c>
      <c r="B471" s="22"/>
      <c r="C471" s="23"/>
      <c r="D471" s="21" t="str">
        <f aca="false">IF(C471="","",IFERROR(INDEX(取引先マスタ!$B$5:$B$204,MATCH($C471,取引先マスタ!$A$5:$A$204,0)),"コード誤り"))</f>
        <v/>
      </c>
      <c r="E471" s="28"/>
      <c r="F471" s="18"/>
      <c r="G471" s="25"/>
      <c r="H471" s="26" t="str">
        <f aca="false">IF(OR(F471="",G471=""),"",ROUNDDOWN(F471*G471,0))</f>
        <v/>
      </c>
      <c r="I471" s="26" t="str">
        <f aca="false">IF(OR(F471="",G471=""),"",F471+H471)</f>
        <v/>
      </c>
      <c r="J471" s="27" t="str">
        <f aca="false">IF(OR(B471="",C471="",D471="コード誤り"),"",IFERROR(DATE(YEAR(B471),MONTH(B471)+INDEX(取引先マスタ!$E$5:$E$204,MATCH($C471,取引先マスタ!$A$5:$A$204,0)),MIN(INDEX(取引先マスタ!$F$5:$F$204,MATCH($C471,取引先マスタ!$A$5:$A$204,0)),DAY(EOMONTH(B471,INDEX(取引先マスタ!$E$5:$E$204,MATCH($C471,取引先マスタ!$A$5:$A$204,0)))))),""))</f>
        <v/>
      </c>
      <c r="K471" s="22"/>
      <c r="L471" s="27" t="str">
        <f aca="false">IF(K471&lt;&gt;"",K471,J471)</f>
        <v/>
      </c>
      <c r="M471" s="28"/>
      <c r="N471" s="22"/>
      <c r="O471" s="28"/>
      <c r="P471" s="26" t="str">
        <f aca="false">IF(A471="","",SUMIF(入金明細!$F$5:$F$1004,A471,入金明細!$E$5:$E$1004))</f>
        <v/>
      </c>
      <c r="Q471" s="27" t="str">
        <f aca="false">IF(OR(A471="",N(P471)=0),"",SUMPRODUCT(MAX((入金明細!$F$5:$F$1004=A471)*入金明細!$B$5:$B$1004)))</f>
        <v/>
      </c>
      <c r="R471" s="18"/>
      <c r="S471" s="26" t="str">
        <f aca="false">IF(OR(A471="",I471=""),"",I471-N(P471)-N(R471))</f>
        <v/>
      </c>
      <c r="T471" s="28"/>
      <c r="U471" s="29" t="str">
        <f aca="false">IF(A471="","",IF(T471="取消","取消",IF(W471&lt;&gt;"","要入力",IF(N471="","未送付",IF(S471=0,"入金済",IF(S471&lt;0,"過入金",IF(設定!$C$5&gt;L471,IF(P471&gt;0,"一部入金・超過","期日超過"),IF(P471&gt;0,"一部入金",IF(L471-設定!$C$5&lt;=設定!$C$6,"期日間近","入金待ち")))))))))</f>
        <v/>
      </c>
      <c r="V471" s="30" t="str">
        <f aca="false">IF(OR(U471="期日超過",U471="一部入金・超過"),設定!$C$5-L471,"")</f>
        <v/>
      </c>
      <c r="W471" s="21" t="str">
        <f aca="false">IF(A471="","",TRIM(IF(B471="","請求日 ","")&amp;IF(C471="","取引先 ",IF(D471="コード誤り","取引先コード誤り ",""))&amp;IF(E471="","件名 ","")&amp;IF(F471="","税抜金額 ","")&amp;IF(G471="","税率 ","")&amp;IF(M471="","送付方法 ","")&amp;IF(AND(N471&lt;&gt;"",O471=""),"送付者 ","")&amp;IF(AND(I471&lt;&gt;"",L471=""),"入金期日 ","")&amp;IF(AND(N471&lt;&gt;"",P471&gt;0,S471&lt;=0,X471=""),"消込確認者 ","")))</f>
        <v/>
      </c>
      <c r="X471" s="28"/>
      <c r="Y471" s="28"/>
    </row>
    <row r="472" customFormat="false" ht="15" hidden="false" customHeight="false" outlineLevel="0" collapsed="false">
      <c r="A472" s="21" t="str">
        <f aca="false">IF(COUNTA(B472,C472,E472,F472)=0,"",設定!$C$4&amp;TEXT(ROW()-4,"00000"))</f>
        <v/>
      </c>
      <c r="B472" s="22"/>
      <c r="C472" s="23"/>
      <c r="D472" s="21" t="str">
        <f aca="false">IF(C472="","",IFERROR(INDEX(取引先マスタ!$B$5:$B$204,MATCH($C472,取引先マスタ!$A$5:$A$204,0)),"コード誤り"))</f>
        <v/>
      </c>
      <c r="E472" s="28"/>
      <c r="F472" s="18"/>
      <c r="G472" s="25"/>
      <c r="H472" s="26" t="str">
        <f aca="false">IF(OR(F472="",G472=""),"",ROUNDDOWN(F472*G472,0))</f>
        <v/>
      </c>
      <c r="I472" s="26" t="str">
        <f aca="false">IF(OR(F472="",G472=""),"",F472+H472)</f>
        <v/>
      </c>
      <c r="J472" s="27" t="str">
        <f aca="false">IF(OR(B472="",C472="",D472="コード誤り"),"",IFERROR(DATE(YEAR(B472),MONTH(B472)+INDEX(取引先マスタ!$E$5:$E$204,MATCH($C472,取引先マスタ!$A$5:$A$204,0)),MIN(INDEX(取引先マスタ!$F$5:$F$204,MATCH($C472,取引先マスタ!$A$5:$A$204,0)),DAY(EOMONTH(B472,INDEX(取引先マスタ!$E$5:$E$204,MATCH($C472,取引先マスタ!$A$5:$A$204,0)))))),""))</f>
        <v/>
      </c>
      <c r="K472" s="22"/>
      <c r="L472" s="27" t="str">
        <f aca="false">IF(K472&lt;&gt;"",K472,J472)</f>
        <v/>
      </c>
      <c r="M472" s="28"/>
      <c r="N472" s="22"/>
      <c r="O472" s="28"/>
      <c r="P472" s="26" t="str">
        <f aca="false">IF(A472="","",SUMIF(入金明細!$F$5:$F$1004,A472,入金明細!$E$5:$E$1004))</f>
        <v/>
      </c>
      <c r="Q472" s="27" t="str">
        <f aca="false">IF(OR(A472="",N(P472)=0),"",SUMPRODUCT(MAX((入金明細!$F$5:$F$1004=A472)*入金明細!$B$5:$B$1004)))</f>
        <v/>
      </c>
      <c r="R472" s="18"/>
      <c r="S472" s="26" t="str">
        <f aca="false">IF(OR(A472="",I472=""),"",I472-N(P472)-N(R472))</f>
        <v/>
      </c>
      <c r="T472" s="28"/>
      <c r="U472" s="29" t="str">
        <f aca="false">IF(A472="","",IF(T472="取消","取消",IF(W472&lt;&gt;"","要入力",IF(N472="","未送付",IF(S472=0,"入金済",IF(S472&lt;0,"過入金",IF(設定!$C$5&gt;L472,IF(P472&gt;0,"一部入金・超過","期日超過"),IF(P472&gt;0,"一部入金",IF(L472-設定!$C$5&lt;=設定!$C$6,"期日間近","入金待ち")))))))))</f>
        <v/>
      </c>
      <c r="V472" s="30" t="str">
        <f aca="false">IF(OR(U472="期日超過",U472="一部入金・超過"),設定!$C$5-L472,"")</f>
        <v/>
      </c>
      <c r="W472" s="21" t="str">
        <f aca="false">IF(A472="","",TRIM(IF(B472="","請求日 ","")&amp;IF(C472="","取引先 ",IF(D472="コード誤り","取引先コード誤り ",""))&amp;IF(E472="","件名 ","")&amp;IF(F472="","税抜金額 ","")&amp;IF(G472="","税率 ","")&amp;IF(M472="","送付方法 ","")&amp;IF(AND(N472&lt;&gt;"",O472=""),"送付者 ","")&amp;IF(AND(I472&lt;&gt;"",L472=""),"入金期日 ","")&amp;IF(AND(N472&lt;&gt;"",P472&gt;0,S472&lt;=0,X472=""),"消込確認者 ","")))</f>
        <v/>
      </c>
      <c r="X472" s="28"/>
      <c r="Y472" s="28"/>
    </row>
    <row r="473" customFormat="false" ht="15" hidden="false" customHeight="false" outlineLevel="0" collapsed="false">
      <c r="A473" s="21" t="str">
        <f aca="false">IF(COUNTA(B473,C473,E473,F473)=0,"",設定!$C$4&amp;TEXT(ROW()-4,"00000"))</f>
        <v/>
      </c>
      <c r="B473" s="22"/>
      <c r="C473" s="23"/>
      <c r="D473" s="21" t="str">
        <f aca="false">IF(C473="","",IFERROR(INDEX(取引先マスタ!$B$5:$B$204,MATCH($C473,取引先マスタ!$A$5:$A$204,0)),"コード誤り"))</f>
        <v/>
      </c>
      <c r="E473" s="28"/>
      <c r="F473" s="18"/>
      <c r="G473" s="25"/>
      <c r="H473" s="26" t="str">
        <f aca="false">IF(OR(F473="",G473=""),"",ROUNDDOWN(F473*G473,0))</f>
        <v/>
      </c>
      <c r="I473" s="26" t="str">
        <f aca="false">IF(OR(F473="",G473=""),"",F473+H473)</f>
        <v/>
      </c>
      <c r="J473" s="27" t="str">
        <f aca="false">IF(OR(B473="",C473="",D473="コード誤り"),"",IFERROR(DATE(YEAR(B473),MONTH(B473)+INDEX(取引先マスタ!$E$5:$E$204,MATCH($C473,取引先マスタ!$A$5:$A$204,0)),MIN(INDEX(取引先マスタ!$F$5:$F$204,MATCH($C473,取引先マスタ!$A$5:$A$204,0)),DAY(EOMONTH(B473,INDEX(取引先マスタ!$E$5:$E$204,MATCH($C473,取引先マスタ!$A$5:$A$204,0)))))),""))</f>
        <v/>
      </c>
      <c r="K473" s="22"/>
      <c r="L473" s="27" t="str">
        <f aca="false">IF(K473&lt;&gt;"",K473,J473)</f>
        <v/>
      </c>
      <c r="M473" s="28"/>
      <c r="N473" s="22"/>
      <c r="O473" s="28"/>
      <c r="P473" s="26" t="str">
        <f aca="false">IF(A473="","",SUMIF(入金明細!$F$5:$F$1004,A473,入金明細!$E$5:$E$1004))</f>
        <v/>
      </c>
      <c r="Q473" s="27" t="str">
        <f aca="false">IF(OR(A473="",N(P473)=0),"",SUMPRODUCT(MAX((入金明細!$F$5:$F$1004=A473)*入金明細!$B$5:$B$1004)))</f>
        <v/>
      </c>
      <c r="R473" s="18"/>
      <c r="S473" s="26" t="str">
        <f aca="false">IF(OR(A473="",I473=""),"",I473-N(P473)-N(R473))</f>
        <v/>
      </c>
      <c r="T473" s="28"/>
      <c r="U473" s="29" t="str">
        <f aca="false">IF(A473="","",IF(T473="取消","取消",IF(W473&lt;&gt;"","要入力",IF(N473="","未送付",IF(S473=0,"入金済",IF(S473&lt;0,"過入金",IF(設定!$C$5&gt;L473,IF(P473&gt;0,"一部入金・超過","期日超過"),IF(P473&gt;0,"一部入金",IF(L473-設定!$C$5&lt;=設定!$C$6,"期日間近","入金待ち")))))))))</f>
        <v/>
      </c>
      <c r="V473" s="30" t="str">
        <f aca="false">IF(OR(U473="期日超過",U473="一部入金・超過"),設定!$C$5-L473,"")</f>
        <v/>
      </c>
      <c r="W473" s="21" t="str">
        <f aca="false">IF(A473="","",TRIM(IF(B473="","請求日 ","")&amp;IF(C473="","取引先 ",IF(D473="コード誤り","取引先コード誤り ",""))&amp;IF(E473="","件名 ","")&amp;IF(F473="","税抜金額 ","")&amp;IF(G473="","税率 ","")&amp;IF(M473="","送付方法 ","")&amp;IF(AND(N473&lt;&gt;"",O473=""),"送付者 ","")&amp;IF(AND(I473&lt;&gt;"",L473=""),"入金期日 ","")&amp;IF(AND(N473&lt;&gt;"",P473&gt;0,S473&lt;=0,X473=""),"消込確認者 ","")))</f>
        <v/>
      </c>
      <c r="X473" s="28"/>
      <c r="Y473" s="28"/>
    </row>
    <row r="474" customFormat="false" ht="15" hidden="false" customHeight="false" outlineLevel="0" collapsed="false">
      <c r="A474" s="21" t="str">
        <f aca="false">IF(COUNTA(B474,C474,E474,F474)=0,"",設定!$C$4&amp;TEXT(ROW()-4,"00000"))</f>
        <v/>
      </c>
      <c r="B474" s="22"/>
      <c r="C474" s="23"/>
      <c r="D474" s="21" t="str">
        <f aca="false">IF(C474="","",IFERROR(INDEX(取引先マスタ!$B$5:$B$204,MATCH($C474,取引先マスタ!$A$5:$A$204,0)),"コード誤り"))</f>
        <v/>
      </c>
      <c r="E474" s="28"/>
      <c r="F474" s="18"/>
      <c r="G474" s="25"/>
      <c r="H474" s="26" t="str">
        <f aca="false">IF(OR(F474="",G474=""),"",ROUNDDOWN(F474*G474,0))</f>
        <v/>
      </c>
      <c r="I474" s="26" t="str">
        <f aca="false">IF(OR(F474="",G474=""),"",F474+H474)</f>
        <v/>
      </c>
      <c r="J474" s="27" t="str">
        <f aca="false">IF(OR(B474="",C474="",D474="コード誤り"),"",IFERROR(DATE(YEAR(B474),MONTH(B474)+INDEX(取引先マスタ!$E$5:$E$204,MATCH($C474,取引先マスタ!$A$5:$A$204,0)),MIN(INDEX(取引先マスタ!$F$5:$F$204,MATCH($C474,取引先マスタ!$A$5:$A$204,0)),DAY(EOMONTH(B474,INDEX(取引先マスタ!$E$5:$E$204,MATCH($C474,取引先マスタ!$A$5:$A$204,0)))))),""))</f>
        <v/>
      </c>
      <c r="K474" s="22"/>
      <c r="L474" s="27" t="str">
        <f aca="false">IF(K474&lt;&gt;"",K474,J474)</f>
        <v/>
      </c>
      <c r="M474" s="28"/>
      <c r="N474" s="22"/>
      <c r="O474" s="28"/>
      <c r="P474" s="26" t="str">
        <f aca="false">IF(A474="","",SUMIF(入金明細!$F$5:$F$1004,A474,入金明細!$E$5:$E$1004))</f>
        <v/>
      </c>
      <c r="Q474" s="27" t="str">
        <f aca="false">IF(OR(A474="",N(P474)=0),"",SUMPRODUCT(MAX((入金明細!$F$5:$F$1004=A474)*入金明細!$B$5:$B$1004)))</f>
        <v/>
      </c>
      <c r="R474" s="18"/>
      <c r="S474" s="26" t="str">
        <f aca="false">IF(OR(A474="",I474=""),"",I474-N(P474)-N(R474))</f>
        <v/>
      </c>
      <c r="T474" s="28"/>
      <c r="U474" s="29" t="str">
        <f aca="false">IF(A474="","",IF(T474="取消","取消",IF(W474&lt;&gt;"","要入力",IF(N474="","未送付",IF(S474=0,"入金済",IF(S474&lt;0,"過入金",IF(設定!$C$5&gt;L474,IF(P474&gt;0,"一部入金・超過","期日超過"),IF(P474&gt;0,"一部入金",IF(L474-設定!$C$5&lt;=設定!$C$6,"期日間近","入金待ち")))))))))</f>
        <v/>
      </c>
      <c r="V474" s="30" t="str">
        <f aca="false">IF(OR(U474="期日超過",U474="一部入金・超過"),設定!$C$5-L474,"")</f>
        <v/>
      </c>
      <c r="W474" s="21" t="str">
        <f aca="false">IF(A474="","",TRIM(IF(B474="","請求日 ","")&amp;IF(C474="","取引先 ",IF(D474="コード誤り","取引先コード誤り ",""))&amp;IF(E474="","件名 ","")&amp;IF(F474="","税抜金額 ","")&amp;IF(G474="","税率 ","")&amp;IF(M474="","送付方法 ","")&amp;IF(AND(N474&lt;&gt;"",O474=""),"送付者 ","")&amp;IF(AND(I474&lt;&gt;"",L474=""),"入金期日 ","")&amp;IF(AND(N474&lt;&gt;"",P474&gt;0,S474&lt;=0,X474=""),"消込確認者 ","")))</f>
        <v/>
      </c>
      <c r="X474" s="28"/>
      <c r="Y474" s="28"/>
    </row>
    <row r="475" customFormat="false" ht="15" hidden="false" customHeight="false" outlineLevel="0" collapsed="false">
      <c r="A475" s="21" t="str">
        <f aca="false">IF(COUNTA(B475,C475,E475,F475)=0,"",設定!$C$4&amp;TEXT(ROW()-4,"00000"))</f>
        <v/>
      </c>
      <c r="B475" s="22"/>
      <c r="C475" s="23"/>
      <c r="D475" s="21" t="str">
        <f aca="false">IF(C475="","",IFERROR(INDEX(取引先マスタ!$B$5:$B$204,MATCH($C475,取引先マスタ!$A$5:$A$204,0)),"コード誤り"))</f>
        <v/>
      </c>
      <c r="E475" s="28"/>
      <c r="F475" s="18"/>
      <c r="G475" s="25"/>
      <c r="H475" s="26" t="str">
        <f aca="false">IF(OR(F475="",G475=""),"",ROUNDDOWN(F475*G475,0))</f>
        <v/>
      </c>
      <c r="I475" s="26" t="str">
        <f aca="false">IF(OR(F475="",G475=""),"",F475+H475)</f>
        <v/>
      </c>
      <c r="J475" s="27" t="str">
        <f aca="false">IF(OR(B475="",C475="",D475="コード誤り"),"",IFERROR(DATE(YEAR(B475),MONTH(B475)+INDEX(取引先マスタ!$E$5:$E$204,MATCH($C475,取引先マスタ!$A$5:$A$204,0)),MIN(INDEX(取引先マスタ!$F$5:$F$204,MATCH($C475,取引先マスタ!$A$5:$A$204,0)),DAY(EOMONTH(B475,INDEX(取引先マスタ!$E$5:$E$204,MATCH($C475,取引先マスタ!$A$5:$A$204,0)))))),""))</f>
        <v/>
      </c>
      <c r="K475" s="22"/>
      <c r="L475" s="27" t="str">
        <f aca="false">IF(K475&lt;&gt;"",K475,J475)</f>
        <v/>
      </c>
      <c r="M475" s="28"/>
      <c r="N475" s="22"/>
      <c r="O475" s="28"/>
      <c r="P475" s="26" t="str">
        <f aca="false">IF(A475="","",SUMIF(入金明細!$F$5:$F$1004,A475,入金明細!$E$5:$E$1004))</f>
        <v/>
      </c>
      <c r="Q475" s="27" t="str">
        <f aca="false">IF(OR(A475="",N(P475)=0),"",SUMPRODUCT(MAX((入金明細!$F$5:$F$1004=A475)*入金明細!$B$5:$B$1004)))</f>
        <v/>
      </c>
      <c r="R475" s="18"/>
      <c r="S475" s="26" t="str">
        <f aca="false">IF(OR(A475="",I475=""),"",I475-N(P475)-N(R475))</f>
        <v/>
      </c>
      <c r="T475" s="28"/>
      <c r="U475" s="29" t="str">
        <f aca="false">IF(A475="","",IF(T475="取消","取消",IF(W475&lt;&gt;"","要入力",IF(N475="","未送付",IF(S475=0,"入金済",IF(S475&lt;0,"過入金",IF(設定!$C$5&gt;L475,IF(P475&gt;0,"一部入金・超過","期日超過"),IF(P475&gt;0,"一部入金",IF(L475-設定!$C$5&lt;=設定!$C$6,"期日間近","入金待ち")))))))))</f>
        <v/>
      </c>
      <c r="V475" s="30" t="str">
        <f aca="false">IF(OR(U475="期日超過",U475="一部入金・超過"),設定!$C$5-L475,"")</f>
        <v/>
      </c>
      <c r="W475" s="21" t="str">
        <f aca="false">IF(A475="","",TRIM(IF(B475="","請求日 ","")&amp;IF(C475="","取引先 ",IF(D475="コード誤り","取引先コード誤り ",""))&amp;IF(E475="","件名 ","")&amp;IF(F475="","税抜金額 ","")&amp;IF(G475="","税率 ","")&amp;IF(M475="","送付方法 ","")&amp;IF(AND(N475&lt;&gt;"",O475=""),"送付者 ","")&amp;IF(AND(I475&lt;&gt;"",L475=""),"入金期日 ","")&amp;IF(AND(N475&lt;&gt;"",P475&gt;0,S475&lt;=0,X475=""),"消込確認者 ","")))</f>
        <v/>
      </c>
      <c r="X475" s="28"/>
      <c r="Y475" s="28"/>
    </row>
    <row r="476" customFormat="false" ht="15" hidden="false" customHeight="false" outlineLevel="0" collapsed="false">
      <c r="A476" s="21" t="str">
        <f aca="false">IF(COUNTA(B476,C476,E476,F476)=0,"",設定!$C$4&amp;TEXT(ROW()-4,"00000"))</f>
        <v/>
      </c>
      <c r="B476" s="22"/>
      <c r="C476" s="23"/>
      <c r="D476" s="21" t="str">
        <f aca="false">IF(C476="","",IFERROR(INDEX(取引先マスタ!$B$5:$B$204,MATCH($C476,取引先マスタ!$A$5:$A$204,0)),"コード誤り"))</f>
        <v/>
      </c>
      <c r="E476" s="28"/>
      <c r="F476" s="18"/>
      <c r="G476" s="25"/>
      <c r="H476" s="26" t="str">
        <f aca="false">IF(OR(F476="",G476=""),"",ROUNDDOWN(F476*G476,0))</f>
        <v/>
      </c>
      <c r="I476" s="26" t="str">
        <f aca="false">IF(OR(F476="",G476=""),"",F476+H476)</f>
        <v/>
      </c>
      <c r="J476" s="27" t="str">
        <f aca="false">IF(OR(B476="",C476="",D476="コード誤り"),"",IFERROR(DATE(YEAR(B476),MONTH(B476)+INDEX(取引先マスタ!$E$5:$E$204,MATCH($C476,取引先マスタ!$A$5:$A$204,0)),MIN(INDEX(取引先マスタ!$F$5:$F$204,MATCH($C476,取引先マスタ!$A$5:$A$204,0)),DAY(EOMONTH(B476,INDEX(取引先マスタ!$E$5:$E$204,MATCH($C476,取引先マスタ!$A$5:$A$204,0)))))),""))</f>
        <v/>
      </c>
      <c r="K476" s="22"/>
      <c r="L476" s="27" t="str">
        <f aca="false">IF(K476&lt;&gt;"",K476,J476)</f>
        <v/>
      </c>
      <c r="M476" s="28"/>
      <c r="N476" s="22"/>
      <c r="O476" s="28"/>
      <c r="P476" s="26" t="str">
        <f aca="false">IF(A476="","",SUMIF(入金明細!$F$5:$F$1004,A476,入金明細!$E$5:$E$1004))</f>
        <v/>
      </c>
      <c r="Q476" s="27" t="str">
        <f aca="false">IF(OR(A476="",N(P476)=0),"",SUMPRODUCT(MAX((入金明細!$F$5:$F$1004=A476)*入金明細!$B$5:$B$1004)))</f>
        <v/>
      </c>
      <c r="R476" s="18"/>
      <c r="S476" s="26" t="str">
        <f aca="false">IF(OR(A476="",I476=""),"",I476-N(P476)-N(R476))</f>
        <v/>
      </c>
      <c r="T476" s="28"/>
      <c r="U476" s="29" t="str">
        <f aca="false">IF(A476="","",IF(T476="取消","取消",IF(W476&lt;&gt;"","要入力",IF(N476="","未送付",IF(S476=0,"入金済",IF(S476&lt;0,"過入金",IF(設定!$C$5&gt;L476,IF(P476&gt;0,"一部入金・超過","期日超過"),IF(P476&gt;0,"一部入金",IF(L476-設定!$C$5&lt;=設定!$C$6,"期日間近","入金待ち")))))))))</f>
        <v/>
      </c>
      <c r="V476" s="30" t="str">
        <f aca="false">IF(OR(U476="期日超過",U476="一部入金・超過"),設定!$C$5-L476,"")</f>
        <v/>
      </c>
      <c r="W476" s="21" t="str">
        <f aca="false">IF(A476="","",TRIM(IF(B476="","請求日 ","")&amp;IF(C476="","取引先 ",IF(D476="コード誤り","取引先コード誤り ",""))&amp;IF(E476="","件名 ","")&amp;IF(F476="","税抜金額 ","")&amp;IF(G476="","税率 ","")&amp;IF(M476="","送付方法 ","")&amp;IF(AND(N476&lt;&gt;"",O476=""),"送付者 ","")&amp;IF(AND(I476&lt;&gt;"",L476=""),"入金期日 ","")&amp;IF(AND(N476&lt;&gt;"",P476&gt;0,S476&lt;=0,X476=""),"消込確認者 ","")))</f>
        <v/>
      </c>
      <c r="X476" s="28"/>
      <c r="Y476" s="28"/>
    </row>
    <row r="477" customFormat="false" ht="15" hidden="false" customHeight="false" outlineLevel="0" collapsed="false">
      <c r="A477" s="21" t="str">
        <f aca="false">IF(COUNTA(B477,C477,E477,F477)=0,"",設定!$C$4&amp;TEXT(ROW()-4,"00000"))</f>
        <v/>
      </c>
      <c r="B477" s="22"/>
      <c r="C477" s="23"/>
      <c r="D477" s="21" t="str">
        <f aca="false">IF(C477="","",IFERROR(INDEX(取引先マスタ!$B$5:$B$204,MATCH($C477,取引先マスタ!$A$5:$A$204,0)),"コード誤り"))</f>
        <v/>
      </c>
      <c r="E477" s="28"/>
      <c r="F477" s="18"/>
      <c r="G477" s="25"/>
      <c r="H477" s="26" t="str">
        <f aca="false">IF(OR(F477="",G477=""),"",ROUNDDOWN(F477*G477,0))</f>
        <v/>
      </c>
      <c r="I477" s="26" t="str">
        <f aca="false">IF(OR(F477="",G477=""),"",F477+H477)</f>
        <v/>
      </c>
      <c r="J477" s="27" t="str">
        <f aca="false">IF(OR(B477="",C477="",D477="コード誤り"),"",IFERROR(DATE(YEAR(B477),MONTH(B477)+INDEX(取引先マスタ!$E$5:$E$204,MATCH($C477,取引先マスタ!$A$5:$A$204,0)),MIN(INDEX(取引先マスタ!$F$5:$F$204,MATCH($C477,取引先マスタ!$A$5:$A$204,0)),DAY(EOMONTH(B477,INDEX(取引先マスタ!$E$5:$E$204,MATCH($C477,取引先マスタ!$A$5:$A$204,0)))))),""))</f>
        <v/>
      </c>
      <c r="K477" s="22"/>
      <c r="L477" s="27" t="str">
        <f aca="false">IF(K477&lt;&gt;"",K477,J477)</f>
        <v/>
      </c>
      <c r="M477" s="28"/>
      <c r="N477" s="22"/>
      <c r="O477" s="28"/>
      <c r="P477" s="26" t="str">
        <f aca="false">IF(A477="","",SUMIF(入金明細!$F$5:$F$1004,A477,入金明細!$E$5:$E$1004))</f>
        <v/>
      </c>
      <c r="Q477" s="27" t="str">
        <f aca="false">IF(OR(A477="",N(P477)=0),"",SUMPRODUCT(MAX((入金明細!$F$5:$F$1004=A477)*入金明細!$B$5:$B$1004)))</f>
        <v/>
      </c>
      <c r="R477" s="18"/>
      <c r="S477" s="26" t="str">
        <f aca="false">IF(OR(A477="",I477=""),"",I477-N(P477)-N(R477))</f>
        <v/>
      </c>
      <c r="T477" s="28"/>
      <c r="U477" s="29" t="str">
        <f aca="false">IF(A477="","",IF(T477="取消","取消",IF(W477&lt;&gt;"","要入力",IF(N477="","未送付",IF(S477=0,"入金済",IF(S477&lt;0,"過入金",IF(設定!$C$5&gt;L477,IF(P477&gt;0,"一部入金・超過","期日超過"),IF(P477&gt;0,"一部入金",IF(L477-設定!$C$5&lt;=設定!$C$6,"期日間近","入金待ち")))))))))</f>
        <v/>
      </c>
      <c r="V477" s="30" t="str">
        <f aca="false">IF(OR(U477="期日超過",U477="一部入金・超過"),設定!$C$5-L477,"")</f>
        <v/>
      </c>
      <c r="W477" s="21" t="str">
        <f aca="false">IF(A477="","",TRIM(IF(B477="","請求日 ","")&amp;IF(C477="","取引先 ",IF(D477="コード誤り","取引先コード誤り ",""))&amp;IF(E477="","件名 ","")&amp;IF(F477="","税抜金額 ","")&amp;IF(G477="","税率 ","")&amp;IF(M477="","送付方法 ","")&amp;IF(AND(N477&lt;&gt;"",O477=""),"送付者 ","")&amp;IF(AND(I477&lt;&gt;"",L477=""),"入金期日 ","")&amp;IF(AND(N477&lt;&gt;"",P477&gt;0,S477&lt;=0,X477=""),"消込確認者 ","")))</f>
        <v/>
      </c>
      <c r="X477" s="28"/>
      <c r="Y477" s="28"/>
    </row>
    <row r="478" customFormat="false" ht="15" hidden="false" customHeight="false" outlineLevel="0" collapsed="false">
      <c r="A478" s="21" t="str">
        <f aca="false">IF(COUNTA(B478,C478,E478,F478)=0,"",設定!$C$4&amp;TEXT(ROW()-4,"00000"))</f>
        <v/>
      </c>
      <c r="B478" s="22"/>
      <c r="C478" s="23"/>
      <c r="D478" s="21" t="str">
        <f aca="false">IF(C478="","",IFERROR(INDEX(取引先マスタ!$B$5:$B$204,MATCH($C478,取引先マスタ!$A$5:$A$204,0)),"コード誤り"))</f>
        <v/>
      </c>
      <c r="E478" s="28"/>
      <c r="F478" s="18"/>
      <c r="G478" s="25"/>
      <c r="H478" s="26" t="str">
        <f aca="false">IF(OR(F478="",G478=""),"",ROUNDDOWN(F478*G478,0))</f>
        <v/>
      </c>
      <c r="I478" s="26" t="str">
        <f aca="false">IF(OR(F478="",G478=""),"",F478+H478)</f>
        <v/>
      </c>
      <c r="J478" s="27" t="str">
        <f aca="false">IF(OR(B478="",C478="",D478="コード誤り"),"",IFERROR(DATE(YEAR(B478),MONTH(B478)+INDEX(取引先マスタ!$E$5:$E$204,MATCH($C478,取引先マスタ!$A$5:$A$204,0)),MIN(INDEX(取引先マスタ!$F$5:$F$204,MATCH($C478,取引先マスタ!$A$5:$A$204,0)),DAY(EOMONTH(B478,INDEX(取引先マスタ!$E$5:$E$204,MATCH($C478,取引先マスタ!$A$5:$A$204,0)))))),""))</f>
        <v/>
      </c>
      <c r="K478" s="22"/>
      <c r="L478" s="27" t="str">
        <f aca="false">IF(K478&lt;&gt;"",K478,J478)</f>
        <v/>
      </c>
      <c r="M478" s="28"/>
      <c r="N478" s="22"/>
      <c r="O478" s="28"/>
      <c r="P478" s="26" t="str">
        <f aca="false">IF(A478="","",SUMIF(入金明細!$F$5:$F$1004,A478,入金明細!$E$5:$E$1004))</f>
        <v/>
      </c>
      <c r="Q478" s="27" t="str">
        <f aca="false">IF(OR(A478="",N(P478)=0),"",SUMPRODUCT(MAX((入金明細!$F$5:$F$1004=A478)*入金明細!$B$5:$B$1004)))</f>
        <v/>
      </c>
      <c r="R478" s="18"/>
      <c r="S478" s="26" t="str">
        <f aca="false">IF(OR(A478="",I478=""),"",I478-N(P478)-N(R478))</f>
        <v/>
      </c>
      <c r="T478" s="28"/>
      <c r="U478" s="29" t="str">
        <f aca="false">IF(A478="","",IF(T478="取消","取消",IF(W478&lt;&gt;"","要入力",IF(N478="","未送付",IF(S478=0,"入金済",IF(S478&lt;0,"過入金",IF(設定!$C$5&gt;L478,IF(P478&gt;0,"一部入金・超過","期日超過"),IF(P478&gt;0,"一部入金",IF(L478-設定!$C$5&lt;=設定!$C$6,"期日間近","入金待ち")))))))))</f>
        <v/>
      </c>
      <c r="V478" s="30" t="str">
        <f aca="false">IF(OR(U478="期日超過",U478="一部入金・超過"),設定!$C$5-L478,"")</f>
        <v/>
      </c>
      <c r="W478" s="21" t="str">
        <f aca="false">IF(A478="","",TRIM(IF(B478="","請求日 ","")&amp;IF(C478="","取引先 ",IF(D478="コード誤り","取引先コード誤り ",""))&amp;IF(E478="","件名 ","")&amp;IF(F478="","税抜金額 ","")&amp;IF(G478="","税率 ","")&amp;IF(M478="","送付方法 ","")&amp;IF(AND(N478&lt;&gt;"",O478=""),"送付者 ","")&amp;IF(AND(I478&lt;&gt;"",L478=""),"入金期日 ","")&amp;IF(AND(N478&lt;&gt;"",P478&gt;0,S478&lt;=0,X478=""),"消込確認者 ","")))</f>
        <v/>
      </c>
      <c r="X478" s="28"/>
      <c r="Y478" s="28"/>
    </row>
    <row r="479" customFormat="false" ht="15" hidden="false" customHeight="false" outlineLevel="0" collapsed="false">
      <c r="A479" s="21" t="str">
        <f aca="false">IF(COUNTA(B479,C479,E479,F479)=0,"",設定!$C$4&amp;TEXT(ROW()-4,"00000"))</f>
        <v/>
      </c>
      <c r="B479" s="22"/>
      <c r="C479" s="23"/>
      <c r="D479" s="21" t="str">
        <f aca="false">IF(C479="","",IFERROR(INDEX(取引先マスタ!$B$5:$B$204,MATCH($C479,取引先マスタ!$A$5:$A$204,0)),"コード誤り"))</f>
        <v/>
      </c>
      <c r="E479" s="28"/>
      <c r="F479" s="18"/>
      <c r="G479" s="25"/>
      <c r="H479" s="26" t="str">
        <f aca="false">IF(OR(F479="",G479=""),"",ROUNDDOWN(F479*G479,0))</f>
        <v/>
      </c>
      <c r="I479" s="26" t="str">
        <f aca="false">IF(OR(F479="",G479=""),"",F479+H479)</f>
        <v/>
      </c>
      <c r="J479" s="27" t="str">
        <f aca="false">IF(OR(B479="",C479="",D479="コード誤り"),"",IFERROR(DATE(YEAR(B479),MONTH(B479)+INDEX(取引先マスタ!$E$5:$E$204,MATCH($C479,取引先マスタ!$A$5:$A$204,0)),MIN(INDEX(取引先マスタ!$F$5:$F$204,MATCH($C479,取引先マスタ!$A$5:$A$204,0)),DAY(EOMONTH(B479,INDEX(取引先マスタ!$E$5:$E$204,MATCH($C479,取引先マスタ!$A$5:$A$204,0)))))),""))</f>
        <v/>
      </c>
      <c r="K479" s="22"/>
      <c r="L479" s="27" t="str">
        <f aca="false">IF(K479&lt;&gt;"",K479,J479)</f>
        <v/>
      </c>
      <c r="M479" s="28"/>
      <c r="N479" s="22"/>
      <c r="O479" s="28"/>
      <c r="P479" s="26" t="str">
        <f aca="false">IF(A479="","",SUMIF(入金明細!$F$5:$F$1004,A479,入金明細!$E$5:$E$1004))</f>
        <v/>
      </c>
      <c r="Q479" s="27" t="str">
        <f aca="false">IF(OR(A479="",N(P479)=0),"",SUMPRODUCT(MAX((入金明細!$F$5:$F$1004=A479)*入金明細!$B$5:$B$1004)))</f>
        <v/>
      </c>
      <c r="R479" s="18"/>
      <c r="S479" s="26" t="str">
        <f aca="false">IF(OR(A479="",I479=""),"",I479-N(P479)-N(R479))</f>
        <v/>
      </c>
      <c r="T479" s="28"/>
      <c r="U479" s="29" t="str">
        <f aca="false">IF(A479="","",IF(T479="取消","取消",IF(W479&lt;&gt;"","要入力",IF(N479="","未送付",IF(S479=0,"入金済",IF(S479&lt;0,"過入金",IF(設定!$C$5&gt;L479,IF(P479&gt;0,"一部入金・超過","期日超過"),IF(P479&gt;0,"一部入金",IF(L479-設定!$C$5&lt;=設定!$C$6,"期日間近","入金待ち")))))))))</f>
        <v/>
      </c>
      <c r="V479" s="30" t="str">
        <f aca="false">IF(OR(U479="期日超過",U479="一部入金・超過"),設定!$C$5-L479,"")</f>
        <v/>
      </c>
      <c r="W479" s="21" t="str">
        <f aca="false">IF(A479="","",TRIM(IF(B479="","請求日 ","")&amp;IF(C479="","取引先 ",IF(D479="コード誤り","取引先コード誤り ",""))&amp;IF(E479="","件名 ","")&amp;IF(F479="","税抜金額 ","")&amp;IF(G479="","税率 ","")&amp;IF(M479="","送付方法 ","")&amp;IF(AND(N479&lt;&gt;"",O479=""),"送付者 ","")&amp;IF(AND(I479&lt;&gt;"",L479=""),"入金期日 ","")&amp;IF(AND(N479&lt;&gt;"",P479&gt;0,S479&lt;=0,X479=""),"消込確認者 ","")))</f>
        <v/>
      </c>
      <c r="X479" s="28"/>
      <c r="Y479" s="28"/>
    </row>
    <row r="480" customFormat="false" ht="15" hidden="false" customHeight="false" outlineLevel="0" collapsed="false">
      <c r="A480" s="21" t="str">
        <f aca="false">IF(COUNTA(B480,C480,E480,F480)=0,"",設定!$C$4&amp;TEXT(ROW()-4,"00000"))</f>
        <v/>
      </c>
      <c r="B480" s="22"/>
      <c r="C480" s="23"/>
      <c r="D480" s="21" t="str">
        <f aca="false">IF(C480="","",IFERROR(INDEX(取引先マスタ!$B$5:$B$204,MATCH($C480,取引先マスタ!$A$5:$A$204,0)),"コード誤り"))</f>
        <v/>
      </c>
      <c r="E480" s="28"/>
      <c r="F480" s="18"/>
      <c r="G480" s="25"/>
      <c r="H480" s="26" t="str">
        <f aca="false">IF(OR(F480="",G480=""),"",ROUNDDOWN(F480*G480,0))</f>
        <v/>
      </c>
      <c r="I480" s="26" t="str">
        <f aca="false">IF(OR(F480="",G480=""),"",F480+H480)</f>
        <v/>
      </c>
      <c r="J480" s="27" t="str">
        <f aca="false">IF(OR(B480="",C480="",D480="コード誤り"),"",IFERROR(DATE(YEAR(B480),MONTH(B480)+INDEX(取引先マスタ!$E$5:$E$204,MATCH($C480,取引先マスタ!$A$5:$A$204,0)),MIN(INDEX(取引先マスタ!$F$5:$F$204,MATCH($C480,取引先マスタ!$A$5:$A$204,0)),DAY(EOMONTH(B480,INDEX(取引先マスタ!$E$5:$E$204,MATCH($C480,取引先マスタ!$A$5:$A$204,0)))))),""))</f>
        <v/>
      </c>
      <c r="K480" s="22"/>
      <c r="L480" s="27" t="str">
        <f aca="false">IF(K480&lt;&gt;"",K480,J480)</f>
        <v/>
      </c>
      <c r="M480" s="28"/>
      <c r="N480" s="22"/>
      <c r="O480" s="28"/>
      <c r="P480" s="26" t="str">
        <f aca="false">IF(A480="","",SUMIF(入金明細!$F$5:$F$1004,A480,入金明細!$E$5:$E$1004))</f>
        <v/>
      </c>
      <c r="Q480" s="27" t="str">
        <f aca="false">IF(OR(A480="",N(P480)=0),"",SUMPRODUCT(MAX((入金明細!$F$5:$F$1004=A480)*入金明細!$B$5:$B$1004)))</f>
        <v/>
      </c>
      <c r="R480" s="18"/>
      <c r="S480" s="26" t="str">
        <f aca="false">IF(OR(A480="",I480=""),"",I480-N(P480)-N(R480))</f>
        <v/>
      </c>
      <c r="T480" s="28"/>
      <c r="U480" s="29" t="str">
        <f aca="false">IF(A480="","",IF(T480="取消","取消",IF(W480&lt;&gt;"","要入力",IF(N480="","未送付",IF(S480=0,"入金済",IF(S480&lt;0,"過入金",IF(設定!$C$5&gt;L480,IF(P480&gt;0,"一部入金・超過","期日超過"),IF(P480&gt;0,"一部入金",IF(L480-設定!$C$5&lt;=設定!$C$6,"期日間近","入金待ち")))))))))</f>
        <v/>
      </c>
      <c r="V480" s="30" t="str">
        <f aca="false">IF(OR(U480="期日超過",U480="一部入金・超過"),設定!$C$5-L480,"")</f>
        <v/>
      </c>
      <c r="W480" s="21" t="str">
        <f aca="false">IF(A480="","",TRIM(IF(B480="","請求日 ","")&amp;IF(C480="","取引先 ",IF(D480="コード誤り","取引先コード誤り ",""))&amp;IF(E480="","件名 ","")&amp;IF(F480="","税抜金額 ","")&amp;IF(G480="","税率 ","")&amp;IF(M480="","送付方法 ","")&amp;IF(AND(N480&lt;&gt;"",O480=""),"送付者 ","")&amp;IF(AND(I480&lt;&gt;"",L480=""),"入金期日 ","")&amp;IF(AND(N480&lt;&gt;"",P480&gt;0,S480&lt;=0,X480=""),"消込確認者 ","")))</f>
        <v/>
      </c>
      <c r="X480" s="28"/>
      <c r="Y480" s="28"/>
    </row>
    <row r="481" customFormat="false" ht="15" hidden="false" customHeight="false" outlineLevel="0" collapsed="false">
      <c r="A481" s="21" t="str">
        <f aca="false">IF(COUNTA(B481,C481,E481,F481)=0,"",設定!$C$4&amp;TEXT(ROW()-4,"00000"))</f>
        <v/>
      </c>
      <c r="B481" s="22"/>
      <c r="C481" s="23"/>
      <c r="D481" s="21" t="str">
        <f aca="false">IF(C481="","",IFERROR(INDEX(取引先マスタ!$B$5:$B$204,MATCH($C481,取引先マスタ!$A$5:$A$204,0)),"コード誤り"))</f>
        <v/>
      </c>
      <c r="E481" s="28"/>
      <c r="F481" s="18"/>
      <c r="G481" s="25"/>
      <c r="H481" s="26" t="str">
        <f aca="false">IF(OR(F481="",G481=""),"",ROUNDDOWN(F481*G481,0))</f>
        <v/>
      </c>
      <c r="I481" s="26" t="str">
        <f aca="false">IF(OR(F481="",G481=""),"",F481+H481)</f>
        <v/>
      </c>
      <c r="J481" s="27" t="str">
        <f aca="false">IF(OR(B481="",C481="",D481="コード誤り"),"",IFERROR(DATE(YEAR(B481),MONTH(B481)+INDEX(取引先マスタ!$E$5:$E$204,MATCH($C481,取引先マスタ!$A$5:$A$204,0)),MIN(INDEX(取引先マスタ!$F$5:$F$204,MATCH($C481,取引先マスタ!$A$5:$A$204,0)),DAY(EOMONTH(B481,INDEX(取引先マスタ!$E$5:$E$204,MATCH($C481,取引先マスタ!$A$5:$A$204,0)))))),""))</f>
        <v/>
      </c>
      <c r="K481" s="22"/>
      <c r="L481" s="27" t="str">
        <f aca="false">IF(K481&lt;&gt;"",K481,J481)</f>
        <v/>
      </c>
      <c r="M481" s="28"/>
      <c r="N481" s="22"/>
      <c r="O481" s="28"/>
      <c r="P481" s="26" t="str">
        <f aca="false">IF(A481="","",SUMIF(入金明細!$F$5:$F$1004,A481,入金明細!$E$5:$E$1004))</f>
        <v/>
      </c>
      <c r="Q481" s="27" t="str">
        <f aca="false">IF(OR(A481="",N(P481)=0),"",SUMPRODUCT(MAX((入金明細!$F$5:$F$1004=A481)*入金明細!$B$5:$B$1004)))</f>
        <v/>
      </c>
      <c r="R481" s="18"/>
      <c r="S481" s="26" t="str">
        <f aca="false">IF(OR(A481="",I481=""),"",I481-N(P481)-N(R481))</f>
        <v/>
      </c>
      <c r="T481" s="28"/>
      <c r="U481" s="29" t="str">
        <f aca="false">IF(A481="","",IF(T481="取消","取消",IF(W481&lt;&gt;"","要入力",IF(N481="","未送付",IF(S481=0,"入金済",IF(S481&lt;0,"過入金",IF(設定!$C$5&gt;L481,IF(P481&gt;0,"一部入金・超過","期日超過"),IF(P481&gt;0,"一部入金",IF(L481-設定!$C$5&lt;=設定!$C$6,"期日間近","入金待ち")))))))))</f>
        <v/>
      </c>
      <c r="V481" s="30" t="str">
        <f aca="false">IF(OR(U481="期日超過",U481="一部入金・超過"),設定!$C$5-L481,"")</f>
        <v/>
      </c>
      <c r="W481" s="21" t="str">
        <f aca="false">IF(A481="","",TRIM(IF(B481="","請求日 ","")&amp;IF(C481="","取引先 ",IF(D481="コード誤り","取引先コード誤り ",""))&amp;IF(E481="","件名 ","")&amp;IF(F481="","税抜金額 ","")&amp;IF(G481="","税率 ","")&amp;IF(M481="","送付方法 ","")&amp;IF(AND(N481&lt;&gt;"",O481=""),"送付者 ","")&amp;IF(AND(I481&lt;&gt;"",L481=""),"入金期日 ","")&amp;IF(AND(N481&lt;&gt;"",P481&gt;0,S481&lt;=0,X481=""),"消込確認者 ","")))</f>
        <v/>
      </c>
      <c r="X481" s="28"/>
      <c r="Y481" s="28"/>
    </row>
    <row r="482" customFormat="false" ht="15" hidden="false" customHeight="false" outlineLevel="0" collapsed="false">
      <c r="A482" s="21" t="str">
        <f aca="false">IF(COUNTA(B482,C482,E482,F482)=0,"",設定!$C$4&amp;TEXT(ROW()-4,"00000"))</f>
        <v/>
      </c>
      <c r="B482" s="22"/>
      <c r="C482" s="23"/>
      <c r="D482" s="21" t="str">
        <f aca="false">IF(C482="","",IFERROR(INDEX(取引先マスタ!$B$5:$B$204,MATCH($C482,取引先マスタ!$A$5:$A$204,0)),"コード誤り"))</f>
        <v/>
      </c>
      <c r="E482" s="28"/>
      <c r="F482" s="18"/>
      <c r="G482" s="25"/>
      <c r="H482" s="26" t="str">
        <f aca="false">IF(OR(F482="",G482=""),"",ROUNDDOWN(F482*G482,0))</f>
        <v/>
      </c>
      <c r="I482" s="26" t="str">
        <f aca="false">IF(OR(F482="",G482=""),"",F482+H482)</f>
        <v/>
      </c>
      <c r="J482" s="27" t="str">
        <f aca="false">IF(OR(B482="",C482="",D482="コード誤り"),"",IFERROR(DATE(YEAR(B482),MONTH(B482)+INDEX(取引先マスタ!$E$5:$E$204,MATCH($C482,取引先マスタ!$A$5:$A$204,0)),MIN(INDEX(取引先マスタ!$F$5:$F$204,MATCH($C482,取引先マスタ!$A$5:$A$204,0)),DAY(EOMONTH(B482,INDEX(取引先マスタ!$E$5:$E$204,MATCH($C482,取引先マスタ!$A$5:$A$204,0)))))),""))</f>
        <v/>
      </c>
      <c r="K482" s="22"/>
      <c r="L482" s="27" t="str">
        <f aca="false">IF(K482&lt;&gt;"",K482,J482)</f>
        <v/>
      </c>
      <c r="M482" s="28"/>
      <c r="N482" s="22"/>
      <c r="O482" s="28"/>
      <c r="P482" s="26" t="str">
        <f aca="false">IF(A482="","",SUMIF(入金明細!$F$5:$F$1004,A482,入金明細!$E$5:$E$1004))</f>
        <v/>
      </c>
      <c r="Q482" s="27" t="str">
        <f aca="false">IF(OR(A482="",N(P482)=0),"",SUMPRODUCT(MAX((入金明細!$F$5:$F$1004=A482)*入金明細!$B$5:$B$1004)))</f>
        <v/>
      </c>
      <c r="R482" s="18"/>
      <c r="S482" s="26" t="str">
        <f aca="false">IF(OR(A482="",I482=""),"",I482-N(P482)-N(R482))</f>
        <v/>
      </c>
      <c r="T482" s="28"/>
      <c r="U482" s="29" t="str">
        <f aca="false">IF(A482="","",IF(T482="取消","取消",IF(W482&lt;&gt;"","要入力",IF(N482="","未送付",IF(S482=0,"入金済",IF(S482&lt;0,"過入金",IF(設定!$C$5&gt;L482,IF(P482&gt;0,"一部入金・超過","期日超過"),IF(P482&gt;0,"一部入金",IF(L482-設定!$C$5&lt;=設定!$C$6,"期日間近","入金待ち")))))))))</f>
        <v/>
      </c>
      <c r="V482" s="30" t="str">
        <f aca="false">IF(OR(U482="期日超過",U482="一部入金・超過"),設定!$C$5-L482,"")</f>
        <v/>
      </c>
      <c r="W482" s="21" t="str">
        <f aca="false">IF(A482="","",TRIM(IF(B482="","請求日 ","")&amp;IF(C482="","取引先 ",IF(D482="コード誤り","取引先コード誤り ",""))&amp;IF(E482="","件名 ","")&amp;IF(F482="","税抜金額 ","")&amp;IF(G482="","税率 ","")&amp;IF(M482="","送付方法 ","")&amp;IF(AND(N482&lt;&gt;"",O482=""),"送付者 ","")&amp;IF(AND(I482&lt;&gt;"",L482=""),"入金期日 ","")&amp;IF(AND(N482&lt;&gt;"",P482&gt;0,S482&lt;=0,X482=""),"消込確認者 ","")))</f>
        <v/>
      </c>
      <c r="X482" s="28"/>
      <c r="Y482" s="28"/>
    </row>
    <row r="483" customFormat="false" ht="15" hidden="false" customHeight="false" outlineLevel="0" collapsed="false">
      <c r="A483" s="21" t="str">
        <f aca="false">IF(COUNTA(B483,C483,E483,F483)=0,"",設定!$C$4&amp;TEXT(ROW()-4,"00000"))</f>
        <v/>
      </c>
      <c r="B483" s="22"/>
      <c r="C483" s="23"/>
      <c r="D483" s="21" t="str">
        <f aca="false">IF(C483="","",IFERROR(INDEX(取引先マスタ!$B$5:$B$204,MATCH($C483,取引先マスタ!$A$5:$A$204,0)),"コード誤り"))</f>
        <v/>
      </c>
      <c r="E483" s="28"/>
      <c r="F483" s="18"/>
      <c r="G483" s="25"/>
      <c r="H483" s="26" t="str">
        <f aca="false">IF(OR(F483="",G483=""),"",ROUNDDOWN(F483*G483,0))</f>
        <v/>
      </c>
      <c r="I483" s="26" t="str">
        <f aca="false">IF(OR(F483="",G483=""),"",F483+H483)</f>
        <v/>
      </c>
      <c r="J483" s="27" t="str">
        <f aca="false">IF(OR(B483="",C483="",D483="コード誤り"),"",IFERROR(DATE(YEAR(B483),MONTH(B483)+INDEX(取引先マスタ!$E$5:$E$204,MATCH($C483,取引先マスタ!$A$5:$A$204,0)),MIN(INDEX(取引先マスタ!$F$5:$F$204,MATCH($C483,取引先マスタ!$A$5:$A$204,0)),DAY(EOMONTH(B483,INDEX(取引先マスタ!$E$5:$E$204,MATCH($C483,取引先マスタ!$A$5:$A$204,0)))))),""))</f>
        <v/>
      </c>
      <c r="K483" s="22"/>
      <c r="L483" s="27" t="str">
        <f aca="false">IF(K483&lt;&gt;"",K483,J483)</f>
        <v/>
      </c>
      <c r="M483" s="28"/>
      <c r="N483" s="22"/>
      <c r="O483" s="28"/>
      <c r="P483" s="26" t="str">
        <f aca="false">IF(A483="","",SUMIF(入金明細!$F$5:$F$1004,A483,入金明細!$E$5:$E$1004))</f>
        <v/>
      </c>
      <c r="Q483" s="27" t="str">
        <f aca="false">IF(OR(A483="",N(P483)=0),"",SUMPRODUCT(MAX((入金明細!$F$5:$F$1004=A483)*入金明細!$B$5:$B$1004)))</f>
        <v/>
      </c>
      <c r="R483" s="18"/>
      <c r="S483" s="26" t="str">
        <f aca="false">IF(OR(A483="",I483=""),"",I483-N(P483)-N(R483))</f>
        <v/>
      </c>
      <c r="T483" s="28"/>
      <c r="U483" s="29" t="str">
        <f aca="false">IF(A483="","",IF(T483="取消","取消",IF(W483&lt;&gt;"","要入力",IF(N483="","未送付",IF(S483=0,"入金済",IF(S483&lt;0,"過入金",IF(設定!$C$5&gt;L483,IF(P483&gt;0,"一部入金・超過","期日超過"),IF(P483&gt;0,"一部入金",IF(L483-設定!$C$5&lt;=設定!$C$6,"期日間近","入金待ち")))))))))</f>
        <v/>
      </c>
      <c r="V483" s="30" t="str">
        <f aca="false">IF(OR(U483="期日超過",U483="一部入金・超過"),設定!$C$5-L483,"")</f>
        <v/>
      </c>
      <c r="W483" s="21" t="str">
        <f aca="false">IF(A483="","",TRIM(IF(B483="","請求日 ","")&amp;IF(C483="","取引先 ",IF(D483="コード誤り","取引先コード誤り ",""))&amp;IF(E483="","件名 ","")&amp;IF(F483="","税抜金額 ","")&amp;IF(G483="","税率 ","")&amp;IF(M483="","送付方法 ","")&amp;IF(AND(N483&lt;&gt;"",O483=""),"送付者 ","")&amp;IF(AND(I483&lt;&gt;"",L483=""),"入金期日 ","")&amp;IF(AND(N483&lt;&gt;"",P483&gt;0,S483&lt;=0,X483=""),"消込確認者 ","")))</f>
        <v/>
      </c>
      <c r="X483" s="28"/>
      <c r="Y483" s="28"/>
    </row>
    <row r="484" customFormat="false" ht="15" hidden="false" customHeight="false" outlineLevel="0" collapsed="false">
      <c r="A484" s="21" t="str">
        <f aca="false">IF(COUNTA(B484,C484,E484,F484)=0,"",設定!$C$4&amp;TEXT(ROW()-4,"00000"))</f>
        <v/>
      </c>
      <c r="B484" s="22"/>
      <c r="C484" s="23"/>
      <c r="D484" s="21" t="str">
        <f aca="false">IF(C484="","",IFERROR(INDEX(取引先マスタ!$B$5:$B$204,MATCH($C484,取引先マスタ!$A$5:$A$204,0)),"コード誤り"))</f>
        <v/>
      </c>
      <c r="E484" s="28"/>
      <c r="F484" s="18"/>
      <c r="G484" s="25"/>
      <c r="H484" s="26" t="str">
        <f aca="false">IF(OR(F484="",G484=""),"",ROUNDDOWN(F484*G484,0))</f>
        <v/>
      </c>
      <c r="I484" s="26" t="str">
        <f aca="false">IF(OR(F484="",G484=""),"",F484+H484)</f>
        <v/>
      </c>
      <c r="J484" s="27" t="str">
        <f aca="false">IF(OR(B484="",C484="",D484="コード誤り"),"",IFERROR(DATE(YEAR(B484),MONTH(B484)+INDEX(取引先マスタ!$E$5:$E$204,MATCH($C484,取引先マスタ!$A$5:$A$204,0)),MIN(INDEX(取引先マスタ!$F$5:$F$204,MATCH($C484,取引先マスタ!$A$5:$A$204,0)),DAY(EOMONTH(B484,INDEX(取引先マスタ!$E$5:$E$204,MATCH($C484,取引先マスタ!$A$5:$A$204,0)))))),""))</f>
        <v/>
      </c>
      <c r="K484" s="22"/>
      <c r="L484" s="27" t="str">
        <f aca="false">IF(K484&lt;&gt;"",K484,J484)</f>
        <v/>
      </c>
      <c r="M484" s="28"/>
      <c r="N484" s="22"/>
      <c r="O484" s="28"/>
      <c r="P484" s="26" t="str">
        <f aca="false">IF(A484="","",SUMIF(入金明細!$F$5:$F$1004,A484,入金明細!$E$5:$E$1004))</f>
        <v/>
      </c>
      <c r="Q484" s="27" t="str">
        <f aca="false">IF(OR(A484="",N(P484)=0),"",SUMPRODUCT(MAX((入金明細!$F$5:$F$1004=A484)*入金明細!$B$5:$B$1004)))</f>
        <v/>
      </c>
      <c r="R484" s="18"/>
      <c r="S484" s="26" t="str">
        <f aca="false">IF(OR(A484="",I484=""),"",I484-N(P484)-N(R484))</f>
        <v/>
      </c>
      <c r="T484" s="28"/>
      <c r="U484" s="29" t="str">
        <f aca="false">IF(A484="","",IF(T484="取消","取消",IF(W484&lt;&gt;"","要入力",IF(N484="","未送付",IF(S484=0,"入金済",IF(S484&lt;0,"過入金",IF(設定!$C$5&gt;L484,IF(P484&gt;0,"一部入金・超過","期日超過"),IF(P484&gt;0,"一部入金",IF(L484-設定!$C$5&lt;=設定!$C$6,"期日間近","入金待ち")))))))))</f>
        <v/>
      </c>
      <c r="V484" s="30" t="str">
        <f aca="false">IF(OR(U484="期日超過",U484="一部入金・超過"),設定!$C$5-L484,"")</f>
        <v/>
      </c>
      <c r="W484" s="21" t="str">
        <f aca="false">IF(A484="","",TRIM(IF(B484="","請求日 ","")&amp;IF(C484="","取引先 ",IF(D484="コード誤り","取引先コード誤り ",""))&amp;IF(E484="","件名 ","")&amp;IF(F484="","税抜金額 ","")&amp;IF(G484="","税率 ","")&amp;IF(M484="","送付方法 ","")&amp;IF(AND(N484&lt;&gt;"",O484=""),"送付者 ","")&amp;IF(AND(I484&lt;&gt;"",L484=""),"入金期日 ","")&amp;IF(AND(N484&lt;&gt;"",P484&gt;0,S484&lt;=0,X484=""),"消込確認者 ","")))</f>
        <v/>
      </c>
      <c r="X484" s="28"/>
      <c r="Y484" s="28"/>
    </row>
    <row r="485" customFormat="false" ht="15" hidden="false" customHeight="false" outlineLevel="0" collapsed="false">
      <c r="A485" s="21" t="str">
        <f aca="false">IF(COUNTA(B485,C485,E485,F485)=0,"",設定!$C$4&amp;TEXT(ROW()-4,"00000"))</f>
        <v/>
      </c>
      <c r="B485" s="22"/>
      <c r="C485" s="23"/>
      <c r="D485" s="21" t="str">
        <f aca="false">IF(C485="","",IFERROR(INDEX(取引先マスタ!$B$5:$B$204,MATCH($C485,取引先マスタ!$A$5:$A$204,0)),"コード誤り"))</f>
        <v/>
      </c>
      <c r="E485" s="28"/>
      <c r="F485" s="18"/>
      <c r="G485" s="25"/>
      <c r="H485" s="26" t="str">
        <f aca="false">IF(OR(F485="",G485=""),"",ROUNDDOWN(F485*G485,0))</f>
        <v/>
      </c>
      <c r="I485" s="26" t="str">
        <f aca="false">IF(OR(F485="",G485=""),"",F485+H485)</f>
        <v/>
      </c>
      <c r="J485" s="27" t="str">
        <f aca="false">IF(OR(B485="",C485="",D485="コード誤り"),"",IFERROR(DATE(YEAR(B485),MONTH(B485)+INDEX(取引先マスタ!$E$5:$E$204,MATCH($C485,取引先マスタ!$A$5:$A$204,0)),MIN(INDEX(取引先マスタ!$F$5:$F$204,MATCH($C485,取引先マスタ!$A$5:$A$204,0)),DAY(EOMONTH(B485,INDEX(取引先マスタ!$E$5:$E$204,MATCH($C485,取引先マスタ!$A$5:$A$204,0)))))),""))</f>
        <v/>
      </c>
      <c r="K485" s="22"/>
      <c r="L485" s="27" t="str">
        <f aca="false">IF(K485&lt;&gt;"",K485,J485)</f>
        <v/>
      </c>
      <c r="M485" s="28"/>
      <c r="N485" s="22"/>
      <c r="O485" s="28"/>
      <c r="P485" s="26" t="str">
        <f aca="false">IF(A485="","",SUMIF(入金明細!$F$5:$F$1004,A485,入金明細!$E$5:$E$1004))</f>
        <v/>
      </c>
      <c r="Q485" s="27" t="str">
        <f aca="false">IF(OR(A485="",N(P485)=0),"",SUMPRODUCT(MAX((入金明細!$F$5:$F$1004=A485)*入金明細!$B$5:$B$1004)))</f>
        <v/>
      </c>
      <c r="R485" s="18"/>
      <c r="S485" s="26" t="str">
        <f aca="false">IF(OR(A485="",I485=""),"",I485-N(P485)-N(R485))</f>
        <v/>
      </c>
      <c r="T485" s="28"/>
      <c r="U485" s="29" t="str">
        <f aca="false">IF(A485="","",IF(T485="取消","取消",IF(W485&lt;&gt;"","要入力",IF(N485="","未送付",IF(S485=0,"入金済",IF(S485&lt;0,"過入金",IF(設定!$C$5&gt;L485,IF(P485&gt;0,"一部入金・超過","期日超過"),IF(P485&gt;0,"一部入金",IF(L485-設定!$C$5&lt;=設定!$C$6,"期日間近","入金待ち")))))))))</f>
        <v/>
      </c>
      <c r="V485" s="30" t="str">
        <f aca="false">IF(OR(U485="期日超過",U485="一部入金・超過"),設定!$C$5-L485,"")</f>
        <v/>
      </c>
      <c r="W485" s="21" t="str">
        <f aca="false">IF(A485="","",TRIM(IF(B485="","請求日 ","")&amp;IF(C485="","取引先 ",IF(D485="コード誤り","取引先コード誤り ",""))&amp;IF(E485="","件名 ","")&amp;IF(F485="","税抜金額 ","")&amp;IF(G485="","税率 ","")&amp;IF(M485="","送付方法 ","")&amp;IF(AND(N485&lt;&gt;"",O485=""),"送付者 ","")&amp;IF(AND(I485&lt;&gt;"",L485=""),"入金期日 ","")&amp;IF(AND(N485&lt;&gt;"",P485&gt;0,S485&lt;=0,X485=""),"消込確認者 ","")))</f>
        <v/>
      </c>
      <c r="X485" s="28"/>
      <c r="Y485" s="28"/>
    </row>
    <row r="486" customFormat="false" ht="15" hidden="false" customHeight="false" outlineLevel="0" collapsed="false">
      <c r="A486" s="21" t="str">
        <f aca="false">IF(COUNTA(B486,C486,E486,F486)=0,"",設定!$C$4&amp;TEXT(ROW()-4,"00000"))</f>
        <v/>
      </c>
      <c r="B486" s="22"/>
      <c r="C486" s="23"/>
      <c r="D486" s="21" t="str">
        <f aca="false">IF(C486="","",IFERROR(INDEX(取引先マスタ!$B$5:$B$204,MATCH($C486,取引先マスタ!$A$5:$A$204,0)),"コード誤り"))</f>
        <v/>
      </c>
      <c r="E486" s="28"/>
      <c r="F486" s="18"/>
      <c r="G486" s="25"/>
      <c r="H486" s="26" t="str">
        <f aca="false">IF(OR(F486="",G486=""),"",ROUNDDOWN(F486*G486,0))</f>
        <v/>
      </c>
      <c r="I486" s="26" t="str">
        <f aca="false">IF(OR(F486="",G486=""),"",F486+H486)</f>
        <v/>
      </c>
      <c r="J486" s="27" t="str">
        <f aca="false">IF(OR(B486="",C486="",D486="コード誤り"),"",IFERROR(DATE(YEAR(B486),MONTH(B486)+INDEX(取引先マスタ!$E$5:$E$204,MATCH($C486,取引先マスタ!$A$5:$A$204,0)),MIN(INDEX(取引先マスタ!$F$5:$F$204,MATCH($C486,取引先マスタ!$A$5:$A$204,0)),DAY(EOMONTH(B486,INDEX(取引先マスタ!$E$5:$E$204,MATCH($C486,取引先マスタ!$A$5:$A$204,0)))))),""))</f>
        <v/>
      </c>
      <c r="K486" s="22"/>
      <c r="L486" s="27" t="str">
        <f aca="false">IF(K486&lt;&gt;"",K486,J486)</f>
        <v/>
      </c>
      <c r="M486" s="28"/>
      <c r="N486" s="22"/>
      <c r="O486" s="28"/>
      <c r="P486" s="26" t="str">
        <f aca="false">IF(A486="","",SUMIF(入金明細!$F$5:$F$1004,A486,入金明細!$E$5:$E$1004))</f>
        <v/>
      </c>
      <c r="Q486" s="27" t="str">
        <f aca="false">IF(OR(A486="",N(P486)=0),"",SUMPRODUCT(MAX((入金明細!$F$5:$F$1004=A486)*入金明細!$B$5:$B$1004)))</f>
        <v/>
      </c>
      <c r="R486" s="18"/>
      <c r="S486" s="26" t="str">
        <f aca="false">IF(OR(A486="",I486=""),"",I486-N(P486)-N(R486))</f>
        <v/>
      </c>
      <c r="T486" s="28"/>
      <c r="U486" s="29" t="str">
        <f aca="false">IF(A486="","",IF(T486="取消","取消",IF(W486&lt;&gt;"","要入力",IF(N486="","未送付",IF(S486=0,"入金済",IF(S486&lt;0,"過入金",IF(設定!$C$5&gt;L486,IF(P486&gt;0,"一部入金・超過","期日超過"),IF(P486&gt;0,"一部入金",IF(L486-設定!$C$5&lt;=設定!$C$6,"期日間近","入金待ち")))))))))</f>
        <v/>
      </c>
      <c r="V486" s="30" t="str">
        <f aca="false">IF(OR(U486="期日超過",U486="一部入金・超過"),設定!$C$5-L486,"")</f>
        <v/>
      </c>
      <c r="W486" s="21" t="str">
        <f aca="false">IF(A486="","",TRIM(IF(B486="","請求日 ","")&amp;IF(C486="","取引先 ",IF(D486="コード誤り","取引先コード誤り ",""))&amp;IF(E486="","件名 ","")&amp;IF(F486="","税抜金額 ","")&amp;IF(G486="","税率 ","")&amp;IF(M486="","送付方法 ","")&amp;IF(AND(N486&lt;&gt;"",O486=""),"送付者 ","")&amp;IF(AND(I486&lt;&gt;"",L486=""),"入金期日 ","")&amp;IF(AND(N486&lt;&gt;"",P486&gt;0,S486&lt;=0,X486=""),"消込確認者 ","")))</f>
        <v/>
      </c>
      <c r="X486" s="28"/>
      <c r="Y486" s="28"/>
    </row>
    <row r="487" customFormat="false" ht="15" hidden="false" customHeight="false" outlineLevel="0" collapsed="false">
      <c r="A487" s="21" t="str">
        <f aca="false">IF(COUNTA(B487,C487,E487,F487)=0,"",設定!$C$4&amp;TEXT(ROW()-4,"00000"))</f>
        <v/>
      </c>
      <c r="B487" s="22"/>
      <c r="C487" s="23"/>
      <c r="D487" s="21" t="str">
        <f aca="false">IF(C487="","",IFERROR(INDEX(取引先マスタ!$B$5:$B$204,MATCH($C487,取引先マスタ!$A$5:$A$204,0)),"コード誤り"))</f>
        <v/>
      </c>
      <c r="E487" s="28"/>
      <c r="F487" s="18"/>
      <c r="G487" s="25"/>
      <c r="H487" s="26" t="str">
        <f aca="false">IF(OR(F487="",G487=""),"",ROUNDDOWN(F487*G487,0))</f>
        <v/>
      </c>
      <c r="I487" s="26" t="str">
        <f aca="false">IF(OR(F487="",G487=""),"",F487+H487)</f>
        <v/>
      </c>
      <c r="J487" s="27" t="str">
        <f aca="false">IF(OR(B487="",C487="",D487="コード誤り"),"",IFERROR(DATE(YEAR(B487),MONTH(B487)+INDEX(取引先マスタ!$E$5:$E$204,MATCH($C487,取引先マスタ!$A$5:$A$204,0)),MIN(INDEX(取引先マスタ!$F$5:$F$204,MATCH($C487,取引先マスタ!$A$5:$A$204,0)),DAY(EOMONTH(B487,INDEX(取引先マスタ!$E$5:$E$204,MATCH($C487,取引先マスタ!$A$5:$A$204,0)))))),""))</f>
        <v/>
      </c>
      <c r="K487" s="22"/>
      <c r="L487" s="27" t="str">
        <f aca="false">IF(K487&lt;&gt;"",K487,J487)</f>
        <v/>
      </c>
      <c r="M487" s="28"/>
      <c r="N487" s="22"/>
      <c r="O487" s="28"/>
      <c r="P487" s="26" t="str">
        <f aca="false">IF(A487="","",SUMIF(入金明細!$F$5:$F$1004,A487,入金明細!$E$5:$E$1004))</f>
        <v/>
      </c>
      <c r="Q487" s="27" t="str">
        <f aca="false">IF(OR(A487="",N(P487)=0),"",SUMPRODUCT(MAX((入金明細!$F$5:$F$1004=A487)*入金明細!$B$5:$B$1004)))</f>
        <v/>
      </c>
      <c r="R487" s="18"/>
      <c r="S487" s="26" t="str">
        <f aca="false">IF(OR(A487="",I487=""),"",I487-N(P487)-N(R487))</f>
        <v/>
      </c>
      <c r="T487" s="28"/>
      <c r="U487" s="29" t="str">
        <f aca="false">IF(A487="","",IF(T487="取消","取消",IF(W487&lt;&gt;"","要入力",IF(N487="","未送付",IF(S487=0,"入金済",IF(S487&lt;0,"過入金",IF(設定!$C$5&gt;L487,IF(P487&gt;0,"一部入金・超過","期日超過"),IF(P487&gt;0,"一部入金",IF(L487-設定!$C$5&lt;=設定!$C$6,"期日間近","入金待ち")))))))))</f>
        <v/>
      </c>
      <c r="V487" s="30" t="str">
        <f aca="false">IF(OR(U487="期日超過",U487="一部入金・超過"),設定!$C$5-L487,"")</f>
        <v/>
      </c>
      <c r="W487" s="21" t="str">
        <f aca="false">IF(A487="","",TRIM(IF(B487="","請求日 ","")&amp;IF(C487="","取引先 ",IF(D487="コード誤り","取引先コード誤り ",""))&amp;IF(E487="","件名 ","")&amp;IF(F487="","税抜金額 ","")&amp;IF(G487="","税率 ","")&amp;IF(M487="","送付方法 ","")&amp;IF(AND(N487&lt;&gt;"",O487=""),"送付者 ","")&amp;IF(AND(I487&lt;&gt;"",L487=""),"入金期日 ","")&amp;IF(AND(N487&lt;&gt;"",P487&gt;0,S487&lt;=0,X487=""),"消込確認者 ","")))</f>
        <v/>
      </c>
      <c r="X487" s="28"/>
      <c r="Y487" s="28"/>
    </row>
    <row r="488" customFormat="false" ht="15" hidden="false" customHeight="false" outlineLevel="0" collapsed="false">
      <c r="A488" s="21" t="str">
        <f aca="false">IF(COUNTA(B488,C488,E488,F488)=0,"",設定!$C$4&amp;TEXT(ROW()-4,"00000"))</f>
        <v/>
      </c>
      <c r="B488" s="22"/>
      <c r="C488" s="23"/>
      <c r="D488" s="21" t="str">
        <f aca="false">IF(C488="","",IFERROR(INDEX(取引先マスタ!$B$5:$B$204,MATCH($C488,取引先マスタ!$A$5:$A$204,0)),"コード誤り"))</f>
        <v/>
      </c>
      <c r="E488" s="28"/>
      <c r="F488" s="18"/>
      <c r="G488" s="25"/>
      <c r="H488" s="26" t="str">
        <f aca="false">IF(OR(F488="",G488=""),"",ROUNDDOWN(F488*G488,0))</f>
        <v/>
      </c>
      <c r="I488" s="26" t="str">
        <f aca="false">IF(OR(F488="",G488=""),"",F488+H488)</f>
        <v/>
      </c>
      <c r="J488" s="27" t="str">
        <f aca="false">IF(OR(B488="",C488="",D488="コード誤り"),"",IFERROR(DATE(YEAR(B488),MONTH(B488)+INDEX(取引先マスタ!$E$5:$E$204,MATCH($C488,取引先マスタ!$A$5:$A$204,0)),MIN(INDEX(取引先マスタ!$F$5:$F$204,MATCH($C488,取引先マスタ!$A$5:$A$204,0)),DAY(EOMONTH(B488,INDEX(取引先マスタ!$E$5:$E$204,MATCH($C488,取引先マスタ!$A$5:$A$204,0)))))),""))</f>
        <v/>
      </c>
      <c r="K488" s="22"/>
      <c r="L488" s="27" t="str">
        <f aca="false">IF(K488&lt;&gt;"",K488,J488)</f>
        <v/>
      </c>
      <c r="M488" s="28"/>
      <c r="N488" s="22"/>
      <c r="O488" s="28"/>
      <c r="P488" s="26" t="str">
        <f aca="false">IF(A488="","",SUMIF(入金明細!$F$5:$F$1004,A488,入金明細!$E$5:$E$1004))</f>
        <v/>
      </c>
      <c r="Q488" s="27" t="str">
        <f aca="false">IF(OR(A488="",N(P488)=0),"",SUMPRODUCT(MAX((入金明細!$F$5:$F$1004=A488)*入金明細!$B$5:$B$1004)))</f>
        <v/>
      </c>
      <c r="R488" s="18"/>
      <c r="S488" s="26" t="str">
        <f aca="false">IF(OR(A488="",I488=""),"",I488-N(P488)-N(R488))</f>
        <v/>
      </c>
      <c r="T488" s="28"/>
      <c r="U488" s="29" t="str">
        <f aca="false">IF(A488="","",IF(T488="取消","取消",IF(W488&lt;&gt;"","要入力",IF(N488="","未送付",IF(S488=0,"入金済",IF(S488&lt;0,"過入金",IF(設定!$C$5&gt;L488,IF(P488&gt;0,"一部入金・超過","期日超過"),IF(P488&gt;0,"一部入金",IF(L488-設定!$C$5&lt;=設定!$C$6,"期日間近","入金待ち")))))))))</f>
        <v/>
      </c>
      <c r="V488" s="30" t="str">
        <f aca="false">IF(OR(U488="期日超過",U488="一部入金・超過"),設定!$C$5-L488,"")</f>
        <v/>
      </c>
      <c r="W488" s="21" t="str">
        <f aca="false">IF(A488="","",TRIM(IF(B488="","請求日 ","")&amp;IF(C488="","取引先 ",IF(D488="コード誤り","取引先コード誤り ",""))&amp;IF(E488="","件名 ","")&amp;IF(F488="","税抜金額 ","")&amp;IF(G488="","税率 ","")&amp;IF(M488="","送付方法 ","")&amp;IF(AND(N488&lt;&gt;"",O488=""),"送付者 ","")&amp;IF(AND(I488&lt;&gt;"",L488=""),"入金期日 ","")&amp;IF(AND(N488&lt;&gt;"",P488&gt;0,S488&lt;=0,X488=""),"消込確認者 ","")))</f>
        <v/>
      </c>
      <c r="X488" s="28"/>
      <c r="Y488" s="28"/>
    </row>
    <row r="489" customFormat="false" ht="15" hidden="false" customHeight="false" outlineLevel="0" collapsed="false">
      <c r="A489" s="21" t="str">
        <f aca="false">IF(COUNTA(B489,C489,E489,F489)=0,"",設定!$C$4&amp;TEXT(ROW()-4,"00000"))</f>
        <v/>
      </c>
      <c r="B489" s="22"/>
      <c r="C489" s="23"/>
      <c r="D489" s="21" t="str">
        <f aca="false">IF(C489="","",IFERROR(INDEX(取引先マスタ!$B$5:$B$204,MATCH($C489,取引先マスタ!$A$5:$A$204,0)),"コード誤り"))</f>
        <v/>
      </c>
      <c r="E489" s="28"/>
      <c r="F489" s="18"/>
      <c r="G489" s="25"/>
      <c r="H489" s="26" t="str">
        <f aca="false">IF(OR(F489="",G489=""),"",ROUNDDOWN(F489*G489,0))</f>
        <v/>
      </c>
      <c r="I489" s="26" t="str">
        <f aca="false">IF(OR(F489="",G489=""),"",F489+H489)</f>
        <v/>
      </c>
      <c r="J489" s="27" t="str">
        <f aca="false">IF(OR(B489="",C489="",D489="コード誤り"),"",IFERROR(DATE(YEAR(B489),MONTH(B489)+INDEX(取引先マスタ!$E$5:$E$204,MATCH($C489,取引先マスタ!$A$5:$A$204,0)),MIN(INDEX(取引先マスタ!$F$5:$F$204,MATCH($C489,取引先マスタ!$A$5:$A$204,0)),DAY(EOMONTH(B489,INDEX(取引先マスタ!$E$5:$E$204,MATCH($C489,取引先マスタ!$A$5:$A$204,0)))))),""))</f>
        <v/>
      </c>
      <c r="K489" s="22"/>
      <c r="L489" s="27" t="str">
        <f aca="false">IF(K489&lt;&gt;"",K489,J489)</f>
        <v/>
      </c>
      <c r="M489" s="28"/>
      <c r="N489" s="22"/>
      <c r="O489" s="28"/>
      <c r="P489" s="26" t="str">
        <f aca="false">IF(A489="","",SUMIF(入金明細!$F$5:$F$1004,A489,入金明細!$E$5:$E$1004))</f>
        <v/>
      </c>
      <c r="Q489" s="27" t="str">
        <f aca="false">IF(OR(A489="",N(P489)=0),"",SUMPRODUCT(MAX((入金明細!$F$5:$F$1004=A489)*入金明細!$B$5:$B$1004)))</f>
        <v/>
      </c>
      <c r="R489" s="18"/>
      <c r="S489" s="26" t="str">
        <f aca="false">IF(OR(A489="",I489=""),"",I489-N(P489)-N(R489))</f>
        <v/>
      </c>
      <c r="T489" s="28"/>
      <c r="U489" s="29" t="str">
        <f aca="false">IF(A489="","",IF(T489="取消","取消",IF(W489&lt;&gt;"","要入力",IF(N489="","未送付",IF(S489=0,"入金済",IF(S489&lt;0,"過入金",IF(設定!$C$5&gt;L489,IF(P489&gt;0,"一部入金・超過","期日超過"),IF(P489&gt;0,"一部入金",IF(L489-設定!$C$5&lt;=設定!$C$6,"期日間近","入金待ち")))))))))</f>
        <v/>
      </c>
      <c r="V489" s="30" t="str">
        <f aca="false">IF(OR(U489="期日超過",U489="一部入金・超過"),設定!$C$5-L489,"")</f>
        <v/>
      </c>
      <c r="W489" s="21" t="str">
        <f aca="false">IF(A489="","",TRIM(IF(B489="","請求日 ","")&amp;IF(C489="","取引先 ",IF(D489="コード誤り","取引先コード誤り ",""))&amp;IF(E489="","件名 ","")&amp;IF(F489="","税抜金額 ","")&amp;IF(G489="","税率 ","")&amp;IF(M489="","送付方法 ","")&amp;IF(AND(N489&lt;&gt;"",O489=""),"送付者 ","")&amp;IF(AND(I489&lt;&gt;"",L489=""),"入金期日 ","")&amp;IF(AND(N489&lt;&gt;"",P489&gt;0,S489&lt;=0,X489=""),"消込確認者 ","")))</f>
        <v/>
      </c>
      <c r="X489" s="28"/>
      <c r="Y489" s="28"/>
    </row>
    <row r="490" customFormat="false" ht="15" hidden="false" customHeight="false" outlineLevel="0" collapsed="false">
      <c r="A490" s="21" t="str">
        <f aca="false">IF(COUNTA(B490,C490,E490,F490)=0,"",設定!$C$4&amp;TEXT(ROW()-4,"00000"))</f>
        <v/>
      </c>
      <c r="B490" s="22"/>
      <c r="C490" s="23"/>
      <c r="D490" s="21" t="str">
        <f aca="false">IF(C490="","",IFERROR(INDEX(取引先マスタ!$B$5:$B$204,MATCH($C490,取引先マスタ!$A$5:$A$204,0)),"コード誤り"))</f>
        <v/>
      </c>
      <c r="E490" s="28"/>
      <c r="F490" s="18"/>
      <c r="G490" s="25"/>
      <c r="H490" s="26" t="str">
        <f aca="false">IF(OR(F490="",G490=""),"",ROUNDDOWN(F490*G490,0))</f>
        <v/>
      </c>
      <c r="I490" s="26" t="str">
        <f aca="false">IF(OR(F490="",G490=""),"",F490+H490)</f>
        <v/>
      </c>
      <c r="J490" s="27" t="str">
        <f aca="false">IF(OR(B490="",C490="",D490="コード誤り"),"",IFERROR(DATE(YEAR(B490),MONTH(B490)+INDEX(取引先マスタ!$E$5:$E$204,MATCH($C490,取引先マスタ!$A$5:$A$204,0)),MIN(INDEX(取引先マスタ!$F$5:$F$204,MATCH($C490,取引先マスタ!$A$5:$A$204,0)),DAY(EOMONTH(B490,INDEX(取引先マスタ!$E$5:$E$204,MATCH($C490,取引先マスタ!$A$5:$A$204,0)))))),""))</f>
        <v/>
      </c>
      <c r="K490" s="22"/>
      <c r="L490" s="27" t="str">
        <f aca="false">IF(K490&lt;&gt;"",K490,J490)</f>
        <v/>
      </c>
      <c r="M490" s="28"/>
      <c r="N490" s="22"/>
      <c r="O490" s="28"/>
      <c r="P490" s="26" t="str">
        <f aca="false">IF(A490="","",SUMIF(入金明細!$F$5:$F$1004,A490,入金明細!$E$5:$E$1004))</f>
        <v/>
      </c>
      <c r="Q490" s="27" t="str">
        <f aca="false">IF(OR(A490="",N(P490)=0),"",SUMPRODUCT(MAX((入金明細!$F$5:$F$1004=A490)*入金明細!$B$5:$B$1004)))</f>
        <v/>
      </c>
      <c r="R490" s="18"/>
      <c r="S490" s="26" t="str">
        <f aca="false">IF(OR(A490="",I490=""),"",I490-N(P490)-N(R490))</f>
        <v/>
      </c>
      <c r="T490" s="28"/>
      <c r="U490" s="29" t="str">
        <f aca="false">IF(A490="","",IF(T490="取消","取消",IF(W490&lt;&gt;"","要入力",IF(N490="","未送付",IF(S490=0,"入金済",IF(S490&lt;0,"過入金",IF(設定!$C$5&gt;L490,IF(P490&gt;0,"一部入金・超過","期日超過"),IF(P490&gt;0,"一部入金",IF(L490-設定!$C$5&lt;=設定!$C$6,"期日間近","入金待ち")))))))))</f>
        <v/>
      </c>
      <c r="V490" s="30" t="str">
        <f aca="false">IF(OR(U490="期日超過",U490="一部入金・超過"),設定!$C$5-L490,"")</f>
        <v/>
      </c>
      <c r="W490" s="21" t="str">
        <f aca="false">IF(A490="","",TRIM(IF(B490="","請求日 ","")&amp;IF(C490="","取引先 ",IF(D490="コード誤り","取引先コード誤り ",""))&amp;IF(E490="","件名 ","")&amp;IF(F490="","税抜金額 ","")&amp;IF(G490="","税率 ","")&amp;IF(M490="","送付方法 ","")&amp;IF(AND(N490&lt;&gt;"",O490=""),"送付者 ","")&amp;IF(AND(I490&lt;&gt;"",L490=""),"入金期日 ","")&amp;IF(AND(N490&lt;&gt;"",P490&gt;0,S490&lt;=0,X490=""),"消込確認者 ","")))</f>
        <v/>
      </c>
      <c r="X490" s="28"/>
      <c r="Y490" s="28"/>
    </row>
    <row r="491" customFormat="false" ht="15" hidden="false" customHeight="false" outlineLevel="0" collapsed="false">
      <c r="A491" s="21" t="str">
        <f aca="false">IF(COUNTA(B491,C491,E491,F491)=0,"",設定!$C$4&amp;TEXT(ROW()-4,"00000"))</f>
        <v/>
      </c>
      <c r="B491" s="22"/>
      <c r="C491" s="23"/>
      <c r="D491" s="21" t="str">
        <f aca="false">IF(C491="","",IFERROR(INDEX(取引先マスタ!$B$5:$B$204,MATCH($C491,取引先マスタ!$A$5:$A$204,0)),"コード誤り"))</f>
        <v/>
      </c>
      <c r="E491" s="28"/>
      <c r="F491" s="18"/>
      <c r="G491" s="25"/>
      <c r="H491" s="26" t="str">
        <f aca="false">IF(OR(F491="",G491=""),"",ROUNDDOWN(F491*G491,0))</f>
        <v/>
      </c>
      <c r="I491" s="26" t="str">
        <f aca="false">IF(OR(F491="",G491=""),"",F491+H491)</f>
        <v/>
      </c>
      <c r="J491" s="27" t="str">
        <f aca="false">IF(OR(B491="",C491="",D491="コード誤り"),"",IFERROR(DATE(YEAR(B491),MONTH(B491)+INDEX(取引先マスタ!$E$5:$E$204,MATCH($C491,取引先マスタ!$A$5:$A$204,0)),MIN(INDEX(取引先マスタ!$F$5:$F$204,MATCH($C491,取引先マスタ!$A$5:$A$204,0)),DAY(EOMONTH(B491,INDEX(取引先マスタ!$E$5:$E$204,MATCH($C491,取引先マスタ!$A$5:$A$204,0)))))),""))</f>
        <v/>
      </c>
      <c r="K491" s="22"/>
      <c r="L491" s="27" t="str">
        <f aca="false">IF(K491&lt;&gt;"",K491,J491)</f>
        <v/>
      </c>
      <c r="M491" s="28"/>
      <c r="N491" s="22"/>
      <c r="O491" s="28"/>
      <c r="P491" s="26" t="str">
        <f aca="false">IF(A491="","",SUMIF(入金明細!$F$5:$F$1004,A491,入金明細!$E$5:$E$1004))</f>
        <v/>
      </c>
      <c r="Q491" s="27" t="str">
        <f aca="false">IF(OR(A491="",N(P491)=0),"",SUMPRODUCT(MAX((入金明細!$F$5:$F$1004=A491)*入金明細!$B$5:$B$1004)))</f>
        <v/>
      </c>
      <c r="R491" s="18"/>
      <c r="S491" s="26" t="str">
        <f aca="false">IF(OR(A491="",I491=""),"",I491-N(P491)-N(R491))</f>
        <v/>
      </c>
      <c r="T491" s="28"/>
      <c r="U491" s="29" t="str">
        <f aca="false">IF(A491="","",IF(T491="取消","取消",IF(W491&lt;&gt;"","要入力",IF(N491="","未送付",IF(S491=0,"入金済",IF(S491&lt;0,"過入金",IF(設定!$C$5&gt;L491,IF(P491&gt;0,"一部入金・超過","期日超過"),IF(P491&gt;0,"一部入金",IF(L491-設定!$C$5&lt;=設定!$C$6,"期日間近","入金待ち")))))))))</f>
        <v/>
      </c>
      <c r="V491" s="30" t="str">
        <f aca="false">IF(OR(U491="期日超過",U491="一部入金・超過"),設定!$C$5-L491,"")</f>
        <v/>
      </c>
      <c r="W491" s="21" t="str">
        <f aca="false">IF(A491="","",TRIM(IF(B491="","請求日 ","")&amp;IF(C491="","取引先 ",IF(D491="コード誤り","取引先コード誤り ",""))&amp;IF(E491="","件名 ","")&amp;IF(F491="","税抜金額 ","")&amp;IF(G491="","税率 ","")&amp;IF(M491="","送付方法 ","")&amp;IF(AND(N491&lt;&gt;"",O491=""),"送付者 ","")&amp;IF(AND(I491&lt;&gt;"",L491=""),"入金期日 ","")&amp;IF(AND(N491&lt;&gt;"",P491&gt;0,S491&lt;=0,X491=""),"消込確認者 ","")))</f>
        <v/>
      </c>
      <c r="X491" s="28"/>
      <c r="Y491" s="28"/>
    </row>
    <row r="492" customFormat="false" ht="15" hidden="false" customHeight="false" outlineLevel="0" collapsed="false">
      <c r="A492" s="21" t="str">
        <f aca="false">IF(COUNTA(B492,C492,E492,F492)=0,"",設定!$C$4&amp;TEXT(ROW()-4,"00000"))</f>
        <v/>
      </c>
      <c r="B492" s="22"/>
      <c r="C492" s="23"/>
      <c r="D492" s="21" t="str">
        <f aca="false">IF(C492="","",IFERROR(INDEX(取引先マスタ!$B$5:$B$204,MATCH($C492,取引先マスタ!$A$5:$A$204,0)),"コード誤り"))</f>
        <v/>
      </c>
      <c r="E492" s="28"/>
      <c r="F492" s="18"/>
      <c r="G492" s="25"/>
      <c r="H492" s="26" t="str">
        <f aca="false">IF(OR(F492="",G492=""),"",ROUNDDOWN(F492*G492,0))</f>
        <v/>
      </c>
      <c r="I492" s="26" t="str">
        <f aca="false">IF(OR(F492="",G492=""),"",F492+H492)</f>
        <v/>
      </c>
      <c r="J492" s="27" t="str">
        <f aca="false">IF(OR(B492="",C492="",D492="コード誤り"),"",IFERROR(DATE(YEAR(B492),MONTH(B492)+INDEX(取引先マスタ!$E$5:$E$204,MATCH($C492,取引先マスタ!$A$5:$A$204,0)),MIN(INDEX(取引先マスタ!$F$5:$F$204,MATCH($C492,取引先マスタ!$A$5:$A$204,0)),DAY(EOMONTH(B492,INDEX(取引先マスタ!$E$5:$E$204,MATCH($C492,取引先マスタ!$A$5:$A$204,0)))))),""))</f>
        <v/>
      </c>
      <c r="K492" s="22"/>
      <c r="L492" s="27" t="str">
        <f aca="false">IF(K492&lt;&gt;"",K492,J492)</f>
        <v/>
      </c>
      <c r="M492" s="28"/>
      <c r="N492" s="22"/>
      <c r="O492" s="28"/>
      <c r="P492" s="26" t="str">
        <f aca="false">IF(A492="","",SUMIF(入金明細!$F$5:$F$1004,A492,入金明細!$E$5:$E$1004))</f>
        <v/>
      </c>
      <c r="Q492" s="27" t="str">
        <f aca="false">IF(OR(A492="",N(P492)=0),"",SUMPRODUCT(MAX((入金明細!$F$5:$F$1004=A492)*入金明細!$B$5:$B$1004)))</f>
        <v/>
      </c>
      <c r="R492" s="18"/>
      <c r="S492" s="26" t="str">
        <f aca="false">IF(OR(A492="",I492=""),"",I492-N(P492)-N(R492))</f>
        <v/>
      </c>
      <c r="T492" s="28"/>
      <c r="U492" s="29" t="str">
        <f aca="false">IF(A492="","",IF(T492="取消","取消",IF(W492&lt;&gt;"","要入力",IF(N492="","未送付",IF(S492=0,"入金済",IF(S492&lt;0,"過入金",IF(設定!$C$5&gt;L492,IF(P492&gt;0,"一部入金・超過","期日超過"),IF(P492&gt;0,"一部入金",IF(L492-設定!$C$5&lt;=設定!$C$6,"期日間近","入金待ち")))))))))</f>
        <v/>
      </c>
      <c r="V492" s="30" t="str">
        <f aca="false">IF(OR(U492="期日超過",U492="一部入金・超過"),設定!$C$5-L492,"")</f>
        <v/>
      </c>
      <c r="W492" s="21" t="str">
        <f aca="false">IF(A492="","",TRIM(IF(B492="","請求日 ","")&amp;IF(C492="","取引先 ",IF(D492="コード誤り","取引先コード誤り ",""))&amp;IF(E492="","件名 ","")&amp;IF(F492="","税抜金額 ","")&amp;IF(G492="","税率 ","")&amp;IF(M492="","送付方法 ","")&amp;IF(AND(N492&lt;&gt;"",O492=""),"送付者 ","")&amp;IF(AND(I492&lt;&gt;"",L492=""),"入金期日 ","")&amp;IF(AND(N492&lt;&gt;"",P492&gt;0,S492&lt;=0,X492=""),"消込確認者 ","")))</f>
        <v/>
      </c>
      <c r="X492" s="28"/>
      <c r="Y492" s="28"/>
    </row>
    <row r="493" customFormat="false" ht="15" hidden="false" customHeight="false" outlineLevel="0" collapsed="false">
      <c r="A493" s="21" t="str">
        <f aca="false">IF(COUNTA(B493,C493,E493,F493)=0,"",設定!$C$4&amp;TEXT(ROW()-4,"00000"))</f>
        <v/>
      </c>
      <c r="B493" s="22"/>
      <c r="C493" s="23"/>
      <c r="D493" s="21" t="str">
        <f aca="false">IF(C493="","",IFERROR(INDEX(取引先マスタ!$B$5:$B$204,MATCH($C493,取引先マスタ!$A$5:$A$204,0)),"コード誤り"))</f>
        <v/>
      </c>
      <c r="E493" s="28"/>
      <c r="F493" s="18"/>
      <c r="G493" s="25"/>
      <c r="H493" s="26" t="str">
        <f aca="false">IF(OR(F493="",G493=""),"",ROUNDDOWN(F493*G493,0))</f>
        <v/>
      </c>
      <c r="I493" s="26" t="str">
        <f aca="false">IF(OR(F493="",G493=""),"",F493+H493)</f>
        <v/>
      </c>
      <c r="J493" s="27" t="str">
        <f aca="false">IF(OR(B493="",C493="",D493="コード誤り"),"",IFERROR(DATE(YEAR(B493),MONTH(B493)+INDEX(取引先マスタ!$E$5:$E$204,MATCH($C493,取引先マスタ!$A$5:$A$204,0)),MIN(INDEX(取引先マスタ!$F$5:$F$204,MATCH($C493,取引先マスタ!$A$5:$A$204,0)),DAY(EOMONTH(B493,INDEX(取引先マスタ!$E$5:$E$204,MATCH($C493,取引先マスタ!$A$5:$A$204,0)))))),""))</f>
        <v/>
      </c>
      <c r="K493" s="22"/>
      <c r="L493" s="27" t="str">
        <f aca="false">IF(K493&lt;&gt;"",K493,J493)</f>
        <v/>
      </c>
      <c r="M493" s="28"/>
      <c r="N493" s="22"/>
      <c r="O493" s="28"/>
      <c r="P493" s="26" t="str">
        <f aca="false">IF(A493="","",SUMIF(入金明細!$F$5:$F$1004,A493,入金明細!$E$5:$E$1004))</f>
        <v/>
      </c>
      <c r="Q493" s="27" t="str">
        <f aca="false">IF(OR(A493="",N(P493)=0),"",SUMPRODUCT(MAX((入金明細!$F$5:$F$1004=A493)*入金明細!$B$5:$B$1004)))</f>
        <v/>
      </c>
      <c r="R493" s="18"/>
      <c r="S493" s="26" t="str">
        <f aca="false">IF(OR(A493="",I493=""),"",I493-N(P493)-N(R493))</f>
        <v/>
      </c>
      <c r="T493" s="28"/>
      <c r="U493" s="29" t="str">
        <f aca="false">IF(A493="","",IF(T493="取消","取消",IF(W493&lt;&gt;"","要入力",IF(N493="","未送付",IF(S493=0,"入金済",IF(S493&lt;0,"過入金",IF(設定!$C$5&gt;L493,IF(P493&gt;0,"一部入金・超過","期日超過"),IF(P493&gt;0,"一部入金",IF(L493-設定!$C$5&lt;=設定!$C$6,"期日間近","入金待ち")))))))))</f>
        <v/>
      </c>
      <c r="V493" s="30" t="str">
        <f aca="false">IF(OR(U493="期日超過",U493="一部入金・超過"),設定!$C$5-L493,"")</f>
        <v/>
      </c>
      <c r="W493" s="21" t="str">
        <f aca="false">IF(A493="","",TRIM(IF(B493="","請求日 ","")&amp;IF(C493="","取引先 ",IF(D493="コード誤り","取引先コード誤り ",""))&amp;IF(E493="","件名 ","")&amp;IF(F493="","税抜金額 ","")&amp;IF(G493="","税率 ","")&amp;IF(M493="","送付方法 ","")&amp;IF(AND(N493&lt;&gt;"",O493=""),"送付者 ","")&amp;IF(AND(I493&lt;&gt;"",L493=""),"入金期日 ","")&amp;IF(AND(N493&lt;&gt;"",P493&gt;0,S493&lt;=0,X493=""),"消込確認者 ","")))</f>
        <v/>
      </c>
      <c r="X493" s="28"/>
      <c r="Y493" s="28"/>
    </row>
    <row r="494" customFormat="false" ht="15" hidden="false" customHeight="false" outlineLevel="0" collapsed="false">
      <c r="A494" s="21" t="str">
        <f aca="false">IF(COUNTA(B494,C494,E494,F494)=0,"",設定!$C$4&amp;TEXT(ROW()-4,"00000"))</f>
        <v/>
      </c>
      <c r="B494" s="22"/>
      <c r="C494" s="23"/>
      <c r="D494" s="21" t="str">
        <f aca="false">IF(C494="","",IFERROR(INDEX(取引先マスタ!$B$5:$B$204,MATCH($C494,取引先マスタ!$A$5:$A$204,0)),"コード誤り"))</f>
        <v/>
      </c>
      <c r="E494" s="28"/>
      <c r="F494" s="18"/>
      <c r="G494" s="25"/>
      <c r="H494" s="26" t="str">
        <f aca="false">IF(OR(F494="",G494=""),"",ROUNDDOWN(F494*G494,0))</f>
        <v/>
      </c>
      <c r="I494" s="26" t="str">
        <f aca="false">IF(OR(F494="",G494=""),"",F494+H494)</f>
        <v/>
      </c>
      <c r="J494" s="27" t="str">
        <f aca="false">IF(OR(B494="",C494="",D494="コード誤り"),"",IFERROR(DATE(YEAR(B494),MONTH(B494)+INDEX(取引先マスタ!$E$5:$E$204,MATCH($C494,取引先マスタ!$A$5:$A$204,0)),MIN(INDEX(取引先マスタ!$F$5:$F$204,MATCH($C494,取引先マスタ!$A$5:$A$204,0)),DAY(EOMONTH(B494,INDEX(取引先マスタ!$E$5:$E$204,MATCH($C494,取引先マスタ!$A$5:$A$204,0)))))),""))</f>
        <v/>
      </c>
      <c r="K494" s="22"/>
      <c r="L494" s="27" t="str">
        <f aca="false">IF(K494&lt;&gt;"",K494,J494)</f>
        <v/>
      </c>
      <c r="M494" s="28"/>
      <c r="N494" s="22"/>
      <c r="O494" s="28"/>
      <c r="P494" s="26" t="str">
        <f aca="false">IF(A494="","",SUMIF(入金明細!$F$5:$F$1004,A494,入金明細!$E$5:$E$1004))</f>
        <v/>
      </c>
      <c r="Q494" s="27" t="str">
        <f aca="false">IF(OR(A494="",N(P494)=0),"",SUMPRODUCT(MAX((入金明細!$F$5:$F$1004=A494)*入金明細!$B$5:$B$1004)))</f>
        <v/>
      </c>
      <c r="R494" s="18"/>
      <c r="S494" s="26" t="str">
        <f aca="false">IF(OR(A494="",I494=""),"",I494-N(P494)-N(R494))</f>
        <v/>
      </c>
      <c r="T494" s="28"/>
      <c r="U494" s="29" t="str">
        <f aca="false">IF(A494="","",IF(T494="取消","取消",IF(W494&lt;&gt;"","要入力",IF(N494="","未送付",IF(S494=0,"入金済",IF(S494&lt;0,"過入金",IF(設定!$C$5&gt;L494,IF(P494&gt;0,"一部入金・超過","期日超過"),IF(P494&gt;0,"一部入金",IF(L494-設定!$C$5&lt;=設定!$C$6,"期日間近","入金待ち")))))))))</f>
        <v/>
      </c>
      <c r="V494" s="30" t="str">
        <f aca="false">IF(OR(U494="期日超過",U494="一部入金・超過"),設定!$C$5-L494,"")</f>
        <v/>
      </c>
      <c r="W494" s="21" t="str">
        <f aca="false">IF(A494="","",TRIM(IF(B494="","請求日 ","")&amp;IF(C494="","取引先 ",IF(D494="コード誤り","取引先コード誤り ",""))&amp;IF(E494="","件名 ","")&amp;IF(F494="","税抜金額 ","")&amp;IF(G494="","税率 ","")&amp;IF(M494="","送付方法 ","")&amp;IF(AND(N494&lt;&gt;"",O494=""),"送付者 ","")&amp;IF(AND(I494&lt;&gt;"",L494=""),"入金期日 ","")&amp;IF(AND(N494&lt;&gt;"",P494&gt;0,S494&lt;=0,X494=""),"消込確認者 ","")))</f>
        <v/>
      </c>
      <c r="X494" s="28"/>
      <c r="Y494" s="28"/>
    </row>
    <row r="495" customFormat="false" ht="15" hidden="false" customHeight="false" outlineLevel="0" collapsed="false">
      <c r="A495" s="21" t="str">
        <f aca="false">IF(COUNTA(B495,C495,E495,F495)=0,"",設定!$C$4&amp;TEXT(ROW()-4,"00000"))</f>
        <v/>
      </c>
      <c r="B495" s="22"/>
      <c r="C495" s="23"/>
      <c r="D495" s="21" t="str">
        <f aca="false">IF(C495="","",IFERROR(INDEX(取引先マスタ!$B$5:$B$204,MATCH($C495,取引先マスタ!$A$5:$A$204,0)),"コード誤り"))</f>
        <v/>
      </c>
      <c r="E495" s="28"/>
      <c r="F495" s="18"/>
      <c r="G495" s="25"/>
      <c r="H495" s="26" t="str">
        <f aca="false">IF(OR(F495="",G495=""),"",ROUNDDOWN(F495*G495,0))</f>
        <v/>
      </c>
      <c r="I495" s="26" t="str">
        <f aca="false">IF(OR(F495="",G495=""),"",F495+H495)</f>
        <v/>
      </c>
      <c r="J495" s="27" t="str">
        <f aca="false">IF(OR(B495="",C495="",D495="コード誤り"),"",IFERROR(DATE(YEAR(B495),MONTH(B495)+INDEX(取引先マスタ!$E$5:$E$204,MATCH($C495,取引先マスタ!$A$5:$A$204,0)),MIN(INDEX(取引先マスタ!$F$5:$F$204,MATCH($C495,取引先マスタ!$A$5:$A$204,0)),DAY(EOMONTH(B495,INDEX(取引先マスタ!$E$5:$E$204,MATCH($C495,取引先マスタ!$A$5:$A$204,0)))))),""))</f>
        <v/>
      </c>
      <c r="K495" s="22"/>
      <c r="L495" s="27" t="str">
        <f aca="false">IF(K495&lt;&gt;"",K495,J495)</f>
        <v/>
      </c>
      <c r="M495" s="28"/>
      <c r="N495" s="22"/>
      <c r="O495" s="28"/>
      <c r="P495" s="26" t="str">
        <f aca="false">IF(A495="","",SUMIF(入金明細!$F$5:$F$1004,A495,入金明細!$E$5:$E$1004))</f>
        <v/>
      </c>
      <c r="Q495" s="27" t="str">
        <f aca="false">IF(OR(A495="",N(P495)=0),"",SUMPRODUCT(MAX((入金明細!$F$5:$F$1004=A495)*入金明細!$B$5:$B$1004)))</f>
        <v/>
      </c>
      <c r="R495" s="18"/>
      <c r="S495" s="26" t="str">
        <f aca="false">IF(OR(A495="",I495=""),"",I495-N(P495)-N(R495))</f>
        <v/>
      </c>
      <c r="T495" s="28"/>
      <c r="U495" s="29" t="str">
        <f aca="false">IF(A495="","",IF(T495="取消","取消",IF(W495&lt;&gt;"","要入力",IF(N495="","未送付",IF(S495=0,"入金済",IF(S495&lt;0,"過入金",IF(設定!$C$5&gt;L495,IF(P495&gt;0,"一部入金・超過","期日超過"),IF(P495&gt;0,"一部入金",IF(L495-設定!$C$5&lt;=設定!$C$6,"期日間近","入金待ち")))))))))</f>
        <v/>
      </c>
      <c r="V495" s="30" t="str">
        <f aca="false">IF(OR(U495="期日超過",U495="一部入金・超過"),設定!$C$5-L495,"")</f>
        <v/>
      </c>
      <c r="W495" s="21" t="str">
        <f aca="false">IF(A495="","",TRIM(IF(B495="","請求日 ","")&amp;IF(C495="","取引先 ",IF(D495="コード誤り","取引先コード誤り ",""))&amp;IF(E495="","件名 ","")&amp;IF(F495="","税抜金額 ","")&amp;IF(G495="","税率 ","")&amp;IF(M495="","送付方法 ","")&amp;IF(AND(N495&lt;&gt;"",O495=""),"送付者 ","")&amp;IF(AND(I495&lt;&gt;"",L495=""),"入金期日 ","")&amp;IF(AND(N495&lt;&gt;"",P495&gt;0,S495&lt;=0,X495=""),"消込確認者 ","")))</f>
        <v/>
      </c>
      <c r="X495" s="28"/>
      <c r="Y495" s="28"/>
    </row>
    <row r="496" customFormat="false" ht="15" hidden="false" customHeight="false" outlineLevel="0" collapsed="false">
      <c r="A496" s="21" t="str">
        <f aca="false">IF(COUNTA(B496,C496,E496,F496)=0,"",設定!$C$4&amp;TEXT(ROW()-4,"00000"))</f>
        <v/>
      </c>
      <c r="B496" s="22"/>
      <c r="C496" s="23"/>
      <c r="D496" s="21" t="str">
        <f aca="false">IF(C496="","",IFERROR(INDEX(取引先マスタ!$B$5:$B$204,MATCH($C496,取引先マスタ!$A$5:$A$204,0)),"コード誤り"))</f>
        <v/>
      </c>
      <c r="E496" s="28"/>
      <c r="F496" s="18"/>
      <c r="G496" s="25"/>
      <c r="H496" s="26" t="str">
        <f aca="false">IF(OR(F496="",G496=""),"",ROUNDDOWN(F496*G496,0))</f>
        <v/>
      </c>
      <c r="I496" s="26" t="str">
        <f aca="false">IF(OR(F496="",G496=""),"",F496+H496)</f>
        <v/>
      </c>
      <c r="J496" s="27" t="str">
        <f aca="false">IF(OR(B496="",C496="",D496="コード誤り"),"",IFERROR(DATE(YEAR(B496),MONTH(B496)+INDEX(取引先マスタ!$E$5:$E$204,MATCH($C496,取引先マスタ!$A$5:$A$204,0)),MIN(INDEX(取引先マスタ!$F$5:$F$204,MATCH($C496,取引先マスタ!$A$5:$A$204,0)),DAY(EOMONTH(B496,INDEX(取引先マスタ!$E$5:$E$204,MATCH($C496,取引先マスタ!$A$5:$A$204,0)))))),""))</f>
        <v/>
      </c>
      <c r="K496" s="22"/>
      <c r="L496" s="27" t="str">
        <f aca="false">IF(K496&lt;&gt;"",K496,J496)</f>
        <v/>
      </c>
      <c r="M496" s="28"/>
      <c r="N496" s="22"/>
      <c r="O496" s="28"/>
      <c r="P496" s="26" t="str">
        <f aca="false">IF(A496="","",SUMIF(入金明細!$F$5:$F$1004,A496,入金明細!$E$5:$E$1004))</f>
        <v/>
      </c>
      <c r="Q496" s="27" t="str">
        <f aca="false">IF(OR(A496="",N(P496)=0),"",SUMPRODUCT(MAX((入金明細!$F$5:$F$1004=A496)*入金明細!$B$5:$B$1004)))</f>
        <v/>
      </c>
      <c r="R496" s="18"/>
      <c r="S496" s="26" t="str">
        <f aca="false">IF(OR(A496="",I496=""),"",I496-N(P496)-N(R496))</f>
        <v/>
      </c>
      <c r="T496" s="28"/>
      <c r="U496" s="29" t="str">
        <f aca="false">IF(A496="","",IF(T496="取消","取消",IF(W496&lt;&gt;"","要入力",IF(N496="","未送付",IF(S496=0,"入金済",IF(S496&lt;0,"過入金",IF(設定!$C$5&gt;L496,IF(P496&gt;0,"一部入金・超過","期日超過"),IF(P496&gt;0,"一部入金",IF(L496-設定!$C$5&lt;=設定!$C$6,"期日間近","入金待ち")))))))))</f>
        <v/>
      </c>
      <c r="V496" s="30" t="str">
        <f aca="false">IF(OR(U496="期日超過",U496="一部入金・超過"),設定!$C$5-L496,"")</f>
        <v/>
      </c>
      <c r="W496" s="21" t="str">
        <f aca="false">IF(A496="","",TRIM(IF(B496="","請求日 ","")&amp;IF(C496="","取引先 ",IF(D496="コード誤り","取引先コード誤り ",""))&amp;IF(E496="","件名 ","")&amp;IF(F496="","税抜金額 ","")&amp;IF(G496="","税率 ","")&amp;IF(M496="","送付方法 ","")&amp;IF(AND(N496&lt;&gt;"",O496=""),"送付者 ","")&amp;IF(AND(I496&lt;&gt;"",L496=""),"入金期日 ","")&amp;IF(AND(N496&lt;&gt;"",P496&gt;0,S496&lt;=0,X496=""),"消込確認者 ","")))</f>
        <v/>
      </c>
      <c r="X496" s="28"/>
      <c r="Y496" s="28"/>
    </row>
    <row r="497" customFormat="false" ht="15" hidden="false" customHeight="false" outlineLevel="0" collapsed="false">
      <c r="A497" s="21" t="str">
        <f aca="false">IF(COUNTA(B497,C497,E497,F497)=0,"",設定!$C$4&amp;TEXT(ROW()-4,"00000"))</f>
        <v/>
      </c>
      <c r="B497" s="22"/>
      <c r="C497" s="23"/>
      <c r="D497" s="21" t="str">
        <f aca="false">IF(C497="","",IFERROR(INDEX(取引先マスタ!$B$5:$B$204,MATCH($C497,取引先マスタ!$A$5:$A$204,0)),"コード誤り"))</f>
        <v/>
      </c>
      <c r="E497" s="28"/>
      <c r="F497" s="18"/>
      <c r="G497" s="25"/>
      <c r="H497" s="26" t="str">
        <f aca="false">IF(OR(F497="",G497=""),"",ROUNDDOWN(F497*G497,0))</f>
        <v/>
      </c>
      <c r="I497" s="26" t="str">
        <f aca="false">IF(OR(F497="",G497=""),"",F497+H497)</f>
        <v/>
      </c>
      <c r="J497" s="27" t="str">
        <f aca="false">IF(OR(B497="",C497="",D497="コード誤り"),"",IFERROR(DATE(YEAR(B497),MONTH(B497)+INDEX(取引先マスタ!$E$5:$E$204,MATCH($C497,取引先マスタ!$A$5:$A$204,0)),MIN(INDEX(取引先マスタ!$F$5:$F$204,MATCH($C497,取引先マスタ!$A$5:$A$204,0)),DAY(EOMONTH(B497,INDEX(取引先マスタ!$E$5:$E$204,MATCH($C497,取引先マスタ!$A$5:$A$204,0)))))),""))</f>
        <v/>
      </c>
      <c r="K497" s="22"/>
      <c r="L497" s="27" t="str">
        <f aca="false">IF(K497&lt;&gt;"",K497,J497)</f>
        <v/>
      </c>
      <c r="M497" s="28"/>
      <c r="N497" s="22"/>
      <c r="O497" s="28"/>
      <c r="P497" s="26" t="str">
        <f aca="false">IF(A497="","",SUMIF(入金明細!$F$5:$F$1004,A497,入金明細!$E$5:$E$1004))</f>
        <v/>
      </c>
      <c r="Q497" s="27" t="str">
        <f aca="false">IF(OR(A497="",N(P497)=0),"",SUMPRODUCT(MAX((入金明細!$F$5:$F$1004=A497)*入金明細!$B$5:$B$1004)))</f>
        <v/>
      </c>
      <c r="R497" s="18"/>
      <c r="S497" s="26" t="str">
        <f aca="false">IF(OR(A497="",I497=""),"",I497-N(P497)-N(R497))</f>
        <v/>
      </c>
      <c r="T497" s="28"/>
      <c r="U497" s="29" t="str">
        <f aca="false">IF(A497="","",IF(T497="取消","取消",IF(W497&lt;&gt;"","要入力",IF(N497="","未送付",IF(S497=0,"入金済",IF(S497&lt;0,"過入金",IF(設定!$C$5&gt;L497,IF(P497&gt;0,"一部入金・超過","期日超過"),IF(P497&gt;0,"一部入金",IF(L497-設定!$C$5&lt;=設定!$C$6,"期日間近","入金待ち")))))))))</f>
        <v/>
      </c>
      <c r="V497" s="30" t="str">
        <f aca="false">IF(OR(U497="期日超過",U497="一部入金・超過"),設定!$C$5-L497,"")</f>
        <v/>
      </c>
      <c r="W497" s="21" t="str">
        <f aca="false">IF(A497="","",TRIM(IF(B497="","請求日 ","")&amp;IF(C497="","取引先 ",IF(D497="コード誤り","取引先コード誤り ",""))&amp;IF(E497="","件名 ","")&amp;IF(F497="","税抜金額 ","")&amp;IF(G497="","税率 ","")&amp;IF(M497="","送付方法 ","")&amp;IF(AND(N497&lt;&gt;"",O497=""),"送付者 ","")&amp;IF(AND(I497&lt;&gt;"",L497=""),"入金期日 ","")&amp;IF(AND(N497&lt;&gt;"",P497&gt;0,S497&lt;=0,X497=""),"消込確認者 ","")))</f>
        <v/>
      </c>
      <c r="X497" s="28"/>
      <c r="Y497" s="28"/>
    </row>
    <row r="498" customFormat="false" ht="15" hidden="false" customHeight="false" outlineLevel="0" collapsed="false">
      <c r="A498" s="21" t="str">
        <f aca="false">IF(COUNTA(B498,C498,E498,F498)=0,"",設定!$C$4&amp;TEXT(ROW()-4,"00000"))</f>
        <v/>
      </c>
      <c r="B498" s="22"/>
      <c r="C498" s="23"/>
      <c r="D498" s="21" t="str">
        <f aca="false">IF(C498="","",IFERROR(INDEX(取引先マスタ!$B$5:$B$204,MATCH($C498,取引先マスタ!$A$5:$A$204,0)),"コード誤り"))</f>
        <v/>
      </c>
      <c r="E498" s="28"/>
      <c r="F498" s="18"/>
      <c r="G498" s="25"/>
      <c r="H498" s="26" t="str">
        <f aca="false">IF(OR(F498="",G498=""),"",ROUNDDOWN(F498*G498,0))</f>
        <v/>
      </c>
      <c r="I498" s="26" t="str">
        <f aca="false">IF(OR(F498="",G498=""),"",F498+H498)</f>
        <v/>
      </c>
      <c r="J498" s="27" t="str">
        <f aca="false">IF(OR(B498="",C498="",D498="コード誤り"),"",IFERROR(DATE(YEAR(B498),MONTH(B498)+INDEX(取引先マスタ!$E$5:$E$204,MATCH($C498,取引先マスタ!$A$5:$A$204,0)),MIN(INDEX(取引先マスタ!$F$5:$F$204,MATCH($C498,取引先マスタ!$A$5:$A$204,0)),DAY(EOMONTH(B498,INDEX(取引先マスタ!$E$5:$E$204,MATCH($C498,取引先マスタ!$A$5:$A$204,0)))))),""))</f>
        <v/>
      </c>
      <c r="K498" s="22"/>
      <c r="L498" s="27" t="str">
        <f aca="false">IF(K498&lt;&gt;"",K498,J498)</f>
        <v/>
      </c>
      <c r="M498" s="28"/>
      <c r="N498" s="22"/>
      <c r="O498" s="28"/>
      <c r="P498" s="26" t="str">
        <f aca="false">IF(A498="","",SUMIF(入金明細!$F$5:$F$1004,A498,入金明細!$E$5:$E$1004))</f>
        <v/>
      </c>
      <c r="Q498" s="27" t="str">
        <f aca="false">IF(OR(A498="",N(P498)=0),"",SUMPRODUCT(MAX((入金明細!$F$5:$F$1004=A498)*入金明細!$B$5:$B$1004)))</f>
        <v/>
      </c>
      <c r="R498" s="18"/>
      <c r="S498" s="26" t="str">
        <f aca="false">IF(OR(A498="",I498=""),"",I498-N(P498)-N(R498))</f>
        <v/>
      </c>
      <c r="T498" s="28"/>
      <c r="U498" s="29" t="str">
        <f aca="false">IF(A498="","",IF(T498="取消","取消",IF(W498&lt;&gt;"","要入力",IF(N498="","未送付",IF(S498=0,"入金済",IF(S498&lt;0,"過入金",IF(設定!$C$5&gt;L498,IF(P498&gt;0,"一部入金・超過","期日超過"),IF(P498&gt;0,"一部入金",IF(L498-設定!$C$5&lt;=設定!$C$6,"期日間近","入金待ち")))))))))</f>
        <v/>
      </c>
      <c r="V498" s="30" t="str">
        <f aca="false">IF(OR(U498="期日超過",U498="一部入金・超過"),設定!$C$5-L498,"")</f>
        <v/>
      </c>
      <c r="W498" s="21" t="str">
        <f aca="false">IF(A498="","",TRIM(IF(B498="","請求日 ","")&amp;IF(C498="","取引先 ",IF(D498="コード誤り","取引先コード誤り ",""))&amp;IF(E498="","件名 ","")&amp;IF(F498="","税抜金額 ","")&amp;IF(G498="","税率 ","")&amp;IF(M498="","送付方法 ","")&amp;IF(AND(N498&lt;&gt;"",O498=""),"送付者 ","")&amp;IF(AND(I498&lt;&gt;"",L498=""),"入金期日 ","")&amp;IF(AND(N498&lt;&gt;"",P498&gt;0,S498&lt;=0,X498=""),"消込確認者 ","")))</f>
        <v/>
      </c>
      <c r="X498" s="28"/>
      <c r="Y498" s="28"/>
    </row>
    <row r="499" customFormat="false" ht="15" hidden="false" customHeight="false" outlineLevel="0" collapsed="false">
      <c r="A499" s="21" t="str">
        <f aca="false">IF(COUNTA(B499,C499,E499,F499)=0,"",設定!$C$4&amp;TEXT(ROW()-4,"00000"))</f>
        <v/>
      </c>
      <c r="B499" s="22"/>
      <c r="C499" s="23"/>
      <c r="D499" s="21" t="str">
        <f aca="false">IF(C499="","",IFERROR(INDEX(取引先マスタ!$B$5:$B$204,MATCH($C499,取引先マスタ!$A$5:$A$204,0)),"コード誤り"))</f>
        <v/>
      </c>
      <c r="E499" s="28"/>
      <c r="F499" s="18"/>
      <c r="G499" s="25"/>
      <c r="H499" s="26" t="str">
        <f aca="false">IF(OR(F499="",G499=""),"",ROUNDDOWN(F499*G499,0))</f>
        <v/>
      </c>
      <c r="I499" s="26" t="str">
        <f aca="false">IF(OR(F499="",G499=""),"",F499+H499)</f>
        <v/>
      </c>
      <c r="J499" s="27" t="str">
        <f aca="false">IF(OR(B499="",C499="",D499="コード誤り"),"",IFERROR(DATE(YEAR(B499),MONTH(B499)+INDEX(取引先マスタ!$E$5:$E$204,MATCH($C499,取引先マスタ!$A$5:$A$204,0)),MIN(INDEX(取引先マスタ!$F$5:$F$204,MATCH($C499,取引先マスタ!$A$5:$A$204,0)),DAY(EOMONTH(B499,INDEX(取引先マスタ!$E$5:$E$204,MATCH($C499,取引先マスタ!$A$5:$A$204,0)))))),""))</f>
        <v/>
      </c>
      <c r="K499" s="22"/>
      <c r="L499" s="27" t="str">
        <f aca="false">IF(K499&lt;&gt;"",K499,J499)</f>
        <v/>
      </c>
      <c r="M499" s="28"/>
      <c r="N499" s="22"/>
      <c r="O499" s="28"/>
      <c r="P499" s="26" t="str">
        <f aca="false">IF(A499="","",SUMIF(入金明細!$F$5:$F$1004,A499,入金明細!$E$5:$E$1004))</f>
        <v/>
      </c>
      <c r="Q499" s="27" t="str">
        <f aca="false">IF(OR(A499="",N(P499)=0),"",SUMPRODUCT(MAX((入金明細!$F$5:$F$1004=A499)*入金明細!$B$5:$B$1004)))</f>
        <v/>
      </c>
      <c r="R499" s="18"/>
      <c r="S499" s="26" t="str">
        <f aca="false">IF(OR(A499="",I499=""),"",I499-N(P499)-N(R499))</f>
        <v/>
      </c>
      <c r="T499" s="28"/>
      <c r="U499" s="29" t="str">
        <f aca="false">IF(A499="","",IF(T499="取消","取消",IF(W499&lt;&gt;"","要入力",IF(N499="","未送付",IF(S499=0,"入金済",IF(S499&lt;0,"過入金",IF(設定!$C$5&gt;L499,IF(P499&gt;0,"一部入金・超過","期日超過"),IF(P499&gt;0,"一部入金",IF(L499-設定!$C$5&lt;=設定!$C$6,"期日間近","入金待ち")))))))))</f>
        <v/>
      </c>
      <c r="V499" s="30" t="str">
        <f aca="false">IF(OR(U499="期日超過",U499="一部入金・超過"),設定!$C$5-L499,"")</f>
        <v/>
      </c>
      <c r="W499" s="21" t="str">
        <f aca="false">IF(A499="","",TRIM(IF(B499="","請求日 ","")&amp;IF(C499="","取引先 ",IF(D499="コード誤り","取引先コード誤り ",""))&amp;IF(E499="","件名 ","")&amp;IF(F499="","税抜金額 ","")&amp;IF(G499="","税率 ","")&amp;IF(M499="","送付方法 ","")&amp;IF(AND(N499&lt;&gt;"",O499=""),"送付者 ","")&amp;IF(AND(I499&lt;&gt;"",L499=""),"入金期日 ","")&amp;IF(AND(N499&lt;&gt;"",P499&gt;0,S499&lt;=0,X499=""),"消込確認者 ","")))</f>
        <v/>
      </c>
      <c r="X499" s="28"/>
      <c r="Y499" s="28"/>
    </row>
    <row r="500" customFormat="false" ht="15" hidden="false" customHeight="false" outlineLevel="0" collapsed="false">
      <c r="A500" s="21" t="str">
        <f aca="false">IF(COUNTA(B500,C500,E500,F500)=0,"",設定!$C$4&amp;TEXT(ROW()-4,"00000"))</f>
        <v/>
      </c>
      <c r="B500" s="22"/>
      <c r="C500" s="23"/>
      <c r="D500" s="21" t="str">
        <f aca="false">IF(C500="","",IFERROR(INDEX(取引先マスタ!$B$5:$B$204,MATCH($C500,取引先マスタ!$A$5:$A$204,0)),"コード誤り"))</f>
        <v/>
      </c>
      <c r="E500" s="28"/>
      <c r="F500" s="18"/>
      <c r="G500" s="25"/>
      <c r="H500" s="26" t="str">
        <f aca="false">IF(OR(F500="",G500=""),"",ROUNDDOWN(F500*G500,0))</f>
        <v/>
      </c>
      <c r="I500" s="26" t="str">
        <f aca="false">IF(OR(F500="",G500=""),"",F500+H500)</f>
        <v/>
      </c>
      <c r="J500" s="27" t="str">
        <f aca="false">IF(OR(B500="",C500="",D500="コード誤り"),"",IFERROR(DATE(YEAR(B500),MONTH(B500)+INDEX(取引先マスタ!$E$5:$E$204,MATCH($C500,取引先マスタ!$A$5:$A$204,0)),MIN(INDEX(取引先マスタ!$F$5:$F$204,MATCH($C500,取引先マスタ!$A$5:$A$204,0)),DAY(EOMONTH(B500,INDEX(取引先マスタ!$E$5:$E$204,MATCH($C500,取引先マスタ!$A$5:$A$204,0)))))),""))</f>
        <v/>
      </c>
      <c r="K500" s="22"/>
      <c r="L500" s="27" t="str">
        <f aca="false">IF(K500&lt;&gt;"",K500,J500)</f>
        <v/>
      </c>
      <c r="M500" s="28"/>
      <c r="N500" s="22"/>
      <c r="O500" s="28"/>
      <c r="P500" s="26" t="str">
        <f aca="false">IF(A500="","",SUMIF(入金明細!$F$5:$F$1004,A500,入金明細!$E$5:$E$1004))</f>
        <v/>
      </c>
      <c r="Q500" s="27" t="str">
        <f aca="false">IF(OR(A500="",N(P500)=0),"",SUMPRODUCT(MAX((入金明細!$F$5:$F$1004=A500)*入金明細!$B$5:$B$1004)))</f>
        <v/>
      </c>
      <c r="R500" s="18"/>
      <c r="S500" s="26" t="str">
        <f aca="false">IF(OR(A500="",I500=""),"",I500-N(P500)-N(R500))</f>
        <v/>
      </c>
      <c r="T500" s="28"/>
      <c r="U500" s="29" t="str">
        <f aca="false">IF(A500="","",IF(T500="取消","取消",IF(W500&lt;&gt;"","要入力",IF(N500="","未送付",IF(S500=0,"入金済",IF(S500&lt;0,"過入金",IF(設定!$C$5&gt;L500,IF(P500&gt;0,"一部入金・超過","期日超過"),IF(P500&gt;0,"一部入金",IF(L500-設定!$C$5&lt;=設定!$C$6,"期日間近","入金待ち")))))))))</f>
        <v/>
      </c>
      <c r="V500" s="30" t="str">
        <f aca="false">IF(OR(U500="期日超過",U500="一部入金・超過"),設定!$C$5-L500,"")</f>
        <v/>
      </c>
      <c r="W500" s="21" t="str">
        <f aca="false">IF(A500="","",TRIM(IF(B500="","請求日 ","")&amp;IF(C500="","取引先 ",IF(D500="コード誤り","取引先コード誤り ",""))&amp;IF(E500="","件名 ","")&amp;IF(F500="","税抜金額 ","")&amp;IF(G500="","税率 ","")&amp;IF(M500="","送付方法 ","")&amp;IF(AND(N500&lt;&gt;"",O500=""),"送付者 ","")&amp;IF(AND(I500&lt;&gt;"",L500=""),"入金期日 ","")&amp;IF(AND(N500&lt;&gt;"",P500&gt;0,S500&lt;=0,X500=""),"消込確認者 ","")))</f>
        <v/>
      </c>
      <c r="X500" s="28"/>
      <c r="Y500" s="28"/>
    </row>
    <row r="501" customFormat="false" ht="15" hidden="false" customHeight="false" outlineLevel="0" collapsed="false">
      <c r="A501" s="21" t="str">
        <f aca="false">IF(COUNTA(B501,C501,E501,F501)=0,"",設定!$C$4&amp;TEXT(ROW()-4,"00000"))</f>
        <v/>
      </c>
      <c r="B501" s="22"/>
      <c r="C501" s="23"/>
      <c r="D501" s="21" t="str">
        <f aca="false">IF(C501="","",IFERROR(INDEX(取引先マスタ!$B$5:$B$204,MATCH($C501,取引先マスタ!$A$5:$A$204,0)),"コード誤り"))</f>
        <v/>
      </c>
      <c r="E501" s="28"/>
      <c r="F501" s="18"/>
      <c r="G501" s="25"/>
      <c r="H501" s="26" t="str">
        <f aca="false">IF(OR(F501="",G501=""),"",ROUNDDOWN(F501*G501,0))</f>
        <v/>
      </c>
      <c r="I501" s="26" t="str">
        <f aca="false">IF(OR(F501="",G501=""),"",F501+H501)</f>
        <v/>
      </c>
      <c r="J501" s="27" t="str">
        <f aca="false">IF(OR(B501="",C501="",D501="コード誤り"),"",IFERROR(DATE(YEAR(B501),MONTH(B501)+INDEX(取引先マスタ!$E$5:$E$204,MATCH($C501,取引先マスタ!$A$5:$A$204,0)),MIN(INDEX(取引先マスタ!$F$5:$F$204,MATCH($C501,取引先マスタ!$A$5:$A$204,0)),DAY(EOMONTH(B501,INDEX(取引先マスタ!$E$5:$E$204,MATCH($C501,取引先マスタ!$A$5:$A$204,0)))))),""))</f>
        <v/>
      </c>
      <c r="K501" s="22"/>
      <c r="L501" s="27" t="str">
        <f aca="false">IF(K501&lt;&gt;"",K501,J501)</f>
        <v/>
      </c>
      <c r="M501" s="28"/>
      <c r="N501" s="22"/>
      <c r="O501" s="28"/>
      <c r="P501" s="26" t="str">
        <f aca="false">IF(A501="","",SUMIF(入金明細!$F$5:$F$1004,A501,入金明細!$E$5:$E$1004))</f>
        <v/>
      </c>
      <c r="Q501" s="27" t="str">
        <f aca="false">IF(OR(A501="",N(P501)=0),"",SUMPRODUCT(MAX((入金明細!$F$5:$F$1004=A501)*入金明細!$B$5:$B$1004)))</f>
        <v/>
      </c>
      <c r="R501" s="18"/>
      <c r="S501" s="26" t="str">
        <f aca="false">IF(OR(A501="",I501=""),"",I501-N(P501)-N(R501))</f>
        <v/>
      </c>
      <c r="T501" s="28"/>
      <c r="U501" s="29" t="str">
        <f aca="false">IF(A501="","",IF(T501="取消","取消",IF(W501&lt;&gt;"","要入力",IF(N501="","未送付",IF(S501=0,"入金済",IF(S501&lt;0,"過入金",IF(設定!$C$5&gt;L501,IF(P501&gt;0,"一部入金・超過","期日超過"),IF(P501&gt;0,"一部入金",IF(L501-設定!$C$5&lt;=設定!$C$6,"期日間近","入金待ち")))))))))</f>
        <v/>
      </c>
      <c r="V501" s="30" t="str">
        <f aca="false">IF(OR(U501="期日超過",U501="一部入金・超過"),設定!$C$5-L501,"")</f>
        <v/>
      </c>
      <c r="W501" s="21" t="str">
        <f aca="false">IF(A501="","",TRIM(IF(B501="","請求日 ","")&amp;IF(C501="","取引先 ",IF(D501="コード誤り","取引先コード誤り ",""))&amp;IF(E501="","件名 ","")&amp;IF(F501="","税抜金額 ","")&amp;IF(G501="","税率 ","")&amp;IF(M501="","送付方法 ","")&amp;IF(AND(N501&lt;&gt;"",O501=""),"送付者 ","")&amp;IF(AND(I501&lt;&gt;"",L501=""),"入金期日 ","")&amp;IF(AND(N501&lt;&gt;"",P501&gt;0,S501&lt;=0,X501=""),"消込確認者 ","")))</f>
        <v/>
      </c>
      <c r="X501" s="28"/>
      <c r="Y501" s="28"/>
    </row>
    <row r="502" customFormat="false" ht="15" hidden="false" customHeight="false" outlineLevel="0" collapsed="false">
      <c r="A502" s="21" t="str">
        <f aca="false">IF(COUNTA(B502,C502,E502,F502)=0,"",設定!$C$4&amp;TEXT(ROW()-4,"00000"))</f>
        <v/>
      </c>
      <c r="B502" s="22"/>
      <c r="C502" s="23"/>
      <c r="D502" s="21" t="str">
        <f aca="false">IF(C502="","",IFERROR(INDEX(取引先マスタ!$B$5:$B$204,MATCH($C502,取引先マスタ!$A$5:$A$204,0)),"コード誤り"))</f>
        <v/>
      </c>
      <c r="E502" s="28"/>
      <c r="F502" s="18"/>
      <c r="G502" s="25"/>
      <c r="H502" s="26" t="str">
        <f aca="false">IF(OR(F502="",G502=""),"",ROUNDDOWN(F502*G502,0))</f>
        <v/>
      </c>
      <c r="I502" s="26" t="str">
        <f aca="false">IF(OR(F502="",G502=""),"",F502+H502)</f>
        <v/>
      </c>
      <c r="J502" s="27" t="str">
        <f aca="false">IF(OR(B502="",C502="",D502="コード誤り"),"",IFERROR(DATE(YEAR(B502),MONTH(B502)+INDEX(取引先マスタ!$E$5:$E$204,MATCH($C502,取引先マスタ!$A$5:$A$204,0)),MIN(INDEX(取引先マスタ!$F$5:$F$204,MATCH($C502,取引先マスタ!$A$5:$A$204,0)),DAY(EOMONTH(B502,INDEX(取引先マスタ!$E$5:$E$204,MATCH($C502,取引先マスタ!$A$5:$A$204,0)))))),""))</f>
        <v/>
      </c>
      <c r="K502" s="22"/>
      <c r="L502" s="27" t="str">
        <f aca="false">IF(K502&lt;&gt;"",K502,J502)</f>
        <v/>
      </c>
      <c r="M502" s="28"/>
      <c r="N502" s="22"/>
      <c r="O502" s="28"/>
      <c r="P502" s="26" t="str">
        <f aca="false">IF(A502="","",SUMIF(入金明細!$F$5:$F$1004,A502,入金明細!$E$5:$E$1004))</f>
        <v/>
      </c>
      <c r="Q502" s="27" t="str">
        <f aca="false">IF(OR(A502="",N(P502)=0),"",SUMPRODUCT(MAX((入金明細!$F$5:$F$1004=A502)*入金明細!$B$5:$B$1004)))</f>
        <v/>
      </c>
      <c r="R502" s="18"/>
      <c r="S502" s="26" t="str">
        <f aca="false">IF(OR(A502="",I502=""),"",I502-N(P502)-N(R502))</f>
        <v/>
      </c>
      <c r="T502" s="28"/>
      <c r="U502" s="29" t="str">
        <f aca="false">IF(A502="","",IF(T502="取消","取消",IF(W502&lt;&gt;"","要入力",IF(N502="","未送付",IF(S502=0,"入金済",IF(S502&lt;0,"過入金",IF(設定!$C$5&gt;L502,IF(P502&gt;0,"一部入金・超過","期日超過"),IF(P502&gt;0,"一部入金",IF(L502-設定!$C$5&lt;=設定!$C$6,"期日間近","入金待ち")))))))))</f>
        <v/>
      </c>
      <c r="V502" s="30" t="str">
        <f aca="false">IF(OR(U502="期日超過",U502="一部入金・超過"),設定!$C$5-L502,"")</f>
        <v/>
      </c>
      <c r="W502" s="21" t="str">
        <f aca="false">IF(A502="","",TRIM(IF(B502="","請求日 ","")&amp;IF(C502="","取引先 ",IF(D502="コード誤り","取引先コード誤り ",""))&amp;IF(E502="","件名 ","")&amp;IF(F502="","税抜金額 ","")&amp;IF(G502="","税率 ","")&amp;IF(M502="","送付方法 ","")&amp;IF(AND(N502&lt;&gt;"",O502=""),"送付者 ","")&amp;IF(AND(I502&lt;&gt;"",L502=""),"入金期日 ","")&amp;IF(AND(N502&lt;&gt;"",P502&gt;0,S502&lt;=0,X502=""),"消込確認者 ","")))</f>
        <v/>
      </c>
      <c r="X502" s="28"/>
      <c r="Y502" s="28"/>
    </row>
    <row r="503" customFormat="false" ht="15" hidden="false" customHeight="false" outlineLevel="0" collapsed="false">
      <c r="A503" s="21" t="str">
        <f aca="false">IF(COUNTA(B503,C503,E503,F503)=0,"",設定!$C$4&amp;TEXT(ROW()-4,"00000"))</f>
        <v/>
      </c>
      <c r="B503" s="22"/>
      <c r="C503" s="23"/>
      <c r="D503" s="21" t="str">
        <f aca="false">IF(C503="","",IFERROR(INDEX(取引先マスタ!$B$5:$B$204,MATCH($C503,取引先マスタ!$A$5:$A$204,0)),"コード誤り"))</f>
        <v/>
      </c>
      <c r="E503" s="28"/>
      <c r="F503" s="18"/>
      <c r="G503" s="25"/>
      <c r="H503" s="26" t="str">
        <f aca="false">IF(OR(F503="",G503=""),"",ROUNDDOWN(F503*G503,0))</f>
        <v/>
      </c>
      <c r="I503" s="26" t="str">
        <f aca="false">IF(OR(F503="",G503=""),"",F503+H503)</f>
        <v/>
      </c>
      <c r="J503" s="27" t="str">
        <f aca="false">IF(OR(B503="",C503="",D503="コード誤り"),"",IFERROR(DATE(YEAR(B503),MONTH(B503)+INDEX(取引先マスタ!$E$5:$E$204,MATCH($C503,取引先マスタ!$A$5:$A$204,0)),MIN(INDEX(取引先マスタ!$F$5:$F$204,MATCH($C503,取引先マスタ!$A$5:$A$204,0)),DAY(EOMONTH(B503,INDEX(取引先マスタ!$E$5:$E$204,MATCH($C503,取引先マスタ!$A$5:$A$204,0)))))),""))</f>
        <v/>
      </c>
      <c r="K503" s="22"/>
      <c r="L503" s="27" t="str">
        <f aca="false">IF(K503&lt;&gt;"",K503,J503)</f>
        <v/>
      </c>
      <c r="M503" s="28"/>
      <c r="N503" s="22"/>
      <c r="O503" s="28"/>
      <c r="P503" s="26" t="str">
        <f aca="false">IF(A503="","",SUMIF(入金明細!$F$5:$F$1004,A503,入金明細!$E$5:$E$1004))</f>
        <v/>
      </c>
      <c r="Q503" s="27" t="str">
        <f aca="false">IF(OR(A503="",N(P503)=0),"",SUMPRODUCT(MAX((入金明細!$F$5:$F$1004=A503)*入金明細!$B$5:$B$1004)))</f>
        <v/>
      </c>
      <c r="R503" s="18"/>
      <c r="S503" s="26" t="str">
        <f aca="false">IF(OR(A503="",I503=""),"",I503-N(P503)-N(R503))</f>
        <v/>
      </c>
      <c r="T503" s="28"/>
      <c r="U503" s="29" t="str">
        <f aca="false">IF(A503="","",IF(T503="取消","取消",IF(W503&lt;&gt;"","要入力",IF(N503="","未送付",IF(S503=0,"入金済",IF(S503&lt;0,"過入金",IF(設定!$C$5&gt;L503,IF(P503&gt;0,"一部入金・超過","期日超過"),IF(P503&gt;0,"一部入金",IF(L503-設定!$C$5&lt;=設定!$C$6,"期日間近","入金待ち")))))))))</f>
        <v/>
      </c>
      <c r="V503" s="30" t="str">
        <f aca="false">IF(OR(U503="期日超過",U503="一部入金・超過"),設定!$C$5-L503,"")</f>
        <v/>
      </c>
      <c r="W503" s="21" t="str">
        <f aca="false">IF(A503="","",TRIM(IF(B503="","請求日 ","")&amp;IF(C503="","取引先 ",IF(D503="コード誤り","取引先コード誤り ",""))&amp;IF(E503="","件名 ","")&amp;IF(F503="","税抜金額 ","")&amp;IF(G503="","税率 ","")&amp;IF(M503="","送付方法 ","")&amp;IF(AND(N503&lt;&gt;"",O503=""),"送付者 ","")&amp;IF(AND(I503&lt;&gt;"",L503=""),"入金期日 ","")&amp;IF(AND(N503&lt;&gt;"",P503&gt;0,S503&lt;=0,X503=""),"消込確認者 ","")))</f>
        <v/>
      </c>
      <c r="X503" s="28"/>
      <c r="Y503" s="28"/>
    </row>
    <row r="504" customFormat="false" ht="15" hidden="false" customHeight="false" outlineLevel="0" collapsed="false">
      <c r="A504" s="21" t="str">
        <f aca="false">IF(COUNTA(B504,C504,E504,F504)=0,"",設定!$C$4&amp;TEXT(ROW()-4,"00000"))</f>
        <v/>
      </c>
      <c r="B504" s="22"/>
      <c r="C504" s="23"/>
      <c r="D504" s="21" t="str">
        <f aca="false">IF(C504="","",IFERROR(INDEX(取引先マスタ!$B$5:$B$204,MATCH($C504,取引先マスタ!$A$5:$A$204,0)),"コード誤り"))</f>
        <v/>
      </c>
      <c r="E504" s="28"/>
      <c r="F504" s="18"/>
      <c r="G504" s="25"/>
      <c r="H504" s="26" t="str">
        <f aca="false">IF(OR(F504="",G504=""),"",ROUNDDOWN(F504*G504,0))</f>
        <v/>
      </c>
      <c r="I504" s="26" t="str">
        <f aca="false">IF(OR(F504="",G504=""),"",F504+H504)</f>
        <v/>
      </c>
      <c r="J504" s="27" t="str">
        <f aca="false">IF(OR(B504="",C504="",D504="コード誤り"),"",IFERROR(DATE(YEAR(B504),MONTH(B504)+INDEX(取引先マスタ!$E$5:$E$204,MATCH($C504,取引先マスタ!$A$5:$A$204,0)),MIN(INDEX(取引先マスタ!$F$5:$F$204,MATCH($C504,取引先マスタ!$A$5:$A$204,0)),DAY(EOMONTH(B504,INDEX(取引先マスタ!$E$5:$E$204,MATCH($C504,取引先マスタ!$A$5:$A$204,0)))))),""))</f>
        <v/>
      </c>
      <c r="K504" s="22"/>
      <c r="L504" s="27" t="str">
        <f aca="false">IF(K504&lt;&gt;"",K504,J504)</f>
        <v/>
      </c>
      <c r="M504" s="28"/>
      <c r="N504" s="22"/>
      <c r="O504" s="28"/>
      <c r="P504" s="26" t="str">
        <f aca="false">IF(A504="","",SUMIF(入金明細!$F$5:$F$1004,A504,入金明細!$E$5:$E$1004))</f>
        <v/>
      </c>
      <c r="Q504" s="27" t="str">
        <f aca="false">IF(OR(A504="",N(P504)=0),"",SUMPRODUCT(MAX((入金明細!$F$5:$F$1004=A504)*入金明細!$B$5:$B$1004)))</f>
        <v/>
      </c>
      <c r="R504" s="18"/>
      <c r="S504" s="26" t="str">
        <f aca="false">IF(OR(A504="",I504=""),"",I504-N(P504)-N(R504))</f>
        <v/>
      </c>
      <c r="T504" s="28"/>
      <c r="U504" s="29" t="str">
        <f aca="false">IF(A504="","",IF(T504="取消","取消",IF(W504&lt;&gt;"","要入力",IF(N504="","未送付",IF(S504=0,"入金済",IF(S504&lt;0,"過入金",IF(設定!$C$5&gt;L504,IF(P504&gt;0,"一部入金・超過","期日超過"),IF(P504&gt;0,"一部入金",IF(L504-設定!$C$5&lt;=設定!$C$6,"期日間近","入金待ち")))))))))</f>
        <v/>
      </c>
      <c r="V504" s="30" t="str">
        <f aca="false">IF(OR(U504="期日超過",U504="一部入金・超過"),設定!$C$5-L504,"")</f>
        <v/>
      </c>
      <c r="W504" s="21" t="str">
        <f aca="false">IF(A504="","",TRIM(IF(B504="","請求日 ","")&amp;IF(C504="","取引先 ",IF(D504="コード誤り","取引先コード誤り ",""))&amp;IF(E504="","件名 ","")&amp;IF(F504="","税抜金額 ","")&amp;IF(G504="","税率 ","")&amp;IF(M504="","送付方法 ","")&amp;IF(AND(N504&lt;&gt;"",O504=""),"送付者 ","")&amp;IF(AND(I504&lt;&gt;"",L504=""),"入金期日 ","")&amp;IF(AND(N504&lt;&gt;"",P504&gt;0,S504&lt;=0,X504=""),"消込確認者 ","")))</f>
        <v/>
      </c>
      <c r="X504" s="28"/>
      <c r="Y504" s="28"/>
    </row>
  </sheetData>
  <sheetProtection sheet="true" formatCells="false" formatColumns="false" formatRows="false" autoFilter="false"/>
  <autoFilter ref="A4:Y504"/>
  <conditionalFormatting sqref="U5:U504">
    <cfRule type="expression" priority="2" aboveAverage="0" equalAverage="0" bottom="0" percent="0" rank="0" text="" dxfId="1">
      <formula>$U5="入金済"</formula>
    </cfRule>
    <cfRule type="expression" priority="3" aboveAverage="0" equalAverage="0" bottom="0" percent="0" rank="0" text="" dxfId="0">
      <formula>$U5="期日超過"</formula>
    </cfRule>
    <cfRule type="expression" priority="4" aboveAverage="0" equalAverage="0" bottom="0" percent="0" rank="0" text="" dxfId="0">
      <formula>$U5="一部入金・超過"</formula>
    </cfRule>
    <cfRule type="expression" priority="5" aboveAverage="0" equalAverage="0" bottom="0" percent="0" rank="0" text="" dxfId="20">
      <formula>$U5="未送付"</formula>
    </cfRule>
    <cfRule type="expression" priority="6" aboveAverage="0" equalAverage="0" bottom="0" percent="0" rank="0" text="" dxfId="2">
      <formula>$U5="要入力"</formula>
    </cfRule>
    <cfRule type="expression" priority="7" aboveAverage="0" equalAverage="0" bottom="0" percent="0" rank="0" text="" dxfId="21">
      <formula>$U5="期日間近"</formula>
    </cfRule>
    <cfRule type="expression" priority="8" aboveAverage="0" equalAverage="0" bottom="0" percent="0" rank="0" text="" dxfId="21">
      <formula>$U5="一部入金"</formula>
    </cfRule>
    <cfRule type="expression" priority="9" aboveAverage="0" equalAverage="0" bottom="0" percent="0" rank="0" text="" dxfId="22">
      <formula>$U5="過入金"</formula>
    </cfRule>
    <cfRule type="expression" priority="10" aboveAverage="0" equalAverage="0" bottom="0" percent="0" rank="0" text="" dxfId="23">
      <formula>$U5="取消"</formula>
    </cfRule>
    <cfRule type="expression" priority="11" aboveAverage="0" equalAverage="0" bottom="0" percent="0" rank="0" text="" dxfId="0">
      <formula>$U5="未消込"</formula>
    </cfRule>
    <cfRule type="expression" priority="12" aboveAverage="0" equalAverage="0" bottom="0" percent="0" rank="0" text="" dxfId="2">
      <formula>$U5="番号誤り"</formula>
    </cfRule>
    <cfRule type="expression" priority="13" aboveAverage="0" equalAverage="0" bottom="0" percent="0" rank="0" text="" dxfId="1">
      <formula>$U5="消込済"</formula>
    </cfRule>
  </conditionalFormatting>
  <conditionalFormatting sqref="W5:W504">
    <cfRule type="expression" priority="14" aboveAverage="0" equalAverage="0" bottom="0" percent="0" rank="0" text="" dxfId="2">
      <formula>$W5&lt;&gt;""</formula>
    </cfRule>
  </conditionalFormatting>
  <conditionalFormatting sqref="A5:T504">
    <cfRule type="expression" priority="15" aboveAverage="0" equalAverage="0" bottom="0" percent="0" rank="0" text="" dxfId="24">
      <formula>$T5="取消"</formula>
    </cfRule>
  </conditionalFormatting>
  <dataValidations count="9">
    <dataValidation allowBlank="true" error="日付を入力してください(例: 2026/9/30)" errorStyle="stop" errorTitle="入力エラー" operator="between" showDropDown="false" showErrorMessage="true" showInputMessage="false" sqref="B5:B504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K5:K504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N5:N504" type="date">
      <formula1>DATE(2000,1,1)</formula1>
      <formula2>DATE(2100,12,31)</formula2>
    </dataValidation>
    <dataValidation allowBlank="true" error="取引先マスタに登録されたコードを選択してください" errorStyle="stop" errorTitle="入力エラー" operator="between" showDropDown="false" showErrorMessage="true" showInputMessage="false" sqref="C5:C504" type="list">
      <formula1>取引先マスタ!$A$5:$A$204</formula1>
      <formula2>0</formula2>
    </dataValidation>
    <dataValidation allowBlank="true" error="数値(円)を入力してください" errorStyle="stop" errorTitle="入力エラー" operator="greaterThanOrEqual" showDropDown="false" showErrorMessage="true" showInputMessage="false" sqref="F5:F504" type="decimal">
      <formula1>-99999999999</formula1>
      <formula2>0</formula2>
    </dataValidation>
    <dataValidation allowBlank="true" error="数値(円)を入力してください" errorStyle="stop" errorTitle="入力エラー" operator="greaterThanOrEqual" showDropDown="false" showErrorMessage="true" showInputMessage="false" sqref="R5:R504" type="decimal">
      <formula1>-99999999999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G5:G504" type="list">
      <formula1>設定!$F$5:$F$24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M5:M504" type="list">
      <formula1>設定!$G$5:$G$24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T5:T504" type="list">
      <formula1>設定!$I$5:$I$24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164</v>
      </c>
    </row>
    <row r="4" customFormat="false" ht="31.5" hidden="false" customHeight="true" outlineLevel="0" collapsed="false">
      <c r="A4" s="31" t="s">
        <v>165</v>
      </c>
      <c r="B4" s="13" t="s">
        <v>166</v>
      </c>
      <c r="C4" s="13" t="s">
        <v>167</v>
      </c>
      <c r="D4" s="13" t="s">
        <v>168</v>
      </c>
      <c r="E4" s="13" t="s">
        <v>133</v>
      </c>
      <c r="F4" s="13" t="s">
        <v>169</v>
      </c>
      <c r="G4" s="20" t="s">
        <v>170</v>
      </c>
      <c r="H4" s="20" t="s">
        <v>126</v>
      </c>
      <c r="I4" s="20" t="s">
        <v>171</v>
      </c>
      <c r="J4" s="13" t="s">
        <v>172</v>
      </c>
      <c r="K4" s="13" t="s">
        <v>141</v>
      </c>
    </row>
    <row r="5" customFormat="false" ht="15" hidden="false" customHeight="false" outlineLevel="0" collapsed="false">
      <c r="A5" s="32" t="n">
        <f aca="false">IF(COUNTA(B5,D5,E5,F5)=0,"",ROW()-4)</f>
        <v>1</v>
      </c>
      <c r="B5" s="22" t="n">
        <v>46265</v>
      </c>
      <c r="C5" s="28" t="s">
        <v>173</v>
      </c>
      <c r="D5" s="28" t="s">
        <v>174</v>
      </c>
      <c r="E5" s="18" t="n">
        <v>110000</v>
      </c>
      <c r="F5" s="24" t="s">
        <v>175</v>
      </c>
      <c r="G5" s="32" t="str">
        <f aca="false">IF(F5="","",IFERROR(INDEX(請求台帳!$D$5:$D$504,MATCH(F5,請求台帳!$A$5:$A$504,0)),""))</f>
        <v>株式会社サンプル商事</v>
      </c>
      <c r="H5" s="26" t="n">
        <f aca="false">IF(F5="","",IFERROR(INDEX(請求台帳!$I$5:$I$504,MATCH(F5,請求台帳!$A$5:$A$504,0)),""))</f>
        <v>110000</v>
      </c>
      <c r="I5" s="29" t="str">
        <f aca="false">IF(COUNTA(B5,D5,E5,F5)=0,"",IF(OR(B5="",E5=""),"要入力",IF(F5="","未消込",IF(ISNA(MATCH(F5,請求台帳!$A$5:$A$504,0)),"番号誤り",IF(INDEX(請求台帳!$T$5:$T$504,MATCH(F5,請求台帳!$A$5:$A$504,0))="取消","取消請求へ消込","消込済")))))</f>
        <v>消込済</v>
      </c>
      <c r="J5" s="28" t="s">
        <v>176</v>
      </c>
      <c r="K5" s="24" t="s">
        <v>177</v>
      </c>
    </row>
    <row r="6" customFormat="false" ht="15" hidden="false" customHeight="false" outlineLevel="0" collapsed="false">
      <c r="A6" s="32" t="n">
        <f aca="false">IF(COUNTA(B6,D6,E6,F6)=0,"",ROW()-4)</f>
        <v>2</v>
      </c>
      <c r="B6" s="22" t="n">
        <v>46275</v>
      </c>
      <c r="C6" s="28" t="s">
        <v>173</v>
      </c>
      <c r="D6" s="28" t="s">
        <v>178</v>
      </c>
      <c r="E6" s="18" t="n">
        <v>274560</v>
      </c>
      <c r="F6" s="24" t="s">
        <v>179</v>
      </c>
      <c r="G6" s="32" t="str">
        <f aca="false">IF(F6="","",IFERROR(INDEX(請求台帳!$D$5:$D$504,MATCH(F6,請求台帳!$A$5:$A$504,0)),""))</f>
        <v>有限会社テスト工業</v>
      </c>
      <c r="H6" s="26" t="n">
        <f aca="false">IF(F6="","",IFERROR(INDEX(請求台帳!$I$5:$I$504,MATCH(F6,請求台帳!$A$5:$A$504,0)),""))</f>
        <v>275000</v>
      </c>
      <c r="I6" s="29" t="str">
        <f aca="false">IF(COUNTA(B6,D6,E6,F6)=0,"",IF(OR(B6="",E6=""),"要入力",IF(F6="","未消込",IF(ISNA(MATCH(F6,請求台帳!$A$5:$A$504,0)),"番号誤り",IF(INDEX(請求台帳!$T$5:$T$504,MATCH(F6,請求台帳!$A$5:$A$504,0))="取消","取消請求へ消込","消込済")))))</f>
        <v>消込済</v>
      </c>
      <c r="J6" s="28" t="s">
        <v>176</v>
      </c>
      <c r="K6" s="24" t="s">
        <v>180</v>
      </c>
    </row>
    <row r="7" customFormat="false" ht="15" hidden="false" customHeight="false" outlineLevel="0" collapsed="false">
      <c r="A7" s="32" t="n">
        <f aca="false">IF(COUNTA(B7,D7,E7,F7)=0,"",ROW()-4)</f>
        <v>3</v>
      </c>
      <c r="B7" s="22" t="n">
        <v>46295</v>
      </c>
      <c r="C7" s="28" t="s">
        <v>173</v>
      </c>
      <c r="D7" s="28" t="s">
        <v>181</v>
      </c>
      <c r="E7" s="18" t="n">
        <v>50000</v>
      </c>
      <c r="F7" s="24" t="s">
        <v>182</v>
      </c>
      <c r="G7" s="32" t="str">
        <f aca="false">IF(F7="","",IFERROR(INDEX(請求台帳!$D$5:$D$504,MATCH(F7,請求台帳!$A$5:$A$504,0)),""))</f>
        <v>合同会社デモ</v>
      </c>
      <c r="H7" s="26" t="n">
        <f aca="false">IF(F7="","",IFERROR(INDEX(請求台帳!$I$5:$I$504,MATCH(F7,請求台帳!$A$5:$A$504,0)),""))</f>
        <v>88000</v>
      </c>
      <c r="I7" s="29" t="str">
        <f aca="false">IF(COUNTA(B7,D7,E7,F7)=0,"",IF(OR(B7="",E7=""),"要入力",IF(F7="","未消込",IF(ISNA(MATCH(F7,請求台帳!$A$5:$A$504,0)),"番号誤り",IF(INDEX(請求台帳!$T$5:$T$504,MATCH(F7,請求台帳!$A$5:$A$504,0))="取消","取消請求へ消込","消込済")))))</f>
        <v>消込済</v>
      </c>
      <c r="J7" s="28" t="s">
        <v>176</v>
      </c>
      <c r="K7" s="24" t="s">
        <v>157</v>
      </c>
    </row>
    <row r="8" customFormat="false" ht="15" hidden="false" customHeight="false" outlineLevel="0" collapsed="false">
      <c r="A8" s="32" t="n">
        <f aca="false">IF(COUNTA(B8,D8,E8,F8)=0,"",ROW()-4)</f>
        <v>4</v>
      </c>
      <c r="B8" s="22" t="n">
        <v>46293</v>
      </c>
      <c r="C8" s="28" t="s">
        <v>183</v>
      </c>
      <c r="D8" s="28" t="s">
        <v>184</v>
      </c>
      <c r="E8" s="18" t="n">
        <v>5500</v>
      </c>
      <c r="F8" s="28"/>
      <c r="G8" s="32" t="str">
        <f aca="false">IF(F8="","",IFERROR(INDEX(請求台帳!$D$5:$D$504,MATCH(F8,請求台帳!$A$5:$A$504,0)),""))</f>
        <v/>
      </c>
      <c r="H8" s="26" t="str">
        <f aca="false">IF(F8="","",IFERROR(INDEX(請求台帳!$I$5:$I$504,MATCH(F8,請求台帳!$A$5:$A$504,0)),""))</f>
        <v/>
      </c>
      <c r="I8" s="29" t="str">
        <f aca="false">IF(COUNTA(B8,D8,E8,F8)=0,"",IF(OR(B8="",E8=""),"要入力",IF(F8="","未消込",IF(ISNA(MATCH(F8,請求台帳!$A$5:$A$504,0)),"番号誤り",IF(INDEX(請求台帳!$T$5:$T$504,MATCH(F8,請求台帳!$A$5:$A$504,0))="取消","取消請求へ消込","消込済")))))</f>
        <v>未消込</v>
      </c>
      <c r="J8" s="28" t="s">
        <v>176</v>
      </c>
      <c r="K8" s="24" t="s">
        <v>185</v>
      </c>
    </row>
    <row r="9" customFormat="false" ht="15" hidden="false" customHeight="false" outlineLevel="0" collapsed="false">
      <c r="A9" s="32" t="str">
        <f aca="false">IF(COUNTA(B9,D9,E9,F9)=0,"",ROW()-4)</f>
        <v/>
      </c>
      <c r="B9" s="22"/>
      <c r="C9" s="28"/>
      <c r="D9" s="28"/>
      <c r="E9" s="18"/>
      <c r="F9" s="28"/>
      <c r="G9" s="32" t="str">
        <f aca="false">IF(F9="","",IFERROR(INDEX(請求台帳!$D$5:$D$504,MATCH(F9,請求台帳!$A$5:$A$504,0)),""))</f>
        <v/>
      </c>
      <c r="H9" s="26" t="str">
        <f aca="false">IF(F9="","",IFERROR(INDEX(請求台帳!$I$5:$I$504,MATCH(F9,請求台帳!$A$5:$A$504,0)),""))</f>
        <v/>
      </c>
      <c r="I9" s="29" t="str">
        <f aca="false">IF(COUNTA(B9,D9,E9,F9)=0,"",IF(OR(B9="",E9=""),"要入力",IF(F9="","未消込",IF(ISNA(MATCH(F9,請求台帳!$A$5:$A$504,0)),"番号誤り",IF(INDEX(請求台帳!$T$5:$T$504,MATCH(F9,請求台帳!$A$5:$A$504,0))="取消","取消請求へ消込","消込済")))))</f>
        <v/>
      </c>
      <c r="J9" s="28"/>
      <c r="K9" s="28"/>
    </row>
    <row r="10" customFormat="false" ht="15" hidden="false" customHeight="false" outlineLevel="0" collapsed="false">
      <c r="A10" s="32" t="str">
        <f aca="false">IF(COUNTA(B10,D10,E10,F10)=0,"",ROW()-4)</f>
        <v/>
      </c>
      <c r="B10" s="22"/>
      <c r="C10" s="28"/>
      <c r="D10" s="28"/>
      <c r="E10" s="18"/>
      <c r="F10" s="28"/>
      <c r="G10" s="32" t="str">
        <f aca="false">IF(F10="","",IFERROR(INDEX(請求台帳!$D$5:$D$504,MATCH(F10,請求台帳!$A$5:$A$504,0)),""))</f>
        <v/>
      </c>
      <c r="H10" s="26" t="str">
        <f aca="false">IF(F10="","",IFERROR(INDEX(請求台帳!$I$5:$I$504,MATCH(F10,請求台帳!$A$5:$A$504,0)),""))</f>
        <v/>
      </c>
      <c r="I10" s="29" t="str">
        <f aca="false">IF(COUNTA(B10,D10,E10,F10)=0,"",IF(OR(B10="",E10=""),"要入力",IF(F10="","未消込",IF(ISNA(MATCH(F10,請求台帳!$A$5:$A$504,0)),"番号誤り",IF(INDEX(請求台帳!$T$5:$T$504,MATCH(F10,請求台帳!$A$5:$A$504,0))="取消","取消請求へ消込","消込済")))))</f>
        <v/>
      </c>
      <c r="J10" s="28"/>
      <c r="K10" s="28"/>
    </row>
    <row r="11" customFormat="false" ht="15" hidden="false" customHeight="false" outlineLevel="0" collapsed="false">
      <c r="A11" s="32" t="str">
        <f aca="false">IF(COUNTA(B11,D11,E11,F11)=0,"",ROW()-4)</f>
        <v/>
      </c>
      <c r="B11" s="22"/>
      <c r="C11" s="28"/>
      <c r="D11" s="28"/>
      <c r="E11" s="18"/>
      <c r="F11" s="28"/>
      <c r="G11" s="32" t="str">
        <f aca="false">IF(F11="","",IFERROR(INDEX(請求台帳!$D$5:$D$504,MATCH(F11,請求台帳!$A$5:$A$504,0)),""))</f>
        <v/>
      </c>
      <c r="H11" s="26" t="str">
        <f aca="false">IF(F11="","",IFERROR(INDEX(請求台帳!$I$5:$I$504,MATCH(F11,請求台帳!$A$5:$A$504,0)),""))</f>
        <v/>
      </c>
      <c r="I11" s="29" t="str">
        <f aca="false">IF(COUNTA(B11,D11,E11,F11)=0,"",IF(OR(B11="",E11=""),"要入力",IF(F11="","未消込",IF(ISNA(MATCH(F11,請求台帳!$A$5:$A$504,0)),"番号誤り",IF(INDEX(請求台帳!$T$5:$T$504,MATCH(F11,請求台帳!$A$5:$A$504,0))="取消","取消請求へ消込","消込済")))))</f>
        <v/>
      </c>
      <c r="J11" s="28"/>
      <c r="K11" s="28"/>
    </row>
    <row r="12" customFormat="false" ht="15" hidden="false" customHeight="false" outlineLevel="0" collapsed="false">
      <c r="A12" s="32" t="str">
        <f aca="false">IF(COUNTA(B12,D12,E12,F12)=0,"",ROW()-4)</f>
        <v/>
      </c>
      <c r="B12" s="22"/>
      <c r="C12" s="28"/>
      <c r="D12" s="28"/>
      <c r="E12" s="18"/>
      <c r="F12" s="28"/>
      <c r="G12" s="32" t="str">
        <f aca="false">IF(F12="","",IFERROR(INDEX(請求台帳!$D$5:$D$504,MATCH(F12,請求台帳!$A$5:$A$504,0)),""))</f>
        <v/>
      </c>
      <c r="H12" s="26" t="str">
        <f aca="false">IF(F12="","",IFERROR(INDEX(請求台帳!$I$5:$I$504,MATCH(F12,請求台帳!$A$5:$A$504,0)),""))</f>
        <v/>
      </c>
      <c r="I12" s="29" t="str">
        <f aca="false">IF(COUNTA(B12,D12,E12,F12)=0,"",IF(OR(B12="",E12=""),"要入力",IF(F12="","未消込",IF(ISNA(MATCH(F12,請求台帳!$A$5:$A$504,0)),"番号誤り",IF(INDEX(請求台帳!$T$5:$T$504,MATCH(F12,請求台帳!$A$5:$A$504,0))="取消","取消請求へ消込","消込済")))))</f>
        <v/>
      </c>
      <c r="J12" s="28"/>
      <c r="K12" s="28"/>
    </row>
    <row r="13" customFormat="false" ht="15" hidden="false" customHeight="false" outlineLevel="0" collapsed="false">
      <c r="A13" s="32" t="str">
        <f aca="false">IF(COUNTA(B13,D13,E13,F13)=0,"",ROW()-4)</f>
        <v/>
      </c>
      <c r="B13" s="22"/>
      <c r="C13" s="28"/>
      <c r="D13" s="28"/>
      <c r="E13" s="18"/>
      <c r="F13" s="28"/>
      <c r="G13" s="32" t="str">
        <f aca="false">IF(F13="","",IFERROR(INDEX(請求台帳!$D$5:$D$504,MATCH(F13,請求台帳!$A$5:$A$504,0)),""))</f>
        <v/>
      </c>
      <c r="H13" s="26" t="str">
        <f aca="false">IF(F13="","",IFERROR(INDEX(請求台帳!$I$5:$I$504,MATCH(F13,請求台帳!$A$5:$A$504,0)),""))</f>
        <v/>
      </c>
      <c r="I13" s="29" t="str">
        <f aca="false">IF(COUNTA(B13,D13,E13,F13)=0,"",IF(OR(B13="",E13=""),"要入力",IF(F13="","未消込",IF(ISNA(MATCH(F13,請求台帳!$A$5:$A$504,0)),"番号誤り",IF(INDEX(請求台帳!$T$5:$T$504,MATCH(F13,請求台帳!$A$5:$A$504,0))="取消","取消請求へ消込","消込済")))))</f>
        <v/>
      </c>
      <c r="J13" s="28"/>
      <c r="K13" s="28"/>
    </row>
    <row r="14" customFormat="false" ht="15" hidden="false" customHeight="false" outlineLevel="0" collapsed="false">
      <c r="A14" s="32" t="str">
        <f aca="false">IF(COUNTA(B14,D14,E14,F14)=0,"",ROW()-4)</f>
        <v/>
      </c>
      <c r="B14" s="22"/>
      <c r="C14" s="28"/>
      <c r="D14" s="28"/>
      <c r="E14" s="18"/>
      <c r="F14" s="28"/>
      <c r="G14" s="32" t="str">
        <f aca="false">IF(F14="","",IFERROR(INDEX(請求台帳!$D$5:$D$504,MATCH(F14,請求台帳!$A$5:$A$504,0)),""))</f>
        <v/>
      </c>
      <c r="H14" s="26" t="str">
        <f aca="false">IF(F14="","",IFERROR(INDEX(請求台帳!$I$5:$I$504,MATCH(F14,請求台帳!$A$5:$A$504,0)),""))</f>
        <v/>
      </c>
      <c r="I14" s="29" t="str">
        <f aca="false">IF(COUNTA(B14,D14,E14,F14)=0,"",IF(OR(B14="",E14=""),"要入力",IF(F14="","未消込",IF(ISNA(MATCH(F14,請求台帳!$A$5:$A$504,0)),"番号誤り",IF(INDEX(請求台帳!$T$5:$T$504,MATCH(F14,請求台帳!$A$5:$A$504,0))="取消","取消請求へ消込","消込済")))))</f>
        <v/>
      </c>
      <c r="J14" s="28"/>
      <c r="K14" s="28"/>
    </row>
    <row r="15" customFormat="false" ht="15" hidden="false" customHeight="false" outlineLevel="0" collapsed="false">
      <c r="A15" s="32" t="str">
        <f aca="false">IF(COUNTA(B15,D15,E15,F15)=0,"",ROW()-4)</f>
        <v/>
      </c>
      <c r="B15" s="22"/>
      <c r="C15" s="28"/>
      <c r="D15" s="28"/>
      <c r="E15" s="18"/>
      <c r="F15" s="28"/>
      <c r="G15" s="32" t="str">
        <f aca="false">IF(F15="","",IFERROR(INDEX(請求台帳!$D$5:$D$504,MATCH(F15,請求台帳!$A$5:$A$504,0)),""))</f>
        <v/>
      </c>
      <c r="H15" s="26" t="str">
        <f aca="false">IF(F15="","",IFERROR(INDEX(請求台帳!$I$5:$I$504,MATCH(F15,請求台帳!$A$5:$A$504,0)),""))</f>
        <v/>
      </c>
      <c r="I15" s="29" t="str">
        <f aca="false">IF(COUNTA(B15,D15,E15,F15)=0,"",IF(OR(B15="",E15=""),"要入力",IF(F15="","未消込",IF(ISNA(MATCH(F15,請求台帳!$A$5:$A$504,0)),"番号誤り",IF(INDEX(請求台帳!$T$5:$T$504,MATCH(F15,請求台帳!$A$5:$A$504,0))="取消","取消請求へ消込","消込済")))))</f>
        <v/>
      </c>
      <c r="J15" s="28"/>
      <c r="K15" s="28"/>
    </row>
    <row r="16" customFormat="false" ht="15" hidden="false" customHeight="false" outlineLevel="0" collapsed="false">
      <c r="A16" s="32" t="str">
        <f aca="false">IF(COUNTA(B16,D16,E16,F16)=0,"",ROW()-4)</f>
        <v/>
      </c>
      <c r="B16" s="22"/>
      <c r="C16" s="28"/>
      <c r="D16" s="28"/>
      <c r="E16" s="18"/>
      <c r="F16" s="28"/>
      <c r="G16" s="32" t="str">
        <f aca="false">IF(F16="","",IFERROR(INDEX(請求台帳!$D$5:$D$504,MATCH(F16,請求台帳!$A$5:$A$504,0)),""))</f>
        <v/>
      </c>
      <c r="H16" s="26" t="str">
        <f aca="false">IF(F16="","",IFERROR(INDEX(請求台帳!$I$5:$I$504,MATCH(F16,請求台帳!$A$5:$A$504,0)),""))</f>
        <v/>
      </c>
      <c r="I16" s="29" t="str">
        <f aca="false">IF(COUNTA(B16,D16,E16,F16)=0,"",IF(OR(B16="",E16=""),"要入力",IF(F16="","未消込",IF(ISNA(MATCH(F16,請求台帳!$A$5:$A$504,0)),"番号誤り",IF(INDEX(請求台帳!$T$5:$T$504,MATCH(F16,請求台帳!$A$5:$A$504,0))="取消","取消請求へ消込","消込済")))))</f>
        <v/>
      </c>
      <c r="J16" s="28"/>
      <c r="K16" s="28"/>
    </row>
    <row r="17" customFormat="false" ht="15" hidden="false" customHeight="false" outlineLevel="0" collapsed="false">
      <c r="A17" s="32" t="str">
        <f aca="false">IF(COUNTA(B17,D17,E17,F17)=0,"",ROW()-4)</f>
        <v/>
      </c>
      <c r="B17" s="22"/>
      <c r="C17" s="28"/>
      <c r="D17" s="28"/>
      <c r="E17" s="18"/>
      <c r="F17" s="28"/>
      <c r="G17" s="32" t="str">
        <f aca="false">IF(F17="","",IFERROR(INDEX(請求台帳!$D$5:$D$504,MATCH(F17,請求台帳!$A$5:$A$504,0)),""))</f>
        <v/>
      </c>
      <c r="H17" s="26" t="str">
        <f aca="false">IF(F17="","",IFERROR(INDEX(請求台帳!$I$5:$I$504,MATCH(F17,請求台帳!$A$5:$A$504,0)),""))</f>
        <v/>
      </c>
      <c r="I17" s="29" t="str">
        <f aca="false">IF(COUNTA(B17,D17,E17,F17)=0,"",IF(OR(B17="",E17=""),"要入力",IF(F17="","未消込",IF(ISNA(MATCH(F17,請求台帳!$A$5:$A$504,0)),"番号誤り",IF(INDEX(請求台帳!$T$5:$T$504,MATCH(F17,請求台帳!$A$5:$A$504,0))="取消","取消請求へ消込","消込済")))))</f>
        <v/>
      </c>
      <c r="J17" s="28"/>
      <c r="K17" s="28"/>
    </row>
    <row r="18" customFormat="false" ht="15" hidden="false" customHeight="false" outlineLevel="0" collapsed="false">
      <c r="A18" s="32" t="str">
        <f aca="false">IF(COUNTA(B18,D18,E18,F18)=0,"",ROW()-4)</f>
        <v/>
      </c>
      <c r="B18" s="22"/>
      <c r="C18" s="28"/>
      <c r="D18" s="28"/>
      <c r="E18" s="18"/>
      <c r="F18" s="28"/>
      <c r="G18" s="32" t="str">
        <f aca="false">IF(F18="","",IFERROR(INDEX(請求台帳!$D$5:$D$504,MATCH(F18,請求台帳!$A$5:$A$504,0)),""))</f>
        <v/>
      </c>
      <c r="H18" s="26" t="str">
        <f aca="false">IF(F18="","",IFERROR(INDEX(請求台帳!$I$5:$I$504,MATCH(F18,請求台帳!$A$5:$A$504,0)),""))</f>
        <v/>
      </c>
      <c r="I18" s="29" t="str">
        <f aca="false">IF(COUNTA(B18,D18,E18,F18)=0,"",IF(OR(B18="",E18=""),"要入力",IF(F18="","未消込",IF(ISNA(MATCH(F18,請求台帳!$A$5:$A$504,0)),"番号誤り",IF(INDEX(請求台帳!$T$5:$T$504,MATCH(F18,請求台帳!$A$5:$A$504,0))="取消","取消請求へ消込","消込済")))))</f>
        <v/>
      </c>
      <c r="J18" s="28"/>
      <c r="K18" s="28"/>
    </row>
    <row r="19" customFormat="false" ht="15" hidden="false" customHeight="false" outlineLevel="0" collapsed="false">
      <c r="A19" s="32" t="str">
        <f aca="false">IF(COUNTA(B19,D19,E19,F19)=0,"",ROW()-4)</f>
        <v/>
      </c>
      <c r="B19" s="22"/>
      <c r="C19" s="28"/>
      <c r="D19" s="28"/>
      <c r="E19" s="18"/>
      <c r="F19" s="28"/>
      <c r="G19" s="32" t="str">
        <f aca="false">IF(F19="","",IFERROR(INDEX(請求台帳!$D$5:$D$504,MATCH(F19,請求台帳!$A$5:$A$504,0)),""))</f>
        <v/>
      </c>
      <c r="H19" s="26" t="str">
        <f aca="false">IF(F19="","",IFERROR(INDEX(請求台帳!$I$5:$I$504,MATCH(F19,請求台帳!$A$5:$A$504,0)),""))</f>
        <v/>
      </c>
      <c r="I19" s="29" t="str">
        <f aca="false">IF(COUNTA(B19,D19,E19,F19)=0,"",IF(OR(B19="",E19=""),"要入力",IF(F19="","未消込",IF(ISNA(MATCH(F19,請求台帳!$A$5:$A$504,0)),"番号誤り",IF(INDEX(請求台帳!$T$5:$T$504,MATCH(F19,請求台帳!$A$5:$A$504,0))="取消","取消請求へ消込","消込済")))))</f>
        <v/>
      </c>
      <c r="J19" s="28"/>
      <c r="K19" s="28"/>
    </row>
    <row r="20" customFormat="false" ht="15" hidden="false" customHeight="false" outlineLevel="0" collapsed="false">
      <c r="A20" s="32" t="str">
        <f aca="false">IF(COUNTA(B20,D20,E20,F20)=0,"",ROW()-4)</f>
        <v/>
      </c>
      <c r="B20" s="22"/>
      <c r="C20" s="28"/>
      <c r="D20" s="28"/>
      <c r="E20" s="18"/>
      <c r="F20" s="28"/>
      <c r="G20" s="32" t="str">
        <f aca="false">IF(F20="","",IFERROR(INDEX(請求台帳!$D$5:$D$504,MATCH(F20,請求台帳!$A$5:$A$504,0)),""))</f>
        <v/>
      </c>
      <c r="H20" s="26" t="str">
        <f aca="false">IF(F20="","",IFERROR(INDEX(請求台帳!$I$5:$I$504,MATCH(F20,請求台帳!$A$5:$A$504,0)),""))</f>
        <v/>
      </c>
      <c r="I20" s="29" t="str">
        <f aca="false">IF(COUNTA(B20,D20,E20,F20)=0,"",IF(OR(B20="",E20=""),"要入力",IF(F20="","未消込",IF(ISNA(MATCH(F20,請求台帳!$A$5:$A$504,0)),"番号誤り",IF(INDEX(請求台帳!$T$5:$T$504,MATCH(F20,請求台帳!$A$5:$A$504,0))="取消","取消請求へ消込","消込済")))))</f>
        <v/>
      </c>
      <c r="J20" s="28"/>
      <c r="K20" s="28"/>
    </row>
    <row r="21" customFormat="false" ht="15" hidden="false" customHeight="false" outlineLevel="0" collapsed="false">
      <c r="A21" s="32" t="str">
        <f aca="false">IF(COUNTA(B21,D21,E21,F21)=0,"",ROW()-4)</f>
        <v/>
      </c>
      <c r="B21" s="22"/>
      <c r="C21" s="28"/>
      <c r="D21" s="28"/>
      <c r="E21" s="18"/>
      <c r="F21" s="28"/>
      <c r="G21" s="32" t="str">
        <f aca="false">IF(F21="","",IFERROR(INDEX(請求台帳!$D$5:$D$504,MATCH(F21,請求台帳!$A$5:$A$504,0)),""))</f>
        <v/>
      </c>
      <c r="H21" s="26" t="str">
        <f aca="false">IF(F21="","",IFERROR(INDEX(請求台帳!$I$5:$I$504,MATCH(F21,請求台帳!$A$5:$A$504,0)),""))</f>
        <v/>
      </c>
      <c r="I21" s="29" t="str">
        <f aca="false">IF(COUNTA(B21,D21,E21,F21)=0,"",IF(OR(B21="",E21=""),"要入力",IF(F21="","未消込",IF(ISNA(MATCH(F21,請求台帳!$A$5:$A$504,0)),"番号誤り",IF(INDEX(請求台帳!$T$5:$T$504,MATCH(F21,請求台帳!$A$5:$A$504,0))="取消","取消請求へ消込","消込済")))))</f>
        <v/>
      </c>
      <c r="J21" s="28"/>
      <c r="K21" s="28"/>
    </row>
    <row r="22" customFormat="false" ht="15" hidden="false" customHeight="false" outlineLevel="0" collapsed="false">
      <c r="A22" s="32" t="str">
        <f aca="false">IF(COUNTA(B22,D22,E22,F22)=0,"",ROW()-4)</f>
        <v/>
      </c>
      <c r="B22" s="22"/>
      <c r="C22" s="28"/>
      <c r="D22" s="28"/>
      <c r="E22" s="18"/>
      <c r="F22" s="28"/>
      <c r="G22" s="32" t="str">
        <f aca="false">IF(F22="","",IFERROR(INDEX(請求台帳!$D$5:$D$504,MATCH(F22,請求台帳!$A$5:$A$504,0)),""))</f>
        <v/>
      </c>
      <c r="H22" s="26" t="str">
        <f aca="false">IF(F22="","",IFERROR(INDEX(請求台帳!$I$5:$I$504,MATCH(F22,請求台帳!$A$5:$A$504,0)),""))</f>
        <v/>
      </c>
      <c r="I22" s="29" t="str">
        <f aca="false">IF(COUNTA(B22,D22,E22,F22)=0,"",IF(OR(B22="",E22=""),"要入力",IF(F22="","未消込",IF(ISNA(MATCH(F22,請求台帳!$A$5:$A$504,0)),"番号誤り",IF(INDEX(請求台帳!$T$5:$T$504,MATCH(F22,請求台帳!$A$5:$A$504,0))="取消","取消請求へ消込","消込済")))))</f>
        <v/>
      </c>
      <c r="J22" s="28"/>
      <c r="K22" s="28"/>
    </row>
    <row r="23" customFormat="false" ht="15" hidden="false" customHeight="false" outlineLevel="0" collapsed="false">
      <c r="A23" s="32" t="str">
        <f aca="false">IF(COUNTA(B23,D23,E23,F23)=0,"",ROW()-4)</f>
        <v/>
      </c>
      <c r="B23" s="22"/>
      <c r="C23" s="28"/>
      <c r="D23" s="28"/>
      <c r="E23" s="18"/>
      <c r="F23" s="28"/>
      <c r="G23" s="32" t="str">
        <f aca="false">IF(F23="","",IFERROR(INDEX(請求台帳!$D$5:$D$504,MATCH(F23,請求台帳!$A$5:$A$504,0)),""))</f>
        <v/>
      </c>
      <c r="H23" s="26" t="str">
        <f aca="false">IF(F23="","",IFERROR(INDEX(請求台帳!$I$5:$I$504,MATCH(F23,請求台帳!$A$5:$A$504,0)),""))</f>
        <v/>
      </c>
      <c r="I23" s="29" t="str">
        <f aca="false">IF(COUNTA(B23,D23,E23,F23)=0,"",IF(OR(B23="",E23=""),"要入力",IF(F23="","未消込",IF(ISNA(MATCH(F23,請求台帳!$A$5:$A$504,0)),"番号誤り",IF(INDEX(請求台帳!$T$5:$T$504,MATCH(F23,請求台帳!$A$5:$A$504,0))="取消","取消請求へ消込","消込済")))))</f>
        <v/>
      </c>
      <c r="J23" s="28"/>
      <c r="K23" s="28"/>
    </row>
    <row r="24" customFormat="false" ht="15" hidden="false" customHeight="false" outlineLevel="0" collapsed="false">
      <c r="A24" s="32" t="str">
        <f aca="false">IF(COUNTA(B24,D24,E24,F24)=0,"",ROW()-4)</f>
        <v/>
      </c>
      <c r="B24" s="22"/>
      <c r="C24" s="28"/>
      <c r="D24" s="28"/>
      <c r="E24" s="18"/>
      <c r="F24" s="28"/>
      <c r="G24" s="32" t="str">
        <f aca="false">IF(F24="","",IFERROR(INDEX(請求台帳!$D$5:$D$504,MATCH(F24,請求台帳!$A$5:$A$504,0)),""))</f>
        <v/>
      </c>
      <c r="H24" s="26" t="str">
        <f aca="false">IF(F24="","",IFERROR(INDEX(請求台帳!$I$5:$I$504,MATCH(F24,請求台帳!$A$5:$A$504,0)),""))</f>
        <v/>
      </c>
      <c r="I24" s="29" t="str">
        <f aca="false">IF(COUNTA(B24,D24,E24,F24)=0,"",IF(OR(B24="",E24=""),"要入力",IF(F24="","未消込",IF(ISNA(MATCH(F24,請求台帳!$A$5:$A$504,0)),"番号誤り",IF(INDEX(請求台帳!$T$5:$T$504,MATCH(F24,請求台帳!$A$5:$A$504,0))="取消","取消請求へ消込","消込済")))))</f>
        <v/>
      </c>
      <c r="J24" s="28"/>
      <c r="K24" s="28"/>
    </row>
    <row r="25" customFormat="false" ht="15" hidden="false" customHeight="false" outlineLevel="0" collapsed="false">
      <c r="A25" s="32" t="str">
        <f aca="false">IF(COUNTA(B25,D25,E25,F25)=0,"",ROW()-4)</f>
        <v/>
      </c>
      <c r="B25" s="22"/>
      <c r="C25" s="28"/>
      <c r="D25" s="28"/>
      <c r="E25" s="18"/>
      <c r="F25" s="28"/>
      <c r="G25" s="32" t="str">
        <f aca="false">IF(F25="","",IFERROR(INDEX(請求台帳!$D$5:$D$504,MATCH(F25,請求台帳!$A$5:$A$504,0)),""))</f>
        <v/>
      </c>
      <c r="H25" s="26" t="str">
        <f aca="false">IF(F25="","",IFERROR(INDEX(請求台帳!$I$5:$I$504,MATCH(F25,請求台帳!$A$5:$A$504,0)),""))</f>
        <v/>
      </c>
      <c r="I25" s="29" t="str">
        <f aca="false">IF(COUNTA(B25,D25,E25,F25)=0,"",IF(OR(B25="",E25=""),"要入力",IF(F25="","未消込",IF(ISNA(MATCH(F25,請求台帳!$A$5:$A$504,0)),"番号誤り",IF(INDEX(請求台帳!$T$5:$T$504,MATCH(F25,請求台帳!$A$5:$A$504,0))="取消","取消請求へ消込","消込済")))))</f>
        <v/>
      </c>
      <c r="J25" s="28"/>
      <c r="K25" s="28"/>
    </row>
    <row r="26" customFormat="false" ht="15" hidden="false" customHeight="false" outlineLevel="0" collapsed="false">
      <c r="A26" s="32" t="str">
        <f aca="false">IF(COUNTA(B26,D26,E26,F26)=0,"",ROW()-4)</f>
        <v/>
      </c>
      <c r="B26" s="22"/>
      <c r="C26" s="28"/>
      <c r="D26" s="28"/>
      <c r="E26" s="18"/>
      <c r="F26" s="28"/>
      <c r="G26" s="32" t="str">
        <f aca="false">IF(F26="","",IFERROR(INDEX(請求台帳!$D$5:$D$504,MATCH(F26,請求台帳!$A$5:$A$504,0)),""))</f>
        <v/>
      </c>
      <c r="H26" s="26" t="str">
        <f aca="false">IF(F26="","",IFERROR(INDEX(請求台帳!$I$5:$I$504,MATCH(F26,請求台帳!$A$5:$A$504,0)),""))</f>
        <v/>
      </c>
      <c r="I26" s="29" t="str">
        <f aca="false">IF(COUNTA(B26,D26,E26,F26)=0,"",IF(OR(B26="",E26=""),"要入力",IF(F26="","未消込",IF(ISNA(MATCH(F26,請求台帳!$A$5:$A$504,0)),"番号誤り",IF(INDEX(請求台帳!$T$5:$T$504,MATCH(F26,請求台帳!$A$5:$A$504,0))="取消","取消請求へ消込","消込済")))))</f>
        <v/>
      </c>
      <c r="J26" s="28"/>
      <c r="K26" s="28"/>
    </row>
    <row r="27" customFormat="false" ht="15" hidden="false" customHeight="false" outlineLevel="0" collapsed="false">
      <c r="A27" s="32" t="str">
        <f aca="false">IF(COUNTA(B27,D27,E27,F27)=0,"",ROW()-4)</f>
        <v/>
      </c>
      <c r="B27" s="22"/>
      <c r="C27" s="28"/>
      <c r="D27" s="28"/>
      <c r="E27" s="18"/>
      <c r="F27" s="28"/>
      <c r="G27" s="32" t="str">
        <f aca="false">IF(F27="","",IFERROR(INDEX(請求台帳!$D$5:$D$504,MATCH(F27,請求台帳!$A$5:$A$504,0)),""))</f>
        <v/>
      </c>
      <c r="H27" s="26" t="str">
        <f aca="false">IF(F27="","",IFERROR(INDEX(請求台帳!$I$5:$I$504,MATCH(F27,請求台帳!$A$5:$A$504,0)),""))</f>
        <v/>
      </c>
      <c r="I27" s="29" t="str">
        <f aca="false">IF(COUNTA(B27,D27,E27,F27)=0,"",IF(OR(B27="",E27=""),"要入力",IF(F27="","未消込",IF(ISNA(MATCH(F27,請求台帳!$A$5:$A$504,0)),"番号誤り",IF(INDEX(請求台帳!$T$5:$T$504,MATCH(F27,請求台帳!$A$5:$A$504,0))="取消","取消請求へ消込","消込済")))))</f>
        <v/>
      </c>
      <c r="J27" s="28"/>
      <c r="K27" s="28"/>
    </row>
    <row r="28" customFormat="false" ht="15" hidden="false" customHeight="false" outlineLevel="0" collapsed="false">
      <c r="A28" s="32" t="str">
        <f aca="false">IF(COUNTA(B28,D28,E28,F28)=0,"",ROW()-4)</f>
        <v/>
      </c>
      <c r="B28" s="22"/>
      <c r="C28" s="28"/>
      <c r="D28" s="28"/>
      <c r="E28" s="18"/>
      <c r="F28" s="28"/>
      <c r="G28" s="32" t="str">
        <f aca="false">IF(F28="","",IFERROR(INDEX(請求台帳!$D$5:$D$504,MATCH(F28,請求台帳!$A$5:$A$504,0)),""))</f>
        <v/>
      </c>
      <c r="H28" s="26" t="str">
        <f aca="false">IF(F28="","",IFERROR(INDEX(請求台帳!$I$5:$I$504,MATCH(F28,請求台帳!$A$5:$A$504,0)),""))</f>
        <v/>
      </c>
      <c r="I28" s="29" t="str">
        <f aca="false">IF(COUNTA(B28,D28,E28,F28)=0,"",IF(OR(B28="",E28=""),"要入力",IF(F28="","未消込",IF(ISNA(MATCH(F28,請求台帳!$A$5:$A$504,0)),"番号誤り",IF(INDEX(請求台帳!$T$5:$T$504,MATCH(F28,請求台帳!$A$5:$A$504,0))="取消","取消請求へ消込","消込済")))))</f>
        <v/>
      </c>
      <c r="J28" s="28"/>
      <c r="K28" s="28"/>
    </row>
    <row r="29" customFormat="false" ht="15" hidden="false" customHeight="false" outlineLevel="0" collapsed="false">
      <c r="A29" s="32" t="str">
        <f aca="false">IF(COUNTA(B29,D29,E29,F29)=0,"",ROW()-4)</f>
        <v/>
      </c>
      <c r="B29" s="22"/>
      <c r="C29" s="28"/>
      <c r="D29" s="28"/>
      <c r="E29" s="18"/>
      <c r="F29" s="28"/>
      <c r="G29" s="32" t="str">
        <f aca="false">IF(F29="","",IFERROR(INDEX(請求台帳!$D$5:$D$504,MATCH(F29,請求台帳!$A$5:$A$504,0)),""))</f>
        <v/>
      </c>
      <c r="H29" s="26" t="str">
        <f aca="false">IF(F29="","",IFERROR(INDEX(請求台帳!$I$5:$I$504,MATCH(F29,請求台帳!$A$5:$A$504,0)),""))</f>
        <v/>
      </c>
      <c r="I29" s="29" t="str">
        <f aca="false">IF(COUNTA(B29,D29,E29,F29)=0,"",IF(OR(B29="",E29=""),"要入力",IF(F29="","未消込",IF(ISNA(MATCH(F29,請求台帳!$A$5:$A$504,0)),"番号誤り",IF(INDEX(請求台帳!$T$5:$T$504,MATCH(F29,請求台帳!$A$5:$A$504,0))="取消","取消請求へ消込","消込済")))))</f>
        <v/>
      </c>
      <c r="J29" s="28"/>
      <c r="K29" s="28"/>
    </row>
    <row r="30" customFormat="false" ht="15" hidden="false" customHeight="false" outlineLevel="0" collapsed="false">
      <c r="A30" s="32" t="str">
        <f aca="false">IF(COUNTA(B30,D30,E30,F30)=0,"",ROW()-4)</f>
        <v/>
      </c>
      <c r="B30" s="22"/>
      <c r="C30" s="28"/>
      <c r="D30" s="28"/>
      <c r="E30" s="18"/>
      <c r="F30" s="28"/>
      <c r="G30" s="32" t="str">
        <f aca="false">IF(F30="","",IFERROR(INDEX(請求台帳!$D$5:$D$504,MATCH(F30,請求台帳!$A$5:$A$504,0)),""))</f>
        <v/>
      </c>
      <c r="H30" s="26" t="str">
        <f aca="false">IF(F30="","",IFERROR(INDEX(請求台帳!$I$5:$I$504,MATCH(F30,請求台帳!$A$5:$A$504,0)),""))</f>
        <v/>
      </c>
      <c r="I30" s="29" t="str">
        <f aca="false">IF(COUNTA(B30,D30,E30,F30)=0,"",IF(OR(B30="",E30=""),"要入力",IF(F30="","未消込",IF(ISNA(MATCH(F30,請求台帳!$A$5:$A$504,0)),"番号誤り",IF(INDEX(請求台帳!$T$5:$T$504,MATCH(F30,請求台帳!$A$5:$A$504,0))="取消","取消請求へ消込","消込済")))))</f>
        <v/>
      </c>
      <c r="J30" s="28"/>
      <c r="K30" s="28"/>
    </row>
    <row r="31" customFormat="false" ht="15" hidden="false" customHeight="false" outlineLevel="0" collapsed="false">
      <c r="A31" s="32" t="str">
        <f aca="false">IF(COUNTA(B31,D31,E31,F31)=0,"",ROW()-4)</f>
        <v/>
      </c>
      <c r="B31" s="22"/>
      <c r="C31" s="28"/>
      <c r="D31" s="28"/>
      <c r="E31" s="18"/>
      <c r="F31" s="28"/>
      <c r="G31" s="32" t="str">
        <f aca="false">IF(F31="","",IFERROR(INDEX(請求台帳!$D$5:$D$504,MATCH(F31,請求台帳!$A$5:$A$504,0)),""))</f>
        <v/>
      </c>
      <c r="H31" s="26" t="str">
        <f aca="false">IF(F31="","",IFERROR(INDEX(請求台帳!$I$5:$I$504,MATCH(F31,請求台帳!$A$5:$A$504,0)),""))</f>
        <v/>
      </c>
      <c r="I31" s="29" t="str">
        <f aca="false">IF(COUNTA(B31,D31,E31,F31)=0,"",IF(OR(B31="",E31=""),"要入力",IF(F31="","未消込",IF(ISNA(MATCH(F31,請求台帳!$A$5:$A$504,0)),"番号誤り",IF(INDEX(請求台帳!$T$5:$T$504,MATCH(F31,請求台帳!$A$5:$A$504,0))="取消","取消請求へ消込","消込済")))))</f>
        <v/>
      </c>
      <c r="J31" s="28"/>
      <c r="K31" s="28"/>
    </row>
    <row r="32" customFormat="false" ht="15" hidden="false" customHeight="false" outlineLevel="0" collapsed="false">
      <c r="A32" s="32" t="str">
        <f aca="false">IF(COUNTA(B32,D32,E32,F32)=0,"",ROW()-4)</f>
        <v/>
      </c>
      <c r="B32" s="22"/>
      <c r="C32" s="28"/>
      <c r="D32" s="28"/>
      <c r="E32" s="18"/>
      <c r="F32" s="28"/>
      <c r="G32" s="32" t="str">
        <f aca="false">IF(F32="","",IFERROR(INDEX(請求台帳!$D$5:$D$504,MATCH(F32,請求台帳!$A$5:$A$504,0)),""))</f>
        <v/>
      </c>
      <c r="H32" s="26" t="str">
        <f aca="false">IF(F32="","",IFERROR(INDEX(請求台帳!$I$5:$I$504,MATCH(F32,請求台帳!$A$5:$A$504,0)),""))</f>
        <v/>
      </c>
      <c r="I32" s="29" t="str">
        <f aca="false">IF(COUNTA(B32,D32,E32,F32)=0,"",IF(OR(B32="",E32=""),"要入力",IF(F32="","未消込",IF(ISNA(MATCH(F32,請求台帳!$A$5:$A$504,0)),"番号誤り",IF(INDEX(請求台帳!$T$5:$T$504,MATCH(F32,請求台帳!$A$5:$A$504,0))="取消","取消請求へ消込","消込済")))))</f>
        <v/>
      </c>
      <c r="J32" s="28"/>
      <c r="K32" s="28"/>
    </row>
    <row r="33" customFormat="false" ht="15" hidden="false" customHeight="false" outlineLevel="0" collapsed="false">
      <c r="A33" s="32" t="str">
        <f aca="false">IF(COUNTA(B33,D33,E33,F33)=0,"",ROW()-4)</f>
        <v/>
      </c>
      <c r="B33" s="22"/>
      <c r="C33" s="28"/>
      <c r="D33" s="28"/>
      <c r="E33" s="18"/>
      <c r="F33" s="28"/>
      <c r="G33" s="32" t="str">
        <f aca="false">IF(F33="","",IFERROR(INDEX(請求台帳!$D$5:$D$504,MATCH(F33,請求台帳!$A$5:$A$504,0)),""))</f>
        <v/>
      </c>
      <c r="H33" s="26" t="str">
        <f aca="false">IF(F33="","",IFERROR(INDEX(請求台帳!$I$5:$I$504,MATCH(F33,請求台帳!$A$5:$A$504,0)),""))</f>
        <v/>
      </c>
      <c r="I33" s="29" t="str">
        <f aca="false">IF(COUNTA(B33,D33,E33,F33)=0,"",IF(OR(B33="",E33=""),"要入力",IF(F33="","未消込",IF(ISNA(MATCH(F33,請求台帳!$A$5:$A$504,0)),"番号誤り",IF(INDEX(請求台帳!$T$5:$T$504,MATCH(F33,請求台帳!$A$5:$A$504,0))="取消","取消請求へ消込","消込済")))))</f>
        <v/>
      </c>
      <c r="J33" s="28"/>
      <c r="K33" s="28"/>
    </row>
    <row r="34" customFormat="false" ht="15" hidden="false" customHeight="false" outlineLevel="0" collapsed="false">
      <c r="A34" s="32" t="str">
        <f aca="false">IF(COUNTA(B34,D34,E34,F34)=0,"",ROW()-4)</f>
        <v/>
      </c>
      <c r="B34" s="22"/>
      <c r="C34" s="28"/>
      <c r="D34" s="28"/>
      <c r="E34" s="18"/>
      <c r="F34" s="28"/>
      <c r="G34" s="32" t="str">
        <f aca="false">IF(F34="","",IFERROR(INDEX(請求台帳!$D$5:$D$504,MATCH(F34,請求台帳!$A$5:$A$504,0)),""))</f>
        <v/>
      </c>
      <c r="H34" s="26" t="str">
        <f aca="false">IF(F34="","",IFERROR(INDEX(請求台帳!$I$5:$I$504,MATCH(F34,請求台帳!$A$5:$A$504,0)),""))</f>
        <v/>
      </c>
      <c r="I34" s="29" t="str">
        <f aca="false">IF(COUNTA(B34,D34,E34,F34)=0,"",IF(OR(B34="",E34=""),"要入力",IF(F34="","未消込",IF(ISNA(MATCH(F34,請求台帳!$A$5:$A$504,0)),"番号誤り",IF(INDEX(請求台帳!$T$5:$T$504,MATCH(F34,請求台帳!$A$5:$A$504,0))="取消","取消請求へ消込","消込済")))))</f>
        <v/>
      </c>
      <c r="J34" s="28"/>
      <c r="K34" s="28"/>
    </row>
    <row r="35" customFormat="false" ht="15" hidden="false" customHeight="false" outlineLevel="0" collapsed="false">
      <c r="A35" s="32" t="str">
        <f aca="false">IF(COUNTA(B35,D35,E35,F35)=0,"",ROW()-4)</f>
        <v/>
      </c>
      <c r="B35" s="22"/>
      <c r="C35" s="28"/>
      <c r="D35" s="28"/>
      <c r="E35" s="18"/>
      <c r="F35" s="28"/>
      <c r="G35" s="32" t="str">
        <f aca="false">IF(F35="","",IFERROR(INDEX(請求台帳!$D$5:$D$504,MATCH(F35,請求台帳!$A$5:$A$504,0)),""))</f>
        <v/>
      </c>
      <c r="H35" s="26" t="str">
        <f aca="false">IF(F35="","",IFERROR(INDEX(請求台帳!$I$5:$I$504,MATCH(F35,請求台帳!$A$5:$A$504,0)),""))</f>
        <v/>
      </c>
      <c r="I35" s="29" t="str">
        <f aca="false">IF(COUNTA(B35,D35,E35,F35)=0,"",IF(OR(B35="",E35=""),"要入力",IF(F35="","未消込",IF(ISNA(MATCH(F35,請求台帳!$A$5:$A$504,0)),"番号誤り",IF(INDEX(請求台帳!$T$5:$T$504,MATCH(F35,請求台帳!$A$5:$A$504,0))="取消","取消請求へ消込","消込済")))))</f>
        <v/>
      </c>
      <c r="J35" s="28"/>
      <c r="K35" s="28"/>
    </row>
    <row r="36" customFormat="false" ht="15" hidden="false" customHeight="false" outlineLevel="0" collapsed="false">
      <c r="A36" s="32" t="str">
        <f aca="false">IF(COUNTA(B36,D36,E36,F36)=0,"",ROW()-4)</f>
        <v/>
      </c>
      <c r="B36" s="22"/>
      <c r="C36" s="28"/>
      <c r="D36" s="28"/>
      <c r="E36" s="18"/>
      <c r="F36" s="28"/>
      <c r="G36" s="32" t="str">
        <f aca="false">IF(F36="","",IFERROR(INDEX(請求台帳!$D$5:$D$504,MATCH(F36,請求台帳!$A$5:$A$504,0)),""))</f>
        <v/>
      </c>
      <c r="H36" s="26" t="str">
        <f aca="false">IF(F36="","",IFERROR(INDEX(請求台帳!$I$5:$I$504,MATCH(F36,請求台帳!$A$5:$A$504,0)),""))</f>
        <v/>
      </c>
      <c r="I36" s="29" t="str">
        <f aca="false">IF(COUNTA(B36,D36,E36,F36)=0,"",IF(OR(B36="",E36=""),"要入力",IF(F36="","未消込",IF(ISNA(MATCH(F36,請求台帳!$A$5:$A$504,0)),"番号誤り",IF(INDEX(請求台帳!$T$5:$T$504,MATCH(F36,請求台帳!$A$5:$A$504,0))="取消","取消請求へ消込","消込済")))))</f>
        <v/>
      </c>
      <c r="J36" s="28"/>
      <c r="K36" s="28"/>
    </row>
    <row r="37" customFormat="false" ht="15" hidden="false" customHeight="false" outlineLevel="0" collapsed="false">
      <c r="A37" s="32" t="str">
        <f aca="false">IF(COUNTA(B37,D37,E37,F37)=0,"",ROW()-4)</f>
        <v/>
      </c>
      <c r="B37" s="22"/>
      <c r="C37" s="28"/>
      <c r="D37" s="28"/>
      <c r="E37" s="18"/>
      <c r="F37" s="28"/>
      <c r="G37" s="32" t="str">
        <f aca="false">IF(F37="","",IFERROR(INDEX(請求台帳!$D$5:$D$504,MATCH(F37,請求台帳!$A$5:$A$504,0)),""))</f>
        <v/>
      </c>
      <c r="H37" s="26" t="str">
        <f aca="false">IF(F37="","",IFERROR(INDEX(請求台帳!$I$5:$I$504,MATCH(F37,請求台帳!$A$5:$A$504,0)),""))</f>
        <v/>
      </c>
      <c r="I37" s="29" t="str">
        <f aca="false">IF(COUNTA(B37,D37,E37,F37)=0,"",IF(OR(B37="",E37=""),"要入力",IF(F37="","未消込",IF(ISNA(MATCH(F37,請求台帳!$A$5:$A$504,0)),"番号誤り",IF(INDEX(請求台帳!$T$5:$T$504,MATCH(F37,請求台帳!$A$5:$A$504,0))="取消","取消請求へ消込","消込済")))))</f>
        <v/>
      </c>
      <c r="J37" s="28"/>
      <c r="K37" s="28"/>
    </row>
    <row r="38" customFormat="false" ht="15" hidden="false" customHeight="false" outlineLevel="0" collapsed="false">
      <c r="A38" s="32" t="str">
        <f aca="false">IF(COUNTA(B38,D38,E38,F38)=0,"",ROW()-4)</f>
        <v/>
      </c>
      <c r="B38" s="22"/>
      <c r="C38" s="28"/>
      <c r="D38" s="28"/>
      <c r="E38" s="18"/>
      <c r="F38" s="28"/>
      <c r="G38" s="32" t="str">
        <f aca="false">IF(F38="","",IFERROR(INDEX(請求台帳!$D$5:$D$504,MATCH(F38,請求台帳!$A$5:$A$504,0)),""))</f>
        <v/>
      </c>
      <c r="H38" s="26" t="str">
        <f aca="false">IF(F38="","",IFERROR(INDEX(請求台帳!$I$5:$I$504,MATCH(F38,請求台帳!$A$5:$A$504,0)),""))</f>
        <v/>
      </c>
      <c r="I38" s="29" t="str">
        <f aca="false">IF(COUNTA(B38,D38,E38,F38)=0,"",IF(OR(B38="",E38=""),"要入力",IF(F38="","未消込",IF(ISNA(MATCH(F38,請求台帳!$A$5:$A$504,0)),"番号誤り",IF(INDEX(請求台帳!$T$5:$T$504,MATCH(F38,請求台帳!$A$5:$A$504,0))="取消","取消請求へ消込","消込済")))))</f>
        <v/>
      </c>
      <c r="J38" s="28"/>
      <c r="K38" s="28"/>
    </row>
    <row r="39" customFormat="false" ht="15" hidden="false" customHeight="false" outlineLevel="0" collapsed="false">
      <c r="A39" s="32" t="str">
        <f aca="false">IF(COUNTA(B39,D39,E39,F39)=0,"",ROW()-4)</f>
        <v/>
      </c>
      <c r="B39" s="22"/>
      <c r="C39" s="28"/>
      <c r="D39" s="28"/>
      <c r="E39" s="18"/>
      <c r="F39" s="28"/>
      <c r="G39" s="32" t="str">
        <f aca="false">IF(F39="","",IFERROR(INDEX(請求台帳!$D$5:$D$504,MATCH(F39,請求台帳!$A$5:$A$504,0)),""))</f>
        <v/>
      </c>
      <c r="H39" s="26" t="str">
        <f aca="false">IF(F39="","",IFERROR(INDEX(請求台帳!$I$5:$I$504,MATCH(F39,請求台帳!$A$5:$A$504,0)),""))</f>
        <v/>
      </c>
      <c r="I39" s="29" t="str">
        <f aca="false">IF(COUNTA(B39,D39,E39,F39)=0,"",IF(OR(B39="",E39=""),"要入力",IF(F39="","未消込",IF(ISNA(MATCH(F39,請求台帳!$A$5:$A$504,0)),"番号誤り",IF(INDEX(請求台帳!$T$5:$T$504,MATCH(F39,請求台帳!$A$5:$A$504,0))="取消","取消請求へ消込","消込済")))))</f>
        <v/>
      </c>
      <c r="J39" s="28"/>
      <c r="K39" s="28"/>
    </row>
    <row r="40" customFormat="false" ht="15" hidden="false" customHeight="false" outlineLevel="0" collapsed="false">
      <c r="A40" s="32" t="str">
        <f aca="false">IF(COUNTA(B40,D40,E40,F40)=0,"",ROW()-4)</f>
        <v/>
      </c>
      <c r="B40" s="22"/>
      <c r="C40" s="28"/>
      <c r="D40" s="28"/>
      <c r="E40" s="18"/>
      <c r="F40" s="28"/>
      <c r="G40" s="32" t="str">
        <f aca="false">IF(F40="","",IFERROR(INDEX(請求台帳!$D$5:$D$504,MATCH(F40,請求台帳!$A$5:$A$504,0)),""))</f>
        <v/>
      </c>
      <c r="H40" s="26" t="str">
        <f aca="false">IF(F40="","",IFERROR(INDEX(請求台帳!$I$5:$I$504,MATCH(F40,請求台帳!$A$5:$A$504,0)),""))</f>
        <v/>
      </c>
      <c r="I40" s="29" t="str">
        <f aca="false">IF(COUNTA(B40,D40,E40,F40)=0,"",IF(OR(B40="",E40=""),"要入力",IF(F40="","未消込",IF(ISNA(MATCH(F40,請求台帳!$A$5:$A$504,0)),"番号誤り",IF(INDEX(請求台帳!$T$5:$T$504,MATCH(F40,請求台帳!$A$5:$A$504,0))="取消","取消請求へ消込","消込済")))))</f>
        <v/>
      </c>
      <c r="J40" s="28"/>
      <c r="K40" s="28"/>
    </row>
    <row r="41" customFormat="false" ht="15" hidden="false" customHeight="false" outlineLevel="0" collapsed="false">
      <c r="A41" s="32" t="str">
        <f aca="false">IF(COUNTA(B41,D41,E41,F41)=0,"",ROW()-4)</f>
        <v/>
      </c>
      <c r="B41" s="22"/>
      <c r="C41" s="28"/>
      <c r="D41" s="28"/>
      <c r="E41" s="18"/>
      <c r="F41" s="28"/>
      <c r="G41" s="32" t="str">
        <f aca="false">IF(F41="","",IFERROR(INDEX(請求台帳!$D$5:$D$504,MATCH(F41,請求台帳!$A$5:$A$504,0)),""))</f>
        <v/>
      </c>
      <c r="H41" s="26" t="str">
        <f aca="false">IF(F41="","",IFERROR(INDEX(請求台帳!$I$5:$I$504,MATCH(F41,請求台帳!$A$5:$A$504,0)),""))</f>
        <v/>
      </c>
      <c r="I41" s="29" t="str">
        <f aca="false">IF(COUNTA(B41,D41,E41,F41)=0,"",IF(OR(B41="",E41=""),"要入力",IF(F41="","未消込",IF(ISNA(MATCH(F41,請求台帳!$A$5:$A$504,0)),"番号誤り",IF(INDEX(請求台帳!$T$5:$T$504,MATCH(F41,請求台帳!$A$5:$A$504,0))="取消","取消請求へ消込","消込済")))))</f>
        <v/>
      </c>
      <c r="J41" s="28"/>
      <c r="K41" s="28"/>
    </row>
    <row r="42" customFormat="false" ht="15" hidden="false" customHeight="false" outlineLevel="0" collapsed="false">
      <c r="A42" s="32" t="str">
        <f aca="false">IF(COUNTA(B42,D42,E42,F42)=0,"",ROW()-4)</f>
        <v/>
      </c>
      <c r="B42" s="22"/>
      <c r="C42" s="28"/>
      <c r="D42" s="28"/>
      <c r="E42" s="18"/>
      <c r="F42" s="28"/>
      <c r="G42" s="32" t="str">
        <f aca="false">IF(F42="","",IFERROR(INDEX(請求台帳!$D$5:$D$504,MATCH(F42,請求台帳!$A$5:$A$504,0)),""))</f>
        <v/>
      </c>
      <c r="H42" s="26" t="str">
        <f aca="false">IF(F42="","",IFERROR(INDEX(請求台帳!$I$5:$I$504,MATCH(F42,請求台帳!$A$5:$A$504,0)),""))</f>
        <v/>
      </c>
      <c r="I42" s="29" t="str">
        <f aca="false">IF(COUNTA(B42,D42,E42,F42)=0,"",IF(OR(B42="",E42=""),"要入力",IF(F42="","未消込",IF(ISNA(MATCH(F42,請求台帳!$A$5:$A$504,0)),"番号誤り",IF(INDEX(請求台帳!$T$5:$T$504,MATCH(F42,請求台帳!$A$5:$A$504,0))="取消","取消請求へ消込","消込済")))))</f>
        <v/>
      </c>
      <c r="J42" s="28"/>
      <c r="K42" s="28"/>
    </row>
    <row r="43" customFormat="false" ht="15" hidden="false" customHeight="false" outlineLevel="0" collapsed="false">
      <c r="A43" s="32" t="str">
        <f aca="false">IF(COUNTA(B43,D43,E43,F43)=0,"",ROW()-4)</f>
        <v/>
      </c>
      <c r="B43" s="22"/>
      <c r="C43" s="28"/>
      <c r="D43" s="28"/>
      <c r="E43" s="18"/>
      <c r="F43" s="28"/>
      <c r="G43" s="32" t="str">
        <f aca="false">IF(F43="","",IFERROR(INDEX(請求台帳!$D$5:$D$504,MATCH(F43,請求台帳!$A$5:$A$504,0)),""))</f>
        <v/>
      </c>
      <c r="H43" s="26" t="str">
        <f aca="false">IF(F43="","",IFERROR(INDEX(請求台帳!$I$5:$I$504,MATCH(F43,請求台帳!$A$5:$A$504,0)),""))</f>
        <v/>
      </c>
      <c r="I43" s="29" t="str">
        <f aca="false">IF(COUNTA(B43,D43,E43,F43)=0,"",IF(OR(B43="",E43=""),"要入力",IF(F43="","未消込",IF(ISNA(MATCH(F43,請求台帳!$A$5:$A$504,0)),"番号誤り",IF(INDEX(請求台帳!$T$5:$T$504,MATCH(F43,請求台帳!$A$5:$A$504,0))="取消","取消請求へ消込","消込済")))))</f>
        <v/>
      </c>
      <c r="J43" s="28"/>
      <c r="K43" s="28"/>
    </row>
    <row r="44" customFormat="false" ht="15" hidden="false" customHeight="false" outlineLevel="0" collapsed="false">
      <c r="A44" s="32" t="str">
        <f aca="false">IF(COUNTA(B44,D44,E44,F44)=0,"",ROW()-4)</f>
        <v/>
      </c>
      <c r="B44" s="22"/>
      <c r="C44" s="28"/>
      <c r="D44" s="28"/>
      <c r="E44" s="18"/>
      <c r="F44" s="28"/>
      <c r="G44" s="32" t="str">
        <f aca="false">IF(F44="","",IFERROR(INDEX(請求台帳!$D$5:$D$504,MATCH(F44,請求台帳!$A$5:$A$504,0)),""))</f>
        <v/>
      </c>
      <c r="H44" s="26" t="str">
        <f aca="false">IF(F44="","",IFERROR(INDEX(請求台帳!$I$5:$I$504,MATCH(F44,請求台帳!$A$5:$A$504,0)),""))</f>
        <v/>
      </c>
      <c r="I44" s="29" t="str">
        <f aca="false">IF(COUNTA(B44,D44,E44,F44)=0,"",IF(OR(B44="",E44=""),"要入力",IF(F44="","未消込",IF(ISNA(MATCH(F44,請求台帳!$A$5:$A$504,0)),"番号誤り",IF(INDEX(請求台帳!$T$5:$T$504,MATCH(F44,請求台帳!$A$5:$A$504,0))="取消","取消請求へ消込","消込済")))))</f>
        <v/>
      </c>
      <c r="J44" s="28"/>
      <c r="K44" s="28"/>
    </row>
    <row r="45" customFormat="false" ht="15" hidden="false" customHeight="false" outlineLevel="0" collapsed="false">
      <c r="A45" s="32" t="str">
        <f aca="false">IF(COUNTA(B45,D45,E45,F45)=0,"",ROW()-4)</f>
        <v/>
      </c>
      <c r="B45" s="22"/>
      <c r="C45" s="28"/>
      <c r="D45" s="28"/>
      <c r="E45" s="18"/>
      <c r="F45" s="28"/>
      <c r="G45" s="32" t="str">
        <f aca="false">IF(F45="","",IFERROR(INDEX(請求台帳!$D$5:$D$504,MATCH(F45,請求台帳!$A$5:$A$504,0)),""))</f>
        <v/>
      </c>
      <c r="H45" s="26" t="str">
        <f aca="false">IF(F45="","",IFERROR(INDEX(請求台帳!$I$5:$I$504,MATCH(F45,請求台帳!$A$5:$A$504,0)),""))</f>
        <v/>
      </c>
      <c r="I45" s="29" t="str">
        <f aca="false">IF(COUNTA(B45,D45,E45,F45)=0,"",IF(OR(B45="",E45=""),"要入力",IF(F45="","未消込",IF(ISNA(MATCH(F45,請求台帳!$A$5:$A$504,0)),"番号誤り",IF(INDEX(請求台帳!$T$5:$T$504,MATCH(F45,請求台帳!$A$5:$A$504,0))="取消","取消請求へ消込","消込済")))))</f>
        <v/>
      </c>
      <c r="J45" s="28"/>
      <c r="K45" s="28"/>
    </row>
    <row r="46" customFormat="false" ht="15" hidden="false" customHeight="false" outlineLevel="0" collapsed="false">
      <c r="A46" s="32" t="str">
        <f aca="false">IF(COUNTA(B46,D46,E46,F46)=0,"",ROW()-4)</f>
        <v/>
      </c>
      <c r="B46" s="22"/>
      <c r="C46" s="28"/>
      <c r="D46" s="28"/>
      <c r="E46" s="18"/>
      <c r="F46" s="28"/>
      <c r="G46" s="32" t="str">
        <f aca="false">IF(F46="","",IFERROR(INDEX(請求台帳!$D$5:$D$504,MATCH(F46,請求台帳!$A$5:$A$504,0)),""))</f>
        <v/>
      </c>
      <c r="H46" s="26" t="str">
        <f aca="false">IF(F46="","",IFERROR(INDEX(請求台帳!$I$5:$I$504,MATCH(F46,請求台帳!$A$5:$A$504,0)),""))</f>
        <v/>
      </c>
      <c r="I46" s="29" t="str">
        <f aca="false">IF(COUNTA(B46,D46,E46,F46)=0,"",IF(OR(B46="",E46=""),"要入力",IF(F46="","未消込",IF(ISNA(MATCH(F46,請求台帳!$A$5:$A$504,0)),"番号誤り",IF(INDEX(請求台帳!$T$5:$T$504,MATCH(F46,請求台帳!$A$5:$A$504,0))="取消","取消請求へ消込","消込済")))))</f>
        <v/>
      </c>
      <c r="J46" s="28"/>
      <c r="K46" s="28"/>
    </row>
    <row r="47" customFormat="false" ht="15" hidden="false" customHeight="false" outlineLevel="0" collapsed="false">
      <c r="A47" s="32" t="str">
        <f aca="false">IF(COUNTA(B47,D47,E47,F47)=0,"",ROW()-4)</f>
        <v/>
      </c>
      <c r="B47" s="22"/>
      <c r="C47" s="28"/>
      <c r="D47" s="28"/>
      <c r="E47" s="18"/>
      <c r="F47" s="28"/>
      <c r="G47" s="32" t="str">
        <f aca="false">IF(F47="","",IFERROR(INDEX(請求台帳!$D$5:$D$504,MATCH(F47,請求台帳!$A$5:$A$504,0)),""))</f>
        <v/>
      </c>
      <c r="H47" s="26" t="str">
        <f aca="false">IF(F47="","",IFERROR(INDEX(請求台帳!$I$5:$I$504,MATCH(F47,請求台帳!$A$5:$A$504,0)),""))</f>
        <v/>
      </c>
      <c r="I47" s="29" t="str">
        <f aca="false">IF(COUNTA(B47,D47,E47,F47)=0,"",IF(OR(B47="",E47=""),"要入力",IF(F47="","未消込",IF(ISNA(MATCH(F47,請求台帳!$A$5:$A$504,0)),"番号誤り",IF(INDEX(請求台帳!$T$5:$T$504,MATCH(F47,請求台帳!$A$5:$A$504,0))="取消","取消請求へ消込","消込済")))))</f>
        <v/>
      </c>
      <c r="J47" s="28"/>
      <c r="K47" s="28"/>
    </row>
    <row r="48" customFormat="false" ht="15" hidden="false" customHeight="false" outlineLevel="0" collapsed="false">
      <c r="A48" s="32" t="str">
        <f aca="false">IF(COUNTA(B48,D48,E48,F48)=0,"",ROW()-4)</f>
        <v/>
      </c>
      <c r="B48" s="22"/>
      <c r="C48" s="28"/>
      <c r="D48" s="28"/>
      <c r="E48" s="18"/>
      <c r="F48" s="28"/>
      <c r="G48" s="32" t="str">
        <f aca="false">IF(F48="","",IFERROR(INDEX(請求台帳!$D$5:$D$504,MATCH(F48,請求台帳!$A$5:$A$504,0)),""))</f>
        <v/>
      </c>
      <c r="H48" s="26" t="str">
        <f aca="false">IF(F48="","",IFERROR(INDEX(請求台帳!$I$5:$I$504,MATCH(F48,請求台帳!$A$5:$A$504,0)),""))</f>
        <v/>
      </c>
      <c r="I48" s="29" t="str">
        <f aca="false">IF(COUNTA(B48,D48,E48,F48)=0,"",IF(OR(B48="",E48=""),"要入力",IF(F48="","未消込",IF(ISNA(MATCH(F48,請求台帳!$A$5:$A$504,0)),"番号誤り",IF(INDEX(請求台帳!$T$5:$T$504,MATCH(F48,請求台帳!$A$5:$A$504,0))="取消","取消請求へ消込","消込済")))))</f>
        <v/>
      </c>
      <c r="J48" s="28"/>
      <c r="K48" s="28"/>
    </row>
    <row r="49" customFormat="false" ht="15" hidden="false" customHeight="false" outlineLevel="0" collapsed="false">
      <c r="A49" s="32" t="str">
        <f aca="false">IF(COUNTA(B49,D49,E49,F49)=0,"",ROW()-4)</f>
        <v/>
      </c>
      <c r="B49" s="22"/>
      <c r="C49" s="28"/>
      <c r="D49" s="28"/>
      <c r="E49" s="18"/>
      <c r="F49" s="28"/>
      <c r="G49" s="32" t="str">
        <f aca="false">IF(F49="","",IFERROR(INDEX(請求台帳!$D$5:$D$504,MATCH(F49,請求台帳!$A$5:$A$504,0)),""))</f>
        <v/>
      </c>
      <c r="H49" s="26" t="str">
        <f aca="false">IF(F49="","",IFERROR(INDEX(請求台帳!$I$5:$I$504,MATCH(F49,請求台帳!$A$5:$A$504,0)),""))</f>
        <v/>
      </c>
      <c r="I49" s="29" t="str">
        <f aca="false">IF(COUNTA(B49,D49,E49,F49)=0,"",IF(OR(B49="",E49=""),"要入力",IF(F49="","未消込",IF(ISNA(MATCH(F49,請求台帳!$A$5:$A$504,0)),"番号誤り",IF(INDEX(請求台帳!$T$5:$T$504,MATCH(F49,請求台帳!$A$5:$A$504,0))="取消","取消請求へ消込","消込済")))))</f>
        <v/>
      </c>
      <c r="J49" s="28"/>
      <c r="K49" s="28"/>
    </row>
    <row r="50" customFormat="false" ht="15" hidden="false" customHeight="false" outlineLevel="0" collapsed="false">
      <c r="A50" s="32" t="str">
        <f aca="false">IF(COUNTA(B50,D50,E50,F50)=0,"",ROW()-4)</f>
        <v/>
      </c>
      <c r="B50" s="22"/>
      <c r="C50" s="28"/>
      <c r="D50" s="28"/>
      <c r="E50" s="18"/>
      <c r="F50" s="28"/>
      <c r="G50" s="32" t="str">
        <f aca="false">IF(F50="","",IFERROR(INDEX(請求台帳!$D$5:$D$504,MATCH(F50,請求台帳!$A$5:$A$504,0)),""))</f>
        <v/>
      </c>
      <c r="H50" s="26" t="str">
        <f aca="false">IF(F50="","",IFERROR(INDEX(請求台帳!$I$5:$I$504,MATCH(F50,請求台帳!$A$5:$A$504,0)),""))</f>
        <v/>
      </c>
      <c r="I50" s="29" t="str">
        <f aca="false">IF(COUNTA(B50,D50,E50,F50)=0,"",IF(OR(B50="",E50=""),"要入力",IF(F50="","未消込",IF(ISNA(MATCH(F50,請求台帳!$A$5:$A$504,0)),"番号誤り",IF(INDEX(請求台帳!$T$5:$T$504,MATCH(F50,請求台帳!$A$5:$A$504,0))="取消","取消請求へ消込","消込済")))))</f>
        <v/>
      </c>
      <c r="J50" s="28"/>
      <c r="K50" s="28"/>
    </row>
    <row r="51" customFormat="false" ht="15" hidden="false" customHeight="false" outlineLevel="0" collapsed="false">
      <c r="A51" s="32" t="str">
        <f aca="false">IF(COUNTA(B51,D51,E51,F51)=0,"",ROW()-4)</f>
        <v/>
      </c>
      <c r="B51" s="22"/>
      <c r="C51" s="28"/>
      <c r="D51" s="28"/>
      <c r="E51" s="18"/>
      <c r="F51" s="28"/>
      <c r="G51" s="32" t="str">
        <f aca="false">IF(F51="","",IFERROR(INDEX(請求台帳!$D$5:$D$504,MATCH(F51,請求台帳!$A$5:$A$504,0)),""))</f>
        <v/>
      </c>
      <c r="H51" s="26" t="str">
        <f aca="false">IF(F51="","",IFERROR(INDEX(請求台帳!$I$5:$I$504,MATCH(F51,請求台帳!$A$5:$A$504,0)),""))</f>
        <v/>
      </c>
      <c r="I51" s="29" t="str">
        <f aca="false">IF(COUNTA(B51,D51,E51,F51)=0,"",IF(OR(B51="",E51=""),"要入力",IF(F51="","未消込",IF(ISNA(MATCH(F51,請求台帳!$A$5:$A$504,0)),"番号誤り",IF(INDEX(請求台帳!$T$5:$T$504,MATCH(F51,請求台帳!$A$5:$A$504,0))="取消","取消請求へ消込","消込済")))))</f>
        <v/>
      </c>
      <c r="J51" s="28"/>
      <c r="K51" s="28"/>
    </row>
    <row r="52" customFormat="false" ht="15" hidden="false" customHeight="false" outlineLevel="0" collapsed="false">
      <c r="A52" s="32" t="str">
        <f aca="false">IF(COUNTA(B52,D52,E52,F52)=0,"",ROW()-4)</f>
        <v/>
      </c>
      <c r="B52" s="22"/>
      <c r="C52" s="28"/>
      <c r="D52" s="28"/>
      <c r="E52" s="18"/>
      <c r="F52" s="28"/>
      <c r="G52" s="32" t="str">
        <f aca="false">IF(F52="","",IFERROR(INDEX(請求台帳!$D$5:$D$504,MATCH(F52,請求台帳!$A$5:$A$504,0)),""))</f>
        <v/>
      </c>
      <c r="H52" s="26" t="str">
        <f aca="false">IF(F52="","",IFERROR(INDEX(請求台帳!$I$5:$I$504,MATCH(F52,請求台帳!$A$5:$A$504,0)),""))</f>
        <v/>
      </c>
      <c r="I52" s="29" t="str">
        <f aca="false">IF(COUNTA(B52,D52,E52,F52)=0,"",IF(OR(B52="",E52=""),"要入力",IF(F52="","未消込",IF(ISNA(MATCH(F52,請求台帳!$A$5:$A$504,0)),"番号誤り",IF(INDEX(請求台帳!$T$5:$T$504,MATCH(F52,請求台帳!$A$5:$A$504,0))="取消","取消請求へ消込","消込済")))))</f>
        <v/>
      </c>
      <c r="J52" s="28"/>
      <c r="K52" s="28"/>
    </row>
    <row r="53" customFormat="false" ht="15" hidden="false" customHeight="false" outlineLevel="0" collapsed="false">
      <c r="A53" s="32" t="str">
        <f aca="false">IF(COUNTA(B53,D53,E53,F53)=0,"",ROW()-4)</f>
        <v/>
      </c>
      <c r="B53" s="22"/>
      <c r="C53" s="28"/>
      <c r="D53" s="28"/>
      <c r="E53" s="18"/>
      <c r="F53" s="28"/>
      <c r="G53" s="32" t="str">
        <f aca="false">IF(F53="","",IFERROR(INDEX(請求台帳!$D$5:$D$504,MATCH(F53,請求台帳!$A$5:$A$504,0)),""))</f>
        <v/>
      </c>
      <c r="H53" s="26" t="str">
        <f aca="false">IF(F53="","",IFERROR(INDEX(請求台帳!$I$5:$I$504,MATCH(F53,請求台帳!$A$5:$A$504,0)),""))</f>
        <v/>
      </c>
      <c r="I53" s="29" t="str">
        <f aca="false">IF(COUNTA(B53,D53,E53,F53)=0,"",IF(OR(B53="",E53=""),"要入力",IF(F53="","未消込",IF(ISNA(MATCH(F53,請求台帳!$A$5:$A$504,0)),"番号誤り",IF(INDEX(請求台帳!$T$5:$T$504,MATCH(F53,請求台帳!$A$5:$A$504,0))="取消","取消請求へ消込","消込済")))))</f>
        <v/>
      </c>
      <c r="J53" s="28"/>
      <c r="K53" s="28"/>
    </row>
    <row r="54" customFormat="false" ht="15" hidden="false" customHeight="false" outlineLevel="0" collapsed="false">
      <c r="A54" s="32" t="str">
        <f aca="false">IF(COUNTA(B54,D54,E54,F54)=0,"",ROW()-4)</f>
        <v/>
      </c>
      <c r="B54" s="22"/>
      <c r="C54" s="28"/>
      <c r="D54" s="28"/>
      <c r="E54" s="18"/>
      <c r="F54" s="28"/>
      <c r="G54" s="32" t="str">
        <f aca="false">IF(F54="","",IFERROR(INDEX(請求台帳!$D$5:$D$504,MATCH(F54,請求台帳!$A$5:$A$504,0)),""))</f>
        <v/>
      </c>
      <c r="H54" s="26" t="str">
        <f aca="false">IF(F54="","",IFERROR(INDEX(請求台帳!$I$5:$I$504,MATCH(F54,請求台帳!$A$5:$A$504,0)),""))</f>
        <v/>
      </c>
      <c r="I54" s="29" t="str">
        <f aca="false">IF(COUNTA(B54,D54,E54,F54)=0,"",IF(OR(B54="",E54=""),"要入力",IF(F54="","未消込",IF(ISNA(MATCH(F54,請求台帳!$A$5:$A$504,0)),"番号誤り",IF(INDEX(請求台帳!$T$5:$T$504,MATCH(F54,請求台帳!$A$5:$A$504,0))="取消","取消請求へ消込","消込済")))))</f>
        <v/>
      </c>
      <c r="J54" s="28"/>
      <c r="K54" s="28"/>
    </row>
    <row r="55" customFormat="false" ht="15" hidden="false" customHeight="false" outlineLevel="0" collapsed="false">
      <c r="A55" s="32" t="str">
        <f aca="false">IF(COUNTA(B55,D55,E55,F55)=0,"",ROW()-4)</f>
        <v/>
      </c>
      <c r="B55" s="22"/>
      <c r="C55" s="28"/>
      <c r="D55" s="28"/>
      <c r="E55" s="18"/>
      <c r="F55" s="28"/>
      <c r="G55" s="32" t="str">
        <f aca="false">IF(F55="","",IFERROR(INDEX(請求台帳!$D$5:$D$504,MATCH(F55,請求台帳!$A$5:$A$504,0)),""))</f>
        <v/>
      </c>
      <c r="H55" s="26" t="str">
        <f aca="false">IF(F55="","",IFERROR(INDEX(請求台帳!$I$5:$I$504,MATCH(F55,請求台帳!$A$5:$A$504,0)),""))</f>
        <v/>
      </c>
      <c r="I55" s="29" t="str">
        <f aca="false">IF(COUNTA(B55,D55,E55,F55)=0,"",IF(OR(B55="",E55=""),"要入力",IF(F55="","未消込",IF(ISNA(MATCH(F55,請求台帳!$A$5:$A$504,0)),"番号誤り",IF(INDEX(請求台帳!$T$5:$T$504,MATCH(F55,請求台帳!$A$5:$A$504,0))="取消","取消請求へ消込","消込済")))))</f>
        <v/>
      </c>
      <c r="J55" s="28"/>
      <c r="K55" s="28"/>
    </row>
    <row r="56" customFormat="false" ht="15" hidden="false" customHeight="false" outlineLevel="0" collapsed="false">
      <c r="A56" s="32" t="str">
        <f aca="false">IF(COUNTA(B56,D56,E56,F56)=0,"",ROW()-4)</f>
        <v/>
      </c>
      <c r="B56" s="22"/>
      <c r="C56" s="28"/>
      <c r="D56" s="28"/>
      <c r="E56" s="18"/>
      <c r="F56" s="28"/>
      <c r="G56" s="32" t="str">
        <f aca="false">IF(F56="","",IFERROR(INDEX(請求台帳!$D$5:$D$504,MATCH(F56,請求台帳!$A$5:$A$504,0)),""))</f>
        <v/>
      </c>
      <c r="H56" s="26" t="str">
        <f aca="false">IF(F56="","",IFERROR(INDEX(請求台帳!$I$5:$I$504,MATCH(F56,請求台帳!$A$5:$A$504,0)),""))</f>
        <v/>
      </c>
      <c r="I56" s="29" t="str">
        <f aca="false">IF(COUNTA(B56,D56,E56,F56)=0,"",IF(OR(B56="",E56=""),"要入力",IF(F56="","未消込",IF(ISNA(MATCH(F56,請求台帳!$A$5:$A$504,0)),"番号誤り",IF(INDEX(請求台帳!$T$5:$T$504,MATCH(F56,請求台帳!$A$5:$A$504,0))="取消","取消請求へ消込","消込済")))))</f>
        <v/>
      </c>
      <c r="J56" s="28"/>
      <c r="K56" s="28"/>
    </row>
    <row r="57" customFormat="false" ht="15" hidden="false" customHeight="false" outlineLevel="0" collapsed="false">
      <c r="A57" s="32" t="str">
        <f aca="false">IF(COUNTA(B57,D57,E57,F57)=0,"",ROW()-4)</f>
        <v/>
      </c>
      <c r="B57" s="22"/>
      <c r="C57" s="28"/>
      <c r="D57" s="28"/>
      <c r="E57" s="18"/>
      <c r="F57" s="28"/>
      <c r="G57" s="32" t="str">
        <f aca="false">IF(F57="","",IFERROR(INDEX(請求台帳!$D$5:$D$504,MATCH(F57,請求台帳!$A$5:$A$504,0)),""))</f>
        <v/>
      </c>
      <c r="H57" s="26" t="str">
        <f aca="false">IF(F57="","",IFERROR(INDEX(請求台帳!$I$5:$I$504,MATCH(F57,請求台帳!$A$5:$A$504,0)),""))</f>
        <v/>
      </c>
      <c r="I57" s="29" t="str">
        <f aca="false">IF(COUNTA(B57,D57,E57,F57)=0,"",IF(OR(B57="",E57=""),"要入力",IF(F57="","未消込",IF(ISNA(MATCH(F57,請求台帳!$A$5:$A$504,0)),"番号誤り",IF(INDEX(請求台帳!$T$5:$T$504,MATCH(F57,請求台帳!$A$5:$A$504,0))="取消","取消請求へ消込","消込済")))))</f>
        <v/>
      </c>
      <c r="J57" s="28"/>
      <c r="K57" s="28"/>
    </row>
    <row r="58" customFormat="false" ht="15" hidden="false" customHeight="false" outlineLevel="0" collapsed="false">
      <c r="A58" s="32" t="str">
        <f aca="false">IF(COUNTA(B58,D58,E58,F58)=0,"",ROW()-4)</f>
        <v/>
      </c>
      <c r="B58" s="22"/>
      <c r="C58" s="28"/>
      <c r="D58" s="28"/>
      <c r="E58" s="18"/>
      <c r="F58" s="28"/>
      <c r="G58" s="32" t="str">
        <f aca="false">IF(F58="","",IFERROR(INDEX(請求台帳!$D$5:$D$504,MATCH(F58,請求台帳!$A$5:$A$504,0)),""))</f>
        <v/>
      </c>
      <c r="H58" s="26" t="str">
        <f aca="false">IF(F58="","",IFERROR(INDEX(請求台帳!$I$5:$I$504,MATCH(F58,請求台帳!$A$5:$A$504,0)),""))</f>
        <v/>
      </c>
      <c r="I58" s="29" t="str">
        <f aca="false">IF(COUNTA(B58,D58,E58,F58)=0,"",IF(OR(B58="",E58=""),"要入力",IF(F58="","未消込",IF(ISNA(MATCH(F58,請求台帳!$A$5:$A$504,0)),"番号誤り",IF(INDEX(請求台帳!$T$5:$T$504,MATCH(F58,請求台帳!$A$5:$A$504,0))="取消","取消請求へ消込","消込済")))))</f>
        <v/>
      </c>
      <c r="J58" s="28"/>
      <c r="K58" s="28"/>
    </row>
    <row r="59" customFormat="false" ht="15" hidden="false" customHeight="false" outlineLevel="0" collapsed="false">
      <c r="A59" s="32" t="str">
        <f aca="false">IF(COUNTA(B59,D59,E59,F59)=0,"",ROW()-4)</f>
        <v/>
      </c>
      <c r="B59" s="22"/>
      <c r="C59" s="28"/>
      <c r="D59" s="28"/>
      <c r="E59" s="18"/>
      <c r="F59" s="28"/>
      <c r="G59" s="32" t="str">
        <f aca="false">IF(F59="","",IFERROR(INDEX(請求台帳!$D$5:$D$504,MATCH(F59,請求台帳!$A$5:$A$504,0)),""))</f>
        <v/>
      </c>
      <c r="H59" s="26" t="str">
        <f aca="false">IF(F59="","",IFERROR(INDEX(請求台帳!$I$5:$I$504,MATCH(F59,請求台帳!$A$5:$A$504,0)),""))</f>
        <v/>
      </c>
      <c r="I59" s="29" t="str">
        <f aca="false">IF(COUNTA(B59,D59,E59,F59)=0,"",IF(OR(B59="",E59=""),"要入力",IF(F59="","未消込",IF(ISNA(MATCH(F59,請求台帳!$A$5:$A$504,0)),"番号誤り",IF(INDEX(請求台帳!$T$5:$T$504,MATCH(F59,請求台帳!$A$5:$A$504,0))="取消","取消請求へ消込","消込済")))))</f>
        <v/>
      </c>
      <c r="J59" s="28"/>
      <c r="K59" s="28"/>
    </row>
    <row r="60" customFormat="false" ht="15" hidden="false" customHeight="false" outlineLevel="0" collapsed="false">
      <c r="A60" s="32" t="str">
        <f aca="false">IF(COUNTA(B60,D60,E60,F60)=0,"",ROW()-4)</f>
        <v/>
      </c>
      <c r="B60" s="22"/>
      <c r="C60" s="28"/>
      <c r="D60" s="28"/>
      <c r="E60" s="18"/>
      <c r="F60" s="28"/>
      <c r="G60" s="32" t="str">
        <f aca="false">IF(F60="","",IFERROR(INDEX(請求台帳!$D$5:$D$504,MATCH(F60,請求台帳!$A$5:$A$504,0)),""))</f>
        <v/>
      </c>
      <c r="H60" s="26" t="str">
        <f aca="false">IF(F60="","",IFERROR(INDEX(請求台帳!$I$5:$I$504,MATCH(F60,請求台帳!$A$5:$A$504,0)),""))</f>
        <v/>
      </c>
      <c r="I60" s="29" t="str">
        <f aca="false">IF(COUNTA(B60,D60,E60,F60)=0,"",IF(OR(B60="",E60=""),"要入力",IF(F60="","未消込",IF(ISNA(MATCH(F60,請求台帳!$A$5:$A$504,0)),"番号誤り",IF(INDEX(請求台帳!$T$5:$T$504,MATCH(F60,請求台帳!$A$5:$A$504,0))="取消","取消請求へ消込","消込済")))))</f>
        <v/>
      </c>
      <c r="J60" s="28"/>
      <c r="K60" s="28"/>
    </row>
    <row r="61" customFormat="false" ht="15" hidden="false" customHeight="false" outlineLevel="0" collapsed="false">
      <c r="A61" s="32" t="str">
        <f aca="false">IF(COUNTA(B61,D61,E61,F61)=0,"",ROW()-4)</f>
        <v/>
      </c>
      <c r="B61" s="22"/>
      <c r="C61" s="28"/>
      <c r="D61" s="28"/>
      <c r="E61" s="18"/>
      <c r="F61" s="28"/>
      <c r="G61" s="32" t="str">
        <f aca="false">IF(F61="","",IFERROR(INDEX(請求台帳!$D$5:$D$504,MATCH(F61,請求台帳!$A$5:$A$504,0)),""))</f>
        <v/>
      </c>
      <c r="H61" s="26" t="str">
        <f aca="false">IF(F61="","",IFERROR(INDEX(請求台帳!$I$5:$I$504,MATCH(F61,請求台帳!$A$5:$A$504,0)),""))</f>
        <v/>
      </c>
      <c r="I61" s="29" t="str">
        <f aca="false">IF(COUNTA(B61,D61,E61,F61)=0,"",IF(OR(B61="",E61=""),"要入力",IF(F61="","未消込",IF(ISNA(MATCH(F61,請求台帳!$A$5:$A$504,0)),"番号誤り",IF(INDEX(請求台帳!$T$5:$T$504,MATCH(F61,請求台帳!$A$5:$A$504,0))="取消","取消請求へ消込","消込済")))))</f>
        <v/>
      </c>
      <c r="J61" s="28"/>
      <c r="K61" s="28"/>
    </row>
    <row r="62" customFormat="false" ht="15" hidden="false" customHeight="false" outlineLevel="0" collapsed="false">
      <c r="A62" s="32" t="str">
        <f aca="false">IF(COUNTA(B62,D62,E62,F62)=0,"",ROW()-4)</f>
        <v/>
      </c>
      <c r="B62" s="22"/>
      <c r="C62" s="28"/>
      <c r="D62" s="28"/>
      <c r="E62" s="18"/>
      <c r="F62" s="28"/>
      <c r="G62" s="32" t="str">
        <f aca="false">IF(F62="","",IFERROR(INDEX(請求台帳!$D$5:$D$504,MATCH(F62,請求台帳!$A$5:$A$504,0)),""))</f>
        <v/>
      </c>
      <c r="H62" s="26" t="str">
        <f aca="false">IF(F62="","",IFERROR(INDEX(請求台帳!$I$5:$I$504,MATCH(F62,請求台帳!$A$5:$A$504,0)),""))</f>
        <v/>
      </c>
      <c r="I62" s="29" t="str">
        <f aca="false">IF(COUNTA(B62,D62,E62,F62)=0,"",IF(OR(B62="",E62=""),"要入力",IF(F62="","未消込",IF(ISNA(MATCH(F62,請求台帳!$A$5:$A$504,0)),"番号誤り",IF(INDEX(請求台帳!$T$5:$T$504,MATCH(F62,請求台帳!$A$5:$A$504,0))="取消","取消請求へ消込","消込済")))))</f>
        <v/>
      </c>
      <c r="J62" s="28"/>
      <c r="K62" s="28"/>
    </row>
    <row r="63" customFormat="false" ht="15" hidden="false" customHeight="false" outlineLevel="0" collapsed="false">
      <c r="A63" s="32" t="str">
        <f aca="false">IF(COUNTA(B63,D63,E63,F63)=0,"",ROW()-4)</f>
        <v/>
      </c>
      <c r="B63" s="22"/>
      <c r="C63" s="28"/>
      <c r="D63" s="28"/>
      <c r="E63" s="18"/>
      <c r="F63" s="28"/>
      <c r="G63" s="32" t="str">
        <f aca="false">IF(F63="","",IFERROR(INDEX(請求台帳!$D$5:$D$504,MATCH(F63,請求台帳!$A$5:$A$504,0)),""))</f>
        <v/>
      </c>
      <c r="H63" s="26" t="str">
        <f aca="false">IF(F63="","",IFERROR(INDEX(請求台帳!$I$5:$I$504,MATCH(F63,請求台帳!$A$5:$A$504,0)),""))</f>
        <v/>
      </c>
      <c r="I63" s="29" t="str">
        <f aca="false">IF(COUNTA(B63,D63,E63,F63)=0,"",IF(OR(B63="",E63=""),"要入力",IF(F63="","未消込",IF(ISNA(MATCH(F63,請求台帳!$A$5:$A$504,0)),"番号誤り",IF(INDEX(請求台帳!$T$5:$T$504,MATCH(F63,請求台帳!$A$5:$A$504,0))="取消","取消請求へ消込","消込済")))))</f>
        <v/>
      </c>
      <c r="J63" s="28"/>
      <c r="K63" s="28"/>
    </row>
    <row r="64" customFormat="false" ht="15" hidden="false" customHeight="false" outlineLevel="0" collapsed="false">
      <c r="A64" s="32" t="str">
        <f aca="false">IF(COUNTA(B64,D64,E64,F64)=0,"",ROW()-4)</f>
        <v/>
      </c>
      <c r="B64" s="22"/>
      <c r="C64" s="28"/>
      <c r="D64" s="28"/>
      <c r="E64" s="18"/>
      <c r="F64" s="28"/>
      <c r="G64" s="32" t="str">
        <f aca="false">IF(F64="","",IFERROR(INDEX(請求台帳!$D$5:$D$504,MATCH(F64,請求台帳!$A$5:$A$504,0)),""))</f>
        <v/>
      </c>
      <c r="H64" s="26" t="str">
        <f aca="false">IF(F64="","",IFERROR(INDEX(請求台帳!$I$5:$I$504,MATCH(F64,請求台帳!$A$5:$A$504,0)),""))</f>
        <v/>
      </c>
      <c r="I64" s="29" t="str">
        <f aca="false">IF(COUNTA(B64,D64,E64,F64)=0,"",IF(OR(B64="",E64=""),"要入力",IF(F64="","未消込",IF(ISNA(MATCH(F64,請求台帳!$A$5:$A$504,0)),"番号誤り",IF(INDEX(請求台帳!$T$5:$T$504,MATCH(F64,請求台帳!$A$5:$A$504,0))="取消","取消請求へ消込","消込済")))))</f>
        <v/>
      </c>
      <c r="J64" s="28"/>
      <c r="K64" s="28"/>
    </row>
    <row r="65" customFormat="false" ht="15" hidden="false" customHeight="false" outlineLevel="0" collapsed="false">
      <c r="A65" s="32" t="str">
        <f aca="false">IF(COUNTA(B65,D65,E65,F65)=0,"",ROW()-4)</f>
        <v/>
      </c>
      <c r="B65" s="22"/>
      <c r="C65" s="28"/>
      <c r="D65" s="28"/>
      <c r="E65" s="18"/>
      <c r="F65" s="28"/>
      <c r="G65" s="32" t="str">
        <f aca="false">IF(F65="","",IFERROR(INDEX(請求台帳!$D$5:$D$504,MATCH(F65,請求台帳!$A$5:$A$504,0)),""))</f>
        <v/>
      </c>
      <c r="H65" s="26" t="str">
        <f aca="false">IF(F65="","",IFERROR(INDEX(請求台帳!$I$5:$I$504,MATCH(F65,請求台帳!$A$5:$A$504,0)),""))</f>
        <v/>
      </c>
      <c r="I65" s="29" t="str">
        <f aca="false">IF(COUNTA(B65,D65,E65,F65)=0,"",IF(OR(B65="",E65=""),"要入力",IF(F65="","未消込",IF(ISNA(MATCH(F65,請求台帳!$A$5:$A$504,0)),"番号誤り",IF(INDEX(請求台帳!$T$5:$T$504,MATCH(F65,請求台帳!$A$5:$A$504,0))="取消","取消請求へ消込","消込済")))))</f>
        <v/>
      </c>
      <c r="J65" s="28"/>
      <c r="K65" s="28"/>
    </row>
    <row r="66" customFormat="false" ht="15" hidden="false" customHeight="false" outlineLevel="0" collapsed="false">
      <c r="A66" s="32" t="str">
        <f aca="false">IF(COUNTA(B66,D66,E66,F66)=0,"",ROW()-4)</f>
        <v/>
      </c>
      <c r="B66" s="22"/>
      <c r="C66" s="28"/>
      <c r="D66" s="28"/>
      <c r="E66" s="18"/>
      <c r="F66" s="28"/>
      <c r="G66" s="32" t="str">
        <f aca="false">IF(F66="","",IFERROR(INDEX(請求台帳!$D$5:$D$504,MATCH(F66,請求台帳!$A$5:$A$504,0)),""))</f>
        <v/>
      </c>
      <c r="H66" s="26" t="str">
        <f aca="false">IF(F66="","",IFERROR(INDEX(請求台帳!$I$5:$I$504,MATCH(F66,請求台帳!$A$5:$A$504,0)),""))</f>
        <v/>
      </c>
      <c r="I66" s="29" t="str">
        <f aca="false">IF(COUNTA(B66,D66,E66,F66)=0,"",IF(OR(B66="",E66=""),"要入力",IF(F66="","未消込",IF(ISNA(MATCH(F66,請求台帳!$A$5:$A$504,0)),"番号誤り",IF(INDEX(請求台帳!$T$5:$T$504,MATCH(F66,請求台帳!$A$5:$A$504,0))="取消","取消請求へ消込","消込済")))))</f>
        <v/>
      </c>
      <c r="J66" s="28"/>
      <c r="K66" s="28"/>
    </row>
    <row r="67" customFormat="false" ht="15" hidden="false" customHeight="false" outlineLevel="0" collapsed="false">
      <c r="A67" s="32" t="str">
        <f aca="false">IF(COUNTA(B67,D67,E67,F67)=0,"",ROW()-4)</f>
        <v/>
      </c>
      <c r="B67" s="22"/>
      <c r="C67" s="28"/>
      <c r="D67" s="28"/>
      <c r="E67" s="18"/>
      <c r="F67" s="28"/>
      <c r="G67" s="32" t="str">
        <f aca="false">IF(F67="","",IFERROR(INDEX(請求台帳!$D$5:$D$504,MATCH(F67,請求台帳!$A$5:$A$504,0)),""))</f>
        <v/>
      </c>
      <c r="H67" s="26" t="str">
        <f aca="false">IF(F67="","",IFERROR(INDEX(請求台帳!$I$5:$I$504,MATCH(F67,請求台帳!$A$5:$A$504,0)),""))</f>
        <v/>
      </c>
      <c r="I67" s="29" t="str">
        <f aca="false">IF(COUNTA(B67,D67,E67,F67)=0,"",IF(OR(B67="",E67=""),"要入力",IF(F67="","未消込",IF(ISNA(MATCH(F67,請求台帳!$A$5:$A$504,0)),"番号誤り",IF(INDEX(請求台帳!$T$5:$T$504,MATCH(F67,請求台帳!$A$5:$A$504,0))="取消","取消請求へ消込","消込済")))))</f>
        <v/>
      </c>
      <c r="J67" s="28"/>
      <c r="K67" s="28"/>
    </row>
    <row r="68" customFormat="false" ht="15" hidden="false" customHeight="false" outlineLevel="0" collapsed="false">
      <c r="A68" s="32" t="str">
        <f aca="false">IF(COUNTA(B68,D68,E68,F68)=0,"",ROW()-4)</f>
        <v/>
      </c>
      <c r="B68" s="22"/>
      <c r="C68" s="28"/>
      <c r="D68" s="28"/>
      <c r="E68" s="18"/>
      <c r="F68" s="28"/>
      <c r="G68" s="32" t="str">
        <f aca="false">IF(F68="","",IFERROR(INDEX(請求台帳!$D$5:$D$504,MATCH(F68,請求台帳!$A$5:$A$504,0)),""))</f>
        <v/>
      </c>
      <c r="H68" s="26" t="str">
        <f aca="false">IF(F68="","",IFERROR(INDEX(請求台帳!$I$5:$I$504,MATCH(F68,請求台帳!$A$5:$A$504,0)),""))</f>
        <v/>
      </c>
      <c r="I68" s="29" t="str">
        <f aca="false">IF(COUNTA(B68,D68,E68,F68)=0,"",IF(OR(B68="",E68=""),"要入力",IF(F68="","未消込",IF(ISNA(MATCH(F68,請求台帳!$A$5:$A$504,0)),"番号誤り",IF(INDEX(請求台帳!$T$5:$T$504,MATCH(F68,請求台帳!$A$5:$A$504,0))="取消","取消請求へ消込","消込済")))))</f>
        <v/>
      </c>
      <c r="J68" s="28"/>
      <c r="K68" s="28"/>
    </row>
    <row r="69" customFormat="false" ht="15" hidden="false" customHeight="false" outlineLevel="0" collapsed="false">
      <c r="A69" s="32" t="str">
        <f aca="false">IF(COUNTA(B69,D69,E69,F69)=0,"",ROW()-4)</f>
        <v/>
      </c>
      <c r="B69" s="22"/>
      <c r="C69" s="28"/>
      <c r="D69" s="28"/>
      <c r="E69" s="18"/>
      <c r="F69" s="28"/>
      <c r="G69" s="32" t="str">
        <f aca="false">IF(F69="","",IFERROR(INDEX(請求台帳!$D$5:$D$504,MATCH(F69,請求台帳!$A$5:$A$504,0)),""))</f>
        <v/>
      </c>
      <c r="H69" s="26" t="str">
        <f aca="false">IF(F69="","",IFERROR(INDEX(請求台帳!$I$5:$I$504,MATCH(F69,請求台帳!$A$5:$A$504,0)),""))</f>
        <v/>
      </c>
      <c r="I69" s="29" t="str">
        <f aca="false">IF(COUNTA(B69,D69,E69,F69)=0,"",IF(OR(B69="",E69=""),"要入力",IF(F69="","未消込",IF(ISNA(MATCH(F69,請求台帳!$A$5:$A$504,0)),"番号誤り",IF(INDEX(請求台帳!$T$5:$T$504,MATCH(F69,請求台帳!$A$5:$A$504,0))="取消","取消請求へ消込","消込済")))))</f>
        <v/>
      </c>
      <c r="J69" s="28"/>
      <c r="K69" s="28"/>
    </row>
    <row r="70" customFormat="false" ht="15" hidden="false" customHeight="false" outlineLevel="0" collapsed="false">
      <c r="A70" s="32" t="str">
        <f aca="false">IF(COUNTA(B70,D70,E70,F70)=0,"",ROW()-4)</f>
        <v/>
      </c>
      <c r="B70" s="22"/>
      <c r="C70" s="28"/>
      <c r="D70" s="28"/>
      <c r="E70" s="18"/>
      <c r="F70" s="28"/>
      <c r="G70" s="32" t="str">
        <f aca="false">IF(F70="","",IFERROR(INDEX(請求台帳!$D$5:$D$504,MATCH(F70,請求台帳!$A$5:$A$504,0)),""))</f>
        <v/>
      </c>
      <c r="H70" s="26" t="str">
        <f aca="false">IF(F70="","",IFERROR(INDEX(請求台帳!$I$5:$I$504,MATCH(F70,請求台帳!$A$5:$A$504,0)),""))</f>
        <v/>
      </c>
      <c r="I70" s="29" t="str">
        <f aca="false">IF(COUNTA(B70,D70,E70,F70)=0,"",IF(OR(B70="",E70=""),"要入力",IF(F70="","未消込",IF(ISNA(MATCH(F70,請求台帳!$A$5:$A$504,0)),"番号誤り",IF(INDEX(請求台帳!$T$5:$T$504,MATCH(F70,請求台帳!$A$5:$A$504,0))="取消","取消請求へ消込","消込済")))))</f>
        <v/>
      </c>
      <c r="J70" s="28"/>
      <c r="K70" s="28"/>
    </row>
    <row r="71" customFormat="false" ht="15" hidden="false" customHeight="false" outlineLevel="0" collapsed="false">
      <c r="A71" s="32" t="str">
        <f aca="false">IF(COUNTA(B71,D71,E71,F71)=0,"",ROW()-4)</f>
        <v/>
      </c>
      <c r="B71" s="22"/>
      <c r="C71" s="28"/>
      <c r="D71" s="28"/>
      <c r="E71" s="18"/>
      <c r="F71" s="28"/>
      <c r="G71" s="32" t="str">
        <f aca="false">IF(F71="","",IFERROR(INDEX(請求台帳!$D$5:$D$504,MATCH(F71,請求台帳!$A$5:$A$504,0)),""))</f>
        <v/>
      </c>
      <c r="H71" s="26" t="str">
        <f aca="false">IF(F71="","",IFERROR(INDEX(請求台帳!$I$5:$I$504,MATCH(F71,請求台帳!$A$5:$A$504,0)),""))</f>
        <v/>
      </c>
      <c r="I71" s="29" t="str">
        <f aca="false">IF(COUNTA(B71,D71,E71,F71)=0,"",IF(OR(B71="",E71=""),"要入力",IF(F71="","未消込",IF(ISNA(MATCH(F71,請求台帳!$A$5:$A$504,0)),"番号誤り",IF(INDEX(請求台帳!$T$5:$T$504,MATCH(F71,請求台帳!$A$5:$A$504,0))="取消","取消請求へ消込","消込済")))))</f>
        <v/>
      </c>
      <c r="J71" s="28"/>
      <c r="K71" s="28"/>
    </row>
    <row r="72" customFormat="false" ht="15" hidden="false" customHeight="false" outlineLevel="0" collapsed="false">
      <c r="A72" s="32" t="str">
        <f aca="false">IF(COUNTA(B72,D72,E72,F72)=0,"",ROW()-4)</f>
        <v/>
      </c>
      <c r="B72" s="22"/>
      <c r="C72" s="28"/>
      <c r="D72" s="28"/>
      <c r="E72" s="18"/>
      <c r="F72" s="28"/>
      <c r="G72" s="32" t="str">
        <f aca="false">IF(F72="","",IFERROR(INDEX(請求台帳!$D$5:$D$504,MATCH(F72,請求台帳!$A$5:$A$504,0)),""))</f>
        <v/>
      </c>
      <c r="H72" s="26" t="str">
        <f aca="false">IF(F72="","",IFERROR(INDEX(請求台帳!$I$5:$I$504,MATCH(F72,請求台帳!$A$5:$A$504,0)),""))</f>
        <v/>
      </c>
      <c r="I72" s="29" t="str">
        <f aca="false">IF(COUNTA(B72,D72,E72,F72)=0,"",IF(OR(B72="",E72=""),"要入力",IF(F72="","未消込",IF(ISNA(MATCH(F72,請求台帳!$A$5:$A$504,0)),"番号誤り",IF(INDEX(請求台帳!$T$5:$T$504,MATCH(F72,請求台帳!$A$5:$A$504,0))="取消","取消請求へ消込","消込済")))))</f>
        <v/>
      </c>
      <c r="J72" s="28"/>
      <c r="K72" s="28"/>
    </row>
    <row r="73" customFormat="false" ht="15" hidden="false" customHeight="false" outlineLevel="0" collapsed="false">
      <c r="A73" s="32" t="str">
        <f aca="false">IF(COUNTA(B73,D73,E73,F73)=0,"",ROW()-4)</f>
        <v/>
      </c>
      <c r="B73" s="22"/>
      <c r="C73" s="28"/>
      <c r="D73" s="28"/>
      <c r="E73" s="18"/>
      <c r="F73" s="28"/>
      <c r="G73" s="32" t="str">
        <f aca="false">IF(F73="","",IFERROR(INDEX(請求台帳!$D$5:$D$504,MATCH(F73,請求台帳!$A$5:$A$504,0)),""))</f>
        <v/>
      </c>
      <c r="H73" s="26" t="str">
        <f aca="false">IF(F73="","",IFERROR(INDEX(請求台帳!$I$5:$I$504,MATCH(F73,請求台帳!$A$5:$A$504,0)),""))</f>
        <v/>
      </c>
      <c r="I73" s="29" t="str">
        <f aca="false">IF(COUNTA(B73,D73,E73,F73)=0,"",IF(OR(B73="",E73=""),"要入力",IF(F73="","未消込",IF(ISNA(MATCH(F73,請求台帳!$A$5:$A$504,0)),"番号誤り",IF(INDEX(請求台帳!$T$5:$T$504,MATCH(F73,請求台帳!$A$5:$A$504,0))="取消","取消請求へ消込","消込済")))))</f>
        <v/>
      </c>
      <c r="J73" s="28"/>
      <c r="K73" s="28"/>
    </row>
    <row r="74" customFormat="false" ht="15" hidden="false" customHeight="false" outlineLevel="0" collapsed="false">
      <c r="A74" s="32" t="str">
        <f aca="false">IF(COUNTA(B74,D74,E74,F74)=0,"",ROW()-4)</f>
        <v/>
      </c>
      <c r="B74" s="22"/>
      <c r="C74" s="28"/>
      <c r="D74" s="28"/>
      <c r="E74" s="18"/>
      <c r="F74" s="28"/>
      <c r="G74" s="32" t="str">
        <f aca="false">IF(F74="","",IFERROR(INDEX(請求台帳!$D$5:$D$504,MATCH(F74,請求台帳!$A$5:$A$504,0)),""))</f>
        <v/>
      </c>
      <c r="H74" s="26" t="str">
        <f aca="false">IF(F74="","",IFERROR(INDEX(請求台帳!$I$5:$I$504,MATCH(F74,請求台帳!$A$5:$A$504,0)),""))</f>
        <v/>
      </c>
      <c r="I74" s="29" t="str">
        <f aca="false">IF(COUNTA(B74,D74,E74,F74)=0,"",IF(OR(B74="",E74=""),"要入力",IF(F74="","未消込",IF(ISNA(MATCH(F74,請求台帳!$A$5:$A$504,0)),"番号誤り",IF(INDEX(請求台帳!$T$5:$T$504,MATCH(F74,請求台帳!$A$5:$A$504,0))="取消","取消請求へ消込","消込済")))))</f>
        <v/>
      </c>
      <c r="J74" s="28"/>
      <c r="K74" s="28"/>
    </row>
    <row r="75" customFormat="false" ht="15" hidden="false" customHeight="false" outlineLevel="0" collapsed="false">
      <c r="A75" s="32" t="str">
        <f aca="false">IF(COUNTA(B75,D75,E75,F75)=0,"",ROW()-4)</f>
        <v/>
      </c>
      <c r="B75" s="22"/>
      <c r="C75" s="28"/>
      <c r="D75" s="28"/>
      <c r="E75" s="18"/>
      <c r="F75" s="28"/>
      <c r="G75" s="32" t="str">
        <f aca="false">IF(F75="","",IFERROR(INDEX(請求台帳!$D$5:$D$504,MATCH(F75,請求台帳!$A$5:$A$504,0)),""))</f>
        <v/>
      </c>
      <c r="H75" s="26" t="str">
        <f aca="false">IF(F75="","",IFERROR(INDEX(請求台帳!$I$5:$I$504,MATCH(F75,請求台帳!$A$5:$A$504,0)),""))</f>
        <v/>
      </c>
      <c r="I75" s="29" t="str">
        <f aca="false">IF(COUNTA(B75,D75,E75,F75)=0,"",IF(OR(B75="",E75=""),"要入力",IF(F75="","未消込",IF(ISNA(MATCH(F75,請求台帳!$A$5:$A$504,0)),"番号誤り",IF(INDEX(請求台帳!$T$5:$T$504,MATCH(F75,請求台帳!$A$5:$A$504,0))="取消","取消請求へ消込","消込済")))))</f>
        <v/>
      </c>
      <c r="J75" s="28"/>
      <c r="K75" s="28"/>
    </row>
    <row r="76" customFormat="false" ht="15" hidden="false" customHeight="false" outlineLevel="0" collapsed="false">
      <c r="A76" s="32" t="str">
        <f aca="false">IF(COUNTA(B76,D76,E76,F76)=0,"",ROW()-4)</f>
        <v/>
      </c>
      <c r="B76" s="22"/>
      <c r="C76" s="28"/>
      <c r="D76" s="28"/>
      <c r="E76" s="18"/>
      <c r="F76" s="28"/>
      <c r="G76" s="32" t="str">
        <f aca="false">IF(F76="","",IFERROR(INDEX(請求台帳!$D$5:$D$504,MATCH(F76,請求台帳!$A$5:$A$504,0)),""))</f>
        <v/>
      </c>
      <c r="H76" s="26" t="str">
        <f aca="false">IF(F76="","",IFERROR(INDEX(請求台帳!$I$5:$I$504,MATCH(F76,請求台帳!$A$5:$A$504,0)),""))</f>
        <v/>
      </c>
      <c r="I76" s="29" t="str">
        <f aca="false">IF(COUNTA(B76,D76,E76,F76)=0,"",IF(OR(B76="",E76=""),"要入力",IF(F76="","未消込",IF(ISNA(MATCH(F76,請求台帳!$A$5:$A$504,0)),"番号誤り",IF(INDEX(請求台帳!$T$5:$T$504,MATCH(F76,請求台帳!$A$5:$A$504,0))="取消","取消請求へ消込","消込済")))))</f>
        <v/>
      </c>
      <c r="J76" s="28"/>
      <c r="K76" s="28"/>
    </row>
    <row r="77" customFormat="false" ht="15" hidden="false" customHeight="false" outlineLevel="0" collapsed="false">
      <c r="A77" s="32" t="str">
        <f aca="false">IF(COUNTA(B77,D77,E77,F77)=0,"",ROW()-4)</f>
        <v/>
      </c>
      <c r="B77" s="22"/>
      <c r="C77" s="28"/>
      <c r="D77" s="28"/>
      <c r="E77" s="18"/>
      <c r="F77" s="28"/>
      <c r="G77" s="32" t="str">
        <f aca="false">IF(F77="","",IFERROR(INDEX(請求台帳!$D$5:$D$504,MATCH(F77,請求台帳!$A$5:$A$504,0)),""))</f>
        <v/>
      </c>
      <c r="H77" s="26" t="str">
        <f aca="false">IF(F77="","",IFERROR(INDEX(請求台帳!$I$5:$I$504,MATCH(F77,請求台帳!$A$5:$A$504,0)),""))</f>
        <v/>
      </c>
      <c r="I77" s="29" t="str">
        <f aca="false">IF(COUNTA(B77,D77,E77,F77)=0,"",IF(OR(B77="",E77=""),"要入力",IF(F77="","未消込",IF(ISNA(MATCH(F77,請求台帳!$A$5:$A$504,0)),"番号誤り",IF(INDEX(請求台帳!$T$5:$T$504,MATCH(F77,請求台帳!$A$5:$A$504,0))="取消","取消請求へ消込","消込済")))))</f>
        <v/>
      </c>
      <c r="J77" s="28"/>
      <c r="K77" s="28"/>
    </row>
    <row r="78" customFormat="false" ht="15" hidden="false" customHeight="false" outlineLevel="0" collapsed="false">
      <c r="A78" s="32" t="str">
        <f aca="false">IF(COUNTA(B78,D78,E78,F78)=0,"",ROW()-4)</f>
        <v/>
      </c>
      <c r="B78" s="22"/>
      <c r="C78" s="28"/>
      <c r="D78" s="28"/>
      <c r="E78" s="18"/>
      <c r="F78" s="28"/>
      <c r="G78" s="32" t="str">
        <f aca="false">IF(F78="","",IFERROR(INDEX(請求台帳!$D$5:$D$504,MATCH(F78,請求台帳!$A$5:$A$504,0)),""))</f>
        <v/>
      </c>
      <c r="H78" s="26" t="str">
        <f aca="false">IF(F78="","",IFERROR(INDEX(請求台帳!$I$5:$I$504,MATCH(F78,請求台帳!$A$5:$A$504,0)),""))</f>
        <v/>
      </c>
      <c r="I78" s="29" t="str">
        <f aca="false">IF(COUNTA(B78,D78,E78,F78)=0,"",IF(OR(B78="",E78=""),"要入力",IF(F78="","未消込",IF(ISNA(MATCH(F78,請求台帳!$A$5:$A$504,0)),"番号誤り",IF(INDEX(請求台帳!$T$5:$T$504,MATCH(F78,請求台帳!$A$5:$A$504,0))="取消","取消請求へ消込","消込済")))))</f>
        <v/>
      </c>
      <c r="J78" s="28"/>
      <c r="K78" s="28"/>
    </row>
    <row r="79" customFormat="false" ht="15" hidden="false" customHeight="false" outlineLevel="0" collapsed="false">
      <c r="A79" s="32" t="str">
        <f aca="false">IF(COUNTA(B79,D79,E79,F79)=0,"",ROW()-4)</f>
        <v/>
      </c>
      <c r="B79" s="22"/>
      <c r="C79" s="28"/>
      <c r="D79" s="28"/>
      <c r="E79" s="18"/>
      <c r="F79" s="28"/>
      <c r="G79" s="32" t="str">
        <f aca="false">IF(F79="","",IFERROR(INDEX(請求台帳!$D$5:$D$504,MATCH(F79,請求台帳!$A$5:$A$504,0)),""))</f>
        <v/>
      </c>
      <c r="H79" s="26" t="str">
        <f aca="false">IF(F79="","",IFERROR(INDEX(請求台帳!$I$5:$I$504,MATCH(F79,請求台帳!$A$5:$A$504,0)),""))</f>
        <v/>
      </c>
      <c r="I79" s="29" t="str">
        <f aca="false">IF(COUNTA(B79,D79,E79,F79)=0,"",IF(OR(B79="",E79=""),"要入力",IF(F79="","未消込",IF(ISNA(MATCH(F79,請求台帳!$A$5:$A$504,0)),"番号誤り",IF(INDEX(請求台帳!$T$5:$T$504,MATCH(F79,請求台帳!$A$5:$A$504,0))="取消","取消請求へ消込","消込済")))))</f>
        <v/>
      </c>
      <c r="J79" s="28"/>
      <c r="K79" s="28"/>
    </row>
    <row r="80" customFormat="false" ht="15" hidden="false" customHeight="false" outlineLevel="0" collapsed="false">
      <c r="A80" s="32" t="str">
        <f aca="false">IF(COUNTA(B80,D80,E80,F80)=0,"",ROW()-4)</f>
        <v/>
      </c>
      <c r="B80" s="22"/>
      <c r="C80" s="28"/>
      <c r="D80" s="28"/>
      <c r="E80" s="18"/>
      <c r="F80" s="28"/>
      <c r="G80" s="32" t="str">
        <f aca="false">IF(F80="","",IFERROR(INDEX(請求台帳!$D$5:$D$504,MATCH(F80,請求台帳!$A$5:$A$504,0)),""))</f>
        <v/>
      </c>
      <c r="H80" s="26" t="str">
        <f aca="false">IF(F80="","",IFERROR(INDEX(請求台帳!$I$5:$I$504,MATCH(F80,請求台帳!$A$5:$A$504,0)),""))</f>
        <v/>
      </c>
      <c r="I80" s="29" t="str">
        <f aca="false">IF(COUNTA(B80,D80,E80,F80)=0,"",IF(OR(B80="",E80=""),"要入力",IF(F80="","未消込",IF(ISNA(MATCH(F80,請求台帳!$A$5:$A$504,0)),"番号誤り",IF(INDEX(請求台帳!$T$5:$T$504,MATCH(F80,請求台帳!$A$5:$A$504,0))="取消","取消請求へ消込","消込済")))))</f>
        <v/>
      </c>
      <c r="J80" s="28"/>
      <c r="K80" s="28"/>
    </row>
    <row r="81" customFormat="false" ht="15" hidden="false" customHeight="false" outlineLevel="0" collapsed="false">
      <c r="A81" s="32" t="str">
        <f aca="false">IF(COUNTA(B81,D81,E81,F81)=0,"",ROW()-4)</f>
        <v/>
      </c>
      <c r="B81" s="22"/>
      <c r="C81" s="28"/>
      <c r="D81" s="28"/>
      <c r="E81" s="18"/>
      <c r="F81" s="28"/>
      <c r="G81" s="32" t="str">
        <f aca="false">IF(F81="","",IFERROR(INDEX(請求台帳!$D$5:$D$504,MATCH(F81,請求台帳!$A$5:$A$504,0)),""))</f>
        <v/>
      </c>
      <c r="H81" s="26" t="str">
        <f aca="false">IF(F81="","",IFERROR(INDEX(請求台帳!$I$5:$I$504,MATCH(F81,請求台帳!$A$5:$A$504,0)),""))</f>
        <v/>
      </c>
      <c r="I81" s="29" t="str">
        <f aca="false">IF(COUNTA(B81,D81,E81,F81)=0,"",IF(OR(B81="",E81=""),"要入力",IF(F81="","未消込",IF(ISNA(MATCH(F81,請求台帳!$A$5:$A$504,0)),"番号誤り",IF(INDEX(請求台帳!$T$5:$T$504,MATCH(F81,請求台帳!$A$5:$A$504,0))="取消","取消請求へ消込","消込済")))))</f>
        <v/>
      </c>
      <c r="J81" s="28"/>
      <c r="K81" s="28"/>
    </row>
    <row r="82" customFormat="false" ht="15" hidden="false" customHeight="false" outlineLevel="0" collapsed="false">
      <c r="A82" s="32" t="str">
        <f aca="false">IF(COUNTA(B82,D82,E82,F82)=0,"",ROW()-4)</f>
        <v/>
      </c>
      <c r="B82" s="22"/>
      <c r="C82" s="28"/>
      <c r="D82" s="28"/>
      <c r="E82" s="18"/>
      <c r="F82" s="28"/>
      <c r="G82" s="32" t="str">
        <f aca="false">IF(F82="","",IFERROR(INDEX(請求台帳!$D$5:$D$504,MATCH(F82,請求台帳!$A$5:$A$504,0)),""))</f>
        <v/>
      </c>
      <c r="H82" s="26" t="str">
        <f aca="false">IF(F82="","",IFERROR(INDEX(請求台帳!$I$5:$I$504,MATCH(F82,請求台帳!$A$5:$A$504,0)),""))</f>
        <v/>
      </c>
      <c r="I82" s="29" t="str">
        <f aca="false">IF(COUNTA(B82,D82,E82,F82)=0,"",IF(OR(B82="",E82=""),"要入力",IF(F82="","未消込",IF(ISNA(MATCH(F82,請求台帳!$A$5:$A$504,0)),"番号誤り",IF(INDEX(請求台帳!$T$5:$T$504,MATCH(F82,請求台帳!$A$5:$A$504,0))="取消","取消請求へ消込","消込済")))))</f>
        <v/>
      </c>
      <c r="J82" s="28"/>
      <c r="K82" s="28"/>
    </row>
    <row r="83" customFormat="false" ht="15" hidden="false" customHeight="false" outlineLevel="0" collapsed="false">
      <c r="A83" s="32" t="str">
        <f aca="false">IF(COUNTA(B83,D83,E83,F83)=0,"",ROW()-4)</f>
        <v/>
      </c>
      <c r="B83" s="22"/>
      <c r="C83" s="28"/>
      <c r="D83" s="28"/>
      <c r="E83" s="18"/>
      <c r="F83" s="28"/>
      <c r="G83" s="32" t="str">
        <f aca="false">IF(F83="","",IFERROR(INDEX(請求台帳!$D$5:$D$504,MATCH(F83,請求台帳!$A$5:$A$504,0)),""))</f>
        <v/>
      </c>
      <c r="H83" s="26" t="str">
        <f aca="false">IF(F83="","",IFERROR(INDEX(請求台帳!$I$5:$I$504,MATCH(F83,請求台帳!$A$5:$A$504,0)),""))</f>
        <v/>
      </c>
      <c r="I83" s="29" t="str">
        <f aca="false">IF(COUNTA(B83,D83,E83,F83)=0,"",IF(OR(B83="",E83=""),"要入力",IF(F83="","未消込",IF(ISNA(MATCH(F83,請求台帳!$A$5:$A$504,0)),"番号誤り",IF(INDEX(請求台帳!$T$5:$T$504,MATCH(F83,請求台帳!$A$5:$A$504,0))="取消","取消請求へ消込","消込済")))))</f>
        <v/>
      </c>
      <c r="J83" s="28"/>
      <c r="K83" s="28"/>
    </row>
    <row r="84" customFormat="false" ht="15" hidden="false" customHeight="false" outlineLevel="0" collapsed="false">
      <c r="A84" s="32" t="str">
        <f aca="false">IF(COUNTA(B84,D84,E84,F84)=0,"",ROW()-4)</f>
        <v/>
      </c>
      <c r="B84" s="22"/>
      <c r="C84" s="28"/>
      <c r="D84" s="28"/>
      <c r="E84" s="18"/>
      <c r="F84" s="28"/>
      <c r="G84" s="32" t="str">
        <f aca="false">IF(F84="","",IFERROR(INDEX(請求台帳!$D$5:$D$504,MATCH(F84,請求台帳!$A$5:$A$504,0)),""))</f>
        <v/>
      </c>
      <c r="H84" s="26" t="str">
        <f aca="false">IF(F84="","",IFERROR(INDEX(請求台帳!$I$5:$I$504,MATCH(F84,請求台帳!$A$5:$A$504,0)),""))</f>
        <v/>
      </c>
      <c r="I84" s="29" t="str">
        <f aca="false">IF(COUNTA(B84,D84,E84,F84)=0,"",IF(OR(B84="",E84=""),"要入力",IF(F84="","未消込",IF(ISNA(MATCH(F84,請求台帳!$A$5:$A$504,0)),"番号誤り",IF(INDEX(請求台帳!$T$5:$T$504,MATCH(F84,請求台帳!$A$5:$A$504,0))="取消","取消請求へ消込","消込済")))))</f>
        <v/>
      </c>
      <c r="J84" s="28"/>
      <c r="K84" s="28"/>
    </row>
    <row r="85" customFormat="false" ht="15" hidden="false" customHeight="false" outlineLevel="0" collapsed="false">
      <c r="A85" s="32" t="str">
        <f aca="false">IF(COUNTA(B85,D85,E85,F85)=0,"",ROW()-4)</f>
        <v/>
      </c>
      <c r="B85" s="22"/>
      <c r="C85" s="28"/>
      <c r="D85" s="28"/>
      <c r="E85" s="18"/>
      <c r="F85" s="28"/>
      <c r="G85" s="32" t="str">
        <f aca="false">IF(F85="","",IFERROR(INDEX(請求台帳!$D$5:$D$504,MATCH(F85,請求台帳!$A$5:$A$504,0)),""))</f>
        <v/>
      </c>
      <c r="H85" s="26" t="str">
        <f aca="false">IF(F85="","",IFERROR(INDEX(請求台帳!$I$5:$I$504,MATCH(F85,請求台帳!$A$5:$A$504,0)),""))</f>
        <v/>
      </c>
      <c r="I85" s="29" t="str">
        <f aca="false">IF(COUNTA(B85,D85,E85,F85)=0,"",IF(OR(B85="",E85=""),"要入力",IF(F85="","未消込",IF(ISNA(MATCH(F85,請求台帳!$A$5:$A$504,0)),"番号誤り",IF(INDEX(請求台帳!$T$5:$T$504,MATCH(F85,請求台帳!$A$5:$A$504,0))="取消","取消請求へ消込","消込済")))))</f>
        <v/>
      </c>
      <c r="J85" s="28"/>
      <c r="K85" s="28"/>
    </row>
    <row r="86" customFormat="false" ht="15" hidden="false" customHeight="false" outlineLevel="0" collapsed="false">
      <c r="A86" s="32" t="str">
        <f aca="false">IF(COUNTA(B86,D86,E86,F86)=0,"",ROW()-4)</f>
        <v/>
      </c>
      <c r="B86" s="22"/>
      <c r="C86" s="28"/>
      <c r="D86" s="28"/>
      <c r="E86" s="18"/>
      <c r="F86" s="28"/>
      <c r="G86" s="32" t="str">
        <f aca="false">IF(F86="","",IFERROR(INDEX(請求台帳!$D$5:$D$504,MATCH(F86,請求台帳!$A$5:$A$504,0)),""))</f>
        <v/>
      </c>
      <c r="H86" s="26" t="str">
        <f aca="false">IF(F86="","",IFERROR(INDEX(請求台帳!$I$5:$I$504,MATCH(F86,請求台帳!$A$5:$A$504,0)),""))</f>
        <v/>
      </c>
      <c r="I86" s="29" t="str">
        <f aca="false">IF(COUNTA(B86,D86,E86,F86)=0,"",IF(OR(B86="",E86=""),"要入力",IF(F86="","未消込",IF(ISNA(MATCH(F86,請求台帳!$A$5:$A$504,0)),"番号誤り",IF(INDEX(請求台帳!$T$5:$T$504,MATCH(F86,請求台帳!$A$5:$A$504,0))="取消","取消請求へ消込","消込済")))))</f>
        <v/>
      </c>
      <c r="J86" s="28"/>
      <c r="K86" s="28"/>
    </row>
    <row r="87" customFormat="false" ht="15" hidden="false" customHeight="false" outlineLevel="0" collapsed="false">
      <c r="A87" s="32" t="str">
        <f aca="false">IF(COUNTA(B87,D87,E87,F87)=0,"",ROW()-4)</f>
        <v/>
      </c>
      <c r="B87" s="22"/>
      <c r="C87" s="28"/>
      <c r="D87" s="28"/>
      <c r="E87" s="18"/>
      <c r="F87" s="28"/>
      <c r="G87" s="32" t="str">
        <f aca="false">IF(F87="","",IFERROR(INDEX(請求台帳!$D$5:$D$504,MATCH(F87,請求台帳!$A$5:$A$504,0)),""))</f>
        <v/>
      </c>
      <c r="H87" s="26" t="str">
        <f aca="false">IF(F87="","",IFERROR(INDEX(請求台帳!$I$5:$I$504,MATCH(F87,請求台帳!$A$5:$A$504,0)),""))</f>
        <v/>
      </c>
      <c r="I87" s="29" t="str">
        <f aca="false">IF(COUNTA(B87,D87,E87,F87)=0,"",IF(OR(B87="",E87=""),"要入力",IF(F87="","未消込",IF(ISNA(MATCH(F87,請求台帳!$A$5:$A$504,0)),"番号誤り",IF(INDEX(請求台帳!$T$5:$T$504,MATCH(F87,請求台帳!$A$5:$A$504,0))="取消","取消請求へ消込","消込済")))))</f>
        <v/>
      </c>
      <c r="J87" s="28"/>
      <c r="K87" s="28"/>
    </row>
    <row r="88" customFormat="false" ht="15" hidden="false" customHeight="false" outlineLevel="0" collapsed="false">
      <c r="A88" s="32" t="str">
        <f aca="false">IF(COUNTA(B88,D88,E88,F88)=0,"",ROW()-4)</f>
        <v/>
      </c>
      <c r="B88" s="22"/>
      <c r="C88" s="28"/>
      <c r="D88" s="28"/>
      <c r="E88" s="18"/>
      <c r="F88" s="28"/>
      <c r="G88" s="32" t="str">
        <f aca="false">IF(F88="","",IFERROR(INDEX(請求台帳!$D$5:$D$504,MATCH(F88,請求台帳!$A$5:$A$504,0)),""))</f>
        <v/>
      </c>
      <c r="H88" s="26" t="str">
        <f aca="false">IF(F88="","",IFERROR(INDEX(請求台帳!$I$5:$I$504,MATCH(F88,請求台帳!$A$5:$A$504,0)),""))</f>
        <v/>
      </c>
      <c r="I88" s="29" t="str">
        <f aca="false">IF(COUNTA(B88,D88,E88,F88)=0,"",IF(OR(B88="",E88=""),"要入力",IF(F88="","未消込",IF(ISNA(MATCH(F88,請求台帳!$A$5:$A$504,0)),"番号誤り",IF(INDEX(請求台帳!$T$5:$T$504,MATCH(F88,請求台帳!$A$5:$A$504,0))="取消","取消請求へ消込","消込済")))))</f>
        <v/>
      </c>
      <c r="J88" s="28"/>
      <c r="K88" s="28"/>
    </row>
    <row r="89" customFormat="false" ht="15" hidden="false" customHeight="false" outlineLevel="0" collapsed="false">
      <c r="A89" s="32" t="str">
        <f aca="false">IF(COUNTA(B89,D89,E89,F89)=0,"",ROW()-4)</f>
        <v/>
      </c>
      <c r="B89" s="22"/>
      <c r="C89" s="28"/>
      <c r="D89" s="28"/>
      <c r="E89" s="18"/>
      <c r="F89" s="28"/>
      <c r="G89" s="32" t="str">
        <f aca="false">IF(F89="","",IFERROR(INDEX(請求台帳!$D$5:$D$504,MATCH(F89,請求台帳!$A$5:$A$504,0)),""))</f>
        <v/>
      </c>
      <c r="H89" s="26" t="str">
        <f aca="false">IF(F89="","",IFERROR(INDEX(請求台帳!$I$5:$I$504,MATCH(F89,請求台帳!$A$5:$A$504,0)),""))</f>
        <v/>
      </c>
      <c r="I89" s="29" t="str">
        <f aca="false">IF(COUNTA(B89,D89,E89,F89)=0,"",IF(OR(B89="",E89=""),"要入力",IF(F89="","未消込",IF(ISNA(MATCH(F89,請求台帳!$A$5:$A$504,0)),"番号誤り",IF(INDEX(請求台帳!$T$5:$T$504,MATCH(F89,請求台帳!$A$5:$A$504,0))="取消","取消請求へ消込","消込済")))))</f>
        <v/>
      </c>
      <c r="J89" s="28"/>
      <c r="K89" s="28"/>
    </row>
    <row r="90" customFormat="false" ht="15" hidden="false" customHeight="false" outlineLevel="0" collapsed="false">
      <c r="A90" s="32" t="str">
        <f aca="false">IF(COUNTA(B90,D90,E90,F90)=0,"",ROW()-4)</f>
        <v/>
      </c>
      <c r="B90" s="22"/>
      <c r="C90" s="28"/>
      <c r="D90" s="28"/>
      <c r="E90" s="18"/>
      <c r="F90" s="28"/>
      <c r="G90" s="32" t="str">
        <f aca="false">IF(F90="","",IFERROR(INDEX(請求台帳!$D$5:$D$504,MATCH(F90,請求台帳!$A$5:$A$504,0)),""))</f>
        <v/>
      </c>
      <c r="H90" s="26" t="str">
        <f aca="false">IF(F90="","",IFERROR(INDEX(請求台帳!$I$5:$I$504,MATCH(F90,請求台帳!$A$5:$A$504,0)),""))</f>
        <v/>
      </c>
      <c r="I90" s="29" t="str">
        <f aca="false">IF(COUNTA(B90,D90,E90,F90)=0,"",IF(OR(B90="",E90=""),"要入力",IF(F90="","未消込",IF(ISNA(MATCH(F90,請求台帳!$A$5:$A$504,0)),"番号誤り",IF(INDEX(請求台帳!$T$5:$T$504,MATCH(F90,請求台帳!$A$5:$A$504,0))="取消","取消請求へ消込","消込済")))))</f>
        <v/>
      </c>
      <c r="J90" s="28"/>
      <c r="K90" s="28"/>
    </row>
    <row r="91" customFormat="false" ht="15" hidden="false" customHeight="false" outlineLevel="0" collapsed="false">
      <c r="A91" s="32" t="str">
        <f aca="false">IF(COUNTA(B91,D91,E91,F91)=0,"",ROW()-4)</f>
        <v/>
      </c>
      <c r="B91" s="22"/>
      <c r="C91" s="28"/>
      <c r="D91" s="28"/>
      <c r="E91" s="18"/>
      <c r="F91" s="28"/>
      <c r="G91" s="32" t="str">
        <f aca="false">IF(F91="","",IFERROR(INDEX(請求台帳!$D$5:$D$504,MATCH(F91,請求台帳!$A$5:$A$504,0)),""))</f>
        <v/>
      </c>
      <c r="H91" s="26" t="str">
        <f aca="false">IF(F91="","",IFERROR(INDEX(請求台帳!$I$5:$I$504,MATCH(F91,請求台帳!$A$5:$A$504,0)),""))</f>
        <v/>
      </c>
      <c r="I91" s="29" t="str">
        <f aca="false">IF(COUNTA(B91,D91,E91,F91)=0,"",IF(OR(B91="",E91=""),"要入力",IF(F91="","未消込",IF(ISNA(MATCH(F91,請求台帳!$A$5:$A$504,0)),"番号誤り",IF(INDEX(請求台帳!$T$5:$T$504,MATCH(F91,請求台帳!$A$5:$A$504,0))="取消","取消請求へ消込","消込済")))))</f>
        <v/>
      </c>
      <c r="J91" s="28"/>
      <c r="K91" s="28"/>
    </row>
    <row r="92" customFormat="false" ht="15" hidden="false" customHeight="false" outlineLevel="0" collapsed="false">
      <c r="A92" s="32" t="str">
        <f aca="false">IF(COUNTA(B92,D92,E92,F92)=0,"",ROW()-4)</f>
        <v/>
      </c>
      <c r="B92" s="22"/>
      <c r="C92" s="28"/>
      <c r="D92" s="28"/>
      <c r="E92" s="18"/>
      <c r="F92" s="28"/>
      <c r="G92" s="32" t="str">
        <f aca="false">IF(F92="","",IFERROR(INDEX(請求台帳!$D$5:$D$504,MATCH(F92,請求台帳!$A$5:$A$504,0)),""))</f>
        <v/>
      </c>
      <c r="H92" s="26" t="str">
        <f aca="false">IF(F92="","",IFERROR(INDEX(請求台帳!$I$5:$I$504,MATCH(F92,請求台帳!$A$5:$A$504,0)),""))</f>
        <v/>
      </c>
      <c r="I92" s="29" t="str">
        <f aca="false">IF(COUNTA(B92,D92,E92,F92)=0,"",IF(OR(B92="",E92=""),"要入力",IF(F92="","未消込",IF(ISNA(MATCH(F92,請求台帳!$A$5:$A$504,0)),"番号誤り",IF(INDEX(請求台帳!$T$5:$T$504,MATCH(F92,請求台帳!$A$5:$A$504,0))="取消","取消請求へ消込","消込済")))))</f>
        <v/>
      </c>
      <c r="J92" s="28"/>
      <c r="K92" s="28"/>
    </row>
    <row r="93" customFormat="false" ht="15" hidden="false" customHeight="false" outlineLevel="0" collapsed="false">
      <c r="A93" s="32" t="str">
        <f aca="false">IF(COUNTA(B93,D93,E93,F93)=0,"",ROW()-4)</f>
        <v/>
      </c>
      <c r="B93" s="22"/>
      <c r="C93" s="28"/>
      <c r="D93" s="28"/>
      <c r="E93" s="18"/>
      <c r="F93" s="28"/>
      <c r="G93" s="32" t="str">
        <f aca="false">IF(F93="","",IFERROR(INDEX(請求台帳!$D$5:$D$504,MATCH(F93,請求台帳!$A$5:$A$504,0)),""))</f>
        <v/>
      </c>
      <c r="H93" s="26" t="str">
        <f aca="false">IF(F93="","",IFERROR(INDEX(請求台帳!$I$5:$I$504,MATCH(F93,請求台帳!$A$5:$A$504,0)),""))</f>
        <v/>
      </c>
      <c r="I93" s="29" t="str">
        <f aca="false">IF(COUNTA(B93,D93,E93,F93)=0,"",IF(OR(B93="",E93=""),"要入力",IF(F93="","未消込",IF(ISNA(MATCH(F93,請求台帳!$A$5:$A$504,0)),"番号誤り",IF(INDEX(請求台帳!$T$5:$T$504,MATCH(F93,請求台帳!$A$5:$A$504,0))="取消","取消請求へ消込","消込済")))))</f>
        <v/>
      </c>
      <c r="J93" s="28"/>
      <c r="K93" s="28"/>
    </row>
    <row r="94" customFormat="false" ht="15" hidden="false" customHeight="false" outlineLevel="0" collapsed="false">
      <c r="A94" s="32" t="str">
        <f aca="false">IF(COUNTA(B94,D94,E94,F94)=0,"",ROW()-4)</f>
        <v/>
      </c>
      <c r="B94" s="22"/>
      <c r="C94" s="28"/>
      <c r="D94" s="28"/>
      <c r="E94" s="18"/>
      <c r="F94" s="28"/>
      <c r="G94" s="32" t="str">
        <f aca="false">IF(F94="","",IFERROR(INDEX(請求台帳!$D$5:$D$504,MATCH(F94,請求台帳!$A$5:$A$504,0)),""))</f>
        <v/>
      </c>
      <c r="H94" s="26" t="str">
        <f aca="false">IF(F94="","",IFERROR(INDEX(請求台帳!$I$5:$I$504,MATCH(F94,請求台帳!$A$5:$A$504,0)),""))</f>
        <v/>
      </c>
      <c r="I94" s="29" t="str">
        <f aca="false">IF(COUNTA(B94,D94,E94,F94)=0,"",IF(OR(B94="",E94=""),"要入力",IF(F94="","未消込",IF(ISNA(MATCH(F94,請求台帳!$A$5:$A$504,0)),"番号誤り",IF(INDEX(請求台帳!$T$5:$T$504,MATCH(F94,請求台帳!$A$5:$A$504,0))="取消","取消請求へ消込","消込済")))))</f>
        <v/>
      </c>
      <c r="J94" s="28"/>
      <c r="K94" s="28"/>
    </row>
    <row r="95" customFormat="false" ht="15" hidden="false" customHeight="false" outlineLevel="0" collapsed="false">
      <c r="A95" s="32" t="str">
        <f aca="false">IF(COUNTA(B95,D95,E95,F95)=0,"",ROW()-4)</f>
        <v/>
      </c>
      <c r="B95" s="22"/>
      <c r="C95" s="28"/>
      <c r="D95" s="28"/>
      <c r="E95" s="18"/>
      <c r="F95" s="28"/>
      <c r="G95" s="32" t="str">
        <f aca="false">IF(F95="","",IFERROR(INDEX(請求台帳!$D$5:$D$504,MATCH(F95,請求台帳!$A$5:$A$504,0)),""))</f>
        <v/>
      </c>
      <c r="H95" s="26" t="str">
        <f aca="false">IF(F95="","",IFERROR(INDEX(請求台帳!$I$5:$I$504,MATCH(F95,請求台帳!$A$5:$A$504,0)),""))</f>
        <v/>
      </c>
      <c r="I95" s="29" t="str">
        <f aca="false">IF(COUNTA(B95,D95,E95,F95)=0,"",IF(OR(B95="",E95=""),"要入力",IF(F95="","未消込",IF(ISNA(MATCH(F95,請求台帳!$A$5:$A$504,0)),"番号誤り",IF(INDEX(請求台帳!$T$5:$T$504,MATCH(F95,請求台帳!$A$5:$A$504,0))="取消","取消請求へ消込","消込済")))))</f>
        <v/>
      </c>
      <c r="J95" s="28"/>
      <c r="K95" s="28"/>
    </row>
    <row r="96" customFormat="false" ht="15" hidden="false" customHeight="false" outlineLevel="0" collapsed="false">
      <c r="A96" s="32" t="str">
        <f aca="false">IF(COUNTA(B96,D96,E96,F96)=0,"",ROW()-4)</f>
        <v/>
      </c>
      <c r="B96" s="22"/>
      <c r="C96" s="28"/>
      <c r="D96" s="28"/>
      <c r="E96" s="18"/>
      <c r="F96" s="28"/>
      <c r="G96" s="32" t="str">
        <f aca="false">IF(F96="","",IFERROR(INDEX(請求台帳!$D$5:$D$504,MATCH(F96,請求台帳!$A$5:$A$504,0)),""))</f>
        <v/>
      </c>
      <c r="H96" s="26" t="str">
        <f aca="false">IF(F96="","",IFERROR(INDEX(請求台帳!$I$5:$I$504,MATCH(F96,請求台帳!$A$5:$A$504,0)),""))</f>
        <v/>
      </c>
      <c r="I96" s="29" t="str">
        <f aca="false">IF(COUNTA(B96,D96,E96,F96)=0,"",IF(OR(B96="",E96=""),"要入力",IF(F96="","未消込",IF(ISNA(MATCH(F96,請求台帳!$A$5:$A$504,0)),"番号誤り",IF(INDEX(請求台帳!$T$5:$T$504,MATCH(F96,請求台帳!$A$5:$A$504,0))="取消","取消請求へ消込","消込済")))))</f>
        <v/>
      </c>
      <c r="J96" s="28"/>
      <c r="K96" s="28"/>
    </row>
    <row r="97" customFormat="false" ht="15" hidden="false" customHeight="false" outlineLevel="0" collapsed="false">
      <c r="A97" s="32" t="str">
        <f aca="false">IF(COUNTA(B97,D97,E97,F97)=0,"",ROW()-4)</f>
        <v/>
      </c>
      <c r="B97" s="22"/>
      <c r="C97" s="28"/>
      <c r="D97" s="28"/>
      <c r="E97" s="18"/>
      <c r="F97" s="28"/>
      <c r="G97" s="32" t="str">
        <f aca="false">IF(F97="","",IFERROR(INDEX(請求台帳!$D$5:$D$504,MATCH(F97,請求台帳!$A$5:$A$504,0)),""))</f>
        <v/>
      </c>
      <c r="H97" s="26" t="str">
        <f aca="false">IF(F97="","",IFERROR(INDEX(請求台帳!$I$5:$I$504,MATCH(F97,請求台帳!$A$5:$A$504,0)),""))</f>
        <v/>
      </c>
      <c r="I97" s="29" t="str">
        <f aca="false">IF(COUNTA(B97,D97,E97,F97)=0,"",IF(OR(B97="",E97=""),"要入力",IF(F97="","未消込",IF(ISNA(MATCH(F97,請求台帳!$A$5:$A$504,0)),"番号誤り",IF(INDEX(請求台帳!$T$5:$T$504,MATCH(F97,請求台帳!$A$5:$A$504,0))="取消","取消請求へ消込","消込済")))))</f>
        <v/>
      </c>
      <c r="J97" s="28"/>
      <c r="K97" s="28"/>
    </row>
    <row r="98" customFormat="false" ht="15" hidden="false" customHeight="false" outlineLevel="0" collapsed="false">
      <c r="A98" s="32" t="str">
        <f aca="false">IF(COUNTA(B98,D98,E98,F98)=0,"",ROW()-4)</f>
        <v/>
      </c>
      <c r="B98" s="22"/>
      <c r="C98" s="28"/>
      <c r="D98" s="28"/>
      <c r="E98" s="18"/>
      <c r="F98" s="28"/>
      <c r="G98" s="32" t="str">
        <f aca="false">IF(F98="","",IFERROR(INDEX(請求台帳!$D$5:$D$504,MATCH(F98,請求台帳!$A$5:$A$504,0)),""))</f>
        <v/>
      </c>
      <c r="H98" s="26" t="str">
        <f aca="false">IF(F98="","",IFERROR(INDEX(請求台帳!$I$5:$I$504,MATCH(F98,請求台帳!$A$5:$A$504,0)),""))</f>
        <v/>
      </c>
      <c r="I98" s="29" t="str">
        <f aca="false">IF(COUNTA(B98,D98,E98,F98)=0,"",IF(OR(B98="",E98=""),"要入力",IF(F98="","未消込",IF(ISNA(MATCH(F98,請求台帳!$A$5:$A$504,0)),"番号誤り",IF(INDEX(請求台帳!$T$5:$T$504,MATCH(F98,請求台帳!$A$5:$A$504,0))="取消","取消請求へ消込","消込済")))))</f>
        <v/>
      </c>
      <c r="J98" s="28"/>
      <c r="K98" s="28"/>
    </row>
    <row r="99" customFormat="false" ht="15" hidden="false" customHeight="false" outlineLevel="0" collapsed="false">
      <c r="A99" s="32" t="str">
        <f aca="false">IF(COUNTA(B99,D99,E99,F99)=0,"",ROW()-4)</f>
        <v/>
      </c>
      <c r="B99" s="22"/>
      <c r="C99" s="28"/>
      <c r="D99" s="28"/>
      <c r="E99" s="18"/>
      <c r="F99" s="28"/>
      <c r="G99" s="32" t="str">
        <f aca="false">IF(F99="","",IFERROR(INDEX(請求台帳!$D$5:$D$504,MATCH(F99,請求台帳!$A$5:$A$504,0)),""))</f>
        <v/>
      </c>
      <c r="H99" s="26" t="str">
        <f aca="false">IF(F99="","",IFERROR(INDEX(請求台帳!$I$5:$I$504,MATCH(F99,請求台帳!$A$5:$A$504,0)),""))</f>
        <v/>
      </c>
      <c r="I99" s="29" t="str">
        <f aca="false">IF(COUNTA(B99,D99,E99,F99)=0,"",IF(OR(B99="",E99=""),"要入力",IF(F99="","未消込",IF(ISNA(MATCH(F99,請求台帳!$A$5:$A$504,0)),"番号誤り",IF(INDEX(請求台帳!$T$5:$T$504,MATCH(F99,請求台帳!$A$5:$A$504,0))="取消","取消請求へ消込","消込済")))))</f>
        <v/>
      </c>
      <c r="J99" s="28"/>
      <c r="K99" s="28"/>
    </row>
    <row r="100" customFormat="false" ht="15" hidden="false" customHeight="false" outlineLevel="0" collapsed="false">
      <c r="A100" s="32" t="str">
        <f aca="false">IF(COUNTA(B100,D100,E100,F100)=0,"",ROW()-4)</f>
        <v/>
      </c>
      <c r="B100" s="22"/>
      <c r="C100" s="28"/>
      <c r="D100" s="28"/>
      <c r="E100" s="18"/>
      <c r="F100" s="28"/>
      <c r="G100" s="32" t="str">
        <f aca="false">IF(F100="","",IFERROR(INDEX(請求台帳!$D$5:$D$504,MATCH(F100,請求台帳!$A$5:$A$504,0)),""))</f>
        <v/>
      </c>
      <c r="H100" s="26" t="str">
        <f aca="false">IF(F100="","",IFERROR(INDEX(請求台帳!$I$5:$I$504,MATCH(F100,請求台帳!$A$5:$A$504,0)),""))</f>
        <v/>
      </c>
      <c r="I100" s="29" t="str">
        <f aca="false">IF(COUNTA(B100,D100,E100,F100)=0,"",IF(OR(B100="",E100=""),"要入力",IF(F100="","未消込",IF(ISNA(MATCH(F100,請求台帳!$A$5:$A$504,0)),"番号誤り",IF(INDEX(請求台帳!$T$5:$T$504,MATCH(F100,請求台帳!$A$5:$A$504,0))="取消","取消請求へ消込","消込済")))))</f>
        <v/>
      </c>
      <c r="J100" s="28"/>
      <c r="K100" s="28"/>
    </row>
    <row r="101" customFormat="false" ht="15" hidden="false" customHeight="false" outlineLevel="0" collapsed="false">
      <c r="A101" s="32" t="str">
        <f aca="false">IF(COUNTA(B101,D101,E101,F101)=0,"",ROW()-4)</f>
        <v/>
      </c>
      <c r="B101" s="22"/>
      <c r="C101" s="28"/>
      <c r="D101" s="28"/>
      <c r="E101" s="18"/>
      <c r="F101" s="28"/>
      <c r="G101" s="32" t="str">
        <f aca="false">IF(F101="","",IFERROR(INDEX(請求台帳!$D$5:$D$504,MATCH(F101,請求台帳!$A$5:$A$504,0)),""))</f>
        <v/>
      </c>
      <c r="H101" s="26" t="str">
        <f aca="false">IF(F101="","",IFERROR(INDEX(請求台帳!$I$5:$I$504,MATCH(F101,請求台帳!$A$5:$A$504,0)),""))</f>
        <v/>
      </c>
      <c r="I101" s="29" t="str">
        <f aca="false">IF(COUNTA(B101,D101,E101,F101)=0,"",IF(OR(B101="",E101=""),"要入力",IF(F101="","未消込",IF(ISNA(MATCH(F101,請求台帳!$A$5:$A$504,0)),"番号誤り",IF(INDEX(請求台帳!$T$5:$T$504,MATCH(F101,請求台帳!$A$5:$A$504,0))="取消","取消請求へ消込","消込済")))))</f>
        <v/>
      </c>
      <c r="J101" s="28"/>
      <c r="K101" s="28"/>
    </row>
    <row r="102" customFormat="false" ht="15" hidden="false" customHeight="false" outlineLevel="0" collapsed="false">
      <c r="A102" s="32" t="str">
        <f aca="false">IF(COUNTA(B102,D102,E102,F102)=0,"",ROW()-4)</f>
        <v/>
      </c>
      <c r="B102" s="22"/>
      <c r="C102" s="28"/>
      <c r="D102" s="28"/>
      <c r="E102" s="18"/>
      <c r="F102" s="28"/>
      <c r="G102" s="32" t="str">
        <f aca="false">IF(F102="","",IFERROR(INDEX(請求台帳!$D$5:$D$504,MATCH(F102,請求台帳!$A$5:$A$504,0)),""))</f>
        <v/>
      </c>
      <c r="H102" s="26" t="str">
        <f aca="false">IF(F102="","",IFERROR(INDEX(請求台帳!$I$5:$I$504,MATCH(F102,請求台帳!$A$5:$A$504,0)),""))</f>
        <v/>
      </c>
      <c r="I102" s="29" t="str">
        <f aca="false">IF(COUNTA(B102,D102,E102,F102)=0,"",IF(OR(B102="",E102=""),"要入力",IF(F102="","未消込",IF(ISNA(MATCH(F102,請求台帳!$A$5:$A$504,0)),"番号誤り",IF(INDEX(請求台帳!$T$5:$T$504,MATCH(F102,請求台帳!$A$5:$A$504,0))="取消","取消請求へ消込","消込済")))))</f>
        <v/>
      </c>
      <c r="J102" s="28"/>
      <c r="K102" s="28"/>
    </row>
    <row r="103" customFormat="false" ht="15" hidden="false" customHeight="false" outlineLevel="0" collapsed="false">
      <c r="A103" s="32" t="str">
        <f aca="false">IF(COUNTA(B103,D103,E103,F103)=0,"",ROW()-4)</f>
        <v/>
      </c>
      <c r="B103" s="22"/>
      <c r="C103" s="28"/>
      <c r="D103" s="28"/>
      <c r="E103" s="18"/>
      <c r="F103" s="28"/>
      <c r="G103" s="32" t="str">
        <f aca="false">IF(F103="","",IFERROR(INDEX(請求台帳!$D$5:$D$504,MATCH(F103,請求台帳!$A$5:$A$504,0)),""))</f>
        <v/>
      </c>
      <c r="H103" s="26" t="str">
        <f aca="false">IF(F103="","",IFERROR(INDEX(請求台帳!$I$5:$I$504,MATCH(F103,請求台帳!$A$5:$A$504,0)),""))</f>
        <v/>
      </c>
      <c r="I103" s="29" t="str">
        <f aca="false">IF(COUNTA(B103,D103,E103,F103)=0,"",IF(OR(B103="",E103=""),"要入力",IF(F103="","未消込",IF(ISNA(MATCH(F103,請求台帳!$A$5:$A$504,0)),"番号誤り",IF(INDEX(請求台帳!$T$5:$T$504,MATCH(F103,請求台帳!$A$5:$A$504,0))="取消","取消請求へ消込","消込済")))))</f>
        <v/>
      </c>
      <c r="J103" s="28"/>
      <c r="K103" s="28"/>
    </row>
    <row r="104" customFormat="false" ht="15" hidden="false" customHeight="false" outlineLevel="0" collapsed="false">
      <c r="A104" s="32" t="str">
        <f aca="false">IF(COUNTA(B104,D104,E104,F104)=0,"",ROW()-4)</f>
        <v/>
      </c>
      <c r="B104" s="22"/>
      <c r="C104" s="28"/>
      <c r="D104" s="28"/>
      <c r="E104" s="18"/>
      <c r="F104" s="28"/>
      <c r="G104" s="32" t="str">
        <f aca="false">IF(F104="","",IFERROR(INDEX(請求台帳!$D$5:$D$504,MATCH(F104,請求台帳!$A$5:$A$504,0)),""))</f>
        <v/>
      </c>
      <c r="H104" s="26" t="str">
        <f aca="false">IF(F104="","",IFERROR(INDEX(請求台帳!$I$5:$I$504,MATCH(F104,請求台帳!$A$5:$A$504,0)),""))</f>
        <v/>
      </c>
      <c r="I104" s="29" t="str">
        <f aca="false">IF(COUNTA(B104,D104,E104,F104)=0,"",IF(OR(B104="",E104=""),"要入力",IF(F104="","未消込",IF(ISNA(MATCH(F104,請求台帳!$A$5:$A$504,0)),"番号誤り",IF(INDEX(請求台帳!$T$5:$T$504,MATCH(F104,請求台帳!$A$5:$A$504,0))="取消","取消請求へ消込","消込済")))))</f>
        <v/>
      </c>
      <c r="J104" s="28"/>
      <c r="K104" s="28"/>
    </row>
    <row r="105" customFormat="false" ht="15" hidden="false" customHeight="false" outlineLevel="0" collapsed="false">
      <c r="A105" s="32" t="str">
        <f aca="false">IF(COUNTA(B105,D105,E105,F105)=0,"",ROW()-4)</f>
        <v/>
      </c>
      <c r="B105" s="22"/>
      <c r="C105" s="28"/>
      <c r="D105" s="28"/>
      <c r="E105" s="18"/>
      <c r="F105" s="28"/>
      <c r="G105" s="32" t="str">
        <f aca="false">IF(F105="","",IFERROR(INDEX(請求台帳!$D$5:$D$504,MATCH(F105,請求台帳!$A$5:$A$504,0)),""))</f>
        <v/>
      </c>
      <c r="H105" s="26" t="str">
        <f aca="false">IF(F105="","",IFERROR(INDEX(請求台帳!$I$5:$I$504,MATCH(F105,請求台帳!$A$5:$A$504,0)),""))</f>
        <v/>
      </c>
      <c r="I105" s="29" t="str">
        <f aca="false">IF(COUNTA(B105,D105,E105,F105)=0,"",IF(OR(B105="",E105=""),"要入力",IF(F105="","未消込",IF(ISNA(MATCH(F105,請求台帳!$A$5:$A$504,0)),"番号誤り",IF(INDEX(請求台帳!$T$5:$T$504,MATCH(F105,請求台帳!$A$5:$A$504,0))="取消","取消請求へ消込","消込済")))))</f>
        <v/>
      </c>
      <c r="J105" s="28"/>
      <c r="K105" s="28"/>
    </row>
    <row r="106" customFormat="false" ht="15" hidden="false" customHeight="false" outlineLevel="0" collapsed="false">
      <c r="A106" s="32" t="str">
        <f aca="false">IF(COUNTA(B106,D106,E106,F106)=0,"",ROW()-4)</f>
        <v/>
      </c>
      <c r="B106" s="22"/>
      <c r="C106" s="28"/>
      <c r="D106" s="28"/>
      <c r="E106" s="18"/>
      <c r="F106" s="28"/>
      <c r="G106" s="32" t="str">
        <f aca="false">IF(F106="","",IFERROR(INDEX(請求台帳!$D$5:$D$504,MATCH(F106,請求台帳!$A$5:$A$504,0)),""))</f>
        <v/>
      </c>
      <c r="H106" s="26" t="str">
        <f aca="false">IF(F106="","",IFERROR(INDEX(請求台帳!$I$5:$I$504,MATCH(F106,請求台帳!$A$5:$A$504,0)),""))</f>
        <v/>
      </c>
      <c r="I106" s="29" t="str">
        <f aca="false">IF(COUNTA(B106,D106,E106,F106)=0,"",IF(OR(B106="",E106=""),"要入力",IF(F106="","未消込",IF(ISNA(MATCH(F106,請求台帳!$A$5:$A$504,0)),"番号誤り",IF(INDEX(請求台帳!$T$5:$T$504,MATCH(F106,請求台帳!$A$5:$A$504,0))="取消","取消請求へ消込","消込済")))))</f>
        <v/>
      </c>
      <c r="J106" s="28"/>
      <c r="K106" s="28"/>
    </row>
    <row r="107" customFormat="false" ht="15" hidden="false" customHeight="false" outlineLevel="0" collapsed="false">
      <c r="A107" s="32" t="str">
        <f aca="false">IF(COUNTA(B107,D107,E107,F107)=0,"",ROW()-4)</f>
        <v/>
      </c>
      <c r="B107" s="22"/>
      <c r="C107" s="28"/>
      <c r="D107" s="28"/>
      <c r="E107" s="18"/>
      <c r="F107" s="28"/>
      <c r="G107" s="32" t="str">
        <f aca="false">IF(F107="","",IFERROR(INDEX(請求台帳!$D$5:$D$504,MATCH(F107,請求台帳!$A$5:$A$504,0)),""))</f>
        <v/>
      </c>
      <c r="H107" s="26" t="str">
        <f aca="false">IF(F107="","",IFERROR(INDEX(請求台帳!$I$5:$I$504,MATCH(F107,請求台帳!$A$5:$A$504,0)),""))</f>
        <v/>
      </c>
      <c r="I107" s="29" t="str">
        <f aca="false">IF(COUNTA(B107,D107,E107,F107)=0,"",IF(OR(B107="",E107=""),"要入力",IF(F107="","未消込",IF(ISNA(MATCH(F107,請求台帳!$A$5:$A$504,0)),"番号誤り",IF(INDEX(請求台帳!$T$5:$T$504,MATCH(F107,請求台帳!$A$5:$A$504,0))="取消","取消請求へ消込","消込済")))))</f>
        <v/>
      </c>
      <c r="J107" s="28"/>
      <c r="K107" s="28"/>
    </row>
    <row r="108" customFormat="false" ht="15" hidden="false" customHeight="false" outlineLevel="0" collapsed="false">
      <c r="A108" s="32" t="str">
        <f aca="false">IF(COUNTA(B108,D108,E108,F108)=0,"",ROW()-4)</f>
        <v/>
      </c>
      <c r="B108" s="22"/>
      <c r="C108" s="28"/>
      <c r="D108" s="28"/>
      <c r="E108" s="18"/>
      <c r="F108" s="28"/>
      <c r="G108" s="32" t="str">
        <f aca="false">IF(F108="","",IFERROR(INDEX(請求台帳!$D$5:$D$504,MATCH(F108,請求台帳!$A$5:$A$504,0)),""))</f>
        <v/>
      </c>
      <c r="H108" s="26" t="str">
        <f aca="false">IF(F108="","",IFERROR(INDEX(請求台帳!$I$5:$I$504,MATCH(F108,請求台帳!$A$5:$A$504,0)),""))</f>
        <v/>
      </c>
      <c r="I108" s="29" t="str">
        <f aca="false">IF(COUNTA(B108,D108,E108,F108)=0,"",IF(OR(B108="",E108=""),"要入力",IF(F108="","未消込",IF(ISNA(MATCH(F108,請求台帳!$A$5:$A$504,0)),"番号誤り",IF(INDEX(請求台帳!$T$5:$T$504,MATCH(F108,請求台帳!$A$5:$A$504,0))="取消","取消請求へ消込","消込済")))))</f>
        <v/>
      </c>
      <c r="J108" s="28"/>
      <c r="K108" s="28"/>
    </row>
    <row r="109" customFormat="false" ht="15" hidden="false" customHeight="false" outlineLevel="0" collapsed="false">
      <c r="A109" s="32" t="str">
        <f aca="false">IF(COUNTA(B109,D109,E109,F109)=0,"",ROW()-4)</f>
        <v/>
      </c>
      <c r="B109" s="22"/>
      <c r="C109" s="28"/>
      <c r="D109" s="28"/>
      <c r="E109" s="18"/>
      <c r="F109" s="28"/>
      <c r="G109" s="32" t="str">
        <f aca="false">IF(F109="","",IFERROR(INDEX(請求台帳!$D$5:$D$504,MATCH(F109,請求台帳!$A$5:$A$504,0)),""))</f>
        <v/>
      </c>
      <c r="H109" s="26" t="str">
        <f aca="false">IF(F109="","",IFERROR(INDEX(請求台帳!$I$5:$I$504,MATCH(F109,請求台帳!$A$5:$A$504,0)),""))</f>
        <v/>
      </c>
      <c r="I109" s="29" t="str">
        <f aca="false">IF(COUNTA(B109,D109,E109,F109)=0,"",IF(OR(B109="",E109=""),"要入力",IF(F109="","未消込",IF(ISNA(MATCH(F109,請求台帳!$A$5:$A$504,0)),"番号誤り",IF(INDEX(請求台帳!$T$5:$T$504,MATCH(F109,請求台帳!$A$5:$A$504,0))="取消","取消請求へ消込","消込済")))))</f>
        <v/>
      </c>
      <c r="J109" s="28"/>
      <c r="K109" s="28"/>
    </row>
    <row r="110" customFormat="false" ht="15" hidden="false" customHeight="false" outlineLevel="0" collapsed="false">
      <c r="A110" s="32" t="str">
        <f aca="false">IF(COUNTA(B110,D110,E110,F110)=0,"",ROW()-4)</f>
        <v/>
      </c>
      <c r="B110" s="22"/>
      <c r="C110" s="28"/>
      <c r="D110" s="28"/>
      <c r="E110" s="18"/>
      <c r="F110" s="28"/>
      <c r="G110" s="32" t="str">
        <f aca="false">IF(F110="","",IFERROR(INDEX(請求台帳!$D$5:$D$504,MATCH(F110,請求台帳!$A$5:$A$504,0)),""))</f>
        <v/>
      </c>
      <c r="H110" s="26" t="str">
        <f aca="false">IF(F110="","",IFERROR(INDEX(請求台帳!$I$5:$I$504,MATCH(F110,請求台帳!$A$5:$A$504,0)),""))</f>
        <v/>
      </c>
      <c r="I110" s="29" t="str">
        <f aca="false">IF(COUNTA(B110,D110,E110,F110)=0,"",IF(OR(B110="",E110=""),"要入力",IF(F110="","未消込",IF(ISNA(MATCH(F110,請求台帳!$A$5:$A$504,0)),"番号誤り",IF(INDEX(請求台帳!$T$5:$T$504,MATCH(F110,請求台帳!$A$5:$A$504,0))="取消","取消請求へ消込","消込済")))))</f>
        <v/>
      </c>
      <c r="J110" s="28"/>
      <c r="K110" s="28"/>
    </row>
    <row r="111" customFormat="false" ht="15" hidden="false" customHeight="false" outlineLevel="0" collapsed="false">
      <c r="A111" s="32" t="str">
        <f aca="false">IF(COUNTA(B111,D111,E111,F111)=0,"",ROW()-4)</f>
        <v/>
      </c>
      <c r="B111" s="22"/>
      <c r="C111" s="28"/>
      <c r="D111" s="28"/>
      <c r="E111" s="18"/>
      <c r="F111" s="28"/>
      <c r="G111" s="32" t="str">
        <f aca="false">IF(F111="","",IFERROR(INDEX(請求台帳!$D$5:$D$504,MATCH(F111,請求台帳!$A$5:$A$504,0)),""))</f>
        <v/>
      </c>
      <c r="H111" s="26" t="str">
        <f aca="false">IF(F111="","",IFERROR(INDEX(請求台帳!$I$5:$I$504,MATCH(F111,請求台帳!$A$5:$A$504,0)),""))</f>
        <v/>
      </c>
      <c r="I111" s="29" t="str">
        <f aca="false">IF(COUNTA(B111,D111,E111,F111)=0,"",IF(OR(B111="",E111=""),"要入力",IF(F111="","未消込",IF(ISNA(MATCH(F111,請求台帳!$A$5:$A$504,0)),"番号誤り",IF(INDEX(請求台帳!$T$5:$T$504,MATCH(F111,請求台帳!$A$5:$A$504,0))="取消","取消請求へ消込","消込済")))))</f>
        <v/>
      </c>
      <c r="J111" s="28"/>
      <c r="K111" s="28"/>
    </row>
    <row r="112" customFormat="false" ht="15" hidden="false" customHeight="false" outlineLevel="0" collapsed="false">
      <c r="A112" s="32" t="str">
        <f aca="false">IF(COUNTA(B112,D112,E112,F112)=0,"",ROW()-4)</f>
        <v/>
      </c>
      <c r="B112" s="22"/>
      <c r="C112" s="28"/>
      <c r="D112" s="28"/>
      <c r="E112" s="18"/>
      <c r="F112" s="28"/>
      <c r="G112" s="32" t="str">
        <f aca="false">IF(F112="","",IFERROR(INDEX(請求台帳!$D$5:$D$504,MATCH(F112,請求台帳!$A$5:$A$504,0)),""))</f>
        <v/>
      </c>
      <c r="H112" s="26" t="str">
        <f aca="false">IF(F112="","",IFERROR(INDEX(請求台帳!$I$5:$I$504,MATCH(F112,請求台帳!$A$5:$A$504,0)),""))</f>
        <v/>
      </c>
      <c r="I112" s="29" t="str">
        <f aca="false">IF(COUNTA(B112,D112,E112,F112)=0,"",IF(OR(B112="",E112=""),"要入力",IF(F112="","未消込",IF(ISNA(MATCH(F112,請求台帳!$A$5:$A$504,0)),"番号誤り",IF(INDEX(請求台帳!$T$5:$T$504,MATCH(F112,請求台帳!$A$5:$A$504,0))="取消","取消請求へ消込","消込済")))))</f>
        <v/>
      </c>
      <c r="J112" s="28"/>
      <c r="K112" s="28"/>
    </row>
    <row r="113" customFormat="false" ht="15" hidden="false" customHeight="false" outlineLevel="0" collapsed="false">
      <c r="A113" s="32" t="str">
        <f aca="false">IF(COUNTA(B113,D113,E113,F113)=0,"",ROW()-4)</f>
        <v/>
      </c>
      <c r="B113" s="22"/>
      <c r="C113" s="28"/>
      <c r="D113" s="28"/>
      <c r="E113" s="18"/>
      <c r="F113" s="28"/>
      <c r="G113" s="32" t="str">
        <f aca="false">IF(F113="","",IFERROR(INDEX(請求台帳!$D$5:$D$504,MATCH(F113,請求台帳!$A$5:$A$504,0)),""))</f>
        <v/>
      </c>
      <c r="H113" s="26" t="str">
        <f aca="false">IF(F113="","",IFERROR(INDEX(請求台帳!$I$5:$I$504,MATCH(F113,請求台帳!$A$5:$A$504,0)),""))</f>
        <v/>
      </c>
      <c r="I113" s="29" t="str">
        <f aca="false">IF(COUNTA(B113,D113,E113,F113)=0,"",IF(OR(B113="",E113=""),"要入力",IF(F113="","未消込",IF(ISNA(MATCH(F113,請求台帳!$A$5:$A$504,0)),"番号誤り",IF(INDEX(請求台帳!$T$5:$T$504,MATCH(F113,請求台帳!$A$5:$A$504,0))="取消","取消請求へ消込","消込済")))))</f>
        <v/>
      </c>
      <c r="J113" s="28"/>
      <c r="K113" s="28"/>
    </row>
    <row r="114" customFormat="false" ht="15" hidden="false" customHeight="false" outlineLevel="0" collapsed="false">
      <c r="A114" s="32" t="str">
        <f aca="false">IF(COUNTA(B114,D114,E114,F114)=0,"",ROW()-4)</f>
        <v/>
      </c>
      <c r="B114" s="22"/>
      <c r="C114" s="28"/>
      <c r="D114" s="28"/>
      <c r="E114" s="18"/>
      <c r="F114" s="28"/>
      <c r="G114" s="32" t="str">
        <f aca="false">IF(F114="","",IFERROR(INDEX(請求台帳!$D$5:$D$504,MATCH(F114,請求台帳!$A$5:$A$504,0)),""))</f>
        <v/>
      </c>
      <c r="H114" s="26" t="str">
        <f aca="false">IF(F114="","",IFERROR(INDEX(請求台帳!$I$5:$I$504,MATCH(F114,請求台帳!$A$5:$A$504,0)),""))</f>
        <v/>
      </c>
      <c r="I114" s="29" t="str">
        <f aca="false">IF(COUNTA(B114,D114,E114,F114)=0,"",IF(OR(B114="",E114=""),"要入力",IF(F114="","未消込",IF(ISNA(MATCH(F114,請求台帳!$A$5:$A$504,0)),"番号誤り",IF(INDEX(請求台帳!$T$5:$T$504,MATCH(F114,請求台帳!$A$5:$A$504,0))="取消","取消請求へ消込","消込済")))))</f>
        <v/>
      </c>
      <c r="J114" s="28"/>
      <c r="K114" s="28"/>
    </row>
    <row r="115" customFormat="false" ht="15" hidden="false" customHeight="false" outlineLevel="0" collapsed="false">
      <c r="A115" s="32" t="str">
        <f aca="false">IF(COUNTA(B115,D115,E115,F115)=0,"",ROW()-4)</f>
        <v/>
      </c>
      <c r="B115" s="22"/>
      <c r="C115" s="28"/>
      <c r="D115" s="28"/>
      <c r="E115" s="18"/>
      <c r="F115" s="28"/>
      <c r="G115" s="32" t="str">
        <f aca="false">IF(F115="","",IFERROR(INDEX(請求台帳!$D$5:$D$504,MATCH(F115,請求台帳!$A$5:$A$504,0)),""))</f>
        <v/>
      </c>
      <c r="H115" s="26" t="str">
        <f aca="false">IF(F115="","",IFERROR(INDEX(請求台帳!$I$5:$I$504,MATCH(F115,請求台帳!$A$5:$A$504,0)),""))</f>
        <v/>
      </c>
      <c r="I115" s="29" t="str">
        <f aca="false">IF(COUNTA(B115,D115,E115,F115)=0,"",IF(OR(B115="",E115=""),"要入力",IF(F115="","未消込",IF(ISNA(MATCH(F115,請求台帳!$A$5:$A$504,0)),"番号誤り",IF(INDEX(請求台帳!$T$5:$T$504,MATCH(F115,請求台帳!$A$5:$A$504,0))="取消","取消請求へ消込","消込済")))))</f>
        <v/>
      </c>
      <c r="J115" s="28"/>
      <c r="K115" s="28"/>
    </row>
    <row r="116" customFormat="false" ht="15" hidden="false" customHeight="false" outlineLevel="0" collapsed="false">
      <c r="A116" s="32" t="str">
        <f aca="false">IF(COUNTA(B116,D116,E116,F116)=0,"",ROW()-4)</f>
        <v/>
      </c>
      <c r="B116" s="22"/>
      <c r="C116" s="28"/>
      <c r="D116" s="28"/>
      <c r="E116" s="18"/>
      <c r="F116" s="28"/>
      <c r="G116" s="32" t="str">
        <f aca="false">IF(F116="","",IFERROR(INDEX(請求台帳!$D$5:$D$504,MATCH(F116,請求台帳!$A$5:$A$504,0)),""))</f>
        <v/>
      </c>
      <c r="H116" s="26" t="str">
        <f aca="false">IF(F116="","",IFERROR(INDEX(請求台帳!$I$5:$I$504,MATCH(F116,請求台帳!$A$5:$A$504,0)),""))</f>
        <v/>
      </c>
      <c r="I116" s="29" t="str">
        <f aca="false">IF(COUNTA(B116,D116,E116,F116)=0,"",IF(OR(B116="",E116=""),"要入力",IF(F116="","未消込",IF(ISNA(MATCH(F116,請求台帳!$A$5:$A$504,0)),"番号誤り",IF(INDEX(請求台帳!$T$5:$T$504,MATCH(F116,請求台帳!$A$5:$A$504,0))="取消","取消請求へ消込","消込済")))))</f>
        <v/>
      </c>
      <c r="J116" s="28"/>
      <c r="K116" s="28"/>
    </row>
    <row r="117" customFormat="false" ht="15" hidden="false" customHeight="false" outlineLevel="0" collapsed="false">
      <c r="A117" s="32" t="str">
        <f aca="false">IF(COUNTA(B117,D117,E117,F117)=0,"",ROW()-4)</f>
        <v/>
      </c>
      <c r="B117" s="22"/>
      <c r="C117" s="28"/>
      <c r="D117" s="28"/>
      <c r="E117" s="18"/>
      <c r="F117" s="28"/>
      <c r="G117" s="32" t="str">
        <f aca="false">IF(F117="","",IFERROR(INDEX(請求台帳!$D$5:$D$504,MATCH(F117,請求台帳!$A$5:$A$504,0)),""))</f>
        <v/>
      </c>
      <c r="H117" s="26" t="str">
        <f aca="false">IF(F117="","",IFERROR(INDEX(請求台帳!$I$5:$I$504,MATCH(F117,請求台帳!$A$5:$A$504,0)),""))</f>
        <v/>
      </c>
      <c r="I117" s="29" t="str">
        <f aca="false">IF(COUNTA(B117,D117,E117,F117)=0,"",IF(OR(B117="",E117=""),"要入力",IF(F117="","未消込",IF(ISNA(MATCH(F117,請求台帳!$A$5:$A$504,0)),"番号誤り",IF(INDEX(請求台帳!$T$5:$T$504,MATCH(F117,請求台帳!$A$5:$A$504,0))="取消","取消請求へ消込","消込済")))))</f>
        <v/>
      </c>
      <c r="J117" s="28"/>
      <c r="K117" s="28"/>
    </row>
    <row r="118" customFormat="false" ht="15" hidden="false" customHeight="false" outlineLevel="0" collapsed="false">
      <c r="A118" s="32" t="str">
        <f aca="false">IF(COUNTA(B118,D118,E118,F118)=0,"",ROW()-4)</f>
        <v/>
      </c>
      <c r="B118" s="22"/>
      <c r="C118" s="28"/>
      <c r="D118" s="28"/>
      <c r="E118" s="18"/>
      <c r="F118" s="28"/>
      <c r="G118" s="32" t="str">
        <f aca="false">IF(F118="","",IFERROR(INDEX(請求台帳!$D$5:$D$504,MATCH(F118,請求台帳!$A$5:$A$504,0)),""))</f>
        <v/>
      </c>
      <c r="H118" s="26" t="str">
        <f aca="false">IF(F118="","",IFERROR(INDEX(請求台帳!$I$5:$I$504,MATCH(F118,請求台帳!$A$5:$A$504,0)),""))</f>
        <v/>
      </c>
      <c r="I118" s="29" t="str">
        <f aca="false">IF(COUNTA(B118,D118,E118,F118)=0,"",IF(OR(B118="",E118=""),"要入力",IF(F118="","未消込",IF(ISNA(MATCH(F118,請求台帳!$A$5:$A$504,0)),"番号誤り",IF(INDEX(請求台帳!$T$5:$T$504,MATCH(F118,請求台帳!$A$5:$A$504,0))="取消","取消請求へ消込","消込済")))))</f>
        <v/>
      </c>
      <c r="J118" s="28"/>
      <c r="K118" s="28"/>
    </row>
    <row r="119" customFormat="false" ht="15" hidden="false" customHeight="false" outlineLevel="0" collapsed="false">
      <c r="A119" s="32" t="str">
        <f aca="false">IF(COUNTA(B119,D119,E119,F119)=0,"",ROW()-4)</f>
        <v/>
      </c>
      <c r="B119" s="22"/>
      <c r="C119" s="28"/>
      <c r="D119" s="28"/>
      <c r="E119" s="18"/>
      <c r="F119" s="28"/>
      <c r="G119" s="32" t="str">
        <f aca="false">IF(F119="","",IFERROR(INDEX(請求台帳!$D$5:$D$504,MATCH(F119,請求台帳!$A$5:$A$504,0)),""))</f>
        <v/>
      </c>
      <c r="H119" s="26" t="str">
        <f aca="false">IF(F119="","",IFERROR(INDEX(請求台帳!$I$5:$I$504,MATCH(F119,請求台帳!$A$5:$A$504,0)),""))</f>
        <v/>
      </c>
      <c r="I119" s="29" t="str">
        <f aca="false">IF(COUNTA(B119,D119,E119,F119)=0,"",IF(OR(B119="",E119=""),"要入力",IF(F119="","未消込",IF(ISNA(MATCH(F119,請求台帳!$A$5:$A$504,0)),"番号誤り",IF(INDEX(請求台帳!$T$5:$T$504,MATCH(F119,請求台帳!$A$5:$A$504,0))="取消","取消請求へ消込","消込済")))))</f>
        <v/>
      </c>
      <c r="J119" s="28"/>
      <c r="K119" s="28"/>
    </row>
    <row r="120" customFormat="false" ht="15" hidden="false" customHeight="false" outlineLevel="0" collapsed="false">
      <c r="A120" s="32" t="str">
        <f aca="false">IF(COUNTA(B120,D120,E120,F120)=0,"",ROW()-4)</f>
        <v/>
      </c>
      <c r="B120" s="22"/>
      <c r="C120" s="28"/>
      <c r="D120" s="28"/>
      <c r="E120" s="18"/>
      <c r="F120" s="28"/>
      <c r="G120" s="32" t="str">
        <f aca="false">IF(F120="","",IFERROR(INDEX(請求台帳!$D$5:$D$504,MATCH(F120,請求台帳!$A$5:$A$504,0)),""))</f>
        <v/>
      </c>
      <c r="H120" s="26" t="str">
        <f aca="false">IF(F120="","",IFERROR(INDEX(請求台帳!$I$5:$I$504,MATCH(F120,請求台帳!$A$5:$A$504,0)),""))</f>
        <v/>
      </c>
      <c r="I120" s="29" t="str">
        <f aca="false">IF(COUNTA(B120,D120,E120,F120)=0,"",IF(OR(B120="",E120=""),"要入力",IF(F120="","未消込",IF(ISNA(MATCH(F120,請求台帳!$A$5:$A$504,0)),"番号誤り",IF(INDEX(請求台帳!$T$5:$T$504,MATCH(F120,請求台帳!$A$5:$A$504,0))="取消","取消請求へ消込","消込済")))))</f>
        <v/>
      </c>
      <c r="J120" s="28"/>
      <c r="K120" s="28"/>
    </row>
    <row r="121" customFormat="false" ht="15" hidden="false" customHeight="false" outlineLevel="0" collapsed="false">
      <c r="A121" s="32" t="str">
        <f aca="false">IF(COUNTA(B121,D121,E121,F121)=0,"",ROW()-4)</f>
        <v/>
      </c>
      <c r="B121" s="22"/>
      <c r="C121" s="28"/>
      <c r="D121" s="28"/>
      <c r="E121" s="18"/>
      <c r="F121" s="28"/>
      <c r="G121" s="32" t="str">
        <f aca="false">IF(F121="","",IFERROR(INDEX(請求台帳!$D$5:$D$504,MATCH(F121,請求台帳!$A$5:$A$504,0)),""))</f>
        <v/>
      </c>
      <c r="H121" s="26" t="str">
        <f aca="false">IF(F121="","",IFERROR(INDEX(請求台帳!$I$5:$I$504,MATCH(F121,請求台帳!$A$5:$A$504,0)),""))</f>
        <v/>
      </c>
      <c r="I121" s="29" t="str">
        <f aca="false">IF(COUNTA(B121,D121,E121,F121)=0,"",IF(OR(B121="",E121=""),"要入力",IF(F121="","未消込",IF(ISNA(MATCH(F121,請求台帳!$A$5:$A$504,0)),"番号誤り",IF(INDEX(請求台帳!$T$5:$T$504,MATCH(F121,請求台帳!$A$5:$A$504,0))="取消","取消請求へ消込","消込済")))))</f>
        <v/>
      </c>
      <c r="J121" s="28"/>
      <c r="K121" s="28"/>
    </row>
    <row r="122" customFormat="false" ht="15" hidden="false" customHeight="false" outlineLevel="0" collapsed="false">
      <c r="A122" s="32" t="str">
        <f aca="false">IF(COUNTA(B122,D122,E122,F122)=0,"",ROW()-4)</f>
        <v/>
      </c>
      <c r="B122" s="22"/>
      <c r="C122" s="28"/>
      <c r="D122" s="28"/>
      <c r="E122" s="18"/>
      <c r="F122" s="28"/>
      <c r="G122" s="32" t="str">
        <f aca="false">IF(F122="","",IFERROR(INDEX(請求台帳!$D$5:$D$504,MATCH(F122,請求台帳!$A$5:$A$504,0)),""))</f>
        <v/>
      </c>
      <c r="H122" s="26" t="str">
        <f aca="false">IF(F122="","",IFERROR(INDEX(請求台帳!$I$5:$I$504,MATCH(F122,請求台帳!$A$5:$A$504,0)),""))</f>
        <v/>
      </c>
      <c r="I122" s="29" t="str">
        <f aca="false">IF(COUNTA(B122,D122,E122,F122)=0,"",IF(OR(B122="",E122=""),"要入力",IF(F122="","未消込",IF(ISNA(MATCH(F122,請求台帳!$A$5:$A$504,0)),"番号誤り",IF(INDEX(請求台帳!$T$5:$T$504,MATCH(F122,請求台帳!$A$5:$A$504,0))="取消","取消請求へ消込","消込済")))))</f>
        <v/>
      </c>
      <c r="J122" s="28"/>
      <c r="K122" s="28"/>
    </row>
    <row r="123" customFormat="false" ht="15" hidden="false" customHeight="false" outlineLevel="0" collapsed="false">
      <c r="A123" s="32" t="str">
        <f aca="false">IF(COUNTA(B123,D123,E123,F123)=0,"",ROW()-4)</f>
        <v/>
      </c>
      <c r="B123" s="22"/>
      <c r="C123" s="28"/>
      <c r="D123" s="28"/>
      <c r="E123" s="18"/>
      <c r="F123" s="28"/>
      <c r="G123" s="32" t="str">
        <f aca="false">IF(F123="","",IFERROR(INDEX(請求台帳!$D$5:$D$504,MATCH(F123,請求台帳!$A$5:$A$504,0)),""))</f>
        <v/>
      </c>
      <c r="H123" s="26" t="str">
        <f aca="false">IF(F123="","",IFERROR(INDEX(請求台帳!$I$5:$I$504,MATCH(F123,請求台帳!$A$5:$A$504,0)),""))</f>
        <v/>
      </c>
      <c r="I123" s="29" t="str">
        <f aca="false">IF(COUNTA(B123,D123,E123,F123)=0,"",IF(OR(B123="",E123=""),"要入力",IF(F123="","未消込",IF(ISNA(MATCH(F123,請求台帳!$A$5:$A$504,0)),"番号誤り",IF(INDEX(請求台帳!$T$5:$T$504,MATCH(F123,請求台帳!$A$5:$A$504,0))="取消","取消請求へ消込","消込済")))))</f>
        <v/>
      </c>
      <c r="J123" s="28"/>
      <c r="K123" s="28"/>
    </row>
    <row r="124" customFormat="false" ht="15" hidden="false" customHeight="false" outlineLevel="0" collapsed="false">
      <c r="A124" s="32" t="str">
        <f aca="false">IF(COUNTA(B124,D124,E124,F124)=0,"",ROW()-4)</f>
        <v/>
      </c>
      <c r="B124" s="22"/>
      <c r="C124" s="28"/>
      <c r="D124" s="28"/>
      <c r="E124" s="18"/>
      <c r="F124" s="28"/>
      <c r="G124" s="32" t="str">
        <f aca="false">IF(F124="","",IFERROR(INDEX(請求台帳!$D$5:$D$504,MATCH(F124,請求台帳!$A$5:$A$504,0)),""))</f>
        <v/>
      </c>
      <c r="H124" s="26" t="str">
        <f aca="false">IF(F124="","",IFERROR(INDEX(請求台帳!$I$5:$I$504,MATCH(F124,請求台帳!$A$5:$A$504,0)),""))</f>
        <v/>
      </c>
      <c r="I124" s="29" t="str">
        <f aca="false">IF(COUNTA(B124,D124,E124,F124)=0,"",IF(OR(B124="",E124=""),"要入力",IF(F124="","未消込",IF(ISNA(MATCH(F124,請求台帳!$A$5:$A$504,0)),"番号誤り",IF(INDEX(請求台帳!$T$5:$T$504,MATCH(F124,請求台帳!$A$5:$A$504,0))="取消","取消請求へ消込","消込済")))))</f>
        <v/>
      </c>
      <c r="J124" s="28"/>
      <c r="K124" s="28"/>
    </row>
    <row r="125" customFormat="false" ht="15" hidden="false" customHeight="false" outlineLevel="0" collapsed="false">
      <c r="A125" s="32" t="str">
        <f aca="false">IF(COUNTA(B125,D125,E125,F125)=0,"",ROW()-4)</f>
        <v/>
      </c>
      <c r="B125" s="22"/>
      <c r="C125" s="28"/>
      <c r="D125" s="28"/>
      <c r="E125" s="18"/>
      <c r="F125" s="28"/>
      <c r="G125" s="32" t="str">
        <f aca="false">IF(F125="","",IFERROR(INDEX(請求台帳!$D$5:$D$504,MATCH(F125,請求台帳!$A$5:$A$504,0)),""))</f>
        <v/>
      </c>
      <c r="H125" s="26" t="str">
        <f aca="false">IF(F125="","",IFERROR(INDEX(請求台帳!$I$5:$I$504,MATCH(F125,請求台帳!$A$5:$A$504,0)),""))</f>
        <v/>
      </c>
      <c r="I125" s="29" t="str">
        <f aca="false">IF(COUNTA(B125,D125,E125,F125)=0,"",IF(OR(B125="",E125=""),"要入力",IF(F125="","未消込",IF(ISNA(MATCH(F125,請求台帳!$A$5:$A$504,0)),"番号誤り",IF(INDEX(請求台帳!$T$5:$T$504,MATCH(F125,請求台帳!$A$5:$A$504,0))="取消","取消請求へ消込","消込済")))))</f>
        <v/>
      </c>
      <c r="J125" s="28"/>
      <c r="K125" s="28"/>
    </row>
    <row r="126" customFormat="false" ht="15" hidden="false" customHeight="false" outlineLevel="0" collapsed="false">
      <c r="A126" s="32" t="str">
        <f aca="false">IF(COUNTA(B126,D126,E126,F126)=0,"",ROW()-4)</f>
        <v/>
      </c>
      <c r="B126" s="22"/>
      <c r="C126" s="28"/>
      <c r="D126" s="28"/>
      <c r="E126" s="18"/>
      <c r="F126" s="28"/>
      <c r="G126" s="32" t="str">
        <f aca="false">IF(F126="","",IFERROR(INDEX(請求台帳!$D$5:$D$504,MATCH(F126,請求台帳!$A$5:$A$504,0)),""))</f>
        <v/>
      </c>
      <c r="H126" s="26" t="str">
        <f aca="false">IF(F126="","",IFERROR(INDEX(請求台帳!$I$5:$I$504,MATCH(F126,請求台帳!$A$5:$A$504,0)),""))</f>
        <v/>
      </c>
      <c r="I126" s="29" t="str">
        <f aca="false">IF(COUNTA(B126,D126,E126,F126)=0,"",IF(OR(B126="",E126=""),"要入力",IF(F126="","未消込",IF(ISNA(MATCH(F126,請求台帳!$A$5:$A$504,0)),"番号誤り",IF(INDEX(請求台帳!$T$5:$T$504,MATCH(F126,請求台帳!$A$5:$A$504,0))="取消","取消請求へ消込","消込済")))))</f>
        <v/>
      </c>
      <c r="J126" s="28"/>
      <c r="K126" s="28"/>
    </row>
    <row r="127" customFormat="false" ht="15" hidden="false" customHeight="false" outlineLevel="0" collapsed="false">
      <c r="A127" s="32" t="str">
        <f aca="false">IF(COUNTA(B127,D127,E127,F127)=0,"",ROW()-4)</f>
        <v/>
      </c>
      <c r="B127" s="22"/>
      <c r="C127" s="28"/>
      <c r="D127" s="28"/>
      <c r="E127" s="18"/>
      <c r="F127" s="28"/>
      <c r="G127" s="32" t="str">
        <f aca="false">IF(F127="","",IFERROR(INDEX(請求台帳!$D$5:$D$504,MATCH(F127,請求台帳!$A$5:$A$504,0)),""))</f>
        <v/>
      </c>
      <c r="H127" s="26" t="str">
        <f aca="false">IF(F127="","",IFERROR(INDEX(請求台帳!$I$5:$I$504,MATCH(F127,請求台帳!$A$5:$A$504,0)),""))</f>
        <v/>
      </c>
      <c r="I127" s="29" t="str">
        <f aca="false">IF(COUNTA(B127,D127,E127,F127)=0,"",IF(OR(B127="",E127=""),"要入力",IF(F127="","未消込",IF(ISNA(MATCH(F127,請求台帳!$A$5:$A$504,0)),"番号誤り",IF(INDEX(請求台帳!$T$5:$T$504,MATCH(F127,請求台帳!$A$5:$A$504,0))="取消","取消請求へ消込","消込済")))))</f>
        <v/>
      </c>
      <c r="J127" s="28"/>
      <c r="K127" s="28"/>
    </row>
    <row r="128" customFormat="false" ht="15" hidden="false" customHeight="false" outlineLevel="0" collapsed="false">
      <c r="A128" s="32" t="str">
        <f aca="false">IF(COUNTA(B128,D128,E128,F128)=0,"",ROW()-4)</f>
        <v/>
      </c>
      <c r="B128" s="22"/>
      <c r="C128" s="28"/>
      <c r="D128" s="28"/>
      <c r="E128" s="18"/>
      <c r="F128" s="28"/>
      <c r="G128" s="32" t="str">
        <f aca="false">IF(F128="","",IFERROR(INDEX(請求台帳!$D$5:$D$504,MATCH(F128,請求台帳!$A$5:$A$504,0)),""))</f>
        <v/>
      </c>
      <c r="H128" s="26" t="str">
        <f aca="false">IF(F128="","",IFERROR(INDEX(請求台帳!$I$5:$I$504,MATCH(F128,請求台帳!$A$5:$A$504,0)),""))</f>
        <v/>
      </c>
      <c r="I128" s="29" t="str">
        <f aca="false">IF(COUNTA(B128,D128,E128,F128)=0,"",IF(OR(B128="",E128=""),"要入力",IF(F128="","未消込",IF(ISNA(MATCH(F128,請求台帳!$A$5:$A$504,0)),"番号誤り",IF(INDEX(請求台帳!$T$5:$T$504,MATCH(F128,請求台帳!$A$5:$A$504,0))="取消","取消請求へ消込","消込済")))))</f>
        <v/>
      </c>
      <c r="J128" s="28"/>
      <c r="K128" s="28"/>
    </row>
    <row r="129" customFormat="false" ht="15" hidden="false" customHeight="false" outlineLevel="0" collapsed="false">
      <c r="A129" s="32" t="str">
        <f aca="false">IF(COUNTA(B129,D129,E129,F129)=0,"",ROW()-4)</f>
        <v/>
      </c>
      <c r="B129" s="22"/>
      <c r="C129" s="28"/>
      <c r="D129" s="28"/>
      <c r="E129" s="18"/>
      <c r="F129" s="28"/>
      <c r="G129" s="32" t="str">
        <f aca="false">IF(F129="","",IFERROR(INDEX(請求台帳!$D$5:$D$504,MATCH(F129,請求台帳!$A$5:$A$504,0)),""))</f>
        <v/>
      </c>
      <c r="H129" s="26" t="str">
        <f aca="false">IF(F129="","",IFERROR(INDEX(請求台帳!$I$5:$I$504,MATCH(F129,請求台帳!$A$5:$A$504,0)),""))</f>
        <v/>
      </c>
      <c r="I129" s="29" t="str">
        <f aca="false">IF(COUNTA(B129,D129,E129,F129)=0,"",IF(OR(B129="",E129=""),"要入力",IF(F129="","未消込",IF(ISNA(MATCH(F129,請求台帳!$A$5:$A$504,0)),"番号誤り",IF(INDEX(請求台帳!$T$5:$T$504,MATCH(F129,請求台帳!$A$5:$A$504,0))="取消","取消請求へ消込","消込済")))))</f>
        <v/>
      </c>
      <c r="J129" s="28"/>
      <c r="K129" s="28"/>
    </row>
    <row r="130" customFormat="false" ht="15" hidden="false" customHeight="false" outlineLevel="0" collapsed="false">
      <c r="A130" s="32" t="str">
        <f aca="false">IF(COUNTA(B130,D130,E130,F130)=0,"",ROW()-4)</f>
        <v/>
      </c>
      <c r="B130" s="22"/>
      <c r="C130" s="28"/>
      <c r="D130" s="28"/>
      <c r="E130" s="18"/>
      <c r="F130" s="28"/>
      <c r="G130" s="32" t="str">
        <f aca="false">IF(F130="","",IFERROR(INDEX(請求台帳!$D$5:$D$504,MATCH(F130,請求台帳!$A$5:$A$504,0)),""))</f>
        <v/>
      </c>
      <c r="H130" s="26" t="str">
        <f aca="false">IF(F130="","",IFERROR(INDEX(請求台帳!$I$5:$I$504,MATCH(F130,請求台帳!$A$5:$A$504,0)),""))</f>
        <v/>
      </c>
      <c r="I130" s="29" t="str">
        <f aca="false">IF(COUNTA(B130,D130,E130,F130)=0,"",IF(OR(B130="",E130=""),"要入力",IF(F130="","未消込",IF(ISNA(MATCH(F130,請求台帳!$A$5:$A$504,0)),"番号誤り",IF(INDEX(請求台帳!$T$5:$T$504,MATCH(F130,請求台帳!$A$5:$A$504,0))="取消","取消請求へ消込","消込済")))))</f>
        <v/>
      </c>
      <c r="J130" s="28"/>
      <c r="K130" s="28"/>
    </row>
    <row r="131" customFormat="false" ht="15" hidden="false" customHeight="false" outlineLevel="0" collapsed="false">
      <c r="A131" s="32" t="str">
        <f aca="false">IF(COUNTA(B131,D131,E131,F131)=0,"",ROW()-4)</f>
        <v/>
      </c>
      <c r="B131" s="22"/>
      <c r="C131" s="28"/>
      <c r="D131" s="28"/>
      <c r="E131" s="18"/>
      <c r="F131" s="28"/>
      <c r="G131" s="32" t="str">
        <f aca="false">IF(F131="","",IFERROR(INDEX(請求台帳!$D$5:$D$504,MATCH(F131,請求台帳!$A$5:$A$504,0)),""))</f>
        <v/>
      </c>
      <c r="H131" s="26" t="str">
        <f aca="false">IF(F131="","",IFERROR(INDEX(請求台帳!$I$5:$I$504,MATCH(F131,請求台帳!$A$5:$A$504,0)),""))</f>
        <v/>
      </c>
      <c r="I131" s="29" t="str">
        <f aca="false">IF(COUNTA(B131,D131,E131,F131)=0,"",IF(OR(B131="",E131=""),"要入力",IF(F131="","未消込",IF(ISNA(MATCH(F131,請求台帳!$A$5:$A$504,0)),"番号誤り",IF(INDEX(請求台帳!$T$5:$T$504,MATCH(F131,請求台帳!$A$5:$A$504,0))="取消","取消請求へ消込","消込済")))))</f>
        <v/>
      </c>
      <c r="J131" s="28"/>
      <c r="K131" s="28"/>
    </row>
    <row r="132" customFormat="false" ht="15" hidden="false" customHeight="false" outlineLevel="0" collapsed="false">
      <c r="A132" s="32" t="str">
        <f aca="false">IF(COUNTA(B132,D132,E132,F132)=0,"",ROW()-4)</f>
        <v/>
      </c>
      <c r="B132" s="22"/>
      <c r="C132" s="28"/>
      <c r="D132" s="28"/>
      <c r="E132" s="18"/>
      <c r="F132" s="28"/>
      <c r="G132" s="32" t="str">
        <f aca="false">IF(F132="","",IFERROR(INDEX(請求台帳!$D$5:$D$504,MATCH(F132,請求台帳!$A$5:$A$504,0)),""))</f>
        <v/>
      </c>
      <c r="H132" s="26" t="str">
        <f aca="false">IF(F132="","",IFERROR(INDEX(請求台帳!$I$5:$I$504,MATCH(F132,請求台帳!$A$5:$A$504,0)),""))</f>
        <v/>
      </c>
      <c r="I132" s="29" t="str">
        <f aca="false">IF(COUNTA(B132,D132,E132,F132)=0,"",IF(OR(B132="",E132=""),"要入力",IF(F132="","未消込",IF(ISNA(MATCH(F132,請求台帳!$A$5:$A$504,0)),"番号誤り",IF(INDEX(請求台帳!$T$5:$T$504,MATCH(F132,請求台帳!$A$5:$A$504,0))="取消","取消請求へ消込","消込済")))))</f>
        <v/>
      </c>
      <c r="J132" s="28"/>
      <c r="K132" s="28"/>
    </row>
    <row r="133" customFormat="false" ht="15" hidden="false" customHeight="false" outlineLevel="0" collapsed="false">
      <c r="A133" s="32" t="str">
        <f aca="false">IF(COUNTA(B133,D133,E133,F133)=0,"",ROW()-4)</f>
        <v/>
      </c>
      <c r="B133" s="22"/>
      <c r="C133" s="28"/>
      <c r="D133" s="28"/>
      <c r="E133" s="18"/>
      <c r="F133" s="28"/>
      <c r="G133" s="32" t="str">
        <f aca="false">IF(F133="","",IFERROR(INDEX(請求台帳!$D$5:$D$504,MATCH(F133,請求台帳!$A$5:$A$504,0)),""))</f>
        <v/>
      </c>
      <c r="H133" s="26" t="str">
        <f aca="false">IF(F133="","",IFERROR(INDEX(請求台帳!$I$5:$I$504,MATCH(F133,請求台帳!$A$5:$A$504,0)),""))</f>
        <v/>
      </c>
      <c r="I133" s="29" t="str">
        <f aca="false">IF(COUNTA(B133,D133,E133,F133)=0,"",IF(OR(B133="",E133=""),"要入力",IF(F133="","未消込",IF(ISNA(MATCH(F133,請求台帳!$A$5:$A$504,0)),"番号誤り",IF(INDEX(請求台帳!$T$5:$T$504,MATCH(F133,請求台帳!$A$5:$A$504,0))="取消","取消請求へ消込","消込済")))))</f>
        <v/>
      </c>
      <c r="J133" s="28"/>
      <c r="K133" s="28"/>
    </row>
    <row r="134" customFormat="false" ht="15" hidden="false" customHeight="false" outlineLevel="0" collapsed="false">
      <c r="A134" s="32" t="str">
        <f aca="false">IF(COUNTA(B134,D134,E134,F134)=0,"",ROW()-4)</f>
        <v/>
      </c>
      <c r="B134" s="22"/>
      <c r="C134" s="28"/>
      <c r="D134" s="28"/>
      <c r="E134" s="18"/>
      <c r="F134" s="28"/>
      <c r="G134" s="32" t="str">
        <f aca="false">IF(F134="","",IFERROR(INDEX(請求台帳!$D$5:$D$504,MATCH(F134,請求台帳!$A$5:$A$504,0)),""))</f>
        <v/>
      </c>
      <c r="H134" s="26" t="str">
        <f aca="false">IF(F134="","",IFERROR(INDEX(請求台帳!$I$5:$I$504,MATCH(F134,請求台帳!$A$5:$A$504,0)),""))</f>
        <v/>
      </c>
      <c r="I134" s="29" t="str">
        <f aca="false">IF(COUNTA(B134,D134,E134,F134)=0,"",IF(OR(B134="",E134=""),"要入力",IF(F134="","未消込",IF(ISNA(MATCH(F134,請求台帳!$A$5:$A$504,0)),"番号誤り",IF(INDEX(請求台帳!$T$5:$T$504,MATCH(F134,請求台帳!$A$5:$A$504,0))="取消","取消請求へ消込","消込済")))))</f>
        <v/>
      </c>
      <c r="J134" s="28"/>
      <c r="K134" s="28"/>
    </row>
    <row r="135" customFormat="false" ht="15" hidden="false" customHeight="false" outlineLevel="0" collapsed="false">
      <c r="A135" s="32" t="str">
        <f aca="false">IF(COUNTA(B135,D135,E135,F135)=0,"",ROW()-4)</f>
        <v/>
      </c>
      <c r="B135" s="22"/>
      <c r="C135" s="28"/>
      <c r="D135" s="28"/>
      <c r="E135" s="18"/>
      <c r="F135" s="28"/>
      <c r="G135" s="32" t="str">
        <f aca="false">IF(F135="","",IFERROR(INDEX(請求台帳!$D$5:$D$504,MATCH(F135,請求台帳!$A$5:$A$504,0)),""))</f>
        <v/>
      </c>
      <c r="H135" s="26" t="str">
        <f aca="false">IF(F135="","",IFERROR(INDEX(請求台帳!$I$5:$I$504,MATCH(F135,請求台帳!$A$5:$A$504,0)),""))</f>
        <v/>
      </c>
      <c r="I135" s="29" t="str">
        <f aca="false">IF(COUNTA(B135,D135,E135,F135)=0,"",IF(OR(B135="",E135=""),"要入力",IF(F135="","未消込",IF(ISNA(MATCH(F135,請求台帳!$A$5:$A$504,0)),"番号誤り",IF(INDEX(請求台帳!$T$5:$T$504,MATCH(F135,請求台帳!$A$5:$A$504,0))="取消","取消請求へ消込","消込済")))))</f>
        <v/>
      </c>
      <c r="J135" s="28"/>
      <c r="K135" s="28"/>
    </row>
    <row r="136" customFormat="false" ht="15" hidden="false" customHeight="false" outlineLevel="0" collapsed="false">
      <c r="A136" s="32" t="str">
        <f aca="false">IF(COUNTA(B136,D136,E136,F136)=0,"",ROW()-4)</f>
        <v/>
      </c>
      <c r="B136" s="22"/>
      <c r="C136" s="28"/>
      <c r="D136" s="28"/>
      <c r="E136" s="18"/>
      <c r="F136" s="28"/>
      <c r="G136" s="32" t="str">
        <f aca="false">IF(F136="","",IFERROR(INDEX(請求台帳!$D$5:$D$504,MATCH(F136,請求台帳!$A$5:$A$504,0)),""))</f>
        <v/>
      </c>
      <c r="H136" s="26" t="str">
        <f aca="false">IF(F136="","",IFERROR(INDEX(請求台帳!$I$5:$I$504,MATCH(F136,請求台帳!$A$5:$A$504,0)),""))</f>
        <v/>
      </c>
      <c r="I136" s="29" t="str">
        <f aca="false">IF(COUNTA(B136,D136,E136,F136)=0,"",IF(OR(B136="",E136=""),"要入力",IF(F136="","未消込",IF(ISNA(MATCH(F136,請求台帳!$A$5:$A$504,0)),"番号誤り",IF(INDEX(請求台帳!$T$5:$T$504,MATCH(F136,請求台帳!$A$5:$A$504,0))="取消","取消請求へ消込","消込済")))))</f>
        <v/>
      </c>
      <c r="J136" s="28"/>
      <c r="K136" s="28"/>
    </row>
    <row r="137" customFormat="false" ht="15" hidden="false" customHeight="false" outlineLevel="0" collapsed="false">
      <c r="A137" s="32" t="str">
        <f aca="false">IF(COUNTA(B137,D137,E137,F137)=0,"",ROW()-4)</f>
        <v/>
      </c>
      <c r="B137" s="22"/>
      <c r="C137" s="28"/>
      <c r="D137" s="28"/>
      <c r="E137" s="18"/>
      <c r="F137" s="28"/>
      <c r="G137" s="32" t="str">
        <f aca="false">IF(F137="","",IFERROR(INDEX(請求台帳!$D$5:$D$504,MATCH(F137,請求台帳!$A$5:$A$504,0)),""))</f>
        <v/>
      </c>
      <c r="H137" s="26" t="str">
        <f aca="false">IF(F137="","",IFERROR(INDEX(請求台帳!$I$5:$I$504,MATCH(F137,請求台帳!$A$5:$A$504,0)),""))</f>
        <v/>
      </c>
      <c r="I137" s="29" t="str">
        <f aca="false">IF(COUNTA(B137,D137,E137,F137)=0,"",IF(OR(B137="",E137=""),"要入力",IF(F137="","未消込",IF(ISNA(MATCH(F137,請求台帳!$A$5:$A$504,0)),"番号誤り",IF(INDEX(請求台帳!$T$5:$T$504,MATCH(F137,請求台帳!$A$5:$A$504,0))="取消","取消請求へ消込","消込済")))))</f>
        <v/>
      </c>
      <c r="J137" s="28"/>
      <c r="K137" s="28"/>
    </row>
    <row r="138" customFormat="false" ht="15" hidden="false" customHeight="false" outlineLevel="0" collapsed="false">
      <c r="A138" s="32" t="str">
        <f aca="false">IF(COUNTA(B138,D138,E138,F138)=0,"",ROW()-4)</f>
        <v/>
      </c>
      <c r="B138" s="22"/>
      <c r="C138" s="28"/>
      <c r="D138" s="28"/>
      <c r="E138" s="18"/>
      <c r="F138" s="28"/>
      <c r="G138" s="32" t="str">
        <f aca="false">IF(F138="","",IFERROR(INDEX(請求台帳!$D$5:$D$504,MATCH(F138,請求台帳!$A$5:$A$504,0)),""))</f>
        <v/>
      </c>
      <c r="H138" s="26" t="str">
        <f aca="false">IF(F138="","",IFERROR(INDEX(請求台帳!$I$5:$I$504,MATCH(F138,請求台帳!$A$5:$A$504,0)),""))</f>
        <v/>
      </c>
      <c r="I138" s="29" t="str">
        <f aca="false">IF(COUNTA(B138,D138,E138,F138)=0,"",IF(OR(B138="",E138=""),"要入力",IF(F138="","未消込",IF(ISNA(MATCH(F138,請求台帳!$A$5:$A$504,0)),"番号誤り",IF(INDEX(請求台帳!$T$5:$T$504,MATCH(F138,請求台帳!$A$5:$A$504,0))="取消","取消請求へ消込","消込済")))))</f>
        <v/>
      </c>
      <c r="J138" s="28"/>
      <c r="K138" s="28"/>
    </row>
    <row r="139" customFormat="false" ht="15" hidden="false" customHeight="false" outlineLevel="0" collapsed="false">
      <c r="A139" s="32" t="str">
        <f aca="false">IF(COUNTA(B139,D139,E139,F139)=0,"",ROW()-4)</f>
        <v/>
      </c>
      <c r="B139" s="22"/>
      <c r="C139" s="28"/>
      <c r="D139" s="28"/>
      <c r="E139" s="18"/>
      <c r="F139" s="28"/>
      <c r="G139" s="32" t="str">
        <f aca="false">IF(F139="","",IFERROR(INDEX(請求台帳!$D$5:$D$504,MATCH(F139,請求台帳!$A$5:$A$504,0)),""))</f>
        <v/>
      </c>
      <c r="H139" s="26" t="str">
        <f aca="false">IF(F139="","",IFERROR(INDEX(請求台帳!$I$5:$I$504,MATCH(F139,請求台帳!$A$5:$A$504,0)),""))</f>
        <v/>
      </c>
      <c r="I139" s="29" t="str">
        <f aca="false">IF(COUNTA(B139,D139,E139,F139)=0,"",IF(OR(B139="",E139=""),"要入力",IF(F139="","未消込",IF(ISNA(MATCH(F139,請求台帳!$A$5:$A$504,0)),"番号誤り",IF(INDEX(請求台帳!$T$5:$T$504,MATCH(F139,請求台帳!$A$5:$A$504,0))="取消","取消請求へ消込","消込済")))))</f>
        <v/>
      </c>
      <c r="J139" s="28"/>
      <c r="K139" s="28"/>
    </row>
    <row r="140" customFormat="false" ht="15" hidden="false" customHeight="false" outlineLevel="0" collapsed="false">
      <c r="A140" s="32" t="str">
        <f aca="false">IF(COUNTA(B140,D140,E140,F140)=0,"",ROW()-4)</f>
        <v/>
      </c>
      <c r="B140" s="22"/>
      <c r="C140" s="28"/>
      <c r="D140" s="28"/>
      <c r="E140" s="18"/>
      <c r="F140" s="28"/>
      <c r="G140" s="32" t="str">
        <f aca="false">IF(F140="","",IFERROR(INDEX(請求台帳!$D$5:$D$504,MATCH(F140,請求台帳!$A$5:$A$504,0)),""))</f>
        <v/>
      </c>
      <c r="H140" s="26" t="str">
        <f aca="false">IF(F140="","",IFERROR(INDEX(請求台帳!$I$5:$I$504,MATCH(F140,請求台帳!$A$5:$A$504,0)),""))</f>
        <v/>
      </c>
      <c r="I140" s="29" t="str">
        <f aca="false">IF(COUNTA(B140,D140,E140,F140)=0,"",IF(OR(B140="",E140=""),"要入力",IF(F140="","未消込",IF(ISNA(MATCH(F140,請求台帳!$A$5:$A$504,0)),"番号誤り",IF(INDEX(請求台帳!$T$5:$T$504,MATCH(F140,請求台帳!$A$5:$A$504,0))="取消","取消請求へ消込","消込済")))))</f>
        <v/>
      </c>
      <c r="J140" s="28"/>
      <c r="K140" s="28"/>
    </row>
    <row r="141" customFormat="false" ht="15" hidden="false" customHeight="false" outlineLevel="0" collapsed="false">
      <c r="A141" s="32" t="str">
        <f aca="false">IF(COUNTA(B141,D141,E141,F141)=0,"",ROW()-4)</f>
        <v/>
      </c>
      <c r="B141" s="22"/>
      <c r="C141" s="28"/>
      <c r="D141" s="28"/>
      <c r="E141" s="18"/>
      <c r="F141" s="28"/>
      <c r="G141" s="32" t="str">
        <f aca="false">IF(F141="","",IFERROR(INDEX(請求台帳!$D$5:$D$504,MATCH(F141,請求台帳!$A$5:$A$504,0)),""))</f>
        <v/>
      </c>
      <c r="H141" s="26" t="str">
        <f aca="false">IF(F141="","",IFERROR(INDEX(請求台帳!$I$5:$I$504,MATCH(F141,請求台帳!$A$5:$A$504,0)),""))</f>
        <v/>
      </c>
      <c r="I141" s="29" t="str">
        <f aca="false">IF(COUNTA(B141,D141,E141,F141)=0,"",IF(OR(B141="",E141=""),"要入力",IF(F141="","未消込",IF(ISNA(MATCH(F141,請求台帳!$A$5:$A$504,0)),"番号誤り",IF(INDEX(請求台帳!$T$5:$T$504,MATCH(F141,請求台帳!$A$5:$A$504,0))="取消","取消請求へ消込","消込済")))))</f>
        <v/>
      </c>
      <c r="J141" s="28"/>
      <c r="K141" s="28"/>
    </row>
    <row r="142" customFormat="false" ht="15" hidden="false" customHeight="false" outlineLevel="0" collapsed="false">
      <c r="A142" s="32" t="str">
        <f aca="false">IF(COUNTA(B142,D142,E142,F142)=0,"",ROW()-4)</f>
        <v/>
      </c>
      <c r="B142" s="22"/>
      <c r="C142" s="28"/>
      <c r="D142" s="28"/>
      <c r="E142" s="18"/>
      <c r="F142" s="28"/>
      <c r="G142" s="32" t="str">
        <f aca="false">IF(F142="","",IFERROR(INDEX(請求台帳!$D$5:$D$504,MATCH(F142,請求台帳!$A$5:$A$504,0)),""))</f>
        <v/>
      </c>
      <c r="H142" s="26" t="str">
        <f aca="false">IF(F142="","",IFERROR(INDEX(請求台帳!$I$5:$I$504,MATCH(F142,請求台帳!$A$5:$A$504,0)),""))</f>
        <v/>
      </c>
      <c r="I142" s="29" t="str">
        <f aca="false">IF(COUNTA(B142,D142,E142,F142)=0,"",IF(OR(B142="",E142=""),"要入力",IF(F142="","未消込",IF(ISNA(MATCH(F142,請求台帳!$A$5:$A$504,0)),"番号誤り",IF(INDEX(請求台帳!$T$5:$T$504,MATCH(F142,請求台帳!$A$5:$A$504,0))="取消","取消請求へ消込","消込済")))))</f>
        <v/>
      </c>
      <c r="J142" s="28"/>
      <c r="K142" s="28"/>
    </row>
    <row r="143" customFormat="false" ht="15" hidden="false" customHeight="false" outlineLevel="0" collapsed="false">
      <c r="A143" s="32" t="str">
        <f aca="false">IF(COUNTA(B143,D143,E143,F143)=0,"",ROW()-4)</f>
        <v/>
      </c>
      <c r="B143" s="22"/>
      <c r="C143" s="28"/>
      <c r="D143" s="28"/>
      <c r="E143" s="18"/>
      <c r="F143" s="28"/>
      <c r="G143" s="32" t="str">
        <f aca="false">IF(F143="","",IFERROR(INDEX(請求台帳!$D$5:$D$504,MATCH(F143,請求台帳!$A$5:$A$504,0)),""))</f>
        <v/>
      </c>
      <c r="H143" s="26" t="str">
        <f aca="false">IF(F143="","",IFERROR(INDEX(請求台帳!$I$5:$I$504,MATCH(F143,請求台帳!$A$5:$A$504,0)),""))</f>
        <v/>
      </c>
      <c r="I143" s="29" t="str">
        <f aca="false">IF(COUNTA(B143,D143,E143,F143)=0,"",IF(OR(B143="",E143=""),"要入力",IF(F143="","未消込",IF(ISNA(MATCH(F143,請求台帳!$A$5:$A$504,0)),"番号誤り",IF(INDEX(請求台帳!$T$5:$T$504,MATCH(F143,請求台帳!$A$5:$A$504,0))="取消","取消請求へ消込","消込済")))))</f>
        <v/>
      </c>
      <c r="J143" s="28"/>
      <c r="K143" s="28"/>
    </row>
    <row r="144" customFormat="false" ht="15" hidden="false" customHeight="false" outlineLevel="0" collapsed="false">
      <c r="A144" s="32" t="str">
        <f aca="false">IF(COUNTA(B144,D144,E144,F144)=0,"",ROW()-4)</f>
        <v/>
      </c>
      <c r="B144" s="22"/>
      <c r="C144" s="28"/>
      <c r="D144" s="28"/>
      <c r="E144" s="18"/>
      <c r="F144" s="28"/>
      <c r="G144" s="32" t="str">
        <f aca="false">IF(F144="","",IFERROR(INDEX(請求台帳!$D$5:$D$504,MATCH(F144,請求台帳!$A$5:$A$504,0)),""))</f>
        <v/>
      </c>
      <c r="H144" s="26" t="str">
        <f aca="false">IF(F144="","",IFERROR(INDEX(請求台帳!$I$5:$I$504,MATCH(F144,請求台帳!$A$5:$A$504,0)),""))</f>
        <v/>
      </c>
      <c r="I144" s="29" t="str">
        <f aca="false">IF(COUNTA(B144,D144,E144,F144)=0,"",IF(OR(B144="",E144=""),"要入力",IF(F144="","未消込",IF(ISNA(MATCH(F144,請求台帳!$A$5:$A$504,0)),"番号誤り",IF(INDEX(請求台帳!$T$5:$T$504,MATCH(F144,請求台帳!$A$5:$A$504,0))="取消","取消請求へ消込","消込済")))))</f>
        <v/>
      </c>
      <c r="J144" s="28"/>
      <c r="K144" s="28"/>
    </row>
    <row r="145" customFormat="false" ht="15" hidden="false" customHeight="false" outlineLevel="0" collapsed="false">
      <c r="A145" s="32" t="str">
        <f aca="false">IF(COUNTA(B145,D145,E145,F145)=0,"",ROW()-4)</f>
        <v/>
      </c>
      <c r="B145" s="22"/>
      <c r="C145" s="28"/>
      <c r="D145" s="28"/>
      <c r="E145" s="18"/>
      <c r="F145" s="28"/>
      <c r="G145" s="32" t="str">
        <f aca="false">IF(F145="","",IFERROR(INDEX(請求台帳!$D$5:$D$504,MATCH(F145,請求台帳!$A$5:$A$504,0)),""))</f>
        <v/>
      </c>
      <c r="H145" s="26" t="str">
        <f aca="false">IF(F145="","",IFERROR(INDEX(請求台帳!$I$5:$I$504,MATCH(F145,請求台帳!$A$5:$A$504,0)),""))</f>
        <v/>
      </c>
      <c r="I145" s="29" t="str">
        <f aca="false">IF(COUNTA(B145,D145,E145,F145)=0,"",IF(OR(B145="",E145=""),"要入力",IF(F145="","未消込",IF(ISNA(MATCH(F145,請求台帳!$A$5:$A$504,0)),"番号誤り",IF(INDEX(請求台帳!$T$5:$T$504,MATCH(F145,請求台帳!$A$5:$A$504,0))="取消","取消請求へ消込","消込済")))))</f>
        <v/>
      </c>
      <c r="J145" s="28"/>
      <c r="K145" s="28"/>
    </row>
    <row r="146" customFormat="false" ht="15" hidden="false" customHeight="false" outlineLevel="0" collapsed="false">
      <c r="A146" s="32" t="str">
        <f aca="false">IF(COUNTA(B146,D146,E146,F146)=0,"",ROW()-4)</f>
        <v/>
      </c>
      <c r="B146" s="22"/>
      <c r="C146" s="28"/>
      <c r="D146" s="28"/>
      <c r="E146" s="18"/>
      <c r="F146" s="28"/>
      <c r="G146" s="32" t="str">
        <f aca="false">IF(F146="","",IFERROR(INDEX(請求台帳!$D$5:$D$504,MATCH(F146,請求台帳!$A$5:$A$504,0)),""))</f>
        <v/>
      </c>
      <c r="H146" s="26" t="str">
        <f aca="false">IF(F146="","",IFERROR(INDEX(請求台帳!$I$5:$I$504,MATCH(F146,請求台帳!$A$5:$A$504,0)),""))</f>
        <v/>
      </c>
      <c r="I146" s="29" t="str">
        <f aca="false">IF(COUNTA(B146,D146,E146,F146)=0,"",IF(OR(B146="",E146=""),"要入力",IF(F146="","未消込",IF(ISNA(MATCH(F146,請求台帳!$A$5:$A$504,0)),"番号誤り",IF(INDEX(請求台帳!$T$5:$T$504,MATCH(F146,請求台帳!$A$5:$A$504,0))="取消","取消請求へ消込","消込済")))))</f>
        <v/>
      </c>
      <c r="J146" s="28"/>
      <c r="K146" s="28"/>
    </row>
    <row r="147" customFormat="false" ht="15" hidden="false" customHeight="false" outlineLevel="0" collapsed="false">
      <c r="A147" s="32" t="str">
        <f aca="false">IF(COUNTA(B147,D147,E147,F147)=0,"",ROW()-4)</f>
        <v/>
      </c>
      <c r="B147" s="22"/>
      <c r="C147" s="28"/>
      <c r="D147" s="28"/>
      <c r="E147" s="18"/>
      <c r="F147" s="28"/>
      <c r="G147" s="32" t="str">
        <f aca="false">IF(F147="","",IFERROR(INDEX(請求台帳!$D$5:$D$504,MATCH(F147,請求台帳!$A$5:$A$504,0)),""))</f>
        <v/>
      </c>
      <c r="H147" s="26" t="str">
        <f aca="false">IF(F147="","",IFERROR(INDEX(請求台帳!$I$5:$I$504,MATCH(F147,請求台帳!$A$5:$A$504,0)),""))</f>
        <v/>
      </c>
      <c r="I147" s="29" t="str">
        <f aca="false">IF(COUNTA(B147,D147,E147,F147)=0,"",IF(OR(B147="",E147=""),"要入力",IF(F147="","未消込",IF(ISNA(MATCH(F147,請求台帳!$A$5:$A$504,0)),"番号誤り",IF(INDEX(請求台帳!$T$5:$T$504,MATCH(F147,請求台帳!$A$5:$A$504,0))="取消","取消請求へ消込","消込済")))))</f>
        <v/>
      </c>
      <c r="J147" s="28"/>
      <c r="K147" s="28"/>
    </row>
    <row r="148" customFormat="false" ht="15" hidden="false" customHeight="false" outlineLevel="0" collapsed="false">
      <c r="A148" s="32" t="str">
        <f aca="false">IF(COUNTA(B148,D148,E148,F148)=0,"",ROW()-4)</f>
        <v/>
      </c>
      <c r="B148" s="22"/>
      <c r="C148" s="28"/>
      <c r="D148" s="28"/>
      <c r="E148" s="18"/>
      <c r="F148" s="28"/>
      <c r="G148" s="32" t="str">
        <f aca="false">IF(F148="","",IFERROR(INDEX(請求台帳!$D$5:$D$504,MATCH(F148,請求台帳!$A$5:$A$504,0)),""))</f>
        <v/>
      </c>
      <c r="H148" s="26" t="str">
        <f aca="false">IF(F148="","",IFERROR(INDEX(請求台帳!$I$5:$I$504,MATCH(F148,請求台帳!$A$5:$A$504,0)),""))</f>
        <v/>
      </c>
      <c r="I148" s="29" t="str">
        <f aca="false">IF(COUNTA(B148,D148,E148,F148)=0,"",IF(OR(B148="",E148=""),"要入力",IF(F148="","未消込",IF(ISNA(MATCH(F148,請求台帳!$A$5:$A$504,0)),"番号誤り",IF(INDEX(請求台帳!$T$5:$T$504,MATCH(F148,請求台帳!$A$5:$A$504,0))="取消","取消請求へ消込","消込済")))))</f>
        <v/>
      </c>
      <c r="J148" s="28"/>
      <c r="K148" s="28"/>
    </row>
    <row r="149" customFormat="false" ht="15" hidden="false" customHeight="false" outlineLevel="0" collapsed="false">
      <c r="A149" s="32" t="str">
        <f aca="false">IF(COUNTA(B149,D149,E149,F149)=0,"",ROW()-4)</f>
        <v/>
      </c>
      <c r="B149" s="22"/>
      <c r="C149" s="28"/>
      <c r="D149" s="28"/>
      <c r="E149" s="18"/>
      <c r="F149" s="28"/>
      <c r="G149" s="32" t="str">
        <f aca="false">IF(F149="","",IFERROR(INDEX(請求台帳!$D$5:$D$504,MATCH(F149,請求台帳!$A$5:$A$504,0)),""))</f>
        <v/>
      </c>
      <c r="H149" s="26" t="str">
        <f aca="false">IF(F149="","",IFERROR(INDEX(請求台帳!$I$5:$I$504,MATCH(F149,請求台帳!$A$5:$A$504,0)),""))</f>
        <v/>
      </c>
      <c r="I149" s="29" t="str">
        <f aca="false">IF(COUNTA(B149,D149,E149,F149)=0,"",IF(OR(B149="",E149=""),"要入力",IF(F149="","未消込",IF(ISNA(MATCH(F149,請求台帳!$A$5:$A$504,0)),"番号誤り",IF(INDEX(請求台帳!$T$5:$T$504,MATCH(F149,請求台帳!$A$5:$A$504,0))="取消","取消請求へ消込","消込済")))))</f>
        <v/>
      </c>
      <c r="J149" s="28"/>
      <c r="K149" s="28"/>
    </row>
    <row r="150" customFormat="false" ht="15" hidden="false" customHeight="false" outlineLevel="0" collapsed="false">
      <c r="A150" s="32" t="str">
        <f aca="false">IF(COUNTA(B150,D150,E150,F150)=0,"",ROW()-4)</f>
        <v/>
      </c>
      <c r="B150" s="22"/>
      <c r="C150" s="28"/>
      <c r="D150" s="28"/>
      <c r="E150" s="18"/>
      <c r="F150" s="28"/>
      <c r="G150" s="32" t="str">
        <f aca="false">IF(F150="","",IFERROR(INDEX(請求台帳!$D$5:$D$504,MATCH(F150,請求台帳!$A$5:$A$504,0)),""))</f>
        <v/>
      </c>
      <c r="H150" s="26" t="str">
        <f aca="false">IF(F150="","",IFERROR(INDEX(請求台帳!$I$5:$I$504,MATCH(F150,請求台帳!$A$5:$A$504,0)),""))</f>
        <v/>
      </c>
      <c r="I150" s="29" t="str">
        <f aca="false">IF(COUNTA(B150,D150,E150,F150)=0,"",IF(OR(B150="",E150=""),"要入力",IF(F150="","未消込",IF(ISNA(MATCH(F150,請求台帳!$A$5:$A$504,0)),"番号誤り",IF(INDEX(請求台帳!$T$5:$T$504,MATCH(F150,請求台帳!$A$5:$A$504,0))="取消","取消請求へ消込","消込済")))))</f>
        <v/>
      </c>
      <c r="J150" s="28"/>
      <c r="K150" s="28"/>
    </row>
    <row r="151" customFormat="false" ht="15" hidden="false" customHeight="false" outlineLevel="0" collapsed="false">
      <c r="A151" s="32" t="str">
        <f aca="false">IF(COUNTA(B151,D151,E151,F151)=0,"",ROW()-4)</f>
        <v/>
      </c>
      <c r="B151" s="22"/>
      <c r="C151" s="28"/>
      <c r="D151" s="28"/>
      <c r="E151" s="18"/>
      <c r="F151" s="28"/>
      <c r="G151" s="32" t="str">
        <f aca="false">IF(F151="","",IFERROR(INDEX(請求台帳!$D$5:$D$504,MATCH(F151,請求台帳!$A$5:$A$504,0)),""))</f>
        <v/>
      </c>
      <c r="H151" s="26" t="str">
        <f aca="false">IF(F151="","",IFERROR(INDEX(請求台帳!$I$5:$I$504,MATCH(F151,請求台帳!$A$5:$A$504,0)),""))</f>
        <v/>
      </c>
      <c r="I151" s="29" t="str">
        <f aca="false">IF(COUNTA(B151,D151,E151,F151)=0,"",IF(OR(B151="",E151=""),"要入力",IF(F151="","未消込",IF(ISNA(MATCH(F151,請求台帳!$A$5:$A$504,0)),"番号誤り",IF(INDEX(請求台帳!$T$5:$T$504,MATCH(F151,請求台帳!$A$5:$A$504,0))="取消","取消請求へ消込","消込済")))))</f>
        <v/>
      </c>
      <c r="J151" s="28"/>
      <c r="K151" s="28"/>
    </row>
    <row r="152" customFormat="false" ht="15" hidden="false" customHeight="false" outlineLevel="0" collapsed="false">
      <c r="A152" s="32" t="str">
        <f aca="false">IF(COUNTA(B152,D152,E152,F152)=0,"",ROW()-4)</f>
        <v/>
      </c>
      <c r="B152" s="22"/>
      <c r="C152" s="28"/>
      <c r="D152" s="28"/>
      <c r="E152" s="18"/>
      <c r="F152" s="28"/>
      <c r="G152" s="32" t="str">
        <f aca="false">IF(F152="","",IFERROR(INDEX(請求台帳!$D$5:$D$504,MATCH(F152,請求台帳!$A$5:$A$504,0)),""))</f>
        <v/>
      </c>
      <c r="H152" s="26" t="str">
        <f aca="false">IF(F152="","",IFERROR(INDEX(請求台帳!$I$5:$I$504,MATCH(F152,請求台帳!$A$5:$A$504,0)),""))</f>
        <v/>
      </c>
      <c r="I152" s="29" t="str">
        <f aca="false">IF(COUNTA(B152,D152,E152,F152)=0,"",IF(OR(B152="",E152=""),"要入力",IF(F152="","未消込",IF(ISNA(MATCH(F152,請求台帳!$A$5:$A$504,0)),"番号誤り",IF(INDEX(請求台帳!$T$5:$T$504,MATCH(F152,請求台帳!$A$5:$A$504,0))="取消","取消請求へ消込","消込済")))))</f>
        <v/>
      </c>
      <c r="J152" s="28"/>
      <c r="K152" s="28"/>
    </row>
    <row r="153" customFormat="false" ht="15" hidden="false" customHeight="false" outlineLevel="0" collapsed="false">
      <c r="A153" s="32" t="str">
        <f aca="false">IF(COUNTA(B153,D153,E153,F153)=0,"",ROW()-4)</f>
        <v/>
      </c>
      <c r="B153" s="22"/>
      <c r="C153" s="28"/>
      <c r="D153" s="28"/>
      <c r="E153" s="18"/>
      <c r="F153" s="28"/>
      <c r="G153" s="32" t="str">
        <f aca="false">IF(F153="","",IFERROR(INDEX(請求台帳!$D$5:$D$504,MATCH(F153,請求台帳!$A$5:$A$504,0)),""))</f>
        <v/>
      </c>
      <c r="H153" s="26" t="str">
        <f aca="false">IF(F153="","",IFERROR(INDEX(請求台帳!$I$5:$I$504,MATCH(F153,請求台帳!$A$5:$A$504,0)),""))</f>
        <v/>
      </c>
      <c r="I153" s="29" t="str">
        <f aca="false">IF(COUNTA(B153,D153,E153,F153)=0,"",IF(OR(B153="",E153=""),"要入力",IF(F153="","未消込",IF(ISNA(MATCH(F153,請求台帳!$A$5:$A$504,0)),"番号誤り",IF(INDEX(請求台帳!$T$5:$T$504,MATCH(F153,請求台帳!$A$5:$A$504,0))="取消","取消請求へ消込","消込済")))))</f>
        <v/>
      </c>
      <c r="J153" s="28"/>
      <c r="K153" s="28"/>
    </row>
    <row r="154" customFormat="false" ht="15" hidden="false" customHeight="false" outlineLevel="0" collapsed="false">
      <c r="A154" s="32" t="str">
        <f aca="false">IF(COUNTA(B154,D154,E154,F154)=0,"",ROW()-4)</f>
        <v/>
      </c>
      <c r="B154" s="22"/>
      <c r="C154" s="28"/>
      <c r="D154" s="28"/>
      <c r="E154" s="18"/>
      <c r="F154" s="28"/>
      <c r="G154" s="32" t="str">
        <f aca="false">IF(F154="","",IFERROR(INDEX(請求台帳!$D$5:$D$504,MATCH(F154,請求台帳!$A$5:$A$504,0)),""))</f>
        <v/>
      </c>
      <c r="H154" s="26" t="str">
        <f aca="false">IF(F154="","",IFERROR(INDEX(請求台帳!$I$5:$I$504,MATCH(F154,請求台帳!$A$5:$A$504,0)),""))</f>
        <v/>
      </c>
      <c r="I154" s="29" t="str">
        <f aca="false">IF(COUNTA(B154,D154,E154,F154)=0,"",IF(OR(B154="",E154=""),"要入力",IF(F154="","未消込",IF(ISNA(MATCH(F154,請求台帳!$A$5:$A$504,0)),"番号誤り",IF(INDEX(請求台帳!$T$5:$T$504,MATCH(F154,請求台帳!$A$5:$A$504,0))="取消","取消請求へ消込","消込済")))))</f>
        <v/>
      </c>
      <c r="J154" s="28"/>
      <c r="K154" s="28"/>
    </row>
    <row r="155" customFormat="false" ht="15" hidden="false" customHeight="false" outlineLevel="0" collapsed="false">
      <c r="A155" s="32" t="str">
        <f aca="false">IF(COUNTA(B155,D155,E155,F155)=0,"",ROW()-4)</f>
        <v/>
      </c>
      <c r="B155" s="22"/>
      <c r="C155" s="28"/>
      <c r="D155" s="28"/>
      <c r="E155" s="18"/>
      <c r="F155" s="28"/>
      <c r="G155" s="32" t="str">
        <f aca="false">IF(F155="","",IFERROR(INDEX(請求台帳!$D$5:$D$504,MATCH(F155,請求台帳!$A$5:$A$504,0)),""))</f>
        <v/>
      </c>
      <c r="H155" s="26" t="str">
        <f aca="false">IF(F155="","",IFERROR(INDEX(請求台帳!$I$5:$I$504,MATCH(F155,請求台帳!$A$5:$A$504,0)),""))</f>
        <v/>
      </c>
      <c r="I155" s="29" t="str">
        <f aca="false">IF(COUNTA(B155,D155,E155,F155)=0,"",IF(OR(B155="",E155=""),"要入力",IF(F155="","未消込",IF(ISNA(MATCH(F155,請求台帳!$A$5:$A$504,0)),"番号誤り",IF(INDEX(請求台帳!$T$5:$T$504,MATCH(F155,請求台帳!$A$5:$A$504,0))="取消","取消請求へ消込","消込済")))))</f>
        <v/>
      </c>
      <c r="J155" s="28"/>
      <c r="K155" s="28"/>
    </row>
    <row r="156" customFormat="false" ht="15" hidden="false" customHeight="false" outlineLevel="0" collapsed="false">
      <c r="A156" s="32" t="str">
        <f aca="false">IF(COUNTA(B156,D156,E156,F156)=0,"",ROW()-4)</f>
        <v/>
      </c>
      <c r="B156" s="22"/>
      <c r="C156" s="28"/>
      <c r="D156" s="28"/>
      <c r="E156" s="18"/>
      <c r="F156" s="28"/>
      <c r="G156" s="32" t="str">
        <f aca="false">IF(F156="","",IFERROR(INDEX(請求台帳!$D$5:$D$504,MATCH(F156,請求台帳!$A$5:$A$504,0)),""))</f>
        <v/>
      </c>
      <c r="H156" s="26" t="str">
        <f aca="false">IF(F156="","",IFERROR(INDEX(請求台帳!$I$5:$I$504,MATCH(F156,請求台帳!$A$5:$A$504,0)),""))</f>
        <v/>
      </c>
      <c r="I156" s="29" t="str">
        <f aca="false">IF(COUNTA(B156,D156,E156,F156)=0,"",IF(OR(B156="",E156=""),"要入力",IF(F156="","未消込",IF(ISNA(MATCH(F156,請求台帳!$A$5:$A$504,0)),"番号誤り",IF(INDEX(請求台帳!$T$5:$T$504,MATCH(F156,請求台帳!$A$5:$A$504,0))="取消","取消請求へ消込","消込済")))))</f>
        <v/>
      </c>
      <c r="J156" s="28"/>
      <c r="K156" s="28"/>
    </row>
    <row r="157" customFormat="false" ht="15" hidden="false" customHeight="false" outlineLevel="0" collapsed="false">
      <c r="A157" s="32" t="str">
        <f aca="false">IF(COUNTA(B157,D157,E157,F157)=0,"",ROW()-4)</f>
        <v/>
      </c>
      <c r="B157" s="22"/>
      <c r="C157" s="28"/>
      <c r="D157" s="28"/>
      <c r="E157" s="18"/>
      <c r="F157" s="28"/>
      <c r="G157" s="32" t="str">
        <f aca="false">IF(F157="","",IFERROR(INDEX(請求台帳!$D$5:$D$504,MATCH(F157,請求台帳!$A$5:$A$504,0)),""))</f>
        <v/>
      </c>
      <c r="H157" s="26" t="str">
        <f aca="false">IF(F157="","",IFERROR(INDEX(請求台帳!$I$5:$I$504,MATCH(F157,請求台帳!$A$5:$A$504,0)),""))</f>
        <v/>
      </c>
      <c r="I157" s="29" t="str">
        <f aca="false">IF(COUNTA(B157,D157,E157,F157)=0,"",IF(OR(B157="",E157=""),"要入力",IF(F157="","未消込",IF(ISNA(MATCH(F157,請求台帳!$A$5:$A$504,0)),"番号誤り",IF(INDEX(請求台帳!$T$5:$T$504,MATCH(F157,請求台帳!$A$5:$A$504,0))="取消","取消請求へ消込","消込済")))))</f>
        <v/>
      </c>
      <c r="J157" s="28"/>
      <c r="K157" s="28"/>
    </row>
    <row r="158" customFormat="false" ht="15" hidden="false" customHeight="false" outlineLevel="0" collapsed="false">
      <c r="A158" s="32" t="str">
        <f aca="false">IF(COUNTA(B158,D158,E158,F158)=0,"",ROW()-4)</f>
        <v/>
      </c>
      <c r="B158" s="22"/>
      <c r="C158" s="28"/>
      <c r="D158" s="28"/>
      <c r="E158" s="18"/>
      <c r="F158" s="28"/>
      <c r="G158" s="32" t="str">
        <f aca="false">IF(F158="","",IFERROR(INDEX(請求台帳!$D$5:$D$504,MATCH(F158,請求台帳!$A$5:$A$504,0)),""))</f>
        <v/>
      </c>
      <c r="H158" s="26" t="str">
        <f aca="false">IF(F158="","",IFERROR(INDEX(請求台帳!$I$5:$I$504,MATCH(F158,請求台帳!$A$5:$A$504,0)),""))</f>
        <v/>
      </c>
      <c r="I158" s="29" t="str">
        <f aca="false">IF(COUNTA(B158,D158,E158,F158)=0,"",IF(OR(B158="",E158=""),"要入力",IF(F158="","未消込",IF(ISNA(MATCH(F158,請求台帳!$A$5:$A$504,0)),"番号誤り",IF(INDEX(請求台帳!$T$5:$T$504,MATCH(F158,請求台帳!$A$5:$A$504,0))="取消","取消請求へ消込","消込済")))))</f>
        <v/>
      </c>
      <c r="J158" s="28"/>
      <c r="K158" s="28"/>
    </row>
    <row r="159" customFormat="false" ht="15" hidden="false" customHeight="false" outlineLevel="0" collapsed="false">
      <c r="A159" s="32" t="str">
        <f aca="false">IF(COUNTA(B159,D159,E159,F159)=0,"",ROW()-4)</f>
        <v/>
      </c>
      <c r="B159" s="22"/>
      <c r="C159" s="28"/>
      <c r="D159" s="28"/>
      <c r="E159" s="18"/>
      <c r="F159" s="28"/>
      <c r="G159" s="32" t="str">
        <f aca="false">IF(F159="","",IFERROR(INDEX(請求台帳!$D$5:$D$504,MATCH(F159,請求台帳!$A$5:$A$504,0)),""))</f>
        <v/>
      </c>
      <c r="H159" s="26" t="str">
        <f aca="false">IF(F159="","",IFERROR(INDEX(請求台帳!$I$5:$I$504,MATCH(F159,請求台帳!$A$5:$A$504,0)),""))</f>
        <v/>
      </c>
      <c r="I159" s="29" t="str">
        <f aca="false">IF(COUNTA(B159,D159,E159,F159)=0,"",IF(OR(B159="",E159=""),"要入力",IF(F159="","未消込",IF(ISNA(MATCH(F159,請求台帳!$A$5:$A$504,0)),"番号誤り",IF(INDEX(請求台帳!$T$5:$T$504,MATCH(F159,請求台帳!$A$5:$A$504,0))="取消","取消請求へ消込","消込済")))))</f>
        <v/>
      </c>
      <c r="J159" s="28"/>
      <c r="K159" s="28"/>
    </row>
    <row r="160" customFormat="false" ht="15" hidden="false" customHeight="false" outlineLevel="0" collapsed="false">
      <c r="A160" s="32" t="str">
        <f aca="false">IF(COUNTA(B160,D160,E160,F160)=0,"",ROW()-4)</f>
        <v/>
      </c>
      <c r="B160" s="22"/>
      <c r="C160" s="28"/>
      <c r="D160" s="28"/>
      <c r="E160" s="18"/>
      <c r="F160" s="28"/>
      <c r="G160" s="32" t="str">
        <f aca="false">IF(F160="","",IFERROR(INDEX(請求台帳!$D$5:$D$504,MATCH(F160,請求台帳!$A$5:$A$504,0)),""))</f>
        <v/>
      </c>
      <c r="H160" s="26" t="str">
        <f aca="false">IF(F160="","",IFERROR(INDEX(請求台帳!$I$5:$I$504,MATCH(F160,請求台帳!$A$5:$A$504,0)),""))</f>
        <v/>
      </c>
      <c r="I160" s="29" t="str">
        <f aca="false">IF(COUNTA(B160,D160,E160,F160)=0,"",IF(OR(B160="",E160=""),"要入力",IF(F160="","未消込",IF(ISNA(MATCH(F160,請求台帳!$A$5:$A$504,0)),"番号誤り",IF(INDEX(請求台帳!$T$5:$T$504,MATCH(F160,請求台帳!$A$5:$A$504,0))="取消","取消請求へ消込","消込済")))))</f>
        <v/>
      </c>
      <c r="J160" s="28"/>
      <c r="K160" s="28"/>
    </row>
    <row r="161" customFormat="false" ht="15" hidden="false" customHeight="false" outlineLevel="0" collapsed="false">
      <c r="A161" s="32" t="str">
        <f aca="false">IF(COUNTA(B161,D161,E161,F161)=0,"",ROW()-4)</f>
        <v/>
      </c>
      <c r="B161" s="22"/>
      <c r="C161" s="28"/>
      <c r="D161" s="28"/>
      <c r="E161" s="18"/>
      <c r="F161" s="28"/>
      <c r="G161" s="32" t="str">
        <f aca="false">IF(F161="","",IFERROR(INDEX(請求台帳!$D$5:$D$504,MATCH(F161,請求台帳!$A$5:$A$504,0)),""))</f>
        <v/>
      </c>
      <c r="H161" s="26" t="str">
        <f aca="false">IF(F161="","",IFERROR(INDEX(請求台帳!$I$5:$I$504,MATCH(F161,請求台帳!$A$5:$A$504,0)),""))</f>
        <v/>
      </c>
      <c r="I161" s="29" t="str">
        <f aca="false">IF(COUNTA(B161,D161,E161,F161)=0,"",IF(OR(B161="",E161=""),"要入力",IF(F161="","未消込",IF(ISNA(MATCH(F161,請求台帳!$A$5:$A$504,0)),"番号誤り",IF(INDEX(請求台帳!$T$5:$T$504,MATCH(F161,請求台帳!$A$5:$A$504,0))="取消","取消請求へ消込","消込済")))))</f>
        <v/>
      </c>
      <c r="J161" s="28"/>
      <c r="K161" s="28"/>
    </row>
    <row r="162" customFormat="false" ht="15" hidden="false" customHeight="false" outlineLevel="0" collapsed="false">
      <c r="A162" s="32" t="str">
        <f aca="false">IF(COUNTA(B162,D162,E162,F162)=0,"",ROW()-4)</f>
        <v/>
      </c>
      <c r="B162" s="22"/>
      <c r="C162" s="28"/>
      <c r="D162" s="28"/>
      <c r="E162" s="18"/>
      <c r="F162" s="28"/>
      <c r="G162" s="32" t="str">
        <f aca="false">IF(F162="","",IFERROR(INDEX(請求台帳!$D$5:$D$504,MATCH(F162,請求台帳!$A$5:$A$504,0)),""))</f>
        <v/>
      </c>
      <c r="H162" s="26" t="str">
        <f aca="false">IF(F162="","",IFERROR(INDEX(請求台帳!$I$5:$I$504,MATCH(F162,請求台帳!$A$5:$A$504,0)),""))</f>
        <v/>
      </c>
      <c r="I162" s="29" t="str">
        <f aca="false">IF(COUNTA(B162,D162,E162,F162)=0,"",IF(OR(B162="",E162=""),"要入力",IF(F162="","未消込",IF(ISNA(MATCH(F162,請求台帳!$A$5:$A$504,0)),"番号誤り",IF(INDEX(請求台帳!$T$5:$T$504,MATCH(F162,請求台帳!$A$5:$A$504,0))="取消","取消請求へ消込","消込済")))))</f>
        <v/>
      </c>
      <c r="J162" s="28"/>
      <c r="K162" s="28"/>
    </row>
    <row r="163" customFormat="false" ht="15" hidden="false" customHeight="false" outlineLevel="0" collapsed="false">
      <c r="A163" s="32" t="str">
        <f aca="false">IF(COUNTA(B163,D163,E163,F163)=0,"",ROW()-4)</f>
        <v/>
      </c>
      <c r="B163" s="22"/>
      <c r="C163" s="28"/>
      <c r="D163" s="28"/>
      <c r="E163" s="18"/>
      <c r="F163" s="28"/>
      <c r="G163" s="32" t="str">
        <f aca="false">IF(F163="","",IFERROR(INDEX(請求台帳!$D$5:$D$504,MATCH(F163,請求台帳!$A$5:$A$504,0)),""))</f>
        <v/>
      </c>
      <c r="H163" s="26" t="str">
        <f aca="false">IF(F163="","",IFERROR(INDEX(請求台帳!$I$5:$I$504,MATCH(F163,請求台帳!$A$5:$A$504,0)),""))</f>
        <v/>
      </c>
      <c r="I163" s="29" t="str">
        <f aca="false">IF(COUNTA(B163,D163,E163,F163)=0,"",IF(OR(B163="",E163=""),"要入力",IF(F163="","未消込",IF(ISNA(MATCH(F163,請求台帳!$A$5:$A$504,0)),"番号誤り",IF(INDEX(請求台帳!$T$5:$T$504,MATCH(F163,請求台帳!$A$5:$A$504,0))="取消","取消請求へ消込","消込済")))))</f>
        <v/>
      </c>
      <c r="J163" s="28"/>
      <c r="K163" s="28"/>
    </row>
    <row r="164" customFormat="false" ht="15" hidden="false" customHeight="false" outlineLevel="0" collapsed="false">
      <c r="A164" s="32" t="str">
        <f aca="false">IF(COUNTA(B164,D164,E164,F164)=0,"",ROW()-4)</f>
        <v/>
      </c>
      <c r="B164" s="22"/>
      <c r="C164" s="28"/>
      <c r="D164" s="28"/>
      <c r="E164" s="18"/>
      <c r="F164" s="28"/>
      <c r="G164" s="32" t="str">
        <f aca="false">IF(F164="","",IFERROR(INDEX(請求台帳!$D$5:$D$504,MATCH(F164,請求台帳!$A$5:$A$504,0)),""))</f>
        <v/>
      </c>
      <c r="H164" s="26" t="str">
        <f aca="false">IF(F164="","",IFERROR(INDEX(請求台帳!$I$5:$I$504,MATCH(F164,請求台帳!$A$5:$A$504,0)),""))</f>
        <v/>
      </c>
      <c r="I164" s="29" t="str">
        <f aca="false">IF(COUNTA(B164,D164,E164,F164)=0,"",IF(OR(B164="",E164=""),"要入力",IF(F164="","未消込",IF(ISNA(MATCH(F164,請求台帳!$A$5:$A$504,0)),"番号誤り",IF(INDEX(請求台帳!$T$5:$T$504,MATCH(F164,請求台帳!$A$5:$A$504,0))="取消","取消請求へ消込","消込済")))))</f>
        <v/>
      </c>
      <c r="J164" s="28"/>
      <c r="K164" s="28"/>
    </row>
    <row r="165" customFormat="false" ht="15" hidden="false" customHeight="false" outlineLevel="0" collapsed="false">
      <c r="A165" s="32" t="str">
        <f aca="false">IF(COUNTA(B165,D165,E165,F165)=0,"",ROW()-4)</f>
        <v/>
      </c>
      <c r="B165" s="22"/>
      <c r="C165" s="28"/>
      <c r="D165" s="28"/>
      <c r="E165" s="18"/>
      <c r="F165" s="28"/>
      <c r="G165" s="32" t="str">
        <f aca="false">IF(F165="","",IFERROR(INDEX(請求台帳!$D$5:$D$504,MATCH(F165,請求台帳!$A$5:$A$504,0)),""))</f>
        <v/>
      </c>
      <c r="H165" s="26" t="str">
        <f aca="false">IF(F165="","",IFERROR(INDEX(請求台帳!$I$5:$I$504,MATCH(F165,請求台帳!$A$5:$A$504,0)),""))</f>
        <v/>
      </c>
      <c r="I165" s="29" t="str">
        <f aca="false">IF(COUNTA(B165,D165,E165,F165)=0,"",IF(OR(B165="",E165=""),"要入力",IF(F165="","未消込",IF(ISNA(MATCH(F165,請求台帳!$A$5:$A$504,0)),"番号誤り",IF(INDEX(請求台帳!$T$5:$T$504,MATCH(F165,請求台帳!$A$5:$A$504,0))="取消","取消請求へ消込","消込済")))))</f>
        <v/>
      </c>
      <c r="J165" s="28"/>
      <c r="K165" s="28"/>
    </row>
    <row r="166" customFormat="false" ht="15" hidden="false" customHeight="false" outlineLevel="0" collapsed="false">
      <c r="A166" s="32" t="str">
        <f aca="false">IF(COUNTA(B166,D166,E166,F166)=0,"",ROW()-4)</f>
        <v/>
      </c>
      <c r="B166" s="22"/>
      <c r="C166" s="28"/>
      <c r="D166" s="28"/>
      <c r="E166" s="18"/>
      <c r="F166" s="28"/>
      <c r="G166" s="32" t="str">
        <f aca="false">IF(F166="","",IFERROR(INDEX(請求台帳!$D$5:$D$504,MATCH(F166,請求台帳!$A$5:$A$504,0)),""))</f>
        <v/>
      </c>
      <c r="H166" s="26" t="str">
        <f aca="false">IF(F166="","",IFERROR(INDEX(請求台帳!$I$5:$I$504,MATCH(F166,請求台帳!$A$5:$A$504,0)),""))</f>
        <v/>
      </c>
      <c r="I166" s="29" t="str">
        <f aca="false">IF(COUNTA(B166,D166,E166,F166)=0,"",IF(OR(B166="",E166=""),"要入力",IF(F166="","未消込",IF(ISNA(MATCH(F166,請求台帳!$A$5:$A$504,0)),"番号誤り",IF(INDEX(請求台帳!$T$5:$T$504,MATCH(F166,請求台帳!$A$5:$A$504,0))="取消","取消請求へ消込","消込済")))))</f>
        <v/>
      </c>
      <c r="J166" s="28"/>
      <c r="K166" s="28"/>
    </row>
    <row r="167" customFormat="false" ht="15" hidden="false" customHeight="false" outlineLevel="0" collapsed="false">
      <c r="A167" s="32" t="str">
        <f aca="false">IF(COUNTA(B167,D167,E167,F167)=0,"",ROW()-4)</f>
        <v/>
      </c>
      <c r="B167" s="22"/>
      <c r="C167" s="28"/>
      <c r="D167" s="28"/>
      <c r="E167" s="18"/>
      <c r="F167" s="28"/>
      <c r="G167" s="32" t="str">
        <f aca="false">IF(F167="","",IFERROR(INDEX(請求台帳!$D$5:$D$504,MATCH(F167,請求台帳!$A$5:$A$504,0)),""))</f>
        <v/>
      </c>
      <c r="H167" s="26" t="str">
        <f aca="false">IF(F167="","",IFERROR(INDEX(請求台帳!$I$5:$I$504,MATCH(F167,請求台帳!$A$5:$A$504,0)),""))</f>
        <v/>
      </c>
      <c r="I167" s="29" t="str">
        <f aca="false">IF(COUNTA(B167,D167,E167,F167)=0,"",IF(OR(B167="",E167=""),"要入力",IF(F167="","未消込",IF(ISNA(MATCH(F167,請求台帳!$A$5:$A$504,0)),"番号誤り",IF(INDEX(請求台帳!$T$5:$T$504,MATCH(F167,請求台帳!$A$5:$A$504,0))="取消","取消請求へ消込","消込済")))))</f>
        <v/>
      </c>
      <c r="J167" s="28"/>
      <c r="K167" s="28"/>
    </row>
    <row r="168" customFormat="false" ht="15" hidden="false" customHeight="false" outlineLevel="0" collapsed="false">
      <c r="A168" s="32" t="str">
        <f aca="false">IF(COUNTA(B168,D168,E168,F168)=0,"",ROW()-4)</f>
        <v/>
      </c>
      <c r="B168" s="22"/>
      <c r="C168" s="28"/>
      <c r="D168" s="28"/>
      <c r="E168" s="18"/>
      <c r="F168" s="28"/>
      <c r="G168" s="32" t="str">
        <f aca="false">IF(F168="","",IFERROR(INDEX(請求台帳!$D$5:$D$504,MATCH(F168,請求台帳!$A$5:$A$504,0)),""))</f>
        <v/>
      </c>
      <c r="H168" s="26" t="str">
        <f aca="false">IF(F168="","",IFERROR(INDEX(請求台帳!$I$5:$I$504,MATCH(F168,請求台帳!$A$5:$A$504,0)),""))</f>
        <v/>
      </c>
      <c r="I168" s="29" t="str">
        <f aca="false">IF(COUNTA(B168,D168,E168,F168)=0,"",IF(OR(B168="",E168=""),"要入力",IF(F168="","未消込",IF(ISNA(MATCH(F168,請求台帳!$A$5:$A$504,0)),"番号誤り",IF(INDEX(請求台帳!$T$5:$T$504,MATCH(F168,請求台帳!$A$5:$A$504,0))="取消","取消請求へ消込","消込済")))))</f>
        <v/>
      </c>
      <c r="J168" s="28"/>
      <c r="K168" s="28"/>
    </row>
    <row r="169" customFormat="false" ht="15" hidden="false" customHeight="false" outlineLevel="0" collapsed="false">
      <c r="A169" s="32" t="str">
        <f aca="false">IF(COUNTA(B169,D169,E169,F169)=0,"",ROW()-4)</f>
        <v/>
      </c>
      <c r="B169" s="22"/>
      <c r="C169" s="28"/>
      <c r="D169" s="28"/>
      <c r="E169" s="18"/>
      <c r="F169" s="28"/>
      <c r="G169" s="32" t="str">
        <f aca="false">IF(F169="","",IFERROR(INDEX(請求台帳!$D$5:$D$504,MATCH(F169,請求台帳!$A$5:$A$504,0)),""))</f>
        <v/>
      </c>
      <c r="H169" s="26" t="str">
        <f aca="false">IF(F169="","",IFERROR(INDEX(請求台帳!$I$5:$I$504,MATCH(F169,請求台帳!$A$5:$A$504,0)),""))</f>
        <v/>
      </c>
      <c r="I169" s="29" t="str">
        <f aca="false">IF(COUNTA(B169,D169,E169,F169)=0,"",IF(OR(B169="",E169=""),"要入力",IF(F169="","未消込",IF(ISNA(MATCH(F169,請求台帳!$A$5:$A$504,0)),"番号誤り",IF(INDEX(請求台帳!$T$5:$T$504,MATCH(F169,請求台帳!$A$5:$A$504,0))="取消","取消請求へ消込","消込済")))))</f>
        <v/>
      </c>
      <c r="J169" s="28"/>
      <c r="K169" s="28"/>
    </row>
    <row r="170" customFormat="false" ht="15" hidden="false" customHeight="false" outlineLevel="0" collapsed="false">
      <c r="A170" s="32" t="str">
        <f aca="false">IF(COUNTA(B170,D170,E170,F170)=0,"",ROW()-4)</f>
        <v/>
      </c>
      <c r="B170" s="22"/>
      <c r="C170" s="28"/>
      <c r="D170" s="28"/>
      <c r="E170" s="18"/>
      <c r="F170" s="28"/>
      <c r="G170" s="32" t="str">
        <f aca="false">IF(F170="","",IFERROR(INDEX(請求台帳!$D$5:$D$504,MATCH(F170,請求台帳!$A$5:$A$504,0)),""))</f>
        <v/>
      </c>
      <c r="H170" s="26" t="str">
        <f aca="false">IF(F170="","",IFERROR(INDEX(請求台帳!$I$5:$I$504,MATCH(F170,請求台帳!$A$5:$A$504,0)),""))</f>
        <v/>
      </c>
      <c r="I170" s="29" t="str">
        <f aca="false">IF(COUNTA(B170,D170,E170,F170)=0,"",IF(OR(B170="",E170=""),"要入力",IF(F170="","未消込",IF(ISNA(MATCH(F170,請求台帳!$A$5:$A$504,0)),"番号誤り",IF(INDEX(請求台帳!$T$5:$T$504,MATCH(F170,請求台帳!$A$5:$A$504,0))="取消","取消請求へ消込","消込済")))))</f>
        <v/>
      </c>
      <c r="J170" s="28"/>
      <c r="K170" s="28"/>
    </row>
    <row r="171" customFormat="false" ht="15" hidden="false" customHeight="false" outlineLevel="0" collapsed="false">
      <c r="A171" s="32" t="str">
        <f aca="false">IF(COUNTA(B171,D171,E171,F171)=0,"",ROW()-4)</f>
        <v/>
      </c>
      <c r="B171" s="22"/>
      <c r="C171" s="28"/>
      <c r="D171" s="28"/>
      <c r="E171" s="18"/>
      <c r="F171" s="28"/>
      <c r="G171" s="32" t="str">
        <f aca="false">IF(F171="","",IFERROR(INDEX(請求台帳!$D$5:$D$504,MATCH(F171,請求台帳!$A$5:$A$504,0)),""))</f>
        <v/>
      </c>
      <c r="H171" s="26" t="str">
        <f aca="false">IF(F171="","",IFERROR(INDEX(請求台帳!$I$5:$I$504,MATCH(F171,請求台帳!$A$5:$A$504,0)),""))</f>
        <v/>
      </c>
      <c r="I171" s="29" t="str">
        <f aca="false">IF(COUNTA(B171,D171,E171,F171)=0,"",IF(OR(B171="",E171=""),"要入力",IF(F171="","未消込",IF(ISNA(MATCH(F171,請求台帳!$A$5:$A$504,0)),"番号誤り",IF(INDEX(請求台帳!$T$5:$T$504,MATCH(F171,請求台帳!$A$5:$A$504,0))="取消","取消請求へ消込","消込済")))))</f>
        <v/>
      </c>
      <c r="J171" s="28"/>
      <c r="K171" s="28"/>
    </row>
    <row r="172" customFormat="false" ht="15" hidden="false" customHeight="false" outlineLevel="0" collapsed="false">
      <c r="A172" s="32" t="str">
        <f aca="false">IF(COUNTA(B172,D172,E172,F172)=0,"",ROW()-4)</f>
        <v/>
      </c>
      <c r="B172" s="22"/>
      <c r="C172" s="28"/>
      <c r="D172" s="28"/>
      <c r="E172" s="18"/>
      <c r="F172" s="28"/>
      <c r="G172" s="32" t="str">
        <f aca="false">IF(F172="","",IFERROR(INDEX(請求台帳!$D$5:$D$504,MATCH(F172,請求台帳!$A$5:$A$504,0)),""))</f>
        <v/>
      </c>
      <c r="H172" s="26" t="str">
        <f aca="false">IF(F172="","",IFERROR(INDEX(請求台帳!$I$5:$I$504,MATCH(F172,請求台帳!$A$5:$A$504,0)),""))</f>
        <v/>
      </c>
      <c r="I172" s="29" t="str">
        <f aca="false">IF(COUNTA(B172,D172,E172,F172)=0,"",IF(OR(B172="",E172=""),"要入力",IF(F172="","未消込",IF(ISNA(MATCH(F172,請求台帳!$A$5:$A$504,0)),"番号誤り",IF(INDEX(請求台帳!$T$5:$T$504,MATCH(F172,請求台帳!$A$5:$A$504,0))="取消","取消請求へ消込","消込済")))))</f>
        <v/>
      </c>
      <c r="J172" s="28"/>
      <c r="K172" s="28"/>
    </row>
    <row r="173" customFormat="false" ht="15" hidden="false" customHeight="false" outlineLevel="0" collapsed="false">
      <c r="A173" s="32" t="str">
        <f aca="false">IF(COUNTA(B173,D173,E173,F173)=0,"",ROW()-4)</f>
        <v/>
      </c>
      <c r="B173" s="22"/>
      <c r="C173" s="28"/>
      <c r="D173" s="28"/>
      <c r="E173" s="18"/>
      <c r="F173" s="28"/>
      <c r="G173" s="32" t="str">
        <f aca="false">IF(F173="","",IFERROR(INDEX(請求台帳!$D$5:$D$504,MATCH(F173,請求台帳!$A$5:$A$504,0)),""))</f>
        <v/>
      </c>
      <c r="H173" s="26" t="str">
        <f aca="false">IF(F173="","",IFERROR(INDEX(請求台帳!$I$5:$I$504,MATCH(F173,請求台帳!$A$5:$A$504,0)),""))</f>
        <v/>
      </c>
      <c r="I173" s="29" t="str">
        <f aca="false">IF(COUNTA(B173,D173,E173,F173)=0,"",IF(OR(B173="",E173=""),"要入力",IF(F173="","未消込",IF(ISNA(MATCH(F173,請求台帳!$A$5:$A$504,0)),"番号誤り",IF(INDEX(請求台帳!$T$5:$T$504,MATCH(F173,請求台帳!$A$5:$A$504,0))="取消","取消請求へ消込","消込済")))))</f>
        <v/>
      </c>
      <c r="J173" s="28"/>
      <c r="K173" s="28"/>
    </row>
    <row r="174" customFormat="false" ht="15" hidden="false" customHeight="false" outlineLevel="0" collapsed="false">
      <c r="A174" s="32" t="str">
        <f aca="false">IF(COUNTA(B174,D174,E174,F174)=0,"",ROW()-4)</f>
        <v/>
      </c>
      <c r="B174" s="22"/>
      <c r="C174" s="28"/>
      <c r="D174" s="28"/>
      <c r="E174" s="18"/>
      <c r="F174" s="28"/>
      <c r="G174" s="32" t="str">
        <f aca="false">IF(F174="","",IFERROR(INDEX(請求台帳!$D$5:$D$504,MATCH(F174,請求台帳!$A$5:$A$504,0)),""))</f>
        <v/>
      </c>
      <c r="H174" s="26" t="str">
        <f aca="false">IF(F174="","",IFERROR(INDEX(請求台帳!$I$5:$I$504,MATCH(F174,請求台帳!$A$5:$A$504,0)),""))</f>
        <v/>
      </c>
      <c r="I174" s="29" t="str">
        <f aca="false">IF(COUNTA(B174,D174,E174,F174)=0,"",IF(OR(B174="",E174=""),"要入力",IF(F174="","未消込",IF(ISNA(MATCH(F174,請求台帳!$A$5:$A$504,0)),"番号誤り",IF(INDEX(請求台帳!$T$5:$T$504,MATCH(F174,請求台帳!$A$5:$A$504,0))="取消","取消請求へ消込","消込済")))))</f>
        <v/>
      </c>
      <c r="J174" s="28"/>
      <c r="K174" s="28"/>
    </row>
    <row r="175" customFormat="false" ht="15" hidden="false" customHeight="false" outlineLevel="0" collapsed="false">
      <c r="A175" s="32" t="str">
        <f aca="false">IF(COUNTA(B175,D175,E175,F175)=0,"",ROW()-4)</f>
        <v/>
      </c>
      <c r="B175" s="22"/>
      <c r="C175" s="28"/>
      <c r="D175" s="28"/>
      <c r="E175" s="18"/>
      <c r="F175" s="28"/>
      <c r="G175" s="32" t="str">
        <f aca="false">IF(F175="","",IFERROR(INDEX(請求台帳!$D$5:$D$504,MATCH(F175,請求台帳!$A$5:$A$504,0)),""))</f>
        <v/>
      </c>
      <c r="H175" s="26" t="str">
        <f aca="false">IF(F175="","",IFERROR(INDEX(請求台帳!$I$5:$I$504,MATCH(F175,請求台帳!$A$5:$A$504,0)),""))</f>
        <v/>
      </c>
      <c r="I175" s="29" t="str">
        <f aca="false">IF(COUNTA(B175,D175,E175,F175)=0,"",IF(OR(B175="",E175=""),"要入力",IF(F175="","未消込",IF(ISNA(MATCH(F175,請求台帳!$A$5:$A$504,0)),"番号誤り",IF(INDEX(請求台帳!$T$5:$T$504,MATCH(F175,請求台帳!$A$5:$A$504,0))="取消","取消請求へ消込","消込済")))))</f>
        <v/>
      </c>
      <c r="J175" s="28"/>
      <c r="K175" s="28"/>
    </row>
    <row r="176" customFormat="false" ht="15" hidden="false" customHeight="false" outlineLevel="0" collapsed="false">
      <c r="A176" s="32" t="str">
        <f aca="false">IF(COUNTA(B176,D176,E176,F176)=0,"",ROW()-4)</f>
        <v/>
      </c>
      <c r="B176" s="22"/>
      <c r="C176" s="28"/>
      <c r="D176" s="28"/>
      <c r="E176" s="18"/>
      <c r="F176" s="28"/>
      <c r="G176" s="32" t="str">
        <f aca="false">IF(F176="","",IFERROR(INDEX(請求台帳!$D$5:$D$504,MATCH(F176,請求台帳!$A$5:$A$504,0)),""))</f>
        <v/>
      </c>
      <c r="H176" s="26" t="str">
        <f aca="false">IF(F176="","",IFERROR(INDEX(請求台帳!$I$5:$I$504,MATCH(F176,請求台帳!$A$5:$A$504,0)),""))</f>
        <v/>
      </c>
      <c r="I176" s="29" t="str">
        <f aca="false">IF(COUNTA(B176,D176,E176,F176)=0,"",IF(OR(B176="",E176=""),"要入力",IF(F176="","未消込",IF(ISNA(MATCH(F176,請求台帳!$A$5:$A$504,0)),"番号誤り",IF(INDEX(請求台帳!$T$5:$T$504,MATCH(F176,請求台帳!$A$5:$A$504,0))="取消","取消請求へ消込","消込済")))))</f>
        <v/>
      </c>
      <c r="J176" s="28"/>
      <c r="K176" s="28"/>
    </row>
    <row r="177" customFormat="false" ht="15" hidden="false" customHeight="false" outlineLevel="0" collapsed="false">
      <c r="A177" s="32" t="str">
        <f aca="false">IF(COUNTA(B177,D177,E177,F177)=0,"",ROW()-4)</f>
        <v/>
      </c>
      <c r="B177" s="22"/>
      <c r="C177" s="28"/>
      <c r="D177" s="28"/>
      <c r="E177" s="18"/>
      <c r="F177" s="28"/>
      <c r="G177" s="32" t="str">
        <f aca="false">IF(F177="","",IFERROR(INDEX(請求台帳!$D$5:$D$504,MATCH(F177,請求台帳!$A$5:$A$504,0)),""))</f>
        <v/>
      </c>
      <c r="H177" s="26" t="str">
        <f aca="false">IF(F177="","",IFERROR(INDEX(請求台帳!$I$5:$I$504,MATCH(F177,請求台帳!$A$5:$A$504,0)),""))</f>
        <v/>
      </c>
      <c r="I177" s="29" t="str">
        <f aca="false">IF(COUNTA(B177,D177,E177,F177)=0,"",IF(OR(B177="",E177=""),"要入力",IF(F177="","未消込",IF(ISNA(MATCH(F177,請求台帳!$A$5:$A$504,0)),"番号誤り",IF(INDEX(請求台帳!$T$5:$T$504,MATCH(F177,請求台帳!$A$5:$A$504,0))="取消","取消請求へ消込","消込済")))))</f>
        <v/>
      </c>
      <c r="J177" s="28"/>
      <c r="K177" s="28"/>
    </row>
    <row r="178" customFormat="false" ht="15" hidden="false" customHeight="false" outlineLevel="0" collapsed="false">
      <c r="A178" s="32" t="str">
        <f aca="false">IF(COUNTA(B178,D178,E178,F178)=0,"",ROW()-4)</f>
        <v/>
      </c>
      <c r="B178" s="22"/>
      <c r="C178" s="28"/>
      <c r="D178" s="28"/>
      <c r="E178" s="18"/>
      <c r="F178" s="28"/>
      <c r="G178" s="32" t="str">
        <f aca="false">IF(F178="","",IFERROR(INDEX(請求台帳!$D$5:$D$504,MATCH(F178,請求台帳!$A$5:$A$504,0)),""))</f>
        <v/>
      </c>
      <c r="H178" s="26" t="str">
        <f aca="false">IF(F178="","",IFERROR(INDEX(請求台帳!$I$5:$I$504,MATCH(F178,請求台帳!$A$5:$A$504,0)),""))</f>
        <v/>
      </c>
      <c r="I178" s="29" t="str">
        <f aca="false">IF(COUNTA(B178,D178,E178,F178)=0,"",IF(OR(B178="",E178=""),"要入力",IF(F178="","未消込",IF(ISNA(MATCH(F178,請求台帳!$A$5:$A$504,0)),"番号誤り",IF(INDEX(請求台帳!$T$5:$T$504,MATCH(F178,請求台帳!$A$5:$A$504,0))="取消","取消請求へ消込","消込済")))))</f>
        <v/>
      </c>
      <c r="J178" s="28"/>
      <c r="K178" s="28"/>
    </row>
    <row r="179" customFormat="false" ht="15" hidden="false" customHeight="false" outlineLevel="0" collapsed="false">
      <c r="A179" s="32" t="str">
        <f aca="false">IF(COUNTA(B179,D179,E179,F179)=0,"",ROW()-4)</f>
        <v/>
      </c>
      <c r="B179" s="22"/>
      <c r="C179" s="28"/>
      <c r="D179" s="28"/>
      <c r="E179" s="18"/>
      <c r="F179" s="28"/>
      <c r="G179" s="32" t="str">
        <f aca="false">IF(F179="","",IFERROR(INDEX(請求台帳!$D$5:$D$504,MATCH(F179,請求台帳!$A$5:$A$504,0)),""))</f>
        <v/>
      </c>
      <c r="H179" s="26" t="str">
        <f aca="false">IF(F179="","",IFERROR(INDEX(請求台帳!$I$5:$I$504,MATCH(F179,請求台帳!$A$5:$A$504,0)),""))</f>
        <v/>
      </c>
      <c r="I179" s="29" t="str">
        <f aca="false">IF(COUNTA(B179,D179,E179,F179)=0,"",IF(OR(B179="",E179=""),"要入力",IF(F179="","未消込",IF(ISNA(MATCH(F179,請求台帳!$A$5:$A$504,0)),"番号誤り",IF(INDEX(請求台帳!$T$5:$T$504,MATCH(F179,請求台帳!$A$5:$A$504,0))="取消","取消請求へ消込","消込済")))))</f>
        <v/>
      </c>
      <c r="J179" s="28"/>
      <c r="K179" s="28"/>
    </row>
    <row r="180" customFormat="false" ht="15" hidden="false" customHeight="false" outlineLevel="0" collapsed="false">
      <c r="A180" s="32" t="str">
        <f aca="false">IF(COUNTA(B180,D180,E180,F180)=0,"",ROW()-4)</f>
        <v/>
      </c>
      <c r="B180" s="22"/>
      <c r="C180" s="28"/>
      <c r="D180" s="28"/>
      <c r="E180" s="18"/>
      <c r="F180" s="28"/>
      <c r="G180" s="32" t="str">
        <f aca="false">IF(F180="","",IFERROR(INDEX(請求台帳!$D$5:$D$504,MATCH(F180,請求台帳!$A$5:$A$504,0)),""))</f>
        <v/>
      </c>
      <c r="H180" s="26" t="str">
        <f aca="false">IF(F180="","",IFERROR(INDEX(請求台帳!$I$5:$I$504,MATCH(F180,請求台帳!$A$5:$A$504,0)),""))</f>
        <v/>
      </c>
      <c r="I180" s="29" t="str">
        <f aca="false">IF(COUNTA(B180,D180,E180,F180)=0,"",IF(OR(B180="",E180=""),"要入力",IF(F180="","未消込",IF(ISNA(MATCH(F180,請求台帳!$A$5:$A$504,0)),"番号誤り",IF(INDEX(請求台帳!$T$5:$T$504,MATCH(F180,請求台帳!$A$5:$A$504,0))="取消","取消請求へ消込","消込済")))))</f>
        <v/>
      </c>
      <c r="J180" s="28"/>
      <c r="K180" s="28"/>
    </row>
    <row r="181" customFormat="false" ht="15" hidden="false" customHeight="false" outlineLevel="0" collapsed="false">
      <c r="A181" s="32" t="str">
        <f aca="false">IF(COUNTA(B181,D181,E181,F181)=0,"",ROW()-4)</f>
        <v/>
      </c>
      <c r="B181" s="22"/>
      <c r="C181" s="28"/>
      <c r="D181" s="28"/>
      <c r="E181" s="18"/>
      <c r="F181" s="28"/>
      <c r="G181" s="32" t="str">
        <f aca="false">IF(F181="","",IFERROR(INDEX(請求台帳!$D$5:$D$504,MATCH(F181,請求台帳!$A$5:$A$504,0)),""))</f>
        <v/>
      </c>
      <c r="H181" s="26" t="str">
        <f aca="false">IF(F181="","",IFERROR(INDEX(請求台帳!$I$5:$I$504,MATCH(F181,請求台帳!$A$5:$A$504,0)),""))</f>
        <v/>
      </c>
      <c r="I181" s="29" t="str">
        <f aca="false">IF(COUNTA(B181,D181,E181,F181)=0,"",IF(OR(B181="",E181=""),"要入力",IF(F181="","未消込",IF(ISNA(MATCH(F181,請求台帳!$A$5:$A$504,0)),"番号誤り",IF(INDEX(請求台帳!$T$5:$T$504,MATCH(F181,請求台帳!$A$5:$A$504,0))="取消","取消請求へ消込","消込済")))))</f>
        <v/>
      </c>
      <c r="J181" s="28"/>
      <c r="K181" s="28"/>
    </row>
    <row r="182" customFormat="false" ht="15" hidden="false" customHeight="false" outlineLevel="0" collapsed="false">
      <c r="A182" s="32" t="str">
        <f aca="false">IF(COUNTA(B182,D182,E182,F182)=0,"",ROW()-4)</f>
        <v/>
      </c>
      <c r="B182" s="22"/>
      <c r="C182" s="28"/>
      <c r="D182" s="28"/>
      <c r="E182" s="18"/>
      <c r="F182" s="28"/>
      <c r="G182" s="32" t="str">
        <f aca="false">IF(F182="","",IFERROR(INDEX(請求台帳!$D$5:$D$504,MATCH(F182,請求台帳!$A$5:$A$504,0)),""))</f>
        <v/>
      </c>
      <c r="H182" s="26" t="str">
        <f aca="false">IF(F182="","",IFERROR(INDEX(請求台帳!$I$5:$I$504,MATCH(F182,請求台帳!$A$5:$A$504,0)),""))</f>
        <v/>
      </c>
      <c r="I182" s="29" t="str">
        <f aca="false">IF(COUNTA(B182,D182,E182,F182)=0,"",IF(OR(B182="",E182=""),"要入力",IF(F182="","未消込",IF(ISNA(MATCH(F182,請求台帳!$A$5:$A$504,0)),"番号誤り",IF(INDEX(請求台帳!$T$5:$T$504,MATCH(F182,請求台帳!$A$5:$A$504,0))="取消","取消請求へ消込","消込済")))))</f>
        <v/>
      </c>
      <c r="J182" s="28"/>
      <c r="K182" s="28"/>
    </row>
    <row r="183" customFormat="false" ht="15" hidden="false" customHeight="false" outlineLevel="0" collapsed="false">
      <c r="A183" s="32" t="str">
        <f aca="false">IF(COUNTA(B183,D183,E183,F183)=0,"",ROW()-4)</f>
        <v/>
      </c>
      <c r="B183" s="22"/>
      <c r="C183" s="28"/>
      <c r="D183" s="28"/>
      <c r="E183" s="18"/>
      <c r="F183" s="28"/>
      <c r="G183" s="32" t="str">
        <f aca="false">IF(F183="","",IFERROR(INDEX(請求台帳!$D$5:$D$504,MATCH(F183,請求台帳!$A$5:$A$504,0)),""))</f>
        <v/>
      </c>
      <c r="H183" s="26" t="str">
        <f aca="false">IF(F183="","",IFERROR(INDEX(請求台帳!$I$5:$I$504,MATCH(F183,請求台帳!$A$5:$A$504,0)),""))</f>
        <v/>
      </c>
      <c r="I183" s="29" t="str">
        <f aca="false">IF(COUNTA(B183,D183,E183,F183)=0,"",IF(OR(B183="",E183=""),"要入力",IF(F183="","未消込",IF(ISNA(MATCH(F183,請求台帳!$A$5:$A$504,0)),"番号誤り",IF(INDEX(請求台帳!$T$5:$T$504,MATCH(F183,請求台帳!$A$5:$A$504,0))="取消","取消請求へ消込","消込済")))))</f>
        <v/>
      </c>
      <c r="J183" s="28"/>
      <c r="K183" s="28"/>
    </row>
    <row r="184" customFormat="false" ht="15" hidden="false" customHeight="false" outlineLevel="0" collapsed="false">
      <c r="A184" s="32" t="str">
        <f aca="false">IF(COUNTA(B184,D184,E184,F184)=0,"",ROW()-4)</f>
        <v/>
      </c>
      <c r="B184" s="22"/>
      <c r="C184" s="28"/>
      <c r="D184" s="28"/>
      <c r="E184" s="18"/>
      <c r="F184" s="28"/>
      <c r="G184" s="32" t="str">
        <f aca="false">IF(F184="","",IFERROR(INDEX(請求台帳!$D$5:$D$504,MATCH(F184,請求台帳!$A$5:$A$504,0)),""))</f>
        <v/>
      </c>
      <c r="H184" s="26" t="str">
        <f aca="false">IF(F184="","",IFERROR(INDEX(請求台帳!$I$5:$I$504,MATCH(F184,請求台帳!$A$5:$A$504,0)),""))</f>
        <v/>
      </c>
      <c r="I184" s="29" t="str">
        <f aca="false">IF(COUNTA(B184,D184,E184,F184)=0,"",IF(OR(B184="",E184=""),"要入力",IF(F184="","未消込",IF(ISNA(MATCH(F184,請求台帳!$A$5:$A$504,0)),"番号誤り",IF(INDEX(請求台帳!$T$5:$T$504,MATCH(F184,請求台帳!$A$5:$A$504,0))="取消","取消請求へ消込","消込済")))))</f>
        <v/>
      </c>
      <c r="J184" s="28"/>
      <c r="K184" s="28"/>
    </row>
    <row r="185" customFormat="false" ht="15" hidden="false" customHeight="false" outlineLevel="0" collapsed="false">
      <c r="A185" s="32" t="str">
        <f aca="false">IF(COUNTA(B185,D185,E185,F185)=0,"",ROW()-4)</f>
        <v/>
      </c>
      <c r="B185" s="22"/>
      <c r="C185" s="28"/>
      <c r="D185" s="28"/>
      <c r="E185" s="18"/>
      <c r="F185" s="28"/>
      <c r="G185" s="32" t="str">
        <f aca="false">IF(F185="","",IFERROR(INDEX(請求台帳!$D$5:$D$504,MATCH(F185,請求台帳!$A$5:$A$504,0)),""))</f>
        <v/>
      </c>
      <c r="H185" s="26" t="str">
        <f aca="false">IF(F185="","",IFERROR(INDEX(請求台帳!$I$5:$I$504,MATCH(F185,請求台帳!$A$5:$A$504,0)),""))</f>
        <v/>
      </c>
      <c r="I185" s="29" t="str">
        <f aca="false">IF(COUNTA(B185,D185,E185,F185)=0,"",IF(OR(B185="",E185=""),"要入力",IF(F185="","未消込",IF(ISNA(MATCH(F185,請求台帳!$A$5:$A$504,0)),"番号誤り",IF(INDEX(請求台帳!$T$5:$T$504,MATCH(F185,請求台帳!$A$5:$A$504,0))="取消","取消請求へ消込","消込済")))))</f>
        <v/>
      </c>
      <c r="J185" s="28"/>
      <c r="K185" s="28"/>
    </row>
    <row r="186" customFormat="false" ht="15" hidden="false" customHeight="false" outlineLevel="0" collapsed="false">
      <c r="A186" s="32" t="str">
        <f aca="false">IF(COUNTA(B186,D186,E186,F186)=0,"",ROW()-4)</f>
        <v/>
      </c>
      <c r="B186" s="22"/>
      <c r="C186" s="28"/>
      <c r="D186" s="28"/>
      <c r="E186" s="18"/>
      <c r="F186" s="28"/>
      <c r="G186" s="32" t="str">
        <f aca="false">IF(F186="","",IFERROR(INDEX(請求台帳!$D$5:$D$504,MATCH(F186,請求台帳!$A$5:$A$504,0)),""))</f>
        <v/>
      </c>
      <c r="H186" s="26" t="str">
        <f aca="false">IF(F186="","",IFERROR(INDEX(請求台帳!$I$5:$I$504,MATCH(F186,請求台帳!$A$5:$A$504,0)),""))</f>
        <v/>
      </c>
      <c r="I186" s="29" t="str">
        <f aca="false">IF(COUNTA(B186,D186,E186,F186)=0,"",IF(OR(B186="",E186=""),"要入力",IF(F186="","未消込",IF(ISNA(MATCH(F186,請求台帳!$A$5:$A$504,0)),"番号誤り",IF(INDEX(請求台帳!$T$5:$T$504,MATCH(F186,請求台帳!$A$5:$A$504,0))="取消","取消請求へ消込","消込済")))))</f>
        <v/>
      </c>
      <c r="J186" s="28"/>
      <c r="K186" s="28"/>
    </row>
    <row r="187" customFormat="false" ht="15" hidden="false" customHeight="false" outlineLevel="0" collapsed="false">
      <c r="A187" s="32" t="str">
        <f aca="false">IF(COUNTA(B187,D187,E187,F187)=0,"",ROW()-4)</f>
        <v/>
      </c>
      <c r="B187" s="22"/>
      <c r="C187" s="28"/>
      <c r="D187" s="28"/>
      <c r="E187" s="18"/>
      <c r="F187" s="28"/>
      <c r="G187" s="32" t="str">
        <f aca="false">IF(F187="","",IFERROR(INDEX(請求台帳!$D$5:$D$504,MATCH(F187,請求台帳!$A$5:$A$504,0)),""))</f>
        <v/>
      </c>
      <c r="H187" s="26" t="str">
        <f aca="false">IF(F187="","",IFERROR(INDEX(請求台帳!$I$5:$I$504,MATCH(F187,請求台帳!$A$5:$A$504,0)),""))</f>
        <v/>
      </c>
      <c r="I187" s="29" t="str">
        <f aca="false">IF(COUNTA(B187,D187,E187,F187)=0,"",IF(OR(B187="",E187=""),"要入力",IF(F187="","未消込",IF(ISNA(MATCH(F187,請求台帳!$A$5:$A$504,0)),"番号誤り",IF(INDEX(請求台帳!$T$5:$T$504,MATCH(F187,請求台帳!$A$5:$A$504,0))="取消","取消請求へ消込","消込済")))))</f>
        <v/>
      </c>
      <c r="J187" s="28"/>
      <c r="K187" s="28"/>
    </row>
    <row r="188" customFormat="false" ht="15" hidden="false" customHeight="false" outlineLevel="0" collapsed="false">
      <c r="A188" s="32" t="str">
        <f aca="false">IF(COUNTA(B188,D188,E188,F188)=0,"",ROW()-4)</f>
        <v/>
      </c>
      <c r="B188" s="22"/>
      <c r="C188" s="28"/>
      <c r="D188" s="28"/>
      <c r="E188" s="18"/>
      <c r="F188" s="28"/>
      <c r="G188" s="32" t="str">
        <f aca="false">IF(F188="","",IFERROR(INDEX(請求台帳!$D$5:$D$504,MATCH(F188,請求台帳!$A$5:$A$504,0)),""))</f>
        <v/>
      </c>
      <c r="H188" s="26" t="str">
        <f aca="false">IF(F188="","",IFERROR(INDEX(請求台帳!$I$5:$I$504,MATCH(F188,請求台帳!$A$5:$A$504,0)),""))</f>
        <v/>
      </c>
      <c r="I188" s="29" t="str">
        <f aca="false">IF(COUNTA(B188,D188,E188,F188)=0,"",IF(OR(B188="",E188=""),"要入力",IF(F188="","未消込",IF(ISNA(MATCH(F188,請求台帳!$A$5:$A$504,0)),"番号誤り",IF(INDEX(請求台帳!$T$5:$T$504,MATCH(F188,請求台帳!$A$5:$A$504,0))="取消","取消請求へ消込","消込済")))))</f>
        <v/>
      </c>
      <c r="J188" s="28"/>
      <c r="K188" s="28"/>
    </row>
    <row r="189" customFormat="false" ht="15" hidden="false" customHeight="false" outlineLevel="0" collapsed="false">
      <c r="A189" s="32" t="str">
        <f aca="false">IF(COUNTA(B189,D189,E189,F189)=0,"",ROW()-4)</f>
        <v/>
      </c>
      <c r="B189" s="22"/>
      <c r="C189" s="28"/>
      <c r="D189" s="28"/>
      <c r="E189" s="18"/>
      <c r="F189" s="28"/>
      <c r="G189" s="32" t="str">
        <f aca="false">IF(F189="","",IFERROR(INDEX(請求台帳!$D$5:$D$504,MATCH(F189,請求台帳!$A$5:$A$504,0)),""))</f>
        <v/>
      </c>
      <c r="H189" s="26" t="str">
        <f aca="false">IF(F189="","",IFERROR(INDEX(請求台帳!$I$5:$I$504,MATCH(F189,請求台帳!$A$5:$A$504,0)),""))</f>
        <v/>
      </c>
      <c r="I189" s="29" t="str">
        <f aca="false">IF(COUNTA(B189,D189,E189,F189)=0,"",IF(OR(B189="",E189=""),"要入力",IF(F189="","未消込",IF(ISNA(MATCH(F189,請求台帳!$A$5:$A$504,0)),"番号誤り",IF(INDEX(請求台帳!$T$5:$T$504,MATCH(F189,請求台帳!$A$5:$A$504,0))="取消","取消請求へ消込","消込済")))))</f>
        <v/>
      </c>
      <c r="J189" s="28"/>
      <c r="K189" s="28"/>
    </row>
    <row r="190" customFormat="false" ht="15" hidden="false" customHeight="false" outlineLevel="0" collapsed="false">
      <c r="A190" s="32" t="str">
        <f aca="false">IF(COUNTA(B190,D190,E190,F190)=0,"",ROW()-4)</f>
        <v/>
      </c>
      <c r="B190" s="22"/>
      <c r="C190" s="28"/>
      <c r="D190" s="28"/>
      <c r="E190" s="18"/>
      <c r="F190" s="28"/>
      <c r="G190" s="32" t="str">
        <f aca="false">IF(F190="","",IFERROR(INDEX(請求台帳!$D$5:$D$504,MATCH(F190,請求台帳!$A$5:$A$504,0)),""))</f>
        <v/>
      </c>
      <c r="H190" s="26" t="str">
        <f aca="false">IF(F190="","",IFERROR(INDEX(請求台帳!$I$5:$I$504,MATCH(F190,請求台帳!$A$5:$A$504,0)),""))</f>
        <v/>
      </c>
      <c r="I190" s="29" t="str">
        <f aca="false">IF(COUNTA(B190,D190,E190,F190)=0,"",IF(OR(B190="",E190=""),"要入力",IF(F190="","未消込",IF(ISNA(MATCH(F190,請求台帳!$A$5:$A$504,0)),"番号誤り",IF(INDEX(請求台帳!$T$5:$T$504,MATCH(F190,請求台帳!$A$5:$A$504,0))="取消","取消請求へ消込","消込済")))))</f>
        <v/>
      </c>
      <c r="J190" s="28"/>
      <c r="K190" s="28"/>
    </row>
    <row r="191" customFormat="false" ht="15" hidden="false" customHeight="false" outlineLevel="0" collapsed="false">
      <c r="A191" s="32" t="str">
        <f aca="false">IF(COUNTA(B191,D191,E191,F191)=0,"",ROW()-4)</f>
        <v/>
      </c>
      <c r="B191" s="22"/>
      <c r="C191" s="28"/>
      <c r="D191" s="28"/>
      <c r="E191" s="18"/>
      <c r="F191" s="28"/>
      <c r="G191" s="32" t="str">
        <f aca="false">IF(F191="","",IFERROR(INDEX(請求台帳!$D$5:$D$504,MATCH(F191,請求台帳!$A$5:$A$504,0)),""))</f>
        <v/>
      </c>
      <c r="H191" s="26" t="str">
        <f aca="false">IF(F191="","",IFERROR(INDEX(請求台帳!$I$5:$I$504,MATCH(F191,請求台帳!$A$5:$A$504,0)),""))</f>
        <v/>
      </c>
      <c r="I191" s="29" t="str">
        <f aca="false">IF(COUNTA(B191,D191,E191,F191)=0,"",IF(OR(B191="",E191=""),"要入力",IF(F191="","未消込",IF(ISNA(MATCH(F191,請求台帳!$A$5:$A$504,0)),"番号誤り",IF(INDEX(請求台帳!$T$5:$T$504,MATCH(F191,請求台帳!$A$5:$A$504,0))="取消","取消請求へ消込","消込済")))))</f>
        <v/>
      </c>
      <c r="J191" s="28"/>
      <c r="K191" s="28"/>
    </row>
    <row r="192" customFormat="false" ht="15" hidden="false" customHeight="false" outlineLevel="0" collapsed="false">
      <c r="A192" s="32" t="str">
        <f aca="false">IF(COUNTA(B192,D192,E192,F192)=0,"",ROW()-4)</f>
        <v/>
      </c>
      <c r="B192" s="22"/>
      <c r="C192" s="28"/>
      <c r="D192" s="28"/>
      <c r="E192" s="18"/>
      <c r="F192" s="28"/>
      <c r="G192" s="32" t="str">
        <f aca="false">IF(F192="","",IFERROR(INDEX(請求台帳!$D$5:$D$504,MATCH(F192,請求台帳!$A$5:$A$504,0)),""))</f>
        <v/>
      </c>
      <c r="H192" s="26" t="str">
        <f aca="false">IF(F192="","",IFERROR(INDEX(請求台帳!$I$5:$I$504,MATCH(F192,請求台帳!$A$5:$A$504,0)),""))</f>
        <v/>
      </c>
      <c r="I192" s="29" t="str">
        <f aca="false">IF(COUNTA(B192,D192,E192,F192)=0,"",IF(OR(B192="",E192=""),"要入力",IF(F192="","未消込",IF(ISNA(MATCH(F192,請求台帳!$A$5:$A$504,0)),"番号誤り",IF(INDEX(請求台帳!$T$5:$T$504,MATCH(F192,請求台帳!$A$5:$A$504,0))="取消","取消請求へ消込","消込済")))))</f>
        <v/>
      </c>
      <c r="J192" s="28"/>
      <c r="K192" s="28"/>
    </row>
    <row r="193" customFormat="false" ht="15" hidden="false" customHeight="false" outlineLevel="0" collapsed="false">
      <c r="A193" s="32" t="str">
        <f aca="false">IF(COUNTA(B193,D193,E193,F193)=0,"",ROW()-4)</f>
        <v/>
      </c>
      <c r="B193" s="22"/>
      <c r="C193" s="28"/>
      <c r="D193" s="28"/>
      <c r="E193" s="18"/>
      <c r="F193" s="28"/>
      <c r="G193" s="32" t="str">
        <f aca="false">IF(F193="","",IFERROR(INDEX(請求台帳!$D$5:$D$504,MATCH(F193,請求台帳!$A$5:$A$504,0)),""))</f>
        <v/>
      </c>
      <c r="H193" s="26" t="str">
        <f aca="false">IF(F193="","",IFERROR(INDEX(請求台帳!$I$5:$I$504,MATCH(F193,請求台帳!$A$5:$A$504,0)),""))</f>
        <v/>
      </c>
      <c r="I193" s="29" t="str">
        <f aca="false">IF(COUNTA(B193,D193,E193,F193)=0,"",IF(OR(B193="",E193=""),"要入力",IF(F193="","未消込",IF(ISNA(MATCH(F193,請求台帳!$A$5:$A$504,0)),"番号誤り",IF(INDEX(請求台帳!$T$5:$T$504,MATCH(F193,請求台帳!$A$5:$A$504,0))="取消","取消請求へ消込","消込済")))))</f>
        <v/>
      </c>
      <c r="J193" s="28"/>
      <c r="K193" s="28"/>
    </row>
    <row r="194" customFormat="false" ht="15" hidden="false" customHeight="false" outlineLevel="0" collapsed="false">
      <c r="A194" s="32" t="str">
        <f aca="false">IF(COUNTA(B194,D194,E194,F194)=0,"",ROW()-4)</f>
        <v/>
      </c>
      <c r="B194" s="22"/>
      <c r="C194" s="28"/>
      <c r="D194" s="28"/>
      <c r="E194" s="18"/>
      <c r="F194" s="28"/>
      <c r="G194" s="32" t="str">
        <f aca="false">IF(F194="","",IFERROR(INDEX(請求台帳!$D$5:$D$504,MATCH(F194,請求台帳!$A$5:$A$504,0)),""))</f>
        <v/>
      </c>
      <c r="H194" s="26" t="str">
        <f aca="false">IF(F194="","",IFERROR(INDEX(請求台帳!$I$5:$I$504,MATCH(F194,請求台帳!$A$5:$A$504,0)),""))</f>
        <v/>
      </c>
      <c r="I194" s="29" t="str">
        <f aca="false">IF(COUNTA(B194,D194,E194,F194)=0,"",IF(OR(B194="",E194=""),"要入力",IF(F194="","未消込",IF(ISNA(MATCH(F194,請求台帳!$A$5:$A$504,0)),"番号誤り",IF(INDEX(請求台帳!$T$5:$T$504,MATCH(F194,請求台帳!$A$5:$A$504,0))="取消","取消請求へ消込","消込済")))))</f>
        <v/>
      </c>
      <c r="J194" s="28"/>
      <c r="K194" s="28"/>
    </row>
    <row r="195" customFormat="false" ht="15" hidden="false" customHeight="false" outlineLevel="0" collapsed="false">
      <c r="A195" s="32" t="str">
        <f aca="false">IF(COUNTA(B195,D195,E195,F195)=0,"",ROW()-4)</f>
        <v/>
      </c>
      <c r="B195" s="22"/>
      <c r="C195" s="28"/>
      <c r="D195" s="28"/>
      <c r="E195" s="18"/>
      <c r="F195" s="28"/>
      <c r="G195" s="32" t="str">
        <f aca="false">IF(F195="","",IFERROR(INDEX(請求台帳!$D$5:$D$504,MATCH(F195,請求台帳!$A$5:$A$504,0)),""))</f>
        <v/>
      </c>
      <c r="H195" s="26" t="str">
        <f aca="false">IF(F195="","",IFERROR(INDEX(請求台帳!$I$5:$I$504,MATCH(F195,請求台帳!$A$5:$A$504,0)),""))</f>
        <v/>
      </c>
      <c r="I195" s="29" t="str">
        <f aca="false">IF(COUNTA(B195,D195,E195,F195)=0,"",IF(OR(B195="",E195=""),"要入力",IF(F195="","未消込",IF(ISNA(MATCH(F195,請求台帳!$A$5:$A$504,0)),"番号誤り",IF(INDEX(請求台帳!$T$5:$T$504,MATCH(F195,請求台帳!$A$5:$A$504,0))="取消","取消請求へ消込","消込済")))))</f>
        <v/>
      </c>
      <c r="J195" s="28"/>
      <c r="K195" s="28"/>
    </row>
    <row r="196" customFormat="false" ht="15" hidden="false" customHeight="false" outlineLevel="0" collapsed="false">
      <c r="A196" s="32" t="str">
        <f aca="false">IF(COUNTA(B196,D196,E196,F196)=0,"",ROW()-4)</f>
        <v/>
      </c>
      <c r="B196" s="22"/>
      <c r="C196" s="28"/>
      <c r="D196" s="28"/>
      <c r="E196" s="18"/>
      <c r="F196" s="28"/>
      <c r="G196" s="32" t="str">
        <f aca="false">IF(F196="","",IFERROR(INDEX(請求台帳!$D$5:$D$504,MATCH(F196,請求台帳!$A$5:$A$504,0)),""))</f>
        <v/>
      </c>
      <c r="H196" s="26" t="str">
        <f aca="false">IF(F196="","",IFERROR(INDEX(請求台帳!$I$5:$I$504,MATCH(F196,請求台帳!$A$5:$A$504,0)),""))</f>
        <v/>
      </c>
      <c r="I196" s="29" t="str">
        <f aca="false">IF(COUNTA(B196,D196,E196,F196)=0,"",IF(OR(B196="",E196=""),"要入力",IF(F196="","未消込",IF(ISNA(MATCH(F196,請求台帳!$A$5:$A$504,0)),"番号誤り",IF(INDEX(請求台帳!$T$5:$T$504,MATCH(F196,請求台帳!$A$5:$A$504,0))="取消","取消請求へ消込","消込済")))))</f>
        <v/>
      </c>
      <c r="J196" s="28"/>
      <c r="K196" s="28"/>
    </row>
    <row r="197" customFormat="false" ht="15" hidden="false" customHeight="false" outlineLevel="0" collapsed="false">
      <c r="A197" s="32" t="str">
        <f aca="false">IF(COUNTA(B197,D197,E197,F197)=0,"",ROW()-4)</f>
        <v/>
      </c>
      <c r="B197" s="22"/>
      <c r="C197" s="28"/>
      <c r="D197" s="28"/>
      <c r="E197" s="18"/>
      <c r="F197" s="28"/>
      <c r="G197" s="32" t="str">
        <f aca="false">IF(F197="","",IFERROR(INDEX(請求台帳!$D$5:$D$504,MATCH(F197,請求台帳!$A$5:$A$504,0)),""))</f>
        <v/>
      </c>
      <c r="H197" s="26" t="str">
        <f aca="false">IF(F197="","",IFERROR(INDEX(請求台帳!$I$5:$I$504,MATCH(F197,請求台帳!$A$5:$A$504,0)),""))</f>
        <v/>
      </c>
      <c r="I197" s="29" t="str">
        <f aca="false">IF(COUNTA(B197,D197,E197,F197)=0,"",IF(OR(B197="",E197=""),"要入力",IF(F197="","未消込",IF(ISNA(MATCH(F197,請求台帳!$A$5:$A$504,0)),"番号誤り",IF(INDEX(請求台帳!$T$5:$T$504,MATCH(F197,請求台帳!$A$5:$A$504,0))="取消","取消請求へ消込","消込済")))))</f>
        <v/>
      </c>
      <c r="J197" s="28"/>
      <c r="K197" s="28"/>
    </row>
    <row r="198" customFormat="false" ht="15" hidden="false" customHeight="false" outlineLevel="0" collapsed="false">
      <c r="A198" s="32" t="str">
        <f aca="false">IF(COUNTA(B198,D198,E198,F198)=0,"",ROW()-4)</f>
        <v/>
      </c>
      <c r="B198" s="22"/>
      <c r="C198" s="28"/>
      <c r="D198" s="28"/>
      <c r="E198" s="18"/>
      <c r="F198" s="28"/>
      <c r="G198" s="32" t="str">
        <f aca="false">IF(F198="","",IFERROR(INDEX(請求台帳!$D$5:$D$504,MATCH(F198,請求台帳!$A$5:$A$504,0)),""))</f>
        <v/>
      </c>
      <c r="H198" s="26" t="str">
        <f aca="false">IF(F198="","",IFERROR(INDEX(請求台帳!$I$5:$I$504,MATCH(F198,請求台帳!$A$5:$A$504,0)),""))</f>
        <v/>
      </c>
      <c r="I198" s="29" t="str">
        <f aca="false">IF(COUNTA(B198,D198,E198,F198)=0,"",IF(OR(B198="",E198=""),"要入力",IF(F198="","未消込",IF(ISNA(MATCH(F198,請求台帳!$A$5:$A$504,0)),"番号誤り",IF(INDEX(請求台帳!$T$5:$T$504,MATCH(F198,請求台帳!$A$5:$A$504,0))="取消","取消請求へ消込","消込済")))))</f>
        <v/>
      </c>
      <c r="J198" s="28"/>
      <c r="K198" s="28"/>
    </row>
    <row r="199" customFormat="false" ht="15" hidden="false" customHeight="false" outlineLevel="0" collapsed="false">
      <c r="A199" s="32" t="str">
        <f aca="false">IF(COUNTA(B199,D199,E199,F199)=0,"",ROW()-4)</f>
        <v/>
      </c>
      <c r="B199" s="22"/>
      <c r="C199" s="28"/>
      <c r="D199" s="28"/>
      <c r="E199" s="18"/>
      <c r="F199" s="28"/>
      <c r="G199" s="32" t="str">
        <f aca="false">IF(F199="","",IFERROR(INDEX(請求台帳!$D$5:$D$504,MATCH(F199,請求台帳!$A$5:$A$504,0)),""))</f>
        <v/>
      </c>
      <c r="H199" s="26" t="str">
        <f aca="false">IF(F199="","",IFERROR(INDEX(請求台帳!$I$5:$I$504,MATCH(F199,請求台帳!$A$5:$A$504,0)),""))</f>
        <v/>
      </c>
      <c r="I199" s="29" t="str">
        <f aca="false">IF(COUNTA(B199,D199,E199,F199)=0,"",IF(OR(B199="",E199=""),"要入力",IF(F199="","未消込",IF(ISNA(MATCH(F199,請求台帳!$A$5:$A$504,0)),"番号誤り",IF(INDEX(請求台帳!$T$5:$T$504,MATCH(F199,請求台帳!$A$5:$A$504,0))="取消","取消請求へ消込","消込済")))))</f>
        <v/>
      </c>
      <c r="J199" s="28"/>
      <c r="K199" s="28"/>
    </row>
    <row r="200" customFormat="false" ht="15" hidden="false" customHeight="false" outlineLevel="0" collapsed="false">
      <c r="A200" s="32" t="str">
        <f aca="false">IF(COUNTA(B200,D200,E200,F200)=0,"",ROW()-4)</f>
        <v/>
      </c>
      <c r="B200" s="22"/>
      <c r="C200" s="28"/>
      <c r="D200" s="28"/>
      <c r="E200" s="18"/>
      <c r="F200" s="28"/>
      <c r="G200" s="32" t="str">
        <f aca="false">IF(F200="","",IFERROR(INDEX(請求台帳!$D$5:$D$504,MATCH(F200,請求台帳!$A$5:$A$504,0)),""))</f>
        <v/>
      </c>
      <c r="H200" s="26" t="str">
        <f aca="false">IF(F200="","",IFERROR(INDEX(請求台帳!$I$5:$I$504,MATCH(F200,請求台帳!$A$5:$A$504,0)),""))</f>
        <v/>
      </c>
      <c r="I200" s="29" t="str">
        <f aca="false">IF(COUNTA(B200,D200,E200,F200)=0,"",IF(OR(B200="",E200=""),"要入力",IF(F200="","未消込",IF(ISNA(MATCH(F200,請求台帳!$A$5:$A$504,0)),"番号誤り",IF(INDEX(請求台帳!$T$5:$T$504,MATCH(F200,請求台帳!$A$5:$A$504,0))="取消","取消請求へ消込","消込済")))))</f>
        <v/>
      </c>
      <c r="J200" s="28"/>
      <c r="K200" s="28"/>
    </row>
    <row r="201" customFormat="false" ht="15" hidden="false" customHeight="false" outlineLevel="0" collapsed="false">
      <c r="A201" s="32" t="str">
        <f aca="false">IF(COUNTA(B201,D201,E201,F201)=0,"",ROW()-4)</f>
        <v/>
      </c>
      <c r="B201" s="22"/>
      <c r="C201" s="28"/>
      <c r="D201" s="28"/>
      <c r="E201" s="18"/>
      <c r="F201" s="28"/>
      <c r="G201" s="32" t="str">
        <f aca="false">IF(F201="","",IFERROR(INDEX(請求台帳!$D$5:$D$504,MATCH(F201,請求台帳!$A$5:$A$504,0)),""))</f>
        <v/>
      </c>
      <c r="H201" s="26" t="str">
        <f aca="false">IF(F201="","",IFERROR(INDEX(請求台帳!$I$5:$I$504,MATCH(F201,請求台帳!$A$5:$A$504,0)),""))</f>
        <v/>
      </c>
      <c r="I201" s="29" t="str">
        <f aca="false">IF(COUNTA(B201,D201,E201,F201)=0,"",IF(OR(B201="",E201=""),"要入力",IF(F201="","未消込",IF(ISNA(MATCH(F201,請求台帳!$A$5:$A$504,0)),"番号誤り",IF(INDEX(請求台帳!$T$5:$T$504,MATCH(F201,請求台帳!$A$5:$A$504,0))="取消","取消請求へ消込","消込済")))))</f>
        <v/>
      </c>
      <c r="J201" s="28"/>
      <c r="K201" s="28"/>
    </row>
    <row r="202" customFormat="false" ht="15" hidden="false" customHeight="false" outlineLevel="0" collapsed="false">
      <c r="A202" s="32" t="str">
        <f aca="false">IF(COUNTA(B202,D202,E202,F202)=0,"",ROW()-4)</f>
        <v/>
      </c>
      <c r="B202" s="22"/>
      <c r="C202" s="28"/>
      <c r="D202" s="28"/>
      <c r="E202" s="18"/>
      <c r="F202" s="28"/>
      <c r="G202" s="32" t="str">
        <f aca="false">IF(F202="","",IFERROR(INDEX(請求台帳!$D$5:$D$504,MATCH(F202,請求台帳!$A$5:$A$504,0)),""))</f>
        <v/>
      </c>
      <c r="H202" s="26" t="str">
        <f aca="false">IF(F202="","",IFERROR(INDEX(請求台帳!$I$5:$I$504,MATCH(F202,請求台帳!$A$5:$A$504,0)),""))</f>
        <v/>
      </c>
      <c r="I202" s="29" t="str">
        <f aca="false">IF(COUNTA(B202,D202,E202,F202)=0,"",IF(OR(B202="",E202=""),"要入力",IF(F202="","未消込",IF(ISNA(MATCH(F202,請求台帳!$A$5:$A$504,0)),"番号誤り",IF(INDEX(請求台帳!$T$5:$T$504,MATCH(F202,請求台帳!$A$5:$A$504,0))="取消","取消請求へ消込","消込済")))))</f>
        <v/>
      </c>
      <c r="J202" s="28"/>
      <c r="K202" s="28"/>
    </row>
    <row r="203" customFormat="false" ht="15" hidden="false" customHeight="false" outlineLevel="0" collapsed="false">
      <c r="A203" s="32" t="str">
        <f aca="false">IF(COUNTA(B203,D203,E203,F203)=0,"",ROW()-4)</f>
        <v/>
      </c>
      <c r="B203" s="22"/>
      <c r="C203" s="28"/>
      <c r="D203" s="28"/>
      <c r="E203" s="18"/>
      <c r="F203" s="28"/>
      <c r="G203" s="32" t="str">
        <f aca="false">IF(F203="","",IFERROR(INDEX(請求台帳!$D$5:$D$504,MATCH(F203,請求台帳!$A$5:$A$504,0)),""))</f>
        <v/>
      </c>
      <c r="H203" s="26" t="str">
        <f aca="false">IF(F203="","",IFERROR(INDEX(請求台帳!$I$5:$I$504,MATCH(F203,請求台帳!$A$5:$A$504,0)),""))</f>
        <v/>
      </c>
      <c r="I203" s="29" t="str">
        <f aca="false">IF(COUNTA(B203,D203,E203,F203)=0,"",IF(OR(B203="",E203=""),"要入力",IF(F203="","未消込",IF(ISNA(MATCH(F203,請求台帳!$A$5:$A$504,0)),"番号誤り",IF(INDEX(請求台帳!$T$5:$T$504,MATCH(F203,請求台帳!$A$5:$A$504,0))="取消","取消請求へ消込","消込済")))))</f>
        <v/>
      </c>
      <c r="J203" s="28"/>
      <c r="K203" s="28"/>
    </row>
    <row r="204" customFormat="false" ht="15" hidden="false" customHeight="false" outlineLevel="0" collapsed="false">
      <c r="A204" s="32" t="str">
        <f aca="false">IF(COUNTA(B204,D204,E204,F204)=0,"",ROW()-4)</f>
        <v/>
      </c>
      <c r="B204" s="22"/>
      <c r="C204" s="28"/>
      <c r="D204" s="28"/>
      <c r="E204" s="18"/>
      <c r="F204" s="28"/>
      <c r="G204" s="32" t="str">
        <f aca="false">IF(F204="","",IFERROR(INDEX(請求台帳!$D$5:$D$504,MATCH(F204,請求台帳!$A$5:$A$504,0)),""))</f>
        <v/>
      </c>
      <c r="H204" s="26" t="str">
        <f aca="false">IF(F204="","",IFERROR(INDEX(請求台帳!$I$5:$I$504,MATCH(F204,請求台帳!$A$5:$A$504,0)),""))</f>
        <v/>
      </c>
      <c r="I204" s="29" t="str">
        <f aca="false">IF(COUNTA(B204,D204,E204,F204)=0,"",IF(OR(B204="",E204=""),"要入力",IF(F204="","未消込",IF(ISNA(MATCH(F204,請求台帳!$A$5:$A$504,0)),"番号誤り",IF(INDEX(請求台帳!$T$5:$T$504,MATCH(F204,請求台帳!$A$5:$A$504,0))="取消","取消請求へ消込","消込済")))))</f>
        <v/>
      </c>
      <c r="J204" s="28"/>
      <c r="K204" s="28"/>
    </row>
    <row r="205" customFormat="false" ht="15" hidden="false" customHeight="false" outlineLevel="0" collapsed="false">
      <c r="A205" s="32" t="str">
        <f aca="false">IF(COUNTA(B205,D205,E205,F205)=0,"",ROW()-4)</f>
        <v/>
      </c>
      <c r="B205" s="22"/>
      <c r="C205" s="28"/>
      <c r="D205" s="28"/>
      <c r="E205" s="18"/>
      <c r="F205" s="28"/>
      <c r="G205" s="32" t="str">
        <f aca="false">IF(F205="","",IFERROR(INDEX(請求台帳!$D$5:$D$504,MATCH(F205,請求台帳!$A$5:$A$504,0)),""))</f>
        <v/>
      </c>
      <c r="H205" s="26" t="str">
        <f aca="false">IF(F205="","",IFERROR(INDEX(請求台帳!$I$5:$I$504,MATCH(F205,請求台帳!$A$5:$A$504,0)),""))</f>
        <v/>
      </c>
      <c r="I205" s="29" t="str">
        <f aca="false">IF(COUNTA(B205,D205,E205,F205)=0,"",IF(OR(B205="",E205=""),"要入力",IF(F205="","未消込",IF(ISNA(MATCH(F205,請求台帳!$A$5:$A$504,0)),"番号誤り",IF(INDEX(請求台帳!$T$5:$T$504,MATCH(F205,請求台帳!$A$5:$A$504,0))="取消","取消請求へ消込","消込済")))))</f>
        <v/>
      </c>
      <c r="J205" s="28"/>
      <c r="K205" s="28"/>
    </row>
    <row r="206" customFormat="false" ht="15" hidden="false" customHeight="false" outlineLevel="0" collapsed="false">
      <c r="A206" s="32" t="str">
        <f aca="false">IF(COUNTA(B206,D206,E206,F206)=0,"",ROW()-4)</f>
        <v/>
      </c>
      <c r="B206" s="22"/>
      <c r="C206" s="28"/>
      <c r="D206" s="28"/>
      <c r="E206" s="18"/>
      <c r="F206" s="28"/>
      <c r="G206" s="32" t="str">
        <f aca="false">IF(F206="","",IFERROR(INDEX(請求台帳!$D$5:$D$504,MATCH(F206,請求台帳!$A$5:$A$504,0)),""))</f>
        <v/>
      </c>
      <c r="H206" s="26" t="str">
        <f aca="false">IF(F206="","",IFERROR(INDEX(請求台帳!$I$5:$I$504,MATCH(F206,請求台帳!$A$5:$A$504,0)),""))</f>
        <v/>
      </c>
      <c r="I206" s="29" t="str">
        <f aca="false">IF(COUNTA(B206,D206,E206,F206)=0,"",IF(OR(B206="",E206=""),"要入力",IF(F206="","未消込",IF(ISNA(MATCH(F206,請求台帳!$A$5:$A$504,0)),"番号誤り",IF(INDEX(請求台帳!$T$5:$T$504,MATCH(F206,請求台帳!$A$5:$A$504,0))="取消","取消請求へ消込","消込済")))))</f>
        <v/>
      </c>
      <c r="J206" s="28"/>
      <c r="K206" s="28"/>
    </row>
    <row r="207" customFormat="false" ht="15" hidden="false" customHeight="false" outlineLevel="0" collapsed="false">
      <c r="A207" s="32" t="str">
        <f aca="false">IF(COUNTA(B207,D207,E207,F207)=0,"",ROW()-4)</f>
        <v/>
      </c>
      <c r="B207" s="22"/>
      <c r="C207" s="28"/>
      <c r="D207" s="28"/>
      <c r="E207" s="18"/>
      <c r="F207" s="28"/>
      <c r="G207" s="32" t="str">
        <f aca="false">IF(F207="","",IFERROR(INDEX(請求台帳!$D$5:$D$504,MATCH(F207,請求台帳!$A$5:$A$504,0)),""))</f>
        <v/>
      </c>
      <c r="H207" s="26" t="str">
        <f aca="false">IF(F207="","",IFERROR(INDEX(請求台帳!$I$5:$I$504,MATCH(F207,請求台帳!$A$5:$A$504,0)),""))</f>
        <v/>
      </c>
      <c r="I207" s="29" t="str">
        <f aca="false">IF(COUNTA(B207,D207,E207,F207)=0,"",IF(OR(B207="",E207=""),"要入力",IF(F207="","未消込",IF(ISNA(MATCH(F207,請求台帳!$A$5:$A$504,0)),"番号誤り",IF(INDEX(請求台帳!$T$5:$T$504,MATCH(F207,請求台帳!$A$5:$A$504,0))="取消","取消請求へ消込","消込済")))))</f>
        <v/>
      </c>
      <c r="J207" s="28"/>
      <c r="K207" s="28"/>
    </row>
    <row r="208" customFormat="false" ht="15" hidden="false" customHeight="false" outlineLevel="0" collapsed="false">
      <c r="A208" s="32" t="str">
        <f aca="false">IF(COUNTA(B208,D208,E208,F208)=0,"",ROW()-4)</f>
        <v/>
      </c>
      <c r="B208" s="22"/>
      <c r="C208" s="28"/>
      <c r="D208" s="28"/>
      <c r="E208" s="18"/>
      <c r="F208" s="28"/>
      <c r="G208" s="32" t="str">
        <f aca="false">IF(F208="","",IFERROR(INDEX(請求台帳!$D$5:$D$504,MATCH(F208,請求台帳!$A$5:$A$504,0)),""))</f>
        <v/>
      </c>
      <c r="H208" s="26" t="str">
        <f aca="false">IF(F208="","",IFERROR(INDEX(請求台帳!$I$5:$I$504,MATCH(F208,請求台帳!$A$5:$A$504,0)),""))</f>
        <v/>
      </c>
      <c r="I208" s="29" t="str">
        <f aca="false">IF(COUNTA(B208,D208,E208,F208)=0,"",IF(OR(B208="",E208=""),"要入力",IF(F208="","未消込",IF(ISNA(MATCH(F208,請求台帳!$A$5:$A$504,0)),"番号誤り",IF(INDEX(請求台帳!$T$5:$T$504,MATCH(F208,請求台帳!$A$5:$A$504,0))="取消","取消請求へ消込","消込済")))))</f>
        <v/>
      </c>
      <c r="J208" s="28"/>
      <c r="K208" s="28"/>
    </row>
    <row r="209" customFormat="false" ht="15" hidden="false" customHeight="false" outlineLevel="0" collapsed="false">
      <c r="A209" s="32" t="str">
        <f aca="false">IF(COUNTA(B209,D209,E209,F209)=0,"",ROW()-4)</f>
        <v/>
      </c>
      <c r="B209" s="22"/>
      <c r="C209" s="28"/>
      <c r="D209" s="28"/>
      <c r="E209" s="18"/>
      <c r="F209" s="28"/>
      <c r="G209" s="32" t="str">
        <f aca="false">IF(F209="","",IFERROR(INDEX(請求台帳!$D$5:$D$504,MATCH(F209,請求台帳!$A$5:$A$504,0)),""))</f>
        <v/>
      </c>
      <c r="H209" s="26" t="str">
        <f aca="false">IF(F209="","",IFERROR(INDEX(請求台帳!$I$5:$I$504,MATCH(F209,請求台帳!$A$5:$A$504,0)),""))</f>
        <v/>
      </c>
      <c r="I209" s="29" t="str">
        <f aca="false">IF(COUNTA(B209,D209,E209,F209)=0,"",IF(OR(B209="",E209=""),"要入力",IF(F209="","未消込",IF(ISNA(MATCH(F209,請求台帳!$A$5:$A$504,0)),"番号誤り",IF(INDEX(請求台帳!$T$5:$T$504,MATCH(F209,請求台帳!$A$5:$A$504,0))="取消","取消請求へ消込","消込済")))))</f>
        <v/>
      </c>
      <c r="J209" s="28"/>
      <c r="K209" s="28"/>
    </row>
    <row r="210" customFormat="false" ht="15" hidden="false" customHeight="false" outlineLevel="0" collapsed="false">
      <c r="A210" s="32" t="str">
        <f aca="false">IF(COUNTA(B210,D210,E210,F210)=0,"",ROW()-4)</f>
        <v/>
      </c>
      <c r="B210" s="22"/>
      <c r="C210" s="28"/>
      <c r="D210" s="28"/>
      <c r="E210" s="18"/>
      <c r="F210" s="28"/>
      <c r="G210" s="32" t="str">
        <f aca="false">IF(F210="","",IFERROR(INDEX(請求台帳!$D$5:$D$504,MATCH(F210,請求台帳!$A$5:$A$504,0)),""))</f>
        <v/>
      </c>
      <c r="H210" s="26" t="str">
        <f aca="false">IF(F210="","",IFERROR(INDEX(請求台帳!$I$5:$I$504,MATCH(F210,請求台帳!$A$5:$A$504,0)),""))</f>
        <v/>
      </c>
      <c r="I210" s="29" t="str">
        <f aca="false">IF(COUNTA(B210,D210,E210,F210)=0,"",IF(OR(B210="",E210=""),"要入力",IF(F210="","未消込",IF(ISNA(MATCH(F210,請求台帳!$A$5:$A$504,0)),"番号誤り",IF(INDEX(請求台帳!$T$5:$T$504,MATCH(F210,請求台帳!$A$5:$A$504,0))="取消","取消請求へ消込","消込済")))))</f>
        <v/>
      </c>
      <c r="J210" s="28"/>
      <c r="K210" s="28"/>
    </row>
    <row r="211" customFormat="false" ht="15" hidden="false" customHeight="false" outlineLevel="0" collapsed="false">
      <c r="A211" s="32" t="str">
        <f aca="false">IF(COUNTA(B211,D211,E211,F211)=0,"",ROW()-4)</f>
        <v/>
      </c>
      <c r="B211" s="22"/>
      <c r="C211" s="28"/>
      <c r="D211" s="28"/>
      <c r="E211" s="18"/>
      <c r="F211" s="28"/>
      <c r="G211" s="32" t="str">
        <f aca="false">IF(F211="","",IFERROR(INDEX(請求台帳!$D$5:$D$504,MATCH(F211,請求台帳!$A$5:$A$504,0)),""))</f>
        <v/>
      </c>
      <c r="H211" s="26" t="str">
        <f aca="false">IF(F211="","",IFERROR(INDEX(請求台帳!$I$5:$I$504,MATCH(F211,請求台帳!$A$5:$A$504,0)),""))</f>
        <v/>
      </c>
      <c r="I211" s="29" t="str">
        <f aca="false">IF(COUNTA(B211,D211,E211,F211)=0,"",IF(OR(B211="",E211=""),"要入力",IF(F211="","未消込",IF(ISNA(MATCH(F211,請求台帳!$A$5:$A$504,0)),"番号誤り",IF(INDEX(請求台帳!$T$5:$T$504,MATCH(F211,請求台帳!$A$5:$A$504,0))="取消","取消請求へ消込","消込済")))))</f>
        <v/>
      </c>
      <c r="J211" s="28"/>
      <c r="K211" s="28"/>
    </row>
    <row r="212" customFormat="false" ht="15" hidden="false" customHeight="false" outlineLevel="0" collapsed="false">
      <c r="A212" s="32" t="str">
        <f aca="false">IF(COUNTA(B212,D212,E212,F212)=0,"",ROW()-4)</f>
        <v/>
      </c>
      <c r="B212" s="22"/>
      <c r="C212" s="28"/>
      <c r="D212" s="28"/>
      <c r="E212" s="18"/>
      <c r="F212" s="28"/>
      <c r="G212" s="32" t="str">
        <f aca="false">IF(F212="","",IFERROR(INDEX(請求台帳!$D$5:$D$504,MATCH(F212,請求台帳!$A$5:$A$504,0)),""))</f>
        <v/>
      </c>
      <c r="H212" s="26" t="str">
        <f aca="false">IF(F212="","",IFERROR(INDEX(請求台帳!$I$5:$I$504,MATCH(F212,請求台帳!$A$5:$A$504,0)),""))</f>
        <v/>
      </c>
      <c r="I212" s="29" t="str">
        <f aca="false">IF(COUNTA(B212,D212,E212,F212)=0,"",IF(OR(B212="",E212=""),"要入力",IF(F212="","未消込",IF(ISNA(MATCH(F212,請求台帳!$A$5:$A$504,0)),"番号誤り",IF(INDEX(請求台帳!$T$5:$T$504,MATCH(F212,請求台帳!$A$5:$A$504,0))="取消","取消請求へ消込","消込済")))))</f>
        <v/>
      </c>
      <c r="J212" s="28"/>
      <c r="K212" s="28"/>
    </row>
    <row r="213" customFormat="false" ht="15" hidden="false" customHeight="false" outlineLevel="0" collapsed="false">
      <c r="A213" s="32" t="str">
        <f aca="false">IF(COUNTA(B213,D213,E213,F213)=0,"",ROW()-4)</f>
        <v/>
      </c>
      <c r="B213" s="22"/>
      <c r="C213" s="28"/>
      <c r="D213" s="28"/>
      <c r="E213" s="18"/>
      <c r="F213" s="28"/>
      <c r="G213" s="32" t="str">
        <f aca="false">IF(F213="","",IFERROR(INDEX(請求台帳!$D$5:$D$504,MATCH(F213,請求台帳!$A$5:$A$504,0)),""))</f>
        <v/>
      </c>
      <c r="H213" s="26" t="str">
        <f aca="false">IF(F213="","",IFERROR(INDEX(請求台帳!$I$5:$I$504,MATCH(F213,請求台帳!$A$5:$A$504,0)),""))</f>
        <v/>
      </c>
      <c r="I213" s="29" t="str">
        <f aca="false">IF(COUNTA(B213,D213,E213,F213)=0,"",IF(OR(B213="",E213=""),"要入力",IF(F213="","未消込",IF(ISNA(MATCH(F213,請求台帳!$A$5:$A$504,0)),"番号誤り",IF(INDEX(請求台帳!$T$5:$T$504,MATCH(F213,請求台帳!$A$5:$A$504,0))="取消","取消請求へ消込","消込済")))))</f>
        <v/>
      </c>
      <c r="J213" s="28"/>
      <c r="K213" s="28"/>
    </row>
    <row r="214" customFormat="false" ht="15" hidden="false" customHeight="false" outlineLevel="0" collapsed="false">
      <c r="A214" s="32" t="str">
        <f aca="false">IF(COUNTA(B214,D214,E214,F214)=0,"",ROW()-4)</f>
        <v/>
      </c>
      <c r="B214" s="22"/>
      <c r="C214" s="28"/>
      <c r="D214" s="28"/>
      <c r="E214" s="18"/>
      <c r="F214" s="28"/>
      <c r="G214" s="32" t="str">
        <f aca="false">IF(F214="","",IFERROR(INDEX(請求台帳!$D$5:$D$504,MATCH(F214,請求台帳!$A$5:$A$504,0)),""))</f>
        <v/>
      </c>
      <c r="H214" s="26" t="str">
        <f aca="false">IF(F214="","",IFERROR(INDEX(請求台帳!$I$5:$I$504,MATCH(F214,請求台帳!$A$5:$A$504,0)),""))</f>
        <v/>
      </c>
      <c r="I214" s="29" t="str">
        <f aca="false">IF(COUNTA(B214,D214,E214,F214)=0,"",IF(OR(B214="",E214=""),"要入力",IF(F214="","未消込",IF(ISNA(MATCH(F214,請求台帳!$A$5:$A$504,0)),"番号誤り",IF(INDEX(請求台帳!$T$5:$T$504,MATCH(F214,請求台帳!$A$5:$A$504,0))="取消","取消請求へ消込","消込済")))))</f>
        <v/>
      </c>
      <c r="J214" s="28"/>
      <c r="K214" s="28"/>
    </row>
    <row r="215" customFormat="false" ht="15" hidden="false" customHeight="false" outlineLevel="0" collapsed="false">
      <c r="A215" s="32" t="str">
        <f aca="false">IF(COUNTA(B215,D215,E215,F215)=0,"",ROW()-4)</f>
        <v/>
      </c>
      <c r="B215" s="22"/>
      <c r="C215" s="28"/>
      <c r="D215" s="28"/>
      <c r="E215" s="18"/>
      <c r="F215" s="28"/>
      <c r="G215" s="32" t="str">
        <f aca="false">IF(F215="","",IFERROR(INDEX(請求台帳!$D$5:$D$504,MATCH(F215,請求台帳!$A$5:$A$504,0)),""))</f>
        <v/>
      </c>
      <c r="H215" s="26" t="str">
        <f aca="false">IF(F215="","",IFERROR(INDEX(請求台帳!$I$5:$I$504,MATCH(F215,請求台帳!$A$5:$A$504,0)),""))</f>
        <v/>
      </c>
      <c r="I215" s="29" t="str">
        <f aca="false">IF(COUNTA(B215,D215,E215,F215)=0,"",IF(OR(B215="",E215=""),"要入力",IF(F215="","未消込",IF(ISNA(MATCH(F215,請求台帳!$A$5:$A$504,0)),"番号誤り",IF(INDEX(請求台帳!$T$5:$T$504,MATCH(F215,請求台帳!$A$5:$A$504,0))="取消","取消請求へ消込","消込済")))))</f>
        <v/>
      </c>
      <c r="J215" s="28"/>
      <c r="K215" s="28"/>
    </row>
    <row r="216" customFormat="false" ht="15" hidden="false" customHeight="false" outlineLevel="0" collapsed="false">
      <c r="A216" s="32" t="str">
        <f aca="false">IF(COUNTA(B216,D216,E216,F216)=0,"",ROW()-4)</f>
        <v/>
      </c>
      <c r="B216" s="22"/>
      <c r="C216" s="28"/>
      <c r="D216" s="28"/>
      <c r="E216" s="18"/>
      <c r="F216" s="28"/>
      <c r="G216" s="32" t="str">
        <f aca="false">IF(F216="","",IFERROR(INDEX(請求台帳!$D$5:$D$504,MATCH(F216,請求台帳!$A$5:$A$504,0)),""))</f>
        <v/>
      </c>
      <c r="H216" s="26" t="str">
        <f aca="false">IF(F216="","",IFERROR(INDEX(請求台帳!$I$5:$I$504,MATCH(F216,請求台帳!$A$5:$A$504,0)),""))</f>
        <v/>
      </c>
      <c r="I216" s="29" t="str">
        <f aca="false">IF(COUNTA(B216,D216,E216,F216)=0,"",IF(OR(B216="",E216=""),"要入力",IF(F216="","未消込",IF(ISNA(MATCH(F216,請求台帳!$A$5:$A$504,0)),"番号誤り",IF(INDEX(請求台帳!$T$5:$T$504,MATCH(F216,請求台帳!$A$5:$A$504,0))="取消","取消請求へ消込","消込済")))))</f>
        <v/>
      </c>
      <c r="J216" s="28"/>
      <c r="K216" s="28"/>
    </row>
    <row r="217" customFormat="false" ht="15" hidden="false" customHeight="false" outlineLevel="0" collapsed="false">
      <c r="A217" s="32" t="str">
        <f aca="false">IF(COUNTA(B217,D217,E217,F217)=0,"",ROW()-4)</f>
        <v/>
      </c>
      <c r="B217" s="22"/>
      <c r="C217" s="28"/>
      <c r="D217" s="28"/>
      <c r="E217" s="18"/>
      <c r="F217" s="28"/>
      <c r="G217" s="32" t="str">
        <f aca="false">IF(F217="","",IFERROR(INDEX(請求台帳!$D$5:$D$504,MATCH(F217,請求台帳!$A$5:$A$504,0)),""))</f>
        <v/>
      </c>
      <c r="H217" s="26" t="str">
        <f aca="false">IF(F217="","",IFERROR(INDEX(請求台帳!$I$5:$I$504,MATCH(F217,請求台帳!$A$5:$A$504,0)),""))</f>
        <v/>
      </c>
      <c r="I217" s="29" t="str">
        <f aca="false">IF(COUNTA(B217,D217,E217,F217)=0,"",IF(OR(B217="",E217=""),"要入力",IF(F217="","未消込",IF(ISNA(MATCH(F217,請求台帳!$A$5:$A$504,0)),"番号誤り",IF(INDEX(請求台帳!$T$5:$T$504,MATCH(F217,請求台帳!$A$5:$A$504,0))="取消","取消請求へ消込","消込済")))))</f>
        <v/>
      </c>
      <c r="J217" s="28"/>
      <c r="K217" s="28"/>
    </row>
    <row r="218" customFormat="false" ht="15" hidden="false" customHeight="false" outlineLevel="0" collapsed="false">
      <c r="A218" s="32" t="str">
        <f aca="false">IF(COUNTA(B218,D218,E218,F218)=0,"",ROW()-4)</f>
        <v/>
      </c>
      <c r="B218" s="22"/>
      <c r="C218" s="28"/>
      <c r="D218" s="28"/>
      <c r="E218" s="18"/>
      <c r="F218" s="28"/>
      <c r="G218" s="32" t="str">
        <f aca="false">IF(F218="","",IFERROR(INDEX(請求台帳!$D$5:$D$504,MATCH(F218,請求台帳!$A$5:$A$504,0)),""))</f>
        <v/>
      </c>
      <c r="H218" s="26" t="str">
        <f aca="false">IF(F218="","",IFERROR(INDEX(請求台帳!$I$5:$I$504,MATCH(F218,請求台帳!$A$5:$A$504,0)),""))</f>
        <v/>
      </c>
      <c r="I218" s="29" t="str">
        <f aca="false">IF(COUNTA(B218,D218,E218,F218)=0,"",IF(OR(B218="",E218=""),"要入力",IF(F218="","未消込",IF(ISNA(MATCH(F218,請求台帳!$A$5:$A$504,0)),"番号誤り",IF(INDEX(請求台帳!$T$5:$T$504,MATCH(F218,請求台帳!$A$5:$A$504,0))="取消","取消請求へ消込","消込済")))))</f>
        <v/>
      </c>
      <c r="J218" s="28"/>
      <c r="K218" s="28"/>
    </row>
    <row r="219" customFormat="false" ht="15" hidden="false" customHeight="false" outlineLevel="0" collapsed="false">
      <c r="A219" s="32" t="str">
        <f aca="false">IF(COUNTA(B219,D219,E219,F219)=0,"",ROW()-4)</f>
        <v/>
      </c>
      <c r="B219" s="22"/>
      <c r="C219" s="28"/>
      <c r="D219" s="28"/>
      <c r="E219" s="18"/>
      <c r="F219" s="28"/>
      <c r="G219" s="32" t="str">
        <f aca="false">IF(F219="","",IFERROR(INDEX(請求台帳!$D$5:$D$504,MATCH(F219,請求台帳!$A$5:$A$504,0)),""))</f>
        <v/>
      </c>
      <c r="H219" s="26" t="str">
        <f aca="false">IF(F219="","",IFERROR(INDEX(請求台帳!$I$5:$I$504,MATCH(F219,請求台帳!$A$5:$A$504,0)),""))</f>
        <v/>
      </c>
      <c r="I219" s="29" t="str">
        <f aca="false">IF(COUNTA(B219,D219,E219,F219)=0,"",IF(OR(B219="",E219=""),"要入力",IF(F219="","未消込",IF(ISNA(MATCH(F219,請求台帳!$A$5:$A$504,0)),"番号誤り",IF(INDEX(請求台帳!$T$5:$T$504,MATCH(F219,請求台帳!$A$5:$A$504,0))="取消","取消請求へ消込","消込済")))))</f>
        <v/>
      </c>
      <c r="J219" s="28"/>
      <c r="K219" s="28"/>
    </row>
    <row r="220" customFormat="false" ht="15" hidden="false" customHeight="false" outlineLevel="0" collapsed="false">
      <c r="A220" s="32" t="str">
        <f aca="false">IF(COUNTA(B220,D220,E220,F220)=0,"",ROW()-4)</f>
        <v/>
      </c>
      <c r="B220" s="22"/>
      <c r="C220" s="28"/>
      <c r="D220" s="28"/>
      <c r="E220" s="18"/>
      <c r="F220" s="28"/>
      <c r="G220" s="32" t="str">
        <f aca="false">IF(F220="","",IFERROR(INDEX(請求台帳!$D$5:$D$504,MATCH(F220,請求台帳!$A$5:$A$504,0)),""))</f>
        <v/>
      </c>
      <c r="H220" s="26" t="str">
        <f aca="false">IF(F220="","",IFERROR(INDEX(請求台帳!$I$5:$I$504,MATCH(F220,請求台帳!$A$5:$A$504,0)),""))</f>
        <v/>
      </c>
      <c r="I220" s="29" t="str">
        <f aca="false">IF(COUNTA(B220,D220,E220,F220)=0,"",IF(OR(B220="",E220=""),"要入力",IF(F220="","未消込",IF(ISNA(MATCH(F220,請求台帳!$A$5:$A$504,0)),"番号誤り",IF(INDEX(請求台帳!$T$5:$T$504,MATCH(F220,請求台帳!$A$5:$A$504,0))="取消","取消請求へ消込","消込済")))))</f>
        <v/>
      </c>
      <c r="J220" s="28"/>
      <c r="K220" s="28"/>
    </row>
    <row r="221" customFormat="false" ht="15" hidden="false" customHeight="false" outlineLevel="0" collapsed="false">
      <c r="A221" s="32" t="str">
        <f aca="false">IF(COUNTA(B221,D221,E221,F221)=0,"",ROW()-4)</f>
        <v/>
      </c>
      <c r="B221" s="22"/>
      <c r="C221" s="28"/>
      <c r="D221" s="28"/>
      <c r="E221" s="18"/>
      <c r="F221" s="28"/>
      <c r="G221" s="32" t="str">
        <f aca="false">IF(F221="","",IFERROR(INDEX(請求台帳!$D$5:$D$504,MATCH(F221,請求台帳!$A$5:$A$504,0)),""))</f>
        <v/>
      </c>
      <c r="H221" s="26" t="str">
        <f aca="false">IF(F221="","",IFERROR(INDEX(請求台帳!$I$5:$I$504,MATCH(F221,請求台帳!$A$5:$A$504,0)),""))</f>
        <v/>
      </c>
      <c r="I221" s="29" t="str">
        <f aca="false">IF(COUNTA(B221,D221,E221,F221)=0,"",IF(OR(B221="",E221=""),"要入力",IF(F221="","未消込",IF(ISNA(MATCH(F221,請求台帳!$A$5:$A$504,0)),"番号誤り",IF(INDEX(請求台帳!$T$5:$T$504,MATCH(F221,請求台帳!$A$5:$A$504,0))="取消","取消請求へ消込","消込済")))))</f>
        <v/>
      </c>
      <c r="J221" s="28"/>
      <c r="K221" s="28"/>
    </row>
    <row r="222" customFormat="false" ht="15" hidden="false" customHeight="false" outlineLevel="0" collapsed="false">
      <c r="A222" s="32" t="str">
        <f aca="false">IF(COUNTA(B222,D222,E222,F222)=0,"",ROW()-4)</f>
        <v/>
      </c>
      <c r="B222" s="22"/>
      <c r="C222" s="28"/>
      <c r="D222" s="28"/>
      <c r="E222" s="18"/>
      <c r="F222" s="28"/>
      <c r="G222" s="32" t="str">
        <f aca="false">IF(F222="","",IFERROR(INDEX(請求台帳!$D$5:$D$504,MATCH(F222,請求台帳!$A$5:$A$504,0)),""))</f>
        <v/>
      </c>
      <c r="H222" s="26" t="str">
        <f aca="false">IF(F222="","",IFERROR(INDEX(請求台帳!$I$5:$I$504,MATCH(F222,請求台帳!$A$5:$A$504,0)),""))</f>
        <v/>
      </c>
      <c r="I222" s="29" t="str">
        <f aca="false">IF(COUNTA(B222,D222,E222,F222)=0,"",IF(OR(B222="",E222=""),"要入力",IF(F222="","未消込",IF(ISNA(MATCH(F222,請求台帳!$A$5:$A$504,0)),"番号誤り",IF(INDEX(請求台帳!$T$5:$T$504,MATCH(F222,請求台帳!$A$5:$A$504,0))="取消","取消請求へ消込","消込済")))))</f>
        <v/>
      </c>
      <c r="J222" s="28"/>
      <c r="K222" s="28"/>
    </row>
    <row r="223" customFormat="false" ht="15" hidden="false" customHeight="false" outlineLevel="0" collapsed="false">
      <c r="A223" s="32" t="str">
        <f aca="false">IF(COUNTA(B223,D223,E223,F223)=0,"",ROW()-4)</f>
        <v/>
      </c>
      <c r="B223" s="22"/>
      <c r="C223" s="28"/>
      <c r="D223" s="28"/>
      <c r="E223" s="18"/>
      <c r="F223" s="28"/>
      <c r="G223" s="32" t="str">
        <f aca="false">IF(F223="","",IFERROR(INDEX(請求台帳!$D$5:$D$504,MATCH(F223,請求台帳!$A$5:$A$504,0)),""))</f>
        <v/>
      </c>
      <c r="H223" s="26" t="str">
        <f aca="false">IF(F223="","",IFERROR(INDEX(請求台帳!$I$5:$I$504,MATCH(F223,請求台帳!$A$5:$A$504,0)),""))</f>
        <v/>
      </c>
      <c r="I223" s="29" t="str">
        <f aca="false">IF(COUNTA(B223,D223,E223,F223)=0,"",IF(OR(B223="",E223=""),"要入力",IF(F223="","未消込",IF(ISNA(MATCH(F223,請求台帳!$A$5:$A$504,0)),"番号誤り",IF(INDEX(請求台帳!$T$5:$T$504,MATCH(F223,請求台帳!$A$5:$A$504,0))="取消","取消請求へ消込","消込済")))))</f>
        <v/>
      </c>
      <c r="J223" s="28"/>
      <c r="K223" s="28"/>
    </row>
    <row r="224" customFormat="false" ht="15" hidden="false" customHeight="false" outlineLevel="0" collapsed="false">
      <c r="A224" s="32" t="str">
        <f aca="false">IF(COUNTA(B224,D224,E224,F224)=0,"",ROW()-4)</f>
        <v/>
      </c>
      <c r="B224" s="22"/>
      <c r="C224" s="28"/>
      <c r="D224" s="28"/>
      <c r="E224" s="18"/>
      <c r="F224" s="28"/>
      <c r="G224" s="32" t="str">
        <f aca="false">IF(F224="","",IFERROR(INDEX(請求台帳!$D$5:$D$504,MATCH(F224,請求台帳!$A$5:$A$504,0)),""))</f>
        <v/>
      </c>
      <c r="H224" s="26" t="str">
        <f aca="false">IF(F224="","",IFERROR(INDEX(請求台帳!$I$5:$I$504,MATCH(F224,請求台帳!$A$5:$A$504,0)),""))</f>
        <v/>
      </c>
      <c r="I224" s="29" t="str">
        <f aca="false">IF(COUNTA(B224,D224,E224,F224)=0,"",IF(OR(B224="",E224=""),"要入力",IF(F224="","未消込",IF(ISNA(MATCH(F224,請求台帳!$A$5:$A$504,0)),"番号誤り",IF(INDEX(請求台帳!$T$5:$T$504,MATCH(F224,請求台帳!$A$5:$A$504,0))="取消","取消請求へ消込","消込済")))))</f>
        <v/>
      </c>
      <c r="J224" s="28"/>
      <c r="K224" s="28"/>
    </row>
    <row r="225" customFormat="false" ht="15" hidden="false" customHeight="false" outlineLevel="0" collapsed="false">
      <c r="A225" s="32" t="str">
        <f aca="false">IF(COUNTA(B225,D225,E225,F225)=0,"",ROW()-4)</f>
        <v/>
      </c>
      <c r="B225" s="22"/>
      <c r="C225" s="28"/>
      <c r="D225" s="28"/>
      <c r="E225" s="18"/>
      <c r="F225" s="28"/>
      <c r="G225" s="32" t="str">
        <f aca="false">IF(F225="","",IFERROR(INDEX(請求台帳!$D$5:$D$504,MATCH(F225,請求台帳!$A$5:$A$504,0)),""))</f>
        <v/>
      </c>
      <c r="H225" s="26" t="str">
        <f aca="false">IF(F225="","",IFERROR(INDEX(請求台帳!$I$5:$I$504,MATCH(F225,請求台帳!$A$5:$A$504,0)),""))</f>
        <v/>
      </c>
      <c r="I225" s="29" t="str">
        <f aca="false">IF(COUNTA(B225,D225,E225,F225)=0,"",IF(OR(B225="",E225=""),"要入力",IF(F225="","未消込",IF(ISNA(MATCH(F225,請求台帳!$A$5:$A$504,0)),"番号誤り",IF(INDEX(請求台帳!$T$5:$T$504,MATCH(F225,請求台帳!$A$5:$A$504,0))="取消","取消請求へ消込","消込済")))))</f>
        <v/>
      </c>
      <c r="J225" s="28"/>
      <c r="K225" s="28"/>
    </row>
    <row r="226" customFormat="false" ht="15" hidden="false" customHeight="false" outlineLevel="0" collapsed="false">
      <c r="A226" s="32" t="str">
        <f aca="false">IF(COUNTA(B226,D226,E226,F226)=0,"",ROW()-4)</f>
        <v/>
      </c>
      <c r="B226" s="22"/>
      <c r="C226" s="28"/>
      <c r="D226" s="28"/>
      <c r="E226" s="18"/>
      <c r="F226" s="28"/>
      <c r="G226" s="32" t="str">
        <f aca="false">IF(F226="","",IFERROR(INDEX(請求台帳!$D$5:$D$504,MATCH(F226,請求台帳!$A$5:$A$504,0)),""))</f>
        <v/>
      </c>
      <c r="H226" s="26" t="str">
        <f aca="false">IF(F226="","",IFERROR(INDEX(請求台帳!$I$5:$I$504,MATCH(F226,請求台帳!$A$5:$A$504,0)),""))</f>
        <v/>
      </c>
      <c r="I226" s="29" t="str">
        <f aca="false">IF(COUNTA(B226,D226,E226,F226)=0,"",IF(OR(B226="",E226=""),"要入力",IF(F226="","未消込",IF(ISNA(MATCH(F226,請求台帳!$A$5:$A$504,0)),"番号誤り",IF(INDEX(請求台帳!$T$5:$T$504,MATCH(F226,請求台帳!$A$5:$A$504,0))="取消","取消請求へ消込","消込済")))))</f>
        <v/>
      </c>
      <c r="J226" s="28"/>
      <c r="K226" s="28"/>
    </row>
    <row r="227" customFormat="false" ht="15" hidden="false" customHeight="false" outlineLevel="0" collapsed="false">
      <c r="A227" s="32" t="str">
        <f aca="false">IF(COUNTA(B227,D227,E227,F227)=0,"",ROW()-4)</f>
        <v/>
      </c>
      <c r="B227" s="22"/>
      <c r="C227" s="28"/>
      <c r="D227" s="28"/>
      <c r="E227" s="18"/>
      <c r="F227" s="28"/>
      <c r="G227" s="32" t="str">
        <f aca="false">IF(F227="","",IFERROR(INDEX(請求台帳!$D$5:$D$504,MATCH(F227,請求台帳!$A$5:$A$504,0)),""))</f>
        <v/>
      </c>
      <c r="H227" s="26" t="str">
        <f aca="false">IF(F227="","",IFERROR(INDEX(請求台帳!$I$5:$I$504,MATCH(F227,請求台帳!$A$5:$A$504,0)),""))</f>
        <v/>
      </c>
      <c r="I227" s="29" t="str">
        <f aca="false">IF(COUNTA(B227,D227,E227,F227)=0,"",IF(OR(B227="",E227=""),"要入力",IF(F227="","未消込",IF(ISNA(MATCH(F227,請求台帳!$A$5:$A$504,0)),"番号誤り",IF(INDEX(請求台帳!$T$5:$T$504,MATCH(F227,請求台帳!$A$5:$A$504,0))="取消","取消請求へ消込","消込済")))))</f>
        <v/>
      </c>
      <c r="J227" s="28"/>
      <c r="K227" s="28"/>
    </row>
    <row r="228" customFormat="false" ht="15" hidden="false" customHeight="false" outlineLevel="0" collapsed="false">
      <c r="A228" s="32" t="str">
        <f aca="false">IF(COUNTA(B228,D228,E228,F228)=0,"",ROW()-4)</f>
        <v/>
      </c>
      <c r="B228" s="22"/>
      <c r="C228" s="28"/>
      <c r="D228" s="28"/>
      <c r="E228" s="18"/>
      <c r="F228" s="28"/>
      <c r="G228" s="32" t="str">
        <f aca="false">IF(F228="","",IFERROR(INDEX(請求台帳!$D$5:$D$504,MATCH(F228,請求台帳!$A$5:$A$504,0)),""))</f>
        <v/>
      </c>
      <c r="H228" s="26" t="str">
        <f aca="false">IF(F228="","",IFERROR(INDEX(請求台帳!$I$5:$I$504,MATCH(F228,請求台帳!$A$5:$A$504,0)),""))</f>
        <v/>
      </c>
      <c r="I228" s="29" t="str">
        <f aca="false">IF(COUNTA(B228,D228,E228,F228)=0,"",IF(OR(B228="",E228=""),"要入力",IF(F228="","未消込",IF(ISNA(MATCH(F228,請求台帳!$A$5:$A$504,0)),"番号誤り",IF(INDEX(請求台帳!$T$5:$T$504,MATCH(F228,請求台帳!$A$5:$A$504,0))="取消","取消請求へ消込","消込済")))))</f>
        <v/>
      </c>
      <c r="J228" s="28"/>
      <c r="K228" s="28"/>
    </row>
    <row r="229" customFormat="false" ht="15" hidden="false" customHeight="false" outlineLevel="0" collapsed="false">
      <c r="A229" s="32" t="str">
        <f aca="false">IF(COUNTA(B229,D229,E229,F229)=0,"",ROW()-4)</f>
        <v/>
      </c>
      <c r="B229" s="22"/>
      <c r="C229" s="28"/>
      <c r="D229" s="28"/>
      <c r="E229" s="18"/>
      <c r="F229" s="28"/>
      <c r="G229" s="32" t="str">
        <f aca="false">IF(F229="","",IFERROR(INDEX(請求台帳!$D$5:$D$504,MATCH(F229,請求台帳!$A$5:$A$504,0)),""))</f>
        <v/>
      </c>
      <c r="H229" s="26" t="str">
        <f aca="false">IF(F229="","",IFERROR(INDEX(請求台帳!$I$5:$I$504,MATCH(F229,請求台帳!$A$5:$A$504,0)),""))</f>
        <v/>
      </c>
      <c r="I229" s="29" t="str">
        <f aca="false">IF(COUNTA(B229,D229,E229,F229)=0,"",IF(OR(B229="",E229=""),"要入力",IF(F229="","未消込",IF(ISNA(MATCH(F229,請求台帳!$A$5:$A$504,0)),"番号誤り",IF(INDEX(請求台帳!$T$5:$T$504,MATCH(F229,請求台帳!$A$5:$A$504,0))="取消","取消請求へ消込","消込済")))))</f>
        <v/>
      </c>
      <c r="J229" s="28"/>
      <c r="K229" s="28"/>
    </row>
    <row r="230" customFormat="false" ht="15" hidden="false" customHeight="false" outlineLevel="0" collapsed="false">
      <c r="A230" s="32" t="str">
        <f aca="false">IF(COUNTA(B230,D230,E230,F230)=0,"",ROW()-4)</f>
        <v/>
      </c>
      <c r="B230" s="22"/>
      <c r="C230" s="28"/>
      <c r="D230" s="28"/>
      <c r="E230" s="18"/>
      <c r="F230" s="28"/>
      <c r="G230" s="32" t="str">
        <f aca="false">IF(F230="","",IFERROR(INDEX(請求台帳!$D$5:$D$504,MATCH(F230,請求台帳!$A$5:$A$504,0)),""))</f>
        <v/>
      </c>
      <c r="H230" s="26" t="str">
        <f aca="false">IF(F230="","",IFERROR(INDEX(請求台帳!$I$5:$I$504,MATCH(F230,請求台帳!$A$5:$A$504,0)),""))</f>
        <v/>
      </c>
      <c r="I230" s="29" t="str">
        <f aca="false">IF(COUNTA(B230,D230,E230,F230)=0,"",IF(OR(B230="",E230=""),"要入力",IF(F230="","未消込",IF(ISNA(MATCH(F230,請求台帳!$A$5:$A$504,0)),"番号誤り",IF(INDEX(請求台帳!$T$5:$T$504,MATCH(F230,請求台帳!$A$5:$A$504,0))="取消","取消請求へ消込","消込済")))))</f>
        <v/>
      </c>
      <c r="J230" s="28"/>
      <c r="K230" s="28"/>
    </row>
    <row r="231" customFormat="false" ht="15" hidden="false" customHeight="false" outlineLevel="0" collapsed="false">
      <c r="A231" s="32" t="str">
        <f aca="false">IF(COUNTA(B231,D231,E231,F231)=0,"",ROW()-4)</f>
        <v/>
      </c>
      <c r="B231" s="22"/>
      <c r="C231" s="28"/>
      <c r="D231" s="28"/>
      <c r="E231" s="18"/>
      <c r="F231" s="28"/>
      <c r="G231" s="32" t="str">
        <f aca="false">IF(F231="","",IFERROR(INDEX(請求台帳!$D$5:$D$504,MATCH(F231,請求台帳!$A$5:$A$504,0)),""))</f>
        <v/>
      </c>
      <c r="H231" s="26" t="str">
        <f aca="false">IF(F231="","",IFERROR(INDEX(請求台帳!$I$5:$I$504,MATCH(F231,請求台帳!$A$5:$A$504,0)),""))</f>
        <v/>
      </c>
      <c r="I231" s="29" t="str">
        <f aca="false">IF(COUNTA(B231,D231,E231,F231)=0,"",IF(OR(B231="",E231=""),"要入力",IF(F231="","未消込",IF(ISNA(MATCH(F231,請求台帳!$A$5:$A$504,0)),"番号誤り",IF(INDEX(請求台帳!$T$5:$T$504,MATCH(F231,請求台帳!$A$5:$A$504,0))="取消","取消請求へ消込","消込済")))))</f>
        <v/>
      </c>
      <c r="J231" s="28"/>
      <c r="K231" s="28"/>
    </row>
    <row r="232" customFormat="false" ht="15" hidden="false" customHeight="false" outlineLevel="0" collapsed="false">
      <c r="A232" s="32" t="str">
        <f aca="false">IF(COUNTA(B232,D232,E232,F232)=0,"",ROW()-4)</f>
        <v/>
      </c>
      <c r="B232" s="22"/>
      <c r="C232" s="28"/>
      <c r="D232" s="28"/>
      <c r="E232" s="18"/>
      <c r="F232" s="28"/>
      <c r="G232" s="32" t="str">
        <f aca="false">IF(F232="","",IFERROR(INDEX(請求台帳!$D$5:$D$504,MATCH(F232,請求台帳!$A$5:$A$504,0)),""))</f>
        <v/>
      </c>
      <c r="H232" s="26" t="str">
        <f aca="false">IF(F232="","",IFERROR(INDEX(請求台帳!$I$5:$I$504,MATCH(F232,請求台帳!$A$5:$A$504,0)),""))</f>
        <v/>
      </c>
      <c r="I232" s="29" t="str">
        <f aca="false">IF(COUNTA(B232,D232,E232,F232)=0,"",IF(OR(B232="",E232=""),"要入力",IF(F232="","未消込",IF(ISNA(MATCH(F232,請求台帳!$A$5:$A$504,0)),"番号誤り",IF(INDEX(請求台帳!$T$5:$T$504,MATCH(F232,請求台帳!$A$5:$A$504,0))="取消","取消請求へ消込","消込済")))))</f>
        <v/>
      </c>
      <c r="J232" s="28"/>
      <c r="K232" s="28"/>
    </row>
    <row r="233" customFormat="false" ht="15" hidden="false" customHeight="false" outlineLevel="0" collapsed="false">
      <c r="A233" s="32" t="str">
        <f aca="false">IF(COUNTA(B233,D233,E233,F233)=0,"",ROW()-4)</f>
        <v/>
      </c>
      <c r="B233" s="22"/>
      <c r="C233" s="28"/>
      <c r="D233" s="28"/>
      <c r="E233" s="18"/>
      <c r="F233" s="28"/>
      <c r="G233" s="32" t="str">
        <f aca="false">IF(F233="","",IFERROR(INDEX(請求台帳!$D$5:$D$504,MATCH(F233,請求台帳!$A$5:$A$504,0)),""))</f>
        <v/>
      </c>
      <c r="H233" s="26" t="str">
        <f aca="false">IF(F233="","",IFERROR(INDEX(請求台帳!$I$5:$I$504,MATCH(F233,請求台帳!$A$5:$A$504,0)),""))</f>
        <v/>
      </c>
      <c r="I233" s="29" t="str">
        <f aca="false">IF(COUNTA(B233,D233,E233,F233)=0,"",IF(OR(B233="",E233=""),"要入力",IF(F233="","未消込",IF(ISNA(MATCH(F233,請求台帳!$A$5:$A$504,0)),"番号誤り",IF(INDEX(請求台帳!$T$5:$T$504,MATCH(F233,請求台帳!$A$5:$A$504,0))="取消","取消請求へ消込","消込済")))))</f>
        <v/>
      </c>
      <c r="J233" s="28"/>
      <c r="K233" s="28"/>
    </row>
    <row r="234" customFormat="false" ht="15" hidden="false" customHeight="false" outlineLevel="0" collapsed="false">
      <c r="A234" s="32" t="str">
        <f aca="false">IF(COUNTA(B234,D234,E234,F234)=0,"",ROW()-4)</f>
        <v/>
      </c>
      <c r="B234" s="22"/>
      <c r="C234" s="28"/>
      <c r="D234" s="28"/>
      <c r="E234" s="18"/>
      <c r="F234" s="28"/>
      <c r="G234" s="32" t="str">
        <f aca="false">IF(F234="","",IFERROR(INDEX(請求台帳!$D$5:$D$504,MATCH(F234,請求台帳!$A$5:$A$504,0)),""))</f>
        <v/>
      </c>
      <c r="H234" s="26" t="str">
        <f aca="false">IF(F234="","",IFERROR(INDEX(請求台帳!$I$5:$I$504,MATCH(F234,請求台帳!$A$5:$A$504,0)),""))</f>
        <v/>
      </c>
      <c r="I234" s="29" t="str">
        <f aca="false">IF(COUNTA(B234,D234,E234,F234)=0,"",IF(OR(B234="",E234=""),"要入力",IF(F234="","未消込",IF(ISNA(MATCH(F234,請求台帳!$A$5:$A$504,0)),"番号誤り",IF(INDEX(請求台帳!$T$5:$T$504,MATCH(F234,請求台帳!$A$5:$A$504,0))="取消","取消請求へ消込","消込済")))))</f>
        <v/>
      </c>
      <c r="J234" s="28"/>
      <c r="K234" s="28"/>
    </row>
    <row r="235" customFormat="false" ht="15" hidden="false" customHeight="false" outlineLevel="0" collapsed="false">
      <c r="A235" s="32" t="str">
        <f aca="false">IF(COUNTA(B235,D235,E235,F235)=0,"",ROW()-4)</f>
        <v/>
      </c>
      <c r="B235" s="22"/>
      <c r="C235" s="28"/>
      <c r="D235" s="28"/>
      <c r="E235" s="18"/>
      <c r="F235" s="28"/>
      <c r="G235" s="32" t="str">
        <f aca="false">IF(F235="","",IFERROR(INDEX(請求台帳!$D$5:$D$504,MATCH(F235,請求台帳!$A$5:$A$504,0)),""))</f>
        <v/>
      </c>
      <c r="H235" s="26" t="str">
        <f aca="false">IF(F235="","",IFERROR(INDEX(請求台帳!$I$5:$I$504,MATCH(F235,請求台帳!$A$5:$A$504,0)),""))</f>
        <v/>
      </c>
      <c r="I235" s="29" t="str">
        <f aca="false">IF(COUNTA(B235,D235,E235,F235)=0,"",IF(OR(B235="",E235=""),"要入力",IF(F235="","未消込",IF(ISNA(MATCH(F235,請求台帳!$A$5:$A$504,0)),"番号誤り",IF(INDEX(請求台帳!$T$5:$T$504,MATCH(F235,請求台帳!$A$5:$A$504,0))="取消","取消請求へ消込","消込済")))))</f>
        <v/>
      </c>
      <c r="J235" s="28"/>
      <c r="K235" s="28"/>
    </row>
    <row r="236" customFormat="false" ht="15" hidden="false" customHeight="false" outlineLevel="0" collapsed="false">
      <c r="A236" s="32" t="str">
        <f aca="false">IF(COUNTA(B236,D236,E236,F236)=0,"",ROW()-4)</f>
        <v/>
      </c>
      <c r="B236" s="22"/>
      <c r="C236" s="28"/>
      <c r="D236" s="28"/>
      <c r="E236" s="18"/>
      <c r="F236" s="28"/>
      <c r="G236" s="32" t="str">
        <f aca="false">IF(F236="","",IFERROR(INDEX(請求台帳!$D$5:$D$504,MATCH(F236,請求台帳!$A$5:$A$504,0)),""))</f>
        <v/>
      </c>
      <c r="H236" s="26" t="str">
        <f aca="false">IF(F236="","",IFERROR(INDEX(請求台帳!$I$5:$I$504,MATCH(F236,請求台帳!$A$5:$A$504,0)),""))</f>
        <v/>
      </c>
      <c r="I236" s="29" t="str">
        <f aca="false">IF(COUNTA(B236,D236,E236,F236)=0,"",IF(OR(B236="",E236=""),"要入力",IF(F236="","未消込",IF(ISNA(MATCH(F236,請求台帳!$A$5:$A$504,0)),"番号誤り",IF(INDEX(請求台帳!$T$5:$T$504,MATCH(F236,請求台帳!$A$5:$A$504,0))="取消","取消請求へ消込","消込済")))))</f>
        <v/>
      </c>
      <c r="J236" s="28"/>
      <c r="K236" s="28"/>
    </row>
    <row r="237" customFormat="false" ht="15" hidden="false" customHeight="false" outlineLevel="0" collapsed="false">
      <c r="A237" s="32" t="str">
        <f aca="false">IF(COUNTA(B237,D237,E237,F237)=0,"",ROW()-4)</f>
        <v/>
      </c>
      <c r="B237" s="22"/>
      <c r="C237" s="28"/>
      <c r="D237" s="28"/>
      <c r="E237" s="18"/>
      <c r="F237" s="28"/>
      <c r="G237" s="32" t="str">
        <f aca="false">IF(F237="","",IFERROR(INDEX(請求台帳!$D$5:$D$504,MATCH(F237,請求台帳!$A$5:$A$504,0)),""))</f>
        <v/>
      </c>
      <c r="H237" s="26" t="str">
        <f aca="false">IF(F237="","",IFERROR(INDEX(請求台帳!$I$5:$I$504,MATCH(F237,請求台帳!$A$5:$A$504,0)),""))</f>
        <v/>
      </c>
      <c r="I237" s="29" t="str">
        <f aca="false">IF(COUNTA(B237,D237,E237,F237)=0,"",IF(OR(B237="",E237=""),"要入力",IF(F237="","未消込",IF(ISNA(MATCH(F237,請求台帳!$A$5:$A$504,0)),"番号誤り",IF(INDEX(請求台帳!$T$5:$T$504,MATCH(F237,請求台帳!$A$5:$A$504,0))="取消","取消請求へ消込","消込済")))))</f>
        <v/>
      </c>
      <c r="J237" s="28"/>
      <c r="K237" s="28"/>
    </row>
    <row r="238" customFormat="false" ht="15" hidden="false" customHeight="false" outlineLevel="0" collapsed="false">
      <c r="A238" s="32" t="str">
        <f aca="false">IF(COUNTA(B238,D238,E238,F238)=0,"",ROW()-4)</f>
        <v/>
      </c>
      <c r="B238" s="22"/>
      <c r="C238" s="28"/>
      <c r="D238" s="28"/>
      <c r="E238" s="18"/>
      <c r="F238" s="28"/>
      <c r="G238" s="32" t="str">
        <f aca="false">IF(F238="","",IFERROR(INDEX(請求台帳!$D$5:$D$504,MATCH(F238,請求台帳!$A$5:$A$504,0)),""))</f>
        <v/>
      </c>
      <c r="H238" s="26" t="str">
        <f aca="false">IF(F238="","",IFERROR(INDEX(請求台帳!$I$5:$I$504,MATCH(F238,請求台帳!$A$5:$A$504,0)),""))</f>
        <v/>
      </c>
      <c r="I238" s="29" t="str">
        <f aca="false">IF(COUNTA(B238,D238,E238,F238)=0,"",IF(OR(B238="",E238=""),"要入力",IF(F238="","未消込",IF(ISNA(MATCH(F238,請求台帳!$A$5:$A$504,0)),"番号誤り",IF(INDEX(請求台帳!$T$5:$T$504,MATCH(F238,請求台帳!$A$5:$A$504,0))="取消","取消請求へ消込","消込済")))))</f>
        <v/>
      </c>
      <c r="J238" s="28"/>
      <c r="K238" s="28"/>
    </row>
    <row r="239" customFormat="false" ht="15" hidden="false" customHeight="false" outlineLevel="0" collapsed="false">
      <c r="A239" s="32" t="str">
        <f aca="false">IF(COUNTA(B239,D239,E239,F239)=0,"",ROW()-4)</f>
        <v/>
      </c>
      <c r="B239" s="22"/>
      <c r="C239" s="28"/>
      <c r="D239" s="28"/>
      <c r="E239" s="18"/>
      <c r="F239" s="28"/>
      <c r="G239" s="32" t="str">
        <f aca="false">IF(F239="","",IFERROR(INDEX(請求台帳!$D$5:$D$504,MATCH(F239,請求台帳!$A$5:$A$504,0)),""))</f>
        <v/>
      </c>
      <c r="H239" s="26" t="str">
        <f aca="false">IF(F239="","",IFERROR(INDEX(請求台帳!$I$5:$I$504,MATCH(F239,請求台帳!$A$5:$A$504,0)),""))</f>
        <v/>
      </c>
      <c r="I239" s="29" t="str">
        <f aca="false">IF(COUNTA(B239,D239,E239,F239)=0,"",IF(OR(B239="",E239=""),"要入力",IF(F239="","未消込",IF(ISNA(MATCH(F239,請求台帳!$A$5:$A$504,0)),"番号誤り",IF(INDEX(請求台帳!$T$5:$T$504,MATCH(F239,請求台帳!$A$5:$A$504,0))="取消","取消請求へ消込","消込済")))))</f>
        <v/>
      </c>
      <c r="J239" s="28"/>
      <c r="K239" s="28"/>
    </row>
    <row r="240" customFormat="false" ht="15" hidden="false" customHeight="false" outlineLevel="0" collapsed="false">
      <c r="A240" s="32" t="str">
        <f aca="false">IF(COUNTA(B240,D240,E240,F240)=0,"",ROW()-4)</f>
        <v/>
      </c>
      <c r="B240" s="22"/>
      <c r="C240" s="28"/>
      <c r="D240" s="28"/>
      <c r="E240" s="18"/>
      <c r="F240" s="28"/>
      <c r="G240" s="32" t="str">
        <f aca="false">IF(F240="","",IFERROR(INDEX(請求台帳!$D$5:$D$504,MATCH(F240,請求台帳!$A$5:$A$504,0)),""))</f>
        <v/>
      </c>
      <c r="H240" s="26" t="str">
        <f aca="false">IF(F240="","",IFERROR(INDEX(請求台帳!$I$5:$I$504,MATCH(F240,請求台帳!$A$5:$A$504,0)),""))</f>
        <v/>
      </c>
      <c r="I240" s="29" t="str">
        <f aca="false">IF(COUNTA(B240,D240,E240,F240)=0,"",IF(OR(B240="",E240=""),"要入力",IF(F240="","未消込",IF(ISNA(MATCH(F240,請求台帳!$A$5:$A$504,0)),"番号誤り",IF(INDEX(請求台帳!$T$5:$T$504,MATCH(F240,請求台帳!$A$5:$A$504,0))="取消","取消請求へ消込","消込済")))))</f>
        <v/>
      </c>
      <c r="J240" s="28"/>
      <c r="K240" s="28"/>
    </row>
    <row r="241" customFormat="false" ht="15" hidden="false" customHeight="false" outlineLevel="0" collapsed="false">
      <c r="A241" s="32" t="str">
        <f aca="false">IF(COUNTA(B241,D241,E241,F241)=0,"",ROW()-4)</f>
        <v/>
      </c>
      <c r="B241" s="22"/>
      <c r="C241" s="28"/>
      <c r="D241" s="28"/>
      <c r="E241" s="18"/>
      <c r="F241" s="28"/>
      <c r="G241" s="32" t="str">
        <f aca="false">IF(F241="","",IFERROR(INDEX(請求台帳!$D$5:$D$504,MATCH(F241,請求台帳!$A$5:$A$504,0)),""))</f>
        <v/>
      </c>
      <c r="H241" s="26" t="str">
        <f aca="false">IF(F241="","",IFERROR(INDEX(請求台帳!$I$5:$I$504,MATCH(F241,請求台帳!$A$5:$A$504,0)),""))</f>
        <v/>
      </c>
      <c r="I241" s="29" t="str">
        <f aca="false">IF(COUNTA(B241,D241,E241,F241)=0,"",IF(OR(B241="",E241=""),"要入力",IF(F241="","未消込",IF(ISNA(MATCH(F241,請求台帳!$A$5:$A$504,0)),"番号誤り",IF(INDEX(請求台帳!$T$5:$T$504,MATCH(F241,請求台帳!$A$5:$A$504,0))="取消","取消請求へ消込","消込済")))))</f>
        <v/>
      </c>
      <c r="J241" s="28"/>
      <c r="K241" s="28"/>
    </row>
    <row r="242" customFormat="false" ht="15" hidden="false" customHeight="false" outlineLevel="0" collapsed="false">
      <c r="A242" s="32" t="str">
        <f aca="false">IF(COUNTA(B242,D242,E242,F242)=0,"",ROW()-4)</f>
        <v/>
      </c>
      <c r="B242" s="22"/>
      <c r="C242" s="28"/>
      <c r="D242" s="28"/>
      <c r="E242" s="18"/>
      <c r="F242" s="28"/>
      <c r="G242" s="32" t="str">
        <f aca="false">IF(F242="","",IFERROR(INDEX(請求台帳!$D$5:$D$504,MATCH(F242,請求台帳!$A$5:$A$504,0)),""))</f>
        <v/>
      </c>
      <c r="H242" s="26" t="str">
        <f aca="false">IF(F242="","",IFERROR(INDEX(請求台帳!$I$5:$I$504,MATCH(F242,請求台帳!$A$5:$A$504,0)),""))</f>
        <v/>
      </c>
      <c r="I242" s="29" t="str">
        <f aca="false">IF(COUNTA(B242,D242,E242,F242)=0,"",IF(OR(B242="",E242=""),"要入力",IF(F242="","未消込",IF(ISNA(MATCH(F242,請求台帳!$A$5:$A$504,0)),"番号誤り",IF(INDEX(請求台帳!$T$5:$T$504,MATCH(F242,請求台帳!$A$5:$A$504,0))="取消","取消請求へ消込","消込済")))))</f>
        <v/>
      </c>
      <c r="J242" s="28"/>
      <c r="K242" s="28"/>
    </row>
    <row r="243" customFormat="false" ht="15" hidden="false" customHeight="false" outlineLevel="0" collapsed="false">
      <c r="A243" s="32" t="str">
        <f aca="false">IF(COUNTA(B243,D243,E243,F243)=0,"",ROW()-4)</f>
        <v/>
      </c>
      <c r="B243" s="22"/>
      <c r="C243" s="28"/>
      <c r="D243" s="28"/>
      <c r="E243" s="18"/>
      <c r="F243" s="28"/>
      <c r="G243" s="32" t="str">
        <f aca="false">IF(F243="","",IFERROR(INDEX(請求台帳!$D$5:$D$504,MATCH(F243,請求台帳!$A$5:$A$504,0)),""))</f>
        <v/>
      </c>
      <c r="H243" s="26" t="str">
        <f aca="false">IF(F243="","",IFERROR(INDEX(請求台帳!$I$5:$I$504,MATCH(F243,請求台帳!$A$5:$A$504,0)),""))</f>
        <v/>
      </c>
      <c r="I243" s="29" t="str">
        <f aca="false">IF(COUNTA(B243,D243,E243,F243)=0,"",IF(OR(B243="",E243=""),"要入力",IF(F243="","未消込",IF(ISNA(MATCH(F243,請求台帳!$A$5:$A$504,0)),"番号誤り",IF(INDEX(請求台帳!$T$5:$T$504,MATCH(F243,請求台帳!$A$5:$A$504,0))="取消","取消請求へ消込","消込済")))))</f>
        <v/>
      </c>
      <c r="J243" s="28"/>
      <c r="K243" s="28"/>
    </row>
    <row r="244" customFormat="false" ht="15" hidden="false" customHeight="false" outlineLevel="0" collapsed="false">
      <c r="A244" s="32" t="str">
        <f aca="false">IF(COUNTA(B244,D244,E244,F244)=0,"",ROW()-4)</f>
        <v/>
      </c>
      <c r="B244" s="22"/>
      <c r="C244" s="28"/>
      <c r="D244" s="28"/>
      <c r="E244" s="18"/>
      <c r="F244" s="28"/>
      <c r="G244" s="32" t="str">
        <f aca="false">IF(F244="","",IFERROR(INDEX(請求台帳!$D$5:$D$504,MATCH(F244,請求台帳!$A$5:$A$504,0)),""))</f>
        <v/>
      </c>
      <c r="H244" s="26" t="str">
        <f aca="false">IF(F244="","",IFERROR(INDEX(請求台帳!$I$5:$I$504,MATCH(F244,請求台帳!$A$5:$A$504,0)),""))</f>
        <v/>
      </c>
      <c r="I244" s="29" t="str">
        <f aca="false">IF(COUNTA(B244,D244,E244,F244)=0,"",IF(OR(B244="",E244=""),"要入力",IF(F244="","未消込",IF(ISNA(MATCH(F244,請求台帳!$A$5:$A$504,0)),"番号誤り",IF(INDEX(請求台帳!$T$5:$T$504,MATCH(F244,請求台帳!$A$5:$A$504,0))="取消","取消請求へ消込","消込済")))))</f>
        <v/>
      </c>
      <c r="J244" s="28"/>
      <c r="K244" s="28"/>
    </row>
    <row r="245" customFormat="false" ht="15" hidden="false" customHeight="false" outlineLevel="0" collapsed="false">
      <c r="A245" s="32" t="str">
        <f aca="false">IF(COUNTA(B245,D245,E245,F245)=0,"",ROW()-4)</f>
        <v/>
      </c>
      <c r="B245" s="22"/>
      <c r="C245" s="28"/>
      <c r="D245" s="28"/>
      <c r="E245" s="18"/>
      <c r="F245" s="28"/>
      <c r="G245" s="32" t="str">
        <f aca="false">IF(F245="","",IFERROR(INDEX(請求台帳!$D$5:$D$504,MATCH(F245,請求台帳!$A$5:$A$504,0)),""))</f>
        <v/>
      </c>
      <c r="H245" s="26" t="str">
        <f aca="false">IF(F245="","",IFERROR(INDEX(請求台帳!$I$5:$I$504,MATCH(F245,請求台帳!$A$5:$A$504,0)),""))</f>
        <v/>
      </c>
      <c r="I245" s="29" t="str">
        <f aca="false">IF(COUNTA(B245,D245,E245,F245)=0,"",IF(OR(B245="",E245=""),"要入力",IF(F245="","未消込",IF(ISNA(MATCH(F245,請求台帳!$A$5:$A$504,0)),"番号誤り",IF(INDEX(請求台帳!$T$5:$T$504,MATCH(F245,請求台帳!$A$5:$A$504,0))="取消","取消請求へ消込","消込済")))))</f>
        <v/>
      </c>
      <c r="J245" s="28"/>
      <c r="K245" s="28"/>
    </row>
    <row r="246" customFormat="false" ht="15" hidden="false" customHeight="false" outlineLevel="0" collapsed="false">
      <c r="A246" s="32" t="str">
        <f aca="false">IF(COUNTA(B246,D246,E246,F246)=0,"",ROW()-4)</f>
        <v/>
      </c>
      <c r="B246" s="22"/>
      <c r="C246" s="28"/>
      <c r="D246" s="28"/>
      <c r="E246" s="18"/>
      <c r="F246" s="28"/>
      <c r="G246" s="32" t="str">
        <f aca="false">IF(F246="","",IFERROR(INDEX(請求台帳!$D$5:$D$504,MATCH(F246,請求台帳!$A$5:$A$504,0)),""))</f>
        <v/>
      </c>
      <c r="H246" s="26" t="str">
        <f aca="false">IF(F246="","",IFERROR(INDEX(請求台帳!$I$5:$I$504,MATCH(F246,請求台帳!$A$5:$A$504,0)),""))</f>
        <v/>
      </c>
      <c r="I246" s="29" t="str">
        <f aca="false">IF(COUNTA(B246,D246,E246,F246)=0,"",IF(OR(B246="",E246=""),"要入力",IF(F246="","未消込",IF(ISNA(MATCH(F246,請求台帳!$A$5:$A$504,0)),"番号誤り",IF(INDEX(請求台帳!$T$5:$T$504,MATCH(F246,請求台帳!$A$5:$A$504,0))="取消","取消請求へ消込","消込済")))))</f>
        <v/>
      </c>
      <c r="J246" s="28"/>
      <c r="K246" s="28"/>
    </row>
    <row r="247" customFormat="false" ht="15" hidden="false" customHeight="false" outlineLevel="0" collapsed="false">
      <c r="A247" s="32" t="str">
        <f aca="false">IF(COUNTA(B247,D247,E247,F247)=0,"",ROW()-4)</f>
        <v/>
      </c>
      <c r="B247" s="22"/>
      <c r="C247" s="28"/>
      <c r="D247" s="28"/>
      <c r="E247" s="18"/>
      <c r="F247" s="28"/>
      <c r="G247" s="32" t="str">
        <f aca="false">IF(F247="","",IFERROR(INDEX(請求台帳!$D$5:$D$504,MATCH(F247,請求台帳!$A$5:$A$504,0)),""))</f>
        <v/>
      </c>
      <c r="H247" s="26" t="str">
        <f aca="false">IF(F247="","",IFERROR(INDEX(請求台帳!$I$5:$I$504,MATCH(F247,請求台帳!$A$5:$A$504,0)),""))</f>
        <v/>
      </c>
      <c r="I247" s="29" t="str">
        <f aca="false">IF(COUNTA(B247,D247,E247,F247)=0,"",IF(OR(B247="",E247=""),"要入力",IF(F247="","未消込",IF(ISNA(MATCH(F247,請求台帳!$A$5:$A$504,0)),"番号誤り",IF(INDEX(請求台帳!$T$5:$T$504,MATCH(F247,請求台帳!$A$5:$A$504,0))="取消","取消請求へ消込","消込済")))))</f>
        <v/>
      </c>
      <c r="J247" s="28"/>
      <c r="K247" s="28"/>
    </row>
    <row r="248" customFormat="false" ht="15" hidden="false" customHeight="false" outlineLevel="0" collapsed="false">
      <c r="A248" s="32" t="str">
        <f aca="false">IF(COUNTA(B248,D248,E248,F248)=0,"",ROW()-4)</f>
        <v/>
      </c>
      <c r="B248" s="22"/>
      <c r="C248" s="28"/>
      <c r="D248" s="28"/>
      <c r="E248" s="18"/>
      <c r="F248" s="28"/>
      <c r="G248" s="32" t="str">
        <f aca="false">IF(F248="","",IFERROR(INDEX(請求台帳!$D$5:$D$504,MATCH(F248,請求台帳!$A$5:$A$504,0)),""))</f>
        <v/>
      </c>
      <c r="H248" s="26" t="str">
        <f aca="false">IF(F248="","",IFERROR(INDEX(請求台帳!$I$5:$I$504,MATCH(F248,請求台帳!$A$5:$A$504,0)),""))</f>
        <v/>
      </c>
      <c r="I248" s="29" t="str">
        <f aca="false">IF(COUNTA(B248,D248,E248,F248)=0,"",IF(OR(B248="",E248=""),"要入力",IF(F248="","未消込",IF(ISNA(MATCH(F248,請求台帳!$A$5:$A$504,0)),"番号誤り",IF(INDEX(請求台帳!$T$5:$T$504,MATCH(F248,請求台帳!$A$5:$A$504,0))="取消","取消請求へ消込","消込済")))))</f>
        <v/>
      </c>
      <c r="J248" s="28"/>
      <c r="K248" s="28"/>
    </row>
    <row r="249" customFormat="false" ht="15" hidden="false" customHeight="false" outlineLevel="0" collapsed="false">
      <c r="A249" s="32" t="str">
        <f aca="false">IF(COUNTA(B249,D249,E249,F249)=0,"",ROW()-4)</f>
        <v/>
      </c>
      <c r="B249" s="22"/>
      <c r="C249" s="28"/>
      <c r="D249" s="28"/>
      <c r="E249" s="18"/>
      <c r="F249" s="28"/>
      <c r="G249" s="32" t="str">
        <f aca="false">IF(F249="","",IFERROR(INDEX(請求台帳!$D$5:$D$504,MATCH(F249,請求台帳!$A$5:$A$504,0)),""))</f>
        <v/>
      </c>
      <c r="H249" s="26" t="str">
        <f aca="false">IF(F249="","",IFERROR(INDEX(請求台帳!$I$5:$I$504,MATCH(F249,請求台帳!$A$5:$A$504,0)),""))</f>
        <v/>
      </c>
      <c r="I249" s="29" t="str">
        <f aca="false">IF(COUNTA(B249,D249,E249,F249)=0,"",IF(OR(B249="",E249=""),"要入力",IF(F249="","未消込",IF(ISNA(MATCH(F249,請求台帳!$A$5:$A$504,0)),"番号誤り",IF(INDEX(請求台帳!$T$5:$T$504,MATCH(F249,請求台帳!$A$5:$A$504,0))="取消","取消請求へ消込","消込済")))))</f>
        <v/>
      </c>
      <c r="J249" s="28"/>
      <c r="K249" s="28"/>
    </row>
    <row r="250" customFormat="false" ht="15" hidden="false" customHeight="false" outlineLevel="0" collapsed="false">
      <c r="A250" s="32" t="str">
        <f aca="false">IF(COUNTA(B250,D250,E250,F250)=0,"",ROW()-4)</f>
        <v/>
      </c>
      <c r="B250" s="22"/>
      <c r="C250" s="28"/>
      <c r="D250" s="28"/>
      <c r="E250" s="18"/>
      <c r="F250" s="28"/>
      <c r="G250" s="32" t="str">
        <f aca="false">IF(F250="","",IFERROR(INDEX(請求台帳!$D$5:$D$504,MATCH(F250,請求台帳!$A$5:$A$504,0)),""))</f>
        <v/>
      </c>
      <c r="H250" s="26" t="str">
        <f aca="false">IF(F250="","",IFERROR(INDEX(請求台帳!$I$5:$I$504,MATCH(F250,請求台帳!$A$5:$A$504,0)),""))</f>
        <v/>
      </c>
      <c r="I250" s="29" t="str">
        <f aca="false">IF(COUNTA(B250,D250,E250,F250)=0,"",IF(OR(B250="",E250=""),"要入力",IF(F250="","未消込",IF(ISNA(MATCH(F250,請求台帳!$A$5:$A$504,0)),"番号誤り",IF(INDEX(請求台帳!$T$5:$T$504,MATCH(F250,請求台帳!$A$5:$A$504,0))="取消","取消請求へ消込","消込済")))))</f>
        <v/>
      </c>
      <c r="J250" s="28"/>
      <c r="K250" s="28"/>
    </row>
    <row r="251" customFormat="false" ht="15" hidden="false" customHeight="false" outlineLevel="0" collapsed="false">
      <c r="A251" s="32" t="str">
        <f aca="false">IF(COUNTA(B251,D251,E251,F251)=0,"",ROW()-4)</f>
        <v/>
      </c>
      <c r="B251" s="22"/>
      <c r="C251" s="28"/>
      <c r="D251" s="28"/>
      <c r="E251" s="18"/>
      <c r="F251" s="28"/>
      <c r="G251" s="32" t="str">
        <f aca="false">IF(F251="","",IFERROR(INDEX(請求台帳!$D$5:$D$504,MATCH(F251,請求台帳!$A$5:$A$504,0)),""))</f>
        <v/>
      </c>
      <c r="H251" s="26" t="str">
        <f aca="false">IF(F251="","",IFERROR(INDEX(請求台帳!$I$5:$I$504,MATCH(F251,請求台帳!$A$5:$A$504,0)),""))</f>
        <v/>
      </c>
      <c r="I251" s="29" t="str">
        <f aca="false">IF(COUNTA(B251,D251,E251,F251)=0,"",IF(OR(B251="",E251=""),"要入力",IF(F251="","未消込",IF(ISNA(MATCH(F251,請求台帳!$A$5:$A$504,0)),"番号誤り",IF(INDEX(請求台帳!$T$5:$T$504,MATCH(F251,請求台帳!$A$5:$A$504,0))="取消","取消請求へ消込","消込済")))))</f>
        <v/>
      </c>
      <c r="J251" s="28"/>
      <c r="K251" s="28"/>
    </row>
    <row r="252" customFormat="false" ht="15" hidden="false" customHeight="false" outlineLevel="0" collapsed="false">
      <c r="A252" s="32" t="str">
        <f aca="false">IF(COUNTA(B252,D252,E252,F252)=0,"",ROW()-4)</f>
        <v/>
      </c>
      <c r="B252" s="22"/>
      <c r="C252" s="28"/>
      <c r="D252" s="28"/>
      <c r="E252" s="18"/>
      <c r="F252" s="28"/>
      <c r="G252" s="32" t="str">
        <f aca="false">IF(F252="","",IFERROR(INDEX(請求台帳!$D$5:$D$504,MATCH(F252,請求台帳!$A$5:$A$504,0)),""))</f>
        <v/>
      </c>
      <c r="H252" s="26" t="str">
        <f aca="false">IF(F252="","",IFERROR(INDEX(請求台帳!$I$5:$I$504,MATCH(F252,請求台帳!$A$5:$A$504,0)),""))</f>
        <v/>
      </c>
      <c r="I252" s="29" t="str">
        <f aca="false">IF(COUNTA(B252,D252,E252,F252)=0,"",IF(OR(B252="",E252=""),"要入力",IF(F252="","未消込",IF(ISNA(MATCH(F252,請求台帳!$A$5:$A$504,0)),"番号誤り",IF(INDEX(請求台帳!$T$5:$T$504,MATCH(F252,請求台帳!$A$5:$A$504,0))="取消","取消請求へ消込","消込済")))))</f>
        <v/>
      </c>
      <c r="J252" s="28"/>
      <c r="K252" s="28"/>
    </row>
    <row r="253" customFormat="false" ht="15" hidden="false" customHeight="false" outlineLevel="0" collapsed="false">
      <c r="A253" s="32" t="str">
        <f aca="false">IF(COUNTA(B253,D253,E253,F253)=0,"",ROW()-4)</f>
        <v/>
      </c>
      <c r="B253" s="22"/>
      <c r="C253" s="28"/>
      <c r="D253" s="28"/>
      <c r="E253" s="18"/>
      <c r="F253" s="28"/>
      <c r="G253" s="32" t="str">
        <f aca="false">IF(F253="","",IFERROR(INDEX(請求台帳!$D$5:$D$504,MATCH(F253,請求台帳!$A$5:$A$504,0)),""))</f>
        <v/>
      </c>
      <c r="H253" s="26" t="str">
        <f aca="false">IF(F253="","",IFERROR(INDEX(請求台帳!$I$5:$I$504,MATCH(F253,請求台帳!$A$5:$A$504,0)),""))</f>
        <v/>
      </c>
      <c r="I253" s="29" t="str">
        <f aca="false">IF(COUNTA(B253,D253,E253,F253)=0,"",IF(OR(B253="",E253=""),"要入力",IF(F253="","未消込",IF(ISNA(MATCH(F253,請求台帳!$A$5:$A$504,0)),"番号誤り",IF(INDEX(請求台帳!$T$5:$T$504,MATCH(F253,請求台帳!$A$5:$A$504,0))="取消","取消請求へ消込","消込済")))))</f>
        <v/>
      </c>
      <c r="J253" s="28"/>
      <c r="K253" s="28"/>
    </row>
    <row r="254" customFormat="false" ht="15" hidden="false" customHeight="false" outlineLevel="0" collapsed="false">
      <c r="A254" s="32" t="str">
        <f aca="false">IF(COUNTA(B254,D254,E254,F254)=0,"",ROW()-4)</f>
        <v/>
      </c>
      <c r="B254" s="22"/>
      <c r="C254" s="28"/>
      <c r="D254" s="28"/>
      <c r="E254" s="18"/>
      <c r="F254" s="28"/>
      <c r="G254" s="32" t="str">
        <f aca="false">IF(F254="","",IFERROR(INDEX(請求台帳!$D$5:$D$504,MATCH(F254,請求台帳!$A$5:$A$504,0)),""))</f>
        <v/>
      </c>
      <c r="H254" s="26" t="str">
        <f aca="false">IF(F254="","",IFERROR(INDEX(請求台帳!$I$5:$I$504,MATCH(F254,請求台帳!$A$5:$A$504,0)),""))</f>
        <v/>
      </c>
      <c r="I254" s="29" t="str">
        <f aca="false">IF(COUNTA(B254,D254,E254,F254)=0,"",IF(OR(B254="",E254=""),"要入力",IF(F254="","未消込",IF(ISNA(MATCH(F254,請求台帳!$A$5:$A$504,0)),"番号誤り",IF(INDEX(請求台帳!$T$5:$T$504,MATCH(F254,請求台帳!$A$5:$A$504,0))="取消","取消請求へ消込","消込済")))))</f>
        <v/>
      </c>
      <c r="J254" s="28"/>
      <c r="K254" s="28"/>
    </row>
    <row r="255" customFormat="false" ht="15" hidden="false" customHeight="false" outlineLevel="0" collapsed="false">
      <c r="A255" s="32" t="str">
        <f aca="false">IF(COUNTA(B255,D255,E255,F255)=0,"",ROW()-4)</f>
        <v/>
      </c>
      <c r="B255" s="22"/>
      <c r="C255" s="28"/>
      <c r="D255" s="28"/>
      <c r="E255" s="18"/>
      <c r="F255" s="28"/>
      <c r="G255" s="32" t="str">
        <f aca="false">IF(F255="","",IFERROR(INDEX(請求台帳!$D$5:$D$504,MATCH(F255,請求台帳!$A$5:$A$504,0)),""))</f>
        <v/>
      </c>
      <c r="H255" s="26" t="str">
        <f aca="false">IF(F255="","",IFERROR(INDEX(請求台帳!$I$5:$I$504,MATCH(F255,請求台帳!$A$5:$A$504,0)),""))</f>
        <v/>
      </c>
      <c r="I255" s="29" t="str">
        <f aca="false">IF(COUNTA(B255,D255,E255,F255)=0,"",IF(OR(B255="",E255=""),"要入力",IF(F255="","未消込",IF(ISNA(MATCH(F255,請求台帳!$A$5:$A$504,0)),"番号誤り",IF(INDEX(請求台帳!$T$5:$T$504,MATCH(F255,請求台帳!$A$5:$A$504,0))="取消","取消請求へ消込","消込済")))))</f>
        <v/>
      </c>
      <c r="J255" s="28"/>
      <c r="K255" s="28"/>
    </row>
    <row r="256" customFormat="false" ht="15" hidden="false" customHeight="false" outlineLevel="0" collapsed="false">
      <c r="A256" s="32" t="str">
        <f aca="false">IF(COUNTA(B256,D256,E256,F256)=0,"",ROW()-4)</f>
        <v/>
      </c>
      <c r="B256" s="22"/>
      <c r="C256" s="28"/>
      <c r="D256" s="28"/>
      <c r="E256" s="18"/>
      <c r="F256" s="28"/>
      <c r="G256" s="32" t="str">
        <f aca="false">IF(F256="","",IFERROR(INDEX(請求台帳!$D$5:$D$504,MATCH(F256,請求台帳!$A$5:$A$504,0)),""))</f>
        <v/>
      </c>
      <c r="H256" s="26" t="str">
        <f aca="false">IF(F256="","",IFERROR(INDEX(請求台帳!$I$5:$I$504,MATCH(F256,請求台帳!$A$5:$A$504,0)),""))</f>
        <v/>
      </c>
      <c r="I256" s="29" t="str">
        <f aca="false">IF(COUNTA(B256,D256,E256,F256)=0,"",IF(OR(B256="",E256=""),"要入力",IF(F256="","未消込",IF(ISNA(MATCH(F256,請求台帳!$A$5:$A$504,0)),"番号誤り",IF(INDEX(請求台帳!$T$5:$T$504,MATCH(F256,請求台帳!$A$5:$A$504,0))="取消","取消請求へ消込","消込済")))))</f>
        <v/>
      </c>
      <c r="J256" s="28"/>
      <c r="K256" s="28"/>
    </row>
    <row r="257" customFormat="false" ht="15" hidden="false" customHeight="false" outlineLevel="0" collapsed="false">
      <c r="A257" s="32" t="str">
        <f aca="false">IF(COUNTA(B257,D257,E257,F257)=0,"",ROW()-4)</f>
        <v/>
      </c>
      <c r="B257" s="22"/>
      <c r="C257" s="28"/>
      <c r="D257" s="28"/>
      <c r="E257" s="18"/>
      <c r="F257" s="28"/>
      <c r="G257" s="32" t="str">
        <f aca="false">IF(F257="","",IFERROR(INDEX(請求台帳!$D$5:$D$504,MATCH(F257,請求台帳!$A$5:$A$504,0)),""))</f>
        <v/>
      </c>
      <c r="H257" s="26" t="str">
        <f aca="false">IF(F257="","",IFERROR(INDEX(請求台帳!$I$5:$I$504,MATCH(F257,請求台帳!$A$5:$A$504,0)),""))</f>
        <v/>
      </c>
      <c r="I257" s="29" t="str">
        <f aca="false">IF(COUNTA(B257,D257,E257,F257)=0,"",IF(OR(B257="",E257=""),"要入力",IF(F257="","未消込",IF(ISNA(MATCH(F257,請求台帳!$A$5:$A$504,0)),"番号誤り",IF(INDEX(請求台帳!$T$5:$T$504,MATCH(F257,請求台帳!$A$5:$A$504,0))="取消","取消請求へ消込","消込済")))))</f>
        <v/>
      </c>
      <c r="J257" s="28"/>
      <c r="K257" s="28"/>
    </row>
    <row r="258" customFormat="false" ht="15" hidden="false" customHeight="false" outlineLevel="0" collapsed="false">
      <c r="A258" s="32" t="str">
        <f aca="false">IF(COUNTA(B258,D258,E258,F258)=0,"",ROW()-4)</f>
        <v/>
      </c>
      <c r="B258" s="22"/>
      <c r="C258" s="28"/>
      <c r="D258" s="28"/>
      <c r="E258" s="18"/>
      <c r="F258" s="28"/>
      <c r="G258" s="32" t="str">
        <f aca="false">IF(F258="","",IFERROR(INDEX(請求台帳!$D$5:$D$504,MATCH(F258,請求台帳!$A$5:$A$504,0)),""))</f>
        <v/>
      </c>
      <c r="H258" s="26" t="str">
        <f aca="false">IF(F258="","",IFERROR(INDEX(請求台帳!$I$5:$I$504,MATCH(F258,請求台帳!$A$5:$A$504,0)),""))</f>
        <v/>
      </c>
      <c r="I258" s="29" t="str">
        <f aca="false">IF(COUNTA(B258,D258,E258,F258)=0,"",IF(OR(B258="",E258=""),"要入力",IF(F258="","未消込",IF(ISNA(MATCH(F258,請求台帳!$A$5:$A$504,0)),"番号誤り",IF(INDEX(請求台帳!$T$5:$T$504,MATCH(F258,請求台帳!$A$5:$A$504,0))="取消","取消請求へ消込","消込済")))))</f>
        <v/>
      </c>
      <c r="J258" s="28"/>
      <c r="K258" s="28"/>
    </row>
    <row r="259" customFormat="false" ht="15" hidden="false" customHeight="false" outlineLevel="0" collapsed="false">
      <c r="A259" s="32" t="str">
        <f aca="false">IF(COUNTA(B259,D259,E259,F259)=0,"",ROW()-4)</f>
        <v/>
      </c>
      <c r="B259" s="22"/>
      <c r="C259" s="28"/>
      <c r="D259" s="28"/>
      <c r="E259" s="18"/>
      <c r="F259" s="28"/>
      <c r="G259" s="32" t="str">
        <f aca="false">IF(F259="","",IFERROR(INDEX(請求台帳!$D$5:$D$504,MATCH(F259,請求台帳!$A$5:$A$504,0)),""))</f>
        <v/>
      </c>
      <c r="H259" s="26" t="str">
        <f aca="false">IF(F259="","",IFERROR(INDEX(請求台帳!$I$5:$I$504,MATCH(F259,請求台帳!$A$5:$A$504,0)),""))</f>
        <v/>
      </c>
      <c r="I259" s="29" t="str">
        <f aca="false">IF(COUNTA(B259,D259,E259,F259)=0,"",IF(OR(B259="",E259=""),"要入力",IF(F259="","未消込",IF(ISNA(MATCH(F259,請求台帳!$A$5:$A$504,0)),"番号誤り",IF(INDEX(請求台帳!$T$5:$T$504,MATCH(F259,請求台帳!$A$5:$A$504,0))="取消","取消請求へ消込","消込済")))))</f>
        <v/>
      </c>
      <c r="J259" s="28"/>
      <c r="K259" s="28"/>
    </row>
    <row r="260" customFormat="false" ht="15" hidden="false" customHeight="false" outlineLevel="0" collapsed="false">
      <c r="A260" s="32" t="str">
        <f aca="false">IF(COUNTA(B260,D260,E260,F260)=0,"",ROW()-4)</f>
        <v/>
      </c>
      <c r="B260" s="22"/>
      <c r="C260" s="28"/>
      <c r="D260" s="28"/>
      <c r="E260" s="18"/>
      <c r="F260" s="28"/>
      <c r="G260" s="32" t="str">
        <f aca="false">IF(F260="","",IFERROR(INDEX(請求台帳!$D$5:$D$504,MATCH(F260,請求台帳!$A$5:$A$504,0)),""))</f>
        <v/>
      </c>
      <c r="H260" s="26" t="str">
        <f aca="false">IF(F260="","",IFERROR(INDEX(請求台帳!$I$5:$I$504,MATCH(F260,請求台帳!$A$5:$A$504,0)),""))</f>
        <v/>
      </c>
      <c r="I260" s="29" t="str">
        <f aca="false">IF(COUNTA(B260,D260,E260,F260)=0,"",IF(OR(B260="",E260=""),"要入力",IF(F260="","未消込",IF(ISNA(MATCH(F260,請求台帳!$A$5:$A$504,0)),"番号誤り",IF(INDEX(請求台帳!$T$5:$T$504,MATCH(F260,請求台帳!$A$5:$A$504,0))="取消","取消請求へ消込","消込済")))))</f>
        <v/>
      </c>
      <c r="J260" s="28"/>
      <c r="K260" s="28"/>
    </row>
    <row r="261" customFormat="false" ht="15" hidden="false" customHeight="false" outlineLevel="0" collapsed="false">
      <c r="A261" s="32" t="str">
        <f aca="false">IF(COUNTA(B261,D261,E261,F261)=0,"",ROW()-4)</f>
        <v/>
      </c>
      <c r="B261" s="22"/>
      <c r="C261" s="28"/>
      <c r="D261" s="28"/>
      <c r="E261" s="18"/>
      <c r="F261" s="28"/>
      <c r="G261" s="32" t="str">
        <f aca="false">IF(F261="","",IFERROR(INDEX(請求台帳!$D$5:$D$504,MATCH(F261,請求台帳!$A$5:$A$504,0)),""))</f>
        <v/>
      </c>
      <c r="H261" s="26" t="str">
        <f aca="false">IF(F261="","",IFERROR(INDEX(請求台帳!$I$5:$I$504,MATCH(F261,請求台帳!$A$5:$A$504,0)),""))</f>
        <v/>
      </c>
      <c r="I261" s="29" t="str">
        <f aca="false">IF(COUNTA(B261,D261,E261,F261)=0,"",IF(OR(B261="",E261=""),"要入力",IF(F261="","未消込",IF(ISNA(MATCH(F261,請求台帳!$A$5:$A$504,0)),"番号誤り",IF(INDEX(請求台帳!$T$5:$T$504,MATCH(F261,請求台帳!$A$5:$A$504,0))="取消","取消請求へ消込","消込済")))))</f>
        <v/>
      </c>
      <c r="J261" s="28"/>
      <c r="K261" s="28"/>
    </row>
    <row r="262" customFormat="false" ht="15" hidden="false" customHeight="false" outlineLevel="0" collapsed="false">
      <c r="A262" s="32" t="str">
        <f aca="false">IF(COUNTA(B262,D262,E262,F262)=0,"",ROW()-4)</f>
        <v/>
      </c>
      <c r="B262" s="22"/>
      <c r="C262" s="28"/>
      <c r="D262" s="28"/>
      <c r="E262" s="18"/>
      <c r="F262" s="28"/>
      <c r="G262" s="32" t="str">
        <f aca="false">IF(F262="","",IFERROR(INDEX(請求台帳!$D$5:$D$504,MATCH(F262,請求台帳!$A$5:$A$504,0)),""))</f>
        <v/>
      </c>
      <c r="H262" s="26" t="str">
        <f aca="false">IF(F262="","",IFERROR(INDEX(請求台帳!$I$5:$I$504,MATCH(F262,請求台帳!$A$5:$A$504,0)),""))</f>
        <v/>
      </c>
      <c r="I262" s="29" t="str">
        <f aca="false">IF(COUNTA(B262,D262,E262,F262)=0,"",IF(OR(B262="",E262=""),"要入力",IF(F262="","未消込",IF(ISNA(MATCH(F262,請求台帳!$A$5:$A$504,0)),"番号誤り",IF(INDEX(請求台帳!$T$5:$T$504,MATCH(F262,請求台帳!$A$5:$A$504,0))="取消","取消請求へ消込","消込済")))))</f>
        <v/>
      </c>
      <c r="J262" s="28"/>
      <c r="K262" s="28"/>
    </row>
    <row r="263" customFormat="false" ht="15" hidden="false" customHeight="false" outlineLevel="0" collapsed="false">
      <c r="A263" s="32" t="str">
        <f aca="false">IF(COUNTA(B263,D263,E263,F263)=0,"",ROW()-4)</f>
        <v/>
      </c>
      <c r="B263" s="22"/>
      <c r="C263" s="28"/>
      <c r="D263" s="28"/>
      <c r="E263" s="18"/>
      <c r="F263" s="28"/>
      <c r="G263" s="32" t="str">
        <f aca="false">IF(F263="","",IFERROR(INDEX(請求台帳!$D$5:$D$504,MATCH(F263,請求台帳!$A$5:$A$504,0)),""))</f>
        <v/>
      </c>
      <c r="H263" s="26" t="str">
        <f aca="false">IF(F263="","",IFERROR(INDEX(請求台帳!$I$5:$I$504,MATCH(F263,請求台帳!$A$5:$A$504,0)),""))</f>
        <v/>
      </c>
      <c r="I263" s="29" t="str">
        <f aca="false">IF(COUNTA(B263,D263,E263,F263)=0,"",IF(OR(B263="",E263=""),"要入力",IF(F263="","未消込",IF(ISNA(MATCH(F263,請求台帳!$A$5:$A$504,0)),"番号誤り",IF(INDEX(請求台帳!$T$5:$T$504,MATCH(F263,請求台帳!$A$5:$A$504,0))="取消","取消請求へ消込","消込済")))))</f>
        <v/>
      </c>
      <c r="J263" s="28"/>
      <c r="K263" s="28"/>
    </row>
    <row r="264" customFormat="false" ht="15" hidden="false" customHeight="false" outlineLevel="0" collapsed="false">
      <c r="A264" s="32" t="str">
        <f aca="false">IF(COUNTA(B264,D264,E264,F264)=0,"",ROW()-4)</f>
        <v/>
      </c>
      <c r="B264" s="22"/>
      <c r="C264" s="28"/>
      <c r="D264" s="28"/>
      <c r="E264" s="18"/>
      <c r="F264" s="28"/>
      <c r="G264" s="32" t="str">
        <f aca="false">IF(F264="","",IFERROR(INDEX(請求台帳!$D$5:$D$504,MATCH(F264,請求台帳!$A$5:$A$504,0)),""))</f>
        <v/>
      </c>
      <c r="H264" s="26" t="str">
        <f aca="false">IF(F264="","",IFERROR(INDEX(請求台帳!$I$5:$I$504,MATCH(F264,請求台帳!$A$5:$A$504,0)),""))</f>
        <v/>
      </c>
      <c r="I264" s="29" t="str">
        <f aca="false">IF(COUNTA(B264,D264,E264,F264)=0,"",IF(OR(B264="",E264=""),"要入力",IF(F264="","未消込",IF(ISNA(MATCH(F264,請求台帳!$A$5:$A$504,0)),"番号誤り",IF(INDEX(請求台帳!$T$5:$T$504,MATCH(F264,請求台帳!$A$5:$A$504,0))="取消","取消請求へ消込","消込済")))))</f>
        <v/>
      </c>
      <c r="J264" s="28"/>
      <c r="K264" s="28"/>
    </row>
    <row r="265" customFormat="false" ht="15" hidden="false" customHeight="false" outlineLevel="0" collapsed="false">
      <c r="A265" s="32" t="str">
        <f aca="false">IF(COUNTA(B265,D265,E265,F265)=0,"",ROW()-4)</f>
        <v/>
      </c>
      <c r="B265" s="22"/>
      <c r="C265" s="28"/>
      <c r="D265" s="28"/>
      <c r="E265" s="18"/>
      <c r="F265" s="28"/>
      <c r="G265" s="32" t="str">
        <f aca="false">IF(F265="","",IFERROR(INDEX(請求台帳!$D$5:$D$504,MATCH(F265,請求台帳!$A$5:$A$504,0)),""))</f>
        <v/>
      </c>
      <c r="H265" s="26" t="str">
        <f aca="false">IF(F265="","",IFERROR(INDEX(請求台帳!$I$5:$I$504,MATCH(F265,請求台帳!$A$5:$A$504,0)),""))</f>
        <v/>
      </c>
      <c r="I265" s="29" t="str">
        <f aca="false">IF(COUNTA(B265,D265,E265,F265)=0,"",IF(OR(B265="",E265=""),"要入力",IF(F265="","未消込",IF(ISNA(MATCH(F265,請求台帳!$A$5:$A$504,0)),"番号誤り",IF(INDEX(請求台帳!$T$5:$T$504,MATCH(F265,請求台帳!$A$5:$A$504,0))="取消","取消請求へ消込","消込済")))))</f>
        <v/>
      </c>
      <c r="J265" s="28"/>
      <c r="K265" s="28"/>
    </row>
    <row r="266" customFormat="false" ht="15" hidden="false" customHeight="false" outlineLevel="0" collapsed="false">
      <c r="A266" s="32" t="str">
        <f aca="false">IF(COUNTA(B266,D266,E266,F266)=0,"",ROW()-4)</f>
        <v/>
      </c>
      <c r="B266" s="22"/>
      <c r="C266" s="28"/>
      <c r="D266" s="28"/>
      <c r="E266" s="18"/>
      <c r="F266" s="28"/>
      <c r="G266" s="32" t="str">
        <f aca="false">IF(F266="","",IFERROR(INDEX(請求台帳!$D$5:$D$504,MATCH(F266,請求台帳!$A$5:$A$504,0)),""))</f>
        <v/>
      </c>
      <c r="H266" s="26" t="str">
        <f aca="false">IF(F266="","",IFERROR(INDEX(請求台帳!$I$5:$I$504,MATCH(F266,請求台帳!$A$5:$A$504,0)),""))</f>
        <v/>
      </c>
      <c r="I266" s="29" t="str">
        <f aca="false">IF(COUNTA(B266,D266,E266,F266)=0,"",IF(OR(B266="",E266=""),"要入力",IF(F266="","未消込",IF(ISNA(MATCH(F266,請求台帳!$A$5:$A$504,0)),"番号誤り",IF(INDEX(請求台帳!$T$5:$T$504,MATCH(F266,請求台帳!$A$5:$A$504,0))="取消","取消請求へ消込","消込済")))))</f>
        <v/>
      </c>
      <c r="J266" s="28"/>
      <c r="K266" s="28"/>
    </row>
    <row r="267" customFormat="false" ht="15" hidden="false" customHeight="false" outlineLevel="0" collapsed="false">
      <c r="A267" s="32" t="str">
        <f aca="false">IF(COUNTA(B267,D267,E267,F267)=0,"",ROW()-4)</f>
        <v/>
      </c>
      <c r="B267" s="22"/>
      <c r="C267" s="28"/>
      <c r="D267" s="28"/>
      <c r="E267" s="18"/>
      <c r="F267" s="28"/>
      <c r="G267" s="32" t="str">
        <f aca="false">IF(F267="","",IFERROR(INDEX(請求台帳!$D$5:$D$504,MATCH(F267,請求台帳!$A$5:$A$504,0)),""))</f>
        <v/>
      </c>
      <c r="H267" s="26" t="str">
        <f aca="false">IF(F267="","",IFERROR(INDEX(請求台帳!$I$5:$I$504,MATCH(F267,請求台帳!$A$5:$A$504,0)),""))</f>
        <v/>
      </c>
      <c r="I267" s="29" t="str">
        <f aca="false">IF(COUNTA(B267,D267,E267,F267)=0,"",IF(OR(B267="",E267=""),"要入力",IF(F267="","未消込",IF(ISNA(MATCH(F267,請求台帳!$A$5:$A$504,0)),"番号誤り",IF(INDEX(請求台帳!$T$5:$T$504,MATCH(F267,請求台帳!$A$5:$A$504,0))="取消","取消請求へ消込","消込済")))))</f>
        <v/>
      </c>
      <c r="J267" s="28"/>
      <c r="K267" s="28"/>
    </row>
    <row r="268" customFormat="false" ht="15" hidden="false" customHeight="false" outlineLevel="0" collapsed="false">
      <c r="A268" s="32" t="str">
        <f aca="false">IF(COUNTA(B268,D268,E268,F268)=0,"",ROW()-4)</f>
        <v/>
      </c>
      <c r="B268" s="22"/>
      <c r="C268" s="28"/>
      <c r="D268" s="28"/>
      <c r="E268" s="18"/>
      <c r="F268" s="28"/>
      <c r="G268" s="32" t="str">
        <f aca="false">IF(F268="","",IFERROR(INDEX(請求台帳!$D$5:$D$504,MATCH(F268,請求台帳!$A$5:$A$504,0)),""))</f>
        <v/>
      </c>
      <c r="H268" s="26" t="str">
        <f aca="false">IF(F268="","",IFERROR(INDEX(請求台帳!$I$5:$I$504,MATCH(F268,請求台帳!$A$5:$A$504,0)),""))</f>
        <v/>
      </c>
      <c r="I268" s="29" t="str">
        <f aca="false">IF(COUNTA(B268,D268,E268,F268)=0,"",IF(OR(B268="",E268=""),"要入力",IF(F268="","未消込",IF(ISNA(MATCH(F268,請求台帳!$A$5:$A$504,0)),"番号誤り",IF(INDEX(請求台帳!$T$5:$T$504,MATCH(F268,請求台帳!$A$5:$A$504,0))="取消","取消請求へ消込","消込済")))))</f>
        <v/>
      </c>
      <c r="J268" s="28"/>
      <c r="K268" s="28"/>
    </row>
    <row r="269" customFormat="false" ht="15" hidden="false" customHeight="false" outlineLevel="0" collapsed="false">
      <c r="A269" s="32" t="str">
        <f aca="false">IF(COUNTA(B269,D269,E269,F269)=0,"",ROW()-4)</f>
        <v/>
      </c>
      <c r="B269" s="22"/>
      <c r="C269" s="28"/>
      <c r="D269" s="28"/>
      <c r="E269" s="18"/>
      <c r="F269" s="28"/>
      <c r="G269" s="32" t="str">
        <f aca="false">IF(F269="","",IFERROR(INDEX(請求台帳!$D$5:$D$504,MATCH(F269,請求台帳!$A$5:$A$504,0)),""))</f>
        <v/>
      </c>
      <c r="H269" s="26" t="str">
        <f aca="false">IF(F269="","",IFERROR(INDEX(請求台帳!$I$5:$I$504,MATCH(F269,請求台帳!$A$5:$A$504,0)),""))</f>
        <v/>
      </c>
      <c r="I269" s="29" t="str">
        <f aca="false">IF(COUNTA(B269,D269,E269,F269)=0,"",IF(OR(B269="",E269=""),"要入力",IF(F269="","未消込",IF(ISNA(MATCH(F269,請求台帳!$A$5:$A$504,0)),"番号誤り",IF(INDEX(請求台帳!$T$5:$T$504,MATCH(F269,請求台帳!$A$5:$A$504,0))="取消","取消請求へ消込","消込済")))))</f>
        <v/>
      </c>
      <c r="J269" s="28"/>
      <c r="K269" s="28"/>
    </row>
    <row r="270" customFormat="false" ht="15" hidden="false" customHeight="false" outlineLevel="0" collapsed="false">
      <c r="A270" s="32" t="str">
        <f aca="false">IF(COUNTA(B270,D270,E270,F270)=0,"",ROW()-4)</f>
        <v/>
      </c>
      <c r="B270" s="22"/>
      <c r="C270" s="28"/>
      <c r="D270" s="28"/>
      <c r="E270" s="18"/>
      <c r="F270" s="28"/>
      <c r="G270" s="32" t="str">
        <f aca="false">IF(F270="","",IFERROR(INDEX(請求台帳!$D$5:$D$504,MATCH(F270,請求台帳!$A$5:$A$504,0)),""))</f>
        <v/>
      </c>
      <c r="H270" s="26" t="str">
        <f aca="false">IF(F270="","",IFERROR(INDEX(請求台帳!$I$5:$I$504,MATCH(F270,請求台帳!$A$5:$A$504,0)),""))</f>
        <v/>
      </c>
      <c r="I270" s="29" t="str">
        <f aca="false">IF(COUNTA(B270,D270,E270,F270)=0,"",IF(OR(B270="",E270=""),"要入力",IF(F270="","未消込",IF(ISNA(MATCH(F270,請求台帳!$A$5:$A$504,0)),"番号誤り",IF(INDEX(請求台帳!$T$5:$T$504,MATCH(F270,請求台帳!$A$5:$A$504,0))="取消","取消請求へ消込","消込済")))))</f>
        <v/>
      </c>
      <c r="J270" s="28"/>
      <c r="K270" s="28"/>
    </row>
    <row r="271" customFormat="false" ht="15" hidden="false" customHeight="false" outlineLevel="0" collapsed="false">
      <c r="A271" s="32" t="str">
        <f aca="false">IF(COUNTA(B271,D271,E271,F271)=0,"",ROW()-4)</f>
        <v/>
      </c>
      <c r="B271" s="22"/>
      <c r="C271" s="28"/>
      <c r="D271" s="28"/>
      <c r="E271" s="18"/>
      <c r="F271" s="28"/>
      <c r="G271" s="32" t="str">
        <f aca="false">IF(F271="","",IFERROR(INDEX(請求台帳!$D$5:$D$504,MATCH(F271,請求台帳!$A$5:$A$504,0)),""))</f>
        <v/>
      </c>
      <c r="H271" s="26" t="str">
        <f aca="false">IF(F271="","",IFERROR(INDEX(請求台帳!$I$5:$I$504,MATCH(F271,請求台帳!$A$5:$A$504,0)),""))</f>
        <v/>
      </c>
      <c r="I271" s="29" t="str">
        <f aca="false">IF(COUNTA(B271,D271,E271,F271)=0,"",IF(OR(B271="",E271=""),"要入力",IF(F271="","未消込",IF(ISNA(MATCH(F271,請求台帳!$A$5:$A$504,0)),"番号誤り",IF(INDEX(請求台帳!$T$5:$T$504,MATCH(F271,請求台帳!$A$5:$A$504,0))="取消","取消請求へ消込","消込済")))))</f>
        <v/>
      </c>
      <c r="J271" s="28"/>
      <c r="K271" s="28"/>
    </row>
    <row r="272" customFormat="false" ht="15" hidden="false" customHeight="false" outlineLevel="0" collapsed="false">
      <c r="A272" s="32" t="str">
        <f aca="false">IF(COUNTA(B272,D272,E272,F272)=0,"",ROW()-4)</f>
        <v/>
      </c>
      <c r="B272" s="22"/>
      <c r="C272" s="28"/>
      <c r="D272" s="28"/>
      <c r="E272" s="18"/>
      <c r="F272" s="28"/>
      <c r="G272" s="32" t="str">
        <f aca="false">IF(F272="","",IFERROR(INDEX(請求台帳!$D$5:$D$504,MATCH(F272,請求台帳!$A$5:$A$504,0)),""))</f>
        <v/>
      </c>
      <c r="H272" s="26" t="str">
        <f aca="false">IF(F272="","",IFERROR(INDEX(請求台帳!$I$5:$I$504,MATCH(F272,請求台帳!$A$5:$A$504,0)),""))</f>
        <v/>
      </c>
      <c r="I272" s="29" t="str">
        <f aca="false">IF(COUNTA(B272,D272,E272,F272)=0,"",IF(OR(B272="",E272=""),"要入力",IF(F272="","未消込",IF(ISNA(MATCH(F272,請求台帳!$A$5:$A$504,0)),"番号誤り",IF(INDEX(請求台帳!$T$5:$T$504,MATCH(F272,請求台帳!$A$5:$A$504,0))="取消","取消請求へ消込","消込済")))))</f>
        <v/>
      </c>
      <c r="J272" s="28"/>
      <c r="K272" s="28"/>
    </row>
    <row r="273" customFormat="false" ht="15" hidden="false" customHeight="false" outlineLevel="0" collapsed="false">
      <c r="A273" s="32" t="str">
        <f aca="false">IF(COUNTA(B273,D273,E273,F273)=0,"",ROW()-4)</f>
        <v/>
      </c>
      <c r="B273" s="22"/>
      <c r="C273" s="28"/>
      <c r="D273" s="28"/>
      <c r="E273" s="18"/>
      <c r="F273" s="28"/>
      <c r="G273" s="32" t="str">
        <f aca="false">IF(F273="","",IFERROR(INDEX(請求台帳!$D$5:$D$504,MATCH(F273,請求台帳!$A$5:$A$504,0)),""))</f>
        <v/>
      </c>
      <c r="H273" s="26" t="str">
        <f aca="false">IF(F273="","",IFERROR(INDEX(請求台帳!$I$5:$I$504,MATCH(F273,請求台帳!$A$5:$A$504,0)),""))</f>
        <v/>
      </c>
      <c r="I273" s="29" t="str">
        <f aca="false">IF(COUNTA(B273,D273,E273,F273)=0,"",IF(OR(B273="",E273=""),"要入力",IF(F273="","未消込",IF(ISNA(MATCH(F273,請求台帳!$A$5:$A$504,0)),"番号誤り",IF(INDEX(請求台帳!$T$5:$T$504,MATCH(F273,請求台帳!$A$5:$A$504,0))="取消","取消請求へ消込","消込済")))))</f>
        <v/>
      </c>
      <c r="J273" s="28"/>
      <c r="K273" s="28"/>
    </row>
    <row r="274" customFormat="false" ht="15" hidden="false" customHeight="false" outlineLevel="0" collapsed="false">
      <c r="A274" s="32" t="str">
        <f aca="false">IF(COUNTA(B274,D274,E274,F274)=0,"",ROW()-4)</f>
        <v/>
      </c>
      <c r="B274" s="22"/>
      <c r="C274" s="28"/>
      <c r="D274" s="28"/>
      <c r="E274" s="18"/>
      <c r="F274" s="28"/>
      <c r="G274" s="32" t="str">
        <f aca="false">IF(F274="","",IFERROR(INDEX(請求台帳!$D$5:$D$504,MATCH(F274,請求台帳!$A$5:$A$504,0)),""))</f>
        <v/>
      </c>
      <c r="H274" s="26" t="str">
        <f aca="false">IF(F274="","",IFERROR(INDEX(請求台帳!$I$5:$I$504,MATCH(F274,請求台帳!$A$5:$A$504,0)),""))</f>
        <v/>
      </c>
      <c r="I274" s="29" t="str">
        <f aca="false">IF(COUNTA(B274,D274,E274,F274)=0,"",IF(OR(B274="",E274=""),"要入力",IF(F274="","未消込",IF(ISNA(MATCH(F274,請求台帳!$A$5:$A$504,0)),"番号誤り",IF(INDEX(請求台帳!$T$5:$T$504,MATCH(F274,請求台帳!$A$5:$A$504,0))="取消","取消請求へ消込","消込済")))))</f>
        <v/>
      </c>
      <c r="J274" s="28"/>
      <c r="K274" s="28"/>
    </row>
    <row r="275" customFormat="false" ht="15" hidden="false" customHeight="false" outlineLevel="0" collapsed="false">
      <c r="A275" s="32" t="str">
        <f aca="false">IF(COUNTA(B275,D275,E275,F275)=0,"",ROW()-4)</f>
        <v/>
      </c>
      <c r="B275" s="22"/>
      <c r="C275" s="28"/>
      <c r="D275" s="28"/>
      <c r="E275" s="18"/>
      <c r="F275" s="28"/>
      <c r="G275" s="32" t="str">
        <f aca="false">IF(F275="","",IFERROR(INDEX(請求台帳!$D$5:$D$504,MATCH(F275,請求台帳!$A$5:$A$504,0)),""))</f>
        <v/>
      </c>
      <c r="H275" s="26" t="str">
        <f aca="false">IF(F275="","",IFERROR(INDEX(請求台帳!$I$5:$I$504,MATCH(F275,請求台帳!$A$5:$A$504,0)),""))</f>
        <v/>
      </c>
      <c r="I275" s="29" t="str">
        <f aca="false">IF(COUNTA(B275,D275,E275,F275)=0,"",IF(OR(B275="",E275=""),"要入力",IF(F275="","未消込",IF(ISNA(MATCH(F275,請求台帳!$A$5:$A$504,0)),"番号誤り",IF(INDEX(請求台帳!$T$5:$T$504,MATCH(F275,請求台帳!$A$5:$A$504,0))="取消","取消請求へ消込","消込済")))))</f>
        <v/>
      </c>
      <c r="J275" s="28"/>
      <c r="K275" s="28"/>
    </row>
    <row r="276" customFormat="false" ht="15" hidden="false" customHeight="false" outlineLevel="0" collapsed="false">
      <c r="A276" s="32" t="str">
        <f aca="false">IF(COUNTA(B276,D276,E276,F276)=0,"",ROW()-4)</f>
        <v/>
      </c>
      <c r="B276" s="22"/>
      <c r="C276" s="28"/>
      <c r="D276" s="28"/>
      <c r="E276" s="18"/>
      <c r="F276" s="28"/>
      <c r="G276" s="32" t="str">
        <f aca="false">IF(F276="","",IFERROR(INDEX(請求台帳!$D$5:$D$504,MATCH(F276,請求台帳!$A$5:$A$504,0)),""))</f>
        <v/>
      </c>
      <c r="H276" s="26" t="str">
        <f aca="false">IF(F276="","",IFERROR(INDEX(請求台帳!$I$5:$I$504,MATCH(F276,請求台帳!$A$5:$A$504,0)),""))</f>
        <v/>
      </c>
      <c r="I276" s="29" t="str">
        <f aca="false">IF(COUNTA(B276,D276,E276,F276)=0,"",IF(OR(B276="",E276=""),"要入力",IF(F276="","未消込",IF(ISNA(MATCH(F276,請求台帳!$A$5:$A$504,0)),"番号誤り",IF(INDEX(請求台帳!$T$5:$T$504,MATCH(F276,請求台帳!$A$5:$A$504,0))="取消","取消請求へ消込","消込済")))))</f>
        <v/>
      </c>
      <c r="J276" s="28"/>
      <c r="K276" s="28"/>
    </row>
    <row r="277" customFormat="false" ht="15" hidden="false" customHeight="false" outlineLevel="0" collapsed="false">
      <c r="A277" s="32" t="str">
        <f aca="false">IF(COUNTA(B277,D277,E277,F277)=0,"",ROW()-4)</f>
        <v/>
      </c>
      <c r="B277" s="22"/>
      <c r="C277" s="28"/>
      <c r="D277" s="28"/>
      <c r="E277" s="18"/>
      <c r="F277" s="28"/>
      <c r="G277" s="32" t="str">
        <f aca="false">IF(F277="","",IFERROR(INDEX(請求台帳!$D$5:$D$504,MATCH(F277,請求台帳!$A$5:$A$504,0)),""))</f>
        <v/>
      </c>
      <c r="H277" s="26" t="str">
        <f aca="false">IF(F277="","",IFERROR(INDEX(請求台帳!$I$5:$I$504,MATCH(F277,請求台帳!$A$5:$A$504,0)),""))</f>
        <v/>
      </c>
      <c r="I277" s="29" t="str">
        <f aca="false">IF(COUNTA(B277,D277,E277,F277)=0,"",IF(OR(B277="",E277=""),"要入力",IF(F277="","未消込",IF(ISNA(MATCH(F277,請求台帳!$A$5:$A$504,0)),"番号誤り",IF(INDEX(請求台帳!$T$5:$T$504,MATCH(F277,請求台帳!$A$5:$A$504,0))="取消","取消請求へ消込","消込済")))))</f>
        <v/>
      </c>
      <c r="J277" s="28"/>
      <c r="K277" s="28"/>
    </row>
    <row r="278" customFormat="false" ht="15" hidden="false" customHeight="false" outlineLevel="0" collapsed="false">
      <c r="A278" s="32" t="str">
        <f aca="false">IF(COUNTA(B278,D278,E278,F278)=0,"",ROW()-4)</f>
        <v/>
      </c>
      <c r="B278" s="22"/>
      <c r="C278" s="28"/>
      <c r="D278" s="28"/>
      <c r="E278" s="18"/>
      <c r="F278" s="28"/>
      <c r="G278" s="32" t="str">
        <f aca="false">IF(F278="","",IFERROR(INDEX(請求台帳!$D$5:$D$504,MATCH(F278,請求台帳!$A$5:$A$504,0)),""))</f>
        <v/>
      </c>
      <c r="H278" s="26" t="str">
        <f aca="false">IF(F278="","",IFERROR(INDEX(請求台帳!$I$5:$I$504,MATCH(F278,請求台帳!$A$5:$A$504,0)),""))</f>
        <v/>
      </c>
      <c r="I278" s="29" t="str">
        <f aca="false">IF(COUNTA(B278,D278,E278,F278)=0,"",IF(OR(B278="",E278=""),"要入力",IF(F278="","未消込",IF(ISNA(MATCH(F278,請求台帳!$A$5:$A$504,0)),"番号誤り",IF(INDEX(請求台帳!$T$5:$T$504,MATCH(F278,請求台帳!$A$5:$A$504,0))="取消","取消請求へ消込","消込済")))))</f>
        <v/>
      </c>
      <c r="J278" s="28"/>
      <c r="K278" s="28"/>
    </row>
    <row r="279" customFormat="false" ht="15" hidden="false" customHeight="false" outlineLevel="0" collapsed="false">
      <c r="A279" s="32" t="str">
        <f aca="false">IF(COUNTA(B279,D279,E279,F279)=0,"",ROW()-4)</f>
        <v/>
      </c>
      <c r="B279" s="22"/>
      <c r="C279" s="28"/>
      <c r="D279" s="28"/>
      <c r="E279" s="18"/>
      <c r="F279" s="28"/>
      <c r="G279" s="32" t="str">
        <f aca="false">IF(F279="","",IFERROR(INDEX(請求台帳!$D$5:$D$504,MATCH(F279,請求台帳!$A$5:$A$504,0)),""))</f>
        <v/>
      </c>
      <c r="H279" s="26" t="str">
        <f aca="false">IF(F279="","",IFERROR(INDEX(請求台帳!$I$5:$I$504,MATCH(F279,請求台帳!$A$5:$A$504,0)),""))</f>
        <v/>
      </c>
      <c r="I279" s="29" t="str">
        <f aca="false">IF(COUNTA(B279,D279,E279,F279)=0,"",IF(OR(B279="",E279=""),"要入力",IF(F279="","未消込",IF(ISNA(MATCH(F279,請求台帳!$A$5:$A$504,0)),"番号誤り",IF(INDEX(請求台帳!$T$5:$T$504,MATCH(F279,請求台帳!$A$5:$A$504,0))="取消","取消請求へ消込","消込済")))))</f>
        <v/>
      </c>
      <c r="J279" s="28"/>
      <c r="K279" s="28"/>
    </row>
    <row r="280" customFormat="false" ht="15" hidden="false" customHeight="false" outlineLevel="0" collapsed="false">
      <c r="A280" s="32" t="str">
        <f aca="false">IF(COUNTA(B280,D280,E280,F280)=0,"",ROW()-4)</f>
        <v/>
      </c>
      <c r="B280" s="22"/>
      <c r="C280" s="28"/>
      <c r="D280" s="28"/>
      <c r="E280" s="18"/>
      <c r="F280" s="28"/>
      <c r="G280" s="32" t="str">
        <f aca="false">IF(F280="","",IFERROR(INDEX(請求台帳!$D$5:$D$504,MATCH(F280,請求台帳!$A$5:$A$504,0)),""))</f>
        <v/>
      </c>
      <c r="H280" s="26" t="str">
        <f aca="false">IF(F280="","",IFERROR(INDEX(請求台帳!$I$5:$I$504,MATCH(F280,請求台帳!$A$5:$A$504,0)),""))</f>
        <v/>
      </c>
      <c r="I280" s="29" t="str">
        <f aca="false">IF(COUNTA(B280,D280,E280,F280)=0,"",IF(OR(B280="",E280=""),"要入力",IF(F280="","未消込",IF(ISNA(MATCH(F280,請求台帳!$A$5:$A$504,0)),"番号誤り",IF(INDEX(請求台帳!$T$5:$T$504,MATCH(F280,請求台帳!$A$5:$A$504,0))="取消","取消請求へ消込","消込済")))))</f>
        <v/>
      </c>
      <c r="J280" s="28"/>
      <c r="K280" s="28"/>
    </row>
    <row r="281" customFormat="false" ht="15" hidden="false" customHeight="false" outlineLevel="0" collapsed="false">
      <c r="A281" s="32" t="str">
        <f aca="false">IF(COUNTA(B281,D281,E281,F281)=0,"",ROW()-4)</f>
        <v/>
      </c>
      <c r="B281" s="22"/>
      <c r="C281" s="28"/>
      <c r="D281" s="28"/>
      <c r="E281" s="18"/>
      <c r="F281" s="28"/>
      <c r="G281" s="32" t="str">
        <f aca="false">IF(F281="","",IFERROR(INDEX(請求台帳!$D$5:$D$504,MATCH(F281,請求台帳!$A$5:$A$504,0)),""))</f>
        <v/>
      </c>
      <c r="H281" s="26" t="str">
        <f aca="false">IF(F281="","",IFERROR(INDEX(請求台帳!$I$5:$I$504,MATCH(F281,請求台帳!$A$5:$A$504,0)),""))</f>
        <v/>
      </c>
      <c r="I281" s="29" t="str">
        <f aca="false">IF(COUNTA(B281,D281,E281,F281)=0,"",IF(OR(B281="",E281=""),"要入力",IF(F281="","未消込",IF(ISNA(MATCH(F281,請求台帳!$A$5:$A$504,0)),"番号誤り",IF(INDEX(請求台帳!$T$5:$T$504,MATCH(F281,請求台帳!$A$5:$A$504,0))="取消","取消請求へ消込","消込済")))))</f>
        <v/>
      </c>
      <c r="J281" s="28"/>
      <c r="K281" s="28"/>
    </row>
    <row r="282" customFormat="false" ht="15" hidden="false" customHeight="false" outlineLevel="0" collapsed="false">
      <c r="A282" s="32" t="str">
        <f aca="false">IF(COUNTA(B282,D282,E282,F282)=0,"",ROW()-4)</f>
        <v/>
      </c>
      <c r="B282" s="22"/>
      <c r="C282" s="28"/>
      <c r="D282" s="28"/>
      <c r="E282" s="18"/>
      <c r="F282" s="28"/>
      <c r="G282" s="32" t="str">
        <f aca="false">IF(F282="","",IFERROR(INDEX(請求台帳!$D$5:$D$504,MATCH(F282,請求台帳!$A$5:$A$504,0)),""))</f>
        <v/>
      </c>
      <c r="H282" s="26" t="str">
        <f aca="false">IF(F282="","",IFERROR(INDEX(請求台帳!$I$5:$I$504,MATCH(F282,請求台帳!$A$5:$A$504,0)),""))</f>
        <v/>
      </c>
      <c r="I282" s="29" t="str">
        <f aca="false">IF(COUNTA(B282,D282,E282,F282)=0,"",IF(OR(B282="",E282=""),"要入力",IF(F282="","未消込",IF(ISNA(MATCH(F282,請求台帳!$A$5:$A$504,0)),"番号誤り",IF(INDEX(請求台帳!$T$5:$T$504,MATCH(F282,請求台帳!$A$5:$A$504,0))="取消","取消請求へ消込","消込済")))))</f>
        <v/>
      </c>
      <c r="J282" s="28"/>
      <c r="K282" s="28"/>
    </row>
    <row r="283" customFormat="false" ht="15" hidden="false" customHeight="false" outlineLevel="0" collapsed="false">
      <c r="A283" s="32" t="str">
        <f aca="false">IF(COUNTA(B283,D283,E283,F283)=0,"",ROW()-4)</f>
        <v/>
      </c>
      <c r="B283" s="22"/>
      <c r="C283" s="28"/>
      <c r="D283" s="28"/>
      <c r="E283" s="18"/>
      <c r="F283" s="28"/>
      <c r="G283" s="32" t="str">
        <f aca="false">IF(F283="","",IFERROR(INDEX(請求台帳!$D$5:$D$504,MATCH(F283,請求台帳!$A$5:$A$504,0)),""))</f>
        <v/>
      </c>
      <c r="H283" s="26" t="str">
        <f aca="false">IF(F283="","",IFERROR(INDEX(請求台帳!$I$5:$I$504,MATCH(F283,請求台帳!$A$5:$A$504,0)),""))</f>
        <v/>
      </c>
      <c r="I283" s="29" t="str">
        <f aca="false">IF(COUNTA(B283,D283,E283,F283)=0,"",IF(OR(B283="",E283=""),"要入力",IF(F283="","未消込",IF(ISNA(MATCH(F283,請求台帳!$A$5:$A$504,0)),"番号誤り",IF(INDEX(請求台帳!$T$5:$T$504,MATCH(F283,請求台帳!$A$5:$A$504,0))="取消","取消請求へ消込","消込済")))))</f>
        <v/>
      </c>
      <c r="J283" s="28"/>
      <c r="K283" s="28"/>
    </row>
    <row r="284" customFormat="false" ht="15" hidden="false" customHeight="false" outlineLevel="0" collapsed="false">
      <c r="A284" s="32" t="str">
        <f aca="false">IF(COUNTA(B284,D284,E284,F284)=0,"",ROW()-4)</f>
        <v/>
      </c>
      <c r="B284" s="22"/>
      <c r="C284" s="28"/>
      <c r="D284" s="28"/>
      <c r="E284" s="18"/>
      <c r="F284" s="28"/>
      <c r="G284" s="32" t="str">
        <f aca="false">IF(F284="","",IFERROR(INDEX(請求台帳!$D$5:$D$504,MATCH(F284,請求台帳!$A$5:$A$504,0)),""))</f>
        <v/>
      </c>
      <c r="H284" s="26" t="str">
        <f aca="false">IF(F284="","",IFERROR(INDEX(請求台帳!$I$5:$I$504,MATCH(F284,請求台帳!$A$5:$A$504,0)),""))</f>
        <v/>
      </c>
      <c r="I284" s="29" t="str">
        <f aca="false">IF(COUNTA(B284,D284,E284,F284)=0,"",IF(OR(B284="",E284=""),"要入力",IF(F284="","未消込",IF(ISNA(MATCH(F284,請求台帳!$A$5:$A$504,0)),"番号誤り",IF(INDEX(請求台帳!$T$5:$T$504,MATCH(F284,請求台帳!$A$5:$A$504,0))="取消","取消請求へ消込","消込済")))))</f>
        <v/>
      </c>
      <c r="J284" s="28"/>
      <c r="K284" s="28"/>
    </row>
    <row r="285" customFormat="false" ht="15" hidden="false" customHeight="false" outlineLevel="0" collapsed="false">
      <c r="A285" s="32" t="str">
        <f aca="false">IF(COUNTA(B285,D285,E285,F285)=0,"",ROW()-4)</f>
        <v/>
      </c>
      <c r="B285" s="22"/>
      <c r="C285" s="28"/>
      <c r="D285" s="28"/>
      <c r="E285" s="18"/>
      <c r="F285" s="28"/>
      <c r="G285" s="32" t="str">
        <f aca="false">IF(F285="","",IFERROR(INDEX(請求台帳!$D$5:$D$504,MATCH(F285,請求台帳!$A$5:$A$504,0)),""))</f>
        <v/>
      </c>
      <c r="H285" s="26" t="str">
        <f aca="false">IF(F285="","",IFERROR(INDEX(請求台帳!$I$5:$I$504,MATCH(F285,請求台帳!$A$5:$A$504,0)),""))</f>
        <v/>
      </c>
      <c r="I285" s="29" t="str">
        <f aca="false">IF(COUNTA(B285,D285,E285,F285)=0,"",IF(OR(B285="",E285=""),"要入力",IF(F285="","未消込",IF(ISNA(MATCH(F285,請求台帳!$A$5:$A$504,0)),"番号誤り",IF(INDEX(請求台帳!$T$5:$T$504,MATCH(F285,請求台帳!$A$5:$A$504,0))="取消","取消請求へ消込","消込済")))))</f>
        <v/>
      </c>
      <c r="J285" s="28"/>
      <c r="K285" s="28"/>
    </row>
    <row r="286" customFormat="false" ht="15" hidden="false" customHeight="false" outlineLevel="0" collapsed="false">
      <c r="A286" s="32" t="str">
        <f aca="false">IF(COUNTA(B286,D286,E286,F286)=0,"",ROW()-4)</f>
        <v/>
      </c>
      <c r="B286" s="22"/>
      <c r="C286" s="28"/>
      <c r="D286" s="28"/>
      <c r="E286" s="18"/>
      <c r="F286" s="28"/>
      <c r="G286" s="32" t="str">
        <f aca="false">IF(F286="","",IFERROR(INDEX(請求台帳!$D$5:$D$504,MATCH(F286,請求台帳!$A$5:$A$504,0)),""))</f>
        <v/>
      </c>
      <c r="H286" s="26" t="str">
        <f aca="false">IF(F286="","",IFERROR(INDEX(請求台帳!$I$5:$I$504,MATCH(F286,請求台帳!$A$5:$A$504,0)),""))</f>
        <v/>
      </c>
      <c r="I286" s="29" t="str">
        <f aca="false">IF(COUNTA(B286,D286,E286,F286)=0,"",IF(OR(B286="",E286=""),"要入力",IF(F286="","未消込",IF(ISNA(MATCH(F286,請求台帳!$A$5:$A$504,0)),"番号誤り",IF(INDEX(請求台帳!$T$5:$T$504,MATCH(F286,請求台帳!$A$5:$A$504,0))="取消","取消請求へ消込","消込済")))))</f>
        <v/>
      </c>
      <c r="J286" s="28"/>
      <c r="K286" s="28"/>
    </row>
    <row r="287" customFormat="false" ht="15" hidden="false" customHeight="false" outlineLevel="0" collapsed="false">
      <c r="A287" s="32" t="str">
        <f aca="false">IF(COUNTA(B287,D287,E287,F287)=0,"",ROW()-4)</f>
        <v/>
      </c>
      <c r="B287" s="22"/>
      <c r="C287" s="28"/>
      <c r="D287" s="28"/>
      <c r="E287" s="18"/>
      <c r="F287" s="28"/>
      <c r="G287" s="32" t="str">
        <f aca="false">IF(F287="","",IFERROR(INDEX(請求台帳!$D$5:$D$504,MATCH(F287,請求台帳!$A$5:$A$504,0)),""))</f>
        <v/>
      </c>
      <c r="H287" s="26" t="str">
        <f aca="false">IF(F287="","",IFERROR(INDEX(請求台帳!$I$5:$I$504,MATCH(F287,請求台帳!$A$5:$A$504,0)),""))</f>
        <v/>
      </c>
      <c r="I287" s="29" t="str">
        <f aca="false">IF(COUNTA(B287,D287,E287,F287)=0,"",IF(OR(B287="",E287=""),"要入力",IF(F287="","未消込",IF(ISNA(MATCH(F287,請求台帳!$A$5:$A$504,0)),"番号誤り",IF(INDEX(請求台帳!$T$5:$T$504,MATCH(F287,請求台帳!$A$5:$A$504,0))="取消","取消請求へ消込","消込済")))))</f>
        <v/>
      </c>
      <c r="J287" s="28"/>
      <c r="K287" s="28"/>
    </row>
    <row r="288" customFormat="false" ht="15" hidden="false" customHeight="false" outlineLevel="0" collapsed="false">
      <c r="A288" s="32" t="str">
        <f aca="false">IF(COUNTA(B288,D288,E288,F288)=0,"",ROW()-4)</f>
        <v/>
      </c>
      <c r="B288" s="22"/>
      <c r="C288" s="28"/>
      <c r="D288" s="28"/>
      <c r="E288" s="18"/>
      <c r="F288" s="28"/>
      <c r="G288" s="32" t="str">
        <f aca="false">IF(F288="","",IFERROR(INDEX(請求台帳!$D$5:$D$504,MATCH(F288,請求台帳!$A$5:$A$504,0)),""))</f>
        <v/>
      </c>
      <c r="H288" s="26" t="str">
        <f aca="false">IF(F288="","",IFERROR(INDEX(請求台帳!$I$5:$I$504,MATCH(F288,請求台帳!$A$5:$A$504,0)),""))</f>
        <v/>
      </c>
      <c r="I288" s="29" t="str">
        <f aca="false">IF(COUNTA(B288,D288,E288,F288)=0,"",IF(OR(B288="",E288=""),"要入力",IF(F288="","未消込",IF(ISNA(MATCH(F288,請求台帳!$A$5:$A$504,0)),"番号誤り",IF(INDEX(請求台帳!$T$5:$T$504,MATCH(F288,請求台帳!$A$5:$A$504,0))="取消","取消請求へ消込","消込済")))))</f>
        <v/>
      </c>
      <c r="J288" s="28"/>
      <c r="K288" s="28"/>
    </row>
    <row r="289" customFormat="false" ht="15" hidden="false" customHeight="false" outlineLevel="0" collapsed="false">
      <c r="A289" s="32" t="str">
        <f aca="false">IF(COUNTA(B289,D289,E289,F289)=0,"",ROW()-4)</f>
        <v/>
      </c>
      <c r="B289" s="22"/>
      <c r="C289" s="28"/>
      <c r="D289" s="28"/>
      <c r="E289" s="18"/>
      <c r="F289" s="28"/>
      <c r="G289" s="32" t="str">
        <f aca="false">IF(F289="","",IFERROR(INDEX(請求台帳!$D$5:$D$504,MATCH(F289,請求台帳!$A$5:$A$504,0)),""))</f>
        <v/>
      </c>
      <c r="H289" s="26" t="str">
        <f aca="false">IF(F289="","",IFERROR(INDEX(請求台帳!$I$5:$I$504,MATCH(F289,請求台帳!$A$5:$A$504,0)),""))</f>
        <v/>
      </c>
      <c r="I289" s="29" t="str">
        <f aca="false">IF(COUNTA(B289,D289,E289,F289)=0,"",IF(OR(B289="",E289=""),"要入力",IF(F289="","未消込",IF(ISNA(MATCH(F289,請求台帳!$A$5:$A$504,0)),"番号誤り",IF(INDEX(請求台帳!$T$5:$T$504,MATCH(F289,請求台帳!$A$5:$A$504,0))="取消","取消請求へ消込","消込済")))))</f>
        <v/>
      </c>
      <c r="J289" s="28"/>
      <c r="K289" s="28"/>
    </row>
    <row r="290" customFormat="false" ht="15" hidden="false" customHeight="false" outlineLevel="0" collapsed="false">
      <c r="A290" s="32" t="str">
        <f aca="false">IF(COUNTA(B290,D290,E290,F290)=0,"",ROW()-4)</f>
        <v/>
      </c>
      <c r="B290" s="22"/>
      <c r="C290" s="28"/>
      <c r="D290" s="28"/>
      <c r="E290" s="18"/>
      <c r="F290" s="28"/>
      <c r="G290" s="32" t="str">
        <f aca="false">IF(F290="","",IFERROR(INDEX(請求台帳!$D$5:$D$504,MATCH(F290,請求台帳!$A$5:$A$504,0)),""))</f>
        <v/>
      </c>
      <c r="H290" s="26" t="str">
        <f aca="false">IF(F290="","",IFERROR(INDEX(請求台帳!$I$5:$I$504,MATCH(F290,請求台帳!$A$5:$A$504,0)),""))</f>
        <v/>
      </c>
      <c r="I290" s="29" t="str">
        <f aca="false">IF(COUNTA(B290,D290,E290,F290)=0,"",IF(OR(B290="",E290=""),"要入力",IF(F290="","未消込",IF(ISNA(MATCH(F290,請求台帳!$A$5:$A$504,0)),"番号誤り",IF(INDEX(請求台帳!$T$5:$T$504,MATCH(F290,請求台帳!$A$5:$A$504,0))="取消","取消請求へ消込","消込済")))))</f>
        <v/>
      </c>
      <c r="J290" s="28"/>
      <c r="K290" s="28"/>
    </row>
    <row r="291" customFormat="false" ht="15" hidden="false" customHeight="false" outlineLevel="0" collapsed="false">
      <c r="A291" s="32" t="str">
        <f aca="false">IF(COUNTA(B291,D291,E291,F291)=0,"",ROW()-4)</f>
        <v/>
      </c>
      <c r="B291" s="22"/>
      <c r="C291" s="28"/>
      <c r="D291" s="28"/>
      <c r="E291" s="18"/>
      <c r="F291" s="28"/>
      <c r="G291" s="32" t="str">
        <f aca="false">IF(F291="","",IFERROR(INDEX(請求台帳!$D$5:$D$504,MATCH(F291,請求台帳!$A$5:$A$504,0)),""))</f>
        <v/>
      </c>
      <c r="H291" s="26" t="str">
        <f aca="false">IF(F291="","",IFERROR(INDEX(請求台帳!$I$5:$I$504,MATCH(F291,請求台帳!$A$5:$A$504,0)),""))</f>
        <v/>
      </c>
      <c r="I291" s="29" t="str">
        <f aca="false">IF(COUNTA(B291,D291,E291,F291)=0,"",IF(OR(B291="",E291=""),"要入力",IF(F291="","未消込",IF(ISNA(MATCH(F291,請求台帳!$A$5:$A$504,0)),"番号誤り",IF(INDEX(請求台帳!$T$5:$T$504,MATCH(F291,請求台帳!$A$5:$A$504,0))="取消","取消請求へ消込","消込済")))))</f>
        <v/>
      </c>
      <c r="J291" s="28"/>
      <c r="K291" s="28"/>
    </row>
    <row r="292" customFormat="false" ht="15" hidden="false" customHeight="false" outlineLevel="0" collapsed="false">
      <c r="A292" s="32" t="str">
        <f aca="false">IF(COUNTA(B292,D292,E292,F292)=0,"",ROW()-4)</f>
        <v/>
      </c>
      <c r="B292" s="22"/>
      <c r="C292" s="28"/>
      <c r="D292" s="28"/>
      <c r="E292" s="18"/>
      <c r="F292" s="28"/>
      <c r="G292" s="32" t="str">
        <f aca="false">IF(F292="","",IFERROR(INDEX(請求台帳!$D$5:$D$504,MATCH(F292,請求台帳!$A$5:$A$504,0)),""))</f>
        <v/>
      </c>
      <c r="H292" s="26" t="str">
        <f aca="false">IF(F292="","",IFERROR(INDEX(請求台帳!$I$5:$I$504,MATCH(F292,請求台帳!$A$5:$A$504,0)),""))</f>
        <v/>
      </c>
      <c r="I292" s="29" t="str">
        <f aca="false">IF(COUNTA(B292,D292,E292,F292)=0,"",IF(OR(B292="",E292=""),"要入力",IF(F292="","未消込",IF(ISNA(MATCH(F292,請求台帳!$A$5:$A$504,0)),"番号誤り",IF(INDEX(請求台帳!$T$5:$T$504,MATCH(F292,請求台帳!$A$5:$A$504,0))="取消","取消請求へ消込","消込済")))))</f>
        <v/>
      </c>
      <c r="J292" s="28"/>
      <c r="K292" s="28"/>
    </row>
    <row r="293" customFormat="false" ht="15" hidden="false" customHeight="false" outlineLevel="0" collapsed="false">
      <c r="A293" s="32" t="str">
        <f aca="false">IF(COUNTA(B293,D293,E293,F293)=0,"",ROW()-4)</f>
        <v/>
      </c>
      <c r="B293" s="22"/>
      <c r="C293" s="28"/>
      <c r="D293" s="28"/>
      <c r="E293" s="18"/>
      <c r="F293" s="28"/>
      <c r="G293" s="32" t="str">
        <f aca="false">IF(F293="","",IFERROR(INDEX(請求台帳!$D$5:$D$504,MATCH(F293,請求台帳!$A$5:$A$504,0)),""))</f>
        <v/>
      </c>
      <c r="H293" s="26" t="str">
        <f aca="false">IF(F293="","",IFERROR(INDEX(請求台帳!$I$5:$I$504,MATCH(F293,請求台帳!$A$5:$A$504,0)),""))</f>
        <v/>
      </c>
      <c r="I293" s="29" t="str">
        <f aca="false">IF(COUNTA(B293,D293,E293,F293)=0,"",IF(OR(B293="",E293=""),"要入力",IF(F293="","未消込",IF(ISNA(MATCH(F293,請求台帳!$A$5:$A$504,0)),"番号誤り",IF(INDEX(請求台帳!$T$5:$T$504,MATCH(F293,請求台帳!$A$5:$A$504,0))="取消","取消請求へ消込","消込済")))))</f>
        <v/>
      </c>
      <c r="J293" s="28"/>
      <c r="K293" s="28"/>
    </row>
    <row r="294" customFormat="false" ht="15" hidden="false" customHeight="false" outlineLevel="0" collapsed="false">
      <c r="A294" s="32" t="str">
        <f aca="false">IF(COUNTA(B294,D294,E294,F294)=0,"",ROW()-4)</f>
        <v/>
      </c>
      <c r="B294" s="22"/>
      <c r="C294" s="28"/>
      <c r="D294" s="28"/>
      <c r="E294" s="18"/>
      <c r="F294" s="28"/>
      <c r="G294" s="32" t="str">
        <f aca="false">IF(F294="","",IFERROR(INDEX(請求台帳!$D$5:$D$504,MATCH(F294,請求台帳!$A$5:$A$504,0)),""))</f>
        <v/>
      </c>
      <c r="H294" s="26" t="str">
        <f aca="false">IF(F294="","",IFERROR(INDEX(請求台帳!$I$5:$I$504,MATCH(F294,請求台帳!$A$5:$A$504,0)),""))</f>
        <v/>
      </c>
      <c r="I294" s="29" t="str">
        <f aca="false">IF(COUNTA(B294,D294,E294,F294)=0,"",IF(OR(B294="",E294=""),"要入力",IF(F294="","未消込",IF(ISNA(MATCH(F294,請求台帳!$A$5:$A$504,0)),"番号誤り",IF(INDEX(請求台帳!$T$5:$T$504,MATCH(F294,請求台帳!$A$5:$A$504,0))="取消","取消請求へ消込","消込済")))))</f>
        <v/>
      </c>
      <c r="J294" s="28"/>
      <c r="K294" s="28"/>
    </row>
    <row r="295" customFormat="false" ht="15" hidden="false" customHeight="false" outlineLevel="0" collapsed="false">
      <c r="A295" s="32" t="str">
        <f aca="false">IF(COUNTA(B295,D295,E295,F295)=0,"",ROW()-4)</f>
        <v/>
      </c>
      <c r="B295" s="22"/>
      <c r="C295" s="28"/>
      <c r="D295" s="28"/>
      <c r="E295" s="18"/>
      <c r="F295" s="28"/>
      <c r="G295" s="32" t="str">
        <f aca="false">IF(F295="","",IFERROR(INDEX(請求台帳!$D$5:$D$504,MATCH(F295,請求台帳!$A$5:$A$504,0)),""))</f>
        <v/>
      </c>
      <c r="H295" s="26" t="str">
        <f aca="false">IF(F295="","",IFERROR(INDEX(請求台帳!$I$5:$I$504,MATCH(F295,請求台帳!$A$5:$A$504,0)),""))</f>
        <v/>
      </c>
      <c r="I295" s="29" t="str">
        <f aca="false">IF(COUNTA(B295,D295,E295,F295)=0,"",IF(OR(B295="",E295=""),"要入力",IF(F295="","未消込",IF(ISNA(MATCH(F295,請求台帳!$A$5:$A$504,0)),"番号誤り",IF(INDEX(請求台帳!$T$5:$T$504,MATCH(F295,請求台帳!$A$5:$A$504,0))="取消","取消請求へ消込","消込済")))))</f>
        <v/>
      </c>
      <c r="J295" s="28"/>
      <c r="K295" s="28"/>
    </row>
    <row r="296" customFormat="false" ht="15" hidden="false" customHeight="false" outlineLevel="0" collapsed="false">
      <c r="A296" s="32" t="str">
        <f aca="false">IF(COUNTA(B296,D296,E296,F296)=0,"",ROW()-4)</f>
        <v/>
      </c>
      <c r="B296" s="22"/>
      <c r="C296" s="28"/>
      <c r="D296" s="28"/>
      <c r="E296" s="18"/>
      <c r="F296" s="28"/>
      <c r="G296" s="32" t="str">
        <f aca="false">IF(F296="","",IFERROR(INDEX(請求台帳!$D$5:$D$504,MATCH(F296,請求台帳!$A$5:$A$504,0)),""))</f>
        <v/>
      </c>
      <c r="H296" s="26" t="str">
        <f aca="false">IF(F296="","",IFERROR(INDEX(請求台帳!$I$5:$I$504,MATCH(F296,請求台帳!$A$5:$A$504,0)),""))</f>
        <v/>
      </c>
      <c r="I296" s="29" t="str">
        <f aca="false">IF(COUNTA(B296,D296,E296,F296)=0,"",IF(OR(B296="",E296=""),"要入力",IF(F296="","未消込",IF(ISNA(MATCH(F296,請求台帳!$A$5:$A$504,0)),"番号誤り",IF(INDEX(請求台帳!$T$5:$T$504,MATCH(F296,請求台帳!$A$5:$A$504,0))="取消","取消請求へ消込","消込済")))))</f>
        <v/>
      </c>
      <c r="J296" s="28"/>
      <c r="K296" s="28"/>
    </row>
    <row r="297" customFormat="false" ht="15" hidden="false" customHeight="false" outlineLevel="0" collapsed="false">
      <c r="A297" s="32" t="str">
        <f aca="false">IF(COUNTA(B297,D297,E297,F297)=0,"",ROW()-4)</f>
        <v/>
      </c>
      <c r="B297" s="22"/>
      <c r="C297" s="28"/>
      <c r="D297" s="28"/>
      <c r="E297" s="18"/>
      <c r="F297" s="28"/>
      <c r="G297" s="32" t="str">
        <f aca="false">IF(F297="","",IFERROR(INDEX(請求台帳!$D$5:$D$504,MATCH(F297,請求台帳!$A$5:$A$504,0)),""))</f>
        <v/>
      </c>
      <c r="H297" s="26" t="str">
        <f aca="false">IF(F297="","",IFERROR(INDEX(請求台帳!$I$5:$I$504,MATCH(F297,請求台帳!$A$5:$A$504,0)),""))</f>
        <v/>
      </c>
      <c r="I297" s="29" t="str">
        <f aca="false">IF(COUNTA(B297,D297,E297,F297)=0,"",IF(OR(B297="",E297=""),"要入力",IF(F297="","未消込",IF(ISNA(MATCH(F297,請求台帳!$A$5:$A$504,0)),"番号誤り",IF(INDEX(請求台帳!$T$5:$T$504,MATCH(F297,請求台帳!$A$5:$A$504,0))="取消","取消請求へ消込","消込済")))))</f>
        <v/>
      </c>
      <c r="J297" s="28"/>
      <c r="K297" s="28"/>
    </row>
    <row r="298" customFormat="false" ht="15" hidden="false" customHeight="false" outlineLevel="0" collapsed="false">
      <c r="A298" s="32" t="str">
        <f aca="false">IF(COUNTA(B298,D298,E298,F298)=0,"",ROW()-4)</f>
        <v/>
      </c>
      <c r="B298" s="22"/>
      <c r="C298" s="28"/>
      <c r="D298" s="28"/>
      <c r="E298" s="18"/>
      <c r="F298" s="28"/>
      <c r="G298" s="32" t="str">
        <f aca="false">IF(F298="","",IFERROR(INDEX(請求台帳!$D$5:$D$504,MATCH(F298,請求台帳!$A$5:$A$504,0)),""))</f>
        <v/>
      </c>
      <c r="H298" s="26" t="str">
        <f aca="false">IF(F298="","",IFERROR(INDEX(請求台帳!$I$5:$I$504,MATCH(F298,請求台帳!$A$5:$A$504,0)),""))</f>
        <v/>
      </c>
      <c r="I298" s="29" t="str">
        <f aca="false">IF(COUNTA(B298,D298,E298,F298)=0,"",IF(OR(B298="",E298=""),"要入力",IF(F298="","未消込",IF(ISNA(MATCH(F298,請求台帳!$A$5:$A$504,0)),"番号誤り",IF(INDEX(請求台帳!$T$5:$T$504,MATCH(F298,請求台帳!$A$5:$A$504,0))="取消","取消請求へ消込","消込済")))))</f>
        <v/>
      </c>
      <c r="J298" s="28"/>
      <c r="K298" s="28"/>
    </row>
    <row r="299" customFormat="false" ht="15" hidden="false" customHeight="false" outlineLevel="0" collapsed="false">
      <c r="A299" s="32" t="str">
        <f aca="false">IF(COUNTA(B299,D299,E299,F299)=0,"",ROW()-4)</f>
        <v/>
      </c>
      <c r="B299" s="22"/>
      <c r="C299" s="28"/>
      <c r="D299" s="28"/>
      <c r="E299" s="18"/>
      <c r="F299" s="28"/>
      <c r="G299" s="32" t="str">
        <f aca="false">IF(F299="","",IFERROR(INDEX(請求台帳!$D$5:$D$504,MATCH(F299,請求台帳!$A$5:$A$504,0)),""))</f>
        <v/>
      </c>
      <c r="H299" s="26" t="str">
        <f aca="false">IF(F299="","",IFERROR(INDEX(請求台帳!$I$5:$I$504,MATCH(F299,請求台帳!$A$5:$A$504,0)),""))</f>
        <v/>
      </c>
      <c r="I299" s="29" t="str">
        <f aca="false">IF(COUNTA(B299,D299,E299,F299)=0,"",IF(OR(B299="",E299=""),"要入力",IF(F299="","未消込",IF(ISNA(MATCH(F299,請求台帳!$A$5:$A$504,0)),"番号誤り",IF(INDEX(請求台帳!$T$5:$T$504,MATCH(F299,請求台帳!$A$5:$A$504,0))="取消","取消請求へ消込","消込済")))))</f>
        <v/>
      </c>
      <c r="J299" s="28"/>
      <c r="K299" s="28"/>
    </row>
    <row r="300" customFormat="false" ht="15" hidden="false" customHeight="false" outlineLevel="0" collapsed="false">
      <c r="A300" s="32" t="str">
        <f aca="false">IF(COUNTA(B300,D300,E300,F300)=0,"",ROW()-4)</f>
        <v/>
      </c>
      <c r="B300" s="22"/>
      <c r="C300" s="28"/>
      <c r="D300" s="28"/>
      <c r="E300" s="18"/>
      <c r="F300" s="28"/>
      <c r="G300" s="32" t="str">
        <f aca="false">IF(F300="","",IFERROR(INDEX(請求台帳!$D$5:$D$504,MATCH(F300,請求台帳!$A$5:$A$504,0)),""))</f>
        <v/>
      </c>
      <c r="H300" s="26" t="str">
        <f aca="false">IF(F300="","",IFERROR(INDEX(請求台帳!$I$5:$I$504,MATCH(F300,請求台帳!$A$5:$A$504,0)),""))</f>
        <v/>
      </c>
      <c r="I300" s="29" t="str">
        <f aca="false">IF(COUNTA(B300,D300,E300,F300)=0,"",IF(OR(B300="",E300=""),"要入力",IF(F300="","未消込",IF(ISNA(MATCH(F300,請求台帳!$A$5:$A$504,0)),"番号誤り",IF(INDEX(請求台帳!$T$5:$T$504,MATCH(F300,請求台帳!$A$5:$A$504,0))="取消","取消請求へ消込","消込済")))))</f>
        <v/>
      </c>
      <c r="J300" s="28"/>
      <c r="K300" s="28"/>
    </row>
    <row r="301" customFormat="false" ht="15" hidden="false" customHeight="false" outlineLevel="0" collapsed="false">
      <c r="A301" s="32" t="str">
        <f aca="false">IF(COUNTA(B301,D301,E301,F301)=0,"",ROW()-4)</f>
        <v/>
      </c>
      <c r="B301" s="22"/>
      <c r="C301" s="28"/>
      <c r="D301" s="28"/>
      <c r="E301" s="18"/>
      <c r="F301" s="28"/>
      <c r="G301" s="32" t="str">
        <f aca="false">IF(F301="","",IFERROR(INDEX(請求台帳!$D$5:$D$504,MATCH(F301,請求台帳!$A$5:$A$504,0)),""))</f>
        <v/>
      </c>
      <c r="H301" s="26" t="str">
        <f aca="false">IF(F301="","",IFERROR(INDEX(請求台帳!$I$5:$I$504,MATCH(F301,請求台帳!$A$5:$A$504,0)),""))</f>
        <v/>
      </c>
      <c r="I301" s="29" t="str">
        <f aca="false">IF(COUNTA(B301,D301,E301,F301)=0,"",IF(OR(B301="",E301=""),"要入力",IF(F301="","未消込",IF(ISNA(MATCH(F301,請求台帳!$A$5:$A$504,0)),"番号誤り",IF(INDEX(請求台帳!$T$5:$T$504,MATCH(F301,請求台帳!$A$5:$A$504,0))="取消","取消請求へ消込","消込済")))))</f>
        <v/>
      </c>
      <c r="J301" s="28"/>
      <c r="K301" s="28"/>
    </row>
    <row r="302" customFormat="false" ht="15" hidden="false" customHeight="false" outlineLevel="0" collapsed="false">
      <c r="A302" s="32" t="str">
        <f aca="false">IF(COUNTA(B302,D302,E302,F302)=0,"",ROW()-4)</f>
        <v/>
      </c>
      <c r="B302" s="22"/>
      <c r="C302" s="28"/>
      <c r="D302" s="28"/>
      <c r="E302" s="18"/>
      <c r="F302" s="28"/>
      <c r="G302" s="32" t="str">
        <f aca="false">IF(F302="","",IFERROR(INDEX(請求台帳!$D$5:$D$504,MATCH(F302,請求台帳!$A$5:$A$504,0)),""))</f>
        <v/>
      </c>
      <c r="H302" s="26" t="str">
        <f aca="false">IF(F302="","",IFERROR(INDEX(請求台帳!$I$5:$I$504,MATCH(F302,請求台帳!$A$5:$A$504,0)),""))</f>
        <v/>
      </c>
      <c r="I302" s="29" t="str">
        <f aca="false">IF(COUNTA(B302,D302,E302,F302)=0,"",IF(OR(B302="",E302=""),"要入力",IF(F302="","未消込",IF(ISNA(MATCH(F302,請求台帳!$A$5:$A$504,0)),"番号誤り",IF(INDEX(請求台帳!$T$5:$T$504,MATCH(F302,請求台帳!$A$5:$A$504,0))="取消","取消請求へ消込","消込済")))))</f>
        <v/>
      </c>
      <c r="J302" s="28"/>
      <c r="K302" s="28"/>
    </row>
    <row r="303" customFormat="false" ht="15" hidden="false" customHeight="false" outlineLevel="0" collapsed="false">
      <c r="A303" s="32" t="str">
        <f aca="false">IF(COUNTA(B303,D303,E303,F303)=0,"",ROW()-4)</f>
        <v/>
      </c>
      <c r="B303" s="22"/>
      <c r="C303" s="28"/>
      <c r="D303" s="28"/>
      <c r="E303" s="18"/>
      <c r="F303" s="28"/>
      <c r="G303" s="32" t="str">
        <f aca="false">IF(F303="","",IFERROR(INDEX(請求台帳!$D$5:$D$504,MATCH(F303,請求台帳!$A$5:$A$504,0)),""))</f>
        <v/>
      </c>
      <c r="H303" s="26" t="str">
        <f aca="false">IF(F303="","",IFERROR(INDEX(請求台帳!$I$5:$I$504,MATCH(F303,請求台帳!$A$5:$A$504,0)),""))</f>
        <v/>
      </c>
      <c r="I303" s="29" t="str">
        <f aca="false">IF(COUNTA(B303,D303,E303,F303)=0,"",IF(OR(B303="",E303=""),"要入力",IF(F303="","未消込",IF(ISNA(MATCH(F303,請求台帳!$A$5:$A$504,0)),"番号誤り",IF(INDEX(請求台帳!$T$5:$T$504,MATCH(F303,請求台帳!$A$5:$A$504,0))="取消","取消請求へ消込","消込済")))))</f>
        <v/>
      </c>
      <c r="J303" s="28"/>
      <c r="K303" s="28"/>
    </row>
    <row r="304" customFormat="false" ht="15" hidden="false" customHeight="false" outlineLevel="0" collapsed="false">
      <c r="A304" s="32" t="str">
        <f aca="false">IF(COUNTA(B304,D304,E304,F304)=0,"",ROW()-4)</f>
        <v/>
      </c>
      <c r="B304" s="22"/>
      <c r="C304" s="28"/>
      <c r="D304" s="28"/>
      <c r="E304" s="18"/>
      <c r="F304" s="28"/>
      <c r="G304" s="32" t="str">
        <f aca="false">IF(F304="","",IFERROR(INDEX(請求台帳!$D$5:$D$504,MATCH(F304,請求台帳!$A$5:$A$504,0)),""))</f>
        <v/>
      </c>
      <c r="H304" s="26" t="str">
        <f aca="false">IF(F304="","",IFERROR(INDEX(請求台帳!$I$5:$I$504,MATCH(F304,請求台帳!$A$5:$A$504,0)),""))</f>
        <v/>
      </c>
      <c r="I304" s="29" t="str">
        <f aca="false">IF(COUNTA(B304,D304,E304,F304)=0,"",IF(OR(B304="",E304=""),"要入力",IF(F304="","未消込",IF(ISNA(MATCH(F304,請求台帳!$A$5:$A$504,0)),"番号誤り",IF(INDEX(請求台帳!$T$5:$T$504,MATCH(F304,請求台帳!$A$5:$A$504,0))="取消","取消請求へ消込","消込済")))))</f>
        <v/>
      </c>
      <c r="J304" s="28"/>
      <c r="K304" s="28"/>
    </row>
    <row r="305" customFormat="false" ht="15" hidden="false" customHeight="false" outlineLevel="0" collapsed="false">
      <c r="A305" s="32" t="str">
        <f aca="false">IF(COUNTA(B305,D305,E305,F305)=0,"",ROW()-4)</f>
        <v/>
      </c>
      <c r="B305" s="22"/>
      <c r="C305" s="28"/>
      <c r="D305" s="28"/>
      <c r="E305" s="18"/>
      <c r="F305" s="28"/>
      <c r="G305" s="32" t="str">
        <f aca="false">IF(F305="","",IFERROR(INDEX(請求台帳!$D$5:$D$504,MATCH(F305,請求台帳!$A$5:$A$504,0)),""))</f>
        <v/>
      </c>
      <c r="H305" s="26" t="str">
        <f aca="false">IF(F305="","",IFERROR(INDEX(請求台帳!$I$5:$I$504,MATCH(F305,請求台帳!$A$5:$A$504,0)),""))</f>
        <v/>
      </c>
      <c r="I305" s="29" t="str">
        <f aca="false">IF(COUNTA(B305,D305,E305,F305)=0,"",IF(OR(B305="",E305=""),"要入力",IF(F305="","未消込",IF(ISNA(MATCH(F305,請求台帳!$A$5:$A$504,0)),"番号誤り",IF(INDEX(請求台帳!$T$5:$T$504,MATCH(F305,請求台帳!$A$5:$A$504,0))="取消","取消請求へ消込","消込済")))))</f>
        <v/>
      </c>
      <c r="J305" s="28"/>
      <c r="K305" s="28"/>
    </row>
    <row r="306" customFormat="false" ht="15" hidden="false" customHeight="false" outlineLevel="0" collapsed="false">
      <c r="A306" s="32" t="str">
        <f aca="false">IF(COUNTA(B306,D306,E306,F306)=0,"",ROW()-4)</f>
        <v/>
      </c>
      <c r="B306" s="22"/>
      <c r="C306" s="28"/>
      <c r="D306" s="28"/>
      <c r="E306" s="18"/>
      <c r="F306" s="28"/>
      <c r="G306" s="32" t="str">
        <f aca="false">IF(F306="","",IFERROR(INDEX(請求台帳!$D$5:$D$504,MATCH(F306,請求台帳!$A$5:$A$504,0)),""))</f>
        <v/>
      </c>
      <c r="H306" s="26" t="str">
        <f aca="false">IF(F306="","",IFERROR(INDEX(請求台帳!$I$5:$I$504,MATCH(F306,請求台帳!$A$5:$A$504,0)),""))</f>
        <v/>
      </c>
      <c r="I306" s="29" t="str">
        <f aca="false">IF(COUNTA(B306,D306,E306,F306)=0,"",IF(OR(B306="",E306=""),"要入力",IF(F306="","未消込",IF(ISNA(MATCH(F306,請求台帳!$A$5:$A$504,0)),"番号誤り",IF(INDEX(請求台帳!$T$5:$T$504,MATCH(F306,請求台帳!$A$5:$A$504,0))="取消","取消請求へ消込","消込済")))))</f>
        <v/>
      </c>
      <c r="J306" s="28"/>
      <c r="K306" s="28"/>
    </row>
    <row r="307" customFormat="false" ht="15" hidden="false" customHeight="false" outlineLevel="0" collapsed="false">
      <c r="A307" s="32" t="str">
        <f aca="false">IF(COUNTA(B307,D307,E307,F307)=0,"",ROW()-4)</f>
        <v/>
      </c>
      <c r="B307" s="22"/>
      <c r="C307" s="28"/>
      <c r="D307" s="28"/>
      <c r="E307" s="18"/>
      <c r="F307" s="28"/>
      <c r="G307" s="32" t="str">
        <f aca="false">IF(F307="","",IFERROR(INDEX(請求台帳!$D$5:$D$504,MATCH(F307,請求台帳!$A$5:$A$504,0)),""))</f>
        <v/>
      </c>
      <c r="H307" s="26" t="str">
        <f aca="false">IF(F307="","",IFERROR(INDEX(請求台帳!$I$5:$I$504,MATCH(F307,請求台帳!$A$5:$A$504,0)),""))</f>
        <v/>
      </c>
      <c r="I307" s="29" t="str">
        <f aca="false">IF(COUNTA(B307,D307,E307,F307)=0,"",IF(OR(B307="",E307=""),"要入力",IF(F307="","未消込",IF(ISNA(MATCH(F307,請求台帳!$A$5:$A$504,0)),"番号誤り",IF(INDEX(請求台帳!$T$5:$T$504,MATCH(F307,請求台帳!$A$5:$A$504,0))="取消","取消請求へ消込","消込済")))))</f>
        <v/>
      </c>
      <c r="J307" s="28"/>
      <c r="K307" s="28"/>
    </row>
    <row r="308" customFormat="false" ht="15" hidden="false" customHeight="false" outlineLevel="0" collapsed="false">
      <c r="A308" s="32" t="str">
        <f aca="false">IF(COUNTA(B308,D308,E308,F308)=0,"",ROW()-4)</f>
        <v/>
      </c>
      <c r="B308" s="22"/>
      <c r="C308" s="28"/>
      <c r="D308" s="28"/>
      <c r="E308" s="18"/>
      <c r="F308" s="28"/>
      <c r="G308" s="32" t="str">
        <f aca="false">IF(F308="","",IFERROR(INDEX(請求台帳!$D$5:$D$504,MATCH(F308,請求台帳!$A$5:$A$504,0)),""))</f>
        <v/>
      </c>
      <c r="H308" s="26" t="str">
        <f aca="false">IF(F308="","",IFERROR(INDEX(請求台帳!$I$5:$I$504,MATCH(F308,請求台帳!$A$5:$A$504,0)),""))</f>
        <v/>
      </c>
      <c r="I308" s="29" t="str">
        <f aca="false">IF(COUNTA(B308,D308,E308,F308)=0,"",IF(OR(B308="",E308=""),"要入力",IF(F308="","未消込",IF(ISNA(MATCH(F308,請求台帳!$A$5:$A$504,0)),"番号誤り",IF(INDEX(請求台帳!$T$5:$T$504,MATCH(F308,請求台帳!$A$5:$A$504,0))="取消","取消請求へ消込","消込済")))))</f>
        <v/>
      </c>
      <c r="J308" s="28"/>
      <c r="K308" s="28"/>
    </row>
    <row r="309" customFormat="false" ht="15" hidden="false" customHeight="false" outlineLevel="0" collapsed="false">
      <c r="A309" s="32" t="str">
        <f aca="false">IF(COUNTA(B309,D309,E309,F309)=0,"",ROW()-4)</f>
        <v/>
      </c>
      <c r="B309" s="22"/>
      <c r="C309" s="28"/>
      <c r="D309" s="28"/>
      <c r="E309" s="18"/>
      <c r="F309" s="28"/>
      <c r="G309" s="32" t="str">
        <f aca="false">IF(F309="","",IFERROR(INDEX(請求台帳!$D$5:$D$504,MATCH(F309,請求台帳!$A$5:$A$504,0)),""))</f>
        <v/>
      </c>
      <c r="H309" s="26" t="str">
        <f aca="false">IF(F309="","",IFERROR(INDEX(請求台帳!$I$5:$I$504,MATCH(F309,請求台帳!$A$5:$A$504,0)),""))</f>
        <v/>
      </c>
      <c r="I309" s="29" t="str">
        <f aca="false">IF(COUNTA(B309,D309,E309,F309)=0,"",IF(OR(B309="",E309=""),"要入力",IF(F309="","未消込",IF(ISNA(MATCH(F309,請求台帳!$A$5:$A$504,0)),"番号誤り",IF(INDEX(請求台帳!$T$5:$T$504,MATCH(F309,請求台帳!$A$5:$A$504,0))="取消","取消請求へ消込","消込済")))))</f>
        <v/>
      </c>
      <c r="J309" s="28"/>
      <c r="K309" s="28"/>
    </row>
    <row r="310" customFormat="false" ht="15" hidden="false" customHeight="false" outlineLevel="0" collapsed="false">
      <c r="A310" s="32" t="str">
        <f aca="false">IF(COUNTA(B310,D310,E310,F310)=0,"",ROW()-4)</f>
        <v/>
      </c>
      <c r="B310" s="22"/>
      <c r="C310" s="28"/>
      <c r="D310" s="28"/>
      <c r="E310" s="18"/>
      <c r="F310" s="28"/>
      <c r="G310" s="32" t="str">
        <f aca="false">IF(F310="","",IFERROR(INDEX(請求台帳!$D$5:$D$504,MATCH(F310,請求台帳!$A$5:$A$504,0)),""))</f>
        <v/>
      </c>
      <c r="H310" s="26" t="str">
        <f aca="false">IF(F310="","",IFERROR(INDEX(請求台帳!$I$5:$I$504,MATCH(F310,請求台帳!$A$5:$A$504,0)),""))</f>
        <v/>
      </c>
      <c r="I310" s="29" t="str">
        <f aca="false">IF(COUNTA(B310,D310,E310,F310)=0,"",IF(OR(B310="",E310=""),"要入力",IF(F310="","未消込",IF(ISNA(MATCH(F310,請求台帳!$A$5:$A$504,0)),"番号誤り",IF(INDEX(請求台帳!$T$5:$T$504,MATCH(F310,請求台帳!$A$5:$A$504,0))="取消","取消請求へ消込","消込済")))))</f>
        <v/>
      </c>
      <c r="J310" s="28"/>
      <c r="K310" s="28"/>
    </row>
    <row r="311" customFormat="false" ht="15" hidden="false" customHeight="false" outlineLevel="0" collapsed="false">
      <c r="A311" s="32" t="str">
        <f aca="false">IF(COUNTA(B311,D311,E311,F311)=0,"",ROW()-4)</f>
        <v/>
      </c>
      <c r="B311" s="22"/>
      <c r="C311" s="28"/>
      <c r="D311" s="28"/>
      <c r="E311" s="18"/>
      <c r="F311" s="28"/>
      <c r="G311" s="32" t="str">
        <f aca="false">IF(F311="","",IFERROR(INDEX(請求台帳!$D$5:$D$504,MATCH(F311,請求台帳!$A$5:$A$504,0)),""))</f>
        <v/>
      </c>
      <c r="H311" s="26" t="str">
        <f aca="false">IF(F311="","",IFERROR(INDEX(請求台帳!$I$5:$I$504,MATCH(F311,請求台帳!$A$5:$A$504,0)),""))</f>
        <v/>
      </c>
      <c r="I311" s="29" t="str">
        <f aca="false">IF(COUNTA(B311,D311,E311,F311)=0,"",IF(OR(B311="",E311=""),"要入力",IF(F311="","未消込",IF(ISNA(MATCH(F311,請求台帳!$A$5:$A$504,0)),"番号誤り",IF(INDEX(請求台帳!$T$5:$T$504,MATCH(F311,請求台帳!$A$5:$A$504,0))="取消","取消請求へ消込","消込済")))))</f>
        <v/>
      </c>
      <c r="J311" s="28"/>
      <c r="K311" s="28"/>
    </row>
    <row r="312" customFormat="false" ht="15" hidden="false" customHeight="false" outlineLevel="0" collapsed="false">
      <c r="A312" s="32" t="str">
        <f aca="false">IF(COUNTA(B312,D312,E312,F312)=0,"",ROW()-4)</f>
        <v/>
      </c>
      <c r="B312" s="22"/>
      <c r="C312" s="28"/>
      <c r="D312" s="28"/>
      <c r="E312" s="18"/>
      <c r="F312" s="28"/>
      <c r="G312" s="32" t="str">
        <f aca="false">IF(F312="","",IFERROR(INDEX(請求台帳!$D$5:$D$504,MATCH(F312,請求台帳!$A$5:$A$504,0)),""))</f>
        <v/>
      </c>
      <c r="H312" s="26" t="str">
        <f aca="false">IF(F312="","",IFERROR(INDEX(請求台帳!$I$5:$I$504,MATCH(F312,請求台帳!$A$5:$A$504,0)),""))</f>
        <v/>
      </c>
      <c r="I312" s="29" t="str">
        <f aca="false">IF(COUNTA(B312,D312,E312,F312)=0,"",IF(OR(B312="",E312=""),"要入力",IF(F312="","未消込",IF(ISNA(MATCH(F312,請求台帳!$A$5:$A$504,0)),"番号誤り",IF(INDEX(請求台帳!$T$5:$T$504,MATCH(F312,請求台帳!$A$5:$A$504,0))="取消","取消請求へ消込","消込済")))))</f>
        <v/>
      </c>
      <c r="J312" s="28"/>
      <c r="K312" s="28"/>
    </row>
    <row r="313" customFormat="false" ht="15" hidden="false" customHeight="false" outlineLevel="0" collapsed="false">
      <c r="A313" s="32" t="str">
        <f aca="false">IF(COUNTA(B313,D313,E313,F313)=0,"",ROW()-4)</f>
        <v/>
      </c>
      <c r="B313" s="22"/>
      <c r="C313" s="28"/>
      <c r="D313" s="28"/>
      <c r="E313" s="18"/>
      <c r="F313" s="28"/>
      <c r="G313" s="32" t="str">
        <f aca="false">IF(F313="","",IFERROR(INDEX(請求台帳!$D$5:$D$504,MATCH(F313,請求台帳!$A$5:$A$504,0)),""))</f>
        <v/>
      </c>
      <c r="H313" s="26" t="str">
        <f aca="false">IF(F313="","",IFERROR(INDEX(請求台帳!$I$5:$I$504,MATCH(F313,請求台帳!$A$5:$A$504,0)),""))</f>
        <v/>
      </c>
      <c r="I313" s="29" t="str">
        <f aca="false">IF(COUNTA(B313,D313,E313,F313)=0,"",IF(OR(B313="",E313=""),"要入力",IF(F313="","未消込",IF(ISNA(MATCH(F313,請求台帳!$A$5:$A$504,0)),"番号誤り",IF(INDEX(請求台帳!$T$5:$T$504,MATCH(F313,請求台帳!$A$5:$A$504,0))="取消","取消請求へ消込","消込済")))))</f>
        <v/>
      </c>
      <c r="J313" s="28"/>
      <c r="K313" s="28"/>
    </row>
    <row r="314" customFormat="false" ht="15" hidden="false" customHeight="false" outlineLevel="0" collapsed="false">
      <c r="A314" s="32" t="str">
        <f aca="false">IF(COUNTA(B314,D314,E314,F314)=0,"",ROW()-4)</f>
        <v/>
      </c>
      <c r="B314" s="22"/>
      <c r="C314" s="28"/>
      <c r="D314" s="28"/>
      <c r="E314" s="18"/>
      <c r="F314" s="28"/>
      <c r="G314" s="32" t="str">
        <f aca="false">IF(F314="","",IFERROR(INDEX(請求台帳!$D$5:$D$504,MATCH(F314,請求台帳!$A$5:$A$504,0)),""))</f>
        <v/>
      </c>
      <c r="H314" s="26" t="str">
        <f aca="false">IF(F314="","",IFERROR(INDEX(請求台帳!$I$5:$I$504,MATCH(F314,請求台帳!$A$5:$A$504,0)),""))</f>
        <v/>
      </c>
      <c r="I314" s="29" t="str">
        <f aca="false">IF(COUNTA(B314,D314,E314,F314)=0,"",IF(OR(B314="",E314=""),"要入力",IF(F314="","未消込",IF(ISNA(MATCH(F314,請求台帳!$A$5:$A$504,0)),"番号誤り",IF(INDEX(請求台帳!$T$5:$T$504,MATCH(F314,請求台帳!$A$5:$A$504,0))="取消","取消請求へ消込","消込済")))))</f>
        <v/>
      </c>
      <c r="J314" s="28"/>
      <c r="K314" s="28"/>
    </row>
    <row r="315" customFormat="false" ht="15" hidden="false" customHeight="false" outlineLevel="0" collapsed="false">
      <c r="A315" s="32" t="str">
        <f aca="false">IF(COUNTA(B315,D315,E315,F315)=0,"",ROW()-4)</f>
        <v/>
      </c>
      <c r="B315" s="22"/>
      <c r="C315" s="28"/>
      <c r="D315" s="28"/>
      <c r="E315" s="18"/>
      <c r="F315" s="28"/>
      <c r="G315" s="32" t="str">
        <f aca="false">IF(F315="","",IFERROR(INDEX(請求台帳!$D$5:$D$504,MATCH(F315,請求台帳!$A$5:$A$504,0)),""))</f>
        <v/>
      </c>
      <c r="H315" s="26" t="str">
        <f aca="false">IF(F315="","",IFERROR(INDEX(請求台帳!$I$5:$I$504,MATCH(F315,請求台帳!$A$5:$A$504,0)),""))</f>
        <v/>
      </c>
      <c r="I315" s="29" t="str">
        <f aca="false">IF(COUNTA(B315,D315,E315,F315)=0,"",IF(OR(B315="",E315=""),"要入力",IF(F315="","未消込",IF(ISNA(MATCH(F315,請求台帳!$A$5:$A$504,0)),"番号誤り",IF(INDEX(請求台帳!$T$5:$T$504,MATCH(F315,請求台帳!$A$5:$A$504,0))="取消","取消請求へ消込","消込済")))))</f>
        <v/>
      </c>
      <c r="J315" s="28"/>
      <c r="K315" s="28"/>
    </row>
    <row r="316" customFormat="false" ht="15" hidden="false" customHeight="false" outlineLevel="0" collapsed="false">
      <c r="A316" s="32" t="str">
        <f aca="false">IF(COUNTA(B316,D316,E316,F316)=0,"",ROW()-4)</f>
        <v/>
      </c>
      <c r="B316" s="22"/>
      <c r="C316" s="28"/>
      <c r="D316" s="28"/>
      <c r="E316" s="18"/>
      <c r="F316" s="28"/>
      <c r="G316" s="32" t="str">
        <f aca="false">IF(F316="","",IFERROR(INDEX(請求台帳!$D$5:$D$504,MATCH(F316,請求台帳!$A$5:$A$504,0)),""))</f>
        <v/>
      </c>
      <c r="H316" s="26" t="str">
        <f aca="false">IF(F316="","",IFERROR(INDEX(請求台帳!$I$5:$I$504,MATCH(F316,請求台帳!$A$5:$A$504,0)),""))</f>
        <v/>
      </c>
      <c r="I316" s="29" t="str">
        <f aca="false">IF(COUNTA(B316,D316,E316,F316)=0,"",IF(OR(B316="",E316=""),"要入力",IF(F316="","未消込",IF(ISNA(MATCH(F316,請求台帳!$A$5:$A$504,0)),"番号誤り",IF(INDEX(請求台帳!$T$5:$T$504,MATCH(F316,請求台帳!$A$5:$A$504,0))="取消","取消請求へ消込","消込済")))))</f>
        <v/>
      </c>
      <c r="J316" s="28"/>
      <c r="K316" s="28"/>
    </row>
    <row r="317" customFormat="false" ht="15" hidden="false" customHeight="false" outlineLevel="0" collapsed="false">
      <c r="A317" s="32" t="str">
        <f aca="false">IF(COUNTA(B317,D317,E317,F317)=0,"",ROW()-4)</f>
        <v/>
      </c>
      <c r="B317" s="22"/>
      <c r="C317" s="28"/>
      <c r="D317" s="28"/>
      <c r="E317" s="18"/>
      <c r="F317" s="28"/>
      <c r="G317" s="32" t="str">
        <f aca="false">IF(F317="","",IFERROR(INDEX(請求台帳!$D$5:$D$504,MATCH(F317,請求台帳!$A$5:$A$504,0)),""))</f>
        <v/>
      </c>
      <c r="H317" s="26" t="str">
        <f aca="false">IF(F317="","",IFERROR(INDEX(請求台帳!$I$5:$I$504,MATCH(F317,請求台帳!$A$5:$A$504,0)),""))</f>
        <v/>
      </c>
      <c r="I317" s="29" t="str">
        <f aca="false">IF(COUNTA(B317,D317,E317,F317)=0,"",IF(OR(B317="",E317=""),"要入力",IF(F317="","未消込",IF(ISNA(MATCH(F317,請求台帳!$A$5:$A$504,0)),"番号誤り",IF(INDEX(請求台帳!$T$5:$T$504,MATCH(F317,請求台帳!$A$5:$A$504,0))="取消","取消請求へ消込","消込済")))))</f>
        <v/>
      </c>
      <c r="J317" s="28"/>
      <c r="K317" s="28"/>
    </row>
    <row r="318" customFormat="false" ht="15" hidden="false" customHeight="false" outlineLevel="0" collapsed="false">
      <c r="A318" s="32" t="str">
        <f aca="false">IF(COUNTA(B318,D318,E318,F318)=0,"",ROW()-4)</f>
        <v/>
      </c>
      <c r="B318" s="22"/>
      <c r="C318" s="28"/>
      <c r="D318" s="28"/>
      <c r="E318" s="18"/>
      <c r="F318" s="28"/>
      <c r="G318" s="32" t="str">
        <f aca="false">IF(F318="","",IFERROR(INDEX(請求台帳!$D$5:$D$504,MATCH(F318,請求台帳!$A$5:$A$504,0)),""))</f>
        <v/>
      </c>
      <c r="H318" s="26" t="str">
        <f aca="false">IF(F318="","",IFERROR(INDEX(請求台帳!$I$5:$I$504,MATCH(F318,請求台帳!$A$5:$A$504,0)),""))</f>
        <v/>
      </c>
      <c r="I318" s="29" t="str">
        <f aca="false">IF(COUNTA(B318,D318,E318,F318)=0,"",IF(OR(B318="",E318=""),"要入力",IF(F318="","未消込",IF(ISNA(MATCH(F318,請求台帳!$A$5:$A$504,0)),"番号誤り",IF(INDEX(請求台帳!$T$5:$T$504,MATCH(F318,請求台帳!$A$5:$A$504,0))="取消","取消請求へ消込","消込済")))))</f>
        <v/>
      </c>
      <c r="J318" s="28"/>
      <c r="K318" s="28"/>
    </row>
    <row r="319" customFormat="false" ht="15" hidden="false" customHeight="false" outlineLevel="0" collapsed="false">
      <c r="A319" s="32" t="str">
        <f aca="false">IF(COUNTA(B319,D319,E319,F319)=0,"",ROW()-4)</f>
        <v/>
      </c>
      <c r="B319" s="22"/>
      <c r="C319" s="28"/>
      <c r="D319" s="28"/>
      <c r="E319" s="18"/>
      <c r="F319" s="28"/>
      <c r="G319" s="32" t="str">
        <f aca="false">IF(F319="","",IFERROR(INDEX(請求台帳!$D$5:$D$504,MATCH(F319,請求台帳!$A$5:$A$504,0)),""))</f>
        <v/>
      </c>
      <c r="H319" s="26" t="str">
        <f aca="false">IF(F319="","",IFERROR(INDEX(請求台帳!$I$5:$I$504,MATCH(F319,請求台帳!$A$5:$A$504,0)),""))</f>
        <v/>
      </c>
      <c r="I319" s="29" t="str">
        <f aca="false">IF(COUNTA(B319,D319,E319,F319)=0,"",IF(OR(B319="",E319=""),"要入力",IF(F319="","未消込",IF(ISNA(MATCH(F319,請求台帳!$A$5:$A$504,0)),"番号誤り",IF(INDEX(請求台帳!$T$5:$T$504,MATCH(F319,請求台帳!$A$5:$A$504,0))="取消","取消請求へ消込","消込済")))))</f>
        <v/>
      </c>
      <c r="J319" s="28"/>
      <c r="K319" s="28"/>
    </row>
    <row r="320" customFormat="false" ht="15" hidden="false" customHeight="false" outlineLevel="0" collapsed="false">
      <c r="A320" s="32" t="str">
        <f aca="false">IF(COUNTA(B320,D320,E320,F320)=0,"",ROW()-4)</f>
        <v/>
      </c>
      <c r="B320" s="22"/>
      <c r="C320" s="28"/>
      <c r="D320" s="28"/>
      <c r="E320" s="18"/>
      <c r="F320" s="28"/>
      <c r="G320" s="32" t="str">
        <f aca="false">IF(F320="","",IFERROR(INDEX(請求台帳!$D$5:$D$504,MATCH(F320,請求台帳!$A$5:$A$504,0)),""))</f>
        <v/>
      </c>
      <c r="H320" s="26" t="str">
        <f aca="false">IF(F320="","",IFERROR(INDEX(請求台帳!$I$5:$I$504,MATCH(F320,請求台帳!$A$5:$A$504,0)),""))</f>
        <v/>
      </c>
      <c r="I320" s="29" t="str">
        <f aca="false">IF(COUNTA(B320,D320,E320,F320)=0,"",IF(OR(B320="",E320=""),"要入力",IF(F320="","未消込",IF(ISNA(MATCH(F320,請求台帳!$A$5:$A$504,0)),"番号誤り",IF(INDEX(請求台帳!$T$5:$T$504,MATCH(F320,請求台帳!$A$5:$A$504,0))="取消","取消請求へ消込","消込済")))))</f>
        <v/>
      </c>
      <c r="J320" s="28"/>
      <c r="K320" s="28"/>
    </row>
    <row r="321" customFormat="false" ht="15" hidden="false" customHeight="false" outlineLevel="0" collapsed="false">
      <c r="A321" s="32" t="str">
        <f aca="false">IF(COUNTA(B321,D321,E321,F321)=0,"",ROW()-4)</f>
        <v/>
      </c>
      <c r="B321" s="22"/>
      <c r="C321" s="28"/>
      <c r="D321" s="28"/>
      <c r="E321" s="18"/>
      <c r="F321" s="28"/>
      <c r="G321" s="32" t="str">
        <f aca="false">IF(F321="","",IFERROR(INDEX(請求台帳!$D$5:$D$504,MATCH(F321,請求台帳!$A$5:$A$504,0)),""))</f>
        <v/>
      </c>
      <c r="H321" s="26" t="str">
        <f aca="false">IF(F321="","",IFERROR(INDEX(請求台帳!$I$5:$I$504,MATCH(F321,請求台帳!$A$5:$A$504,0)),""))</f>
        <v/>
      </c>
      <c r="I321" s="29" t="str">
        <f aca="false">IF(COUNTA(B321,D321,E321,F321)=0,"",IF(OR(B321="",E321=""),"要入力",IF(F321="","未消込",IF(ISNA(MATCH(F321,請求台帳!$A$5:$A$504,0)),"番号誤り",IF(INDEX(請求台帳!$T$5:$T$504,MATCH(F321,請求台帳!$A$5:$A$504,0))="取消","取消請求へ消込","消込済")))))</f>
        <v/>
      </c>
      <c r="J321" s="28"/>
      <c r="K321" s="28"/>
    </row>
    <row r="322" customFormat="false" ht="15" hidden="false" customHeight="false" outlineLevel="0" collapsed="false">
      <c r="A322" s="32" t="str">
        <f aca="false">IF(COUNTA(B322,D322,E322,F322)=0,"",ROW()-4)</f>
        <v/>
      </c>
      <c r="B322" s="22"/>
      <c r="C322" s="28"/>
      <c r="D322" s="28"/>
      <c r="E322" s="18"/>
      <c r="F322" s="28"/>
      <c r="G322" s="32" t="str">
        <f aca="false">IF(F322="","",IFERROR(INDEX(請求台帳!$D$5:$D$504,MATCH(F322,請求台帳!$A$5:$A$504,0)),""))</f>
        <v/>
      </c>
      <c r="H322" s="26" t="str">
        <f aca="false">IF(F322="","",IFERROR(INDEX(請求台帳!$I$5:$I$504,MATCH(F322,請求台帳!$A$5:$A$504,0)),""))</f>
        <v/>
      </c>
      <c r="I322" s="29" t="str">
        <f aca="false">IF(COUNTA(B322,D322,E322,F322)=0,"",IF(OR(B322="",E322=""),"要入力",IF(F322="","未消込",IF(ISNA(MATCH(F322,請求台帳!$A$5:$A$504,0)),"番号誤り",IF(INDEX(請求台帳!$T$5:$T$504,MATCH(F322,請求台帳!$A$5:$A$504,0))="取消","取消請求へ消込","消込済")))))</f>
        <v/>
      </c>
      <c r="J322" s="28"/>
      <c r="K322" s="28"/>
    </row>
    <row r="323" customFormat="false" ht="15" hidden="false" customHeight="false" outlineLevel="0" collapsed="false">
      <c r="A323" s="32" t="str">
        <f aca="false">IF(COUNTA(B323,D323,E323,F323)=0,"",ROW()-4)</f>
        <v/>
      </c>
      <c r="B323" s="22"/>
      <c r="C323" s="28"/>
      <c r="D323" s="28"/>
      <c r="E323" s="18"/>
      <c r="F323" s="28"/>
      <c r="G323" s="32" t="str">
        <f aca="false">IF(F323="","",IFERROR(INDEX(請求台帳!$D$5:$D$504,MATCH(F323,請求台帳!$A$5:$A$504,0)),""))</f>
        <v/>
      </c>
      <c r="H323" s="26" t="str">
        <f aca="false">IF(F323="","",IFERROR(INDEX(請求台帳!$I$5:$I$504,MATCH(F323,請求台帳!$A$5:$A$504,0)),""))</f>
        <v/>
      </c>
      <c r="I323" s="29" t="str">
        <f aca="false">IF(COUNTA(B323,D323,E323,F323)=0,"",IF(OR(B323="",E323=""),"要入力",IF(F323="","未消込",IF(ISNA(MATCH(F323,請求台帳!$A$5:$A$504,0)),"番号誤り",IF(INDEX(請求台帳!$T$5:$T$504,MATCH(F323,請求台帳!$A$5:$A$504,0))="取消","取消請求へ消込","消込済")))))</f>
        <v/>
      </c>
      <c r="J323" s="28"/>
      <c r="K323" s="28"/>
    </row>
    <row r="324" customFormat="false" ht="15" hidden="false" customHeight="false" outlineLevel="0" collapsed="false">
      <c r="A324" s="32" t="str">
        <f aca="false">IF(COUNTA(B324,D324,E324,F324)=0,"",ROW()-4)</f>
        <v/>
      </c>
      <c r="B324" s="22"/>
      <c r="C324" s="28"/>
      <c r="D324" s="28"/>
      <c r="E324" s="18"/>
      <c r="F324" s="28"/>
      <c r="G324" s="32" t="str">
        <f aca="false">IF(F324="","",IFERROR(INDEX(請求台帳!$D$5:$D$504,MATCH(F324,請求台帳!$A$5:$A$504,0)),""))</f>
        <v/>
      </c>
      <c r="H324" s="26" t="str">
        <f aca="false">IF(F324="","",IFERROR(INDEX(請求台帳!$I$5:$I$504,MATCH(F324,請求台帳!$A$5:$A$504,0)),""))</f>
        <v/>
      </c>
      <c r="I324" s="29" t="str">
        <f aca="false">IF(COUNTA(B324,D324,E324,F324)=0,"",IF(OR(B324="",E324=""),"要入力",IF(F324="","未消込",IF(ISNA(MATCH(F324,請求台帳!$A$5:$A$504,0)),"番号誤り",IF(INDEX(請求台帳!$T$5:$T$504,MATCH(F324,請求台帳!$A$5:$A$504,0))="取消","取消請求へ消込","消込済")))))</f>
        <v/>
      </c>
      <c r="J324" s="28"/>
      <c r="K324" s="28"/>
    </row>
    <row r="325" customFormat="false" ht="15" hidden="false" customHeight="false" outlineLevel="0" collapsed="false">
      <c r="A325" s="32" t="str">
        <f aca="false">IF(COUNTA(B325,D325,E325,F325)=0,"",ROW()-4)</f>
        <v/>
      </c>
      <c r="B325" s="22"/>
      <c r="C325" s="28"/>
      <c r="D325" s="28"/>
      <c r="E325" s="18"/>
      <c r="F325" s="28"/>
      <c r="G325" s="32" t="str">
        <f aca="false">IF(F325="","",IFERROR(INDEX(請求台帳!$D$5:$D$504,MATCH(F325,請求台帳!$A$5:$A$504,0)),""))</f>
        <v/>
      </c>
      <c r="H325" s="26" t="str">
        <f aca="false">IF(F325="","",IFERROR(INDEX(請求台帳!$I$5:$I$504,MATCH(F325,請求台帳!$A$5:$A$504,0)),""))</f>
        <v/>
      </c>
      <c r="I325" s="29" t="str">
        <f aca="false">IF(COUNTA(B325,D325,E325,F325)=0,"",IF(OR(B325="",E325=""),"要入力",IF(F325="","未消込",IF(ISNA(MATCH(F325,請求台帳!$A$5:$A$504,0)),"番号誤り",IF(INDEX(請求台帳!$T$5:$T$504,MATCH(F325,請求台帳!$A$5:$A$504,0))="取消","取消請求へ消込","消込済")))))</f>
        <v/>
      </c>
      <c r="J325" s="28"/>
      <c r="K325" s="28"/>
    </row>
    <row r="326" customFormat="false" ht="15" hidden="false" customHeight="false" outlineLevel="0" collapsed="false">
      <c r="A326" s="32" t="str">
        <f aca="false">IF(COUNTA(B326,D326,E326,F326)=0,"",ROW()-4)</f>
        <v/>
      </c>
      <c r="B326" s="22"/>
      <c r="C326" s="28"/>
      <c r="D326" s="28"/>
      <c r="E326" s="18"/>
      <c r="F326" s="28"/>
      <c r="G326" s="32" t="str">
        <f aca="false">IF(F326="","",IFERROR(INDEX(請求台帳!$D$5:$D$504,MATCH(F326,請求台帳!$A$5:$A$504,0)),""))</f>
        <v/>
      </c>
      <c r="H326" s="26" t="str">
        <f aca="false">IF(F326="","",IFERROR(INDEX(請求台帳!$I$5:$I$504,MATCH(F326,請求台帳!$A$5:$A$504,0)),""))</f>
        <v/>
      </c>
      <c r="I326" s="29" t="str">
        <f aca="false">IF(COUNTA(B326,D326,E326,F326)=0,"",IF(OR(B326="",E326=""),"要入力",IF(F326="","未消込",IF(ISNA(MATCH(F326,請求台帳!$A$5:$A$504,0)),"番号誤り",IF(INDEX(請求台帳!$T$5:$T$504,MATCH(F326,請求台帳!$A$5:$A$504,0))="取消","取消請求へ消込","消込済")))))</f>
        <v/>
      </c>
      <c r="J326" s="28"/>
      <c r="K326" s="28"/>
    </row>
    <row r="327" customFormat="false" ht="15" hidden="false" customHeight="false" outlineLevel="0" collapsed="false">
      <c r="A327" s="32" t="str">
        <f aca="false">IF(COUNTA(B327,D327,E327,F327)=0,"",ROW()-4)</f>
        <v/>
      </c>
      <c r="B327" s="22"/>
      <c r="C327" s="28"/>
      <c r="D327" s="28"/>
      <c r="E327" s="18"/>
      <c r="F327" s="28"/>
      <c r="G327" s="32" t="str">
        <f aca="false">IF(F327="","",IFERROR(INDEX(請求台帳!$D$5:$D$504,MATCH(F327,請求台帳!$A$5:$A$504,0)),""))</f>
        <v/>
      </c>
      <c r="H327" s="26" t="str">
        <f aca="false">IF(F327="","",IFERROR(INDEX(請求台帳!$I$5:$I$504,MATCH(F327,請求台帳!$A$5:$A$504,0)),""))</f>
        <v/>
      </c>
      <c r="I327" s="29" t="str">
        <f aca="false">IF(COUNTA(B327,D327,E327,F327)=0,"",IF(OR(B327="",E327=""),"要入力",IF(F327="","未消込",IF(ISNA(MATCH(F327,請求台帳!$A$5:$A$504,0)),"番号誤り",IF(INDEX(請求台帳!$T$5:$T$504,MATCH(F327,請求台帳!$A$5:$A$504,0))="取消","取消請求へ消込","消込済")))))</f>
        <v/>
      </c>
      <c r="J327" s="28"/>
      <c r="K327" s="28"/>
    </row>
    <row r="328" customFormat="false" ht="15" hidden="false" customHeight="false" outlineLevel="0" collapsed="false">
      <c r="A328" s="32" t="str">
        <f aca="false">IF(COUNTA(B328,D328,E328,F328)=0,"",ROW()-4)</f>
        <v/>
      </c>
      <c r="B328" s="22"/>
      <c r="C328" s="28"/>
      <c r="D328" s="28"/>
      <c r="E328" s="18"/>
      <c r="F328" s="28"/>
      <c r="G328" s="32" t="str">
        <f aca="false">IF(F328="","",IFERROR(INDEX(請求台帳!$D$5:$D$504,MATCH(F328,請求台帳!$A$5:$A$504,0)),""))</f>
        <v/>
      </c>
      <c r="H328" s="26" t="str">
        <f aca="false">IF(F328="","",IFERROR(INDEX(請求台帳!$I$5:$I$504,MATCH(F328,請求台帳!$A$5:$A$504,0)),""))</f>
        <v/>
      </c>
      <c r="I328" s="29" t="str">
        <f aca="false">IF(COUNTA(B328,D328,E328,F328)=0,"",IF(OR(B328="",E328=""),"要入力",IF(F328="","未消込",IF(ISNA(MATCH(F328,請求台帳!$A$5:$A$504,0)),"番号誤り",IF(INDEX(請求台帳!$T$5:$T$504,MATCH(F328,請求台帳!$A$5:$A$504,0))="取消","取消請求へ消込","消込済")))))</f>
        <v/>
      </c>
      <c r="J328" s="28"/>
      <c r="K328" s="28"/>
    </row>
    <row r="329" customFormat="false" ht="15" hidden="false" customHeight="false" outlineLevel="0" collapsed="false">
      <c r="A329" s="32" t="str">
        <f aca="false">IF(COUNTA(B329,D329,E329,F329)=0,"",ROW()-4)</f>
        <v/>
      </c>
      <c r="B329" s="22"/>
      <c r="C329" s="28"/>
      <c r="D329" s="28"/>
      <c r="E329" s="18"/>
      <c r="F329" s="28"/>
      <c r="G329" s="32" t="str">
        <f aca="false">IF(F329="","",IFERROR(INDEX(請求台帳!$D$5:$D$504,MATCH(F329,請求台帳!$A$5:$A$504,0)),""))</f>
        <v/>
      </c>
      <c r="H329" s="26" t="str">
        <f aca="false">IF(F329="","",IFERROR(INDEX(請求台帳!$I$5:$I$504,MATCH(F329,請求台帳!$A$5:$A$504,0)),""))</f>
        <v/>
      </c>
      <c r="I329" s="29" t="str">
        <f aca="false">IF(COUNTA(B329,D329,E329,F329)=0,"",IF(OR(B329="",E329=""),"要入力",IF(F329="","未消込",IF(ISNA(MATCH(F329,請求台帳!$A$5:$A$504,0)),"番号誤り",IF(INDEX(請求台帳!$T$5:$T$504,MATCH(F329,請求台帳!$A$5:$A$504,0))="取消","取消請求へ消込","消込済")))))</f>
        <v/>
      </c>
      <c r="J329" s="28"/>
      <c r="K329" s="28"/>
    </row>
    <row r="330" customFormat="false" ht="15" hidden="false" customHeight="false" outlineLevel="0" collapsed="false">
      <c r="A330" s="32" t="str">
        <f aca="false">IF(COUNTA(B330,D330,E330,F330)=0,"",ROW()-4)</f>
        <v/>
      </c>
      <c r="B330" s="22"/>
      <c r="C330" s="28"/>
      <c r="D330" s="28"/>
      <c r="E330" s="18"/>
      <c r="F330" s="28"/>
      <c r="G330" s="32" t="str">
        <f aca="false">IF(F330="","",IFERROR(INDEX(請求台帳!$D$5:$D$504,MATCH(F330,請求台帳!$A$5:$A$504,0)),""))</f>
        <v/>
      </c>
      <c r="H330" s="26" t="str">
        <f aca="false">IF(F330="","",IFERROR(INDEX(請求台帳!$I$5:$I$504,MATCH(F330,請求台帳!$A$5:$A$504,0)),""))</f>
        <v/>
      </c>
      <c r="I330" s="29" t="str">
        <f aca="false">IF(COUNTA(B330,D330,E330,F330)=0,"",IF(OR(B330="",E330=""),"要入力",IF(F330="","未消込",IF(ISNA(MATCH(F330,請求台帳!$A$5:$A$504,0)),"番号誤り",IF(INDEX(請求台帳!$T$5:$T$504,MATCH(F330,請求台帳!$A$5:$A$504,0))="取消","取消請求へ消込","消込済")))))</f>
        <v/>
      </c>
      <c r="J330" s="28"/>
      <c r="K330" s="28"/>
    </row>
    <row r="331" customFormat="false" ht="15" hidden="false" customHeight="false" outlineLevel="0" collapsed="false">
      <c r="A331" s="32" t="str">
        <f aca="false">IF(COUNTA(B331,D331,E331,F331)=0,"",ROW()-4)</f>
        <v/>
      </c>
      <c r="B331" s="22"/>
      <c r="C331" s="28"/>
      <c r="D331" s="28"/>
      <c r="E331" s="18"/>
      <c r="F331" s="28"/>
      <c r="G331" s="32" t="str">
        <f aca="false">IF(F331="","",IFERROR(INDEX(請求台帳!$D$5:$D$504,MATCH(F331,請求台帳!$A$5:$A$504,0)),""))</f>
        <v/>
      </c>
      <c r="H331" s="26" t="str">
        <f aca="false">IF(F331="","",IFERROR(INDEX(請求台帳!$I$5:$I$504,MATCH(F331,請求台帳!$A$5:$A$504,0)),""))</f>
        <v/>
      </c>
      <c r="I331" s="29" t="str">
        <f aca="false">IF(COUNTA(B331,D331,E331,F331)=0,"",IF(OR(B331="",E331=""),"要入力",IF(F331="","未消込",IF(ISNA(MATCH(F331,請求台帳!$A$5:$A$504,0)),"番号誤り",IF(INDEX(請求台帳!$T$5:$T$504,MATCH(F331,請求台帳!$A$5:$A$504,0))="取消","取消請求へ消込","消込済")))))</f>
        <v/>
      </c>
      <c r="J331" s="28"/>
      <c r="K331" s="28"/>
    </row>
    <row r="332" customFormat="false" ht="15" hidden="false" customHeight="false" outlineLevel="0" collapsed="false">
      <c r="A332" s="32" t="str">
        <f aca="false">IF(COUNTA(B332,D332,E332,F332)=0,"",ROW()-4)</f>
        <v/>
      </c>
      <c r="B332" s="22"/>
      <c r="C332" s="28"/>
      <c r="D332" s="28"/>
      <c r="E332" s="18"/>
      <c r="F332" s="28"/>
      <c r="G332" s="32" t="str">
        <f aca="false">IF(F332="","",IFERROR(INDEX(請求台帳!$D$5:$D$504,MATCH(F332,請求台帳!$A$5:$A$504,0)),""))</f>
        <v/>
      </c>
      <c r="H332" s="26" t="str">
        <f aca="false">IF(F332="","",IFERROR(INDEX(請求台帳!$I$5:$I$504,MATCH(F332,請求台帳!$A$5:$A$504,0)),""))</f>
        <v/>
      </c>
      <c r="I332" s="29" t="str">
        <f aca="false">IF(COUNTA(B332,D332,E332,F332)=0,"",IF(OR(B332="",E332=""),"要入力",IF(F332="","未消込",IF(ISNA(MATCH(F332,請求台帳!$A$5:$A$504,0)),"番号誤り",IF(INDEX(請求台帳!$T$5:$T$504,MATCH(F332,請求台帳!$A$5:$A$504,0))="取消","取消請求へ消込","消込済")))))</f>
        <v/>
      </c>
      <c r="J332" s="28"/>
      <c r="K332" s="28"/>
    </row>
    <row r="333" customFormat="false" ht="15" hidden="false" customHeight="false" outlineLevel="0" collapsed="false">
      <c r="A333" s="32" t="str">
        <f aca="false">IF(COUNTA(B333,D333,E333,F333)=0,"",ROW()-4)</f>
        <v/>
      </c>
      <c r="B333" s="22"/>
      <c r="C333" s="28"/>
      <c r="D333" s="28"/>
      <c r="E333" s="18"/>
      <c r="F333" s="28"/>
      <c r="G333" s="32" t="str">
        <f aca="false">IF(F333="","",IFERROR(INDEX(請求台帳!$D$5:$D$504,MATCH(F333,請求台帳!$A$5:$A$504,0)),""))</f>
        <v/>
      </c>
      <c r="H333" s="26" t="str">
        <f aca="false">IF(F333="","",IFERROR(INDEX(請求台帳!$I$5:$I$504,MATCH(F333,請求台帳!$A$5:$A$504,0)),""))</f>
        <v/>
      </c>
      <c r="I333" s="29" t="str">
        <f aca="false">IF(COUNTA(B333,D333,E333,F333)=0,"",IF(OR(B333="",E333=""),"要入力",IF(F333="","未消込",IF(ISNA(MATCH(F333,請求台帳!$A$5:$A$504,0)),"番号誤り",IF(INDEX(請求台帳!$T$5:$T$504,MATCH(F333,請求台帳!$A$5:$A$504,0))="取消","取消請求へ消込","消込済")))))</f>
        <v/>
      </c>
      <c r="J333" s="28"/>
      <c r="K333" s="28"/>
    </row>
    <row r="334" customFormat="false" ht="15" hidden="false" customHeight="false" outlineLevel="0" collapsed="false">
      <c r="A334" s="32" t="str">
        <f aca="false">IF(COUNTA(B334,D334,E334,F334)=0,"",ROW()-4)</f>
        <v/>
      </c>
      <c r="B334" s="22"/>
      <c r="C334" s="28"/>
      <c r="D334" s="28"/>
      <c r="E334" s="18"/>
      <c r="F334" s="28"/>
      <c r="G334" s="32" t="str">
        <f aca="false">IF(F334="","",IFERROR(INDEX(請求台帳!$D$5:$D$504,MATCH(F334,請求台帳!$A$5:$A$504,0)),""))</f>
        <v/>
      </c>
      <c r="H334" s="26" t="str">
        <f aca="false">IF(F334="","",IFERROR(INDEX(請求台帳!$I$5:$I$504,MATCH(F334,請求台帳!$A$5:$A$504,0)),""))</f>
        <v/>
      </c>
      <c r="I334" s="29" t="str">
        <f aca="false">IF(COUNTA(B334,D334,E334,F334)=0,"",IF(OR(B334="",E334=""),"要入力",IF(F334="","未消込",IF(ISNA(MATCH(F334,請求台帳!$A$5:$A$504,0)),"番号誤り",IF(INDEX(請求台帳!$T$5:$T$504,MATCH(F334,請求台帳!$A$5:$A$504,0))="取消","取消請求へ消込","消込済")))))</f>
        <v/>
      </c>
      <c r="J334" s="28"/>
      <c r="K334" s="28"/>
    </row>
    <row r="335" customFormat="false" ht="15" hidden="false" customHeight="false" outlineLevel="0" collapsed="false">
      <c r="A335" s="32" t="str">
        <f aca="false">IF(COUNTA(B335,D335,E335,F335)=0,"",ROW()-4)</f>
        <v/>
      </c>
      <c r="B335" s="22"/>
      <c r="C335" s="28"/>
      <c r="D335" s="28"/>
      <c r="E335" s="18"/>
      <c r="F335" s="28"/>
      <c r="G335" s="32" t="str">
        <f aca="false">IF(F335="","",IFERROR(INDEX(請求台帳!$D$5:$D$504,MATCH(F335,請求台帳!$A$5:$A$504,0)),""))</f>
        <v/>
      </c>
      <c r="H335" s="26" t="str">
        <f aca="false">IF(F335="","",IFERROR(INDEX(請求台帳!$I$5:$I$504,MATCH(F335,請求台帳!$A$5:$A$504,0)),""))</f>
        <v/>
      </c>
      <c r="I335" s="29" t="str">
        <f aca="false">IF(COUNTA(B335,D335,E335,F335)=0,"",IF(OR(B335="",E335=""),"要入力",IF(F335="","未消込",IF(ISNA(MATCH(F335,請求台帳!$A$5:$A$504,0)),"番号誤り",IF(INDEX(請求台帳!$T$5:$T$504,MATCH(F335,請求台帳!$A$5:$A$504,0))="取消","取消請求へ消込","消込済")))))</f>
        <v/>
      </c>
      <c r="J335" s="28"/>
      <c r="K335" s="28"/>
    </row>
    <row r="336" customFormat="false" ht="15" hidden="false" customHeight="false" outlineLevel="0" collapsed="false">
      <c r="A336" s="32" t="str">
        <f aca="false">IF(COUNTA(B336,D336,E336,F336)=0,"",ROW()-4)</f>
        <v/>
      </c>
      <c r="B336" s="22"/>
      <c r="C336" s="28"/>
      <c r="D336" s="28"/>
      <c r="E336" s="18"/>
      <c r="F336" s="28"/>
      <c r="G336" s="32" t="str">
        <f aca="false">IF(F336="","",IFERROR(INDEX(請求台帳!$D$5:$D$504,MATCH(F336,請求台帳!$A$5:$A$504,0)),""))</f>
        <v/>
      </c>
      <c r="H336" s="26" t="str">
        <f aca="false">IF(F336="","",IFERROR(INDEX(請求台帳!$I$5:$I$504,MATCH(F336,請求台帳!$A$5:$A$504,0)),""))</f>
        <v/>
      </c>
      <c r="I336" s="29" t="str">
        <f aca="false">IF(COUNTA(B336,D336,E336,F336)=0,"",IF(OR(B336="",E336=""),"要入力",IF(F336="","未消込",IF(ISNA(MATCH(F336,請求台帳!$A$5:$A$504,0)),"番号誤り",IF(INDEX(請求台帳!$T$5:$T$504,MATCH(F336,請求台帳!$A$5:$A$504,0))="取消","取消請求へ消込","消込済")))))</f>
        <v/>
      </c>
      <c r="J336" s="28"/>
      <c r="K336" s="28"/>
    </row>
    <row r="337" customFormat="false" ht="15" hidden="false" customHeight="false" outlineLevel="0" collapsed="false">
      <c r="A337" s="32" t="str">
        <f aca="false">IF(COUNTA(B337,D337,E337,F337)=0,"",ROW()-4)</f>
        <v/>
      </c>
      <c r="B337" s="22"/>
      <c r="C337" s="28"/>
      <c r="D337" s="28"/>
      <c r="E337" s="18"/>
      <c r="F337" s="28"/>
      <c r="G337" s="32" t="str">
        <f aca="false">IF(F337="","",IFERROR(INDEX(請求台帳!$D$5:$D$504,MATCH(F337,請求台帳!$A$5:$A$504,0)),""))</f>
        <v/>
      </c>
      <c r="H337" s="26" t="str">
        <f aca="false">IF(F337="","",IFERROR(INDEX(請求台帳!$I$5:$I$504,MATCH(F337,請求台帳!$A$5:$A$504,0)),""))</f>
        <v/>
      </c>
      <c r="I337" s="29" t="str">
        <f aca="false">IF(COUNTA(B337,D337,E337,F337)=0,"",IF(OR(B337="",E337=""),"要入力",IF(F337="","未消込",IF(ISNA(MATCH(F337,請求台帳!$A$5:$A$504,0)),"番号誤り",IF(INDEX(請求台帳!$T$5:$T$504,MATCH(F337,請求台帳!$A$5:$A$504,0))="取消","取消請求へ消込","消込済")))))</f>
        <v/>
      </c>
      <c r="J337" s="28"/>
      <c r="K337" s="28"/>
    </row>
    <row r="338" customFormat="false" ht="15" hidden="false" customHeight="false" outlineLevel="0" collapsed="false">
      <c r="A338" s="32" t="str">
        <f aca="false">IF(COUNTA(B338,D338,E338,F338)=0,"",ROW()-4)</f>
        <v/>
      </c>
      <c r="B338" s="22"/>
      <c r="C338" s="28"/>
      <c r="D338" s="28"/>
      <c r="E338" s="18"/>
      <c r="F338" s="28"/>
      <c r="G338" s="32" t="str">
        <f aca="false">IF(F338="","",IFERROR(INDEX(請求台帳!$D$5:$D$504,MATCH(F338,請求台帳!$A$5:$A$504,0)),""))</f>
        <v/>
      </c>
      <c r="H338" s="26" t="str">
        <f aca="false">IF(F338="","",IFERROR(INDEX(請求台帳!$I$5:$I$504,MATCH(F338,請求台帳!$A$5:$A$504,0)),""))</f>
        <v/>
      </c>
      <c r="I338" s="29" t="str">
        <f aca="false">IF(COUNTA(B338,D338,E338,F338)=0,"",IF(OR(B338="",E338=""),"要入力",IF(F338="","未消込",IF(ISNA(MATCH(F338,請求台帳!$A$5:$A$504,0)),"番号誤り",IF(INDEX(請求台帳!$T$5:$T$504,MATCH(F338,請求台帳!$A$5:$A$504,0))="取消","取消請求へ消込","消込済")))))</f>
        <v/>
      </c>
      <c r="J338" s="28"/>
      <c r="K338" s="28"/>
    </row>
    <row r="339" customFormat="false" ht="15" hidden="false" customHeight="false" outlineLevel="0" collapsed="false">
      <c r="A339" s="32" t="str">
        <f aca="false">IF(COUNTA(B339,D339,E339,F339)=0,"",ROW()-4)</f>
        <v/>
      </c>
      <c r="B339" s="22"/>
      <c r="C339" s="28"/>
      <c r="D339" s="28"/>
      <c r="E339" s="18"/>
      <c r="F339" s="28"/>
      <c r="G339" s="32" t="str">
        <f aca="false">IF(F339="","",IFERROR(INDEX(請求台帳!$D$5:$D$504,MATCH(F339,請求台帳!$A$5:$A$504,0)),""))</f>
        <v/>
      </c>
      <c r="H339" s="26" t="str">
        <f aca="false">IF(F339="","",IFERROR(INDEX(請求台帳!$I$5:$I$504,MATCH(F339,請求台帳!$A$5:$A$504,0)),""))</f>
        <v/>
      </c>
      <c r="I339" s="29" t="str">
        <f aca="false">IF(COUNTA(B339,D339,E339,F339)=0,"",IF(OR(B339="",E339=""),"要入力",IF(F339="","未消込",IF(ISNA(MATCH(F339,請求台帳!$A$5:$A$504,0)),"番号誤り",IF(INDEX(請求台帳!$T$5:$T$504,MATCH(F339,請求台帳!$A$5:$A$504,0))="取消","取消請求へ消込","消込済")))))</f>
        <v/>
      </c>
      <c r="J339" s="28"/>
      <c r="K339" s="28"/>
    </row>
    <row r="340" customFormat="false" ht="15" hidden="false" customHeight="false" outlineLevel="0" collapsed="false">
      <c r="A340" s="32" t="str">
        <f aca="false">IF(COUNTA(B340,D340,E340,F340)=0,"",ROW()-4)</f>
        <v/>
      </c>
      <c r="B340" s="22"/>
      <c r="C340" s="28"/>
      <c r="D340" s="28"/>
      <c r="E340" s="18"/>
      <c r="F340" s="28"/>
      <c r="G340" s="32" t="str">
        <f aca="false">IF(F340="","",IFERROR(INDEX(請求台帳!$D$5:$D$504,MATCH(F340,請求台帳!$A$5:$A$504,0)),""))</f>
        <v/>
      </c>
      <c r="H340" s="26" t="str">
        <f aca="false">IF(F340="","",IFERROR(INDEX(請求台帳!$I$5:$I$504,MATCH(F340,請求台帳!$A$5:$A$504,0)),""))</f>
        <v/>
      </c>
      <c r="I340" s="29" t="str">
        <f aca="false">IF(COUNTA(B340,D340,E340,F340)=0,"",IF(OR(B340="",E340=""),"要入力",IF(F340="","未消込",IF(ISNA(MATCH(F340,請求台帳!$A$5:$A$504,0)),"番号誤り",IF(INDEX(請求台帳!$T$5:$T$504,MATCH(F340,請求台帳!$A$5:$A$504,0))="取消","取消請求へ消込","消込済")))))</f>
        <v/>
      </c>
      <c r="J340" s="28"/>
      <c r="K340" s="28"/>
    </row>
    <row r="341" customFormat="false" ht="15" hidden="false" customHeight="false" outlineLevel="0" collapsed="false">
      <c r="A341" s="32" t="str">
        <f aca="false">IF(COUNTA(B341,D341,E341,F341)=0,"",ROW()-4)</f>
        <v/>
      </c>
      <c r="B341" s="22"/>
      <c r="C341" s="28"/>
      <c r="D341" s="28"/>
      <c r="E341" s="18"/>
      <c r="F341" s="28"/>
      <c r="G341" s="32" t="str">
        <f aca="false">IF(F341="","",IFERROR(INDEX(請求台帳!$D$5:$D$504,MATCH(F341,請求台帳!$A$5:$A$504,0)),""))</f>
        <v/>
      </c>
      <c r="H341" s="26" t="str">
        <f aca="false">IF(F341="","",IFERROR(INDEX(請求台帳!$I$5:$I$504,MATCH(F341,請求台帳!$A$5:$A$504,0)),""))</f>
        <v/>
      </c>
      <c r="I341" s="29" t="str">
        <f aca="false">IF(COUNTA(B341,D341,E341,F341)=0,"",IF(OR(B341="",E341=""),"要入力",IF(F341="","未消込",IF(ISNA(MATCH(F341,請求台帳!$A$5:$A$504,0)),"番号誤り",IF(INDEX(請求台帳!$T$5:$T$504,MATCH(F341,請求台帳!$A$5:$A$504,0))="取消","取消請求へ消込","消込済")))))</f>
        <v/>
      </c>
      <c r="J341" s="28"/>
      <c r="K341" s="28"/>
    </row>
    <row r="342" customFormat="false" ht="15" hidden="false" customHeight="false" outlineLevel="0" collapsed="false">
      <c r="A342" s="32" t="str">
        <f aca="false">IF(COUNTA(B342,D342,E342,F342)=0,"",ROW()-4)</f>
        <v/>
      </c>
      <c r="B342" s="22"/>
      <c r="C342" s="28"/>
      <c r="D342" s="28"/>
      <c r="E342" s="18"/>
      <c r="F342" s="28"/>
      <c r="G342" s="32" t="str">
        <f aca="false">IF(F342="","",IFERROR(INDEX(請求台帳!$D$5:$D$504,MATCH(F342,請求台帳!$A$5:$A$504,0)),""))</f>
        <v/>
      </c>
      <c r="H342" s="26" t="str">
        <f aca="false">IF(F342="","",IFERROR(INDEX(請求台帳!$I$5:$I$504,MATCH(F342,請求台帳!$A$5:$A$504,0)),""))</f>
        <v/>
      </c>
      <c r="I342" s="29" t="str">
        <f aca="false">IF(COUNTA(B342,D342,E342,F342)=0,"",IF(OR(B342="",E342=""),"要入力",IF(F342="","未消込",IF(ISNA(MATCH(F342,請求台帳!$A$5:$A$504,0)),"番号誤り",IF(INDEX(請求台帳!$T$5:$T$504,MATCH(F342,請求台帳!$A$5:$A$504,0))="取消","取消請求へ消込","消込済")))))</f>
        <v/>
      </c>
      <c r="J342" s="28"/>
      <c r="K342" s="28"/>
    </row>
    <row r="343" customFormat="false" ht="15" hidden="false" customHeight="false" outlineLevel="0" collapsed="false">
      <c r="A343" s="32" t="str">
        <f aca="false">IF(COUNTA(B343,D343,E343,F343)=0,"",ROW()-4)</f>
        <v/>
      </c>
      <c r="B343" s="22"/>
      <c r="C343" s="28"/>
      <c r="D343" s="28"/>
      <c r="E343" s="18"/>
      <c r="F343" s="28"/>
      <c r="G343" s="32" t="str">
        <f aca="false">IF(F343="","",IFERROR(INDEX(請求台帳!$D$5:$D$504,MATCH(F343,請求台帳!$A$5:$A$504,0)),""))</f>
        <v/>
      </c>
      <c r="H343" s="26" t="str">
        <f aca="false">IF(F343="","",IFERROR(INDEX(請求台帳!$I$5:$I$504,MATCH(F343,請求台帳!$A$5:$A$504,0)),""))</f>
        <v/>
      </c>
      <c r="I343" s="29" t="str">
        <f aca="false">IF(COUNTA(B343,D343,E343,F343)=0,"",IF(OR(B343="",E343=""),"要入力",IF(F343="","未消込",IF(ISNA(MATCH(F343,請求台帳!$A$5:$A$504,0)),"番号誤り",IF(INDEX(請求台帳!$T$5:$T$504,MATCH(F343,請求台帳!$A$5:$A$504,0))="取消","取消請求へ消込","消込済")))))</f>
        <v/>
      </c>
      <c r="J343" s="28"/>
      <c r="K343" s="28"/>
    </row>
    <row r="344" customFormat="false" ht="15" hidden="false" customHeight="false" outlineLevel="0" collapsed="false">
      <c r="A344" s="32" t="str">
        <f aca="false">IF(COUNTA(B344,D344,E344,F344)=0,"",ROW()-4)</f>
        <v/>
      </c>
      <c r="B344" s="22"/>
      <c r="C344" s="28"/>
      <c r="D344" s="28"/>
      <c r="E344" s="18"/>
      <c r="F344" s="28"/>
      <c r="G344" s="32" t="str">
        <f aca="false">IF(F344="","",IFERROR(INDEX(請求台帳!$D$5:$D$504,MATCH(F344,請求台帳!$A$5:$A$504,0)),""))</f>
        <v/>
      </c>
      <c r="H344" s="26" t="str">
        <f aca="false">IF(F344="","",IFERROR(INDEX(請求台帳!$I$5:$I$504,MATCH(F344,請求台帳!$A$5:$A$504,0)),""))</f>
        <v/>
      </c>
      <c r="I344" s="29" t="str">
        <f aca="false">IF(COUNTA(B344,D344,E344,F344)=0,"",IF(OR(B344="",E344=""),"要入力",IF(F344="","未消込",IF(ISNA(MATCH(F344,請求台帳!$A$5:$A$504,0)),"番号誤り",IF(INDEX(請求台帳!$T$5:$T$504,MATCH(F344,請求台帳!$A$5:$A$504,0))="取消","取消請求へ消込","消込済")))))</f>
        <v/>
      </c>
      <c r="J344" s="28"/>
      <c r="K344" s="28"/>
    </row>
    <row r="345" customFormat="false" ht="15" hidden="false" customHeight="false" outlineLevel="0" collapsed="false">
      <c r="A345" s="32" t="str">
        <f aca="false">IF(COUNTA(B345,D345,E345,F345)=0,"",ROW()-4)</f>
        <v/>
      </c>
      <c r="B345" s="22"/>
      <c r="C345" s="28"/>
      <c r="D345" s="28"/>
      <c r="E345" s="18"/>
      <c r="F345" s="28"/>
      <c r="G345" s="32" t="str">
        <f aca="false">IF(F345="","",IFERROR(INDEX(請求台帳!$D$5:$D$504,MATCH(F345,請求台帳!$A$5:$A$504,0)),""))</f>
        <v/>
      </c>
      <c r="H345" s="26" t="str">
        <f aca="false">IF(F345="","",IFERROR(INDEX(請求台帳!$I$5:$I$504,MATCH(F345,請求台帳!$A$5:$A$504,0)),""))</f>
        <v/>
      </c>
      <c r="I345" s="29" t="str">
        <f aca="false">IF(COUNTA(B345,D345,E345,F345)=0,"",IF(OR(B345="",E345=""),"要入力",IF(F345="","未消込",IF(ISNA(MATCH(F345,請求台帳!$A$5:$A$504,0)),"番号誤り",IF(INDEX(請求台帳!$T$5:$T$504,MATCH(F345,請求台帳!$A$5:$A$504,0))="取消","取消請求へ消込","消込済")))))</f>
        <v/>
      </c>
      <c r="J345" s="28"/>
      <c r="K345" s="28"/>
    </row>
    <row r="346" customFormat="false" ht="15" hidden="false" customHeight="false" outlineLevel="0" collapsed="false">
      <c r="A346" s="32" t="str">
        <f aca="false">IF(COUNTA(B346,D346,E346,F346)=0,"",ROW()-4)</f>
        <v/>
      </c>
      <c r="B346" s="22"/>
      <c r="C346" s="28"/>
      <c r="D346" s="28"/>
      <c r="E346" s="18"/>
      <c r="F346" s="28"/>
      <c r="G346" s="32" t="str">
        <f aca="false">IF(F346="","",IFERROR(INDEX(請求台帳!$D$5:$D$504,MATCH(F346,請求台帳!$A$5:$A$504,0)),""))</f>
        <v/>
      </c>
      <c r="H346" s="26" t="str">
        <f aca="false">IF(F346="","",IFERROR(INDEX(請求台帳!$I$5:$I$504,MATCH(F346,請求台帳!$A$5:$A$504,0)),""))</f>
        <v/>
      </c>
      <c r="I346" s="29" t="str">
        <f aca="false">IF(COUNTA(B346,D346,E346,F346)=0,"",IF(OR(B346="",E346=""),"要入力",IF(F346="","未消込",IF(ISNA(MATCH(F346,請求台帳!$A$5:$A$504,0)),"番号誤り",IF(INDEX(請求台帳!$T$5:$T$504,MATCH(F346,請求台帳!$A$5:$A$504,0))="取消","取消請求へ消込","消込済")))))</f>
        <v/>
      </c>
      <c r="J346" s="28"/>
      <c r="K346" s="28"/>
    </row>
    <row r="347" customFormat="false" ht="15" hidden="false" customHeight="false" outlineLevel="0" collapsed="false">
      <c r="A347" s="32" t="str">
        <f aca="false">IF(COUNTA(B347,D347,E347,F347)=0,"",ROW()-4)</f>
        <v/>
      </c>
      <c r="B347" s="22"/>
      <c r="C347" s="28"/>
      <c r="D347" s="28"/>
      <c r="E347" s="18"/>
      <c r="F347" s="28"/>
      <c r="G347" s="32" t="str">
        <f aca="false">IF(F347="","",IFERROR(INDEX(請求台帳!$D$5:$D$504,MATCH(F347,請求台帳!$A$5:$A$504,0)),""))</f>
        <v/>
      </c>
      <c r="H347" s="26" t="str">
        <f aca="false">IF(F347="","",IFERROR(INDEX(請求台帳!$I$5:$I$504,MATCH(F347,請求台帳!$A$5:$A$504,0)),""))</f>
        <v/>
      </c>
      <c r="I347" s="29" t="str">
        <f aca="false">IF(COUNTA(B347,D347,E347,F347)=0,"",IF(OR(B347="",E347=""),"要入力",IF(F347="","未消込",IF(ISNA(MATCH(F347,請求台帳!$A$5:$A$504,0)),"番号誤り",IF(INDEX(請求台帳!$T$5:$T$504,MATCH(F347,請求台帳!$A$5:$A$504,0))="取消","取消請求へ消込","消込済")))))</f>
        <v/>
      </c>
      <c r="J347" s="28"/>
      <c r="K347" s="28"/>
    </row>
    <row r="348" customFormat="false" ht="15" hidden="false" customHeight="false" outlineLevel="0" collapsed="false">
      <c r="A348" s="32" t="str">
        <f aca="false">IF(COUNTA(B348,D348,E348,F348)=0,"",ROW()-4)</f>
        <v/>
      </c>
      <c r="B348" s="22"/>
      <c r="C348" s="28"/>
      <c r="D348" s="28"/>
      <c r="E348" s="18"/>
      <c r="F348" s="28"/>
      <c r="G348" s="32" t="str">
        <f aca="false">IF(F348="","",IFERROR(INDEX(請求台帳!$D$5:$D$504,MATCH(F348,請求台帳!$A$5:$A$504,0)),""))</f>
        <v/>
      </c>
      <c r="H348" s="26" t="str">
        <f aca="false">IF(F348="","",IFERROR(INDEX(請求台帳!$I$5:$I$504,MATCH(F348,請求台帳!$A$5:$A$504,0)),""))</f>
        <v/>
      </c>
      <c r="I348" s="29" t="str">
        <f aca="false">IF(COUNTA(B348,D348,E348,F348)=0,"",IF(OR(B348="",E348=""),"要入力",IF(F348="","未消込",IF(ISNA(MATCH(F348,請求台帳!$A$5:$A$504,0)),"番号誤り",IF(INDEX(請求台帳!$T$5:$T$504,MATCH(F348,請求台帳!$A$5:$A$504,0))="取消","取消請求へ消込","消込済")))))</f>
        <v/>
      </c>
      <c r="J348" s="28"/>
      <c r="K348" s="28"/>
    </row>
    <row r="349" customFormat="false" ht="15" hidden="false" customHeight="false" outlineLevel="0" collapsed="false">
      <c r="A349" s="32" t="str">
        <f aca="false">IF(COUNTA(B349,D349,E349,F349)=0,"",ROW()-4)</f>
        <v/>
      </c>
      <c r="B349" s="22"/>
      <c r="C349" s="28"/>
      <c r="D349" s="28"/>
      <c r="E349" s="18"/>
      <c r="F349" s="28"/>
      <c r="G349" s="32" t="str">
        <f aca="false">IF(F349="","",IFERROR(INDEX(請求台帳!$D$5:$D$504,MATCH(F349,請求台帳!$A$5:$A$504,0)),""))</f>
        <v/>
      </c>
      <c r="H349" s="26" t="str">
        <f aca="false">IF(F349="","",IFERROR(INDEX(請求台帳!$I$5:$I$504,MATCH(F349,請求台帳!$A$5:$A$504,0)),""))</f>
        <v/>
      </c>
      <c r="I349" s="29" t="str">
        <f aca="false">IF(COUNTA(B349,D349,E349,F349)=0,"",IF(OR(B349="",E349=""),"要入力",IF(F349="","未消込",IF(ISNA(MATCH(F349,請求台帳!$A$5:$A$504,0)),"番号誤り",IF(INDEX(請求台帳!$T$5:$T$504,MATCH(F349,請求台帳!$A$5:$A$504,0))="取消","取消請求へ消込","消込済")))))</f>
        <v/>
      </c>
      <c r="J349" s="28"/>
      <c r="K349" s="28"/>
    </row>
    <row r="350" customFormat="false" ht="15" hidden="false" customHeight="false" outlineLevel="0" collapsed="false">
      <c r="A350" s="32" t="str">
        <f aca="false">IF(COUNTA(B350,D350,E350,F350)=0,"",ROW()-4)</f>
        <v/>
      </c>
      <c r="B350" s="22"/>
      <c r="C350" s="28"/>
      <c r="D350" s="28"/>
      <c r="E350" s="18"/>
      <c r="F350" s="28"/>
      <c r="G350" s="32" t="str">
        <f aca="false">IF(F350="","",IFERROR(INDEX(請求台帳!$D$5:$D$504,MATCH(F350,請求台帳!$A$5:$A$504,0)),""))</f>
        <v/>
      </c>
      <c r="H350" s="26" t="str">
        <f aca="false">IF(F350="","",IFERROR(INDEX(請求台帳!$I$5:$I$504,MATCH(F350,請求台帳!$A$5:$A$504,0)),""))</f>
        <v/>
      </c>
      <c r="I350" s="29" t="str">
        <f aca="false">IF(COUNTA(B350,D350,E350,F350)=0,"",IF(OR(B350="",E350=""),"要入力",IF(F350="","未消込",IF(ISNA(MATCH(F350,請求台帳!$A$5:$A$504,0)),"番号誤り",IF(INDEX(請求台帳!$T$5:$T$504,MATCH(F350,請求台帳!$A$5:$A$504,0))="取消","取消請求へ消込","消込済")))))</f>
        <v/>
      </c>
      <c r="J350" s="28"/>
      <c r="K350" s="28"/>
    </row>
    <row r="351" customFormat="false" ht="15" hidden="false" customHeight="false" outlineLevel="0" collapsed="false">
      <c r="A351" s="32" t="str">
        <f aca="false">IF(COUNTA(B351,D351,E351,F351)=0,"",ROW()-4)</f>
        <v/>
      </c>
      <c r="B351" s="22"/>
      <c r="C351" s="28"/>
      <c r="D351" s="28"/>
      <c r="E351" s="18"/>
      <c r="F351" s="28"/>
      <c r="G351" s="32" t="str">
        <f aca="false">IF(F351="","",IFERROR(INDEX(請求台帳!$D$5:$D$504,MATCH(F351,請求台帳!$A$5:$A$504,0)),""))</f>
        <v/>
      </c>
      <c r="H351" s="26" t="str">
        <f aca="false">IF(F351="","",IFERROR(INDEX(請求台帳!$I$5:$I$504,MATCH(F351,請求台帳!$A$5:$A$504,0)),""))</f>
        <v/>
      </c>
      <c r="I351" s="29" t="str">
        <f aca="false">IF(COUNTA(B351,D351,E351,F351)=0,"",IF(OR(B351="",E351=""),"要入力",IF(F351="","未消込",IF(ISNA(MATCH(F351,請求台帳!$A$5:$A$504,0)),"番号誤り",IF(INDEX(請求台帳!$T$5:$T$504,MATCH(F351,請求台帳!$A$5:$A$504,0))="取消","取消請求へ消込","消込済")))))</f>
        <v/>
      </c>
      <c r="J351" s="28"/>
      <c r="K351" s="28"/>
    </row>
    <row r="352" customFormat="false" ht="15" hidden="false" customHeight="false" outlineLevel="0" collapsed="false">
      <c r="A352" s="32" t="str">
        <f aca="false">IF(COUNTA(B352,D352,E352,F352)=0,"",ROW()-4)</f>
        <v/>
      </c>
      <c r="B352" s="22"/>
      <c r="C352" s="28"/>
      <c r="D352" s="28"/>
      <c r="E352" s="18"/>
      <c r="F352" s="28"/>
      <c r="G352" s="32" t="str">
        <f aca="false">IF(F352="","",IFERROR(INDEX(請求台帳!$D$5:$D$504,MATCH(F352,請求台帳!$A$5:$A$504,0)),""))</f>
        <v/>
      </c>
      <c r="H352" s="26" t="str">
        <f aca="false">IF(F352="","",IFERROR(INDEX(請求台帳!$I$5:$I$504,MATCH(F352,請求台帳!$A$5:$A$504,0)),""))</f>
        <v/>
      </c>
      <c r="I352" s="29" t="str">
        <f aca="false">IF(COUNTA(B352,D352,E352,F352)=0,"",IF(OR(B352="",E352=""),"要入力",IF(F352="","未消込",IF(ISNA(MATCH(F352,請求台帳!$A$5:$A$504,0)),"番号誤り",IF(INDEX(請求台帳!$T$5:$T$504,MATCH(F352,請求台帳!$A$5:$A$504,0))="取消","取消請求へ消込","消込済")))))</f>
        <v/>
      </c>
      <c r="J352" s="28"/>
      <c r="K352" s="28"/>
    </row>
    <row r="353" customFormat="false" ht="15" hidden="false" customHeight="false" outlineLevel="0" collapsed="false">
      <c r="A353" s="32" t="str">
        <f aca="false">IF(COUNTA(B353,D353,E353,F353)=0,"",ROW()-4)</f>
        <v/>
      </c>
      <c r="B353" s="22"/>
      <c r="C353" s="28"/>
      <c r="D353" s="28"/>
      <c r="E353" s="18"/>
      <c r="F353" s="28"/>
      <c r="G353" s="32" t="str">
        <f aca="false">IF(F353="","",IFERROR(INDEX(請求台帳!$D$5:$D$504,MATCH(F353,請求台帳!$A$5:$A$504,0)),""))</f>
        <v/>
      </c>
      <c r="H353" s="26" t="str">
        <f aca="false">IF(F353="","",IFERROR(INDEX(請求台帳!$I$5:$I$504,MATCH(F353,請求台帳!$A$5:$A$504,0)),""))</f>
        <v/>
      </c>
      <c r="I353" s="29" t="str">
        <f aca="false">IF(COUNTA(B353,D353,E353,F353)=0,"",IF(OR(B353="",E353=""),"要入力",IF(F353="","未消込",IF(ISNA(MATCH(F353,請求台帳!$A$5:$A$504,0)),"番号誤り",IF(INDEX(請求台帳!$T$5:$T$504,MATCH(F353,請求台帳!$A$5:$A$504,0))="取消","取消請求へ消込","消込済")))))</f>
        <v/>
      </c>
      <c r="J353" s="28"/>
      <c r="K353" s="28"/>
    </row>
    <row r="354" customFormat="false" ht="15" hidden="false" customHeight="false" outlineLevel="0" collapsed="false">
      <c r="A354" s="32" t="str">
        <f aca="false">IF(COUNTA(B354,D354,E354,F354)=0,"",ROW()-4)</f>
        <v/>
      </c>
      <c r="B354" s="22"/>
      <c r="C354" s="28"/>
      <c r="D354" s="28"/>
      <c r="E354" s="18"/>
      <c r="F354" s="28"/>
      <c r="G354" s="32" t="str">
        <f aca="false">IF(F354="","",IFERROR(INDEX(請求台帳!$D$5:$D$504,MATCH(F354,請求台帳!$A$5:$A$504,0)),""))</f>
        <v/>
      </c>
      <c r="H354" s="26" t="str">
        <f aca="false">IF(F354="","",IFERROR(INDEX(請求台帳!$I$5:$I$504,MATCH(F354,請求台帳!$A$5:$A$504,0)),""))</f>
        <v/>
      </c>
      <c r="I354" s="29" t="str">
        <f aca="false">IF(COUNTA(B354,D354,E354,F354)=0,"",IF(OR(B354="",E354=""),"要入力",IF(F354="","未消込",IF(ISNA(MATCH(F354,請求台帳!$A$5:$A$504,0)),"番号誤り",IF(INDEX(請求台帳!$T$5:$T$504,MATCH(F354,請求台帳!$A$5:$A$504,0))="取消","取消請求へ消込","消込済")))))</f>
        <v/>
      </c>
      <c r="J354" s="28"/>
      <c r="K354" s="28"/>
    </row>
    <row r="355" customFormat="false" ht="15" hidden="false" customHeight="false" outlineLevel="0" collapsed="false">
      <c r="A355" s="32" t="str">
        <f aca="false">IF(COUNTA(B355,D355,E355,F355)=0,"",ROW()-4)</f>
        <v/>
      </c>
      <c r="B355" s="22"/>
      <c r="C355" s="28"/>
      <c r="D355" s="28"/>
      <c r="E355" s="18"/>
      <c r="F355" s="28"/>
      <c r="G355" s="32" t="str">
        <f aca="false">IF(F355="","",IFERROR(INDEX(請求台帳!$D$5:$D$504,MATCH(F355,請求台帳!$A$5:$A$504,0)),""))</f>
        <v/>
      </c>
      <c r="H355" s="26" t="str">
        <f aca="false">IF(F355="","",IFERROR(INDEX(請求台帳!$I$5:$I$504,MATCH(F355,請求台帳!$A$5:$A$504,0)),""))</f>
        <v/>
      </c>
      <c r="I355" s="29" t="str">
        <f aca="false">IF(COUNTA(B355,D355,E355,F355)=0,"",IF(OR(B355="",E355=""),"要入力",IF(F355="","未消込",IF(ISNA(MATCH(F355,請求台帳!$A$5:$A$504,0)),"番号誤り",IF(INDEX(請求台帳!$T$5:$T$504,MATCH(F355,請求台帳!$A$5:$A$504,0))="取消","取消請求へ消込","消込済")))))</f>
        <v/>
      </c>
      <c r="J355" s="28"/>
      <c r="K355" s="28"/>
    </row>
    <row r="356" customFormat="false" ht="15" hidden="false" customHeight="false" outlineLevel="0" collapsed="false">
      <c r="A356" s="32" t="str">
        <f aca="false">IF(COUNTA(B356,D356,E356,F356)=0,"",ROW()-4)</f>
        <v/>
      </c>
      <c r="B356" s="22"/>
      <c r="C356" s="28"/>
      <c r="D356" s="28"/>
      <c r="E356" s="18"/>
      <c r="F356" s="28"/>
      <c r="G356" s="32" t="str">
        <f aca="false">IF(F356="","",IFERROR(INDEX(請求台帳!$D$5:$D$504,MATCH(F356,請求台帳!$A$5:$A$504,0)),""))</f>
        <v/>
      </c>
      <c r="H356" s="26" t="str">
        <f aca="false">IF(F356="","",IFERROR(INDEX(請求台帳!$I$5:$I$504,MATCH(F356,請求台帳!$A$5:$A$504,0)),""))</f>
        <v/>
      </c>
      <c r="I356" s="29" t="str">
        <f aca="false">IF(COUNTA(B356,D356,E356,F356)=0,"",IF(OR(B356="",E356=""),"要入力",IF(F356="","未消込",IF(ISNA(MATCH(F356,請求台帳!$A$5:$A$504,0)),"番号誤り",IF(INDEX(請求台帳!$T$5:$T$504,MATCH(F356,請求台帳!$A$5:$A$504,0))="取消","取消請求へ消込","消込済")))))</f>
        <v/>
      </c>
      <c r="J356" s="28"/>
      <c r="K356" s="28"/>
    </row>
    <row r="357" customFormat="false" ht="15" hidden="false" customHeight="false" outlineLevel="0" collapsed="false">
      <c r="A357" s="32" t="str">
        <f aca="false">IF(COUNTA(B357,D357,E357,F357)=0,"",ROW()-4)</f>
        <v/>
      </c>
      <c r="B357" s="22"/>
      <c r="C357" s="28"/>
      <c r="D357" s="28"/>
      <c r="E357" s="18"/>
      <c r="F357" s="28"/>
      <c r="G357" s="32" t="str">
        <f aca="false">IF(F357="","",IFERROR(INDEX(請求台帳!$D$5:$D$504,MATCH(F357,請求台帳!$A$5:$A$504,0)),""))</f>
        <v/>
      </c>
      <c r="H357" s="26" t="str">
        <f aca="false">IF(F357="","",IFERROR(INDEX(請求台帳!$I$5:$I$504,MATCH(F357,請求台帳!$A$5:$A$504,0)),""))</f>
        <v/>
      </c>
      <c r="I357" s="29" t="str">
        <f aca="false">IF(COUNTA(B357,D357,E357,F357)=0,"",IF(OR(B357="",E357=""),"要入力",IF(F357="","未消込",IF(ISNA(MATCH(F357,請求台帳!$A$5:$A$504,0)),"番号誤り",IF(INDEX(請求台帳!$T$5:$T$504,MATCH(F357,請求台帳!$A$5:$A$504,0))="取消","取消請求へ消込","消込済")))))</f>
        <v/>
      </c>
      <c r="J357" s="28"/>
      <c r="K357" s="28"/>
    </row>
    <row r="358" customFormat="false" ht="15" hidden="false" customHeight="false" outlineLevel="0" collapsed="false">
      <c r="A358" s="32" t="str">
        <f aca="false">IF(COUNTA(B358,D358,E358,F358)=0,"",ROW()-4)</f>
        <v/>
      </c>
      <c r="B358" s="22"/>
      <c r="C358" s="28"/>
      <c r="D358" s="28"/>
      <c r="E358" s="18"/>
      <c r="F358" s="28"/>
      <c r="G358" s="32" t="str">
        <f aca="false">IF(F358="","",IFERROR(INDEX(請求台帳!$D$5:$D$504,MATCH(F358,請求台帳!$A$5:$A$504,0)),""))</f>
        <v/>
      </c>
      <c r="H358" s="26" t="str">
        <f aca="false">IF(F358="","",IFERROR(INDEX(請求台帳!$I$5:$I$504,MATCH(F358,請求台帳!$A$5:$A$504,0)),""))</f>
        <v/>
      </c>
      <c r="I358" s="29" t="str">
        <f aca="false">IF(COUNTA(B358,D358,E358,F358)=0,"",IF(OR(B358="",E358=""),"要入力",IF(F358="","未消込",IF(ISNA(MATCH(F358,請求台帳!$A$5:$A$504,0)),"番号誤り",IF(INDEX(請求台帳!$T$5:$T$504,MATCH(F358,請求台帳!$A$5:$A$504,0))="取消","取消請求へ消込","消込済")))))</f>
        <v/>
      </c>
      <c r="J358" s="28"/>
      <c r="K358" s="28"/>
    </row>
    <row r="359" customFormat="false" ht="15" hidden="false" customHeight="false" outlineLevel="0" collapsed="false">
      <c r="A359" s="32" t="str">
        <f aca="false">IF(COUNTA(B359,D359,E359,F359)=0,"",ROW()-4)</f>
        <v/>
      </c>
      <c r="B359" s="22"/>
      <c r="C359" s="28"/>
      <c r="D359" s="28"/>
      <c r="E359" s="18"/>
      <c r="F359" s="28"/>
      <c r="G359" s="32" t="str">
        <f aca="false">IF(F359="","",IFERROR(INDEX(請求台帳!$D$5:$D$504,MATCH(F359,請求台帳!$A$5:$A$504,0)),""))</f>
        <v/>
      </c>
      <c r="H359" s="26" t="str">
        <f aca="false">IF(F359="","",IFERROR(INDEX(請求台帳!$I$5:$I$504,MATCH(F359,請求台帳!$A$5:$A$504,0)),""))</f>
        <v/>
      </c>
      <c r="I359" s="29" t="str">
        <f aca="false">IF(COUNTA(B359,D359,E359,F359)=0,"",IF(OR(B359="",E359=""),"要入力",IF(F359="","未消込",IF(ISNA(MATCH(F359,請求台帳!$A$5:$A$504,0)),"番号誤り",IF(INDEX(請求台帳!$T$5:$T$504,MATCH(F359,請求台帳!$A$5:$A$504,0))="取消","取消請求へ消込","消込済")))))</f>
        <v/>
      </c>
      <c r="J359" s="28"/>
      <c r="K359" s="28"/>
    </row>
    <row r="360" customFormat="false" ht="15" hidden="false" customHeight="false" outlineLevel="0" collapsed="false">
      <c r="A360" s="32" t="str">
        <f aca="false">IF(COUNTA(B360,D360,E360,F360)=0,"",ROW()-4)</f>
        <v/>
      </c>
      <c r="B360" s="22"/>
      <c r="C360" s="28"/>
      <c r="D360" s="28"/>
      <c r="E360" s="18"/>
      <c r="F360" s="28"/>
      <c r="G360" s="32" t="str">
        <f aca="false">IF(F360="","",IFERROR(INDEX(請求台帳!$D$5:$D$504,MATCH(F360,請求台帳!$A$5:$A$504,0)),""))</f>
        <v/>
      </c>
      <c r="H360" s="26" t="str">
        <f aca="false">IF(F360="","",IFERROR(INDEX(請求台帳!$I$5:$I$504,MATCH(F360,請求台帳!$A$5:$A$504,0)),""))</f>
        <v/>
      </c>
      <c r="I360" s="29" t="str">
        <f aca="false">IF(COUNTA(B360,D360,E360,F360)=0,"",IF(OR(B360="",E360=""),"要入力",IF(F360="","未消込",IF(ISNA(MATCH(F360,請求台帳!$A$5:$A$504,0)),"番号誤り",IF(INDEX(請求台帳!$T$5:$T$504,MATCH(F360,請求台帳!$A$5:$A$504,0))="取消","取消請求へ消込","消込済")))))</f>
        <v/>
      </c>
      <c r="J360" s="28"/>
      <c r="K360" s="28"/>
    </row>
    <row r="361" customFormat="false" ht="15" hidden="false" customHeight="false" outlineLevel="0" collapsed="false">
      <c r="A361" s="32" t="str">
        <f aca="false">IF(COUNTA(B361,D361,E361,F361)=0,"",ROW()-4)</f>
        <v/>
      </c>
      <c r="B361" s="22"/>
      <c r="C361" s="28"/>
      <c r="D361" s="28"/>
      <c r="E361" s="18"/>
      <c r="F361" s="28"/>
      <c r="G361" s="32" t="str">
        <f aca="false">IF(F361="","",IFERROR(INDEX(請求台帳!$D$5:$D$504,MATCH(F361,請求台帳!$A$5:$A$504,0)),""))</f>
        <v/>
      </c>
      <c r="H361" s="26" t="str">
        <f aca="false">IF(F361="","",IFERROR(INDEX(請求台帳!$I$5:$I$504,MATCH(F361,請求台帳!$A$5:$A$504,0)),""))</f>
        <v/>
      </c>
      <c r="I361" s="29" t="str">
        <f aca="false">IF(COUNTA(B361,D361,E361,F361)=0,"",IF(OR(B361="",E361=""),"要入力",IF(F361="","未消込",IF(ISNA(MATCH(F361,請求台帳!$A$5:$A$504,0)),"番号誤り",IF(INDEX(請求台帳!$T$5:$T$504,MATCH(F361,請求台帳!$A$5:$A$504,0))="取消","取消請求へ消込","消込済")))))</f>
        <v/>
      </c>
      <c r="J361" s="28"/>
      <c r="K361" s="28"/>
    </row>
    <row r="362" customFormat="false" ht="15" hidden="false" customHeight="false" outlineLevel="0" collapsed="false">
      <c r="A362" s="32" t="str">
        <f aca="false">IF(COUNTA(B362,D362,E362,F362)=0,"",ROW()-4)</f>
        <v/>
      </c>
      <c r="B362" s="22"/>
      <c r="C362" s="28"/>
      <c r="D362" s="28"/>
      <c r="E362" s="18"/>
      <c r="F362" s="28"/>
      <c r="G362" s="32" t="str">
        <f aca="false">IF(F362="","",IFERROR(INDEX(請求台帳!$D$5:$D$504,MATCH(F362,請求台帳!$A$5:$A$504,0)),""))</f>
        <v/>
      </c>
      <c r="H362" s="26" t="str">
        <f aca="false">IF(F362="","",IFERROR(INDEX(請求台帳!$I$5:$I$504,MATCH(F362,請求台帳!$A$5:$A$504,0)),""))</f>
        <v/>
      </c>
      <c r="I362" s="29" t="str">
        <f aca="false">IF(COUNTA(B362,D362,E362,F362)=0,"",IF(OR(B362="",E362=""),"要入力",IF(F362="","未消込",IF(ISNA(MATCH(F362,請求台帳!$A$5:$A$504,0)),"番号誤り",IF(INDEX(請求台帳!$T$5:$T$504,MATCH(F362,請求台帳!$A$5:$A$504,0))="取消","取消請求へ消込","消込済")))))</f>
        <v/>
      </c>
      <c r="J362" s="28"/>
      <c r="K362" s="28"/>
    </row>
    <row r="363" customFormat="false" ht="15" hidden="false" customHeight="false" outlineLevel="0" collapsed="false">
      <c r="A363" s="32" t="str">
        <f aca="false">IF(COUNTA(B363,D363,E363,F363)=0,"",ROW()-4)</f>
        <v/>
      </c>
      <c r="B363" s="22"/>
      <c r="C363" s="28"/>
      <c r="D363" s="28"/>
      <c r="E363" s="18"/>
      <c r="F363" s="28"/>
      <c r="G363" s="32" t="str">
        <f aca="false">IF(F363="","",IFERROR(INDEX(請求台帳!$D$5:$D$504,MATCH(F363,請求台帳!$A$5:$A$504,0)),""))</f>
        <v/>
      </c>
      <c r="H363" s="26" t="str">
        <f aca="false">IF(F363="","",IFERROR(INDEX(請求台帳!$I$5:$I$504,MATCH(F363,請求台帳!$A$5:$A$504,0)),""))</f>
        <v/>
      </c>
      <c r="I363" s="29" t="str">
        <f aca="false">IF(COUNTA(B363,D363,E363,F363)=0,"",IF(OR(B363="",E363=""),"要入力",IF(F363="","未消込",IF(ISNA(MATCH(F363,請求台帳!$A$5:$A$504,0)),"番号誤り",IF(INDEX(請求台帳!$T$5:$T$504,MATCH(F363,請求台帳!$A$5:$A$504,0))="取消","取消請求へ消込","消込済")))))</f>
        <v/>
      </c>
      <c r="J363" s="28"/>
      <c r="K363" s="28"/>
    </row>
    <row r="364" customFormat="false" ht="15" hidden="false" customHeight="false" outlineLevel="0" collapsed="false">
      <c r="A364" s="32" t="str">
        <f aca="false">IF(COUNTA(B364,D364,E364,F364)=0,"",ROW()-4)</f>
        <v/>
      </c>
      <c r="B364" s="22"/>
      <c r="C364" s="28"/>
      <c r="D364" s="28"/>
      <c r="E364" s="18"/>
      <c r="F364" s="28"/>
      <c r="G364" s="32" t="str">
        <f aca="false">IF(F364="","",IFERROR(INDEX(請求台帳!$D$5:$D$504,MATCH(F364,請求台帳!$A$5:$A$504,0)),""))</f>
        <v/>
      </c>
      <c r="H364" s="26" t="str">
        <f aca="false">IF(F364="","",IFERROR(INDEX(請求台帳!$I$5:$I$504,MATCH(F364,請求台帳!$A$5:$A$504,0)),""))</f>
        <v/>
      </c>
      <c r="I364" s="29" t="str">
        <f aca="false">IF(COUNTA(B364,D364,E364,F364)=0,"",IF(OR(B364="",E364=""),"要入力",IF(F364="","未消込",IF(ISNA(MATCH(F364,請求台帳!$A$5:$A$504,0)),"番号誤り",IF(INDEX(請求台帳!$T$5:$T$504,MATCH(F364,請求台帳!$A$5:$A$504,0))="取消","取消請求へ消込","消込済")))))</f>
        <v/>
      </c>
      <c r="J364" s="28"/>
      <c r="K364" s="28"/>
    </row>
    <row r="365" customFormat="false" ht="15" hidden="false" customHeight="false" outlineLevel="0" collapsed="false">
      <c r="A365" s="32" t="str">
        <f aca="false">IF(COUNTA(B365,D365,E365,F365)=0,"",ROW()-4)</f>
        <v/>
      </c>
      <c r="B365" s="22"/>
      <c r="C365" s="28"/>
      <c r="D365" s="28"/>
      <c r="E365" s="18"/>
      <c r="F365" s="28"/>
      <c r="G365" s="32" t="str">
        <f aca="false">IF(F365="","",IFERROR(INDEX(請求台帳!$D$5:$D$504,MATCH(F365,請求台帳!$A$5:$A$504,0)),""))</f>
        <v/>
      </c>
      <c r="H365" s="26" t="str">
        <f aca="false">IF(F365="","",IFERROR(INDEX(請求台帳!$I$5:$I$504,MATCH(F365,請求台帳!$A$5:$A$504,0)),""))</f>
        <v/>
      </c>
      <c r="I365" s="29" t="str">
        <f aca="false">IF(COUNTA(B365,D365,E365,F365)=0,"",IF(OR(B365="",E365=""),"要入力",IF(F365="","未消込",IF(ISNA(MATCH(F365,請求台帳!$A$5:$A$504,0)),"番号誤り",IF(INDEX(請求台帳!$T$5:$T$504,MATCH(F365,請求台帳!$A$5:$A$504,0))="取消","取消請求へ消込","消込済")))))</f>
        <v/>
      </c>
      <c r="J365" s="28"/>
      <c r="K365" s="28"/>
    </row>
    <row r="366" customFormat="false" ht="15" hidden="false" customHeight="false" outlineLevel="0" collapsed="false">
      <c r="A366" s="32" t="str">
        <f aca="false">IF(COUNTA(B366,D366,E366,F366)=0,"",ROW()-4)</f>
        <v/>
      </c>
      <c r="B366" s="22"/>
      <c r="C366" s="28"/>
      <c r="D366" s="28"/>
      <c r="E366" s="18"/>
      <c r="F366" s="28"/>
      <c r="G366" s="32" t="str">
        <f aca="false">IF(F366="","",IFERROR(INDEX(請求台帳!$D$5:$D$504,MATCH(F366,請求台帳!$A$5:$A$504,0)),""))</f>
        <v/>
      </c>
      <c r="H366" s="26" t="str">
        <f aca="false">IF(F366="","",IFERROR(INDEX(請求台帳!$I$5:$I$504,MATCH(F366,請求台帳!$A$5:$A$504,0)),""))</f>
        <v/>
      </c>
      <c r="I366" s="29" t="str">
        <f aca="false">IF(COUNTA(B366,D366,E366,F366)=0,"",IF(OR(B366="",E366=""),"要入力",IF(F366="","未消込",IF(ISNA(MATCH(F366,請求台帳!$A$5:$A$504,0)),"番号誤り",IF(INDEX(請求台帳!$T$5:$T$504,MATCH(F366,請求台帳!$A$5:$A$504,0))="取消","取消請求へ消込","消込済")))))</f>
        <v/>
      </c>
      <c r="J366" s="28"/>
      <c r="K366" s="28"/>
    </row>
    <row r="367" customFormat="false" ht="15" hidden="false" customHeight="false" outlineLevel="0" collapsed="false">
      <c r="A367" s="32" t="str">
        <f aca="false">IF(COUNTA(B367,D367,E367,F367)=0,"",ROW()-4)</f>
        <v/>
      </c>
      <c r="B367" s="22"/>
      <c r="C367" s="28"/>
      <c r="D367" s="28"/>
      <c r="E367" s="18"/>
      <c r="F367" s="28"/>
      <c r="G367" s="32" t="str">
        <f aca="false">IF(F367="","",IFERROR(INDEX(請求台帳!$D$5:$D$504,MATCH(F367,請求台帳!$A$5:$A$504,0)),""))</f>
        <v/>
      </c>
      <c r="H367" s="26" t="str">
        <f aca="false">IF(F367="","",IFERROR(INDEX(請求台帳!$I$5:$I$504,MATCH(F367,請求台帳!$A$5:$A$504,0)),""))</f>
        <v/>
      </c>
      <c r="I367" s="29" t="str">
        <f aca="false">IF(COUNTA(B367,D367,E367,F367)=0,"",IF(OR(B367="",E367=""),"要入力",IF(F367="","未消込",IF(ISNA(MATCH(F367,請求台帳!$A$5:$A$504,0)),"番号誤り",IF(INDEX(請求台帳!$T$5:$T$504,MATCH(F367,請求台帳!$A$5:$A$504,0))="取消","取消請求へ消込","消込済")))))</f>
        <v/>
      </c>
      <c r="J367" s="28"/>
      <c r="K367" s="28"/>
    </row>
    <row r="368" customFormat="false" ht="15" hidden="false" customHeight="false" outlineLevel="0" collapsed="false">
      <c r="A368" s="32" t="str">
        <f aca="false">IF(COUNTA(B368,D368,E368,F368)=0,"",ROW()-4)</f>
        <v/>
      </c>
      <c r="B368" s="22"/>
      <c r="C368" s="28"/>
      <c r="D368" s="28"/>
      <c r="E368" s="18"/>
      <c r="F368" s="28"/>
      <c r="G368" s="32" t="str">
        <f aca="false">IF(F368="","",IFERROR(INDEX(請求台帳!$D$5:$D$504,MATCH(F368,請求台帳!$A$5:$A$504,0)),""))</f>
        <v/>
      </c>
      <c r="H368" s="26" t="str">
        <f aca="false">IF(F368="","",IFERROR(INDEX(請求台帳!$I$5:$I$504,MATCH(F368,請求台帳!$A$5:$A$504,0)),""))</f>
        <v/>
      </c>
      <c r="I368" s="29" t="str">
        <f aca="false">IF(COUNTA(B368,D368,E368,F368)=0,"",IF(OR(B368="",E368=""),"要入力",IF(F368="","未消込",IF(ISNA(MATCH(F368,請求台帳!$A$5:$A$504,0)),"番号誤り",IF(INDEX(請求台帳!$T$5:$T$504,MATCH(F368,請求台帳!$A$5:$A$504,0))="取消","取消請求へ消込","消込済")))))</f>
        <v/>
      </c>
      <c r="J368" s="28"/>
      <c r="K368" s="28"/>
    </row>
    <row r="369" customFormat="false" ht="15" hidden="false" customHeight="false" outlineLevel="0" collapsed="false">
      <c r="A369" s="32" t="str">
        <f aca="false">IF(COUNTA(B369,D369,E369,F369)=0,"",ROW()-4)</f>
        <v/>
      </c>
      <c r="B369" s="22"/>
      <c r="C369" s="28"/>
      <c r="D369" s="28"/>
      <c r="E369" s="18"/>
      <c r="F369" s="28"/>
      <c r="G369" s="32" t="str">
        <f aca="false">IF(F369="","",IFERROR(INDEX(請求台帳!$D$5:$D$504,MATCH(F369,請求台帳!$A$5:$A$504,0)),""))</f>
        <v/>
      </c>
      <c r="H369" s="26" t="str">
        <f aca="false">IF(F369="","",IFERROR(INDEX(請求台帳!$I$5:$I$504,MATCH(F369,請求台帳!$A$5:$A$504,0)),""))</f>
        <v/>
      </c>
      <c r="I369" s="29" t="str">
        <f aca="false">IF(COUNTA(B369,D369,E369,F369)=0,"",IF(OR(B369="",E369=""),"要入力",IF(F369="","未消込",IF(ISNA(MATCH(F369,請求台帳!$A$5:$A$504,0)),"番号誤り",IF(INDEX(請求台帳!$T$5:$T$504,MATCH(F369,請求台帳!$A$5:$A$504,0))="取消","取消請求へ消込","消込済")))))</f>
        <v/>
      </c>
      <c r="J369" s="28"/>
      <c r="K369" s="28"/>
    </row>
    <row r="370" customFormat="false" ht="15" hidden="false" customHeight="false" outlineLevel="0" collapsed="false">
      <c r="A370" s="32" t="str">
        <f aca="false">IF(COUNTA(B370,D370,E370,F370)=0,"",ROW()-4)</f>
        <v/>
      </c>
      <c r="B370" s="22"/>
      <c r="C370" s="28"/>
      <c r="D370" s="28"/>
      <c r="E370" s="18"/>
      <c r="F370" s="28"/>
      <c r="G370" s="32" t="str">
        <f aca="false">IF(F370="","",IFERROR(INDEX(請求台帳!$D$5:$D$504,MATCH(F370,請求台帳!$A$5:$A$504,0)),""))</f>
        <v/>
      </c>
      <c r="H370" s="26" t="str">
        <f aca="false">IF(F370="","",IFERROR(INDEX(請求台帳!$I$5:$I$504,MATCH(F370,請求台帳!$A$5:$A$504,0)),""))</f>
        <v/>
      </c>
      <c r="I370" s="29" t="str">
        <f aca="false">IF(COUNTA(B370,D370,E370,F370)=0,"",IF(OR(B370="",E370=""),"要入力",IF(F370="","未消込",IF(ISNA(MATCH(F370,請求台帳!$A$5:$A$504,0)),"番号誤り",IF(INDEX(請求台帳!$T$5:$T$504,MATCH(F370,請求台帳!$A$5:$A$504,0))="取消","取消請求へ消込","消込済")))))</f>
        <v/>
      </c>
      <c r="J370" s="28"/>
      <c r="K370" s="28"/>
    </row>
    <row r="371" customFormat="false" ht="15" hidden="false" customHeight="false" outlineLevel="0" collapsed="false">
      <c r="A371" s="32" t="str">
        <f aca="false">IF(COUNTA(B371,D371,E371,F371)=0,"",ROW()-4)</f>
        <v/>
      </c>
      <c r="B371" s="22"/>
      <c r="C371" s="28"/>
      <c r="D371" s="28"/>
      <c r="E371" s="18"/>
      <c r="F371" s="28"/>
      <c r="G371" s="32" t="str">
        <f aca="false">IF(F371="","",IFERROR(INDEX(請求台帳!$D$5:$D$504,MATCH(F371,請求台帳!$A$5:$A$504,0)),""))</f>
        <v/>
      </c>
      <c r="H371" s="26" t="str">
        <f aca="false">IF(F371="","",IFERROR(INDEX(請求台帳!$I$5:$I$504,MATCH(F371,請求台帳!$A$5:$A$504,0)),""))</f>
        <v/>
      </c>
      <c r="I371" s="29" t="str">
        <f aca="false">IF(COUNTA(B371,D371,E371,F371)=0,"",IF(OR(B371="",E371=""),"要入力",IF(F371="","未消込",IF(ISNA(MATCH(F371,請求台帳!$A$5:$A$504,0)),"番号誤り",IF(INDEX(請求台帳!$T$5:$T$504,MATCH(F371,請求台帳!$A$5:$A$504,0))="取消","取消請求へ消込","消込済")))))</f>
        <v/>
      </c>
      <c r="J371" s="28"/>
      <c r="K371" s="28"/>
    </row>
    <row r="372" customFormat="false" ht="15" hidden="false" customHeight="false" outlineLevel="0" collapsed="false">
      <c r="A372" s="32" t="str">
        <f aca="false">IF(COUNTA(B372,D372,E372,F372)=0,"",ROW()-4)</f>
        <v/>
      </c>
      <c r="B372" s="22"/>
      <c r="C372" s="28"/>
      <c r="D372" s="28"/>
      <c r="E372" s="18"/>
      <c r="F372" s="28"/>
      <c r="G372" s="32" t="str">
        <f aca="false">IF(F372="","",IFERROR(INDEX(請求台帳!$D$5:$D$504,MATCH(F372,請求台帳!$A$5:$A$504,0)),""))</f>
        <v/>
      </c>
      <c r="H372" s="26" t="str">
        <f aca="false">IF(F372="","",IFERROR(INDEX(請求台帳!$I$5:$I$504,MATCH(F372,請求台帳!$A$5:$A$504,0)),""))</f>
        <v/>
      </c>
      <c r="I372" s="29" t="str">
        <f aca="false">IF(COUNTA(B372,D372,E372,F372)=0,"",IF(OR(B372="",E372=""),"要入力",IF(F372="","未消込",IF(ISNA(MATCH(F372,請求台帳!$A$5:$A$504,0)),"番号誤り",IF(INDEX(請求台帳!$T$5:$T$504,MATCH(F372,請求台帳!$A$5:$A$504,0))="取消","取消請求へ消込","消込済")))))</f>
        <v/>
      </c>
      <c r="J372" s="28"/>
      <c r="K372" s="28"/>
    </row>
    <row r="373" customFormat="false" ht="15" hidden="false" customHeight="false" outlineLevel="0" collapsed="false">
      <c r="A373" s="32" t="str">
        <f aca="false">IF(COUNTA(B373,D373,E373,F373)=0,"",ROW()-4)</f>
        <v/>
      </c>
      <c r="B373" s="22"/>
      <c r="C373" s="28"/>
      <c r="D373" s="28"/>
      <c r="E373" s="18"/>
      <c r="F373" s="28"/>
      <c r="G373" s="32" t="str">
        <f aca="false">IF(F373="","",IFERROR(INDEX(請求台帳!$D$5:$D$504,MATCH(F373,請求台帳!$A$5:$A$504,0)),""))</f>
        <v/>
      </c>
      <c r="H373" s="26" t="str">
        <f aca="false">IF(F373="","",IFERROR(INDEX(請求台帳!$I$5:$I$504,MATCH(F373,請求台帳!$A$5:$A$504,0)),""))</f>
        <v/>
      </c>
      <c r="I373" s="29" t="str">
        <f aca="false">IF(COUNTA(B373,D373,E373,F373)=0,"",IF(OR(B373="",E373=""),"要入力",IF(F373="","未消込",IF(ISNA(MATCH(F373,請求台帳!$A$5:$A$504,0)),"番号誤り",IF(INDEX(請求台帳!$T$5:$T$504,MATCH(F373,請求台帳!$A$5:$A$504,0))="取消","取消請求へ消込","消込済")))))</f>
        <v/>
      </c>
      <c r="J373" s="28"/>
      <c r="K373" s="28"/>
    </row>
    <row r="374" customFormat="false" ht="15" hidden="false" customHeight="false" outlineLevel="0" collapsed="false">
      <c r="A374" s="32" t="str">
        <f aca="false">IF(COUNTA(B374,D374,E374,F374)=0,"",ROW()-4)</f>
        <v/>
      </c>
      <c r="B374" s="22"/>
      <c r="C374" s="28"/>
      <c r="D374" s="28"/>
      <c r="E374" s="18"/>
      <c r="F374" s="28"/>
      <c r="G374" s="32" t="str">
        <f aca="false">IF(F374="","",IFERROR(INDEX(請求台帳!$D$5:$D$504,MATCH(F374,請求台帳!$A$5:$A$504,0)),""))</f>
        <v/>
      </c>
      <c r="H374" s="26" t="str">
        <f aca="false">IF(F374="","",IFERROR(INDEX(請求台帳!$I$5:$I$504,MATCH(F374,請求台帳!$A$5:$A$504,0)),""))</f>
        <v/>
      </c>
      <c r="I374" s="29" t="str">
        <f aca="false">IF(COUNTA(B374,D374,E374,F374)=0,"",IF(OR(B374="",E374=""),"要入力",IF(F374="","未消込",IF(ISNA(MATCH(F374,請求台帳!$A$5:$A$504,0)),"番号誤り",IF(INDEX(請求台帳!$T$5:$T$504,MATCH(F374,請求台帳!$A$5:$A$504,0))="取消","取消請求へ消込","消込済")))))</f>
        <v/>
      </c>
      <c r="J374" s="28"/>
      <c r="K374" s="28"/>
    </row>
    <row r="375" customFormat="false" ht="15" hidden="false" customHeight="false" outlineLevel="0" collapsed="false">
      <c r="A375" s="32" t="str">
        <f aca="false">IF(COUNTA(B375,D375,E375,F375)=0,"",ROW()-4)</f>
        <v/>
      </c>
      <c r="B375" s="22"/>
      <c r="C375" s="28"/>
      <c r="D375" s="28"/>
      <c r="E375" s="18"/>
      <c r="F375" s="28"/>
      <c r="G375" s="32" t="str">
        <f aca="false">IF(F375="","",IFERROR(INDEX(請求台帳!$D$5:$D$504,MATCH(F375,請求台帳!$A$5:$A$504,0)),""))</f>
        <v/>
      </c>
      <c r="H375" s="26" t="str">
        <f aca="false">IF(F375="","",IFERROR(INDEX(請求台帳!$I$5:$I$504,MATCH(F375,請求台帳!$A$5:$A$504,0)),""))</f>
        <v/>
      </c>
      <c r="I375" s="29" t="str">
        <f aca="false">IF(COUNTA(B375,D375,E375,F375)=0,"",IF(OR(B375="",E375=""),"要入力",IF(F375="","未消込",IF(ISNA(MATCH(F375,請求台帳!$A$5:$A$504,0)),"番号誤り",IF(INDEX(請求台帳!$T$5:$T$504,MATCH(F375,請求台帳!$A$5:$A$504,0))="取消","取消請求へ消込","消込済")))))</f>
        <v/>
      </c>
      <c r="J375" s="28"/>
      <c r="K375" s="28"/>
    </row>
    <row r="376" customFormat="false" ht="15" hidden="false" customHeight="false" outlineLevel="0" collapsed="false">
      <c r="A376" s="32" t="str">
        <f aca="false">IF(COUNTA(B376,D376,E376,F376)=0,"",ROW()-4)</f>
        <v/>
      </c>
      <c r="B376" s="22"/>
      <c r="C376" s="28"/>
      <c r="D376" s="28"/>
      <c r="E376" s="18"/>
      <c r="F376" s="28"/>
      <c r="G376" s="32" t="str">
        <f aca="false">IF(F376="","",IFERROR(INDEX(請求台帳!$D$5:$D$504,MATCH(F376,請求台帳!$A$5:$A$504,0)),""))</f>
        <v/>
      </c>
      <c r="H376" s="26" t="str">
        <f aca="false">IF(F376="","",IFERROR(INDEX(請求台帳!$I$5:$I$504,MATCH(F376,請求台帳!$A$5:$A$504,0)),""))</f>
        <v/>
      </c>
      <c r="I376" s="29" t="str">
        <f aca="false">IF(COUNTA(B376,D376,E376,F376)=0,"",IF(OR(B376="",E376=""),"要入力",IF(F376="","未消込",IF(ISNA(MATCH(F376,請求台帳!$A$5:$A$504,0)),"番号誤り",IF(INDEX(請求台帳!$T$5:$T$504,MATCH(F376,請求台帳!$A$5:$A$504,0))="取消","取消請求へ消込","消込済")))))</f>
        <v/>
      </c>
      <c r="J376" s="28"/>
      <c r="K376" s="28"/>
    </row>
    <row r="377" customFormat="false" ht="15" hidden="false" customHeight="false" outlineLevel="0" collapsed="false">
      <c r="A377" s="32" t="str">
        <f aca="false">IF(COUNTA(B377,D377,E377,F377)=0,"",ROW()-4)</f>
        <v/>
      </c>
      <c r="B377" s="22"/>
      <c r="C377" s="28"/>
      <c r="D377" s="28"/>
      <c r="E377" s="18"/>
      <c r="F377" s="28"/>
      <c r="G377" s="32" t="str">
        <f aca="false">IF(F377="","",IFERROR(INDEX(請求台帳!$D$5:$D$504,MATCH(F377,請求台帳!$A$5:$A$504,0)),""))</f>
        <v/>
      </c>
      <c r="H377" s="26" t="str">
        <f aca="false">IF(F377="","",IFERROR(INDEX(請求台帳!$I$5:$I$504,MATCH(F377,請求台帳!$A$5:$A$504,0)),""))</f>
        <v/>
      </c>
      <c r="I377" s="29" t="str">
        <f aca="false">IF(COUNTA(B377,D377,E377,F377)=0,"",IF(OR(B377="",E377=""),"要入力",IF(F377="","未消込",IF(ISNA(MATCH(F377,請求台帳!$A$5:$A$504,0)),"番号誤り",IF(INDEX(請求台帳!$T$5:$T$504,MATCH(F377,請求台帳!$A$5:$A$504,0))="取消","取消請求へ消込","消込済")))))</f>
        <v/>
      </c>
      <c r="J377" s="28"/>
      <c r="K377" s="28"/>
    </row>
    <row r="378" customFormat="false" ht="15" hidden="false" customHeight="false" outlineLevel="0" collapsed="false">
      <c r="A378" s="32" t="str">
        <f aca="false">IF(COUNTA(B378,D378,E378,F378)=0,"",ROW()-4)</f>
        <v/>
      </c>
      <c r="B378" s="22"/>
      <c r="C378" s="28"/>
      <c r="D378" s="28"/>
      <c r="E378" s="18"/>
      <c r="F378" s="28"/>
      <c r="G378" s="32" t="str">
        <f aca="false">IF(F378="","",IFERROR(INDEX(請求台帳!$D$5:$D$504,MATCH(F378,請求台帳!$A$5:$A$504,0)),""))</f>
        <v/>
      </c>
      <c r="H378" s="26" t="str">
        <f aca="false">IF(F378="","",IFERROR(INDEX(請求台帳!$I$5:$I$504,MATCH(F378,請求台帳!$A$5:$A$504,0)),""))</f>
        <v/>
      </c>
      <c r="I378" s="29" t="str">
        <f aca="false">IF(COUNTA(B378,D378,E378,F378)=0,"",IF(OR(B378="",E378=""),"要入力",IF(F378="","未消込",IF(ISNA(MATCH(F378,請求台帳!$A$5:$A$504,0)),"番号誤り",IF(INDEX(請求台帳!$T$5:$T$504,MATCH(F378,請求台帳!$A$5:$A$504,0))="取消","取消請求へ消込","消込済")))))</f>
        <v/>
      </c>
      <c r="J378" s="28"/>
      <c r="K378" s="28"/>
    </row>
    <row r="379" customFormat="false" ht="15" hidden="false" customHeight="false" outlineLevel="0" collapsed="false">
      <c r="A379" s="32" t="str">
        <f aca="false">IF(COUNTA(B379,D379,E379,F379)=0,"",ROW()-4)</f>
        <v/>
      </c>
      <c r="B379" s="22"/>
      <c r="C379" s="28"/>
      <c r="D379" s="28"/>
      <c r="E379" s="18"/>
      <c r="F379" s="28"/>
      <c r="G379" s="32" t="str">
        <f aca="false">IF(F379="","",IFERROR(INDEX(請求台帳!$D$5:$D$504,MATCH(F379,請求台帳!$A$5:$A$504,0)),""))</f>
        <v/>
      </c>
      <c r="H379" s="26" t="str">
        <f aca="false">IF(F379="","",IFERROR(INDEX(請求台帳!$I$5:$I$504,MATCH(F379,請求台帳!$A$5:$A$504,0)),""))</f>
        <v/>
      </c>
      <c r="I379" s="29" t="str">
        <f aca="false">IF(COUNTA(B379,D379,E379,F379)=0,"",IF(OR(B379="",E379=""),"要入力",IF(F379="","未消込",IF(ISNA(MATCH(F379,請求台帳!$A$5:$A$504,0)),"番号誤り",IF(INDEX(請求台帳!$T$5:$T$504,MATCH(F379,請求台帳!$A$5:$A$504,0))="取消","取消請求へ消込","消込済")))))</f>
        <v/>
      </c>
      <c r="J379" s="28"/>
      <c r="K379" s="28"/>
    </row>
    <row r="380" customFormat="false" ht="15" hidden="false" customHeight="false" outlineLevel="0" collapsed="false">
      <c r="A380" s="32" t="str">
        <f aca="false">IF(COUNTA(B380,D380,E380,F380)=0,"",ROW()-4)</f>
        <v/>
      </c>
      <c r="B380" s="22"/>
      <c r="C380" s="28"/>
      <c r="D380" s="28"/>
      <c r="E380" s="18"/>
      <c r="F380" s="28"/>
      <c r="G380" s="32" t="str">
        <f aca="false">IF(F380="","",IFERROR(INDEX(請求台帳!$D$5:$D$504,MATCH(F380,請求台帳!$A$5:$A$504,0)),""))</f>
        <v/>
      </c>
      <c r="H380" s="26" t="str">
        <f aca="false">IF(F380="","",IFERROR(INDEX(請求台帳!$I$5:$I$504,MATCH(F380,請求台帳!$A$5:$A$504,0)),""))</f>
        <v/>
      </c>
      <c r="I380" s="29" t="str">
        <f aca="false">IF(COUNTA(B380,D380,E380,F380)=0,"",IF(OR(B380="",E380=""),"要入力",IF(F380="","未消込",IF(ISNA(MATCH(F380,請求台帳!$A$5:$A$504,0)),"番号誤り",IF(INDEX(請求台帳!$T$5:$T$504,MATCH(F380,請求台帳!$A$5:$A$504,0))="取消","取消請求へ消込","消込済")))))</f>
        <v/>
      </c>
      <c r="J380" s="28"/>
      <c r="K380" s="28"/>
    </row>
    <row r="381" customFormat="false" ht="15" hidden="false" customHeight="false" outlineLevel="0" collapsed="false">
      <c r="A381" s="32" t="str">
        <f aca="false">IF(COUNTA(B381,D381,E381,F381)=0,"",ROW()-4)</f>
        <v/>
      </c>
      <c r="B381" s="22"/>
      <c r="C381" s="28"/>
      <c r="D381" s="28"/>
      <c r="E381" s="18"/>
      <c r="F381" s="28"/>
      <c r="G381" s="32" t="str">
        <f aca="false">IF(F381="","",IFERROR(INDEX(請求台帳!$D$5:$D$504,MATCH(F381,請求台帳!$A$5:$A$504,0)),""))</f>
        <v/>
      </c>
      <c r="H381" s="26" t="str">
        <f aca="false">IF(F381="","",IFERROR(INDEX(請求台帳!$I$5:$I$504,MATCH(F381,請求台帳!$A$5:$A$504,0)),""))</f>
        <v/>
      </c>
      <c r="I381" s="29" t="str">
        <f aca="false">IF(COUNTA(B381,D381,E381,F381)=0,"",IF(OR(B381="",E381=""),"要入力",IF(F381="","未消込",IF(ISNA(MATCH(F381,請求台帳!$A$5:$A$504,0)),"番号誤り",IF(INDEX(請求台帳!$T$5:$T$504,MATCH(F381,請求台帳!$A$5:$A$504,0))="取消","取消請求へ消込","消込済")))))</f>
        <v/>
      </c>
      <c r="J381" s="28"/>
      <c r="K381" s="28"/>
    </row>
    <row r="382" customFormat="false" ht="15" hidden="false" customHeight="false" outlineLevel="0" collapsed="false">
      <c r="A382" s="32" t="str">
        <f aca="false">IF(COUNTA(B382,D382,E382,F382)=0,"",ROW()-4)</f>
        <v/>
      </c>
      <c r="B382" s="22"/>
      <c r="C382" s="28"/>
      <c r="D382" s="28"/>
      <c r="E382" s="18"/>
      <c r="F382" s="28"/>
      <c r="G382" s="32" t="str">
        <f aca="false">IF(F382="","",IFERROR(INDEX(請求台帳!$D$5:$D$504,MATCH(F382,請求台帳!$A$5:$A$504,0)),""))</f>
        <v/>
      </c>
      <c r="H382" s="26" t="str">
        <f aca="false">IF(F382="","",IFERROR(INDEX(請求台帳!$I$5:$I$504,MATCH(F382,請求台帳!$A$5:$A$504,0)),""))</f>
        <v/>
      </c>
      <c r="I382" s="29" t="str">
        <f aca="false">IF(COUNTA(B382,D382,E382,F382)=0,"",IF(OR(B382="",E382=""),"要入力",IF(F382="","未消込",IF(ISNA(MATCH(F382,請求台帳!$A$5:$A$504,0)),"番号誤り",IF(INDEX(請求台帳!$T$5:$T$504,MATCH(F382,請求台帳!$A$5:$A$504,0))="取消","取消請求へ消込","消込済")))))</f>
        <v/>
      </c>
      <c r="J382" s="28"/>
      <c r="K382" s="28"/>
    </row>
    <row r="383" customFormat="false" ht="15" hidden="false" customHeight="false" outlineLevel="0" collapsed="false">
      <c r="A383" s="32" t="str">
        <f aca="false">IF(COUNTA(B383,D383,E383,F383)=0,"",ROW()-4)</f>
        <v/>
      </c>
      <c r="B383" s="22"/>
      <c r="C383" s="28"/>
      <c r="D383" s="28"/>
      <c r="E383" s="18"/>
      <c r="F383" s="28"/>
      <c r="G383" s="32" t="str">
        <f aca="false">IF(F383="","",IFERROR(INDEX(請求台帳!$D$5:$D$504,MATCH(F383,請求台帳!$A$5:$A$504,0)),""))</f>
        <v/>
      </c>
      <c r="H383" s="26" t="str">
        <f aca="false">IF(F383="","",IFERROR(INDEX(請求台帳!$I$5:$I$504,MATCH(F383,請求台帳!$A$5:$A$504,0)),""))</f>
        <v/>
      </c>
      <c r="I383" s="29" t="str">
        <f aca="false">IF(COUNTA(B383,D383,E383,F383)=0,"",IF(OR(B383="",E383=""),"要入力",IF(F383="","未消込",IF(ISNA(MATCH(F383,請求台帳!$A$5:$A$504,0)),"番号誤り",IF(INDEX(請求台帳!$T$5:$T$504,MATCH(F383,請求台帳!$A$5:$A$504,0))="取消","取消請求へ消込","消込済")))))</f>
        <v/>
      </c>
      <c r="J383" s="28"/>
      <c r="K383" s="28"/>
    </row>
    <row r="384" customFormat="false" ht="15" hidden="false" customHeight="false" outlineLevel="0" collapsed="false">
      <c r="A384" s="32" t="str">
        <f aca="false">IF(COUNTA(B384,D384,E384,F384)=0,"",ROW()-4)</f>
        <v/>
      </c>
      <c r="B384" s="22"/>
      <c r="C384" s="28"/>
      <c r="D384" s="28"/>
      <c r="E384" s="18"/>
      <c r="F384" s="28"/>
      <c r="G384" s="32" t="str">
        <f aca="false">IF(F384="","",IFERROR(INDEX(請求台帳!$D$5:$D$504,MATCH(F384,請求台帳!$A$5:$A$504,0)),""))</f>
        <v/>
      </c>
      <c r="H384" s="26" t="str">
        <f aca="false">IF(F384="","",IFERROR(INDEX(請求台帳!$I$5:$I$504,MATCH(F384,請求台帳!$A$5:$A$504,0)),""))</f>
        <v/>
      </c>
      <c r="I384" s="29" t="str">
        <f aca="false">IF(COUNTA(B384,D384,E384,F384)=0,"",IF(OR(B384="",E384=""),"要入力",IF(F384="","未消込",IF(ISNA(MATCH(F384,請求台帳!$A$5:$A$504,0)),"番号誤り",IF(INDEX(請求台帳!$T$5:$T$504,MATCH(F384,請求台帳!$A$5:$A$504,0))="取消","取消請求へ消込","消込済")))))</f>
        <v/>
      </c>
      <c r="J384" s="28"/>
      <c r="K384" s="28"/>
    </row>
    <row r="385" customFormat="false" ht="15" hidden="false" customHeight="false" outlineLevel="0" collapsed="false">
      <c r="A385" s="32" t="str">
        <f aca="false">IF(COUNTA(B385,D385,E385,F385)=0,"",ROW()-4)</f>
        <v/>
      </c>
      <c r="B385" s="22"/>
      <c r="C385" s="28"/>
      <c r="D385" s="28"/>
      <c r="E385" s="18"/>
      <c r="F385" s="28"/>
      <c r="G385" s="32" t="str">
        <f aca="false">IF(F385="","",IFERROR(INDEX(請求台帳!$D$5:$D$504,MATCH(F385,請求台帳!$A$5:$A$504,0)),""))</f>
        <v/>
      </c>
      <c r="H385" s="26" t="str">
        <f aca="false">IF(F385="","",IFERROR(INDEX(請求台帳!$I$5:$I$504,MATCH(F385,請求台帳!$A$5:$A$504,0)),""))</f>
        <v/>
      </c>
      <c r="I385" s="29" t="str">
        <f aca="false">IF(COUNTA(B385,D385,E385,F385)=0,"",IF(OR(B385="",E385=""),"要入力",IF(F385="","未消込",IF(ISNA(MATCH(F385,請求台帳!$A$5:$A$504,0)),"番号誤り",IF(INDEX(請求台帳!$T$5:$T$504,MATCH(F385,請求台帳!$A$5:$A$504,0))="取消","取消請求へ消込","消込済")))))</f>
        <v/>
      </c>
      <c r="J385" s="28"/>
      <c r="K385" s="28"/>
    </row>
    <row r="386" customFormat="false" ht="15" hidden="false" customHeight="false" outlineLevel="0" collapsed="false">
      <c r="A386" s="32" t="str">
        <f aca="false">IF(COUNTA(B386,D386,E386,F386)=0,"",ROW()-4)</f>
        <v/>
      </c>
      <c r="B386" s="22"/>
      <c r="C386" s="28"/>
      <c r="D386" s="28"/>
      <c r="E386" s="18"/>
      <c r="F386" s="28"/>
      <c r="G386" s="32" t="str">
        <f aca="false">IF(F386="","",IFERROR(INDEX(請求台帳!$D$5:$D$504,MATCH(F386,請求台帳!$A$5:$A$504,0)),""))</f>
        <v/>
      </c>
      <c r="H386" s="26" t="str">
        <f aca="false">IF(F386="","",IFERROR(INDEX(請求台帳!$I$5:$I$504,MATCH(F386,請求台帳!$A$5:$A$504,0)),""))</f>
        <v/>
      </c>
      <c r="I386" s="29" t="str">
        <f aca="false">IF(COUNTA(B386,D386,E386,F386)=0,"",IF(OR(B386="",E386=""),"要入力",IF(F386="","未消込",IF(ISNA(MATCH(F386,請求台帳!$A$5:$A$504,0)),"番号誤り",IF(INDEX(請求台帳!$T$5:$T$504,MATCH(F386,請求台帳!$A$5:$A$504,0))="取消","取消請求へ消込","消込済")))))</f>
        <v/>
      </c>
      <c r="J386" s="28"/>
      <c r="K386" s="28"/>
    </row>
    <row r="387" customFormat="false" ht="15" hidden="false" customHeight="false" outlineLevel="0" collapsed="false">
      <c r="A387" s="32" t="str">
        <f aca="false">IF(COUNTA(B387,D387,E387,F387)=0,"",ROW()-4)</f>
        <v/>
      </c>
      <c r="B387" s="22"/>
      <c r="C387" s="28"/>
      <c r="D387" s="28"/>
      <c r="E387" s="18"/>
      <c r="F387" s="28"/>
      <c r="G387" s="32" t="str">
        <f aca="false">IF(F387="","",IFERROR(INDEX(請求台帳!$D$5:$D$504,MATCH(F387,請求台帳!$A$5:$A$504,0)),""))</f>
        <v/>
      </c>
      <c r="H387" s="26" t="str">
        <f aca="false">IF(F387="","",IFERROR(INDEX(請求台帳!$I$5:$I$504,MATCH(F387,請求台帳!$A$5:$A$504,0)),""))</f>
        <v/>
      </c>
      <c r="I387" s="29" t="str">
        <f aca="false">IF(COUNTA(B387,D387,E387,F387)=0,"",IF(OR(B387="",E387=""),"要入力",IF(F387="","未消込",IF(ISNA(MATCH(F387,請求台帳!$A$5:$A$504,0)),"番号誤り",IF(INDEX(請求台帳!$T$5:$T$504,MATCH(F387,請求台帳!$A$5:$A$504,0))="取消","取消請求へ消込","消込済")))))</f>
        <v/>
      </c>
      <c r="J387" s="28"/>
      <c r="K387" s="28"/>
    </row>
    <row r="388" customFormat="false" ht="15" hidden="false" customHeight="false" outlineLevel="0" collapsed="false">
      <c r="A388" s="32" t="str">
        <f aca="false">IF(COUNTA(B388,D388,E388,F388)=0,"",ROW()-4)</f>
        <v/>
      </c>
      <c r="B388" s="22"/>
      <c r="C388" s="28"/>
      <c r="D388" s="28"/>
      <c r="E388" s="18"/>
      <c r="F388" s="28"/>
      <c r="G388" s="32" t="str">
        <f aca="false">IF(F388="","",IFERROR(INDEX(請求台帳!$D$5:$D$504,MATCH(F388,請求台帳!$A$5:$A$504,0)),""))</f>
        <v/>
      </c>
      <c r="H388" s="26" t="str">
        <f aca="false">IF(F388="","",IFERROR(INDEX(請求台帳!$I$5:$I$504,MATCH(F388,請求台帳!$A$5:$A$504,0)),""))</f>
        <v/>
      </c>
      <c r="I388" s="29" t="str">
        <f aca="false">IF(COUNTA(B388,D388,E388,F388)=0,"",IF(OR(B388="",E388=""),"要入力",IF(F388="","未消込",IF(ISNA(MATCH(F388,請求台帳!$A$5:$A$504,0)),"番号誤り",IF(INDEX(請求台帳!$T$5:$T$504,MATCH(F388,請求台帳!$A$5:$A$504,0))="取消","取消請求へ消込","消込済")))))</f>
        <v/>
      </c>
      <c r="J388" s="28"/>
      <c r="K388" s="28"/>
    </row>
    <row r="389" customFormat="false" ht="15" hidden="false" customHeight="false" outlineLevel="0" collapsed="false">
      <c r="A389" s="32" t="str">
        <f aca="false">IF(COUNTA(B389,D389,E389,F389)=0,"",ROW()-4)</f>
        <v/>
      </c>
      <c r="B389" s="22"/>
      <c r="C389" s="28"/>
      <c r="D389" s="28"/>
      <c r="E389" s="18"/>
      <c r="F389" s="28"/>
      <c r="G389" s="32" t="str">
        <f aca="false">IF(F389="","",IFERROR(INDEX(請求台帳!$D$5:$D$504,MATCH(F389,請求台帳!$A$5:$A$504,0)),""))</f>
        <v/>
      </c>
      <c r="H389" s="26" t="str">
        <f aca="false">IF(F389="","",IFERROR(INDEX(請求台帳!$I$5:$I$504,MATCH(F389,請求台帳!$A$5:$A$504,0)),""))</f>
        <v/>
      </c>
      <c r="I389" s="29" t="str">
        <f aca="false">IF(COUNTA(B389,D389,E389,F389)=0,"",IF(OR(B389="",E389=""),"要入力",IF(F389="","未消込",IF(ISNA(MATCH(F389,請求台帳!$A$5:$A$504,0)),"番号誤り",IF(INDEX(請求台帳!$T$5:$T$504,MATCH(F389,請求台帳!$A$5:$A$504,0))="取消","取消請求へ消込","消込済")))))</f>
        <v/>
      </c>
      <c r="J389" s="28"/>
      <c r="K389" s="28"/>
    </row>
    <row r="390" customFormat="false" ht="15" hidden="false" customHeight="false" outlineLevel="0" collapsed="false">
      <c r="A390" s="32" t="str">
        <f aca="false">IF(COUNTA(B390,D390,E390,F390)=0,"",ROW()-4)</f>
        <v/>
      </c>
      <c r="B390" s="22"/>
      <c r="C390" s="28"/>
      <c r="D390" s="28"/>
      <c r="E390" s="18"/>
      <c r="F390" s="28"/>
      <c r="G390" s="32" t="str">
        <f aca="false">IF(F390="","",IFERROR(INDEX(請求台帳!$D$5:$D$504,MATCH(F390,請求台帳!$A$5:$A$504,0)),""))</f>
        <v/>
      </c>
      <c r="H390" s="26" t="str">
        <f aca="false">IF(F390="","",IFERROR(INDEX(請求台帳!$I$5:$I$504,MATCH(F390,請求台帳!$A$5:$A$504,0)),""))</f>
        <v/>
      </c>
      <c r="I390" s="29" t="str">
        <f aca="false">IF(COUNTA(B390,D390,E390,F390)=0,"",IF(OR(B390="",E390=""),"要入力",IF(F390="","未消込",IF(ISNA(MATCH(F390,請求台帳!$A$5:$A$504,0)),"番号誤り",IF(INDEX(請求台帳!$T$5:$T$504,MATCH(F390,請求台帳!$A$5:$A$504,0))="取消","取消請求へ消込","消込済")))))</f>
        <v/>
      </c>
      <c r="J390" s="28"/>
      <c r="K390" s="28"/>
    </row>
    <row r="391" customFormat="false" ht="15" hidden="false" customHeight="false" outlineLevel="0" collapsed="false">
      <c r="A391" s="32" t="str">
        <f aca="false">IF(COUNTA(B391,D391,E391,F391)=0,"",ROW()-4)</f>
        <v/>
      </c>
      <c r="B391" s="22"/>
      <c r="C391" s="28"/>
      <c r="D391" s="28"/>
      <c r="E391" s="18"/>
      <c r="F391" s="28"/>
      <c r="G391" s="32" t="str">
        <f aca="false">IF(F391="","",IFERROR(INDEX(請求台帳!$D$5:$D$504,MATCH(F391,請求台帳!$A$5:$A$504,0)),""))</f>
        <v/>
      </c>
      <c r="H391" s="26" t="str">
        <f aca="false">IF(F391="","",IFERROR(INDEX(請求台帳!$I$5:$I$504,MATCH(F391,請求台帳!$A$5:$A$504,0)),""))</f>
        <v/>
      </c>
      <c r="I391" s="29" t="str">
        <f aca="false">IF(COUNTA(B391,D391,E391,F391)=0,"",IF(OR(B391="",E391=""),"要入力",IF(F391="","未消込",IF(ISNA(MATCH(F391,請求台帳!$A$5:$A$504,0)),"番号誤り",IF(INDEX(請求台帳!$T$5:$T$504,MATCH(F391,請求台帳!$A$5:$A$504,0))="取消","取消請求へ消込","消込済")))))</f>
        <v/>
      </c>
      <c r="J391" s="28"/>
      <c r="K391" s="28"/>
    </row>
    <row r="392" customFormat="false" ht="15" hidden="false" customHeight="false" outlineLevel="0" collapsed="false">
      <c r="A392" s="32" t="str">
        <f aca="false">IF(COUNTA(B392,D392,E392,F392)=0,"",ROW()-4)</f>
        <v/>
      </c>
      <c r="B392" s="22"/>
      <c r="C392" s="28"/>
      <c r="D392" s="28"/>
      <c r="E392" s="18"/>
      <c r="F392" s="28"/>
      <c r="G392" s="32" t="str">
        <f aca="false">IF(F392="","",IFERROR(INDEX(請求台帳!$D$5:$D$504,MATCH(F392,請求台帳!$A$5:$A$504,0)),""))</f>
        <v/>
      </c>
      <c r="H392" s="26" t="str">
        <f aca="false">IF(F392="","",IFERROR(INDEX(請求台帳!$I$5:$I$504,MATCH(F392,請求台帳!$A$5:$A$504,0)),""))</f>
        <v/>
      </c>
      <c r="I392" s="29" t="str">
        <f aca="false">IF(COUNTA(B392,D392,E392,F392)=0,"",IF(OR(B392="",E392=""),"要入力",IF(F392="","未消込",IF(ISNA(MATCH(F392,請求台帳!$A$5:$A$504,0)),"番号誤り",IF(INDEX(請求台帳!$T$5:$T$504,MATCH(F392,請求台帳!$A$5:$A$504,0))="取消","取消請求へ消込","消込済")))))</f>
        <v/>
      </c>
      <c r="J392" s="28"/>
      <c r="K392" s="28"/>
    </row>
    <row r="393" customFormat="false" ht="15" hidden="false" customHeight="false" outlineLevel="0" collapsed="false">
      <c r="A393" s="32" t="str">
        <f aca="false">IF(COUNTA(B393,D393,E393,F393)=0,"",ROW()-4)</f>
        <v/>
      </c>
      <c r="B393" s="22"/>
      <c r="C393" s="28"/>
      <c r="D393" s="28"/>
      <c r="E393" s="18"/>
      <c r="F393" s="28"/>
      <c r="G393" s="32" t="str">
        <f aca="false">IF(F393="","",IFERROR(INDEX(請求台帳!$D$5:$D$504,MATCH(F393,請求台帳!$A$5:$A$504,0)),""))</f>
        <v/>
      </c>
      <c r="H393" s="26" t="str">
        <f aca="false">IF(F393="","",IFERROR(INDEX(請求台帳!$I$5:$I$504,MATCH(F393,請求台帳!$A$5:$A$504,0)),""))</f>
        <v/>
      </c>
      <c r="I393" s="29" t="str">
        <f aca="false">IF(COUNTA(B393,D393,E393,F393)=0,"",IF(OR(B393="",E393=""),"要入力",IF(F393="","未消込",IF(ISNA(MATCH(F393,請求台帳!$A$5:$A$504,0)),"番号誤り",IF(INDEX(請求台帳!$T$5:$T$504,MATCH(F393,請求台帳!$A$5:$A$504,0))="取消","取消請求へ消込","消込済")))))</f>
        <v/>
      </c>
      <c r="J393" s="28"/>
      <c r="K393" s="28"/>
    </row>
    <row r="394" customFormat="false" ht="15" hidden="false" customHeight="false" outlineLevel="0" collapsed="false">
      <c r="A394" s="32" t="str">
        <f aca="false">IF(COUNTA(B394,D394,E394,F394)=0,"",ROW()-4)</f>
        <v/>
      </c>
      <c r="B394" s="22"/>
      <c r="C394" s="28"/>
      <c r="D394" s="28"/>
      <c r="E394" s="18"/>
      <c r="F394" s="28"/>
      <c r="G394" s="32" t="str">
        <f aca="false">IF(F394="","",IFERROR(INDEX(請求台帳!$D$5:$D$504,MATCH(F394,請求台帳!$A$5:$A$504,0)),""))</f>
        <v/>
      </c>
      <c r="H394" s="26" t="str">
        <f aca="false">IF(F394="","",IFERROR(INDEX(請求台帳!$I$5:$I$504,MATCH(F394,請求台帳!$A$5:$A$504,0)),""))</f>
        <v/>
      </c>
      <c r="I394" s="29" t="str">
        <f aca="false">IF(COUNTA(B394,D394,E394,F394)=0,"",IF(OR(B394="",E394=""),"要入力",IF(F394="","未消込",IF(ISNA(MATCH(F394,請求台帳!$A$5:$A$504,0)),"番号誤り",IF(INDEX(請求台帳!$T$5:$T$504,MATCH(F394,請求台帳!$A$5:$A$504,0))="取消","取消請求へ消込","消込済")))))</f>
        <v/>
      </c>
      <c r="J394" s="28"/>
      <c r="K394" s="28"/>
    </row>
    <row r="395" customFormat="false" ht="15" hidden="false" customHeight="false" outlineLevel="0" collapsed="false">
      <c r="A395" s="32" t="str">
        <f aca="false">IF(COUNTA(B395,D395,E395,F395)=0,"",ROW()-4)</f>
        <v/>
      </c>
      <c r="B395" s="22"/>
      <c r="C395" s="28"/>
      <c r="D395" s="28"/>
      <c r="E395" s="18"/>
      <c r="F395" s="28"/>
      <c r="G395" s="32" t="str">
        <f aca="false">IF(F395="","",IFERROR(INDEX(請求台帳!$D$5:$D$504,MATCH(F395,請求台帳!$A$5:$A$504,0)),""))</f>
        <v/>
      </c>
      <c r="H395" s="26" t="str">
        <f aca="false">IF(F395="","",IFERROR(INDEX(請求台帳!$I$5:$I$504,MATCH(F395,請求台帳!$A$5:$A$504,0)),""))</f>
        <v/>
      </c>
      <c r="I395" s="29" t="str">
        <f aca="false">IF(COUNTA(B395,D395,E395,F395)=0,"",IF(OR(B395="",E395=""),"要入力",IF(F395="","未消込",IF(ISNA(MATCH(F395,請求台帳!$A$5:$A$504,0)),"番号誤り",IF(INDEX(請求台帳!$T$5:$T$504,MATCH(F395,請求台帳!$A$5:$A$504,0))="取消","取消請求へ消込","消込済")))))</f>
        <v/>
      </c>
      <c r="J395" s="28"/>
      <c r="K395" s="28"/>
    </row>
    <row r="396" customFormat="false" ht="15" hidden="false" customHeight="false" outlineLevel="0" collapsed="false">
      <c r="A396" s="32" t="str">
        <f aca="false">IF(COUNTA(B396,D396,E396,F396)=0,"",ROW()-4)</f>
        <v/>
      </c>
      <c r="B396" s="22"/>
      <c r="C396" s="28"/>
      <c r="D396" s="28"/>
      <c r="E396" s="18"/>
      <c r="F396" s="28"/>
      <c r="G396" s="32" t="str">
        <f aca="false">IF(F396="","",IFERROR(INDEX(請求台帳!$D$5:$D$504,MATCH(F396,請求台帳!$A$5:$A$504,0)),""))</f>
        <v/>
      </c>
      <c r="H396" s="26" t="str">
        <f aca="false">IF(F396="","",IFERROR(INDEX(請求台帳!$I$5:$I$504,MATCH(F396,請求台帳!$A$5:$A$504,0)),""))</f>
        <v/>
      </c>
      <c r="I396" s="29" t="str">
        <f aca="false">IF(COUNTA(B396,D396,E396,F396)=0,"",IF(OR(B396="",E396=""),"要入力",IF(F396="","未消込",IF(ISNA(MATCH(F396,請求台帳!$A$5:$A$504,0)),"番号誤り",IF(INDEX(請求台帳!$T$5:$T$504,MATCH(F396,請求台帳!$A$5:$A$504,0))="取消","取消請求へ消込","消込済")))))</f>
        <v/>
      </c>
      <c r="J396" s="28"/>
      <c r="K396" s="28"/>
    </row>
    <row r="397" customFormat="false" ht="15" hidden="false" customHeight="false" outlineLevel="0" collapsed="false">
      <c r="A397" s="32" t="str">
        <f aca="false">IF(COUNTA(B397,D397,E397,F397)=0,"",ROW()-4)</f>
        <v/>
      </c>
      <c r="B397" s="22"/>
      <c r="C397" s="28"/>
      <c r="D397" s="28"/>
      <c r="E397" s="18"/>
      <c r="F397" s="28"/>
      <c r="G397" s="32" t="str">
        <f aca="false">IF(F397="","",IFERROR(INDEX(請求台帳!$D$5:$D$504,MATCH(F397,請求台帳!$A$5:$A$504,0)),""))</f>
        <v/>
      </c>
      <c r="H397" s="26" t="str">
        <f aca="false">IF(F397="","",IFERROR(INDEX(請求台帳!$I$5:$I$504,MATCH(F397,請求台帳!$A$5:$A$504,0)),""))</f>
        <v/>
      </c>
      <c r="I397" s="29" t="str">
        <f aca="false">IF(COUNTA(B397,D397,E397,F397)=0,"",IF(OR(B397="",E397=""),"要入力",IF(F397="","未消込",IF(ISNA(MATCH(F397,請求台帳!$A$5:$A$504,0)),"番号誤り",IF(INDEX(請求台帳!$T$5:$T$504,MATCH(F397,請求台帳!$A$5:$A$504,0))="取消","取消請求へ消込","消込済")))))</f>
        <v/>
      </c>
      <c r="J397" s="28"/>
      <c r="K397" s="28"/>
    </row>
    <row r="398" customFormat="false" ht="15" hidden="false" customHeight="false" outlineLevel="0" collapsed="false">
      <c r="A398" s="32" t="str">
        <f aca="false">IF(COUNTA(B398,D398,E398,F398)=0,"",ROW()-4)</f>
        <v/>
      </c>
      <c r="B398" s="22"/>
      <c r="C398" s="28"/>
      <c r="D398" s="28"/>
      <c r="E398" s="18"/>
      <c r="F398" s="28"/>
      <c r="G398" s="32" t="str">
        <f aca="false">IF(F398="","",IFERROR(INDEX(請求台帳!$D$5:$D$504,MATCH(F398,請求台帳!$A$5:$A$504,0)),""))</f>
        <v/>
      </c>
      <c r="H398" s="26" t="str">
        <f aca="false">IF(F398="","",IFERROR(INDEX(請求台帳!$I$5:$I$504,MATCH(F398,請求台帳!$A$5:$A$504,0)),""))</f>
        <v/>
      </c>
      <c r="I398" s="29" t="str">
        <f aca="false">IF(COUNTA(B398,D398,E398,F398)=0,"",IF(OR(B398="",E398=""),"要入力",IF(F398="","未消込",IF(ISNA(MATCH(F398,請求台帳!$A$5:$A$504,0)),"番号誤り",IF(INDEX(請求台帳!$T$5:$T$504,MATCH(F398,請求台帳!$A$5:$A$504,0))="取消","取消請求へ消込","消込済")))))</f>
        <v/>
      </c>
      <c r="J398" s="28"/>
      <c r="K398" s="28"/>
    </row>
    <row r="399" customFormat="false" ht="15" hidden="false" customHeight="false" outlineLevel="0" collapsed="false">
      <c r="A399" s="32" t="str">
        <f aca="false">IF(COUNTA(B399,D399,E399,F399)=0,"",ROW()-4)</f>
        <v/>
      </c>
      <c r="B399" s="22"/>
      <c r="C399" s="28"/>
      <c r="D399" s="28"/>
      <c r="E399" s="18"/>
      <c r="F399" s="28"/>
      <c r="G399" s="32" t="str">
        <f aca="false">IF(F399="","",IFERROR(INDEX(請求台帳!$D$5:$D$504,MATCH(F399,請求台帳!$A$5:$A$504,0)),""))</f>
        <v/>
      </c>
      <c r="H399" s="26" t="str">
        <f aca="false">IF(F399="","",IFERROR(INDEX(請求台帳!$I$5:$I$504,MATCH(F399,請求台帳!$A$5:$A$504,0)),""))</f>
        <v/>
      </c>
      <c r="I399" s="29" t="str">
        <f aca="false">IF(COUNTA(B399,D399,E399,F399)=0,"",IF(OR(B399="",E399=""),"要入力",IF(F399="","未消込",IF(ISNA(MATCH(F399,請求台帳!$A$5:$A$504,0)),"番号誤り",IF(INDEX(請求台帳!$T$5:$T$504,MATCH(F399,請求台帳!$A$5:$A$504,0))="取消","取消請求へ消込","消込済")))))</f>
        <v/>
      </c>
      <c r="J399" s="28"/>
      <c r="K399" s="28"/>
    </row>
    <row r="400" customFormat="false" ht="15" hidden="false" customHeight="false" outlineLevel="0" collapsed="false">
      <c r="A400" s="32" t="str">
        <f aca="false">IF(COUNTA(B400,D400,E400,F400)=0,"",ROW()-4)</f>
        <v/>
      </c>
      <c r="B400" s="22"/>
      <c r="C400" s="28"/>
      <c r="D400" s="28"/>
      <c r="E400" s="18"/>
      <c r="F400" s="28"/>
      <c r="G400" s="32" t="str">
        <f aca="false">IF(F400="","",IFERROR(INDEX(請求台帳!$D$5:$D$504,MATCH(F400,請求台帳!$A$5:$A$504,0)),""))</f>
        <v/>
      </c>
      <c r="H400" s="26" t="str">
        <f aca="false">IF(F400="","",IFERROR(INDEX(請求台帳!$I$5:$I$504,MATCH(F400,請求台帳!$A$5:$A$504,0)),""))</f>
        <v/>
      </c>
      <c r="I400" s="29" t="str">
        <f aca="false">IF(COUNTA(B400,D400,E400,F400)=0,"",IF(OR(B400="",E400=""),"要入力",IF(F400="","未消込",IF(ISNA(MATCH(F400,請求台帳!$A$5:$A$504,0)),"番号誤り",IF(INDEX(請求台帳!$T$5:$T$504,MATCH(F400,請求台帳!$A$5:$A$504,0))="取消","取消請求へ消込","消込済")))))</f>
        <v/>
      </c>
      <c r="J400" s="28"/>
      <c r="K400" s="28"/>
    </row>
    <row r="401" customFormat="false" ht="15" hidden="false" customHeight="false" outlineLevel="0" collapsed="false">
      <c r="A401" s="32" t="str">
        <f aca="false">IF(COUNTA(B401,D401,E401,F401)=0,"",ROW()-4)</f>
        <v/>
      </c>
      <c r="B401" s="22"/>
      <c r="C401" s="28"/>
      <c r="D401" s="28"/>
      <c r="E401" s="18"/>
      <c r="F401" s="28"/>
      <c r="G401" s="32" t="str">
        <f aca="false">IF(F401="","",IFERROR(INDEX(請求台帳!$D$5:$D$504,MATCH(F401,請求台帳!$A$5:$A$504,0)),""))</f>
        <v/>
      </c>
      <c r="H401" s="26" t="str">
        <f aca="false">IF(F401="","",IFERROR(INDEX(請求台帳!$I$5:$I$504,MATCH(F401,請求台帳!$A$5:$A$504,0)),""))</f>
        <v/>
      </c>
      <c r="I401" s="29" t="str">
        <f aca="false">IF(COUNTA(B401,D401,E401,F401)=0,"",IF(OR(B401="",E401=""),"要入力",IF(F401="","未消込",IF(ISNA(MATCH(F401,請求台帳!$A$5:$A$504,0)),"番号誤り",IF(INDEX(請求台帳!$T$5:$T$504,MATCH(F401,請求台帳!$A$5:$A$504,0))="取消","取消請求へ消込","消込済")))))</f>
        <v/>
      </c>
      <c r="J401" s="28"/>
      <c r="K401" s="28"/>
    </row>
    <row r="402" customFormat="false" ht="15" hidden="false" customHeight="false" outlineLevel="0" collapsed="false">
      <c r="A402" s="32" t="str">
        <f aca="false">IF(COUNTA(B402,D402,E402,F402)=0,"",ROW()-4)</f>
        <v/>
      </c>
      <c r="B402" s="22"/>
      <c r="C402" s="28"/>
      <c r="D402" s="28"/>
      <c r="E402" s="18"/>
      <c r="F402" s="28"/>
      <c r="G402" s="32" t="str">
        <f aca="false">IF(F402="","",IFERROR(INDEX(請求台帳!$D$5:$D$504,MATCH(F402,請求台帳!$A$5:$A$504,0)),""))</f>
        <v/>
      </c>
      <c r="H402" s="26" t="str">
        <f aca="false">IF(F402="","",IFERROR(INDEX(請求台帳!$I$5:$I$504,MATCH(F402,請求台帳!$A$5:$A$504,0)),""))</f>
        <v/>
      </c>
      <c r="I402" s="29" t="str">
        <f aca="false">IF(COUNTA(B402,D402,E402,F402)=0,"",IF(OR(B402="",E402=""),"要入力",IF(F402="","未消込",IF(ISNA(MATCH(F402,請求台帳!$A$5:$A$504,0)),"番号誤り",IF(INDEX(請求台帳!$T$5:$T$504,MATCH(F402,請求台帳!$A$5:$A$504,0))="取消","取消請求へ消込","消込済")))))</f>
        <v/>
      </c>
      <c r="J402" s="28"/>
      <c r="K402" s="28"/>
    </row>
    <row r="403" customFormat="false" ht="15" hidden="false" customHeight="false" outlineLevel="0" collapsed="false">
      <c r="A403" s="32" t="str">
        <f aca="false">IF(COUNTA(B403,D403,E403,F403)=0,"",ROW()-4)</f>
        <v/>
      </c>
      <c r="B403" s="22"/>
      <c r="C403" s="28"/>
      <c r="D403" s="28"/>
      <c r="E403" s="18"/>
      <c r="F403" s="28"/>
      <c r="G403" s="32" t="str">
        <f aca="false">IF(F403="","",IFERROR(INDEX(請求台帳!$D$5:$D$504,MATCH(F403,請求台帳!$A$5:$A$504,0)),""))</f>
        <v/>
      </c>
      <c r="H403" s="26" t="str">
        <f aca="false">IF(F403="","",IFERROR(INDEX(請求台帳!$I$5:$I$504,MATCH(F403,請求台帳!$A$5:$A$504,0)),""))</f>
        <v/>
      </c>
      <c r="I403" s="29" t="str">
        <f aca="false">IF(COUNTA(B403,D403,E403,F403)=0,"",IF(OR(B403="",E403=""),"要入力",IF(F403="","未消込",IF(ISNA(MATCH(F403,請求台帳!$A$5:$A$504,0)),"番号誤り",IF(INDEX(請求台帳!$T$5:$T$504,MATCH(F403,請求台帳!$A$5:$A$504,0))="取消","取消請求へ消込","消込済")))))</f>
        <v/>
      </c>
      <c r="J403" s="28"/>
      <c r="K403" s="28"/>
    </row>
    <row r="404" customFormat="false" ht="15" hidden="false" customHeight="false" outlineLevel="0" collapsed="false">
      <c r="A404" s="32" t="str">
        <f aca="false">IF(COUNTA(B404,D404,E404,F404)=0,"",ROW()-4)</f>
        <v/>
      </c>
      <c r="B404" s="22"/>
      <c r="C404" s="28"/>
      <c r="D404" s="28"/>
      <c r="E404" s="18"/>
      <c r="F404" s="28"/>
      <c r="G404" s="32" t="str">
        <f aca="false">IF(F404="","",IFERROR(INDEX(請求台帳!$D$5:$D$504,MATCH(F404,請求台帳!$A$5:$A$504,0)),""))</f>
        <v/>
      </c>
      <c r="H404" s="26" t="str">
        <f aca="false">IF(F404="","",IFERROR(INDEX(請求台帳!$I$5:$I$504,MATCH(F404,請求台帳!$A$5:$A$504,0)),""))</f>
        <v/>
      </c>
      <c r="I404" s="29" t="str">
        <f aca="false">IF(COUNTA(B404,D404,E404,F404)=0,"",IF(OR(B404="",E404=""),"要入力",IF(F404="","未消込",IF(ISNA(MATCH(F404,請求台帳!$A$5:$A$504,0)),"番号誤り",IF(INDEX(請求台帳!$T$5:$T$504,MATCH(F404,請求台帳!$A$5:$A$504,0))="取消","取消請求へ消込","消込済")))))</f>
        <v/>
      </c>
      <c r="J404" s="28"/>
      <c r="K404" s="28"/>
    </row>
    <row r="405" customFormat="false" ht="15" hidden="false" customHeight="false" outlineLevel="0" collapsed="false">
      <c r="A405" s="32" t="str">
        <f aca="false">IF(COUNTA(B405,D405,E405,F405)=0,"",ROW()-4)</f>
        <v/>
      </c>
      <c r="B405" s="22"/>
      <c r="C405" s="28"/>
      <c r="D405" s="28"/>
      <c r="E405" s="18"/>
      <c r="F405" s="28"/>
      <c r="G405" s="32" t="str">
        <f aca="false">IF(F405="","",IFERROR(INDEX(請求台帳!$D$5:$D$504,MATCH(F405,請求台帳!$A$5:$A$504,0)),""))</f>
        <v/>
      </c>
      <c r="H405" s="26" t="str">
        <f aca="false">IF(F405="","",IFERROR(INDEX(請求台帳!$I$5:$I$504,MATCH(F405,請求台帳!$A$5:$A$504,0)),""))</f>
        <v/>
      </c>
      <c r="I405" s="29" t="str">
        <f aca="false">IF(COUNTA(B405,D405,E405,F405)=0,"",IF(OR(B405="",E405=""),"要入力",IF(F405="","未消込",IF(ISNA(MATCH(F405,請求台帳!$A$5:$A$504,0)),"番号誤り",IF(INDEX(請求台帳!$T$5:$T$504,MATCH(F405,請求台帳!$A$5:$A$504,0))="取消","取消請求へ消込","消込済")))))</f>
        <v/>
      </c>
      <c r="J405" s="28"/>
      <c r="K405" s="28"/>
    </row>
    <row r="406" customFormat="false" ht="15" hidden="false" customHeight="false" outlineLevel="0" collapsed="false">
      <c r="A406" s="32" t="str">
        <f aca="false">IF(COUNTA(B406,D406,E406,F406)=0,"",ROW()-4)</f>
        <v/>
      </c>
      <c r="B406" s="22"/>
      <c r="C406" s="28"/>
      <c r="D406" s="28"/>
      <c r="E406" s="18"/>
      <c r="F406" s="28"/>
      <c r="G406" s="32" t="str">
        <f aca="false">IF(F406="","",IFERROR(INDEX(請求台帳!$D$5:$D$504,MATCH(F406,請求台帳!$A$5:$A$504,0)),""))</f>
        <v/>
      </c>
      <c r="H406" s="26" t="str">
        <f aca="false">IF(F406="","",IFERROR(INDEX(請求台帳!$I$5:$I$504,MATCH(F406,請求台帳!$A$5:$A$504,0)),""))</f>
        <v/>
      </c>
      <c r="I406" s="29" t="str">
        <f aca="false">IF(COUNTA(B406,D406,E406,F406)=0,"",IF(OR(B406="",E406=""),"要入力",IF(F406="","未消込",IF(ISNA(MATCH(F406,請求台帳!$A$5:$A$504,0)),"番号誤り",IF(INDEX(請求台帳!$T$5:$T$504,MATCH(F406,請求台帳!$A$5:$A$504,0))="取消","取消請求へ消込","消込済")))))</f>
        <v/>
      </c>
      <c r="J406" s="28"/>
      <c r="K406" s="28"/>
    </row>
    <row r="407" customFormat="false" ht="15" hidden="false" customHeight="false" outlineLevel="0" collapsed="false">
      <c r="A407" s="32" t="str">
        <f aca="false">IF(COUNTA(B407,D407,E407,F407)=0,"",ROW()-4)</f>
        <v/>
      </c>
      <c r="B407" s="22"/>
      <c r="C407" s="28"/>
      <c r="D407" s="28"/>
      <c r="E407" s="18"/>
      <c r="F407" s="28"/>
      <c r="G407" s="32" t="str">
        <f aca="false">IF(F407="","",IFERROR(INDEX(請求台帳!$D$5:$D$504,MATCH(F407,請求台帳!$A$5:$A$504,0)),""))</f>
        <v/>
      </c>
      <c r="H407" s="26" t="str">
        <f aca="false">IF(F407="","",IFERROR(INDEX(請求台帳!$I$5:$I$504,MATCH(F407,請求台帳!$A$5:$A$504,0)),""))</f>
        <v/>
      </c>
      <c r="I407" s="29" t="str">
        <f aca="false">IF(COUNTA(B407,D407,E407,F407)=0,"",IF(OR(B407="",E407=""),"要入力",IF(F407="","未消込",IF(ISNA(MATCH(F407,請求台帳!$A$5:$A$504,0)),"番号誤り",IF(INDEX(請求台帳!$T$5:$T$504,MATCH(F407,請求台帳!$A$5:$A$504,0))="取消","取消請求へ消込","消込済")))))</f>
        <v/>
      </c>
      <c r="J407" s="28"/>
      <c r="K407" s="28"/>
    </row>
    <row r="408" customFormat="false" ht="15" hidden="false" customHeight="false" outlineLevel="0" collapsed="false">
      <c r="A408" s="32" t="str">
        <f aca="false">IF(COUNTA(B408,D408,E408,F408)=0,"",ROW()-4)</f>
        <v/>
      </c>
      <c r="B408" s="22"/>
      <c r="C408" s="28"/>
      <c r="D408" s="28"/>
      <c r="E408" s="18"/>
      <c r="F408" s="28"/>
      <c r="G408" s="32" t="str">
        <f aca="false">IF(F408="","",IFERROR(INDEX(請求台帳!$D$5:$D$504,MATCH(F408,請求台帳!$A$5:$A$504,0)),""))</f>
        <v/>
      </c>
      <c r="H408" s="26" t="str">
        <f aca="false">IF(F408="","",IFERROR(INDEX(請求台帳!$I$5:$I$504,MATCH(F408,請求台帳!$A$5:$A$504,0)),""))</f>
        <v/>
      </c>
      <c r="I408" s="29" t="str">
        <f aca="false">IF(COUNTA(B408,D408,E408,F408)=0,"",IF(OR(B408="",E408=""),"要入力",IF(F408="","未消込",IF(ISNA(MATCH(F408,請求台帳!$A$5:$A$504,0)),"番号誤り",IF(INDEX(請求台帳!$T$5:$T$504,MATCH(F408,請求台帳!$A$5:$A$504,0))="取消","取消請求へ消込","消込済")))))</f>
        <v/>
      </c>
      <c r="J408" s="28"/>
      <c r="K408" s="28"/>
    </row>
    <row r="409" customFormat="false" ht="15" hidden="false" customHeight="false" outlineLevel="0" collapsed="false">
      <c r="A409" s="32" t="str">
        <f aca="false">IF(COUNTA(B409,D409,E409,F409)=0,"",ROW()-4)</f>
        <v/>
      </c>
      <c r="B409" s="22"/>
      <c r="C409" s="28"/>
      <c r="D409" s="28"/>
      <c r="E409" s="18"/>
      <c r="F409" s="28"/>
      <c r="G409" s="32" t="str">
        <f aca="false">IF(F409="","",IFERROR(INDEX(請求台帳!$D$5:$D$504,MATCH(F409,請求台帳!$A$5:$A$504,0)),""))</f>
        <v/>
      </c>
      <c r="H409" s="26" t="str">
        <f aca="false">IF(F409="","",IFERROR(INDEX(請求台帳!$I$5:$I$504,MATCH(F409,請求台帳!$A$5:$A$504,0)),""))</f>
        <v/>
      </c>
      <c r="I409" s="29" t="str">
        <f aca="false">IF(COUNTA(B409,D409,E409,F409)=0,"",IF(OR(B409="",E409=""),"要入力",IF(F409="","未消込",IF(ISNA(MATCH(F409,請求台帳!$A$5:$A$504,0)),"番号誤り",IF(INDEX(請求台帳!$T$5:$T$504,MATCH(F409,請求台帳!$A$5:$A$504,0))="取消","取消請求へ消込","消込済")))))</f>
        <v/>
      </c>
      <c r="J409" s="28"/>
      <c r="K409" s="28"/>
    </row>
    <row r="410" customFormat="false" ht="15" hidden="false" customHeight="false" outlineLevel="0" collapsed="false">
      <c r="A410" s="32" t="str">
        <f aca="false">IF(COUNTA(B410,D410,E410,F410)=0,"",ROW()-4)</f>
        <v/>
      </c>
      <c r="B410" s="22"/>
      <c r="C410" s="28"/>
      <c r="D410" s="28"/>
      <c r="E410" s="18"/>
      <c r="F410" s="28"/>
      <c r="G410" s="32" t="str">
        <f aca="false">IF(F410="","",IFERROR(INDEX(請求台帳!$D$5:$D$504,MATCH(F410,請求台帳!$A$5:$A$504,0)),""))</f>
        <v/>
      </c>
      <c r="H410" s="26" t="str">
        <f aca="false">IF(F410="","",IFERROR(INDEX(請求台帳!$I$5:$I$504,MATCH(F410,請求台帳!$A$5:$A$504,0)),""))</f>
        <v/>
      </c>
      <c r="I410" s="29" t="str">
        <f aca="false">IF(COUNTA(B410,D410,E410,F410)=0,"",IF(OR(B410="",E410=""),"要入力",IF(F410="","未消込",IF(ISNA(MATCH(F410,請求台帳!$A$5:$A$504,0)),"番号誤り",IF(INDEX(請求台帳!$T$5:$T$504,MATCH(F410,請求台帳!$A$5:$A$504,0))="取消","取消請求へ消込","消込済")))))</f>
        <v/>
      </c>
      <c r="J410" s="28"/>
      <c r="K410" s="28"/>
    </row>
    <row r="411" customFormat="false" ht="15" hidden="false" customHeight="false" outlineLevel="0" collapsed="false">
      <c r="A411" s="32" t="str">
        <f aca="false">IF(COUNTA(B411,D411,E411,F411)=0,"",ROW()-4)</f>
        <v/>
      </c>
      <c r="B411" s="22"/>
      <c r="C411" s="28"/>
      <c r="D411" s="28"/>
      <c r="E411" s="18"/>
      <c r="F411" s="28"/>
      <c r="G411" s="32" t="str">
        <f aca="false">IF(F411="","",IFERROR(INDEX(請求台帳!$D$5:$D$504,MATCH(F411,請求台帳!$A$5:$A$504,0)),""))</f>
        <v/>
      </c>
      <c r="H411" s="26" t="str">
        <f aca="false">IF(F411="","",IFERROR(INDEX(請求台帳!$I$5:$I$504,MATCH(F411,請求台帳!$A$5:$A$504,0)),""))</f>
        <v/>
      </c>
      <c r="I411" s="29" t="str">
        <f aca="false">IF(COUNTA(B411,D411,E411,F411)=0,"",IF(OR(B411="",E411=""),"要入力",IF(F411="","未消込",IF(ISNA(MATCH(F411,請求台帳!$A$5:$A$504,0)),"番号誤り",IF(INDEX(請求台帳!$T$5:$T$504,MATCH(F411,請求台帳!$A$5:$A$504,0))="取消","取消請求へ消込","消込済")))))</f>
        <v/>
      </c>
      <c r="J411" s="28"/>
      <c r="K411" s="28"/>
    </row>
    <row r="412" customFormat="false" ht="15" hidden="false" customHeight="false" outlineLevel="0" collapsed="false">
      <c r="A412" s="32" t="str">
        <f aca="false">IF(COUNTA(B412,D412,E412,F412)=0,"",ROW()-4)</f>
        <v/>
      </c>
      <c r="B412" s="22"/>
      <c r="C412" s="28"/>
      <c r="D412" s="28"/>
      <c r="E412" s="18"/>
      <c r="F412" s="28"/>
      <c r="G412" s="32" t="str">
        <f aca="false">IF(F412="","",IFERROR(INDEX(請求台帳!$D$5:$D$504,MATCH(F412,請求台帳!$A$5:$A$504,0)),""))</f>
        <v/>
      </c>
      <c r="H412" s="26" t="str">
        <f aca="false">IF(F412="","",IFERROR(INDEX(請求台帳!$I$5:$I$504,MATCH(F412,請求台帳!$A$5:$A$504,0)),""))</f>
        <v/>
      </c>
      <c r="I412" s="29" t="str">
        <f aca="false">IF(COUNTA(B412,D412,E412,F412)=0,"",IF(OR(B412="",E412=""),"要入力",IF(F412="","未消込",IF(ISNA(MATCH(F412,請求台帳!$A$5:$A$504,0)),"番号誤り",IF(INDEX(請求台帳!$T$5:$T$504,MATCH(F412,請求台帳!$A$5:$A$504,0))="取消","取消請求へ消込","消込済")))))</f>
        <v/>
      </c>
      <c r="J412" s="28"/>
      <c r="K412" s="28"/>
    </row>
    <row r="413" customFormat="false" ht="15" hidden="false" customHeight="false" outlineLevel="0" collapsed="false">
      <c r="A413" s="32" t="str">
        <f aca="false">IF(COUNTA(B413,D413,E413,F413)=0,"",ROW()-4)</f>
        <v/>
      </c>
      <c r="B413" s="22"/>
      <c r="C413" s="28"/>
      <c r="D413" s="28"/>
      <c r="E413" s="18"/>
      <c r="F413" s="28"/>
      <c r="G413" s="32" t="str">
        <f aca="false">IF(F413="","",IFERROR(INDEX(請求台帳!$D$5:$D$504,MATCH(F413,請求台帳!$A$5:$A$504,0)),""))</f>
        <v/>
      </c>
      <c r="H413" s="26" t="str">
        <f aca="false">IF(F413="","",IFERROR(INDEX(請求台帳!$I$5:$I$504,MATCH(F413,請求台帳!$A$5:$A$504,0)),""))</f>
        <v/>
      </c>
      <c r="I413" s="29" t="str">
        <f aca="false">IF(COUNTA(B413,D413,E413,F413)=0,"",IF(OR(B413="",E413=""),"要入力",IF(F413="","未消込",IF(ISNA(MATCH(F413,請求台帳!$A$5:$A$504,0)),"番号誤り",IF(INDEX(請求台帳!$T$5:$T$504,MATCH(F413,請求台帳!$A$5:$A$504,0))="取消","取消請求へ消込","消込済")))))</f>
        <v/>
      </c>
      <c r="J413" s="28"/>
      <c r="K413" s="28"/>
    </row>
    <row r="414" customFormat="false" ht="15" hidden="false" customHeight="false" outlineLevel="0" collapsed="false">
      <c r="A414" s="32" t="str">
        <f aca="false">IF(COUNTA(B414,D414,E414,F414)=0,"",ROW()-4)</f>
        <v/>
      </c>
      <c r="B414" s="22"/>
      <c r="C414" s="28"/>
      <c r="D414" s="28"/>
      <c r="E414" s="18"/>
      <c r="F414" s="28"/>
      <c r="G414" s="32" t="str">
        <f aca="false">IF(F414="","",IFERROR(INDEX(請求台帳!$D$5:$D$504,MATCH(F414,請求台帳!$A$5:$A$504,0)),""))</f>
        <v/>
      </c>
      <c r="H414" s="26" t="str">
        <f aca="false">IF(F414="","",IFERROR(INDEX(請求台帳!$I$5:$I$504,MATCH(F414,請求台帳!$A$5:$A$504,0)),""))</f>
        <v/>
      </c>
      <c r="I414" s="29" t="str">
        <f aca="false">IF(COUNTA(B414,D414,E414,F414)=0,"",IF(OR(B414="",E414=""),"要入力",IF(F414="","未消込",IF(ISNA(MATCH(F414,請求台帳!$A$5:$A$504,0)),"番号誤り",IF(INDEX(請求台帳!$T$5:$T$504,MATCH(F414,請求台帳!$A$5:$A$504,0))="取消","取消請求へ消込","消込済")))))</f>
        <v/>
      </c>
      <c r="J414" s="28"/>
      <c r="K414" s="28"/>
    </row>
    <row r="415" customFormat="false" ht="15" hidden="false" customHeight="false" outlineLevel="0" collapsed="false">
      <c r="A415" s="32" t="str">
        <f aca="false">IF(COUNTA(B415,D415,E415,F415)=0,"",ROW()-4)</f>
        <v/>
      </c>
      <c r="B415" s="22"/>
      <c r="C415" s="28"/>
      <c r="D415" s="28"/>
      <c r="E415" s="18"/>
      <c r="F415" s="28"/>
      <c r="G415" s="32" t="str">
        <f aca="false">IF(F415="","",IFERROR(INDEX(請求台帳!$D$5:$D$504,MATCH(F415,請求台帳!$A$5:$A$504,0)),""))</f>
        <v/>
      </c>
      <c r="H415" s="26" t="str">
        <f aca="false">IF(F415="","",IFERROR(INDEX(請求台帳!$I$5:$I$504,MATCH(F415,請求台帳!$A$5:$A$504,0)),""))</f>
        <v/>
      </c>
      <c r="I415" s="29" t="str">
        <f aca="false">IF(COUNTA(B415,D415,E415,F415)=0,"",IF(OR(B415="",E415=""),"要入力",IF(F415="","未消込",IF(ISNA(MATCH(F415,請求台帳!$A$5:$A$504,0)),"番号誤り",IF(INDEX(請求台帳!$T$5:$T$504,MATCH(F415,請求台帳!$A$5:$A$504,0))="取消","取消請求へ消込","消込済")))))</f>
        <v/>
      </c>
      <c r="J415" s="28"/>
      <c r="K415" s="28"/>
    </row>
    <row r="416" customFormat="false" ht="15" hidden="false" customHeight="false" outlineLevel="0" collapsed="false">
      <c r="A416" s="32" t="str">
        <f aca="false">IF(COUNTA(B416,D416,E416,F416)=0,"",ROW()-4)</f>
        <v/>
      </c>
      <c r="B416" s="22"/>
      <c r="C416" s="28"/>
      <c r="D416" s="28"/>
      <c r="E416" s="18"/>
      <c r="F416" s="28"/>
      <c r="G416" s="32" t="str">
        <f aca="false">IF(F416="","",IFERROR(INDEX(請求台帳!$D$5:$D$504,MATCH(F416,請求台帳!$A$5:$A$504,0)),""))</f>
        <v/>
      </c>
      <c r="H416" s="26" t="str">
        <f aca="false">IF(F416="","",IFERROR(INDEX(請求台帳!$I$5:$I$504,MATCH(F416,請求台帳!$A$5:$A$504,0)),""))</f>
        <v/>
      </c>
      <c r="I416" s="29" t="str">
        <f aca="false">IF(COUNTA(B416,D416,E416,F416)=0,"",IF(OR(B416="",E416=""),"要入力",IF(F416="","未消込",IF(ISNA(MATCH(F416,請求台帳!$A$5:$A$504,0)),"番号誤り",IF(INDEX(請求台帳!$T$5:$T$504,MATCH(F416,請求台帳!$A$5:$A$504,0))="取消","取消請求へ消込","消込済")))))</f>
        <v/>
      </c>
      <c r="J416" s="28"/>
      <c r="K416" s="28"/>
    </row>
    <row r="417" customFormat="false" ht="15" hidden="false" customHeight="false" outlineLevel="0" collapsed="false">
      <c r="A417" s="32" t="str">
        <f aca="false">IF(COUNTA(B417,D417,E417,F417)=0,"",ROW()-4)</f>
        <v/>
      </c>
      <c r="B417" s="22"/>
      <c r="C417" s="28"/>
      <c r="D417" s="28"/>
      <c r="E417" s="18"/>
      <c r="F417" s="28"/>
      <c r="G417" s="32" t="str">
        <f aca="false">IF(F417="","",IFERROR(INDEX(請求台帳!$D$5:$D$504,MATCH(F417,請求台帳!$A$5:$A$504,0)),""))</f>
        <v/>
      </c>
      <c r="H417" s="26" t="str">
        <f aca="false">IF(F417="","",IFERROR(INDEX(請求台帳!$I$5:$I$504,MATCH(F417,請求台帳!$A$5:$A$504,0)),""))</f>
        <v/>
      </c>
      <c r="I417" s="29" t="str">
        <f aca="false">IF(COUNTA(B417,D417,E417,F417)=0,"",IF(OR(B417="",E417=""),"要入力",IF(F417="","未消込",IF(ISNA(MATCH(F417,請求台帳!$A$5:$A$504,0)),"番号誤り",IF(INDEX(請求台帳!$T$5:$T$504,MATCH(F417,請求台帳!$A$5:$A$504,0))="取消","取消請求へ消込","消込済")))))</f>
        <v/>
      </c>
      <c r="J417" s="28"/>
      <c r="K417" s="28"/>
    </row>
    <row r="418" customFormat="false" ht="15" hidden="false" customHeight="false" outlineLevel="0" collapsed="false">
      <c r="A418" s="32" t="str">
        <f aca="false">IF(COUNTA(B418,D418,E418,F418)=0,"",ROW()-4)</f>
        <v/>
      </c>
      <c r="B418" s="22"/>
      <c r="C418" s="28"/>
      <c r="D418" s="28"/>
      <c r="E418" s="18"/>
      <c r="F418" s="28"/>
      <c r="G418" s="32" t="str">
        <f aca="false">IF(F418="","",IFERROR(INDEX(請求台帳!$D$5:$D$504,MATCH(F418,請求台帳!$A$5:$A$504,0)),""))</f>
        <v/>
      </c>
      <c r="H418" s="26" t="str">
        <f aca="false">IF(F418="","",IFERROR(INDEX(請求台帳!$I$5:$I$504,MATCH(F418,請求台帳!$A$5:$A$504,0)),""))</f>
        <v/>
      </c>
      <c r="I418" s="29" t="str">
        <f aca="false">IF(COUNTA(B418,D418,E418,F418)=0,"",IF(OR(B418="",E418=""),"要入力",IF(F418="","未消込",IF(ISNA(MATCH(F418,請求台帳!$A$5:$A$504,0)),"番号誤り",IF(INDEX(請求台帳!$T$5:$T$504,MATCH(F418,請求台帳!$A$5:$A$504,0))="取消","取消請求へ消込","消込済")))))</f>
        <v/>
      </c>
      <c r="J418" s="28"/>
      <c r="K418" s="28"/>
    </row>
    <row r="419" customFormat="false" ht="15" hidden="false" customHeight="false" outlineLevel="0" collapsed="false">
      <c r="A419" s="32" t="str">
        <f aca="false">IF(COUNTA(B419,D419,E419,F419)=0,"",ROW()-4)</f>
        <v/>
      </c>
      <c r="B419" s="22"/>
      <c r="C419" s="28"/>
      <c r="D419" s="28"/>
      <c r="E419" s="18"/>
      <c r="F419" s="28"/>
      <c r="G419" s="32" t="str">
        <f aca="false">IF(F419="","",IFERROR(INDEX(請求台帳!$D$5:$D$504,MATCH(F419,請求台帳!$A$5:$A$504,0)),""))</f>
        <v/>
      </c>
      <c r="H419" s="26" t="str">
        <f aca="false">IF(F419="","",IFERROR(INDEX(請求台帳!$I$5:$I$504,MATCH(F419,請求台帳!$A$5:$A$504,0)),""))</f>
        <v/>
      </c>
      <c r="I419" s="29" t="str">
        <f aca="false">IF(COUNTA(B419,D419,E419,F419)=0,"",IF(OR(B419="",E419=""),"要入力",IF(F419="","未消込",IF(ISNA(MATCH(F419,請求台帳!$A$5:$A$504,0)),"番号誤り",IF(INDEX(請求台帳!$T$5:$T$504,MATCH(F419,請求台帳!$A$5:$A$504,0))="取消","取消請求へ消込","消込済")))))</f>
        <v/>
      </c>
      <c r="J419" s="28"/>
      <c r="K419" s="28"/>
    </row>
    <row r="420" customFormat="false" ht="15" hidden="false" customHeight="false" outlineLevel="0" collapsed="false">
      <c r="A420" s="32" t="str">
        <f aca="false">IF(COUNTA(B420,D420,E420,F420)=0,"",ROW()-4)</f>
        <v/>
      </c>
      <c r="B420" s="22"/>
      <c r="C420" s="28"/>
      <c r="D420" s="28"/>
      <c r="E420" s="18"/>
      <c r="F420" s="28"/>
      <c r="G420" s="32" t="str">
        <f aca="false">IF(F420="","",IFERROR(INDEX(請求台帳!$D$5:$D$504,MATCH(F420,請求台帳!$A$5:$A$504,0)),""))</f>
        <v/>
      </c>
      <c r="H420" s="26" t="str">
        <f aca="false">IF(F420="","",IFERROR(INDEX(請求台帳!$I$5:$I$504,MATCH(F420,請求台帳!$A$5:$A$504,0)),""))</f>
        <v/>
      </c>
      <c r="I420" s="29" t="str">
        <f aca="false">IF(COUNTA(B420,D420,E420,F420)=0,"",IF(OR(B420="",E420=""),"要入力",IF(F420="","未消込",IF(ISNA(MATCH(F420,請求台帳!$A$5:$A$504,0)),"番号誤り",IF(INDEX(請求台帳!$T$5:$T$504,MATCH(F420,請求台帳!$A$5:$A$504,0))="取消","取消請求へ消込","消込済")))))</f>
        <v/>
      </c>
      <c r="J420" s="28"/>
      <c r="K420" s="28"/>
    </row>
    <row r="421" customFormat="false" ht="15" hidden="false" customHeight="false" outlineLevel="0" collapsed="false">
      <c r="A421" s="32" t="str">
        <f aca="false">IF(COUNTA(B421,D421,E421,F421)=0,"",ROW()-4)</f>
        <v/>
      </c>
      <c r="B421" s="22"/>
      <c r="C421" s="28"/>
      <c r="D421" s="28"/>
      <c r="E421" s="18"/>
      <c r="F421" s="28"/>
      <c r="G421" s="32" t="str">
        <f aca="false">IF(F421="","",IFERROR(INDEX(請求台帳!$D$5:$D$504,MATCH(F421,請求台帳!$A$5:$A$504,0)),""))</f>
        <v/>
      </c>
      <c r="H421" s="26" t="str">
        <f aca="false">IF(F421="","",IFERROR(INDEX(請求台帳!$I$5:$I$504,MATCH(F421,請求台帳!$A$5:$A$504,0)),""))</f>
        <v/>
      </c>
      <c r="I421" s="29" t="str">
        <f aca="false">IF(COUNTA(B421,D421,E421,F421)=0,"",IF(OR(B421="",E421=""),"要入力",IF(F421="","未消込",IF(ISNA(MATCH(F421,請求台帳!$A$5:$A$504,0)),"番号誤り",IF(INDEX(請求台帳!$T$5:$T$504,MATCH(F421,請求台帳!$A$5:$A$504,0))="取消","取消請求へ消込","消込済")))))</f>
        <v/>
      </c>
      <c r="J421" s="28"/>
      <c r="K421" s="28"/>
    </row>
    <row r="422" customFormat="false" ht="15" hidden="false" customHeight="false" outlineLevel="0" collapsed="false">
      <c r="A422" s="32" t="str">
        <f aca="false">IF(COUNTA(B422,D422,E422,F422)=0,"",ROW()-4)</f>
        <v/>
      </c>
      <c r="B422" s="22"/>
      <c r="C422" s="28"/>
      <c r="D422" s="28"/>
      <c r="E422" s="18"/>
      <c r="F422" s="28"/>
      <c r="G422" s="32" t="str">
        <f aca="false">IF(F422="","",IFERROR(INDEX(請求台帳!$D$5:$D$504,MATCH(F422,請求台帳!$A$5:$A$504,0)),""))</f>
        <v/>
      </c>
      <c r="H422" s="26" t="str">
        <f aca="false">IF(F422="","",IFERROR(INDEX(請求台帳!$I$5:$I$504,MATCH(F422,請求台帳!$A$5:$A$504,0)),""))</f>
        <v/>
      </c>
      <c r="I422" s="29" t="str">
        <f aca="false">IF(COUNTA(B422,D422,E422,F422)=0,"",IF(OR(B422="",E422=""),"要入力",IF(F422="","未消込",IF(ISNA(MATCH(F422,請求台帳!$A$5:$A$504,0)),"番号誤り",IF(INDEX(請求台帳!$T$5:$T$504,MATCH(F422,請求台帳!$A$5:$A$504,0))="取消","取消請求へ消込","消込済")))))</f>
        <v/>
      </c>
      <c r="J422" s="28"/>
      <c r="K422" s="28"/>
    </row>
    <row r="423" customFormat="false" ht="15" hidden="false" customHeight="false" outlineLevel="0" collapsed="false">
      <c r="A423" s="32" t="str">
        <f aca="false">IF(COUNTA(B423,D423,E423,F423)=0,"",ROW()-4)</f>
        <v/>
      </c>
      <c r="B423" s="22"/>
      <c r="C423" s="28"/>
      <c r="D423" s="28"/>
      <c r="E423" s="18"/>
      <c r="F423" s="28"/>
      <c r="G423" s="32" t="str">
        <f aca="false">IF(F423="","",IFERROR(INDEX(請求台帳!$D$5:$D$504,MATCH(F423,請求台帳!$A$5:$A$504,0)),""))</f>
        <v/>
      </c>
      <c r="H423" s="26" t="str">
        <f aca="false">IF(F423="","",IFERROR(INDEX(請求台帳!$I$5:$I$504,MATCH(F423,請求台帳!$A$5:$A$504,0)),""))</f>
        <v/>
      </c>
      <c r="I423" s="29" t="str">
        <f aca="false">IF(COUNTA(B423,D423,E423,F423)=0,"",IF(OR(B423="",E423=""),"要入力",IF(F423="","未消込",IF(ISNA(MATCH(F423,請求台帳!$A$5:$A$504,0)),"番号誤り",IF(INDEX(請求台帳!$T$5:$T$504,MATCH(F423,請求台帳!$A$5:$A$504,0))="取消","取消請求へ消込","消込済")))))</f>
        <v/>
      </c>
      <c r="J423" s="28"/>
      <c r="K423" s="28"/>
    </row>
    <row r="424" customFormat="false" ht="15" hidden="false" customHeight="false" outlineLevel="0" collapsed="false">
      <c r="A424" s="32" t="str">
        <f aca="false">IF(COUNTA(B424,D424,E424,F424)=0,"",ROW()-4)</f>
        <v/>
      </c>
      <c r="B424" s="22"/>
      <c r="C424" s="28"/>
      <c r="D424" s="28"/>
      <c r="E424" s="18"/>
      <c r="F424" s="28"/>
      <c r="G424" s="32" t="str">
        <f aca="false">IF(F424="","",IFERROR(INDEX(請求台帳!$D$5:$D$504,MATCH(F424,請求台帳!$A$5:$A$504,0)),""))</f>
        <v/>
      </c>
      <c r="H424" s="26" t="str">
        <f aca="false">IF(F424="","",IFERROR(INDEX(請求台帳!$I$5:$I$504,MATCH(F424,請求台帳!$A$5:$A$504,0)),""))</f>
        <v/>
      </c>
      <c r="I424" s="29" t="str">
        <f aca="false">IF(COUNTA(B424,D424,E424,F424)=0,"",IF(OR(B424="",E424=""),"要入力",IF(F424="","未消込",IF(ISNA(MATCH(F424,請求台帳!$A$5:$A$504,0)),"番号誤り",IF(INDEX(請求台帳!$T$5:$T$504,MATCH(F424,請求台帳!$A$5:$A$504,0))="取消","取消請求へ消込","消込済")))))</f>
        <v/>
      </c>
      <c r="J424" s="28"/>
      <c r="K424" s="28"/>
    </row>
    <row r="425" customFormat="false" ht="15" hidden="false" customHeight="false" outlineLevel="0" collapsed="false">
      <c r="A425" s="32" t="str">
        <f aca="false">IF(COUNTA(B425,D425,E425,F425)=0,"",ROW()-4)</f>
        <v/>
      </c>
      <c r="B425" s="22"/>
      <c r="C425" s="28"/>
      <c r="D425" s="28"/>
      <c r="E425" s="18"/>
      <c r="F425" s="28"/>
      <c r="G425" s="32" t="str">
        <f aca="false">IF(F425="","",IFERROR(INDEX(請求台帳!$D$5:$D$504,MATCH(F425,請求台帳!$A$5:$A$504,0)),""))</f>
        <v/>
      </c>
      <c r="H425" s="26" t="str">
        <f aca="false">IF(F425="","",IFERROR(INDEX(請求台帳!$I$5:$I$504,MATCH(F425,請求台帳!$A$5:$A$504,0)),""))</f>
        <v/>
      </c>
      <c r="I425" s="29" t="str">
        <f aca="false">IF(COUNTA(B425,D425,E425,F425)=0,"",IF(OR(B425="",E425=""),"要入力",IF(F425="","未消込",IF(ISNA(MATCH(F425,請求台帳!$A$5:$A$504,0)),"番号誤り",IF(INDEX(請求台帳!$T$5:$T$504,MATCH(F425,請求台帳!$A$5:$A$504,0))="取消","取消請求へ消込","消込済")))))</f>
        <v/>
      </c>
      <c r="J425" s="28"/>
      <c r="K425" s="28"/>
    </row>
    <row r="426" customFormat="false" ht="15" hidden="false" customHeight="false" outlineLevel="0" collapsed="false">
      <c r="A426" s="32" t="str">
        <f aca="false">IF(COUNTA(B426,D426,E426,F426)=0,"",ROW()-4)</f>
        <v/>
      </c>
      <c r="B426" s="22"/>
      <c r="C426" s="28"/>
      <c r="D426" s="28"/>
      <c r="E426" s="18"/>
      <c r="F426" s="28"/>
      <c r="G426" s="32" t="str">
        <f aca="false">IF(F426="","",IFERROR(INDEX(請求台帳!$D$5:$D$504,MATCH(F426,請求台帳!$A$5:$A$504,0)),""))</f>
        <v/>
      </c>
      <c r="H426" s="26" t="str">
        <f aca="false">IF(F426="","",IFERROR(INDEX(請求台帳!$I$5:$I$504,MATCH(F426,請求台帳!$A$5:$A$504,0)),""))</f>
        <v/>
      </c>
      <c r="I426" s="29" t="str">
        <f aca="false">IF(COUNTA(B426,D426,E426,F426)=0,"",IF(OR(B426="",E426=""),"要入力",IF(F426="","未消込",IF(ISNA(MATCH(F426,請求台帳!$A$5:$A$504,0)),"番号誤り",IF(INDEX(請求台帳!$T$5:$T$504,MATCH(F426,請求台帳!$A$5:$A$504,0))="取消","取消請求へ消込","消込済")))))</f>
        <v/>
      </c>
      <c r="J426" s="28"/>
      <c r="K426" s="28"/>
    </row>
    <row r="427" customFormat="false" ht="15" hidden="false" customHeight="false" outlineLevel="0" collapsed="false">
      <c r="A427" s="32" t="str">
        <f aca="false">IF(COUNTA(B427,D427,E427,F427)=0,"",ROW()-4)</f>
        <v/>
      </c>
      <c r="B427" s="22"/>
      <c r="C427" s="28"/>
      <c r="D427" s="28"/>
      <c r="E427" s="18"/>
      <c r="F427" s="28"/>
      <c r="G427" s="32" t="str">
        <f aca="false">IF(F427="","",IFERROR(INDEX(請求台帳!$D$5:$D$504,MATCH(F427,請求台帳!$A$5:$A$504,0)),""))</f>
        <v/>
      </c>
      <c r="H427" s="26" t="str">
        <f aca="false">IF(F427="","",IFERROR(INDEX(請求台帳!$I$5:$I$504,MATCH(F427,請求台帳!$A$5:$A$504,0)),""))</f>
        <v/>
      </c>
      <c r="I427" s="29" t="str">
        <f aca="false">IF(COUNTA(B427,D427,E427,F427)=0,"",IF(OR(B427="",E427=""),"要入力",IF(F427="","未消込",IF(ISNA(MATCH(F427,請求台帳!$A$5:$A$504,0)),"番号誤り",IF(INDEX(請求台帳!$T$5:$T$504,MATCH(F427,請求台帳!$A$5:$A$504,0))="取消","取消請求へ消込","消込済")))))</f>
        <v/>
      </c>
      <c r="J427" s="28"/>
      <c r="K427" s="28"/>
    </row>
    <row r="428" customFormat="false" ht="15" hidden="false" customHeight="false" outlineLevel="0" collapsed="false">
      <c r="A428" s="32" t="str">
        <f aca="false">IF(COUNTA(B428,D428,E428,F428)=0,"",ROW()-4)</f>
        <v/>
      </c>
      <c r="B428" s="22"/>
      <c r="C428" s="28"/>
      <c r="D428" s="28"/>
      <c r="E428" s="18"/>
      <c r="F428" s="28"/>
      <c r="G428" s="32" t="str">
        <f aca="false">IF(F428="","",IFERROR(INDEX(請求台帳!$D$5:$D$504,MATCH(F428,請求台帳!$A$5:$A$504,0)),""))</f>
        <v/>
      </c>
      <c r="H428" s="26" t="str">
        <f aca="false">IF(F428="","",IFERROR(INDEX(請求台帳!$I$5:$I$504,MATCH(F428,請求台帳!$A$5:$A$504,0)),""))</f>
        <v/>
      </c>
      <c r="I428" s="29" t="str">
        <f aca="false">IF(COUNTA(B428,D428,E428,F428)=0,"",IF(OR(B428="",E428=""),"要入力",IF(F428="","未消込",IF(ISNA(MATCH(F428,請求台帳!$A$5:$A$504,0)),"番号誤り",IF(INDEX(請求台帳!$T$5:$T$504,MATCH(F428,請求台帳!$A$5:$A$504,0))="取消","取消請求へ消込","消込済")))))</f>
        <v/>
      </c>
      <c r="J428" s="28"/>
      <c r="K428" s="28"/>
    </row>
    <row r="429" customFormat="false" ht="15" hidden="false" customHeight="false" outlineLevel="0" collapsed="false">
      <c r="A429" s="32" t="str">
        <f aca="false">IF(COUNTA(B429,D429,E429,F429)=0,"",ROW()-4)</f>
        <v/>
      </c>
      <c r="B429" s="22"/>
      <c r="C429" s="28"/>
      <c r="D429" s="28"/>
      <c r="E429" s="18"/>
      <c r="F429" s="28"/>
      <c r="G429" s="32" t="str">
        <f aca="false">IF(F429="","",IFERROR(INDEX(請求台帳!$D$5:$D$504,MATCH(F429,請求台帳!$A$5:$A$504,0)),""))</f>
        <v/>
      </c>
      <c r="H429" s="26" t="str">
        <f aca="false">IF(F429="","",IFERROR(INDEX(請求台帳!$I$5:$I$504,MATCH(F429,請求台帳!$A$5:$A$504,0)),""))</f>
        <v/>
      </c>
      <c r="I429" s="29" t="str">
        <f aca="false">IF(COUNTA(B429,D429,E429,F429)=0,"",IF(OR(B429="",E429=""),"要入力",IF(F429="","未消込",IF(ISNA(MATCH(F429,請求台帳!$A$5:$A$504,0)),"番号誤り",IF(INDEX(請求台帳!$T$5:$T$504,MATCH(F429,請求台帳!$A$5:$A$504,0))="取消","取消請求へ消込","消込済")))))</f>
        <v/>
      </c>
      <c r="J429" s="28"/>
      <c r="K429" s="28"/>
    </row>
    <row r="430" customFormat="false" ht="15" hidden="false" customHeight="false" outlineLevel="0" collapsed="false">
      <c r="A430" s="32" t="str">
        <f aca="false">IF(COUNTA(B430,D430,E430,F430)=0,"",ROW()-4)</f>
        <v/>
      </c>
      <c r="B430" s="22"/>
      <c r="C430" s="28"/>
      <c r="D430" s="28"/>
      <c r="E430" s="18"/>
      <c r="F430" s="28"/>
      <c r="G430" s="32" t="str">
        <f aca="false">IF(F430="","",IFERROR(INDEX(請求台帳!$D$5:$D$504,MATCH(F430,請求台帳!$A$5:$A$504,0)),""))</f>
        <v/>
      </c>
      <c r="H430" s="26" t="str">
        <f aca="false">IF(F430="","",IFERROR(INDEX(請求台帳!$I$5:$I$504,MATCH(F430,請求台帳!$A$5:$A$504,0)),""))</f>
        <v/>
      </c>
      <c r="I430" s="29" t="str">
        <f aca="false">IF(COUNTA(B430,D430,E430,F430)=0,"",IF(OR(B430="",E430=""),"要入力",IF(F430="","未消込",IF(ISNA(MATCH(F430,請求台帳!$A$5:$A$504,0)),"番号誤り",IF(INDEX(請求台帳!$T$5:$T$504,MATCH(F430,請求台帳!$A$5:$A$504,0))="取消","取消請求へ消込","消込済")))))</f>
        <v/>
      </c>
      <c r="J430" s="28"/>
      <c r="K430" s="28"/>
    </row>
    <row r="431" customFormat="false" ht="15" hidden="false" customHeight="false" outlineLevel="0" collapsed="false">
      <c r="A431" s="32" t="str">
        <f aca="false">IF(COUNTA(B431,D431,E431,F431)=0,"",ROW()-4)</f>
        <v/>
      </c>
      <c r="B431" s="22"/>
      <c r="C431" s="28"/>
      <c r="D431" s="28"/>
      <c r="E431" s="18"/>
      <c r="F431" s="28"/>
      <c r="G431" s="32" t="str">
        <f aca="false">IF(F431="","",IFERROR(INDEX(請求台帳!$D$5:$D$504,MATCH(F431,請求台帳!$A$5:$A$504,0)),""))</f>
        <v/>
      </c>
      <c r="H431" s="26" t="str">
        <f aca="false">IF(F431="","",IFERROR(INDEX(請求台帳!$I$5:$I$504,MATCH(F431,請求台帳!$A$5:$A$504,0)),""))</f>
        <v/>
      </c>
      <c r="I431" s="29" t="str">
        <f aca="false">IF(COUNTA(B431,D431,E431,F431)=0,"",IF(OR(B431="",E431=""),"要入力",IF(F431="","未消込",IF(ISNA(MATCH(F431,請求台帳!$A$5:$A$504,0)),"番号誤り",IF(INDEX(請求台帳!$T$5:$T$504,MATCH(F431,請求台帳!$A$5:$A$504,0))="取消","取消請求へ消込","消込済")))))</f>
        <v/>
      </c>
      <c r="J431" s="28"/>
      <c r="K431" s="28"/>
    </row>
    <row r="432" customFormat="false" ht="15" hidden="false" customHeight="false" outlineLevel="0" collapsed="false">
      <c r="A432" s="32" t="str">
        <f aca="false">IF(COUNTA(B432,D432,E432,F432)=0,"",ROW()-4)</f>
        <v/>
      </c>
      <c r="B432" s="22"/>
      <c r="C432" s="28"/>
      <c r="D432" s="28"/>
      <c r="E432" s="18"/>
      <c r="F432" s="28"/>
      <c r="G432" s="32" t="str">
        <f aca="false">IF(F432="","",IFERROR(INDEX(請求台帳!$D$5:$D$504,MATCH(F432,請求台帳!$A$5:$A$504,0)),""))</f>
        <v/>
      </c>
      <c r="H432" s="26" t="str">
        <f aca="false">IF(F432="","",IFERROR(INDEX(請求台帳!$I$5:$I$504,MATCH(F432,請求台帳!$A$5:$A$504,0)),""))</f>
        <v/>
      </c>
      <c r="I432" s="29" t="str">
        <f aca="false">IF(COUNTA(B432,D432,E432,F432)=0,"",IF(OR(B432="",E432=""),"要入力",IF(F432="","未消込",IF(ISNA(MATCH(F432,請求台帳!$A$5:$A$504,0)),"番号誤り",IF(INDEX(請求台帳!$T$5:$T$504,MATCH(F432,請求台帳!$A$5:$A$504,0))="取消","取消請求へ消込","消込済")))))</f>
        <v/>
      </c>
      <c r="J432" s="28"/>
      <c r="K432" s="28"/>
    </row>
    <row r="433" customFormat="false" ht="15" hidden="false" customHeight="false" outlineLevel="0" collapsed="false">
      <c r="A433" s="32" t="str">
        <f aca="false">IF(COUNTA(B433,D433,E433,F433)=0,"",ROW()-4)</f>
        <v/>
      </c>
      <c r="B433" s="22"/>
      <c r="C433" s="28"/>
      <c r="D433" s="28"/>
      <c r="E433" s="18"/>
      <c r="F433" s="28"/>
      <c r="G433" s="32" t="str">
        <f aca="false">IF(F433="","",IFERROR(INDEX(請求台帳!$D$5:$D$504,MATCH(F433,請求台帳!$A$5:$A$504,0)),""))</f>
        <v/>
      </c>
      <c r="H433" s="26" t="str">
        <f aca="false">IF(F433="","",IFERROR(INDEX(請求台帳!$I$5:$I$504,MATCH(F433,請求台帳!$A$5:$A$504,0)),""))</f>
        <v/>
      </c>
      <c r="I433" s="29" t="str">
        <f aca="false">IF(COUNTA(B433,D433,E433,F433)=0,"",IF(OR(B433="",E433=""),"要入力",IF(F433="","未消込",IF(ISNA(MATCH(F433,請求台帳!$A$5:$A$504,0)),"番号誤り",IF(INDEX(請求台帳!$T$5:$T$504,MATCH(F433,請求台帳!$A$5:$A$504,0))="取消","取消請求へ消込","消込済")))))</f>
        <v/>
      </c>
      <c r="J433" s="28"/>
      <c r="K433" s="28"/>
    </row>
    <row r="434" customFormat="false" ht="15" hidden="false" customHeight="false" outlineLevel="0" collapsed="false">
      <c r="A434" s="32" t="str">
        <f aca="false">IF(COUNTA(B434,D434,E434,F434)=0,"",ROW()-4)</f>
        <v/>
      </c>
      <c r="B434" s="22"/>
      <c r="C434" s="28"/>
      <c r="D434" s="28"/>
      <c r="E434" s="18"/>
      <c r="F434" s="28"/>
      <c r="G434" s="32" t="str">
        <f aca="false">IF(F434="","",IFERROR(INDEX(請求台帳!$D$5:$D$504,MATCH(F434,請求台帳!$A$5:$A$504,0)),""))</f>
        <v/>
      </c>
      <c r="H434" s="26" t="str">
        <f aca="false">IF(F434="","",IFERROR(INDEX(請求台帳!$I$5:$I$504,MATCH(F434,請求台帳!$A$5:$A$504,0)),""))</f>
        <v/>
      </c>
      <c r="I434" s="29" t="str">
        <f aca="false">IF(COUNTA(B434,D434,E434,F434)=0,"",IF(OR(B434="",E434=""),"要入力",IF(F434="","未消込",IF(ISNA(MATCH(F434,請求台帳!$A$5:$A$504,0)),"番号誤り",IF(INDEX(請求台帳!$T$5:$T$504,MATCH(F434,請求台帳!$A$5:$A$504,0))="取消","取消請求へ消込","消込済")))))</f>
        <v/>
      </c>
      <c r="J434" s="28"/>
      <c r="K434" s="28"/>
    </row>
    <row r="435" customFormat="false" ht="15" hidden="false" customHeight="false" outlineLevel="0" collapsed="false">
      <c r="A435" s="32" t="str">
        <f aca="false">IF(COUNTA(B435,D435,E435,F435)=0,"",ROW()-4)</f>
        <v/>
      </c>
      <c r="B435" s="22"/>
      <c r="C435" s="28"/>
      <c r="D435" s="28"/>
      <c r="E435" s="18"/>
      <c r="F435" s="28"/>
      <c r="G435" s="32" t="str">
        <f aca="false">IF(F435="","",IFERROR(INDEX(請求台帳!$D$5:$D$504,MATCH(F435,請求台帳!$A$5:$A$504,0)),""))</f>
        <v/>
      </c>
      <c r="H435" s="26" t="str">
        <f aca="false">IF(F435="","",IFERROR(INDEX(請求台帳!$I$5:$I$504,MATCH(F435,請求台帳!$A$5:$A$504,0)),""))</f>
        <v/>
      </c>
      <c r="I435" s="29" t="str">
        <f aca="false">IF(COUNTA(B435,D435,E435,F435)=0,"",IF(OR(B435="",E435=""),"要入力",IF(F435="","未消込",IF(ISNA(MATCH(F435,請求台帳!$A$5:$A$504,0)),"番号誤り",IF(INDEX(請求台帳!$T$5:$T$504,MATCH(F435,請求台帳!$A$5:$A$504,0))="取消","取消請求へ消込","消込済")))))</f>
        <v/>
      </c>
      <c r="J435" s="28"/>
      <c r="K435" s="28"/>
    </row>
    <row r="436" customFormat="false" ht="15" hidden="false" customHeight="false" outlineLevel="0" collapsed="false">
      <c r="A436" s="32" t="str">
        <f aca="false">IF(COUNTA(B436,D436,E436,F436)=0,"",ROW()-4)</f>
        <v/>
      </c>
      <c r="B436" s="22"/>
      <c r="C436" s="28"/>
      <c r="D436" s="28"/>
      <c r="E436" s="18"/>
      <c r="F436" s="28"/>
      <c r="G436" s="32" t="str">
        <f aca="false">IF(F436="","",IFERROR(INDEX(請求台帳!$D$5:$D$504,MATCH(F436,請求台帳!$A$5:$A$504,0)),""))</f>
        <v/>
      </c>
      <c r="H436" s="26" t="str">
        <f aca="false">IF(F436="","",IFERROR(INDEX(請求台帳!$I$5:$I$504,MATCH(F436,請求台帳!$A$5:$A$504,0)),""))</f>
        <v/>
      </c>
      <c r="I436" s="29" t="str">
        <f aca="false">IF(COUNTA(B436,D436,E436,F436)=0,"",IF(OR(B436="",E436=""),"要入力",IF(F436="","未消込",IF(ISNA(MATCH(F436,請求台帳!$A$5:$A$504,0)),"番号誤り",IF(INDEX(請求台帳!$T$5:$T$504,MATCH(F436,請求台帳!$A$5:$A$504,0))="取消","取消請求へ消込","消込済")))))</f>
        <v/>
      </c>
      <c r="J436" s="28"/>
      <c r="K436" s="28"/>
    </row>
    <row r="437" customFormat="false" ht="15" hidden="false" customHeight="false" outlineLevel="0" collapsed="false">
      <c r="A437" s="32" t="str">
        <f aca="false">IF(COUNTA(B437,D437,E437,F437)=0,"",ROW()-4)</f>
        <v/>
      </c>
      <c r="B437" s="22"/>
      <c r="C437" s="28"/>
      <c r="D437" s="28"/>
      <c r="E437" s="18"/>
      <c r="F437" s="28"/>
      <c r="G437" s="32" t="str">
        <f aca="false">IF(F437="","",IFERROR(INDEX(請求台帳!$D$5:$D$504,MATCH(F437,請求台帳!$A$5:$A$504,0)),""))</f>
        <v/>
      </c>
      <c r="H437" s="26" t="str">
        <f aca="false">IF(F437="","",IFERROR(INDEX(請求台帳!$I$5:$I$504,MATCH(F437,請求台帳!$A$5:$A$504,0)),""))</f>
        <v/>
      </c>
      <c r="I437" s="29" t="str">
        <f aca="false">IF(COUNTA(B437,D437,E437,F437)=0,"",IF(OR(B437="",E437=""),"要入力",IF(F437="","未消込",IF(ISNA(MATCH(F437,請求台帳!$A$5:$A$504,0)),"番号誤り",IF(INDEX(請求台帳!$T$5:$T$504,MATCH(F437,請求台帳!$A$5:$A$504,0))="取消","取消請求へ消込","消込済")))))</f>
        <v/>
      </c>
      <c r="J437" s="28"/>
      <c r="K437" s="28"/>
    </row>
    <row r="438" customFormat="false" ht="15" hidden="false" customHeight="false" outlineLevel="0" collapsed="false">
      <c r="A438" s="32" t="str">
        <f aca="false">IF(COUNTA(B438,D438,E438,F438)=0,"",ROW()-4)</f>
        <v/>
      </c>
      <c r="B438" s="22"/>
      <c r="C438" s="28"/>
      <c r="D438" s="28"/>
      <c r="E438" s="18"/>
      <c r="F438" s="28"/>
      <c r="G438" s="32" t="str">
        <f aca="false">IF(F438="","",IFERROR(INDEX(請求台帳!$D$5:$D$504,MATCH(F438,請求台帳!$A$5:$A$504,0)),""))</f>
        <v/>
      </c>
      <c r="H438" s="26" t="str">
        <f aca="false">IF(F438="","",IFERROR(INDEX(請求台帳!$I$5:$I$504,MATCH(F438,請求台帳!$A$5:$A$504,0)),""))</f>
        <v/>
      </c>
      <c r="I438" s="29" t="str">
        <f aca="false">IF(COUNTA(B438,D438,E438,F438)=0,"",IF(OR(B438="",E438=""),"要入力",IF(F438="","未消込",IF(ISNA(MATCH(F438,請求台帳!$A$5:$A$504,0)),"番号誤り",IF(INDEX(請求台帳!$T$5:$T$504,MATCH(F438,請求台帳!$A$5:$A$504,0))="取消","取消請求へ消込","消込済")))))</f>
        <v/>
      </c>
      <c r="J438" s="28"/>
      <c r="K438" s="28"/>
    </row>
    <row r="439" customFormat="false" ht="15" hidden="false" customHeight="false" outlineLevel="0" collapsed="false">
      <c r="A439" s="32" t="str">
        <f aca="false">IF(COUNTA(B439,D439,E439,F439)=0,"",ROW()-4)</f>
        <v/>
      </c>
      <c r="B439" s="22"/>
      <c r="C439" s="28"/>
      <c r="D439" s="28"/>
      <c r="E439" s="18"/>
      <c r="F439" s="28"/>
      <c r="G439" s="32" t="str">
        <f aca="false">IF(F439="","",IFERROR(INDEX(請求台帳!$D$5:$D$504,MATCH(F439,請求台帳!$A$5:$A$504,0)),""))</f>
        <v/>
      </c>
      <c r="H439" s="26" t="str">
        <f aca="false">IF(F439="","",IFERROR(INDEX(請求台帳!$I$5:$I$504,MATCH(F439,請求台帳!$A$5:$A$504,0)),""))</f>
        <v/>
      </c>
      <c r="I439" s="29" t="str">
        <f aca="false">IF(COUNTA(B439,D439,E439,F439)=0,"",IF(OR(B439="",E439=""),"要入力",IF(F439="","未消込",IF(ISNA(MATCH(F439,請求台帳!$A$5:$A$504,0)),"番号誤り",IF(INDEX(請求台帳!$T$5:$T$504,MATCH(F439,請求台帳!$A$5:$A$504,0))="取消","取消請求へ消込","消込済")))))</f>
        <v/>
      </c>
      <c r="J439" s="28"/>
      <c r="K439" s="28"/>
    </row>
    <row r="440" customFormat="false" ht="15" hidden="false" customHeight="false" outlineLevel="0" collapsed="false">
      <c r="A440" s="32" t="str">
        <f aca="false">IF(COUNTA(B440,D440,E440,F440)=0,"",ROW()-4)</f>
        <v/>
      </c>
      <c r="B440" s="22"/>
      <c r="C440" s="28"/>
      <c r="D440" s="28"/>
      <c r="E440" s="18"/>
      <c r="F440" s="28"/>
      <c r="G440" s="32" t="str">
        <f aca="false">IF(F440="","",IFERROR(INDEX(請求台帳!$D$5:$D$504,MATCH(F440,請求台帳!$A$5:$A$504,0)),""))</f>
        <v/>
      </c>
      <c r="H440" s="26" t="str">
        <f aca="false">IF(F440="","",IFERROR(INDEX(請求台帳!$I$5:$I$504,MATCH(F440,請求台帳!$A$5:$A$504,0)),""))</f>
        <v/>
      </c>
      <c r="I440" s="29" t="str">
        <f aca="false">IF(COUNTA(B440,D440,E440,F440)=0,"",IF(OR(B440="",E440=""),"要入力",IF(F440="","未消込",IF(ISNA(MATCH(F440,請求台帳!$A$5:$A$504,0)),"番号誤り",IF(INDEX(請求台帳!$T$5:$T$504,MATCH(F440,請求台帳!$A$5:$A$504,0))="取消","取消請求へ消込","消込済")))))</f>
        <v/>
      </c>
      <c r="J440" s="28"/>
      <c r="K440" s="28"/>
    </row>
    <row r="441" customFormat="false" ht="15" hidden="false" customHeight="false" outlineLevel="0" collapsed="false">
      <c r="A441" s="32" t="str">
        <f aca="false">IF(COUNTA(B441,D441,E441,F441)=0,"",ROW()-4)</f>
        <v/>
      </c>
      <c r="B441" s="22"/>
      <c r="C441" s="28"/>
      <c r="D441" s="28"/>
      <c r="E441" s="18"/>
      <c r="F441" s="28"/>
      <c r="G441" s="32" t="str">
        <f aca="false">IF(F441="","",IFERROR(INDEX(請求台帳!$D$5:$D$504,MATCH(F441,請求台帳!$A$5:$A$504,0)),""))</f>
        <v/>
      </c>
      <c r="H441" s="26" t="str">
        <f aca="false">IF(F441="","",IFERROR(INDEX(請求台帳!$I$5:$I$504,MATCH(F441,請求台帳!$A$5:$A$504,0)),""))</f>
        <v/>
      </c>
      <c r="I441" s="29" t="str">
        <f aca="false">IF(COUNTA(B441,D441,E441,F441)=0,"",IF(OR(B441="",E441=""),"要入力",IF(F441="","未消込",IF(ISNA(MATCH(F441,請求台帳!$A$5:$A$504,0)),"番号誤り",IF(INDEX(請求台帳!$T$5:$T$504,MATCH(F441,請求台帳!$A$5:$A$504,0))="取消","取消請求へ消込","消込済")))))</f>
        <v/>
      </c>
      <c r="J441" s="28"/>
      <c r="K441" s="28"/>
    </row>
    <row r="442" customFormat="false" ht="15" hidden="false" customHeight="false" outlineLevel="0" collapsed="false">
      <c r="A442" s="32" t="str">
        <f aca="false">IF(COUNTA(B442,D442,E442,F442)=0,"",ROW()-4)</f>
        <v/>
      </c>
      <c r="B442" s="22"/>
      <c r="C442" s="28"/>
      <c r="D442" s="28"/>
      <c r="E442" s="18"/>
      <c r="F442" s="28"/>
      <c r="G442" s="32" t="str">
        <f aca="false">IF(F442="","",IFERROR(INDEX(請求台帳!$D$5:$D$504,MATCH(F442,請求台帳!$A$5:$A$504,0)),""))</f>
        <v/>
      </c>
      <c r="H442" s="26" t="str">
        <f aca="false">IF(F442="","",IFERROR(INDEX(請求台帳!$I$5:$I$504,MATCH(F442,請求台帳!$A$5:$A$504,0)),""))</f>
        <v/>
      </c>
      <c r="I442" s="29" t="str">
        <f aca="false">IF(COUNTA(B442,D442,E442,F442)=0,"",IF(OR(B442="",E442=""),"要入力",IF(F442="","未消込",IF(ISNA(MATCH(F442,請求台帳!$A$5:$A$504,0)),"番号誤り",IF(INDEX(請求台帳!$T$5:$T$504,MATCH(F442,請求台帳!$A$5:$A$504,0))="取消","取消請求へ消込","消込済")))))</f>
        <v/>
      </c>
      <c r="J442" s="28"/>
      <c r="K442" s="28"/>
    </row>
    <row r="443" customFormat="false" ht="15" hidden="false" customHeight="false" outlineLevel="0" collapsed="false">
      <c r="A443" s="32" t="str">
        <f aca="false">IF(COUNTA(B443,D443,E443,F443)=0,"",ROW()-4)</f>
        <v/>
      </c>
      <c r="B443" s="22"/>
      <c r="C443" s="28"/>
      <c r="D443" s="28"/>
      <c r="E443" s="18"/>
      <c r="F443" s="28"/>
      <c r="G443" s="32" t="str">
        <f aca="false">IF(F443="","",IFERROR(INDEX(請求台帳!$D$5:$D$504,MATCH(F443,請求台帳!$A$5:$A$504,0)),""))</f>
        <v/>
      </c>
      <c r="H443" s="26" t="str">
        <f aca="false">IF(F443="","",IFERROR(INDEX(請求台帳!$I$5:$I$504,MATCH(F443,請求台帳!$A$5:$A$504,0)),""))</f>
        <v/>
      </c>
      <c r="I443" s="29" t="str">
        <f aca="false">IF(COUNTA(B443,D443,E443,F443)=0,"",IF(OR(B443="",E443=""),"要入力",IF(F443="","未消込",IF(ISNA(MATCH(F443,請求台帳!$A$5:$A$504,0)),"番号誤り",IF(INDEX(請求台帳!$T$5:$T$504,MATCH(F443,請求台帳!$A$5:$A$504,0))="取消","取消請求へ消込","消込済")))))</f>
        <v/>
      </c>
      <c r="J443" s="28"/>
      <c r="K443" s="28"/>
    </row>
    <row r="444" customFormat="false" ht="15" hidden="false" customHeight="false" outlineLevel="0" collapsed="false">
      <c r="A444" s="32" t="str">
        <f aca="false">IF(COUNTA(B444,D444,E444,F444)=0,"",ROW()-4)</f>
        <v/>
      </c>
      <c r="B444" s="22"/>
      <c r="C444" s="28"/>
      <c r="D444" s="28"/>
      <c r="E444" s="18"/>
      <c r="F444" s="28"/>
      <c r="G444" s="32" t="str">
        <f aca="false">IF(F444="","",IFERROR(INDEX(請求台帳!$D$5:$D$504,MATCH(F444,請求台帳!$A$5:$A$504,0)),""))</f>
        <v/>
      </c>
      <c r="H444" s="26" t="str">
        <f aca="false">IF(F444="","",IFERROR(INDEX(請求台帳!$I$5:$I$504,MATCH(F444,請求台帳!$A$5:$A$504,0)),""))</f>
        <v/>
      </c>
      <c r="I444" s="29" t="str">
        <f aca="false">IF(COUNTA(B444,D444,E444,F444)=0,"",IF(OR(B444="",E444=""),"要入力",IF(F444="","未消込",IF(ISNA(MATCH(F444,請求台帳!$A$5:$A$504,0)),"番号誤り",IF(INDEX(請求台帳!$T$5:$T$504,MATCH(F444,請求台帳!$A$5:$A$504,0))="取消","取消請求へ消込","消込済")))))</f>
        <v/>
      </c>
      <c r="J444" s="28"/>
      <c r="K444" s="28"/>
    </row>
    <row r="445" customFormat="false" ht="15" hidden="false" customHeight="false" outlineLevel="0" collapsed="false">
      <c r="A445" s="32" t="str">
        <f aca="false">IF(COUNTA(B445,D445,E445,F445)=0,"",ROW()-4)</f>
        <v/>
      </c>
      <c r="B445" s="22"/>
      <c r="C445" s="28"/>
      <c r="D445" s="28"/>
      <c r="E445" s="18"/>
      <c r="F445" s="28"/>
      <c r="G445" s="32" t="str">
        <f aca="false">IF(F445="","",IFERROR(INDEX(請求台帳!$D$5:$D$504,MATCH(F445,請求台帳!$A$5:$A$504,0)),""))</f>
        <v/>
      </c>
      <c r="H445" s="26" t="str">
        <f aca="false">IF(F445="","",IFERROR(INDEX(請求台帳!$I$5:$I$504,MATCH(F445,請求台帳!$A$5:$A$504,0)),""))</f>
        <v/>
      </c>
      <c r="I445" s="29" t="str">
        <f aca="false">IF(COUNTA(B445,D445,E445,F445)=0,"",IF(OR(B445="",E445=""),"要入力",IF(F445="","未消込",IF(ISNA(MATCH(F445,請求台帳!$A$5:$A$504,0)),"番号誤り",IF(INDEX(請求台帳!$T$5:$T$504,MATCH(F445,請求台帳!$A$5:$A$504,0))="取消","取消請求へ消込","消込済")))))</f>
        <v/>
      </c>
      <c r="J445" s="28"/>
      <c r="K445" s="28"/>
    </row>
    <row r="446" customFormat="false" ht="15" hidden="false" customHeight="false" outlineLevel="0" collapsed="false">
      <c r="A446" s="32" t="str">
        <f aca="false">IF(COUNTA(B446,D446,E446,F446)=0,"",ROW()-4)</f>
        <v/>
      </c>
      <c r="B446" s="22"/>
      <c r="C446" s="28"/>
      <c r="D446" s="28"/>
      <c r="E446" s="18"/>
      <c r="F446" s="28"/>
      <c r="G446" s="32" t="str">
        <f aca="false">IF(F446="","",IFERROR(INDEX(請求台帳!$D$5:$D$504,MATCH(F446,請求台帳!$A$5:$A$504,0)),""))</f>
        <v/>
      </c>
      <c r="H446" s="26" t="str">
        <f aca="false">IF(F446="","",IFERROR(INDEX(請求台帳!$I$5:$I$504,MATCH(F446,請求台帳!$A$5:$A$504,0)),""))</f>
        <v/>
      </c>
      <c r="I446" s="29" t="str">
        <f aca="false">IF(COUNTA(B446,D446,E446,F446)=0,"",IF(OR(B446="",E446=""),"要入力",IF(F446="","未消込",IF(ISNA(MATCH(F446,請求台帳!$A$5:$A$504,0)),"番号誤り",IF(INDEX(請求台帳!$T$5:$T$504,MATCH(F446,請求台帳!$A$5:$A$504,0))="取消","取消請求へ消込","消込済")))))</f>
        <v/>
      </c>
      <c r="J446" s="28"/>
      <c r="K446" s="28"/>
    </row>
    <row r="447" customFormat="false" ht="15" hidden="false" customHeight="false" outlineLevel="0" collapsed="false">
      <c r="A447" s="32" t="str">
        <f aca="false">IF(COUNTA(B447,D447,E447,F447)=0,"",ROW()-4)</f>
        <v/>
      </c>
      <c r="B447" s="22"/>
      <c r="C447" s="28"/>
      <c r="D447" s="28"/>
      <c r="E447" s="18"/>
      <c r="F447" s="28"/>
      <c r="G447" s="32" t="str">
        <f aca="false">IF(F447="","",IFERROR(INDEX(請求台帳!$D$5:$D$504,MATCH(F447,請求台帳!$A$5:$A$504,0)),""))</f>
        <v/>
      </c>
      <c r="H447" s="26" t="str">
        <f aca="false">IF(F447="","",IFERROR(INDEX(請求台帳!$I$5:$I$504,MATCH(F447,請求台帳!$A$5:$A$504,0)),""))</f>
        <v/>
      </c>
      <c r="I447" s="29" t="str">
        <f aca="false">IF(COUNTA(B447,D447,E447,F447)=0,"",IF(OR(B447="",E447=""),"要入力",IF(F447="","未消込",IF(ISNA(MATCH(F447,請求台帳!$A$5:$A$504,0)),"番号誤り",IF(INDEX(請求台帳!$T$5:$T$504,MATCH(F447,請求台帳!$A$5:$A$504,0))="取消","取消請求へ消込","消込済")))))</f>
        <v/>
      </c>
      <c r="J447" s="28"/>
      <c r="K447" s="28"/>
    </row>
    <row r="448" customFormat="false" ht="15" hidden="false" customHeight="false" outlineLevel="0" collapsed="false">
      <c r="A448" s="32" t="str">
        <f aca="false">IF(COUNTA(B448,D448,E448,F448)=0,"",ROW()-4)</f>
        <v/>
      </c>
      <c r="B448" s="22"/>
      <c r="C448" s="28"/>
      <c r="D448" s="28"/>
      <c r="E448" s="18"/>
      <c r="F448" s="28"/>
      <c r="G448" s="32" t="str">
        <f aca="false">IF(F448="","",IFERROR(INDEX(請求台帳!$D$5:$D$504,MATCH(F448,請求台帳!$A$5:$A$504,0)),""))</f>
        <v/>
      </c>
      <c r="H448" s="26" t="str">
        <f aca="false">IF(F448="","",IFERROR(INDEX(請求台帳!$I$5:$I$504,MATCH(F448,請求台帳!$A$5:$A$504,0)),""))</f>
        <v/>
      </c>
      <c r="I448" s="29" t="str">
        <f aca="false">IF(COUNTA(B448,D448,E448,F448)=0,"",IF(OR(B448="",E448=""),"要入力",IF(F448="","未消込",IF(ISNA(MATCH(F448,請求台帳!$A$5:$A$504,0)),"番号誤り",IF(INDEX(請求台帳!$T$5:$T$504,MATCH(F448,請求台帳!$A$5:$A$504,0))="取消","取消請求へ消込","消込済")))))</f>
        <v/>
      </c>
      <c r="J448" s="28"/>
      <c r="K448" s="28"/>
    </row>
    <row r="449" customFormat="false" ht="15" hidden="false" customHeight="false" outlineLevel="0" collapsed="false">
      <c r="A449" s="32" t="str">
        <f aca="false">IF(COUNTA(B449,D449,E449,F449)=0,"",ROW()-4)</f>
        <v/>
      </c>
      <c r="B449" s="22"/>
      <c r="C449" s="28"/>
      <c r="D449" s="28"/>
      <c r="E449" s="18"/>
      <c r="F449" s="28"/>
      <c r="G449" s="32" t="str">
        <f aca="false">IF(F449="","",IFERROR(INDEX(請求台帳!$D$5:$D$504,MATCH(F449,請求台帳!$A$5:$A$504,0)),""))</f>
        <v/>
      </c>
      <c r="H449" s="26" t="str">
        <f aca="false">IF(F449="","",IFERROR(INDEX(請求台帳!$I$5:$I$504,MATCH(F449,請求台帳!$A$5:$A$504,0)),""))</f>
        <v/>
      </c>
      <c r="I449" s="29" t="str">
        <f aca="false">IF(COUNTA(B449,D449,E449,F449)=0,"",IF(OR(B449="",E449=""),"要入力",IF(F449="","未消込",IF(ISNA(MATCH(F449,請求台帳!$A$5:$A$504,0)),"番号誤り",IF(INDEX(請求台帳!$T$5:$T$504,MATCH(F449,請求台帳!$A$5:$A$504,0))="取消","取消請求へ消込","消込済")))))</f>
        <v/>
      </c>
      <c r="J449" s="28"/>
      <c r="K449" s="28"/>
    </row>
    <row r="450" customFormat="false" ht="15" hidden="false" customHeight="false" outlineLevel="0" collapsed="false">
      <c r="A450" s="32" t="str">
        <f aca="false">IF(COUNTA(B450,D450,E450,F450)=0,"",ROW()-4)</f>
        <v/>
      </c>
      <c r="B450" s="22"/>
      <c r="C450" s="28"/>
      <c r="D450" s="28"/>
      <c r="E450" s="18"/>
      <c r="F450" s="28"/>
      <c r="G450" s="32" t="str">
        <f aca="false">IF(F450="","",IFERROR(INDEX(請求台帳!$D$5:$D$504,MATCH(F450,請求台帳!$A$5:$A$504,0)),""))</f>
        <v/>
      </c>
      <c r="H450" s="26" t="str">
        <f aca="false">IF(F450="","",IFERROR(INDEX(請求台帳!$I$5:$I$504,MATCH(F450,請求台帳!$A$5:$A$504,0)),""))</f>
        <v/>
      </c>
      <c r="I450" s="29" t="str">
        <f aca="false">IF(COUNTA(B450,D450,E450,F450)=0,"",IF(OR(B450="",E450=""),"要入力",IF(F450="","未消込",IF(ISNA(MATCH(F450,請求台帳!$A$5:$A$504,0)),"番号誤り",IF(INDEX(請求台帳!$T$5:$T$504,MATCH(F450,請求台帳!$A$5:$A$504,0))="取消","取消請求へ消込","消込済")))))</f>
        <v/>
      </c>
      <c r="J450" s="28"/>
      <c r="K450" s="28"/>
    </row>
    <row r="451" customFormat="false" ht="15" hidden="false" customHeight="false" outlineLevel="0" collapsed="false">
      <c r="A451" s="32" t="str">
        <f aca="false">IF(COUNTA(B451,D451,E451,F451)=0,"",ROW()-4)</f>
        <v/>
      </c>
      <c r="B451" s="22"/>
      <c r="C451" s="28"/>
      <c r="D451" s="28"/>
      <c r="E451" s="18"/>
      <c r="F451" s="28"/>
      <c r="G451" s="32" t="str">
        <f aca="false">IF(F451="","",IFERROR(INDEX(請求台帳!$D$5:$D$504,MATCH(F451,請求台帳!$A$5:$A$504,0)),""))</f>
        <v/>
      </c>
      <c r="H451" s="26" t="str">
        <f aca="false">IF(F451="","",IFERROR(INDEX(請求台帳!$I$5:$I$504,MATCH(F451,請求台帳!$A$5:$A$504,0)),""))</f>
        <v/>
      </c>
      <c r="I451" s="29" t="str">
        <f aca="false">IF(COUNTA(B451,D451,E451,F451)=0,"",IF(OR(B451="",E451=""),"要入力",IF(F451="","未消込",IF(ISNA(MATCH(F451,請求台帳!$A$5:$A$504,0)),"番号誤り",IF(INDEX(請求台帳!$T$5:$T$504,MATCH(F451,請求台帳!$A$5:$A$504,0))="取消","取消請求へ消込","消込済")))))</f>
        <v/>
      </c>
      <c r="J451" s="28"/>
      <c r="K451" s="28"/>
    </row>
    <row r="452" customFormat="false" ht="15" hidden="false" customHeight="false" outlineLevel="0" collapsed="false">
      <c r="A452" s="32" t="str">
        <f aca="false">IF(COUNTA(B452,D452,E452,F452)=0,"",ROW()-4)</f>
        <v/>
      </c>
      <c r="B452" s="22"/>
      <c r="C452" s="28"/>
      <c r="D452" s="28"/>
      <c r="E452" s="18"/>
      <c r="F452" s="28"/>
      <c r="G452" s="32" t="str">
        <f aca="false">IF(F452="","",IFERROR(INDEX(請求台帳!$D$5:$D$504,MATCH(F452,請求台帳!$A$5:$A$504,0)),""))</f>
        <v/>
      </c>
      <c r="H452" s="26" t="str">
        <f aca="false">IF(F452="","",IFERROR(INDEX(請求台帳!$I$5:$I$504,MATCH(F452,請求台帳!$A$5:$A$504,0)),""))</f>
        <v/>
      </c>
      <c r="I452" s="29" t="str">
        <f aca="false">IF(COUNTA(B452,D452,E452,F452)=0,"",IF(OR(B452="",E452=""),"要入力",IF(F452="","未消込",IF(ISNA(MATCH(F452,請求台帳!$A$5:$A$504,0)),"番号誤り",IF(INDEX(請求台帳!$T$5:$T$504,MATCH(F452,請求台帳!$A$5:$A$504,0))="取消","取消請求へ消込","消込済")))))</f>
        <v/>
      </c>
      <c r="J452" s="28"/>
      <c r="K452" s="28"/>
    </row>
    <row r="453" customFormat="false" ht="15" hidden="false" customHeight="false" outlineLevel="0" collapsed="false">
      <c r="A453" s="32" t="str">
        <f aca="false">IF(COUNTA(B453,D453,E453,F453)=0,"",ROW()-4)</f>
        <v/>
      </c>
      <c r="B453" s="22"/>
      <c r="C453" s="28"/>
      <c r="D453" s="28"/>
      <c r="E453" s="18"/>
      <c r="F453" s="28"/>
      <c r="G453" s="32" t="str">
        <f aca="false">IF(F453="","",IFERROR(INDEX(請求台帳!$D$5:$D$504,MATCH(F453,請求台帳!$A$5:$A$504,0)),""))</f>
        <v/>
      </c>
      <c r="H453" s="26" t="str">
        <f aca="false">IF(F453="","",IFERROR(INDEX(請求台帳!$I$5:$I$504,MATCH(F453,請求台帳!$A$5:$A$504,0)),""))</f>
        <v/>
      </c>
      <c r="I453" s="29" t="str">
        <f aca="false">IF(COUNTA(B453,D453,E453,F453)=0,"",IF(OR(B453="",E453=""),"要入力",IF(F453="","未消込",IF(ISNA(MATCH(F453,請求台帳!$A$5:$A$504,0)),"番号誤り",IF(INDEX(請求台帳!$T$5:$T$504,MATCH(F453,請求台帳!$A$5:$A$504,0))="取消","取消請求へ消込","消込済")))))</f>
        <v/>
      </c>
      <c r="J453" s="28"/>
      <c r="K453" s="28"/>
    </row>
    <row r="454" customFormat="false" ht="15" hidden="false" customHeight="false" outlineLevel="0" collapsed="false">
      <c r="A454" s="32" t="str">
        <f aca="false">IF(COUNTA(B454,D454,E454,F454)=0,"",ROW()-4)</f>
        <v/>
      </c>
      <c r="B454" s="22"/>
      <c r="C454" s="28"/>
      <c r="D454" s="28"/>
      <c r="E454" s="18"/>
      <c r="F454" s="28"/>
      <c r="G454" s="32" t="str">
        <f aca="false">IF(F454="","",IFERROR(INDEX(請求台帳!$D$5:$D$504,MATCH(F454,請求台帳!$A$5:$A$504,0)),""))</f>
        <v/>
      </c>
      <c r="H454" s="26" t="str">
        <f aca="false">IF(F454="","",IFERROR(INDEX(請求台帳!$I$5:$I$504,MATCH(F454,請求台帳!$A$5:$A$504,0)),""))</f>
        <v/>
      </c>
      <c r="I454" s="29" t="str">
        <f aca="false">IF(COUNTA(B454,D454,E454,F454)=0,"",IF(OR(B454="",E454=""),"要入力",IF(F454="","未消込",IF(ISNA(MATCH(F454,請求台帳!$A$5:$A$504,0)),"番号誤り",IF(INDEX(請求台帳!$T$5:$T$504,MATCH(F454,請求台帳!$A$5:$A$504,0))="取消","取消請求へ消込","消込済")))))</f>
        <v/>
      </c>
      <c r="J454" s="28"/>
      <c r="K454" s="28"/>
    </row>
    <row r="455" customFormat="false" ht="15" hidden="false" customHeight="false" outlineLevel="0" collapsed="false">
      <c r="A455" s="32" t="str">
        <f aca="false">IF(COUNTA(B455,D455,E455,F455)=0,"",ROW()-4)</f>
        <v/>
      </c>
      <c r="B455" s="22"/>
      <c r="C455" s="28"/>
      <c r="D455" s="28"/>
      <c r="E455" s="18"/>
      <c r="F455" s="28"/>
      <c r="G455" s="32" t="str">
        <f aca="false">IF(F455="","",IFERROR(INDEX(請求台帳!$D$5:$D$504,MATCH(F455,請求台帳!$A$5:$A$504,0)),""))</f>
        <v/>
      </c>
      <c r="H455" s="26" t="str">
        <f aca="false">IF(F455="","",IFERROR(INDEX(請求台帳!$I$5:$I$504,MATCH(F455,請求台帳!$A$5:$A$504,0)),""))</f>
        <v/>
      </c>
      <c r="I455" s="29" t="str">
        <f aca="false">IF(COUNTA(B455,D455,E455,F455)=0,"",IF(OR(B455="",E455=""),"要入力",IF(F455="","未消込",IF(ISNA(MATCH(F455,請求台帳!$A$5:$A$504,0)),"番号誤り",IF(INDEX(請求台帳!$T$5:$T$504,MATCH(F455,請求台帳!$A$5:$A$504,0))="取消","取消請求へ消込","消込済")))))</f>
        <v/>
      </c>
      <c r="J455" s="28"/>
      <c r="K455" s="28"/>
    </row>
    <row r="456" customFormat="false" ht="15" hidden="false" customHeight="false" outlineLevel="0" collapsed="false">
      <c r="A456" s="32" t="str">
        <f aca="false">IF(COUNTA(B456,D456,E456,F456)=0,"",ROW()-4)</f>
        <v/>
      </c>
      <c r="B456" s="22"/>
      <c r="C456" s="28"/>
      <c r="D456" s="28"/>
      <c r="E456" s="18"/>
      <c r="F456" s="28"/>
      <c r="G456" s="32" t="str">
        <f aca="false">IF(F456="","",IFERROR(INDEX(請求台帳!$D$5:$D$504,MATCH(F456,請求台帳!$A$5:$A$504,0)),""))</f>
        <v/>
      </c>
      <c r="H456" s="26" t="str">
        <f aca="false">IF(F456="","",IFERROR(INDEX(請求台帳!$I$5:$I$504,MATCH(F456,請求台帳!$A$5:$A$504,0)),""))</f>
        <v/>
      </c>
      <c r="I456" s="29" t="str">
        <f aca="false">IF(COUNTA(B456,D456,E456,F456)=0,"",IF(OR(B456="",E456=""),"要入力",IF(F456="","未消込",IF(ISNA(MATCH(F456,請求台帳!$A$5:$A$504,0)),"番号誤り",IF(INDEX(請求台帳!$T$5:$T$504,MATCH(F456,請求台帳!$A$5:$A$504,0))="取消","取消請求へ消込","消込済")))))</f>
        <v/>
      </c>
      <c r="J456" s="28"/>
      <c r="K456" s="28"/>
    </row>
    <row r="457" customFormat="false" ht="15" hidden="false" customHeight="false" outlineLevel="0" collapsed="false">
      <c r="A457" s="32" t="str">
        <f aca="false">IF(COUNTA(B457,D457,E457,F457)=0,"",ROW()-4)</f>
        <v/>
      </c>
      <c r="B457" s="22"/>
      <c r="C457" s="28"/>
      <c r="D457" s="28"/>
      <c r="E457" s="18"/>
      <c r="F457" s="28"/>
      <c r="G457" s="32" t="str">
        <f aca="false">IF(F457="","",IFERROR(INDEX(請求台帳!$D$5:$D$504,MATCH(F457,請求台帳!$A$5:$A$504,0)),""))</f>
        <v/>
      </c>
      <c r="H457" s="26" t="str">
        <f aca="false">IF(F457="","",IFERROR(INDEX(請求台帳!$I$5:$I$504,MATCH(F457,請求台帳!$A$5:$A$504,0)),""))</f>
        <v/>
      </c>
      <c r="I457" s="29" t="str">
        <f aca="false">IF(COUNTA(B457,D457,E457,F457)=0,"",IF(OR(B457="",E457=""),"要入力",IF(F457="","未消込",IF(ISNA(MATCH(F457,請求台帳!$A$5:$A$504,0)),"番号誤り",IF(INDEX(請求台帳!$T$5:$T$504,MATCH(F457,請求台帳!$A$5:$A$504,0))="取消","取消請求へ消込","消込済")))))</f>
        <v/>
      </c>
      <c r="J457" s="28"/>
      <c r="K457" s="28"/>
    </row>
    <row r="458" customFormat="false" ht="15" hidden="false" customHeight="false" outlineLevel="0" collapsed="false">
      <c r="A458" s="32" t="str">
        <f aca="false">IF(COUNTA(B458,D458,E458,F458)=0,"",ROW()-4)</f>
        <v/>
      </c>
      <c r="B458" s="22"/>
      <c r="C458" s="28"/>
      <c r="D458" s="28"/>
      <c r="E458" s="18"/>
      <c r="F458" s="28"/>
      <c r="G458" s="32" t="str">
        <f aca="false">IF(F458="","",IFERROR(INDEX(請求台帳!$D$5:$D$504,MATCH(F458,請求台帳!$A$5:$A$504,0)),""))</f>
        <v/>
      </c>
      <c r="H458" s="26" t="str">
        <f aca="false">IF(F458="","",IFERROR(INDEX(請求台帳!$I$5:$I$504,MATCH(F458,請求台帳!$A$5:$A$504,0)),""))</f>
        <v/>
      </c>
      <c r="I458" s="29" t="str">
        <f aca="false">IF(COUNTA(B458,D458,E458,F458)=0,"",IF(OR(B458="",E458=""),"要入力",IF(F458="","未消込",IF(ISNA(MATCH(F458,請求台帳!$A$5:$A$504,0)),"番号誤り",IF(INDEX(請求台帳!$T$5:$T$504,MATCH(F458,請求台帳!$A$5:$A$504,0))="取消","取消請求へ消込","消込済")))))</f>
        <v/>
      </c>
      <c r="J458" s="28"/>
      <c r="K458" s="28"/>
    </row>
    <row r="459" customFormat="false" ht="15" hidden="false" customHeight="false" outlineLevel="0" collapsed="false">
      <c r="A459" s="32" t="str">
        <f aca="false">IF(COUNTA(B459,D459,E459,F459)=0,"",ROW()-4)</f>
        <v/>
      </c>
      <c r="B459" s="22"/>
      <c r="C459" s="28"/>
      <c r="D459" s="28"/>
      <c r="E459" s="18"/>
      <c r="F459" s="28"/>
      <c r="G459" s="32" t="str">
        <f aca="false">IF(F459="","",IFERROR(INDEX(請求台帳!$D$5:$D$504,MATCH(F459,請求台帳!$A$5:$A$504,0)),""))</f>
        <v/>
      </c>
      <c r="H459" s="26" t="str">
        <f aca="false">IF(F459="","",IFERROR(INDEX(請求台帳!$I$5:$I$504,MATCH(F459,請求台帳!$A$5:$A$504,0)),""))</f>
        <v/>
      </c>
      <c r="I459" s="29" t="str">
        <f aca="false">IF(COUNTA(B459,D459,E459,F459)=0,"",IF(OR(B459="",E459=""),"要入力",IF(F459="","未消込",IF(ISNA(MATCH(F459,請求台帳!$A$5:$A$504,0)),"番号誤り",IF(INDEX(請求台帳!$T$5:$T$504,MATCH(F459,請求台帳!$A$5:$A$504,0))="取消","取消請求へ消込","消込済")))))</f>
        <v/>
      </c>
      <c r="J459" s="28"/>
      <c r="K459" s="28"/>
    </row>
    <row r="460" customFormat="false" ht="15" hidden="false" customHeight="false" outlineLevel="0" collapsed="false">
      <c r="A460" s="32" t="str">
        <f aca="false">IF(COUNTA(B460,D460,E460,F460)=0,"",ROW()-4)</f>
        <v/>
      </c>
      <c r="B460" s="22"/>
      <c r="C460" s="28"/>
      <c r="D460" s="28"/>
      <c r="E460" s="18"/>
      <c r="F460" s="28"/>
      <c r="G460" s="32" t="str">
        <f aca="false">IF(F460="","",IFERROR(INDEX(請求台帳!$D$5:$D$504,MATCH(F460,請求台帳!$A$5:$A$504,0)),""))</f>
        <v/>
      </c>
      <c r="H460" s="26" t="str">
        <f aca="false">IF(F460="","",IFERROR(INDEX(請求台帳!$I$5:$I$504,MATCH(F460,請求台帳!$A$5:$A$504,0)),""))</f>
        <v/>
      </c>
      <c r="I460" s="29" t="str">
        <f aca="false">IF(COUNTA(B460,D460,E460,F460)=0,"",IF(OR(B460="",E460=""),"要入力",IF(F460="","未消込",IF(ISNA(MATCH(F460,請求台帳!$A$5:$A$504,0)),"番号誤り",IF(INDEX(請求台帳!$T$5:$T$504,MATCH(F460,請求台帳!$A$5:$A$504,0))="取消","取消請求へ消込","消込済")))))</f>
        <v/>
      </c>
      <c r="J460" s="28"/>
      <c r="K460" s="28"/>
    </row>
    <row r="461" customFormat="false" ht="15" hidden="false" customHeight="false" outlineLevel="0" collapsed="false">
      <c r="A461" s="32" t="str">
        <f aca="false">IF(COUNTA(B461,D461,E461,F461)=0,"",ROW()-4)</f>
        <v/>
      </c>
      <c r="B461" s="22"/>
      <c r="C461" s="28"/>
      <c r="D461" s="28"/>
      <c r="E461" s="18"/>
      <c r="F461" s="28"/>
      <c r="G461" s="32" t="str">
        <f aca="false">IF(F461="","",IFERROR(INDEX(請求台帳!$D$5:$D$504,MATCH(F461,請求台帳!$A$5:$A$504,0)),""))</f>
        <v/>
      </c>
      <c r="H461" s="26" t="str">
        <f aca="false">IF(F461="","",IFERROR(INDEX(請求台帳!$I$5:$I$504,MATCH(F461,請求台帳!$A$5:$A$504,0)),""))</f>
        <v/>
      </c>
      <c r="I461" s="29" t="str">
        <f aca="false">IF(COUNTA(B461,D461,E461,F461)=0,"",IF(OR(B461="",E461=""),"要入力",IF(F461="","未消込",IF(ISNA(MATCH(F461,請求台帳!$A$5:$A$504,0)),"番号誤り",IF(INDEX(請求台帳!$T$5:$T$504,MATCH(F461,請求台帳!$A$5:$A$504,0))="取消","取消請求へ消込","消込済")))))</f>
        <v/>
      </c>
      <c r="J461" s="28"/>
      <c r="K461" s="28"/>
    </row>
    <row r="462" customFormat="false" ht="15" hidden="false" customHeight="false" outlineLevel="0" collapsed="false">
      <c r="A462" s="32" t="str">
        <f aca="false">IF(COUNTA(B462,D462,E462,F462)=0,"",ROW()-4)</f>
        <v/>
      </c>
      <c r="B462" s="22"/>
      <c r="C462" s="28"/>
      <c r="D462" s="28"/>
      <c r="E462" s="18"/>
      <c r="F462" s="28"/>
      <c r="G462" s="32" t="str">
        <f aca="false">IF(F462="","",IFERROR(INDEX(請求台帳!$D$5:$D$504,MATCH(F462,請求台帳!$A$5:$A$504,0)),""))</f>
        <v/>
      </c>
      <c r="H462" s="26" t="str">
        <f aca="false">IF(F462="","",IFERROR(INDEX(請求台帳!$I$5:$I$504,MATCH(F462,請求台帳!$A$5:$A$504,0)),""))</f>
        <v/>
      </c>
      <c r="I462" s="29" t="str">
        <f aca="false">IF(COUNTA(B462,D462,E462,F462)=0,"",IF(OR(B462="",E462=""),"要入力",IF(F462="","未消込",IF(ISNA(MATCH(F462,請求台帳!$A$5:$A$504,0)),"番号誤り",IF(INDEX(請求台帳!$T$5:$T$504,MATCH(F462,請求台帳!$A$5:$A$504,0))="取消","取消請求へ消込","消込済")))))</f>
        <v/>
      </c>
      <c r="J462" s="28"/>
      <c r="K462" s="28"/>
    </row>
    <row r="463" customFormat="false" ht="15" hidden="false" customHeight="false" outlineLevel="0" collapsed="false">
      <c r="A463" s="32" t="str">
        <f aca="false">IF(COUNTA(B463,D463,E463,F463)=0,"",ROW()-4)</f>
        <v/>
      </c>
      <c r="B463" s="22"/>
      <c r="C463" s="28"/>
      <c r="D463" s="28"/>
      <c r="E463" s="18"/>
      <c r="F463" s="28"/>
      <c r="G463" s="32" t="str">
        <f aca="false">IF(F463="","",IFERROR(INDEX(請求台帳!$D$5:$D$504,MATCH(F463,請求台帳!$A$5:$A$504,0)),""))</f>
        <v/>
      </c>
      <c r="H463" s="26" t="str">
        <f aca="false">IF(F463="","",IFERROR(INDEX(請求台帳!$I$5:$I$504,MATCH(F463,請求台帳!$A$5:$A$504,0)),""))</f>
        <v/>
      </c>
      <c r="I463" s="29" t="str">
        <f aca="false">IF(COUNTA(B463,D463,E463,F463)=0,"",IF(OR(B463="",E463=""),"要入力",IF(F463="","未消込",IF(ISNA(MATCH(F463,請求台帳!$A$5:$A$504,0)),"番号誤り",IF(INDEX(請求台帳!$T$5:$T$504,MATCH(F463,請求台帳!$A$5:$A$504,0))="取消","取消請求へ消込","消込済")))))</f>
        <v/>
      </c>
      <c r="J463" s="28"/>
      <c r="K463" s="28"/>
    </row>
    <row r="464" customFormat="false" ht="15" hidden="false" customHeight="false" outlineLevel="0" collapsed="false">
      <c r="A464" s="32" t="str">
        <f aca="false">IF(COUNTA(B464,D464,E464,F464)=0,"",ROW()-4)</f>
        <v/>
      </c>
      <c r="B464" s="22"/>
      <c r="C464" s="28"/>
      <c r="D464" s="28"/>
      <c r="E464" s="18"/>
      <c r="F464" s="28"/>
      <c r="G464" s="32" t="str">
        <f aca="false">IF(F464="","",IFERROR(INDEX(請求台帳!$D$5:$D$504,MATCH(F464,請求台帳!$A$5:$A$504,0)),""))</f>
        <v/>
      </c>
      <c r="H464" s="26" t="str">
        <f aca="false">IF(F464="","",IFERROR(INDEX(請求台帳!$I$5:$I$504,MATCH(F464,請求台帳!$A$5:$A$504,0)),""))</f>
        <v/>
      </c>
      <c r="I464" s="29" t="str">
        <f aca="false">IF(COUNTA(B464,D464,E464,F464)=0,"",IF(OR(B464="",E464=""),"要入力",IF(F464="","未消込",IF(ISNA(MATCH(F464,請求台帳!$A$5:$A$504,0)),"番号誤り",IF(INDEX(請求台帳!$T$5:$T$504,MATCH(F464,請求台帳!$A$5:$A$504,0))="取消","取消請求へ消込","消込済")))))</f>
        <v/>
      </c>
      <c r="J464" s="28"/>
      <c r="K464" s="28"/>
    </row>
    <row r="465" customFormat="false" ht="15" hidden="false" customHeight="false" outlineLevel="0" collapsed="false">
      <c r="A465" s="32" t="str">
        <f aca="false">IF(COUNTA(B465,D465,E465,F465)=0,"",ROW()-4)</f>
        <v/>
      </c>
      <c r="B465" s="22"/>
      <c r="C465" s="28"/>
      <c r="D465" s="28"/>
      <c r="E465" s="18"/>
      <c r="F465" s="28"/>
      <c r="G465" s="32" t="str">
        <f aca="false">IF(F465="","",IFERROR(INDEX(請求台帳!$D$5:$D$504,MATCH(F465,請求台帳!$A$5:$A$504,0)),""))</f>
        <v/>
      </c>
      <c r="H465" s="26" t="str">
        <f aca="false">IF(F465="","",IFERROR(INDEX(請求台帳!$I$5:$I$504,MATCH(F465,請求台帳!$A$5:$A$504,0)),""))</f>
        <v/>
      </c>
      <c r="I465" s="29" t="str">
        <f aca="false">IF(COUNTA(B465,D465,E465,F465)=0,"",IF(OR(B465="",E465=""),"要入力",IF(F465="","未消込",IF(ISNA(MATCH(F465,請求台帳!$A$5:$A$504,0)),"番号誤り",IF(INDEX(請求台帳!$T$5:$T$504,MATCH(F465,請求台帳!$A$5:$A$504,0))="取消","取消請求へ消込","消込済")))))</f>
        <v/>
      </c>
      <c r="J465" s="28"/>
      <c r="K465" s="28"/>
    </row>
    <row r="466" customFormat="false" ht="15" hidden="false" customHeight="false" outlineLevel="0" collapsed="false">
      <c r="A466" s="32" t="str">
        <f aca="false">IF(COUNTA(B466,D466,E466,F466)=0,"",ROW()-4)</f>
        <v/>
      </c>
      <c r="B466" s="22"/>
      <c r="C466" s="28"/>
      <c r="D466" s="28"/>
      <c r="E466" s="18"/>
      <c r="F466" s="28"/>
      <c r="G466" s="32" t="str">
        <f aca="false">IF(F466="","",IFERROR(INDEX(請求台帳!$D$5:$D$504,MATCH(F466,請求台帳!$A$5:$A$504,0)),""))</f>
        <v/>
      </c>
      <c r="H466" s="26" t="str">
        <f aca="false">IF(F466="","",IFERROR(INDEX(請求台帳!$I$5:$I$504,MATCH(F466,請求台帳!$A$5:$A$504,0)),""))</f>
        <v/>
      </c>
      <c r="I466" s="29" t="str">
        <f aca="false">IF(COUNTA(B466,D466,E466,F466)=0,"",IF(OR(B466="",E466=""),"要入力",IF(F466="","未消込",IF(ISNA(MATCH(F466,請求台帳!$A$5:$A$504,0)),"番号誤り",IF(INDEX(請求台帳!$T$5:$T$504,MATCH(F466,請求台帳!$A$5:$A$504,0))="取消","取消請求へ消込","消込済")))))</f>
        <v/>
      </c>
      <c r="J466" s="28"/>
      <c r="K466" s="28"/>
    </row>
    <row r="467" customFormat="false" ht="15" hidden="false" customHeight="false" outlineLevel="0" collapsed="false">
      <c r="A467" s="32" t="str">
        <f aca="false">IF(COUNTA(B467,D467,E467,F467)=0,"",ROW()-4)</f>
        <v/>
      </c>
      <c r="B467" s="22"/>
      <c r="C467" s="28"/>
      <c r="D467" s="28"/>
      <c r="E467" s="18"/>
      <c r="F467" s="28"/>
      <c r="G467" s="32" t="str">
        <f aca="false">IF(F467="","",IFERROR(INDEX(請求台帳!$D$5:$D$504,MATCH(F467,請求台帳!$A$5:$A$504,0)),""))</f>
        <v/>
      </c>
      <c r="H467" s="26" t="str">
        <f aca="false">IF(F467="","",IFERROR(INDEX(請求台帳!$I$5:$I$504,MATCH(F467,請求台帳!$A$5:$A$504,0)),""))</f>
        <v/>
      </c>
      <c r="I467" s="29" t="str">
        <f aca="false">IF(COUNTA(B467,D467,E467,F467)=0,"",IF(OR(B467="",E467=""),"要入力",IF(F467="","未消込",IF(ISNA(MATCH(F467,請求台帳!$A$5:$A$504,0)),"番号誤り",IF(INDEX(請求台帳!$T$5:$T$504,MATCH(F467,請求台帳!$A$5:$A$504,0))="取消","取消請求へ消込","消込済")))))</f>
        <v/>
      </c>
      <c r="J467" s="28"/>
      <c r="K467" s="28"/>
    </row>
    <row r="468" customFormat="false" ht="15" hidden="false" customHeight="false" outlineLevel="0" collapsed="false">
      <c r="A468" s="32" t="str">
        <f aca="false">IF(COUNTA(B468,D468,E468,F468)=0,"",ROW()-4)</f>
        <v/>
      </c>
      <c r="B468" s="22"/>
      <c r="C468" s="28"/>
      <c r="D468" s="28"/>
      <c r="E468" s="18"/>
      <c r="F468" s="28"/>
      <c r="G468" s="32" t="str">
        <f aca="false">IF(F468="","",IFERROR(INDEX(請求台帳!$D$5:$D$504,MATCH(F468,請求台帳!$A$5:$A$504,0)),""))</f>
        <v/>
      </c>
      <c r="H468" s="26" t="str">
        <f aca="false">IF(F468="","",IFERROR(INDEX(請求台帳!$I$5:$I$504,MATCH(F468,請求台帳!$A$5:$A$504,0)),""))</f>
        <v/>
      </c>
      <c r="I468" s="29" t="str">
        <f aca="false">IF(COUNTA(B468,D468,E468,F468)=0,"",IF(OR(B468="",E468=""),"要入力",IF(F468="","未消込",IF(ISNA(MATCH(F468,請求台帳!$A$5:$A$504,0)),"番号誤り",IF(INDEX(請求台帳!$T$5:$T$504,MATCH(F468,請求台帳!$A$5:$A$504,0))="取消","取消請求へ消込","消込済")))))</f>
        <v/>
      </c>
      <c r="J468" s="28"/>
      <c r="K468" s="28"/>
    </row>
    <row r="469" customFormat="false" ht="15" hidden="false" customHeight="false" outlineLevel="0" collapsed="false">
      <c r="A469" s="32" t="str">
        <f aca="false">IF(COUNTA(B469,D469,E469,F469)=0,"",ROW()-4)</f>
        <v/>
      </c>
      <c r="B469" s="22"/>
      <c r="C469" s="28"/>
      <c r="D469" s="28"/>
      <c r="E469" s="18"/>
      <c r="F469" s="28"/>
      <c r="G469" s="32" t="str">
        <f aca="false">IF(F469="","",IFERROR(INDEX(請求台帳!$D$5:$D$504,MATCH(F469,請求台帳!$A$5:$A$504,0)),""))</f>
        <v/>
      </c>
      <c r="H469" s="26" t="str">
        <f aca="false">IF(F469="","",IFERROR(INDEX(請求台帳!$I$5:$I$504,MATCH(F469,請求台帳!$A$5:$A$504,0)),""))</f>
        <v/>
      </c>
      <c r="I469" s="29" t="str">
        <f aca="false">IF(COUNTA(B469,D469,E469,F469)=0,"",IF(OR(B469="",E469=""),"要入力",IF(F469="","未消込",IF(ISNA(MATCH(F469,請求台帳!$A$5:$A$504,0)),"番号誤り",IF(INDEX(請求台帳!$T$5:$T$504,MATCH(F469,請求台帳!$A$5:$A$504,0))="取消","取消請求へ消込","消込済")))))</f>
        <v/>
      </c>
      <c r="J469" s="28"/>
      <c r="K469" s="28"/>
    </row>
    <row r="470" customFormat="false" ht="15" hidden="false" customHeight="false" outlineLevel="0" collapsed="false">
      <c r="A470" s="32" t="str">
        <f aca="false">IF(COUNTA(B470,D470,E470,F470)=0,"",ROW()-4)</f>
        <v/>
      </c>
      <c r="B470" s="22"/>
      <c r="C470" s="28"/>
      <c r="D470" s="28"/>
      <c r="E470" s="18"/>
      <c r="F470" s="28"/>
      <c r="G470" s="32" t="str">
        <f aca="false">IF(F470="","",IFERROR(INDEX(請求台帳!$D$5:$D$504,MATCH(F470,請求台帳!$A$5:$A$504,0)),""))</f>
        <v/>
      </c>
      <c r="H470" s="26" t="str">
        <f aca="false">IF(F470="","",IFERROR(INDEX(請求台帳!$I$5:$I$504,MATCH(F470,請求台帳!$A$5:$A$504,0)),""))</f>
        <v/>
      </c>
      <c r="I470" s="29" t="str">
        <f aca="false">IF(COUNTA(B470,D470,E470,F470)=0,"",IF(OR(B470="",E470=""),"要入力",IF(F470="","未消込",IF(ISNA(MATCH(F470,請求台帳!$A$5:$A$504,0)),"番号誤り",IF(INDEX(請求台帳!$T$5:$T$504,MATCH(F470,請求台帳!$A$5:$A$504,0))="取消","取消請求へ消込","消込済")))))</f>
        <v/>
      </c>
      <c r="J470" s="28"/>
      <c r="K470" s="28"/>
    </row>
    <row r="471" customFormat="false" ht="15" hidden="false" customHeight="false" outlineLevel="0" collapsed="false">
      <c r="A471" s="32" t="str">
        <f aca="false">IF(COUNTA(B471,D471,E471,F471)=0,"",ROW()-4)</f>
        <v/>
      </c>
      <c r="B471" s="22"/>
      <c r="C471" s="28"/>
      <c r="D471" s="28"/>
      <c r="E471" s="18"/>
      <c r="F471" s="28"/>
      <c r="G471" s="32" t="str">
        <f aca="false">IF(F471="","",IFERROR(INDEX(請求台帳!$D$5:$D$504,MATCH(F471,請求台帳!$A$5:$A$504,0)),""))</f>
        <v/>
      </c>
      <c r="H471" s="26" t="str">
        <f aca="false">IF(F471="","",IFERROR(INDEX(請求台帳!$I$5:$I$504,MATCH(F471,請求台帳!$A$5:$A$504,0)),""))</f>
        <v/>
      </c>
      <c r="I471" s="29" t="str">
        <f aca="false">IF(COUNTA(B471,D471,E471,F471)=0,"",IF(OR(B471="",E471=""),"要入力",IF(F471="","未消込",IF(ISNA(MATCH(F471,請求台帳!$A$5:$A$504,0)),"番号誤り",IF(INDEX(請求台帳!$T$5:$T$504,MATCH(F471,請求台帳!$A$5:$A$504,0))="取消","取消請求へ消込","消込済")))))</f>
        <v/>
      </c>
      <c r="J471" s="28"/>
      <c r="K471" s="28"/>
    </row>
    <row r="472" customFormat="false" ht="15" hidden="false" customHeight="false" outlineLevel="0" collapsed="false">
      <c r="A472" s="32" t="str">
        <f aca="false">IF(COUNTA(B472,D472,E472,F472)=0,"",ROW()-4)</f>
        <v/>
      </c>
      <c r="B472" s="22"/>
      <c r="C472" s="28"/>
      <c r="D472" s="28"/>
      <c r="E472" s="18"/>
      <c r="F472" s="28"/>
      <c r="G472" s="32" t="str">
        <f aca="false">IF(F472="","",IFERROR(INDEX(請求台帳!$D$5:$D$504,MATCH(F472,請求台帳!$A$5:$A$504,0)),""))</f>
        <v/>
      </c>
      <c r="H472" s="26" t="str">
        <f aca="false">IF(F472="","",IFERROR(INDEX(請求台帳!$I$5:$I$504,MATCH(F472,請求台帳!$A$5:$A$504,0)),""))</f>
        <v/>
      </c>
      <c r="I472" s="29" t="str">
        <f aca="false">IF(COUNTA(B472,D472,E472,F472)=0,"",IF(OR(B472="",E472=""),"要入力",IF(F472="","未消込",IF(ISNA(MATCH(F472,請求台帳!$A$5:$A$504,0)),"番号誤り",IF(INDEX(請求台帳!$T$5:$T$504,MATCH(F472,請求台帳!$A$5:$A$504,0))="取消","取消請求へ消込","消込済")))))</f>
        <v/>
      </c>
      <c r="J472" s="28"/>
      <c r="K472" s="28"/>
    </row>
    <row r="473" customFormat="false" ht="15" hidden="false" customHeight="false" outlineLevel="0" collapsed="false">
      <c r="A473" s="32" t="str">
        <f aca="false">IF(COUNTA(B473,D473,E473,F473)=0,"",ROW()-4)</f>
        <v/>
      </c>
      <c r="B473" s="22"/>
      <c r="C473" s="28"/>
      <c r="D473" s="28"/>
      <c r="E473" s="18"/>
      <c r="F473" s="28"/>
      <c r="G473" s="32" t="str">
        <f aca="false">IF(F473="","",IFERROR(INDEX(請求台帳!$D$5:$D$504,MATCH(F473,請求台帳!$A$5:$A$504,0)),""))</f>
        <v/>
      </c>
      <c r="H473" s="26" t="str">
        <f aca="false">IF(F473="","",IFERROR(INDEX(請求台帳!$I$5:$I$504,MATCH(F473,請求台帳!$A$5:$A$504,0)),""))</f>
        <v/>
      </c>
      <c r="I473" s="29" t="str">
        <f aca="false">IF(COUNTA(B473,D473,E473,F473)=0,"",IF(OR(B473="",E473=""),"要入力",IF(F473="","未消込",IF(ISNA(MATCH(F473,請求台帳!$A$5:$A$504,0)),"番号誤り",IF(INDEX(請求台帳!$T$5:$T$504,MATCH(F473,請求台帳!$A$5:$A$504,0))="取消","取消請求へ消込","消込済")))))</f>
        <v/>
      </c>
      <c r="J473" s="28"/>
      <c r="K473" s="28"/>
    </row>
    <row r="474" customFormat="false" ht="15" hidden="false" customHeight="false" outlineLevel="0" collapsed="false">
      <c r="A474" s="32" t="str">
        <f aca="false">IF(COUNTA(B474,D474,E474,F474)=0,"",ROW()-4)</f>
        <v/>
      </c>
      <c r="B474" s="22"/>
      <c r="C474" s="28"/>
      <c r="D474" s="28"/>
      <c r="E474" s="18"/>
      <c r="F474" s="28"/>
      <c r="G474" s="32" t="str">
        <f aca="false">IF(F474="","",IFERROR(INDEX(請求台帳!$D$5:$D$504,MATCH(F474,請求台帳!$A$5:$A$504,0)),""))</f>
        <v/>
      </c>
      <c r="H474" s="26" t="str">
        <f aca="false">IF(F474="","",IFERROR(INDEX(請求台帳!$I$5:$I$504,MATCH(F474,請求台帳!$A$5:$A$504,0)),""))</f>
        <v/>
      </c>
      <c r="I474" s="29" t="str">
        <f aca="false">IF(COUNTA(B474,D474,E474,F474)=0,"",IF(OR(B474="",E474=""),"要入力",IF(F474="","未消込",IF(ISNA(MATCH(F474,請求台帳!$A$5:$A$504,0)),"番号誤り",IF(INDEX(請求台帳!$T$5:$T$504,MATCH(F474,請求台帳!$A$5:$A$504,0))="取消","取消請求へ消込","消込済")))))</f>
        <v/>
      </c>
      <c r="J474" s="28"/>
      <c r="K474" s="28"/>
    </row>
    <row r="475" customFormat="false" ht="15" hidden="false" customHeight="false" outlineLevel="0" collapsed="false">
      <c r="A475" s="32" t="str">
        <f aca="false">IF(COUNTA(B475,D475,E475,F475)=0,"",ROW()-4)</f>
        <v/>
      </c>
      <c r="B475" s="22"/>
      <c r="C475" s="28"/>
      <c r="D475" s="28"/>
      <c r="E475" s="18"/>
      <c r="F475" s="28"/>
      <c r="G475" s="32" t="str">
        <f aca="false">IF(F475="","",IFERROR(INDEX(請求台帳!$D$5:$D$504,MATCH(F475,請求台帳!$A$5:$A$504,0)),""))</f>
        <v/>
      </c>
      <c r="H475" s="26" t="str">
        <f aca="false">IF(F475="","",IFERROR(INDEX(請求台帳!$I$5:$I$504,MATCH(F475,請求台帳!$A$5:$A$504,0)),""))</f>
        <v/>
      </c>
      <c r="I475" s="29" t="str">
        <f aca="false">IF(COUNTA(B475,D475,E475,F475)=0,"",IF(OR(B475="",E475=""),"要入力",IF(F475="","未消込",IF(ISNA(MATCH(F475,請求台帳!$A$5:$A$504,0)),"番号誤り",IF(INDEX(請求台帳!$T$5:$T$504,MATCH(F475,請求台帳!$A$5:$A$504,0))="取消","取消請求へ消込","消込済")))))</f>
        <v/>
      </c>
      <c r="J475" s="28"/>
      <c r="K475" s="28"/>
    </row>
    <row r="476" customFormat="false" ht="15" hidden="false" customHeight="false" outlineLevel="0" collapsed="false">
      <c r="A476" s="32" t="str">
        <f aca="false">IF(COUNTA(B476,D476,E476,F476)=0,"",ROW()-4)</f>
        <v/>
      </c>
      <c r="B476" s="22"/>
      <c r="C476" s="28"/>
      <c r="D476" s="28"/>
      <c r="E476" s="18"/>
      <c r="F476" s="28"/>
      <c r="G476" s="32" t="str">
        <f aca="false">IF(F476="","",IFERROR(INDEX(請求台帳!$D$5:$D$504,MATCH(F476,請求台帳!$A$5:$A$504,0)),""))</f>
        <v/>
      </c>
      <c r="H476" s="26" t="str">
        <f aca="false">IF(F476="","",IFERROR(INDEX(請求台帳!$I$5:$I$504,MATCH(F476,請求台帳!$A$5:$A$504,0)),""))</f>
        <v/>
      </c>
      <c r="I476" s="29" t="str">
        <f aca="false">IF(COUNTA(B476,D476,E476,F476)=0,"",IF(OR(B476="",E476=""),"要入力",IF(F476="","未消込",IF(ISNA(MATCH(F476,請求台帳!$A$5:$A$504,0)),"番号誤り",IF(INDEX(請求台帳!$T$5:$T$504,MATCH(F476,請求台帳!$A$5:$A$504,0))="取消","取消請求へ消込","消込済")))))</f>
        <v/>
      </c>
      <c r="J476" s="28"/>
      <c r="K476" s="28"/>
    </row>
    <row r="477" customFormat="false" ht="15" hidden="false" customHeight="false" outlineLevel="0" collapsed="false">
      <c r="A477" s="32" t="str">
        <f aca="false">IF(COUNTA(B477,D477,E477,F477)=0,"",ROW()-4)</f>
        <v/>
      </c>
      <c r="B477" s="22"/>
      <c r="C477" s="28"/>
      <c r="D477" s="28"/>
      <c r="E477" s="18"/>
      <c r="F477" s="28"/>
      <c r="G477" s="32" t="str">
        <f aca="false">IF(F477="","",IFERROR(INDEX(請求台帳!$D$5:$D$504,MATCH(F477,請求台帳!$A$5:$A$504,0)),""))</f>
        <v/>
      </c>
      <c r="H477" s="26" t="str">
        <f aca="false">IF(F477="","",IFERROR(INDEX(請求台帳!$I$5:$I$504,MATCH(F477,請求台帳!$A$5:$A$504,0)),""))</f>
        <v/>
      </c>
      <c r="I477" s="29" t="str">
        <f aca="false">IF(COUNTA(B477,D477,E477,F477)=0,"",IF(OR(B477="",E477=""),"要入力",IF(F477="","未消込",IF(ISNA(MATCH(F477,請求台帳!$A$5:$A$504,0)),"番号誤り",IF(INDEX(請求台帳!$T$5:$T$504,MATCH(F477,請求台帳!$A$5:$A$504,0))="取消","取消請求へ消込","消込済")))))</f>
        <v/>
      </c>
      <c r="J477" s="28"/>
      <c r="K477" s="28"/>
    </row>
    <row r="478" customFormat="false" ht="15" hidden="false" customHeight="false" outlineLevel="0" collapsed="false">
      <c r="A478" s="32" t="str">
        <f aca="false">IF(COUNTA(B478,D478,E478,F478)=0,"",ROW()-4)</f>
        <v/>
      </c>
      <c r="B478" s="22"/>
      <c r="C478" s="28"/>
      <c r="D478" s="28"/>
      <c r="E478" s="18"/>
      <c r="F478" s="28"/>
      <c r="G478" s="32" t="str">
        <f aca="false">IF(F478="","",IFERROR(INDEX(請求台帳!$D$5:$D$504,MATCH(F478,請求台帳!$A$5:$A$504,0)),""))</f>
        <v/>
      </c>
      <c r="H478" s="26" t="str">
        <f aca="false">IF(F478="","",IFERROR(INDEX(請求台帳!$I$5:$I$504,MATCH(F478,請求台帳!$A$5:$A$504,0)),""))</f>
        <v/>
      </c>
      <c r="I478" s="29" t="str">
        <f aca="false">IF(COUNTA(B478,D478,E478,F478)=0,"",IF(OR(B478="",E478=""),"要入力",IF(F478="","未消込",IF(ISNA(MATCH(F478,請求台帳!$A$5:$A$504,0)),"番号誤り",IF(INDEX(請求台帳!$T$5:$T$504,MATCH(F478,請求台帳!$A$5:$A$504,0))="取消","取消請求へ消込","消込済")))))</f>
        <v/>
      </c>
      <c r="J478" s="28"/>
      <c r="K478" s="28"/>
    </row>
    <row r="479" customFormat="false" ht="15" hidden="false" customHeight="false" outlineLevel="0" collapsed="false">
      <c r="A479" s="32" t="str">
        <f aca="false">IF(COUNTA(B479,D479,E479,F479)=0,"",ROW()-4)</f>
        <v/>
      </c>
      <c r="B479" s="22"/>
      <c r="C479" s="28"/>
      <c r="D479" s="28"/>
      <c r="E479" s="18"/>
      <c r="F479" s="28"/>
      <c r="G479" s="32" t="str">
        <f aca="false">IF(F479="","",IFERROR(INDEX(請求台帳!$D$5:$D$504,MATCH(F479,請求台帳!$A$5:$A$504,0)),""))</f>
        <v/>
      </c>
      <c r="H479" s="26" t="str">
        <f aca="false">IF(F479="","",IFERROR(INDEX(請求台帳!$I$5:$I$504,MATCH(F479,請求台帳!$A$5:$A$504,0)),""))</f>
        <v/>
      </c>
      <c r="I479" s="29" t="str">
        <f aca="false">IF(COUNTA(B479,D479,E479,F479)=0,"",IF(OR(B479="",E479=""),"要入力",IF(F479="","未消込",IF(ISNA(MATCH(F479,請求台帳!$A$5:$A$504,0)),"番号誤り",IF(INDEX(請求台帳!$T$5:$T$504,MATCH(F479,請求台帳!$A$5:$A$504,0))="取消","取消請求へ消込","消込済")))))</f>
        <v/>
      </c>
      <c r="J479" s="28"/>
      <c r="K479" s="28"/>
    </row>
    <row r="480" customFormat="false" ht="15" hidden="false" customHeight="false" outlineLevel="0" collapsed="false">
      <c r="A480" s="32" t="str">
        <f aca="false">IF(COUNTA(B480,D480,E480,F480)=0,"",ROW()-4)</f>
        <v/>
      </c>
      <c r="B480" s="22"/>
      <c r="C480" s="28"/>
      <c r="D480" s="28"/>
      <c r="E480" s="18"/>
      <c r="F480" s="28"/>
      <c r="G480" s="32" t="str">
        <f aca="false">IF(F480="","",IFERROR(INDEX(請求台帳!$D$5:$D$504,MATCH(F480,請求台帳!$A$5:$A$504,0)),""))</f>
        <v/>
      </c>
      <c r="H480" s="26" t="str">
        <f aca="false">IF(F480="","",IFERROR(INDEX(請求台帳!$I$5:$I$504,MATCH(F480,請求台帳!$A$5:$A$504,0)),""))</f>
        <v/>
      </c>
      <c r="I480" s="29" t="str">
        <f aca="false">IF(COUNTA(B480,D480,E480,F480)=0,"",IF(OR(B480="",E480=""),"要入力",IF(F480="","未消込",IF(ISNA(MATCH(F480,請求台帳!$A$5:$A$504,0)),"番号誤り",IF(INDEX(請求台帳!$T$5:$T$504,MATCH(F480,請求台帳!$A$5:$A$504,0))="取消","取消請求へ消込","消込済")))))</f>
        <v/>
      </c>
      <c r="J480" s="28"/>
      <c r="K480" s="28"/>
    </row>
    <row r="481" customFormat="false" ht="15" hidden="false" customHeight="false" outlineLevel="0" collapsed="false">
      <c r="A481" s="32" t="str">
        <f aca="false">IF(COUNTA(B481,D481,E481,F481)=0,"",ROW()-4)</f>
        <v/>
      </c>
      <c r="B481" s="22"/>
      <c r="C481" s="28"/>
      <c r="D481" s="28"/>
      <c r="E481" s="18"/>
      <c r="F481" s="28"/>
      <c r="G481" s="32" t="str">
        <f aca="false">IF(F481="","",IFERROR(INDEX(請求台帳!$D$5:$D$504,MATCH(F481,請求台帳!$A$5:$A$504,0)),""))</f>
        <v/>
      </c>
      <c r="H481" s="26" t="str">
        <f aca="false">IF(F481="","",IFERROR(INDEX(請求台帳!$I$5:$I$504,MATCH(F481,請求台帳!$A$5:$A$504,0)),""))</f>
        <v/>
      </c>
      <c r="I481" s="29" t="str">
        <f aca="false">IF(COUNTA(B481,D481,E481,F481)=0,"",IF(OR(B481="",E481=""),"要入力",IF(F481="","未消込",IF(ISNA(MATCH(F481,請求台帳!$A$5:$A$504,0)),"番号誤り",IF(INDEX(請求台帳!$T$5:$T$504,MATCH(F481,請求台帳!$A$5:$A$504,0))="取消","取消請求へ消込","消込済")))))</f>
        <v/>
      </c>
      <c r="J481" s="28"/>
      <c r="K481" s="28"/>
    </row>
    <row r="482" customFormat="false" ht="15" hidden="false" customHeight="false" outlineLevel="0" collapsed="false">
      <c r="A482" s="32" t="str">
        <f aca="false">IF(COUNTA(B482,D482,E482,F482)=0,"",ROW()-4)</f>
        <v/>
      </c>
      <c r="B482" s="22"/>
      <c r="C482" s="28"/>
      <c r="D482" s="28"/>
      <c r="E482" s="18"/>
      <c r="F482" s="28"/>
      <c r="G482" s="32" t="str">
        <f aca="false">IF(F482="","",IFERROR(INDEX(請求台帳!$D$5:$D$504,MATCH(F482,請求台帳!$A$5:$A$504,0)),""))</f>
        <v/>
      </c>
      <c r="H482" s="26" t="str">
        <f aca="false">IF(F482="","",IFERROR(INDEX(請求台帳!$I$5:$I$504,MATCH(F482,請求台帳!$A$5:$A$504,0)),""))</f>
        <v/>
      </c>
      <c r="I482" s="29" t="str">
        <f aca="false">IF(COUNTA(B482,D482,E482,F482)=0,"",IF(OR(B482="",E482=""),"要入力",IF(F482="","未消込",IF(ISNA(MATCH(F482,請求台帳!$A$5:$A$504,0)),"番号誤り",IF(INDEX(請求台帳!$T$5:$T$504,MATCH(F482,請求台帳!$A$5:$A$504,0))="取消","取消請求へ消込","消込済")))))</f>
        <v/>
      </c>
      <c r="J482" s="28"/>
      <c r="K482" s="28"/>
    </row>
    <row r="483" customFormat="false" ht="15" hidden="false" customHeight="false" outlineLevel="0" collapsed="false">
      <c r="A483" s="32" t="str">
        <f aca="false">IF(COUNTA(B483,D483,E483,F483)=0,"",ROW()-4)</f>
        <v/>
      </c>
      <c r="B483" s="22"/>
      <c r="C483" s="28"/>
      <c r="D483" s="28"/>
      <c r="E483" s="18"/>
      <c r="F483" s="28"/>
      <c r="G483" s="32" t="str">
        <f aca="false">IF(F483="","",IFERROR(INDEX(請求台帳!$D$5:$D$504,MATCH(F483,請求台帳!$A$5:$A$504,0)),""))</f>
        <v/>
      </c>
      <c r="H483" s="26" t="str">
        <f aca="false">IF(F483="","",IFERROR(INDEX(請求台帳!$I$5:$I$504,MATCH(F483,請求台帳!$A$5:$A$504,0)),""))</f>
        <v/>
      </c>
      <c r="I483" s="29" t="str">
        <f aca="false">IF(COUNTA(B483,D483,E483,F483)=0,"",IF(OR(B483="",E483=""),"要入力",IF(F483="","未消込",IF(ISNA(MATCH(F483,請求台帳!$A$5:$A$504,0)),"番号誤り",IF(INDEX(請求台帳!$T$5:$T$504,MATCH(F483,請求台帳!$A$5:$A$504,0))="取消","取消請求へ消込","消込済")))))</f>
        <v/>
      </c>
      <c r="J483" s="28"/>
      <c r="K483" s="28"/>
    </row>
    <row r="484" customFormat="false" ht="15" hidden="false" customHeight="false" outlineLevel="0" collapsed="false">
      <c r="A484" s="32" t="str">
        <f aca="false">IF(COUNTA(B484,D484,E484,F484)=0,"",ROW()-4)</f>
        <v/>
      </c>
      <c r="B484" s="22"/>
      <c r="C484" s="28"/>
      <c r="D484" s="28"/>
      <c r="E484" s="18"/>
      <c r="F484" s="28"/>
      <c r="G484" s="32" t="str">
        <f aca="false">IF(F484="","",IFERROR(INDEX(請求台帳!$D$5:$D$504,MATCH(F484,請求台帳!$A$5:$A$504,0)),""))</f>
        <v/>
      </c>
      <c r="H484" s="26" t="str">
        <f aca="false">IF(F484="","",IFERROR(INDEX(請求台帳!$I$5:$I$504,MATCH(F484,請求台帳!$A$5:$A$504,0)),""))</f>
        <v/>
      </c>
      <c r="I484" s="29" t="str">
        <f aca="false">IF(COUNTA(B484,D484,E484,F484)=0,"",IF(OR(B484="",E484=""),"要入力",IF(F484="","未消込",IF(ISNA(MATCH(F484,請求台帳!$A$5:$A$504,0)),"番号誤り",IF(INDEX(請求台帳!$T$5:$T$504,MATCH(F484,請求台帳!$A$5:$A$504,0))="取消","取消請求へ消込","消込済")))))</f>
        <v/>
      </c>
      <c r="J484" s="28"/>
      <c r="K484" s="28"/>
    </row>
    <row r="485" customFormat="false" ht="15" hidden="false" customHeight="false" outlineLevel="0" collapsed="false">
      <c r="A485" s="32" t="str">
        <f aca="false">IF(COUNTA(B485,D485,E485,F485)=0,"",ROW()-4)</f>
        <v/>
      </c>
      <c r="B485" s="22"/>
      <c r="C485" s="28"/>
      <c r="D485" s="28"/>
      <c r="E485" s="18"/>
      <c r="F485" s="28"/>
      <c r="G485" s="32" t="str">
        <f aca="false">IF(F485="","",IFERROR(INDEX(請求台帳!$D$5:$D$504,MATCH(F485,請求台帳!$A$5:$A$504,0)),""))</f>
        <v/>
      </c>
      <c r="H485" s="26" t="str">
        <f aca="false">IF(F485="","",IFERROR(INDEX(請求台帳!$I$5:$I$504,MATCH(F485,請求台帳!$A$5:$A$504,0)),""))</f>
        <v/>
      </c>
      <c r="I485" s="29" t="str">
        <f aca="false">IF(COUNTA(B485,D485,E485,F485)=0,"",IF(OR(B485="",E485=""),"要入力",IF(F485="","未消込",IF(ISNA(MATCH(F485,請求台帳!$A$5:$A$504,0)),"番号誤り",IF(INDEX(請求台帳!$T$5:$T$504,MATCH(F485,請求台帳!$A$5:$A$504,0))="取消","取消請求へ消込","消込済")))))</f>
        <v/>
      </c>
      <c r="J485" s="28"/>
      <c r="K485" s="28"/>
    </row>
    <row r="486" customFormat="false" ht="15" hidden="false" customHeight="false" outlineLevel="0" collapsed="false">
      <c r="A486" s="32" t="str">
        <f aca="false">IF(COUNTA(B486,D486,E486,F486)=0,"",ROW()-4)</f>
        <v/>
      </c>
      <c r="B486" s="22"/>
      <c r="C486" s="28"/>
      <c r="D486" s="28"/>
      <c r="E486" s="18"/>
      <c r="F486" s="28"/>
      <c r="G486" s="32" t="str">
        <f aca="false">IF(F486="","",IFERROR(INDEX(請求台帳!$D$5:$D$504,MATCH(F486,請求台帳!$A$5:$A$504,0)),""))</f>
        <v/>
      </c>
      <c r="H486" s="26" t="str">
        <f aca="false">IF(F486="","",IFERROR(INDEX(請求台帳!$I$5:$I$504,MATCH(F486,請求台帳!$A$5:$A$504,0)),""))</f>
        <v/>
      </c>
      <c r="I486" s="29" t="str">
        <f aca="false">IF(COUNTA(B486,D486,E486,F486)=0,"",IF(OR(B486="",E486=""),"要入力",IF(F486="","未消込",IF(ISNA(MATCH(F486,請求台帳!$A$5:$A$504,0)),"番号誤り",IF(INDEX(請求台帳!$T$5:$T$504,MATCH(F486,請求台帳!$A$5:$A$504,0))="取消","取消請求へ消込","消込済")))))</f>
        <v/>
      </c>
      <c r="J486" s="28"/>
      <c r="K486" s="28"/>
    </row>
    <row r="487" customFormat="false" ht="15" hidden="false" customHeight="false" outlineLevel="0" collapsed="false">
      <c r="A487" s="32" t="str">
        <f aca="false">IF(COUNTA(B487,D487,E487,F487)=0,"",ROW()-4)</f>
        <v/>
      </c>
      <c r="B487" s="22"/>
      <c r="C487" s="28"/>
      <c r="D487" s="28"/>
      <c r="E487" s="18"/>
      <c r="F487" s="28"/>
      <c r="G487" s="32" t="str">
        <f aca="false">IF(F487="","",IFERROR(INDEX(請求台帳!$D$5:$D$504,MATCH(F487,請求台帳!$A$5:$A$504,0)),""))</f>
        <v/>
      </c>
      <c r="H487" s="26" t="str">
        <f aca="false">IF(F487="","",IFERROR(INDEX(請求台帳!$I$5:$I$504,MATCH(F487,請求台帳!$A$5:$A$504,0)),""))</f>
        <v/>
      </c>
      <c r="I487" s="29" t="str">
        <f aca="false">IF(COUNTA(B487,D487,E487,F487)=0,"",IF(OR(B487="",E487=""),"要入力",IF(F487="","未消込",IF(ISNA(MATCH(F487,請求台帳!$A$5:$A$504,0)),"番号誤り",IF(INDEX(請求台帳!$T$5:$T$504,MATCH(F487,請求台帳!$A$5:$A$504,0))="取消","取消請求へ消込","消込済")))))</f>
        <v/>
      </c>
      <c r="J487" s="28"/>
      <c r="K487" s="28"/>
    </row>
    <row r="488" customFormat="false" ht="15" hidden="false" customHeight="false" outlineLevel="0" collapsed="false">
      <c r="A488" s="32" t="str">
        <f aca="false">IF(COUNTA(B488,D488,E488,F488)=0,"",ROW()-4)</f>
        <v/>
      </c>
      <c r="B488" s="22"/>
      <c r="C488" s="28"/>
      <c r="D488" s="28"/>
      <c r="E488" s="18"/>
      <c r="F488" s="28"/>
      <c r="G488" s="32" t="str">
        <f aca="false">IF(F488="","",IFERROR(INDEX(請求台帳!$D$5:$D$504,MATCH(F488,請求台帳!$A$5:$A$504,0)),""))</f>
        <v/>
      </c>
      <c r="H488" s="26" t="str">
        <f aca="false">IF(F488="","",IFERROR(INDEX(請求台帳!$I$5:$I$504,MATCH(F488,請求台帳!$A$5:$A$504,0)),""))</f>
        <v/>
      </c>
      <c r="I488" s="29" t="str">
        <f aca="false">IF(COUNTA(B488,D488,E488,F488)=0,"",IF(OR(B488="",E488=""),"要入力",IF(F488="","未消込",IF(ISNA(MATCH(F488,請求台帳!$A$5:$A$504,0)),"番号誤り",IF(INDEX(請求台帳!$T$5:$T$504,MATCH(F488,請求台帳!$A$5:$A$504,0))="取消","取消請求へ消込","消込済")))))</f>
        <v/>
      </c>
      <c r="J488" s="28"/>
      <c r="K488" s="28"/>
    </row>
    <row r="489" customFormat="false" ht="15" hidden="false" customHeight="false" outlineLevel="0" collapsed="false">
      <c r="A489" s="32" t="str">
        <f aca="false">IF(COUNTA(B489,D489,E489,F489)=0,"",ROW()-4)</f>
        <v/>
      </c>
      <c r="B489" s="22"/>
      <c r="C489" s="28"/>
      <c r="D489" s="28"/>
      <c r="E489" s="18"/>
      <c r="F489" s="28"/>
      <c r="G489" s="32" t="str">
        <f aca="false">IF(F489="","",IFERROR(INDEX(請求台帳!$D$5:$D$504,MATCH(F489,請求台帳!$A$5:$A$504,0)),""))</f>
        <v/>
      </c>
      <c r="H489" s="26" t="str">
        <f aca="false">IF(F489="","",IFERROR(INDEX(請求台帳!$I$5:$I$504,MATCH(F489,請求台帳!$A$5:$A$504,0)),""))</f>
        <v/>
      </c>
      <c r="I489" s="29" t="str">
        <f aca="false">IF(COUNTA(B489,D489,E489,F489)=0,"",IF(OR(B489="",E489=""),"要入力",IF(F489="","未消込",IF(ISNA(MATCH(F489,請求台帳!$A$5:$A$504,0)),"番号誤り",IF(INDEX(請求台帳!$T$5:$T$504,MATCH(F489,請求台帳!$A$5:$A$504,0))="取消","取消請求へ消込","消込済")))))</f>
        <v/>
      </c>
      <c r="J489" s="28"/>
      <c r="K489" s="28"/>
    </row>
    <row r="490" customFormat="false" ht="15" hidden="false" customHeight="false" outlineLevel="0" collapsed="false">
      <c r="A490" s="32" t="str">
        <f aca="false">IF(COUNTA(B490,D490,E490,F490)=0,"",ROW()-4)</f>
        <v/>
      </c>
      <c r="B490" s="22"/>
      <c r="C490" s="28"/>
      <c r="D490" s="28"/>
      <c r="E490" s="18"/>
      <c r="F490" s="28"/>
      <c r="G490" s="32" t="str">
        <f aca="false">IF(F490="","",IFERROR(INDEX(請求台帳!$D$5:$D$504,MATCH(F490,請求台帳!$A$5:$A$504,0)),""))</f>
        <v/>
      </c>
      <c r="H490" s="26" t="str">
        <f aca="false">IF(F490="","",IFERROR(INDEX(請求台帳!$I$5:$I$504,MATCH(F490,請求台帳!$A$5:$A$504,0)),""))</f>
        <v/>
      </c>
      <c r="I490" s="29" t="str">
        <f aca="false">IF(COUNTA(B490,D490,E490,F490)=0,"",IF(OR(B490="",E490=""),"要入力",IF(F490="","未消込",IF(ISNA(MATCH(F490,請求台帳!$A$5:$A$504,0)),"番号誤り",IF(INDEX(請求台帳!$T$5:$T$504,MATCH(F490,請求台帳!$A$5:$A$504,0))="取消","取消請求へ消込","消込済")))))</f>
        <v/>
      </c>
      <c r="J490" s="28"/>
      <c r="K490" s="28"/>
    </row>
    <row r="491" customFormat="false" ht="15" hidden="false" customHeight="false" outlineLevel="0" collapsed="false">
      <c r="A491" s="32" t="str">
        <f aca="false">IF(COUNTA(B491,D491,E491,F491)=0,"",ROW()-4)</f>
        <v/>
      </c>
      <c r="B491" s="22"/>
      <c r="C491" s="28"/>
      <c r="D491" s="28"/>
      <c r="E491" s="18"/>
      <c r="F491" s="28"/>
      <c r="G491" s="32" t="str">
        <f aca="false">IF(F491="","",IFERROR(INDEX(請求台帳!$D$5:$D$504,MATCH(F491,請求台帳!$A$5:$A$504,0)),""))</f>
        <v/>
      </c>
      <c r="H491" s="26" t="str">
        <f aca="false">IF(F491="","",IFERROR(INDEX(請求台帳!$I$5:$I$504,MATCH(F491,請求台帳!$A$5:$A$504,0)),""))</f>
        <v/>
      </c>
      <c r="I491" s="29" t="str">
        <f aca="false">IF(COUNTA(B491,D491,E491,F491)=0,"",IF(OR(B491="",E491=""),"要入力",IF(F491="","未消込",IF(ISNA(MATCH(F491,請求台帳!$A$5:$A$504,0)),"番号誤り",IF(INDEX(請求台帳!$T$5:$T$504,MATCH(F491,請求台帳!$A$5:$A$504,0))="取消","取消請求へ消込","消込済")))))</f>
        <v/>
      </c>
      <c r="J491" s="28"/>
      <c r="K491" s="28"/>
    </row>
    <row r="492" customFormat="false" ht="15" hidden="false" customHeight="false" outlineLevel="0" collapsed="false">
      <c r="A492" s="32" t="str">
        <f aca="false">IF(COUNTA(B492,D492,E492,F492)=0,"",ROW()-4)</f>
        <v/>
      </c>
      <c r="B492" s="22"/>
      <c r="C492" s="28"/>
      <c r="D492" s="28"/>
      <c r="E492" s="18"/>
      <c r="F492" s="28"/>
      <c r="G492" s="32" t="str">
        <f aca="false">IF(F492="","",IFERROR(INDEX(請求台帳!$D$5:$D$504,MATCH(F492,請求台帳!$A$5:$A$504,0)),""))</f>
        <v/>
      </c>
      <c r="H492" s="26" t="str">
        <f aca="false">IF(F492="","",IFERROR(INDEX(請求台帳!$I$5:$I$504,MATCH(F492,請求台帳!$A$5:$A$504,0)),""))</f>
        <v/>
      </c>
      <c r="I492" s="29" t="str">
        <f aca="false">IF(COUNTA(B492,D492,E492,F492)=0,"",IF(OR(B492="",E492=""),"要入力",IF(F492="","未消込",IF(ISNA(MATCH(F492,請求台帳!$A$5:$A$504,0)),"番号誤り",IF(INDEX(請求台帳!$T$5:$T$504,MATCH(F492,請求台帳!$A$5:$A$504,0))="取消","取消請求へ消込","消込済")))))</f>
        <v/>
      </c>
      <c r="J492" s="28"/>
      <c r="K492" s="28"/>
    </row>
    <row r="493" customFormat="false" ht="15" hidden="false" customHeight="false" outlineLevel="0" collapsed="false">
      <c r="A493" s="32" t="str">
        <f aca="false">IF(COUNTA(B493,D493,E493,F493)=0,"",ROW()-4)</f>
        <v/>
      </c>
      <c r="B493" s="22"/>
      <c r="C493" s="28"/>
      <c r="D493" s="28"/>
      <c r="E493" s="18"/>
      <c r="F493" s="28"/>
      <c r="G493" s="32" t="str">
        <f aca="false">IF(F493="","",IFERROR(INDEX(請求台帳!$D$5:$D$504,MATCH(F493,請求台帳!$A$5:$A$504,0)),""))</f>
        <v/>
      </c>
      <c r="H493" s="26" t="str">
        <f aca="false">IF(F493="","",IFERROR(INDEX(請求台帳!$I$5:$I$504,MATCH(F493,請求台帳!$A$5:$A$504,0)),""))</f>
        <v/>
      </c>
      <c r="I493" s="29" t="str">
        <f aca="false">IF(COUNTA(B493,D493,E493,F493)=0,"",IF(OR(B493="",E493=""),"要入力",IF(F493="","未消込",IF(ISNA(MATCH(F493,請求台帳!$A$5:$A$504,0)),"番号誤り",IF(INDEX(請求台帳!$T$5:$T$504,MATCH(F493,請求台帳!$A$5:$A$504,0))="取消","取消請求へ消込","消込済")))))</f>
        <v/>
      </c>
      <c r="J493" s="28"/>
      <c r="K493" s="28"/>
    </row>
    <row r="494" customFormat="false" ht="15" hidden="false" customHeight="false" outlineLevel="0" collapsed="false">
      <c r="A494" s="32" t="str">
        <f aca="false">IF(COUNTA(B494,D494,E494,F494)=0,"",ROW()-4)</f>
        <v/>
      </c>
      <c r="B494" s="22"/>
      <c r="C494" s="28"/>
      <c r="D494" s="28"/>
      <c r="E494" s="18"/>
      <c r="F494" s="28"/>
      <c r="G494" s="32" t="str">
        <f aca="false">IF(F494="","",IFERROR(INDEX(請求台帳!$D$5:$D$504,MATCH(F494,請求台帳!$A$5:$A$504,0)),""))</f>
        <v/>
      </c>
      <c r="H494" s="26" t="str">
        <f aca="false">IF(F494="","",IFERROR(INDEX(請求台帳!$I$5:$I$504,MATCH(F494,請求台帳!$A$5:$A$504,0)),""))</f>
        <v/>
      </c>
      <c r="I494" s="29" t="str">
        <f aca="false">IF(COUNTA(B494,D494,E494,F494)=0,"",IF(OR(B494="",E494=""),"要入力",IF(F494="","未消込",IF(ISNA(MATCH(F494,請求台帳!$A$5:$A$504,0)),"番号誤り",IF(INDEX(請求台帳!$T$5:$T$504,MATCH(F494,請求台帳!$A$5:$A$504,0))="取消","取消請求へ消込","消込済")))))</f>
        <v/>
      </c>
      <c r="J494" s="28"/>
      <c r="K494" s="28"/>
    </row>
    <row r="495" customFormat="false" ht="15" hidden="false" customHeight="false" outlineLevel="0" collapsed="false">
      <c r="A495" s="32" t="str">
        <f aca="false">IF(COUNTA(B495,D495,E495,F495)=0,"",ROW()-4)</f>
        <v/>
      </c>
      <c r="B495" s="22"/>
      <c r="C495" s="28"/>
      <c r="D495" s="28"/>
      <c r="E495" s="18"/>
      <c r="F495" s="28"/>
      <c r="G495" s="32" t="str">
        <f aca="false">IF(F495="","",IFERROR(INDEX(請求台帳!$D$5:$D$504,MATCH(F495,請求台帳!$A$5:$A$504,0)),""))</f>
        <v/>
      </c>
      <c r="H495" s="26" t="str">
        <f aca="false">IF(F495="","",IFERROR(INDEX(請求台帳!$I$5:$I$504,MATCH(F495,請求台帳!$A$5:$A$504,0)),""))</f>
        <v/>
      </c>
      <c r="I495" s="29" t="str">
        <f aca="false">IF(COUNTA(B495,D495,E495,F495)=0,"",IF(OR(B495="",E495=""),"要入力",IF(F495="","未消込",IF(ISNA(MATCH(F495,請求台帳!$A$5:$A$504,0)),"番号誤り",IF(INDEX(請求台帳!$T$5:$T$504,MATCH(F495,請求台帳!$A$5:$A$504,0))="取消","取消請求へ消込","消込済")))))</f>
        <v/>
      </c>
      <c r="J495" s="28"/>
      <c r="K495" s="28"/>
    </row>
    <row r="496" customFormat="false" ht="15" hidden="false" customHeight="false" outlineLevel="0" collapsed="false">
      <c r="A496" s="32" t="str">
        <f aca="false">IF(COUNTA(B496,D496,E496,F496)=0,"",ROW()-4)</f>
        <v/>
      </c>
      <c r="B496" s="22"/>
      <c r="C496" s="28"/>
      <c r="D496" s="28"/>
      <c r="E496" s="18"/>
      <c r="F496" s="28"/>
      <c r="G496" s="32" t="str">
        <f aca="false">IF(F496="","",IFERROR(INDEX(請求台帳!$D$5:$D$504,MATCH(F496,請求台帳!$A$5:$A$504,0)),""))</f>
        <v/>
      </c>
      <c r="H496" s="26" t="str">
        <f aca="false">IF(F496="","",IFERROR(INDEX(請求台帳!$I$5:$I$504,MATCH(F496,請求台帳!$A$5:$A$504,0)),""))</f>
        <v/>
      </c>
      <c r="I496" s="29" t="str">
        <f aca="false">IF(COUNTA(B496,D496,E496,F496)=0,"",IF(OR(B496="",E496=""),"要入力",IF(F496="","未消込",IF(ISNA(MATCH(F496,請求台帳!$A$5:$A$504,0)),"番号誤り",IF(INDEX(請求台帳!$T$5:$T$504,MATCH(F496,請求台帳!$A$5:$A$504,0))="取消","取消請求へ消込","消込済")))))</f>
        <v/>
      </c>
      <c r="J496" s="28"/>
      <c r="K496" s="28"/>
    </row>
    <row r="497" customFormat="false" ht="15" hidden="false" customHeight="false" outlineLevel="0" collapsed="false">
      <c r="A497" s="32" t="str">
        <f aca="false">IF(COUNTA(B497,D497,E497,F497)=0,"",ROW()-4)</f>
        <v/>
      </c>
      <c r="B497" s="22"/>
      <c r="C497" s="28"/>
      <c r="D497" s="28"/>
      <c r="E497" s="18"/>
      <c r="F497" s="28"/>
      <c r="G497" s="32" t="str">
        <f aca="false">IF(F497="","",IFERROR(INDEX(請求台帳!$D$5:$D$504,MATCH(F497,請求台帳!$A$5:$A$504,0)),""))</f>
        <v/>
      </c>
      <c r="H497" s="26" t="str">
        <f aca="false">IF(F497="","",IFERROR(INDEX(請求台帳!$I$5:$I$504,MATCH(F497,請求台帳!$A$5:$A$504,0)),""))</f>
        <v/>
      </c>
      <c r="I497" s="29" t="str">
        <f aca="false">IF(COUNTA(B497,D497,E497,F497)=0,"",IF(OR(B497="",E497=""),"要入力",IF(F497="","未消込",IF(ISNA(MATCH(F497,請求台帳!$A$5:$A$504,0)),"番号誤り",IF(INDEX(請求台帳!$T$5:$T$504,MATCH(F497,請求台帳!$A$5:$A$504,0))="取消","取消請求へ消込","消込済")))))</f>
        <v/>
      </c>
      <c r="J497" s="28"/>
      <c r="K497" s="28"/>
    </row>
    <row r="498" customFormat="false" ht="15" hidden="false" customHeight="false" outlineLevel="0" collapsed="false">
      <c r="A498" s="32" t="str">
        <f aca="false">IF(COUNTA(B498,D498,E498,F498)=0,"",ROW()-4)</f>
        <v/>
      </c>
      <c r="B498" s="22"/>
      <c r="C498" s="28"/>
      <c r="D498" s="28"/>
      <c r="E498" s="18"/>
      <c r="F498" s="28"/>
      <c r="G498" s="32" t="str">
        <f aca="false">IF(F498="","",IFERROR(INDEX(請求台帳!$D$5:$D$504,MATCH(F498,請求台帳!$A$5:$A$504,0)),""))</f>
        <v/>
      </c>
      <c r="H498" s="26" t="str">
        <f aca="false">IF(F498="","",IFERROR(INDEX(請求台帳!$I$5:$I$504,MATCH(F498,請求台帳!$A$5:$A$504,0)),""))</f>
        <v/>
      </c>
      <c r="I498" s="29" t="str">
        <f aca="false">IF(COUNTA(B498,D498,E498,F498)=0,"",IF(OR(B498="",E498=""),"要入力",IF(F498="","未消込",IF(ISNA(MATCH(F498,請求台帳!$A$5:$A$504,0)),"番号誤り",IF(INDEX(請求台帳!$T$5:$T$504,MATCH(F498,請求台帳!$A$5:$A$504,0))="取消","取消請求へ消込","消込済")))))</f>
        <v/>
      </c>
      <c r="J498" s="28"/>
      <c r="K498" s="28"/>
    </row>
    <row r="499" customFormat="false" ht="15" hidden="false" customHeight="false" outlineLevel="0" collapsed="false">
      <c r="A499" s="32" t="str">
        <f aca="false">IF(COUNTA(B499,D499,E499,F499)=0,"",ROW()-4)</f>
        <v/>
      </c>
      <c r="B499" s="22"/>
      <c r="C499" s="28"/>
      <c r="D499" s="28"/>
      <c r="E499" s="18"/>
      <c r="F499" s="28"/>
      <c r="G499" s="32" t="str">
        <f aca="false">IF(F499="","",IFERROR(INDEX(請求台帳!$D$5:$D$504,MATCH(F499,請求台帳!$A$5:$A$504,0)),""))</f>
        <v/>
      </c>
      <c r="H499" s="26" t="str">
        <f aca="false">IF(F499="","",IFERROR(INDEX(請求台帳!$I$5:$I$504,MATCH(F499,請求台帳!$A$5:$A$504,0)),""))</f>
        <v/>
      </c>
      <c r="I499" s="29" t="str">
        <f aca="false">IF(COUNTA(B499,D499,E499,F499)=0,"",IF(OR(B499="",E499=""),"要入力",IF(F499="","未消込",IF(ISNA(MATCH(F499,請求台帳!$A$5:$A$504,0)),"番号誤り",IF(INDEX(請求台帳!$T$5:$T$504,MATCH(F499,請求台帳!$A$5:$A$504,0))="取消","取消請求へ消込","消込済")))))</f>
        <v/>
      </c>
      <c r="J499" s="28"/>
      <c r="K499" s="28"/>
    </row>
    <row r="500" customFormat="false" ht="15" hidden="false" customHeight="false" outlineLevel="0" collapsed="false">
      <c r="A500" s="32" t="str">
        <f aca="false">IF(COUNTA(B500,D500,E500,F500)=0,"",ROW()-4)</f>
        <v/>
      </c>
      <c r="B500" s="22"/>
      <c r="C500" s="28"/>
      <c r="D500" s="28"/>
      <c r="E500" s="18"/>
      <c r="F500" s="28"/>
      <c r="G500" s="32" t="str">
        <f aca="false">IF(F500="","",IFERROR(INDEX(請求台帳!$D$5:$D$504,MATCH(F500,請求台帳!$A$5:$A$504,0)),""))</f>
        <v/>
      </c>
      <c r="H500" s="26" t="str">
        <f aca="false">IF(F500="","",IFERROR(INDEX(請求台帳!$I$5:$I$504,MATCH(F500,請求台帳!$A$5:$A$504,0)),""))</f>
        <v/>
      </c>
      <c r="I500" s="29" t="str">
        <f aca="false">IF(COUNTA(B500,D500,E500,F500)=0,"",IF(OR(B500="",E500=""),"要入力",IF(F500="","未消込",IF(ISNA(MATCH(F500,請求台帳!$A$5:$A$504,0)),"番号誤り",IF(INDEX(請求台帳!$T$5:$T$504,MATCH(F500,請求台帳!$A$5:$A$504,0))="取消","取消請求へ消込","消込済")))))</f>
        <v/>
      </c>
      <c r="J500" s="28"/>
      <c r="K500" s="28"/>
    </row>
    <row r="501" customFormat="false" ht="15" hidden="false" customHeight="false" outlineLevel="0" collapsed="false">
      <c r="A501" s="32" t="str">
        <f aca="false">IF(COUNTA(B501,D501,E501,F501)=0,"",ROW()-4)</f>
        <v/>
      </c>
      <c r="B501" s="22"/>
      <c r="C501" s="28"/>
      <c r="D501" s="28"/>
      <c r="E501" s="18"/>
      <c r="F501" s="28"/>
      <c r="G501" s="32" t="str">
        <f aca="false">IF(F501="","",IFERROR(INDEX(請求台帳!$D$5:$D$504,MATCH(F501,請求台帳!$A$5:$A$504,0)),""))</f>
        <v/>
      </c>
      <c r="H501" s="26" t="str">
        <f aca="false">IF(F501="","",IFERROR(INDEX(請求台帳!$I$5:$I$504,MATCH(F501,請求台帳!$A$5:$A$504,0)),""))</f>
        <v/>
      </c>
      <c r="I501" s="29" t="str">
        <f aca="false">IF(COUNTA(B501,D501,E501,F501)=0,"",IF(OR(B501="",E501=""),"要入力",IF(F501="","未消込",IF(ISNA(MATCH(F501,請求台帳!$A$5:$A$504,0)),"番号誤り",IF(INDEX(請求台帳!$T$5:$T$504,MATCH(F501,請求台帳!$A$5:$A$504,0))="取消","取消請求へ消込","消込済")))))</f>
        <v/>
      </c>
      <c r="J501" s="28"/>
      <c r="K501" s="28"/>
    </row>
    <row r="502" customFormat="false" ht="15" hidden="false" customHeight="false" outlineLevel="0" collapsed="false">
      <c r="A502" s="32" t="str">
        <f aca="false">IF(COUNTA(B502,D502,E502,F502)=0,"",ROW()-4)</f>
        <v/>
      </c>
      <c r="B502" s="22"/>
      <c r="C502" s="28"/>
      <c r="D502" s="28"/>
      <c r="E502" s="18"/>
      <c r="F502" s="28"/>
      <c r="G502" s="32" t="str">
        <f aca="false">IF(F502="","",IFERROR(INDEX(請求台帳!$D$5:$D$504,MATCH(F502,請求台帳!$A$5:$A$504,0)),""))</f>
        <v/>
      </c>
      <c r="H502" s="26" t="str">
        <f aca="false">IF(F502="","",IFERROR(INDEX(請求台帳!$I$5:$I$504,MATCH(F502,請求台帳!$A$5:$A$504,0)),""))</f>
        <v/>
      </c>
      <c r="I502" s="29" t="str">
        <f aca="false">IF(COUNTA(B502,D502,E502,F502)=0,"",IF(OR(B502="",E502=""),"要入力",IF(F502="","未消込",IF(ISNA(MATCH(F502,請求台帳!$A$5:$A$504,0)),"番号誤り",IF(INDEX(請求台帳!$T$5:$T$504,MATCH(F502,請求台帳!$A$5:$A$504,0))="取消","取消請求へ消込","消込済")))))</f>
        <v/>
      </c>
      <c r="J502" s="28"/>
      <c r="K502" s="28"/>
    </row>
    <row r="503" customFormat="false" ht="15" hidden="false" customHeight="false" outlineLevel="0" collapsed="false">
      <c r="A503" s="32" t="str">
        <f aca="false">IF(COUNTA(B503,D503,E503,F503)=0,"",ROW()-4)</f>
        <v/>
      </c>
      <c r="B503" s="22"/>
      <c r="C503" s="28"/>
      <c r="D503" s="28"/>
      <c r="E503" s="18"/>
      <c r="F503" s="28"/>
      <c r="G503" s="32" t="str">
        <f aca="false">IF(F503="","",IFERROR(INDEX(請求台帳!$D$5:$D$504,MATCH(F503,請求台帳!$A$5:$A$504,0)),""))</f>
        <v/>
      </c>
      <c r="H503" s="26" t="str">
        <f aca="false">IF(F503="","",IFERROR(INDEX(請求台帳!$I$5:$I$504,MATCH(F503,請求台帳!$A$5:$A$504,0)),""))</f>
        <v/>
      </c>
      <c r="I503" s="29" t="str">
        <f aca="false">IF(COUNTA(B503,D503,E503,F503)=0,"",IF(OR(B503="",E503=""),"要入力",IF(F503="","未消込",IF(ISNA(MATCH(F503,請求台帳!$A$5:$A$504,0)),"番号誤り",IF(INDEX(請求台帳!$T$5:$T$504,MATCH(F503,請求台帳!$A$5:$A$504,0))="取消","取消請求へ消込","消込済")))))</f>
        <v/>
      </c>
      <c r="J503" s="28"/>
      <c r="K503" s="28"/>
    </row>
    <row r="504" customFormat="false" ht="15" hidden="false" customHeight="false" outlineLevel="0" collapsed="false">
      <c r="A504" s="32" t="str">
        <f aca="false">IF(COUNTA(B504,D504,E504,F504)=0,"",ROW()-4)</f>
        <v/>
      </c>
      <c r="B504" s="22"/>
      <c r="C504" s="28"/>
      <c r="D504" s="28"/>
      <c r="E504" s="18"/>
      <c r="F504" s="28"/>
      <c r="G504" s="32" t="str">
        <f aca="false">IF(F504="","",IFERROR(INDEX(請求台帳!$D$5:$D$504,MATCH(F504,請求台帳!$A$5:$A$504,0)),""))</f>
        <v/>
      </c>
      <c r="H504" s="26" t="str">
        <f aca="false">IF(F504="","",IFERROR(INDEX(請求台帳!$I$5:$I$504,MATCH(F504,請求台帳!$A$5:$A$504,0)),""))</f>
        <v/>
      </c>
      <c r="I504" s="29" t="str">
        <f aca="false">IF(COUNTA(B504,D504,E504,F504)=0,"",IF(OR(B504="",E504=""),"要入力",IF(F504="","未消込",IF(ISNA(MATCH(F504,請求台帳!$A$5:$A$504,0)),"番号誤り",IF(INDEX(請求台帳!$T$5:$T$504,MATCH(F504,請求台帳!$A$5:$A$504,0))="取消","取消請求へ消込","消込済")))))</f>
        <v/>
      </c>
      <c r="J504" s="28"/>
      <c r="K504" s="28"/>
    </row>
    <row r="505" customFormat="false" ht="15" hidden="false" customHeight="false" outlineLevel="0" collapsed="false">
      <c r="A505" s="32" t="str">
        <f aca="false">IF(COUNTA(B505,D505,E505,F505)=0,"",ROW()-4)</f>
        <v/>
      </c>
      <c r="B505" s="22"/>
      <c r="C505" s="28"/>
      <c r="D505" s="28"/>
      <c r="E505" s="18"/>
      <c r="F505" s="28"/>
      <c r="G505" s="32" t="str">
        <f aca="false">IF(F505="","",IFERROR(INDEX(請求台帳!$D$5:$D$504,MATCH(F505,請求台帳!$A$5:$A$504,0)),""))</f>
        <v/>
      </c>
      <c r="H505" s="26" t="str">
        <f aca="false">IF(F505="","",IFERROR(INDEX(請求台帳!$I$5:$I$504,MATCH(F505,請求台帳!$A$5:$A$504,0)),""))</f>
        <v/>
      </c>
      <c r="I505" s="29" t="str">
        <f aca="false">IF(COUNTA(B505,D505,E505,F505)=0,"",IF(OR(B505="",E505=""),"要入力",IF(F505="","未消込",IF(ISNA(MATCH(F505,請求台帳!$A$5:$A$504,0)),"番号誤り",IF(INDEX(請求台帳!$T$5:$T$504,MATCH(F505,請求台帳!$A$5:$A$504,0))="取消","取消請求へ消込","消込済")))))</f>
        <v/>
      </c>
      <c r="J505" s="28"/>
      <c r="K505" s="28"/>
    </row>
    <row r="506" customFormat="false" ht="15" hidden="false" customHeight="false" outlineLevel="0" collapsed="false">
      <c r="A506" s="32" t="str">
        <f aca="false">IF(COUNTA(B506,D506,E506,F506)=0,"",ROW()-4)</f>
        <v/>
      </c>
      <c r="B506" s="22"/>
      <c r="C506" s="28"/>
      <c r="D506" s="28"/>
      <c r="E506" s="18"/>
      <c r="F506" s="28"/>
      <c r="G506" s="32" t="str">
        <f aca="false">IF(F506="","",IFERROR(INDEX(請求台帳!$D$5:$D$504,MATCH(F506,請求台帳!$A$5:$A$504,0)),""))</f>
        <v/>
      </c>
      <c r="H506" s="26" t="str">
        <f aca="false">IF(F506="","",IFERROR(INDEX(請求台帳!$I$5:$I$504,MATCH(F506,請求台帳!$A$5:$A$504,0)),""))</f>
        <v/>
      </c>
      <c r="I506" s="29" t="str">
        <f aca="false">IF(COUNTA(B506,D506,E506,F506)=0,"",IF(OR(B506="",E506=""),"要入力",IF(F506="","未消込",IF(ISNA(MATCH(F506,請求台帳!$A$5:$A$504,0)),"番号誤り",IF(INDEX(請求台帳!$T$5:$T$504,MATCH(F506,請求台帳!$A$5:$A$504,0))="取消","取消請求へ消込","消込済")))))</f>
        <v/>
      </c>
      <c r="J506" s="28"/>
      <c r="K506" s="28"/>
    </row>
    <row r="507" customFormat="false" ht="15" hidden="false" customHeight="false" outlineLevel="0" collapsed="false">
      <c r="A507" s="32" t="str">
        <f aca="false">IF(COUNTA(B507,D507,E507,F507)=0,"",ROW()-4)</f>
        <v/>
      </c>
      <c r="B507" s="22"/>
      <c r="C507" s="28"/>
      <c r="D507" s="28"/>
      <c r="E507" s="18"/>
      <c r="F507" s="28"/>
      <c r="G507" s="32" t="str">
        <f aca="false">IF(F507="","",IFERROR(INDEX(請求台帳!$D$5:$D$504,MATCH(F507,請求台帳!$A$5:$A$504,0)),""))</f>
        <v/>
      </c>
      <c r="H507" s="26" t="str">
        <f aca="false">IF(F507="","",IFERROR(INDEX(請求台帳!$I$5:$I$504,MATCH(F507,請求台帳!$A$5:$A$504,0)),""))</f>
        <v/>
      </c>
      <c r="I507" s="29" t="str">
        <f aca="false">IF(COUNTA(B507,D507,E507,F507)=0,"",IF(OR(B507="",E507=""),"要入力",IF(F507="","未消込",IF(ISNA(MATCH(F507,請求台帳!$A$5:$A$504,0)),"番号誤り",IF(INDEX(請求台帳!$T$5:$T$504,MATCH(F507,請求台帳!$A$5:$A$504,0))="取消","取消請求へ消込","消込済")))))</f>
        <v/>
      </c>
      <c r="J507" s="28"/>
      <c r="K507" s="28"/>
    </row>
    <row r="508" customFormat="false" ht="15" hidden="false" customHeight="false" outlineLevel="0" collapsed="false">
      <c r="A508" s="32" t="str">
        <f aca="false">IF(COUNTA(B508,D508,E508,F508)=0,"",ROW()-4)</f>
        <v/>
      </c>
      <c r="B508" s="22"/>
      <c r="C508" s="28"/>
      <c r="D508" s="28"/>
      <c r="E508" s="18"/>
      <c r="F508" s="28"/>
      <c r="G508" s="32" t="str">
        <f aca="false">IF(F508="","",IFERROR(INDEX(請求台帳!$D$5:$D$504,MATCH(F508,請求台帳!$A$5:$A$504,0)),""))</f>
        <v/>
      </c>
      <c r="H508" s="26" t="str">
        <f aca="false">IF(F508="","",IFERROR(INDEX(請求台帳!$I$5:$I$504,MATCH(F508,請求台帳!$A$5:$A$504,0)),""))</f>
        <v/>
      </c>
      <c r="I508" s="29" t="str">
        <f aca="false">IF(COUNTA(B508,D508,E508,F508)=0,"",IF(OR(B508="",E508=""),"要入力",IF(F508="","未消込",IF(ISNA(MATCH(F508,請求台帳!$A$5:$A$504,0)),"番号誤り",IF(INDEX(請求台帳!$T$5:$T$504,MATCH(F508,請求台帳!$A$5:$A$504,0))="取消","取消請求へ消込","消込済")))))</f>
        <v/>
      </c>
      <c r="J508" s="28"/>
      <c r="K508" s="28"/>
    </row>
    <row r="509" customFormat="false" ht="15" hidden="false" customHeight="false" outlineLevel="0" collapsed="false">
      <c r="A509" s="32" t="str">
        <f aca="false">IF(COUNTA(B509,D509,E509,F509)=0,"",ROW()-4)</f>
        <v/>
      </c>
      <c r="B509" s="22"/>
      <c r="C509" s="28"/>
      <c r="D509" s="28"/>
      <c r="E509" s="18"/>
      <c r="F509" s="28"/>
      <c r="G509" s="32" t="str">
        <f aca="false">IF(F509="","",IFERROR(INDEX(請求台帳!$D$5:$D$504,MATCH(F509,請求台帳!$A$5:$A$504,0)),""))</f>
        <v/>
      </c>
      <c r="H509" s="26" t="str">
        <f aca="false">IF(F509="","",IFERROR(INDEX(請求台帳!$I$5:$I$504,MATCH(F509,請求台帳!$A$5:$A$504,0)),""))</f>
        <v/>
      </c>
      <c r="I509" s="29" t="str">
        <f aca="false">IF(COUNTA(B509,D509,E509,F509)=0,"",IF(OR(B509="",E509=""),"要入力",IF(F509="","未消込",IF(ISNA(MATCH(F509,請求台帳!$A$5:$A$504,0)),"番号誤り",IF(INDEX(請求台帳!$T$5:$T$504,MATCH(F509,請求台帳!$A$5:$A$504,0))="取消","取消請求へ消込","消込済")))))</f>
        <v/>
      </c>
      <c r="J509" s="28"/>
      <c r="K509" s="28"/>
    </row>
    <row r="510" customFormat="false" ht="15" hidden="false" customHeight="false" outlineLevel="0" collapsed="false">
      <c r="A510" s="32" t="str">
        <f aca="false">IF(COUNTA(B510,D510,E510,F510)=0,"",ROW()-4)</f>
        <v/>
      </c>
      <c r="B510" s="22"/>
      <c r="C510" s="28"/>
      <c r="D510" s="28"/>
      <c r="E510" s="18"/>
      <c r="F510" s="28"/>
      <c r="G510" s="32" t="str">
        <f aca="false">IF(F510="","",IFERROR(INDEX(請求台帳!$D$5:$D$504,MATCH(F510,請求台帳!$A$5:$A$504,0)),""))</f>
        <v/>
      </c>
      <c r="H510" s="26" t="str">
        <f aca="false">IF(F510="","",IFERROR(INDEX(請求台帳!$I$5:$I$504,MATCH(F510,請求台帳!$A$5:$A$504,0)),""))</f>
        <v/>
      </c>
      <c r="I510" s="29" t="str">
        <f aca="false">IF(COUNTA(B510,D510,E510,F510)=0,"",IF(OR(B510="",E510=""),"要入力",IF(F510="","未消込",IF(ISNA(MATCH(F510,請求台帳!$A$5:$A$504,0)),"番号誤り",IF(INDEX(請求台帳!$T$5:$T$504,MATCH(F510,請求台帳!$A$5:$A$504,0))="取消","取消請求へ消込","消込済")))))</f>
        <v/>
      </c>
      <c r="J510" s="28"/>
      <c r="K510" s="28"/>
    </row>
    <row r="511" customFormat="false" ht="15" hidden="false" customHeight="false" outlineLevel="0" collapsed="false">
      <c r="A511" s="32" t="str">
        <f aca="false">IF(COUNTA(B511,D511,E511,F511)=0,"",ROW()-4)</f>
        <v/>
      </c>
      <c r="B511" s="22"/>
      <c r="C511" s="28"/>
      <c r="D511" s="28"/>
      <c r="E511" s="18"/>
      <c r="F511" s="28"/>
      <c r="G511" s="32" t="str">
        <f aca="false">IF(F511="","",IFERROR(INDEX(請求台帳!$D$5:$D$504,MATCH(F511,請求台帳!$A$5:$A$504,0)),""))</f>
        <v/>
      </c>
      <c r="H511" s="26" t="str">
        <f aca="false">IF(F511="","",IFERROR(INDEX(請求台帳!$I$5:$I$504,MATCH(F511,請求台帳!$A$5:$A$504,0)),""))</f>
        <v/>
      </c>
      <c r="I511" s="29" t="str">
        <f aca="false">IF(COUNTA(B511,D511,E511,F511)=0,"",IF(OR(B511="",E511=""),"要入力",IF(F511="","未消込",IF(ISNA(MATCH(F511,請求台帳!$A$5:$A$504,0)),"番号誤り",IF(INDEX(請求台帳!$T$5:$T$504,MATCH(F511,請求台帳!$A$5:$A$504,0))="取消","取消請求へ消込","消込済")))))</f>
        <v/>
      </c>
      <c r="J511" s="28"/>
      <c r="K511" s="28"/>
    </row>
    <row r="512" customFormat="false" ht="15" hidden="false" customHeight="false" outlineLevel="0" collapsed="false">
      <c r="A512" s="32" t="str">
        <f aca="false">IF(COUNTA(B512,D512,E512,F512)=0,"",ROW()-4)</f>
        <v/>
      </c>
      <c r="B512" s="22"/>
      <c r="C512" s="28"/>
      <c r="D512" s="28"/>
      <c r="E512" s="18"/>
      <c r="F512" s="28"/>
      <c r="G512" s="32" t="str">
        <f aca="false">IF(F512="","",IFERROR(INDEX(請求台帳!$D$5:$D$504,MATCH(F512,請求台帳!$A$5:$A$504,0)),""))</f>
        <v/>
      </c>
      <c r="H512" s="26" t="str">
        <f aca="false">IF(F512="","",IFERROR(INDEX(請求台帳!$I$5:$I$504,MATCH(F512,請求台帳!$A$5:$A$504,0)),""))</f>
        <v/>
      </c>
      <c r="I512" s="29" t="str">
        <f aca="false">IF(COUNTA(B512,D512,E512,F512)=0,"",IF(OR(B512="",E512=""),"要入力",IF(F512="","未消込",IF(ISNA(MATCH(F512,請求台帳!$A$5:$A$504,0)),"番号誤り",IF(INDEX(請求台帳!$T$5:$T$504,MATCH(F512,請求台帳!$A$5:$A$504,0))="取消","取消請求へ消込","消込済")))))</f>
        <v/>
      </c>
      <c r="J512" s="28"/>
      <c r="K512" s="28"/>
    </row>
    <row r="513" customFormat="false" ht="15" hidden="false" customHeight="false" outlineLevel="0" collapsed="false">
      <c r="A513" s="32" t="str">
        <f aca="false">IF(COUNTA(B513,D513,E513,F513)=0,"",ROW()-4)</f>
        <v/>
      </c>
      <c r="B513" s="22"/>
      <c r="C513" s="28"/>
      <c r="D513" s="28"/>
      <c r="E513" s="18"/>
      <c r="F513" s="28"/>
      <c r="G513" s="32" t="str">
        <f aca="false">IF(F513="","",IFERROR(INDEX(請求台帳!$D$5:$D$504,MATCH(F513,請求台帳!$A$5:$A$504,0)),""))</f>
        <v/>
      </c>
      <c r="H513" s="26" t="str">
        <f aca="false">IF(F513="","",IFERROR(INDEX(請求台帳!$I$5:$I$504,MATCH(F513,請求台帳!$A$5:$A$504,0)),""))</f>
        <v/>
      </c>
      <c r="I513" s="29" t="str">
        <f aca="false">IF(COUNTA(B513,D513,E513,F513)=0,"",IF(OR(B513="",E513=""),"要入力",IF(F513="","未消込",IF(ISNA(MATCH(F513,請求台帳!$A$5:$A$504,0)),"番号誤り",IF(INDEX(請求台帳!$T$5:$T$504,MATCH(F513,請求台帳!$A$5:$A$504,0))="取消","取消請求へ消込","消込済")))))</f>
        <v/>
      </c>
      <c r="J513" s="28"/>
      <c r="K513" s="28"/>
    </row>
    <row r="514" customFormat="false" ht="15" hidden="false" customHeight="false" outlineLevel="0" collapsed="false">
      <c r="A514" s="32" t="str">
        <f aca="false">IF(COUNTA(B514,D514,E514,F514)=0,"",ROW()-4)</f>
        <v/>
      </c>
      <c r="B514" s="22"/>
      <c r="C514" s="28"/>
      <c r="D514" s="28"/>
      <c r="E514" s="18"/>
      <c r="F514" s="28"/>
      <c r="G514" s="32" t="str">
        <f aca="false">IF(F514="","",IFERROR(INDEX(請求台帳!$D$5:$D$504,MATCH(F514,請求台帳!$A$5:$A$504,0)),""))</f>
        <v/>
      </c>
      <c r="H514" s="26" t="str">
        <f aca="false">IF(F514="","",IFERROR(INDEX(請求台帳!$I$5:$I$504,MATCH(F514,請求台帳!$A$5:$A$504,0)),""))</f>
        <v/>
      </c>
      <c r="I514" s="29" t="str">
        <f aca="false">IF(COUNTA(B514,D514,E514,F514)=0,"",IF(OR(B514="",E514=""),"要入力",IF(F514="","未消込",IF(ISNA(MATCH(F514,請求台帳!$A$5:$A$504,0)),"番号誤り",IF(INDEX(請求台帳!$T$5:$T$504,MATCH(F514,請求台帳!$A$5:$A$504,0))="取消","取消請求へ消込","消込済")))))</f>
        <v/>
      </c>
      <c r="J514" s="28"/>
      <c r="K514" s="28"/>
    </row>
    <row r="515" customFormat="false" ht="15" hidden="false" customHeight="false" outlineLevel="0" collapsed="false">
      <c r="A515" s="32" t="str">
        <f aca="false">IF(COUNTA(B515,D515,E515,F515)=0,"",ROW()-4)</f>
        <v/>
      </c>
      <c r="B515" s="22"/>
      <c r="C515" s="28"/>
      <c r="D515" s="28"/>
      <c r="E515" s="18"/>
      <c r="F515" s="28"/>
      <c r="G515" s="32" t="str">
        <f aca="false">IF(F515="","",IFERROR(INDEX(請求台帳!$D$5:$D$504,MATCH(F515,請求台帳!$A$5:$A$504,0)),""))</f>
        <v/>
      </c>
      <c r="H515" s="26" t="str">
        <f aca="false">IF(F515="","",IFERROR(INDEX(請求台帳!$I$5:$I$504,MATCH(F515,請求台帳!$A$5:$A$504,0)),""))</f>
        <v/>
      </c>
      <c r="I515" s="29" t="str">
        <f aca="false">IF(COUNTA(B515,D515,E515,F515)=0,"",IF(OR(B515="",E515=""),"要入力",IF(F515="","未消込",IF(ISNA(MATCH(F515,請求台帳!$A$5:$A$504,0)),"番号誤り",IF(INDEX(請求台帳!$T$5:$T$504,MATCH(F515,請求台帳!$A$5:$A$504,0))="取消","取消請求へ消込","消込済")))))</f>
        <v/>
      </c>
      <c r="J515" s="28"/>
      <c r="K515" s="28"/>
    </row>
    <row r="516" customFormat="false" ht="15" hidden="false" customHeight="false" outlineLevel="0" collapsed="false">
      <c r="A516" s="32" t="str">
        <f aca="false">IF(COUNTA(B516,D516,E516,F516)=0,"",ROW()-4)</f>
        <v/>
      </c>
      <c r="B516" s="22"/>
      <c r="C516" s="28"/>
      <c r="D516" s="28"/>
      <c r="E516" s="18"/>
      <c r="F516" s="28"/>
      <c r="G516" s="32" t="str">
        <f aca="false">IF(F516="","",IFERROR(INDEX(請求台帳!$D$5:$D$504,MATCH(F516,請求台帳!$A$5:$A$504,0)),""))</f>
        <v/>
      </c>
      <c r="H516" s="26" t="str">
        <f aca="false">IF(F516="","",IFERROR(INDEX(請求台帳!$I$5:$I$504,MATCH(F516,請求台帳!$A$5:$A$504,0)),""))</f>
        <v/>
      </c>
      <c r="I516" s="29" t="str">
        <f aca="false">IF(COUNTA(B516,D516,E516,F516)=0,"",IF(OR(B516="",E516=""),"要入力",IF(F516="","未消込",IF(ISNA(MATCH(F516,請求台帳!$A$5:$A$504,0)),"番号誤り",IF(INDEX(請求台帳!$T$5:$T$504,MATCH(F516,請求台帳!$A$5:$A$504,0))="取消","取消請求へ消込","消込済")))))</f>
        <v/>
      </c>
      <c r="J516" s="28"/>
      <c r="K516" s="28"/>
    </row>
    <row r="517" customFormat="false" ht="15" hidden="false" customHeight="false" outlineLevel="0" collapsed="false">
      <c r="A517" s="32" t="str">
        <f aca="false">IF(COUNTA(B517,D517,E517,F517)=0,"",ROW()-4)</f>
        <v/>
      </c>
      <c r="B517" s="22"/>
      <c r="C517" s="28"/>
      <c r="D517" s="28"/>
      <c r="E517" s="18"/>
      <c r="F517" s="28"/>
      <c r="G517" s="32" t="str">
        <f aca="false">IF(F517="","",IFERROR(INDEX(請求台帳!$D$5:$D$504,MATCH(F517,請求台帳!$A$5:$A$504,0)),""))</f>
        <v/>
      </c>
      <c r="H517" s="26" t="str">
        <f aca="false">IF(F517="","",IFERROR(INDEX(請求台帳!$I$5:$I$504,MATCH(F517,請求台帳!$A$5:$A$504,0)),""))</f>
        <v/>
      </c>
      <c r="I517" s="29" t="str">
        <f aca="false">IF(COUNTA(B517,D517,E517,F517)=0,"",IF(OR(B517="",E517=""),"要入力",IF(F517="","未消込",IF(ISNA(MATCH(F517,請求台帳!$A$5:$A$504,0)),"番号誤り",IF(INDEX(請求台帳!$T$5:$T$504,MATCH(F517,請求台帳!$A$5:$A$504,0))="取消","取消請求へ消込","消込済")))))</f>
        <v/>
      </c>
      <c r="J517" s="28"/>
      <c r="K517" s="28"/>
    </row>
    <row r="518" customFormat="false" ht="15" hidden="false" customHeight="false" outlineLevel="0" collapsed="false">
      <c r="A518" s="32" t="str">
        <f aca="false">IF(COUNTA(B518,D518,E518,F518)=0,"",ROW()-4)</f>
        <v/>
      </c>
      <c r="B518" s="22"/>
      <c r="C518" s="28"/>
      <c r="D518" s="28"/>
      <c r="E518" s="18"/>
      <c r="F518" s="28"/>
      <c r="G518" s="32" t="str">
        <f aca="false">IF(F518="","",IFERROR(INDEX(請求台帳!$D$5:$D$504,MATCH(F518,請求台帳!$A$5:$A$504,0)),""))</f>
        <v/>
      </c>
      <c r="H518" s="26" t="str">
        <f aca="false">IF(F518="","",IFERROR(INDEX(請求台帳!$I$5:$I$504,MATCH(F518,請求台帳!$A$5:$A$504,0)),""))</f>
        <v/>
      </c>
      <c r="I518" s="29" t="str">
        <f aca="false">IF(COUNTA(B518,D518,E518,F518)=0,"",IF(OR(B518="",E518=""),"要入力",IF(F518="","未消込",IF(ISNA(MATCH(F518,請求台帳!$A$5:$A$504,0)),"番号誤り",IF(INDEX(請求台帳!$T$5:$T$504,MATCH(F518,請求台帳!$A$5:$A$504,0))="取消","取消請求へ消込","消込済")))))</f>
        <v/>
      </c>
      <c r="J518" s="28"/>
      <c r="K518" s="28"/>
    </row>
    <row r="519" customFormat="false" ht="15" hidden="false" customHeight="false" outlineLevel="0" collapsed="false">
      <c r="A519" s="32" t="str">
        <f aca="false">IF(COUNTA(B519,D519,E519,F519)=0,"",ROW()-4)</f>
        <v/>
      </c>
      <c r="B519" s="22"/>
      <c r="C519" s="28"/>
      <c r="D519" s="28"/>
      <c r="E519" s="18"/>
      <c r="F519" s="28"/>
      <c r="G519" s="32" t="str">
        <f aca="false">IF(F519="","",IFERROR(INDEX(請求台帳!$D$5:$D$504,MATCH(F519,請求台帳!$A$5:$A$504,0)),""))</f>
        <v/>
      </c>
      <c r="H519" s="26" t="str">
        <f aca="false">IF(F519="","",IFERROR(INDEX(請求台帳!$I$5:$I$504,MATCH(F519,請求台帳!$A$5:$A$504,0)),""))</f>
        <v/>
      </c>
      <c r="I519" s="29" t="str">
        <f aca="false">IF(COUNTA(B519,D519,E519,F519)=0,"",IF(OR(B519="",E519=""),"要入力",IF(F519="","未消込",IF(ISNA(MATCH(F519,請求台帳!$A$5:$A$504,0)),"番号誤り",IF(INDEX(請求台帳!$T$5:$T$504,MATCH(F519,請求台帳!$A$5:$A$504,0))="取消","取消請求へ消込","消込済")))))</f>
        <v/>
      </c>
      <c r="J519" s="28"/>
      <c r="K519" s="28"/>
    </row>
    <row r="520" customFormat="false" ht="15" hidden="false" customHeight="false" outlineLevel="0" collapsed="false">
      <c r="A520" s="32" t="str">
        <f aca="false">IF(COUNTA(B520,D520,E520,F520)=0,"",ROW()-4)</f>
        <v/>
      </c>
      <c r="B520" s="22"/>
      <c r="C520" s="28"/>
      <c r="D520" s="28"/>
      <c r="E520" s="18"/>
      <c r="F520" s="28"/>
      <c r="G520" s="32" t="str">
        <f aca="false">IF(F520="","",IFERROR(INDEX(請求台帳!$D$5:$D$504,MATCH(F520,請求台帳!$A$5:$A$504,0)),""))</f>
        <v/>
      </c>
      <c r="H520" s="26" t="str">
        <f aca="false">IF(F520="","",IFERROR(INDEX(請求台帳!$I$5:$I$504,MATCH(F520,請求台帳!$A$5:$A$504,0)),""))</f>
        <v/>
      </c>
      <c r="I520" s="29" t="str">
        <f aca="false">IF(COUNTA(B520,D520,E520,F520)=0,"",IF(OR(B520="",E520=""),"要入力",IF(F520="","未消込",IF(ISNA(MATCH(F520,請求台帳!$A$5:$A$504,0)),"番号誤り",IF(INDEX(請求台帳!$T$5:$T$504,MATCH(F520,請求台帳!$A$5:$A$504,0))="取消","取消請求へ消込","消込済")))))</f>
        <v/>
      </c>
      <c r="J520" s="28"/>
      <c r="K520" s="28"/>
    </row>
    <row r="521" customFormat="false" ht="15" hidden="false" customHeight="false" outlineLevel="0" collapsed="false">
      <c r="A521" s="32" t="str">
        <f aca="false">IF(COUNTA(B521,D521,E521,F521)=0,"",ROW()-4)</f>
        <v/>
      </c>
      <c r="B521" s="22"/>
      <c r="C521" s="28"/>
      <c r="D521" s="28"/>
      <c r="E521" s="18"/>
      <c r="F521" s="28"/>
      <c r="G521" s="32" t="str">
        <f aca="false">IF(F521="","",IFERROR(INDEX(請求台帳!$D$5:$D$504,MATCH(F521,請求台帳!$A$5:$A$504,0)),""))</f>
        <v/>
      </c>
      <c r="H521" s="26" t="str">
        <f aca="false">IF(F521="","",IFERROR(INDEX(請求台帳!$I$5:$I$504,MATCH(F521,請求台帳!$A$5:$A$504,0)),""))</f>
        <v/>
      </c>
      <c r="I521" s="29" t="str">
        <f aca="false">IF(COUNTA(B521,D521,E521,F521)=0,"",IF(OR(B521="",E521=""),"要入力",IF(F521="","未消込",IF(ISNA(MATCH(F521,請求台帳!$A$5:$A$504,0)),"番号誤り",IF(INDEX(請求台帳!$T$5:$T$504,MATCH(F521,請求台帳!$A$5:$A$504,0))="取消","取消請求へ消込","消込済")))))</f>
        <v/>
      </c>
      <c r="J521" s="28"/>
      <c r="K521" s="28"/>
    </row>
    <row r="522" customFormat="false" ht="15" hidden="false" customHeight="false" outlineLevel="0" collapsed="false">
      <c r="A522" s="32" t="str">
        <f aca="false">IF(COUNTA(B522,D522,E522,F522)=0,"",ROW()-4)</f>
        <v/>
      </c>
      <c r="B522" s="22"/>
      <c r="C522" s="28"/>
      <c r="D522" s="28"/>
      <c r="E522" s="18"/>
      <c r="F522" s="28"/>
      <c r="G522" s="32" t="str">
        <f aca="false">IF(F522="","",IFERROR(INDEX(請求台帳!$D$5:$D$504,MATCH(F522,請求台帳!$A$5:$A$504,0)),""))</f>
        <v/>
      </c>
      <c r="H522" s="26" t="str">
        <f aca="false">IF(F522="","",IFERROR(INDEX(請求台帳!$I$5:$I$504,MATCH(F522,請求台帳!$A$5:$A$504,0)),""))</f>
        <v/>
      </c>
      <c r="I522" s="29" t="str">
        <f aca="false">IF(COUNTA(B522,D522,E522,F522)=0,"",IF(OR(B522="",E522=""),"要入力",IF(F522="","未消込",IF(ISNA(MATCH(F522,請求台帳!$A$5:$A$504,0)),"番号誤り",IF(INDEX(請求台帳!$T$5:$T$504,MATCH(F522,請求台帳!$A$5:$A$504,0))="取消","取消請求へ消込","消込済")))))</f>
        <v/>
      </c>
      <c r="J522" s="28"/>
      <c r="K522" s="28"/>
    </row>
    <row r="523" customFormat="false" ht="15" hidden="false" customHeight="false" outlineLevel="0" collapsed="false">
      <c r="A523" s="32" t="str">
        <f aca="false">IF(COUNTA(B523,D523,E523,F523)=0,"",ROW()-4)</f>
        <v/>
      </c>
      <c r="B523" s="22"/>
      <c r="C523" s="28"/>
      <c r="D523" s="28"/>
      <c r="E523" s="18"/>
      <c r="F523" s="28"/>
      <c r="G523" s="32" t="str">
        <f aca="false">IF(F523="","",IFERROR(INDEX(請求台帳!$D$5:$D$504,MATCH(F523,請求台帳!$A$5:$A$504,0)),""))</f>
        <v/>
      </c>
      <c r="H523" s="26" t="str">
        <f aca="false">IF(F523="","",IFERROR(INDEX(請求台帳!$I$5:$I$504,MATCH(F523,請求台帳!$A$5:$A$504,0)),""))</f>
        <v/>
      </c>
      <c r="I523" s="29" t="str">
        <f aca="false">IF(COUNTA(B523,D523,E523,F523)=0,"",IF(OR(B523="",E523=""),"要入力",IF(F523="","未消込",IF(ISNA(MATCH(F523,請求台帳!$A$5:$A$504,0)),"番号誤り",IF(INDEX(請求台帳!$T$5:$T$504,MATCH(F523,請求台帳!$A$5:$A$504,0))="取消","取消請求へ消込","消込済")))))</f>
        <v/>
      </c>
      <c r="J523" s="28"/>
      <c r="K523" s="28"/>
    </row>
    <row r="524" customFormat="false" ht="15" hidden="false" customHeight="false" outlineLevel="0" collapsed="false">
      <c r="A524" s="32" t="str">
        <f aca="false">IF(COUNTA(B524,D524,E524,F524)=0,"",ROW()-4)</f>
        <v/>
      </c>
      <c r="B524" s="22"/>
      <c r="C524" s="28"/>
      <c r="D524" s="28"/>
      <c r="E524" s="18"/>
      <c r="F524" s="28"/>
      <c r="G524" s="32" t="str">
        <f aca="false">IF(F524="","",IFERROR(INDEX(請求台帳!$D$5:$D$504,MATCH(F524,請求台帳!$A$5:$A$504,0)),""))</f>
        <v/>
      </c>
      <c r="H524" s="26" t="str">
        <f aca="false">IF(F524="","",IFERROR(INDEX(請求台帳!$I$5:$I$504,MATCH(F524,請求台帳!$A$5:$A$504,0)),""))</f>
        <v/>
      </c>
      <c r="I524" s="29" t="str">
        <f aca="false">IF(COUNTA(B524,D524,E524,F524)=0,"",IF(OR(B524="",E524=""),"要入力",IF(F524="","未消込",IF(ISNA(MATCH(F524,請求台帳!$A$5:$A$504,0)),"番号誤り",IF(INDEX(請求台帳!$T$5:$T$504,MATCH(F524,請求台帳!$A$5:$A$504,0))="取消","取消請求へ消込","消込済")))))</f>
        <v/>
      </c>
      <c r="J524" s="28"/>
      <c r="K524" s="28"/>
    </row>
    <row r="525" customFormat="false" ht="15" hidden="false" customHeight="false" outlineLevel="0" collapsed="false">
      <c r="A525" s="32" t="str">
        <f aca="false">IF(COUNTA(B525,D525,E525,F525)=0,"",ROW()-4)</f>
        <v/>
      </c>
      <c r="B525" s="22"/>
      <c r="C525" s="28"/>
      <c r="D525" s="28"/>
      <c r="E525" s="18"/>
      <c r="F525" s="28"/>
      <c r="G525" s="32" t="str">
        <f aca="false">IF(F525="","",IFERROR(INDEX(請求台帳!$D$5:$D$504,MATCH(F525,請求台帳!$A$5:$A$504,0)),""))</f>
        <v/>
      </c>
      <c r="H525" s="26" t="str">
        <f aca="false">IF(F525="","",IFERROR(INDEX(請求台帳!$I$5:$I$504,MATCH(F525,請求台帳!$A$5:$A$504,0)),""))</f>
        <v/>
      </c>
      <c r="I525" s="29" t="str">
        <f aca="false">IF(COUNTA(B525,D525,E525,F525)=0,"",IF(OR(B525="",E525=""),"要入力",IF(F525="","未消込",IF(ISNA(MATCH(F525,請求台帳!$A$5:$A$504,0)),"番号誤り",IF(INDEX(請求台帳!$T$5:$T$504,MATCH(F525,請求台帳!$A$5:$A$504,0))="取消","取消請求へ消込","消込済")))))</f>
        <v/>
      </c>
      <c r="J525" s="28"/>
      <c r="K525" s="28"/>
    </row>
    <row r="526" customFormat="false" ht="15" hidden="false" customHeight="false" outlineLevel="0" collapsed="false">
      <c r="A526" s="32" t="str">
        <f aca="false">IF(COUNTA(B526,D526,E526,F526)=0,"",ROW()-4)</f>
        <v/>
      </c>
      <c r="B526" s="22"/>
      <c r="C526" s="28"/>
      <c r="D526" s="28"/>
      <c r="E526" s="18"/>
      <c r="F526" s="28"/>
      <c r="G526" s="32" t="str">
        <f aca="false">IF(F526="","",IFERROR(INDEX(請求台帳!$D$5:$D$504,MATCH(F526,請求台帳!$A$5:$A$504,0)),""))</f>
        <v/>
      </c>
      <c r="H526" s="26" t="str">
        <f aca="false">IF(F526="","",IFERROR(INDEX(請求台帳!$I$5:$I$504,MATCH(F526,請求台帳!$A$5:$A$504,0)),""))</f>
        <v/>
      </c>
      <c r="I526" s="29" t="str">
        <f aca="false">IF(COUNTA(B526,D526,E526,F526)=0,"",IF(OR(B526="",E526=""),"要入力",IF(F526="","未消込",IF(ISNA(MATCH(F526,請求台帳!$A$5:$A$504,0)),"番号誤り",IF(INDEX(請求台帳!$T$5:$T$504,MATCH(F526,請求台帳!$A$5:$A$504,0))="取消","取消請求へ消込","消込済")))))</f>
        <v/>
      </c>
      <c r="J526" s="28"/>
      <c r="K526" s="28"/>
    </row>
    <row r="527" customFormat="false" ht="15" hidden="false" customHeight="false" outlineLevel="0" collapsed="false">
      <c r="A527" s="32" t="str">
        <f aca="false">IF(COUNTA(B527,D527,E527,F527)=0,"",ROW()-4)</f>
        <v/>
      </c>
      <c r="B527" s="22"/>
      <c r="C527" s="28"/>
      <c r="D527" s="28"/>
      <c r="E527" s="18"/>
      <c r="F527" s="28"/>
      <c r="G527" s="32" t="str">
        <f aca="false">IF(F527="","",IFERROR(INDEX(請求台帳!$D$5:$D$504,MATCH(F527,請求台帳!$A$5:$A$504,0)),""))</f>
        <v/>
      </c>
      <c r="H527" s="26" t="str">
        <f aca="false">IF(F527="","",IFERROR(INDEX(請求台帳!$I$5:$I$504,MATCH(F527,請求台帳!$A$5:$A$504,0)),""))</f>
        <v/>
      </c>
      <c r="I527" s="29" t="str">
        <f aca="false">IF(COUNTA(B527,D527,E527,F527)=0,"",IF(OR(B527="",E527=""),"要入力",IF(F527="","未消込",IF(ISNA(MATCH(F527,請求台帳!$A$5:$A$504,0)),"番号誤り",IF(INDEX(請求台帳!$T$5:$T$504,MATCH(F527,請求台帳!$A$5:$A$504,0))="取消","取消請求へ消込","消込済")))))</f>
        <v/>
      </c>
      <c r="J527" s="28"/>
      <c r="K527" s="28"/>
    </row>
    <row r="528" customFormat="false" ht="15" hidden="false" customHeight="false" outlineLevel="0" collapsed="false">
      <c r="A528" s="32" t="str">
        <f aca="false">IF(COUNTA(B528,D528,E528,F528)=0,"",ROW()-4)</f>
        <v/>
      </c>
      <c r="B528" s="22"/>
      <c r="C528" s="28"/>
      <c r="D528" s="28"/>
      <c r="E528" s="18"/>
      <c r="F528" s="28"/>
      <c r="G528" s="32" t="str">
        <f aca="false">IF(F528="","",IFERROR(INDEX(請求台帳!$D$5:$D$504,MATCH(F528,請求台帳!$A$5:$A$504,0)),""))</f>
        <v/>
      </c>
      <c r="H528" s="26" t="str">
        <f aca="false">IF(F528="","",IFERROR(INDEX(請求台帳!$I$5:$I$504,MATCH(F528,請求台帳!$A$5:$A$504,0)),""))</f>
        <v/>
      </c>
      <c r="I528" s="29" t="str">
        <f aca="false">IF(COUNTA(B528,D528,E528,F528)=0,"",IF(OR(B528="",E528=""),"要入力",IF(F528="","未消込",IF(ISNA(MATCH(F528,請求台帳!$A$5:$A$504,0)),"番号誤り",IF(INDEX(請求台帳!$T$5:$T$504,MATCH(F528,請求台帳!$A$5:$A$504,0))="取消","取消請求へ消込","消込済")))))</f>
        <v/>
      </c>
      <c r="J528" s="28"/>
      <c r="K528" s="28"/>
    </row>
    <row r="529" customFormat="false" ht="15" hidden="false" customHeight="false" outlineLevel="0" collapsed="false">
      <c r="A529" s="32" t="str">
        <f aca="false">IF(COUNTA(B529,D529,E529,F529)=0,"",ROW()-4)</f>
        <v/>
      </c>
      <c r="B529" s="22"/>
      <c r="C529" s="28"/>
      <c r="D529" s="28"/>
      <c r="E529" s="18"/>
      <c r="F529" s="28"/>
      <c r="G529" s="32" t="str">
        <f aca="false">IF(F529="","",IFERROR(INDEX(請求台帳!$D$5:$D$504,MATCH(F529,請求台帳!$A$5:$A$504,0)),""))</f>
        <v/>
      </c>
      <c r="H529" s="26" t="str">
        <f aca="false">IF(F529="","",IFERROR(INDEX(請求台帳!$I$5:$I$504,MATCH(F529,請求台帳!$A$5:$A$504,0)),""))</f>
        <v/>
      </c>
      <c r="I529" s="29" t="str">
        <f aca="false">IF(COUNTA(B529,D529,E529,F529)=0,"",IF(OR(B529="",E529=""),"要入力",IF(F529="","未消込",IF(ISNA(MATCH(F529,請求台帳!$A$5:$A$504,0)),"番号誤り",IF(INDEX(請求台帳!$T$5:$T$504,MATCH(F529,請求台帳!$A$5:$A$504,0))="取消","取消請求へ消込","消込済")))))</f>
        <v/>
      </c>
      <c r="J529" s="28"/>
      <c r="K529" s="28"/>
    </row>
    <row r="530" customFormat="false" ht="15" hidden="false" customHeight="false" outlineLevel="0" collapsed="false">
      <c r="A530" s="32" t="str">
        <f aca="false">IF(COUNTA(B530,D530,E530,F530)=0,"",ROW()-4)</f>
        <v/>
      </c>
      <c r="B530" s="22"/>
      <c r="C530" s="28"/>
      <c r="D530" s="28"/>
      <c r="E530" s="18"/>
      <c r="F530" s="28"/>
      <c r="G530" s="32" t="str">
        <f aca="false">IF(F530="","",IFERROR(INDEX(請求台帳!$D$5:$D$504,MATCH(F530,請求台帳!$A$5:$A$504,0)),""))</f>
        <v/>
      </c>
      <c r="H530" s="26" t="str">
        <f aca="false">IF(F530="","",IFERROR(INDEX(請求台帳!$I$5:$I$504,MATCH(F530,請求台帳!$A$5:$A$504,0)),""))</f>
        <v/>
      </c>
      <c r="I530" s="29" t="str">
        <f aca="false">IF(COUNTA(B530,D530,E530,F530)=0,"",IF(OR(B530="",E530=""),"要入力",IF(F530="","未消込",IF(ISNA(MATCH(F530,請求台帳!$A$5:$A$504,0)),"番号誤り",IF(INDEX(請求台帳!$T$5:$T$504,MATCH(F530,請求台帳!$A$5:$A$504,0))="取消","取消請求へ消込","消込済")))))</f>
        <v/>
      </c>
      <c r="J530" s="28"/>
      <c r="K530" s="28"/>
    </row>
    <row r="531" customFormat="false" ht="15" hidden="false" customHeight="false" outlineLevel="0" collapsed="false">
      <c r="A531" s="32" t="str">
        <f aca="false">IF(COUNTA(B531,D531,E531,F531)=0,"",ROW()-4)</f>
        <v/>
      </c>
      <c r="B531" s="22"/>
      <c r="C531" s="28"/>
      <c r="D531" s="28"/>
      <c r="E531" s="18"/>
      <c r="F531" s="28"/>
      <c r="G531" s="32" t="str">
        <f aca="false">IF(F531="","",IFERROR(INDEX(請求台帳!$D$5:$D$504,MATCH(F531,請求台帳!$A$5:$A$504,0)),""))</f>
        <v/>
      </c>
      <c r="H531" s="26" t="str">
        <f aca="false">IF(F531="","",IFERROR(INDEX(請求台帳!$I$5:$I$504,MATCH(F531,請求台帳!$A$5:$A$504,0)),""))</f>
        <v/>
      </c>
      <c r="I531" s="29" t="str">
        <f aca="false">IF(COUNTA(B531,D531,E531,F531)=0,"",IF(OR(B531="",E531=""),"要入力",IF(F531="","未消込",IF(ISNA(MATCH(F531,請求台帳!$A$5:$A$504,0)),"番号誤り",IF(INDEX(請求台帳!$T$5:$T$504,MATCH(F531,請求台帳!$A$5:$A$504,0))="取消","取消請求へ消込","消込済")))))</f>
        <v/>
      </c>
      <c r="J531" s="28"/>
      <c r="K531" s="28"/>
    </row>
    <row r="532" customFormat="false" ht="15" hidden="false" customHeight="false" outlineLevel="0" collapsed="false">
      <c r="A532" s="32" t="str">
        <f aca="false">IF(COUNTA(B532,D532,E532,F532)=0,"",ROW()-4)</f>
        <v/>
      </c>
      <c r="B532" s="22"/>
      <c r="C532" s="28"/>
      <c r="D532" s="28"/>
      <c r="E532" s="18"/>
      <c r="F532" s="28"/>
      <c r="G532" s="32" t="str">
        <f aca="false">IF(F532="","",IFERROR(INDEX(請求台帳!$D$5:$D$504,MATCH(F532,請求台帳!$A$5:$A$504,0)),""))</f>
        <v/>
      </c>
      <c r="H532" s="26" t="str">
        <f aca="false">IF(F532="","",IFERROR(INDEX(請求台帳!$I$5:$I$504,MATCH(F532,請求台帳!$A$5:$A$504,0)),""))</f>
        <v/>
      </c>
      <c r="I532" s="29" t="str">
        <f aca="false">IF(COUNTA(B532,D532,E532,F532)=0,"",IF(OR(B532="",E532=""),"要入力",IF(F532="","未消込",IF(ISNA(MATCH(F532,請求台帳!$A$5:$A$504,0)),"番号誤り",IF(INDEX(請求台帳!$T$5:$T$504,MATCH(F532,請求台帳!$A$5:$A$504,0))="取消","取消請求へ消込","消込済")))))</f>
        <v/>
      </c>
      <c r="J532" s="28"/>
      <c r="K532" s="28"/>
    </row>
    <row r="533" customFormat="false" ht="15" hidden="false" customHeight="false" outlineLevel="0" collapsed="false">
      <c r="A533" s="32" t="str">
        <f aca="false">IF(COUNTA(B533,D533,E533,F533)=0,"",ROW()-4)</f>
        <v/>
      </c>
      <c r="B533" s="22"/>
      <c r="C533" s="28"/>
      <c r="D533" s="28"/>
      <c r="E533" s="18"/>
      <c r="F533" s="28"/>
      <c r="G533" s="32" t="str">
        <f aca="false">IF(F533="","",IFERROR(INDEX(請求台帳!$D$5:$D$504,MATCH(F533,請求台帳!$A$5:$A$504,0)),""))</f>
        <v/>
      </c>
      <c r="H533" s="26" t="str">
        <f aca="false">IF(F533="","",IFERROR(INDEX(請求台帳!$I$5:$I$504,MATCH(F533,請求台帳!$A$5:$A$504,0)),""))</f>
        <v/>
      </c>
      <c r="I533" s="29" t="str">
        <f aca="false">IF(COUNTA(B533,D533,E533,F533)=0,"",IF(OR(B533="",E533=""),"要入力",IF(F533="","未消込",IF(ISNA(MATCH(F533,請求台帳!$A$5:$A$504,0)),"番号誤り",IF(INDEX(請求台帳!$T$5:$T$504,MATCH(F533,請求台帳!$A$5:$A$504,0))="取消","取消請求へ消込","消込済")))))</f>
        <v/>
      </c>
      <c r="J533" s="28"/>
      <c r="K533" s="28"/>
    </row>
    <row r="534" customFormat="false" ht="15" hidden="false" customHeight="false" outlineLevel="0" collapsed="false">
      <c r="A534" s="32" t="str">
        <f aca="false">IF(COUNTA(B534,D534,E534,F534)=0,"",ROW()-4)</f>
        <v/>
      </c>
      <c r="B534" s="22"/>
      <c r="C534" s="28"/>
      <c r="D534" s="28"/>
      <c r="E534" s="18"/>
      <c r="F534" s="28"/>
      <c r="G534" s="32" t="str">
        <f aca="false">IF(F534="","",IFERROR(INDEX(請求台帳!$D$5:$D$504,MATCH(F534,請求台帳!$A$5:$A$504,0)),""))</f>
        <v/>
      </c>
      <c r="H534" s="26" t="str">
        <f aca="false">IF(F534="","",IFERROR(INDEX(請求台帳!$I$5:$I$504,MATCH(F534,請求台帳!$A$5:$A$504,0)),""))</f>
        <v/>
      </c>
      <c r="I534" s="29" t="str">
        <f aca="false">IF(COUNTA(B534,D534,E534,F534)=0,"",IF(OR(B534="",E534=""),"要入力",IF(F534="","未消込",IF(ISNA(MATCH(F534,請求台帳!$A$5:$A$504,0)),"番号誤り",IF(INDEX(請求台帳!$T$5:$T$504,MATCH(F534,請求台帳!$A$5:$A$504,0))="取消","取消請求へ消込","消込済")))))</f>
        <v/>
      </c>
      <c r="J534" s="28"/>
      <c r="K534" s="28"/>
    </row>
    <row r="535" customFormat="false" ht="15" hidden="false" customHeight="false" outlineLevel="0" collapsed="false">
      <c r="A535" s="32" t="str">
        <f aca="false">IF(COUNTA(B535,D535,E535,F535)=0,"",ROW()-4)</f>
        <v/>
      </c>
      <c r="B535" s="22"/>
      <c r="C535" s="28"/>
      <c r="D535" s="28"/>
      <c r="E535" s="18"/>
      <c r="F535" s="28"/>
      <c r="G535" s="32" t="str">
        <f aca="false">IF(F535="","",IFERROR(INDEX(請求台帳!$D$5:$D$504,MATCH(F535,請求台帳!$A$5:$A$504,0)),""))</f>
        <v/>
      </c>
      <c r="H535" s="26" t="str">
        <f aca="false">IF(F535="","",IFERROR(INDEX(請求台帳!$I$5:$I$504,MATCH(F535,請求台帳!$A$5:$A$504,0)),""))</f>
        <v/>
      </c>
      <c r="I535" s="29" t="str">
        <f aca="false">IF(COUNTA(B535,D535,E535,F535)=0,"",IF(OR(B535="",E535=""),"要入力",IF(F535="","未消込",IF(ISNA(MATCH(F535,請求台帳!$A$5:$A$504,0)),"番号誤り",IF(INDEX(請求台帳!$T$5:$T$504,MATCH(F535,請求台帳!$A$5:$A$504,0))="取消","取消請求へ消込","消込済")))))</f>
        <v/>
      </c>
      <c r="J535" s="28"/>
      <c r="K535" s="28"/>
    </row>
    <row r="536" customFormat="false" ht="15" hidden="false" customHeight="false" outlineLevel="0" collapsed="false">
      <c r="A536" s="32" t="str">
        <f aca="false">IF(COUNTA(B536,D536,E536,F536)=0,"",ROW()-4)</f>
        <v/>
      </c>
      <c r="B536" s="22"/>
      <c r="C536" s="28"/>
      <c r="D536" s="28"/>
      <c r="E536" s="18"/>
      <c r="F536" s="28"/>
      <c r="G536" s="32" t="str">
        <f aca="false">IF(F536="","",IFERROR(INDEX(請求台帳!$D$5:$D$504,MATCH(F536,請求台帳!$A$5:$A$504,0)),""))</f>
        <v/>
      </c>
      <c r="H536" s="26" t="str">
        <f aca="false">IF(F536="","",IFERROR(INDEX(請求台帳!$I$5:$I$504,MATCH(F536,請求台帳!$A$5:$A$504,0)),""))</f>
        <v/>
      </c>
      <c r="I536" s="29" t="str">
        <f aca="false">IF(COUNTA(B536,D536,E536,F536)=0,"",IF(OR(B536="",E536=""),"要入力",IF(F536="","未消込",IF(ISNA(MATCH(F536,請求台帳!$A$5:$A$504,0)),"番号誤り",IF(INDEX(請求台帳!$T$5:$T$504,MATCH(F536,請求台帳!$A$5:$A$504,0))="取消","取消請求へ消込","消込済")))))</f>
        <v/>
      </c>
      <c r="J536" s="28"/>
      <c r="K536" s="28"/>
    </row>
    <row r="537" customFormat="false" ht="15" hidden="false" customHeight="false" outlineLevel="0" collapsed="false">
      <c r="A537" s="32" t="str">
        <f aca="false">IF(COUNTA(B537,D537,E537,F537)=0,"",ROW()-4)</f>
        <v/>
      </c>
      <c r="B537" s="22"/>
      <c r="C537" s="28"/>
      <c r="D537" s="28"/>
      <c r="E537" s="18"/>
      <c r="F537" s="28"/>
      <c r="G537" s="32" t="str">
        <f aca="false">IF(F537="","",IFERROR(INDEX(請求台帳!$D$5:$D$504,MATCH(F537,請求台帳!$A$5:$A$504,0)),""))</f>
        <v/>
      </c>
      <c r="H537" s="26" t="str">
        <f aca="false">IF(F537="","",IFERROR(INDEX(請求台帳!$I$5:$I$504,MATCH(F537,請求台帳!$A$5:$A$504,0)),""))</f>
        <v/>
      </c>
      <c r="I537" s="29" t="str">
        <f aca="false">IF(COUNTA(B537,D537,E537,F537)=0,"",IF(OR(B537="",E537=""),"要入力",IF(F537="","未消込",IF(ISNA(MATCH(F537,請求台帳!$A$5:$A$504,0)),"番号誤り",IF(INDEX(請求台帳!$T$5:$T$504,MATCH(F537,請求台帳!$A$5:$A$504,0))="取消","取消請求へ消込","消込済")))))</f>
        <v/>
      </c>
      <c r="J537" s="28"/>
      <c r="K537" s="28"/>
    </row>
    <row r="538" customFormat="false" ht="15" hidden="false" customHeight="false" outlineLevel="0" collapsed="false">
      <c r="A538" s="32" t="str">
        <f aca="false">IF(COUNTA(B538,D538,E538,F538)=0,"",ROW()-4)</f>
        <v/>
      </c>
      <c r="B538" s="22"/>
      <c r="C538" s="28"/>
      <c r="D538" s="28"/>
      <c r="E538" s="18"/>
      <c r="F538" s="28"/>
      <c r="G538" s="32" t="str">
        <f aca="false">IF(F538="","",IFERROR(INDEX(請求台帳!$D$5:$D$504,MATCH(F538,請求台帳!$A$5:$A$504,0)),""))</f>
        <v/>
      </c>
      <c r="H538" s="26" t="str">
        <f aca="false">IF(F538="","",IFERROR(INDEX(請求台帳!$I$5:$I$504,MATCH(F538,請求台帳!$A$5:$A$504,0)),""))</f>
        <v/>
      </c>
      <c r="I538" s="29" t="str">
        <f aca="false">IF(COUNTA(B538,D538,E538,F538)=0,"",IF(OR(B538="",E538=""),"要入力",IF(F538="","未消込",IF(ISNA(MATCH(F538,請求台帳!$A$5:$A$504,0)),"番号誤り",IF(INDEX(請求台帳!$T$5:$T$504,MATCH(F538,請求台帳!$A$5:$A$504,0))="取消","取消請求へ消込","消込済")))))</f>
        <v/>
      </c>
      <c r="J538" s="28"/>
      <c r="K538" s="28"/>
    </row>
    <row r="539" customFormat="false" ht="15" hidden="false" customHeight="false" outlineLevel="0" collapsed="false">
      <c r="A539" s="32" t="str">
        <f aca="false">IF(COUNTA(B539,D539,E539,F539)=0,"",ROW()-4)</f>
        <v/>
      </c>
      <c r="B539" s="22"/>
      <c r="C539" s="28"/>
      <c r="D539" s="28"/>
      <c r="E539" s="18"/>
      <c r="F539" s="28"/>
      <c r="G539" s="32" t="str">
        <f aca="false">IF(F539="","",IFERROR(INDEX(請求台帳!$D$5:$D$504,MATCH(F539,請求台帳!$A$5:$A$504,0)),""))</f>
        <v/>
      </c>
      <c r="H539" s="26" t="str">
        <f aca="false">IF(F539="","",IFERROR(INDEX(請求台帳!$I$5:$I$504,MATCH(F539,請求台帳!$A$5:$A$504,0)),""))</f>
        <v/>
      </c>
      <c r="I539" s="29" t="str">
        <f aca="false">IF(COUNTA(B539,D539,E539,F539)=0,"",IF(OR(B539="",E539=""),"要入力",IF(F539="","未消込",IF(ISNA(MATCH(F539,請求台帳!$A$5:$A$504,0)),"番号誤り",IF(INDEX(請求台帳!$T$5:$T$504,MATCH(F539,請求台帳!$A$5:$A$504,0))="取消","取消請求へ消込","消込済")))))</f>
        <v/>
      </c>
      <c r="J539" s="28"/>
      <c r="K539" s="28"/>
    </row>
    <row r="540" customFormat="false" ht="15" hidden="false" customHeight="false" outlineLevel="0" collapsed="false">
      <c r="A540" s="32" t="str">
        <f aca="false">IF(COUNTA(B540,D540,E540,F540)=0,"",ROW()-4)</f>
        <v/>
      </c>
      <c r="B540" s="22"/>
      <c r="C540" s="28"/>
      <c r="D540" s="28"/>
      <c r="E540" s="18"/>
      <c r="F540" s="28"/>
      <c r="G540" s="32" t="str">
        <f aca="false">IF(F540="","",IFERROR(INDEX(請求台帳!$D$5:$D$504,MATCH(F540,請求台帳!$A$5:$A$504,0)),""))</f>
        <v/>
      </c>
      <c r="H540" s="26" t="str">
        <f aca="false">IF(F540="","",IFERROR(INDEX(請求台帳!$I$5:$I$504,MATCH(F540,請求台帳!$A$5:$A$504,0)),""))</f>
        <v/>
      </c>
      <c r="I540" s="29" t="str">
        <f aca="false">IF(COUNTA(B540,D540,E540,F540)=0,"",IF(OR(B540="",E540=""),"要入力",IF(F540="","未消込",IF(ISNA(MATCH(F540,請求台帳!$A$5:$A$504,0)),"番号誤り",IF(INDEX(請求台帳!$T$5:$T$504,MATCH(F540,請求台帳!$A$5:$A$504,0))="取消","取消請求へ消込","消込済")))))</f>
        <v/>
      </c>
      <c r="J540" s="28"/>
      <c r="K540" s="28"/>
    </row>
    <row r="541" customFormat="false" ht="15" hidden="false" customHeight="false" outlineLevel="0" collapsed="false">
      <c r="A541" s="32" t="str">
        <f aca="false">IF(COUNTA(B541,D541,E541,F541)=0,"",ROW()-4)</f>
        <v/>
      </c>
      <c r="B541" s="22"/>
      <c r="C541" s="28"/>
      <c r="D541" s="28"/>
      <c r="E541" s="18"/>
      <c r="F541" s="28"/>
      <c r="G541" s="32" t="str">
        <f aca="false">IF(F541="","",IFERROR(INDEX(請求台帳!$D$5:$D$504,MATCH(F541,請求台帳!$A$5:$A$504,0)),""))</f>
        <v/>
      </c>
      <c r="H541" s="26" t="str">
        <f aca="false">IF(F541="","",IFERROR(INDEX(請求台帳!$I$5:$I$504,MATCH(F541,請求台帳!$A$5:$A$504,0)),""))</f>
        <v/>
      </c>
      <c r="I541" s="29" t="str">
        <f aca="false">IF(COUNTA(B541,D541,E541,F541)=0,"",IF(OR(B541="",E541=""),"要入力",IF(F541="","未消込",IF(ISNA(MATCH(F541,請求台帳!$A$5:$A$504,0)),"番号誤り",IF(INDEX(請求台帳!$T$5:$T$504,MATCH(F541,請求台帳!$A$5:$A$504,0))="取消","取消請求へ消込","消込済")))))</f>
        <v/>
      </c>
      <c r="J541" s="28"/>
      <c r="K541" s="28"/>
    </row>
    <row r="542" customFormat="false" ht="15" hidden="false" customHeight="false" outlineLevel="0" collapsed="false">
      <c r="A542" s="32" t="str">
        <f aca="false">IF(COUNTA(B542,D542,E542,F542)=0,"",ROW()-4)</f>
        <v/>
      </c>
      <c r="B542" s="22"/>
      <c r="C542" s="28"/>
      <c r="D542" s="28"/>
      <c r="E542" s="18"/>
      <c r="F542" s="28"/>
      <c r="G542" s="32" t="str">
        <f aca="false">IF(F542="","",IFERROR(INDEX(請求台帳!$D$5:$D$504,MATCH(F542,請求台帳!$A$5:$A$504,0)),""))</f>
        <v/>
      </c>
      <c r="H542" s="26" t="str">
        <f aca="false">IF(F542="","",IFERROR(INDEX(請求台帳!$I$5:$I$504,MATCH(F542,請求台帳!$A$5:$A$504,0)),""))</f>
        <v/>
      </c>
      <c r="I542" s="29" t="str">
        <f aca="false">IF(COUNTA(B542,D542,E542,F542)=0,"",IF(OR(B542="",E542=""),"要入力",IF(F542="","未消込",IF(ISNA(MATCH(F542,請求台帳!$A$5:$A$504,0)),"番号誤り",IF(INDEX(請求台帳!$T$5:$T$504,MATCH(F542,請求台帳!$A$5:$A$504,0))="取消","取消請求へ消込","消込済")))))</f>
        <v/>
      </c>
      <c r="J542" s="28"/>
      <c r="K542" s="28"/>
    </row>
    <row r="543" customFormat="false" ht="15" hidden="false" customHeight="false" outlineLevel="0" collapsed="false">
      <c r="A543" s="32" t="str">
        <f aca="false">IF(COUNTA(B543,D543,E543,F543)=0,"",ROW()-4)</f>
        <v/>
      </c>
      <c r="B543" s="22"/>
      <c r="C543" s="28"/>
      <c r="D543" s="28"/>
      <c r="E543" s="18"/>
      <c r="F543" s="28"/>
      <c r="G543" s="32" t="str">
        <f aca="false">IF(F543="","",IFERROR(INDEX(請求台帳!$D$5:$D$504,MATCH(F543,請求台帳!$A$5:$A$504,0)),""))</f>
        <v/>
      </c>
      <c r="H543" s="26" t="str">
        <f aca="false">IF(F543="","",IFERROR(INDEX(請求台帳!$I$5:$I$504,MATCH(F543,請求台帳!$A$5:$A$504,0)),""))</f>
        <v/>
      </c>
      <c r="I543" s="29" t="str">
        <f aca="false">IF(COUNTA(B543,D543,E543,F543)=0,"",IF(OR(B543="",E543=""),"要入力",IF(F543="","未消込",IF(ISNA(MATCH(F543,請求台帳!$A$5:$A$504,0)),"番号誤り",IF(INDEX(請求台帳!$T$5:$T$504,MATCH(F543,請求台帳!$A$5:$A$504,0))="取消","取消請求へ消込","消込済")))))</f>
        <v/>
      </c>
      <c r="J543" s="28"/>
      <c r="K543" s="28"/>
    </row>
    <row r="544" customFormat="false" ht="15" hidden="false" customHeight="false" outlineLevel="0" collapsed="false">
      <c r="A544" s="32" t="str">
        <f aca="false">IF(COUNTA(B544,D544,E544,F544)=0,"",ROW()-4)</f>
        <v/>
      </c>
      <c r="B544" s="22"/>
      <c r="C544" s="28"/>
      <c r="D544" s="28"/>
      <c r="E544" s="18"/>
      <c r="F544" s="28"/>
      <c r="G544" s="32" t="str">
        <f aca="false">IF(F544="","",IFERROR(INDEX(請求台帳!$D$5:$D$504,MATCH(F544,請求台帳!$A$5:$A$504,0)),""))</f>
        <v/>
      </c>
      <c r="H544" s="26" t="str">
        <f aca="false">IF(F544="","",IFERROR(INDEX(請求台帳!$I$5:$I$504,MATCH(F544,請求台帳!$A$5:$A$504,0)),""))</f>
        <v/>
      </c>
      <c r="I544" s="29" t="str">
        <f aca="false">IF(COUNTA(B544,D544,E544,F544)=0,"",IF(OR(B544="",E544=""),"要入力",IF(F544="","未消込",IF(ISNA(MATCH(F544,請求台帳!$A$5:$A$504,0)),"番号誤り",IF(INDEX(請求台帳!$T$5:$T$504,MATCH(F544,請求台帳!$A$5:$A$504,0))="取消","取消請求へ消込","消込済")))))</f>
        <v/>
      </c>
      <c r="J544" s="28"/>
      <c r="K544" s="28"/>
    </row>
    <row r="545" customFormat="false" ht="15" hidden="false" customHeight="false" outlineLevel="0" collapsed="false">
      <c r="A545" s="32" t="str">
        <f aca="false">IF(COUNTA(B545,D545,E545,F545)=0,"",ROW()-4)</f>
        <v/>
      </c>
      <c r="B545" s="22"/>
      <c r="C545" s="28"/>
      <c r="D545" s="28"/>
      <c r="E545" s="18"/>
      <c r="F545" s="28"/>
      <c r="G545" s="32" t="str">
        <f aca="false">IF(F545="","",IFERROR(INDEX(請求台帳!$D$5:$D$504,MATCH(F545,請求台帳!$A$5:$A$504,0)),""))</f>
        <v/>
      </c>
      <c r="H545" s="26" t="str">
        <f aca="false">IF(F545="","",IFERROR(INDEX(請求台帳!$I$5:$I$504,MATCH(F545,請求台帳!$A$5:$A$504,0)),""))</f>
        <v/>
      </c>
      <c r="I545" s="29" t="str">
        <f aca="false">IF(COUNTA(B545,D545,E545,F545)=0,"",IF(OR(B545="",E545=""),"要入力",IF(F545="","未消込",IF(ISNA(MATCH(F545,請求台帳!$A$5:$A$504,0)),"番号誤り",IF(INDEX(請求台帳!$T$5:$T$504,MATCH(F545,請求台帳!$A$5:$A$504,0))="取消","取消請求へ消込","消込済")))))</f>
        <v/>
      </c>
      <c r="J545" s="28"/>
      <c r="K545" s="28"/>
    </row>
    <row r="546" customFormat="false" ht="15" hidden="false" customHeight="false" outlineLevel="0" collapsed="false">
      <c r="A546" s="32" t="str">
        <f aca="false">IF(COUNTA(B546,D546,E546,F546)=0,"",ROW()-4)</f>
        <v/>
      </c>
      <c r="B546" s="22"/>
      <c r="C546" s="28"/>
      <c r="D546" s="28"/>
      <c r="E546" s="18"/>
      <c r="F546" s="28"/>
      <c r="G546" s="32" t="str">
        <f aca="false">IF(F546="","",IFERROR(INDEX(請求台帳!$D$5:$D$504,MATCH(F546,請求台帳!$A$5:$A$504,0)),""))</f>
        <v/>
      </c>
      <c r="H546" s="26" t="str">
        <f aca="false">IF(F546="","",IFERROR(INDEX(請求台帳!$I$5:$I$504,MATCH(F546,請求台帳!$A$5:$A$504,0)),""))</f>
        <v/>
      </c>
      <c r="I546" s="29" t="str">
        <f aca="false">IF(COUNTA(B546,D546,E546,F546)=0,"",IF(OR(B546="",E546=""),"要入力",IF(F546="","未消込",IF(ISNA(MATCH(F546,請求台帳!$A$5:$A$504,0)),"番号誤り",IF(INDEX(請求台帳!$T$5:$T$504,MATCH(F546,請求台帳!$A$5:$A$504,0))="取消","取消請求へ消込","消込済")))))</f>
        <v/>
      </c>
      <c r="J546" s="28"/>
      <c r="K546" s="28"/>
    </row>
    <row r="547" customFormat="false" ht="15" hidden="false" customHeight="false" outlineLevel="0" collapsed="false">
      <c r="A547" s="32" t="str">
        <f aca="false">IF(COUNTA(B547,D547,E547,F547)=0,"",ROW()-4)</f>
        <v/>
      </c>
      <c r="B547" s="22"/>
      <c r="C547" s="28"/>
      <c r="D547" s="28"/>
      <c r="E547" s="18"/>
      <c r="F547" s="28"/>
      <c r="G547" s="32" t="str">
        <f aca="false">IF(F547="","",IFERROR(INDEX(請求台帳!$D$5:$D$504,MATCH(F547,請求台帳!$A$5:$A$504,0)),""))</f>
        <v/>
      </c>
      <c r="H547" s="26" t="str">
        <f aca="false">IF(F547="","",IFERROR(INDEX(請求台帳!$I$5:$I$504,MATCH(F547,請求台帳!$A$5:$A$504,0)),""))</f>
        <v/>
      </c>
      <c r="I547" s="29" t="str">
        <f aca="false">IF(COUNTA(B547,D547,E547,F547)=0,"",IF(OR(B547="",E547=""),"要入力",IF(F547="","未消込",IF(ISNA(MATCH(F547,請求台帳!$A$5:$A$504,0)),"番号誤り",IF(INDEX(請求台帳!$T$5:$T$504,MATCH(F547,請求台帳!$A$5:$A$504,0))="取消","取消請求へ消込","消込済")))))</f>
        <v/>
      </c>
      <c r="J547" s="28"/>
      <c r="K547" s="28"/>
    </row>
    <row r="548" customFormat="false" ht="15" hidden="false" customHeight="false" outlineLevel="0" collapsed="false">
      <c r="A548" s="32" t="str">
        <f aca="false">IF(COUNTA(B548,D548,E548,F548)=0,"",ROW()-4)</f>
        <v/>
      </c>
      <c r="B548" s="22"/>
      <c r="C548" s="28"/>
      <c r="D548" s="28"/>
      <c r="E548" s="18"/>
      <c r="F548" s="28"/>
      <c r="G548" s="32" t="str">
        <f aca="false">IF(F548="","",IFERROR(INDEX(請求台帳!$D$5:$D$504,MATCH(F548,請求台帳!$A$5:$A$504,0)),""))</f>
        <v/>
      </c>
      <c r="H548" s="26" t="str">
        <f aca="false">IF(F548="","",IFERROR(INDEX(請求台帳!$I$5:$I$504,MATCH(F548,請求台帳!$A$5:$A$504,0)),""))</f>
        <v/>
      </c>
      <c r="I548" s="29" t="str">
        <f aca="false">IF(COUNTA(B548,D548,E548,F548)=0,"",IF(OR(B548="",E548=""),"要入力",IF(F548="","未消込",IF(ISNA(MATCH(F548,請求台帳!$A$5:$A$504,0)),"番号誤り",IF(INDEX(請求台帳!$T$5:$T$504,MATCH(F548,請求台帳!$A$5:$A$504,0))="取消","取消請求へ消込","消込済")))))</f>
        <v/>
      </c>
      <c r="J548" s="28"/>
      <c r="K548" s="28"/>
    </row>
    <row r="549" customFormat="false" ht="15" hidden="false" customHeight="false" outlineLevel="0" collapsed="false">
      <c r="A549" s="32" t="str">
        <f aca="false">IF(COUNTA(B549,D549,E549,F549)=0,"",ROW()-4)</f>
        <v/>
      </c>
      <c r="B549" s="22"/>
      <c r="C549" s="28"/>
      <c r="D549" s="28"/>
      <c r="E549" s="18"/>
      <c r="F549" s="28"/>
      <c r="G549" s="32" t="str">
        <f aca="false">IF(F549="","",IFERROR(INDEX(請求台帳!$D$5:$D$504,MATCH(F549,請求台帳!$A$5:$A$504,0)),""))</f>
        <v/>
      </c>
      <c r="H549" s="26" t="str">
        <f aca="false">IF(F549="","",IFERROR(INDEX(請求台帳!$I$5:$I$504,MATCH(F549,請求台帳!$A$5:$A$504,0)),""))</f>
        <v/>
      </c>
      <c r="I549" s="29" t="str">
        <f aca="false">IF(COUNTA(B549,D549,E549,F549)=0,"",IF(OR(B549="",E549=""),"要入力",IF(F549="","未消込",IF(ISNA(MATCH(F549,請求台帳!$A$5:$A$504,0)),"番号誤り",IF(INDEX(請求台帳!$T$5:$T$504,MATCH(F549,請求台帳!$A$5:$A$504,0))="取消","取消請求へ消込","消込済")))))</f>
        <v/>
      </c>
      <c r="J549" s="28"/>
      <c r="K549" s="28"/>
    </row>
    <row r="550" customFormat="false" ht="15" hidden="false" customHeight="false" outlineLevel="0" collapsed="false">
      <c r="A550" s="32" t="str">
        <f aca="false">IF(COUNTA(B550,D550,E550,F550)=0,"",ROW()-4)</f>
        <v/>
      </c>
      <c r="B550" s="22"/>
      <c r="C550" s="28"/>
      <c r="D550" s="28"/>
      <c r="E550" s="18"/>
      <c r="F550" s="28"/>
      <c r="G550" s="32" t="str">
        <f aca="false">IF(F550="","",IFERROR(INDEX(請求台帳!$D$5:$D$504,MATCH(F550,請求台帳!$A$5:$A$504,0)),""))</f>
        <v/>
      </c>
      <c r="H550" s="26" t="str">
        <f aca="false">IF(F550="","",IFERROR(INDEX(請求台帳!$I$5:$I$504,MATCH(F550,請求台帳!$A$5:$A$504,0)),""))</f>
        <v/>
      </c>
      <c r="I550" s="29" t="str">
        <f aca="false">IF(COUNTA(B550,D550,E550,F550)=0,"",IF(OR(B550="",E550=""),"要入力",IF(F550="","未消込",IF(ISNA(MATCH(F550,請求台帳!$A$5:$A$504,0)),"番号誤り",IF(INDEX(請求台帳!$T$5:$T$504,MATCH(F550,請求台帳!$A$5:$A$504,0))="取消","取消請求へ消込","消込済")))))</f>
        <v/>
      </c>
      <c r="J550" s="28"/>
      <c r="K550" s="28"/>
    </row>
    <row r="551" customFormat="false" ht="15" hidden="false" customHeight="false" outlineLevel="0" collapsed="false">
      <c r="A551" s="32" t="str">
        <f aca="false">IF(COUNTA(B551,D551,E551,F551)=0,"",ROW()-4)</f>
        <v/>
      </c>
      <c r="B551" s="22"/>
      <c r="C551" s="28"/>
      <c r="D551" s="28"/>
      <c r="E551" s="18"/>
      <c r="F551" s="28"/>
      <c r="G551" s="32" t="str">
        <f aca="false">IF(F551="","",IFERROR(INDEX(請求台帳!$D$5:$D$504,MATCH(F551,請求台帳!$A$5:$A$504,0)),""))</f>
        <v/>
      </c>
      <c r="H551" s="26" t="str">
        <f aca="false">IF(F551="","",IFERROR(INDEX(請求台帳!$I$5:$I$504,MATCH(F551,請求台帳!$A$5:$A$504,0)),""))</f>
        <v/>
      </c>
      <c r="I551" s="29" t="str">
        <f aca="false">IF(COUNTA(B551,D551,E551,F551)=0,"",IF(OR(B551="",E551=""),"要入力",IF(F551="","未消込",IF(ISNA(MATCH(F551,請求台帳!$A$5:$A$504,0)),"番号誤り",IF(INDEX(請求台帳!$T$5:$T$504,MATCH(F551,請求台帳!$A$5:$A$504,0))="取消","取消請求へ消込","消込済")))))</f>
        <v/>
      </c>
      <c r="J551" s="28"/>
      <c r="K551" s="28"/>
    </row>
    <row r="552" customFormat="false" ht="15" hidden="false" customHeight="false" outlineLevel="0" collapsed="false">
      <c r="A552" s="32" t="str">
        <f aca="false">IF(COUNTA(B552,D552,E552,F552)=0,"",ROW()-4)</f>
        <v/>
      </c>
      <c r="B552" s="22"/>
      <c r="C552" s="28"/>
      <c r="D552" s="28"/>
      <c r="E552" s="18"/>
      <c r="F552" s="28"/>
      <c r="G552" s="32" t="str">
        <f aca="false">IF(F552="","",IFERROR(INDEX(請求台帳!$D$5:$D$504,MATCH(F552,請求台帳!$A$5:$A$504,0)),""))</f>
        <v/>
      </c>
      <c r="H552" s="26" t="str">
        <f aca="false">IF(F552="","",IFERROR(INDEX(請求台帳!$I$5:$I$504,MATCH(F552,請求台帳!$A$5:$A$504,0)),""))</f>
        <v/>
      </c>
      <c r="I552" s="29" t="str">
        <f aca="false">IF(COUNTA(B552,D552,E552,F552)=0,"",IF(OR(B552="",E552=""),"要入力",IF(F552="","未消込",IF(ISNA(MATCH(F552,請求台帳!$A$5:$A$504,0)),"番号誤り",IF(INDEX(請求台帳!$T$5:$T$504,MATCH(F552,請求台帳!$A$5:$A$504,0))="取消","取消請求へ消込","消込済")))))</f>
        <v/>
      </c>
      <c r="J552" s="28"/>
      <c r="K552" s="28"/>
    </row>
    <row r="553" customFormat="false" ht="15" hidden="false" customHeight="false" outlineLevel="0" collapsed="false">
      <c r="A553" s="32" t="str">
        <f aca="false">IF(COUNTA(B553,D553,E553,F553)=0,"",ROW()-4)</f>
        <v/>
      </c>
      <c r="B553" s="22"/>
      <c r="C553" s="28"/>
      <c r="D553" s="28"/>
      <c r="E553" s="18"/>
      <c r="F553" s="28"/>
      <c r="G553" s="32" t="str">
        <f aca="false">IF(F553="","",IFERROR(INDEX(請求台帳!$D$5:$D$504,MATCH(F553,請求台帳!$A$5:$A$504,0)),""))</f>
        <v/>
      </c>
      <c r="H553" s="26" t="str">
        <f aca="false">IF(F553="","",IFERROR(INDEX(請求台帳!$I$5:$I$504,MATCH(F553,請求台帳!$A$5:$A$504,0)),""))</f>
        <v/>
      </c>
      <c r="I553" s="29" t="str">
        <f aca="false">IF(COUNTA(B553,D553,E553,F553)=0,"",IF(OR(B553="",E553=""),"要入力",IF(F553="","未消込",IF(ISNA(MATCH(F553,請求台帳!$A$5:$A$504,0)),"番号誤り",IF(INDEX(請求台帳!$T$5:$T$504,MATCH(F553,請求台帳!$A$5:$A$504,0))="取消","取消請求へ消込","消込済")))))</f>
        <v/>
      </c>
      <c r="J553" s="28"/>
      <c r="K553" s="28"/>
    </row>
    <row r="554" customFormat="false" ht="15" hidden="false" customHeight="false" outlineLevel="0" collapsed="false">
      <c r="A554" s="32" t="str">
        <f aca="false">IF(COUNTA(B554,D554,E554,F554)=0,"",ROW()-4)</f>
        <v/>
      </c>
      <c r="B554" s="22"/>
      <c r="C554" s="28"/>
      <c r="D554" s="28"/>
      <c r="E554" s="18"/>
      <c r="F554" s="28"/>
      <c r="G554" s="32" t="str">
        <f aca="false">IF(F554="","",IFERROR(INDEX(請求台帳!$D$5:$D$504,MATCH(F554,請求台帳!$A$5:$A$504,0)),""))</f>
        <v/>
      </c>
      <c r="H554" s="26" t="str">
        <f aca="false">IF(F554="","",IFERROR(INDEX(請求台帳!$I$5:$I$504,MATCH(F554,請求台帳!$A$5:$A$504,0)),""))</f>
        <v/>
      </c>
      <c r="I554" s="29" t="str">
        <f aca="false">IF(COUNTA(B554,D554,E554,F554)=0,"",IF(OR(B554="",E554=""),"要入力",IF(F554="","未消込",IF(ISNA(MATCH(F554,請求台帳!$A$5:$A$504,0)),"番号誤り",IF(INDEX(請求台帳!$T$5:$T$504,MATCH(F554,請求台帳!$A$5:$A$504,0))="取消","取消請求へ消込","消込済")))))</f>
        <v/>
      </c>
      <c r="J554" s="28"/>
      <c r="K554" s="28"/>
    </row>
    <row r="555" customFormat="false" ht="15" hidden="false" customHeight="false" outlineLevel="0" collapsed="false">
      <c r="A555" s="32" t="str">
        <f aca="false">IF(COUNTA(B555,D555,E555,F555)=0,"",ROW()-4)</f>
        <v/>
      </c>
      <c r="B555" s="22"/>
      <c r="C555" s="28"/>
      <c r="D555" s="28"/>
      <c r="E555" s="18"/>
      <c r="F555" s="28"/>
      <c r="G555" s="32" t="str">
        <f aca="false">IF(F555="","",IFERROR(INDEX(請求台帳!$D$5:$D$504,MATCH(F555,請求台帳!$A$5:$A$504,0)),""))</f>
        <v/>
      </c>
      <c r="H555" s="26" t="str">
        <f aca="false">IF(F555="","",IFERROR(INDEX(請求台帳!$I$5:$I$504,MATCH(F555,請求台帳!$A$5:$A$504,0)),""))</f>
        <v/>
      </c>
      <c r="I555" s="29" t="str">
        <f aca="false">IF(COUNTA(B555,D555,E555,F555)=0,"",IF(OR(B555="",E555=""),"要入力",IF(F555="","未消込",IF(ISNA(MATCH(F555,請求台帳!$A$5:$A$504,0)),"番号誤り",IF(INDEX(請求台帳!$T$5:$T$504,MATCH(F555,請求台帳!$A$5:$A$504,0))="取消","取消請求へ消込","消込済")))))</f>
        <v/>
      </c>
      <c r="J555" s="28"/>
      <c r="K555" s="28"/>
    </row>
    <row r="556" customFormat="false" ht="15" hidden="false" customHeight="false" outlineLevel="0" collapsed="false">
      <c r="A556" s="32" t="str">
        <f aca="false">IF(COUNTA(B556,D556,E556,F556)=0,"",ROW()-4)</f>
        <v/>
      </c>
      <c r="B556" s="22"/>
      <c r="C556" s="28"/>
      <c r="D556" s="28"/>
      <c r="E556" s="18"/>
      <c r="F556" s="28"/>
      <c r="G556" s="32" t="str">
        <f aca="false">IF(F556="","",IFERROR(INDEX(請求台帳!$D$5:$D$504,MATCH(F556,請求台帳!$A$5:$A$504,0)),""))</f>
        <v/>
      </c>
      <c r="H556" s="26" t="str">
        <f aca="false">IF(F556="","",IFERROR(INDEX(請求台帳!$I$5:$I$504,MATCH(F556,請求台帳!$A$5:$A$504,0)),""))</f>
        <v/>
      </c>
      <c r="I556" s="29" t="str">
        <f aca="false">IF(COUNTA(B556,D556,E556,F556)=0,"",IF(OR(B556="",E556=""),"要入力",IF(F556="","未消込",IF(ISNA(MATCH(F556,請求台帳!$A$5:$A$504,0)),"番号誤り",IF(INDEX(請求台帳!$T$5:$T$504,MATCH(F556,請求台帳!$A$5:$A$504,0))="取消","取消請求へ消込","消込済")))))</f>
        <v/>
      </c>
      <c r="J556" s="28"/>
      <c r="K556" s="28"/>
    </row>
    <row r="557" customFormat="false" ht="15" hidden="false" customHeight="false" outlineLevel="0" collapsed="false">
      <c r="A557" s="32" t="str">
        <f aca="false">IF(COUNTA(B557,D557,E557,F557)=0,"",ROW()-4)</f>
        <v/>
      </c>
      <c r="B557" s="22"/>
      <c r="C557" s="28"/>
      <c r="D557" s="28"/>
      <c r="E557" s="18"/>
      <c r="F557" s="28"/>
      <c r="G557" s="32" t="str">
        <f aca="false">IF(F557="","",IFERROR(INDEX(請求台帳!$D$5:$D$504,MATCH(F557,請求台帳!$A$5:$A$504,0)),""))</f>
        <v/>
      </c>
      <c r="H557" s="26" t="str">
        <f aca="false">IF(F557="","",IFERROR(INDEX(請求台帳!$I$5:$I$504,MATCH(F557,請求台帳!$A$5:$A$504,0)),""))</f>
        <v/>
      </c>
      <c r="I557" s="29" t="str">
        <f aca="false">IF(COUNTA(B557,D557,E557,F557)=0,"",IF(OR(B557="",E557=""),"要入力",IF(F557="","未消込",IF(ISNA(MATCH(F557,請求台帳!$A$5:$A$504,0)),"番号誤り",IF(INDEX(請求台帳!$T$5:$T$504,MATCH(F557,請求台帳!$A$5:$A$504,0))="取消","取消請求へ消込","消込済")))))</f>
        <v/>
      </c>
      <c r="J557" s="28"/>
      <c r="K557" s="28"/>
    </row>
    <row r="558" customFormat="false" ht="15" hidden="false" customHeight="false" outlineLevel="0" collapsed="false">
      <c r="A558" s="32" t="str">
        <f aca="false">IF(COUNTA(B558,D558,E558,F558)=0,"",ROW()-4)</f>
        <v/>
      </c>
      <c r="B558" s="22"/>
      <c r="C558" s="28"/>
      <c r="D558" s="28"/>
      <c r="E558" s="18"/>
      <c r="F558" s="28"/>
      <c r="G558" s="32" t="str">
        <f aca="false">IF(F558="","",IFERROR(INDEX(請求台帳!$D$5:$D$504,MATCH(F558,請求台帳!$A$5:$A$504,0)),""))</f>
        <v/>
      </c>
      <c r="H558" s="26" t="str">
        <f aca="false">IF(F558="","",IFERROR(INDEX(請求台帳!$I$5:$I$504,MATCH(F558,請求台帳!$A$5:$A$504,0)),""))</f>
        <v/>
      </c>
      <c r="I558" s="29" t="str">
        <f aca="false">IF(COUNTA(B558,D558,E558,F558)=0,"",IF(OR(B558="",E558=""),"要入力",IF(F558="","未消込",IF(ISNA(MATCH(F558,請求台帳!$A$5:$A$504,0)),"番号誤り",IF(INDEX(請求台帳!$T$5:$T$504,MATCH(F558,請求台帳!$A$5:$A$504,0))="取消","取消請求へ消込","消込済")))))</f>
        <v/>
      </c>
      <c r="J558" s="28"/>
      <c r="K558" s="28"/>
    </row>
    <row r="559" customFormat="false" ht="15" hidden="false" customHeight="false" outlineLevel="0" collapsed="false">
      <c r="A559" s="32" t="str">
        <f aca="false">IF(COUNTA(B559,D559,E559,F559)=0,"",ROW()-4)</f>
        <v/>
      </c>
      <c r="B559" s="22"/>
      <c r="C559" s="28"/>
      <c r="D559" s="28"/>
      <c r="E559" s="18"/>
      <c r="F559" s="28"/>
      <c r="G559" s="32" t="str">
        <f aca="false">IF(F559="","",IFERROR(INDEX(請求台帳!$D$5:$D$504,MATCH(F559,請求台帳!$A$5:$A$504,0)),""))</f>
        <v/>
      </c>
      <c r="H559" s="26" t="str">
        <f aca="false">IF(F559="","",IFERROR(INDEX(請求台帳!$I$5:$I$504,MATCH(F559,請求台帳!$A$5:$A$504,0)),""))</f>
        <v/>
      </c>
      <c r="I559" s="29" t="str">
        <f aca="false">IF(COUNTA(B559,D559,E559,F559)=0,"",IF(OR(B559="",E559=""),"要入力",IF(F559="","未消込",IF(ISNA(MATCH(F559,請求台帳!$A$5:$A$504,0)),"番号誤り",IF(INDEX(請求台帳!$T$5:$T$504,MATCH(F559,請求台帳!$A$5:$A$504,0))="取消","取消請求へ消込","消込済")))))</f>
        <v/>
      </c>
      <c r="J559" s="28"/>
      <c r="K559" s="28"/>
    </row>
    <row r="560" customFormat="false" ht="15" hidden="false" customHeight="false" outlineLevel="0" collapsed="false">
      <c r="A560" s="32" t="str">
        <f aca="false">IF(COUNTA(B560,D560,E560,F560)=0,"",ROW()-4)</f>
        <v/>
      </c>
      <c r="B560" s="22"/>
      <c r="C560" s="28"/>
      <c r="D560" s="28"/>
      <c r="E560" s="18"/>
      <c r="F560" s="28"/>
      <c r="G560" s="32" t="str">
        <f aca="false">IF(F560="","",IFERROR(INDEX(請求台帳!$D$5:$D$504,MATCH(F560,請求台帳!$A$5:$A$504,0)),""))</f>
        <v/>
      </c>
      <c r="H560" s="26" t="str">
        <f aca="false">IF(F560="","",IFERROR(INDEX(請求台帳!$I$5:$I$504,MATCH(F560,請求台帳!$A$5:$A$504,0)),""))</f>
        <v/>
      </c>
      <c r="I560" s="29" t="str">
        <f aca="false">IF(COUNTA(B560,D560,E560,F560)=0,"",IF(OR(B560="",E560=""),"要入力",IF(F560="","未消込",IF(ISNA(MATCH(F560,請求台帳!$A$5:$A$504,0)),"番号誤り",IF(INDEX(請求台帳!$T$5:$T$504,MATCH(F560,請求台帳!$A$5:$A$504,0))="取消","取消請求へ消込","消込済")))))</f>
        <v/>
      </c>
      <c r="J560" s="28"/>
      <c r="K560" s="28"/>
    </row>
    <row r="561" customFormat="false" ht="15" hidden="false" customHeight="false" outlineLevel="0" collapsed="false">
      <c r="A561" s="32" t="str">
        <f aca="false">IF(COUNTA(B561,D561,E561,F561)=0,"",ROW()-4)</f>
        <v/>
      </c>
      <c r="B561" s="22"/>
      <c r="C561" s="28"/>
      <c r="D561" s="28"/>
      <c r="E561" s="18"/>
      <c r="F561" s="28"/>
      <c r="G561" s="32" t="str">
        <f aca="false">IF(F561="","",IFERROR(INDEX(請求台帳!$D$5:$D$504,MATCH(F561,請求台帳!$A$5:$A$504,0)),""))</f>
        <v/>
      </c>
      <c r="H561" s="26" t="str">
        <f aca="false">IF(F561="","",IFERROR(INDEX(請求台帳!$I$5:$I$504,MATCH(F561,請求台帳!$A$5:$A$504,0)),""))</f>
        <v/>
      </c>
      <c r="I561" s="29" t="str">
        <f aca="false">IF(COUNTA(B561,D561,E561,F561)=0,"",IF(OR(B561="",E561=""),"要入力",IF(F561="","未消込",IF(ISNA(MATCH(F561,請求台帳!$A$5:$A$504,0)),"番号誤り",IF(INDEX(請求台帳!$T$5:$T$504,MATCH(F561,請求台帳!$A$5:$A$504,0))="取消","取消請求へ消込","消込済")))))</f>
        <v/>
      </c>
      <c r="J561" s="28"/>
      <c r="K561" s="28"/>
    </row>
    <row r="562" customFormat="false" ht="15" hidden="false" customHeight="false" outlineLevel="0" collapsed="false">
      <c r="A562" s="32" t="str">
        <f aca="false">IF(COUNTA(B562,D562,E562,F562)=0,"",ROW()-4)</f>
        <v/>
      </c>
      <c r="B562" s="22"/>
      <c r="C562" s="28"/>
      <c r="D562" s="28"/>
      <c r="E562" s="18"/>
      <c r="F562" s="28"/>
      <c r="G562" s="32" t="str">
        <f aca="false">IF(F562="","",IFERROR(INDEX(請求台帳!$D$5:$D$504,MATCH(F562,請求台帳!$A$5:$A$504,0)),""))</f>
        <v/>
      </c>
      <c r="H562" s="26" t="str">
        <f aca="false">IF(F562="","",IFERROR(INDEX(請求台帳!$I$5:$I$504,MATCH(F562,請求台帳!$A$5:$A$504,0)),""))</f>
        <v/>
      </c>
      <c r="I562" s="29" t="str">
        <f aca="false">IF(COUNTA(B562,D562,E562,F562)=0,"",IF(OR(B562="",E562=""),"要入力",IF(F562="","未消込",IF(ISNA(MATCH(F562,請求台帳!$A$5:$A$504,0)),"番号誤り",IF(INDEX(請求台帳!$T$5:$T$504,MATCH(F562,請求台帳!$A$5:$A$504,0))="取消","取消請求へ消込","消込済")))))</f>
        <v/>
      </c>
      <c r="J562" s="28"/>
      <c r="K562" s="28"/>
    </row>
    <row r="563" customFormat="false" ht="15" hidden="false" customHeight="false" outlineLevel="0" collapsed="false">
      <c r="A563" s="32" t="str">
        <f aca="false">IF(COUNTA(B563,D563,E563,F563)=0,"",ROW()-4)</f>
        <v/>
      </c>
      <c r="B563" s="22"/>
      <c r="C563" s="28"/>
      <c r="D563" s="28"/>
      <c r="E563" s="18"/>
      <c r="F563" s="28"/>
      <c r="G563" s="32" t="str">
        <f aca="false">IF(F563="","",IFERROR(INDEX(請求台帳!$D$5:$D$504,MATCH(F563,請求台帳!$A$5:$A$504,0)),""))</f>
        <v/>
      </c>
      <c r="H563" s="26" t="str">
        <f aca="false">IF(F563="","",IFERROR(INDEX(請求台帳!$I$5:$I$504,MATCH(F563,請求台帳!$A$5:$A$504,0)),""))</f>
        <v/>
      </c>
      <c r="I563" s="29" t="str">
        <f aca="false">IF(COUNTA(B563,D563,E563,F563)=0,"",IF(OR(B563="",E563=""),"要入力",IF(F563="","未消込",IF(ISNA(MATCH(F563,請求台帳!$A$5:$A$504,0)),"番号誤り",IF(INDEX(請求台帳!$T$5:$T$504,MATCH(F563,請求台帳!$A$5:$A$504,0))="取消","取消請求へ消込","消込済")))))</f>
        <v/>
      </c>
      <c r="J563" s="28"/>
      <c r="K563" s="28"/>
    </row>
    <row r="564" customFormat="false" ht="15" hidden="false" customHeight="false" outlineLevel="0" collapsed="false">
      <c r="A564" s="32" t="str">
        <f aca="false">IF(COUNTA(B564,D564,E564,F564)=0,"",ROW()-4)</f>
        <v/>
      </c>
      <c r="B564" s="22"/>
      <c r="C564" s="28"/>
      <c r="D564" s="28"/>
      <c r="E564" s="18"/>
      <c r="F564" s="28"/>
      <c r="G564" s="32" t="str">
        <f aca="false">IF(F564="","",IFERROR(INDEX(請求台帳!$D$5:$D$504,MATCH(F564,請求台帳!$A$5:$A$504,0)),""))</f>
        <v/>
      </c>
      <c r="H564" s="26" t="str">
        <f aca="false">IF(F564="","",IFERROR(INDEX(請求台帳!$I$5:$I$504,MATCH(F564,請求台帳!$A$5:$A$504,0)),""))</f>
        <v/>
      </c>
      <c r="I564" s="29" t="str">
        <f aca="false">IF(COUNTA(B564,D564,E564,F564)=0,"",IF(OR(B564="",E564=""),"要入力",IF(F564="","未消込",IF(ISNA(MATCH(F564,請求台帳!$A$5:$A$504,0)),"番号誤り",IF(INDEX(請求台帳!$T$5:$T$504,MATCH(F564,請求台帳!$A$5:$A$504,0))="取消","取消請求へ消込","消込済")))))</f>
        <v/>
      </c>
      <c r="J564" s="28"/>
      <c r="K564" s="28"/>
    </row>
    <row r="565" customFormat="false" ht="15" hidden="false" customHeight="false" outlineLevel="0" collapsed="false">
      <c r="A565" s="32" t="str">
        <f aca="false">IF(COUNTA(B565,D565,E565,F565)=0,"",ROW()-4)</f>
        <v/>
      </c>
      <c r="B565" s="22"/>
      <c r="C565" s="28"/>
      <c r="D565" s="28"/>
      <c r="E565" s="18"/>
      <c r="F565" s="28"/>
      <c r="G565" s="32" t="str">
        <f aca="false">IF(F565="","",IFERROR(INDEX(請求台帳!$D$5:$D$504,MATCH(F565,請求台帳!$A$5:$A$504,0)),""))</f>
        <v/>
      </c>
      <c r="H565" s="26" t="str">
        <f aca="false">IF(F565="","",IFERROR(INDEX(請求台帳!$I$5:$I$504,MATCH(F565,請求台帳!$A$5:$A$504,0)),""))</f>
        <v/>
      </c>
      <c r="I565" s="29" t="str">
        <f aca="false">IF(COUNTA(B565,D565,E565,F565)=0,"",IF(OR(B565="",E565=""),"要入力",IF(F565="","未消込",IF(ISNA(MATCH(F565,請求台帳!$A$5:$A$504,0)),"番号誤り",IF(INDEX(請求台帳!$T$5:$T$504,MATCH(F565,請求台帳!$A$5:$A$504,0))="取消","取消請求へ消込","消込済")))))</f>
        <v/>
      </c>
      <c r="J565" s="28"/>
      <c r="K565" s="28"/>
    </row>
    <row r="566" customFormat="false" ht="15" hidden="false" customHeight="false" outlineLevel="0" collapsed="false">
      <c r="A566" s="32" t="str">
        <f aca="false">IF(COUNTA(B566,D566,E566,F566)=0,"",ROW()-4)</f>
        <v/>
      </c>
      <c r="B566" s="22"/>
      <c r="C566" s="28"/>
      <c r="D566" s="28"/>
      <c r="E566" s="18"/>
      <c r="F566" s="28"/>
      <c r="G566" s="32" t="str">
        <f aca="false">IF(F566="","",IFERROR(INDEX(請求台帳!$D$5:$D$504,MATCH(F566,請求台帳!$A$5:$A$504,0)),""))</f>
        <v/>
      </c>
      <c r="H566" s="26" t="str">
        <f aca="false">IF(F566="","",IFERROR(INDEX(請求台帳!$I$5:$I$504,MATCH(F566,請求台帳!$A$5:$A$504,0)),""))</f>
        <v/>
      </c>
      <c r="I566" s="29" t="str">
        <f aca="false">IF(COUNTA(B566,D566,E566,F566)=0,"",IF(OR(B566="",E566=""),"要入力",IF(F566="","未消込",IF(ISNA(MATCH(F566,請求台帳!$A$5:$A$504,0)),"番号誤り",IF(INDEX(請求台帳!$T$5:$T$504,MATCH(F566,請求台帳!$A$5:$A$504,0))="取消","取消請求へ消込","消込済")))))</f>
        <v/>
      </c>
      <c r="J566" s="28"/>
      <c r="K566" s="28"/>
    </row>
    <row r="567" customFormat="false" ht="15" hidden="false" customHeight="false" outlineLevel="0" collapsed="false">
      <c r="A567" s="32" t="str">
        <f aca="false">IF(COUNTA(B567,D567,E567,F567)=0,"",ROW()-4)</f>
        <v/>
      </c>
      <c r="B567" s="22"/>
      <c r="C567" s="28"/>
      <c r="D567" s="28"/>
      <c r="E567" s="18"/>
      <c r="F567" s="28"/>
      <c r="G567" s="32" t="str">
        <f aca="false">IF(F567="","",IFERROR(INDEX(請求台帳!$D$5:$D$504,MATCH(F567,請求台帳!$A$5:$A$504,0)),""))</f>
        <v/>
      </c>
      <c r="H567" s="26" t="str">
        <f aca="false">IF(F567="","",IFERROR(INDEX(請求台帳!$I$5:$I$504,MATCH(F567,請求台帳!$A$5:$A$504,0)),""))</f>
        <v/>
      </c>
      <c r="I567" s="29" t="str">
        <f aca="false">IF(COUNTA(B567,D567,E567,F567)=0,"",IF(OR(B567="",E567=""),"要入力",IF(F567="","未消込",IF(ISNA(MATCH(F567,請求台帳!$A$5:$A$504,0)),"番号誤り",IF(INDEX(請求台帳!$T$5:$T$504,MATCH(F567,請求台帳!$A$5:$A$504,0))="取消","取消請求へ消込","消込済")))))</f>
        <v/>
      </c>
      <c r="J567" s="28"/>
      <c r="K567" s="28"/>
    </row>
    <row r="568" customFormat="false" ht="15" hidden="false" customHeight="false" outlineLevel="0" collapsed="false">
      <c r="A568" s="32" t="str">
        <f aca="false">IF(COUNTA(B568,D568,E568,F568)=0,"",ROW()-4)</f>
        <v/>
      </c>
      <c r="B568" s="22"/>
      <c r="C568" s="28"/>
      <c r="D568" s="28"/>
      <c r="E568" s="18"/>
      <c r="F568" s="28"/>
      <c r="G568" s="32" t="str">
        <f aca="false">IF(F568="","",IFERROR(INDEX(請求台帳!$D$5:$D$504,MATCH(F568,請求台帳!$A$5:$A$504,0)),""))</f>
        <v/>
      </c>
      <c r="H568" s="26" t="str">
        <f aca="false">IF(F568="","",IFERROR(INDEX(請求台帳!$I$5:$I$504,MATCH(F568,請求台帳!$A$5:$A$504,0)),""))</f>
        <v/>
      </c>
      <c r="I568" s="29" t="str">
        <f aca="false">IF(COUNTA(B568,D568,E568,F568)=0,"",IF(OR(B568="",E568=""),"要入力",IF(F568="","未消込",IF(ISNA(MATCH(F568,請求台帳!$A$5:$A$504,0)),"番号誤り",IF(INDEX(請求台帳!$T$5:$T$504,MATCH(F568,請求台帳!$A$5:$A$504,0))="取消","取消請求へ消込","消込済")))))</f>
        <v/>
      </c>
      <c r="J568" s="28"/>
      <c r="K568" s="28"/>
    </row>
    <row r="569" customFormat="false" ht="15" hidden="false" customHeight="false" outlineLevel="0" collapsed="false">
      <c r="A569" s="32" t="str">
        <f aca="false">IF(COUNTA(B569,D569,E569,F569)=0,"",ROW()-4)</f>
        <v/>
      </c>
      <c r="B569" s="22"/>
      <c r="C569" s="28"/>
      <c r="D569" s="28"/>
      <c r="E569" s="18"/>
      <c r="F569" s="28"/>
      <c r="G569" s="32" t="str">
        <f aca="false">IF(F569="","",IFERROR(INDEX(請求台帳!$D$5:$D$504,MATCH(F569,請求台帳!$A$5:$A$504,0)),""))</f>
        <v/>
      </c>
      <c r="H569" s="26" t="str">
        <f aca="false">IF(F569="","",IFERROR(INDEX(請求台帳!$I$5:$I$504,MATCH(F569,請求台帳!$A$5:$A$504,0)),""))</f>
        <v/>
      </c>
      <c r="I569" s="29" t="str">
        <f aca="false">IF(COUNTA(B569,D569,E569,F569)=0,"",IF(OR(B569="",E569=""),"要入力",IF(F569="","未消込",IF(ISNA(MATCH(F569,請求台帳!$A$5:$A$504,0)),"番号誤り",IF(INDEX(請求台帳!$T$5:$T$504,MATCH(F569,請求台帳!$A$5:$A$504,0))="取消","取消請求へ消込","消込済")))))</f>
        <v/>
      </c>
      <c r="J569" s="28"/>
      <c r="K569" s="28"/>
    </row>
    <row r="570" customFormat="false" ht="15" hidden="false" customHeight="false" outlineLevel="0" collapsed="false">
      <c r="A570" s="32" t="str">
        <f aca="false">IF(COUNTA(B570,D570,E570,F570)=0,"",ROW()-4)</f>
        <v/>
      </c>
      <c r="B570" s="22"/>
      <c r="C570" s="28"/>
      <c r="D570" s="28"/>
      <c r="E570" s="18"/>
      <c r="F570" s="28"/>
      <c r="G570" s="32" t="str">
        <f aca="false">IF(F570="","",IFERROR(INDEX(請求台帳!$D$5:$D$504,MATCH(F570,請求台帳!$A$5:$A$504,0)),""))</f>
        <v/>
      </c>
      <c r="H570" s="26" t="str">
        <f aca="false">IF(F570="","",IFERROR(INDEX(請求台帳!$I$5:$I$504,MATCH(F570,請求台帳!$A$5:$A$504,0)),""))</f>
        <v/>
      </c>
      <c r="I570" s="29" t="str">
        <f aca="false">IF(COUNTA(B570,D570,E570,F570)=0,"",IF(OR(B570="",E570=""),"要入力",IF(F570="","未消込",IF(ISNA(MATCH(F570,請求台帳!$A$5:$A$504,0)),"番号誤り",IF(INDEX(請求台帳!$T$5:$T$504,MATCH(F570,請求台帳!$A$5:$A$504,0))="取消","取消請求へ消込","消込済")))))</f>
        <v/>
      </c>
      <c r="J570" s="28"/>
      <c r="K570" s="28"/>
    </row>
    <row r="571" customFormat="false" ht="15" hidden="false" customHeight="false" outlineLevel="0" collapsed="false">
      <c r="A571" s="32" t="str">
        <f aca="false">IF(COUNTA(B571,D571,E571,F571)=0,"",ROW()-4)</f>
        <v/>
      </c>
      <c r="B571" s="22"/>
      <c r="C571" s="28"/>
      <c r="D571" s="28"/>
      <c r="E571" s="18"/>
      <c r="F571" s="28"/>
      <c r="G571" s="32" t="str">
        <f aca="false">IF(F571="","",IFERROR(INDEX(請求台帳!$D$5:$D$504,MATCH(F571,請求台帳!$A$5:$A$504,0)),""))</f>
        <v/>
      </c>
      <c r="H571" s="26" t="str">
        <f aca="false">IF(F571="","",IFERROR(INDEX(請求台帳!$I$5:$I$504,MATCH(F571,請求台帳!$A$5:$A$504,0)),""))</f>
        <v/>
      </c>
      <c r="I571" s="29" t="str">
        <f aca="false">IF(COUNTA(B571,D571,E571,F571)=0,"",IF(OR(B571="",E571=""),"要入力",IF(F571="","未消込",IF(ISNA(MATCH(F571,請求台帳!$A$5:$A$504,0)),"番号誤り",IF(INDEX(請求台帳!$T$5:$T$504,MATCH(F571,請求台帳!$A$5:$A$504,0))="取消","取消請求へ消込","消込済")))))</f>
        <v/>
      </c>
      <c r="J571" s="28"/>
      <c r="K571" s="28"/>
    </row>
    <row r="572" customFormat="false" ht="15" hidden="false" customHeight="false" outlineLevel="0" collapsed="false">
      <c r="A572" s="32" t="str">
        <f aca="false">IF(COUNTA(B572,D572,E572,F572)=0,"",ROW()-4)</f>
        <v/>
      </c>
      <c r="B572" s="22"/>
      <c r="C572" s="28"/>
      <c r="D572" s="28"/>
      <c r="E572" s="18"/>
      <c r="F572" s="28"/>
      <c r="G572" s="32" t="str">
        <f aca="false">IF(F572="","",IFERROR(INDEX(請求台帳!$D$5:$D$504,MATCH(F572,請求台帳!$A$5:$A$504,0)),""))</f>
        <v/>
      </c>
      <c r="H572" s="26" t="str">
        <f aca="false">IF(F572="","",IFERROR(INDEX(請求台帳!$I$5:$I$504,MATCH(F572,請求台帳!$A$5:$A$504,0)),""))</f>
        <v/>
      </c>
      <c r="I572" s="29" t="str">
        <f aca="false">IF(COUNTA(B572,D572,E572,F572)=0,"",IF(OR(B572="",E572=""),"要入力",IF(F572="","未消込",IF(ISNA(MATCH(F572,請求台帳!$A$5:$A$504,0)),"番号誤り",IF(INDEX(請求台帳!$T$5:$T$504,MATCH(F572,請求台帳!$A$5:$A$504,0))="取消","取消請求へ消込","消込済")))))</f>
        <v/>
      </c>
      <c r="J572" s="28"/>
      <c r="K572" s="28"/>
    </row>
    <row r="573" customFormat="false" ht="15" hidden="false" customHeight="false" outlineLevel="0" collapsed="false">
      <c r="A573" s="32" t="str">
        <f aca="false">IF(COUNTA(B573,D573,E573,F573)=0,"",ROW()-4)</f>
        <v/>
      </c>
      <c r="B573" s="22"/>
      <c r="C573" s="28"/>
      <c r="D573" s="28"/>
      <c r="E573" s="18"/>
      <c r="F573" s="28"/>
      <c r="G573" s="32" t="str">
        <f aca="false">IF(F573="","",IFERROR(INDEX(請求台帳!$D$5:$D$504,MATCH(F573,請求台帳!$A$5:$A$504,0)),""))</f>
        <v/>
      </c>
      <c r="H573" s="26" t="str">
        <f aca="false">IF(F573="","",IFERROR(INDEX(請求台帳!$I$5:$I$504,MATCH(F573,請求台帳!$A$5:$A$504,0)),""))</f>
        <v/>
      </c>
      <c r="I573" s="29" t="str">
        <f aca="false">IF(COUNTA(B573,D573,E573,F573)=0,"",IF(OR(B573="",E573=""),"要入力",IF(F573="","未消込",IF(ISNA(MATCH(F573,請求台帳!$A$5:$A$504,0)),"番号誤り",IF(INDEX(請求台帳!$T$5:$T$504,MATCH(F573,請求台帳!$A$5:$A$504,0))="取消","取消請求へ消込","消込済")))))</f>
        <v/>
      </c>
      <c r="J573" s="28"/>
      <c r="K573" s="28"/>
    </row>
    <row r="574" customFormat="false" ht="15" hidden="false" customHeight="false" outlineLevel="0" collapsed="false">
      <c r="A574" s="32" t="str">
        <f aca="false">IF(COUNTA(B574,D574,E574,F574)=0,"",ROW()-4)</f>
        <v/>
      </c>
      <c r="B574" s="22"/>
      <c r="C574" s="28"/>
      <c r="D574" s="28"/>
      <c r="E574" s="18"/>
      <c r="F574" s="28"/>
      <c r="G574" s="32" t="str">
        <f aca="false">IF(F574="","",IFERROR(INDEX(請求台帳!$D$5:$D$504,MATCH(F574,請求台帳!$A$5:$A$504,0)),""))</f>
        <v/>
      </c>
      <c r="H574" s="26" t="str">
        <f aca="false">IF(F574="","",IFERROR(INDEX(請求台帳!$I$5:$I$504,MATCH(F574,請求台帳!$A$5:$A$504,0)),""))</f>
        <v/>
      </c>
      <c r="I574" s="29" t="str">
        <f aca="false">IF(COUNTA(B574,D574,E574,F574)=0,"",IF(OR(B574="",E574=""),"要入力",IF(F574="","未消込",IF(ISNA(MATCH(F574,請求台帳!$A$5:$A$504,0)),"番号誤り",IF(INDEX(請求台帳!$T$5:$T$504,MATCH(F574,請求台帳!$A$5:$A$504,0))="取消","取消請求へ消込","消込済")))))</f>
        <v/>
      </c>
      <c r="J574" s="28"/>
      <c r="K574" s="28"/>
    </row>
    <row r="575" customFormat="false" ht="15" hidden="false" customHeight="false" outlineLevel="0" collapsed="false">
      <c r="A575" s="32" t="str">
        <f aca="false">IF(COUNTA(B575,D575,E575,F575)=0,"",ROW()-4)</f>
        <v/>
      </c>
      <c r="B575" s="22"/>
      <c r="C575" s="28"/>
      <c r="D575" s="28"/>
      <c r="E575" s="18"/>
      <c r="F575" s="28"/>
      <c r="G575" s="32" t="str">
        <f aca="false">IF(F575="","",IFERROR(INDEX(請求台帳!$D$5:$D$504,MATCH(F575,請求台帳!$A$5:$A$504,0)),""))</f>
        <v/>
      </c>
      <c r="H575" s="26" t="str">
        <f aca="false">IF(F575="","",IFERROR(INDEX(請求台帳!$I$5:$I$504,MATCH(F575,請求台帳!$A$5:$A$504,0)),""))</f>
        <v/>
      </c>
      <c r="I575" s="29" t="str">
        <f aca="false">IF(COUNTA(B575,D575,E575,F575)=0,"",IF(OR(B575="",E575=""),"要入力",IF(F575="","未消込",IF(ISNA(MATCH(F575,請求台帳!$A$5:$A$504,0)),"番号誤り",IF(INDEX(請求台帳!$T$5:$T$504,MATCH(F575,請求台帳!$A$5:$A$504,0))="取消","取消請求へ消込","消込済")))))</f>
        <v/>
      </c>
      <c r="J575" s="28"/>
      <c r="K575" s="28"/>
    </row>
    <row r="576" customFormat="false" ht="15" hidden="false" customHeight="false" outlineLevel="0" collapsed="false">
      <c r="A576" s="32" t="str">
        <f aca="false">IF(COUNTA(B576,D576,E576,F576)=0,"",ROW()-4)</f>
        <v/>
      </c>
      <c r="B576" s="22"/>
      <c r="C576" s="28"/>
      <c r="D576" s="28"/>
      <c r="E576" s="18"/>
      <c r="F576" s="28"/>
      <c r="G576" s="32" t="str">
        <f aca="false">IF(F576="","",IFERROR(INDEX(請求台帳!$D$5:$D$504,MATCH(F576,請求台帳!$A$5:$A$504,0)),""))</f>
        <v/>
      </c>
      <c r="H576" s="26" t="str">
        <f aca="false">IF(F576="","",IFERROR(INDEX(請求台帳!$I$5:$I$504,MATCH(F576,請求台帳!$A$5:$A$504,0)),""))</f>
        <v/>
      </c>
      <c r="I576" s="29" t="str">
        <f aca="false">IF(COUNTA(B576,D576,E576,F576)=0,"",IF(OR(B576="",E576=""),"要入力",IF(F576="","未消込",IF(ISNA(MATCH(F576,請求台帳!$A$5:$A$504,0)),"番号誤り",IF(INDEX(請求台帳!$T$5:$T$504,MATCH(F576,請求台帳!$A$5:$A$504,0))="取消","取消請求へ消込","消込済")))))</f>
        <v/>
      </c>
      <c r="J576" s="28"/>
      <c r="K576" s="28"/>
    </row>
    <row r="577" customFormat="false" ht="15" hidden="false" customHeight="false" outlineLevel="0" collapsed="false">
      <c r="A577" s="32" t="str">
        <f aca="false">IF(COUNTA(B577,D577,E577,F577)=0,"",ROW()-4)</f>
        <v/>
      </c>
      <c r="B577" s="22"/>
      <c r="C577" s="28"/>
      <c r="D577" s="28"/>
      <c r="E577" s="18"/>
      <c r="F577" s="28"/>
      <c r="G577" s="32" t="str">
        <f aca="false">IF(F577="","",IFERROR(INDEX(請求台帳!$D$5:$D$504,MATCH(F577,請求台帳!$A$5:$A$504,0)),""))</f>
        <v/>
      </c>
      <c r="H577" s="26" t="str">
        <f aca="false">IF(F577="","",IFERROR(INDEX(請求台帳!$I$5:$I$504,MATCH(F577,請求台帳!$A$5:$A$504,0)),""))</f>
        <v/>
      </c>
      <c r="I577" s="29" t="str">
        <f aca="false">IF(COUNTA(B577,D577,E577,F577)=0,"",IF(OR(B577="",E577=""),"要入力",IF(F577="","未消込",IF(ISNA(MATCH(F577,請求台帳!$A$5:$A$504,0)),"番号誤り",IF(INDEX(請求台帳!$T$5:$T$504,MATCH(F577,請求台帳!$A$5:$A$504,0))="取消","取消請求へ消込","消込済")))))</f>
        <v/>
      </c>
      <c r="J577" s="28"/>
      <c r="K577" s="28"/>
    </row>
    <row r="578" customFormat="false" ht="15" hidden="false" customHeight="false" outlineLevel="0" collapsed="false">
      <c r="A578" s="32" t="str">
        <f aca="false">IF(COUNTA(B578,D578,E578,F578)=0,"",ROW()-4)</f>
        <v/>
      </c>
      <c r="B578" s="22"/>
      <c r="C578" s="28"/>
      <c r="D578" s="28"/>
      <c r="E578" s="18"/>
      <c r="F578" s="28"/>
      <c r="G578" s="32" t="str">
        <f aca="false">IF(F578="","",IFERROR(INDEX(請求台帳!$D$5:$D$504,MATCH(F578,請求台帳!$A$5:$A$504,0)),""))</f>
        <v/>
      </c>
      <c r="H578" s="26" t="str">
        <f aca="false">IF(F578="","",IFERROR(INDEX(請求台帳!$I$5:$I$504,MATCH(F578,請求台帳!$A$5:$A$504,0)),""))</f>
        <v/>
      </c>
      <c r="I578" s="29" t="str">
        <f aca="false">IF(COUNTA(B578,D578,E578,F578)=0,"",IF(OR(B578="",E578=""),"要入力",IF(F578="","未消込",IF(ISNA(MATCH(F578,請求台帳!$A$5:$A$504,0)),"番号誤り",IF(INDEX(請求台帳!$T$5:$T$504,MATCH(F578,請求台帳!$A$5:$A$504,0))="取消","取消請求へ消込","消込済")))))</f>
        <v/>
      </c>
      <c r="J578" s="28"/>
      <c r="K578" s="28"/>
    </row>
    <row r="579" customFormat="false" ht="15" hidden="false" customHeight="false" outlineLevel="0" collapsed="false">
      <c r="A579" s="32" t="str">
        <f aca="false">IF(COUNTA(B579,D579,E579,F579)=0,"",ROW()-4)</f>
        <v/>
      </c>
      <c r="B579" s="22"/>
      <c r="C579" s="28"/>
      <c r="D579" s="28"/>
      <c r="E579" s="18"/>
      <c r="F579" s="28"/>
      <c r="G579" s="32" t="str">
        <f aca="false">IF(F579="","",IFERROR(INDEX(請求台帳!$D$5:$D$504,MATCH(F579,請求台帳!$A$5:$A$504,0)),""))</f>
        <v/>
      </c>
      <c r="H579" s="26" t="str">
        <f aca="false">IF(F579="","",IFERROR(INDEX(請求台帳!$I$5:$I$504,MATCH(F579,請求台帳!$A$5:$A$504,0)),""))</f>
        <v/>
      </c>
      <c r="I579" s="29" t="str">
        <f aca="false">IF(COUNTA(B579,D579,E579,F579)=0,"",IF(OR(B579="",E579=""),"要入力",IF(F579="","未消込",IF(ISNA(MATCH(F579,請求台帳!$A$5:$A$504,0)),"番号誤り",IF(INDEX(請求台帳!$T$5:$T$504,MATCH(F579,請求台帳!$A$5:$A$504,0))="取消","取消請求へ消込","消込済")))))</f>
        <v/>
      </c>
      <c r="J579" s="28"/>
      <c r="K579" s="28"/>
    </row>
    <row r="580" customFormat="false" ht="15" hidden="false" customHeight="false" outlineLevel="0" collapsed="false">
      <c r="A580" s="32" t="str">
        <f aca="false">IF(COUNTA(B580,D580,E580,F580)=0,"",ROW()-4)</f>
        <v/>
      </c>
      <c r="B580" s="22"/>
      <c r="C580" s="28"/>
      <c r="D580" s="28"/>
      <c r="E580" s="18"/>
      <c r="F580" s="28"/>
      <c r="G580" s="32" t="str">
        <f aca="false">IF(F580="","",IFERROR(INDEX(請求台帳!$D$5:$D$504,MATCH(F580,請求台帳!$A$5:$A$504,0)),""))</f>
        <v/>
      </c>
      <c r="H580" s="26" t="str">
        <f aca="false">IF(F580="","",IFERROR(INDEX(請求台帳!$I$5:$I$504,MATCH(F580,請求台帳!$A$5:$A$504,0)),""))</f>
        <v/>
      </c>
      <c r="I580" s="29" t="str">
        <f aca="false">IF(COUNTA(B580,D580,E580,F580)=0,"",IF(OR(B580="",E580=""),"要入力",IF(F580="","未消込",IF(ISNA(MATCH(F580,請求台帳!$A$5:$A$504,0)),"番号誤り",IF(INDEX(請求台帳!$T$5:$T$504,MATCH(F580,請求台帳!$A$5:$A$504,0))="取消","取消請求へ消込","消込済")))))</f>
        <v/>
      </c>
      <c r="J580" s="28"/>
      <c r="K580" s="28"/>
    </row>
    <row r="581" customFormat="false" ht="15" hidden="false" customHeight="false" outlineLevel="0" collapsed="false">
      <c r="A581" s="32" t="str">
        <f aca="false">IF(COUNTA(B581,D581,E581,F581)=0,"",ROW()-4)</f>
        <v/>
      </c>
      <c r="B581" s="22"/>
      <c r="C581" s="28"/>
      <c r="D581" s="28"/>
      <c r="E581" s="18"/>
      <c r="F581" s="28"/>
      <c r="G581" s="32" t="str">
        <f aca="false">IF(F581="","",IFERROR(INDEX(請求台帳!$D$5:$D$504,MATCH(F581,請求台帳!$A$5:$A$504,0)),""))</f>
        <v/>
      </c>
      <c r="H581" s="26" t="str">
        <f aca="false">IF(F581="","",IFERROR(INDEX(請求台帳!$I$5:$I$504,MATCH(F581,請求台帳!$A$5:$A$504,0)),""))</f>
        <v/>
      </c>
      <c r="I581" s="29" t="str">
        <f aca="false">IF(COUNTA(B581,D581,E581,F581)=0,"",IF(OR(B581="",E581=""),"要入力",IF(F581="","未消込",IF(ISNA(MATCH(F581,請求台帳!$A$5:$A$504,0)),"番号誤り",IF(INDEX(請求台帳!$T$5:$T$504,MATCH(F581,請求台帳!$A$5:$A$504,0))="取消","取消請求へ消込","消込済")))))</f>
        <v/>
      </c>
      <c r="J581" s="28"/>
      <c r="K581" s="28"/>
    </row>
    <row r="582" customFormat="false" ht="15" hidden="false" customHeight="false" outlineLevel="0" collapsed="false">
      <c r="A582" s="32" t="str">
        <f aca="false">IF(COUNTA(B582,D582,E582,F582)=0,"",ROW()-4)</f>
        <v/>
      </c>
      <c r="B582" s="22"/>
      <c r="C582" s="28"/>
      <c r="D582" s="28"/>
      <c r="E582" s="18"/>
      <c r="F582" s="28"/>
      <c r="G582" s="32" t="str">
        <f aca="false">IF(F582="","",IFERROR(INDEX(請求台帳!$D$5:$D$504,MATCH(F582,請求台帳!$A$5:$A$504,0)),""))</f>
        <v/>
      </c>
      <c r="H582" s="26" t="str">
        <f aca="false">IF(F582="","",IFERROR(INDEX(請求台帳!$I$5:$I$504,MATCH(F582,請求台帳!$A$5:$A$504,0)),""))</f>
        <v/>
      </c>
      <c r="I582" s="29" t="str">
        <f aca="false">IF(COUNTA(B582,D582,E582,F582)=0,"",IF(OR(B582="",E582=""),"要入力",IF(F582="","未消込",IF(ISNA(MATCH(F582,請求台帳!$A$5:$A$504,0)),"番号誤り",IF(INDEX(請求台帳!$T$5:$T$504,MATCH(F582,請求台帳!$A$5:$A$504,0))="取消","取消請求へ消込","消込済")))))</f>
        <v/>
      </c>
      <c r="J582" s="28"/>
      <c r="K582" s="28"/>
    </row>
    <row r="583" customFormat="false" ht="15" hidden="false" customHeight="false" outlineLevel="0" collapsed="false">
      <c r="A583" s="32" t="str">
        <f aca="false">IF(COUNTA(B583,D583,E583,F583)=0,"",ROW()-4)</f>
        <v/>
      </c>
      <c r="B583" s="22"/>
      <c r="C583" s="28"/>
      <c r="D583" s="28"/>
      <c r="E583" s="18"/>
      <c r="F583" s="28"/>
      <c r="G583" s="32" t="str">
        <f aca="false">IF(F583="","",IFERROR(INDEX(請求台帳!$D$5:$D$504,MATCH(F583,請求台帳!$A$5:$A$504,0)),""))</f>
        <v/>
      </c>
      <c r="H583" s="26" t="str">
        <f aca="false">IF(F583="","",IFERROR(INDEX(請求台帳!$I$5:$I$504,MATCH(F583,請求台帳!$A$5:$A$504,0)),""))</f>
        <v/>
      </c>
      <c r="I583" s="29" t="str">
        <f aca="false">IF(COUNTA(B583,D583,E583,F583)=0,"",IF(OR(B583="",E583=""),"要入力",IF(F583="","未消込",IF(ISNA(MATCH(F583,請求台帳!$A$5:$A$504,0)),"番号誤り",IF(INDEX(請求台帳!$T$5:$T$504,MATCH(F583,請求台帳!$A$5:$A$504,0))="取消","取消請求へ消込","消込済")))))</f>
        <v/>
      </c>
      <c r="J583" s="28"/>
      <c r="K583" s="28"/>
    </row>
    <row r="584" customFormat="false" ht="15" hidden="false" customHeight="false" outlineLevel="0" collapsed="false">
      <c r="A584" s="32" t="str">
        <f aca="false">IF(COUNTA(B584,D584,E584,F584)=0,"",ROW()-4)</f>
        <v/>
      </c>
      <c r="B584" s="22"/>
      <c r="C584" s="28"/>
      <c r="D584" s="28"/>
      <c r="E584" s="18"/>
      <c r="F584" s="28"/>
      <c r="G584" s="32" t="str">
        <f aca="false">IF(F584="","",IFERROR(INDEX(請求台帳!$D$5:$D$504,MATCH(F584,請求台帳!$A$5:$A$504,0)),""))</f>
        <v/>
      </c>
      <c r="H584" s="26" t="str">
        <f aca="false">IF(F584="","",IFERROR(INDEX(請求台帳!$I$5:$I$504,MATCH(F584,請求台帳!$A$5:$A$504,0)),""))</f>
        <v/>
      </c>
      <c r="I584" s="29" t="str">
        <f aca="false">IF(COUNTA(B584,D584,E584,F584)=0,"",IF(OR(B584="",E584=""),"要入力",IF(F584="","未消込",IF(ISNA(MATCH(F584,請求台帳!$A$5:$A$504,0)),"番号誤り",IF(INDEX(請求台帳!$T$5:$T$504,MATCH(F584,請求台帳!$A$5:$A$504,0))="取消","取消請求へ消込","消込済")))))</f>
        <v/>
      </c>
      <c r="J584" s="28"/>
      <c r="K584" s="28"/>
    </row>
    <row r="585" customFormat="false" ht="15" hidden="false" customHeight="false" outlineLevel="0" collapsed="false">
      <c r="A585" s="32" t="str">
        <f aca="false">IF(COUNTA(B585,D585,E585,F585)=0,"",ROW()-4)</f>
        <v/>
      </c>
      <c r="B585" s="22"/>
      <c r="C585" s="28"/>
      <c r="D585" s="28"/>
      <c r="E585" s="18"/>
      <c r="F585" s="28"/>
      <c r="G585" s="32" t="str">
        <f aca="false">IF(F585="","",IFERROR(INDEX(請求台帳!$D$5:$D$504,MATCH(F585,請求台帳!$A$5:$A$504,0)),""))</f>
        <v/>
      </c>
      <c r="H585" s="26" t="str">
        <f aca="false">IF(F585="","",IFERROR(INDEX(請求台帳!$I$5:$I$504,MATCH(F585,請求台帳!$A$5:$A$504,0)),""))</f>
        <v/>
      </c>
      <c r="I585" s="29" t="str">
        <f aca="false">IF(COUNTA(B585,D585,E585,F585)=0,"",IF(OR(B585="",E585=""),"要入力",IF(F585="","未消込",IF(ISNA(MATCH(F585,請求台帳!$A$5:$A$504,0)),"番号誤り",IF(INDEX(請求台帳!$T$5:$T$504,MATCH(F585,請求台帳!$A$5:$A$504,0))="取消","取消請求へ消込","消込済")))))</f>
        <v/>
      </c>
      <c r="J585" s="28"/>
      <c r="K585" s="28"/>
    </row>
    <row r="586" customFormat="false" ht="15" hidden="false" customHeight="false" outlineLevel="0" collapsed="false">
      <c r="A586" s="32" t="str">
        <f aca="false">IF(COUNTA(B586,D586,E586,F586)=0,"",ROW()-4)</f>
        <v/>
      </c>
      <c r="B586" s="22"/>
      <c r="C586" s="28"/>
      <c r="D586" s="28"/>
      <c r="E586" s="18"/>
      <c r="F586" s="28"/>
      <c r="G586" s="32" t="str">
        <f aca="false">IF(F586="","",IFERROR(INDEX(請求台帳!$D$5:$D$504,MATCH(F586,請求台帳!$A$5:$A$504,0)),""))</f>
        <v/>
      </c>
      <c r="H586" s="26" t="str">
        <f aca="false">IF(F586="","",IFERROR(INDEX(請求台帳!$I$5:$I$504,MATCH(F586,請求台帳!$A$5:$A$504,0)),""))</f>
        <v/>
      </c>
      <c r="I586" s="29" t="str">
        <f aca="false">IF(COUNTA(B586,D586,E586,F586)=0,"",IF(OR(B586="",E586=""),"要入力",IF(F586="","未消込",IF(ISNA(MATCH(F586,請求台帳!$A$5:$A$504,0)),"番号誤り",IF(INDEX(請求台帳!$T$5:$T$504,MATCH(F586,請求台帳!$A$5:$A$504,0))="取消","取消請求へ消込","消込済")))))</f>
        <v/>
      </c>
      <c r="J586" s="28"/>
      <c r="K586" s="28"/>
    </row>
    <row r="587" customFormat="false" ht="15" hidden="false" customHeight="false" outlineLevel="0" collapsed="false">
      <c r="A587" s="32" t="str">
        <f aca="false">IF(COUNTA(B587,D587,E587,F587)=0,"",ROW()-4)</f>
        <v/>
      </c>
      <c r="B587" s="22"/>
      <c r="C587" s="28"/>
      <c r="D587" s="28"/>
      <c r="E587" s="18"/>
      <c r="F587" s="28"/>
      <c r="G587" s="32" t="str">
        <f aca="false">IF(F587="","",IFERROR(INDEX(請求台帳!$D$5:$D$504,MATCH(F587,請求台帳!$A$5:$A$504,0)),""))</f>
        <v/>
      </c>
      <c r="H587" s="26" t="str">
        <f aca="false">IF(F587="","",IFERROR(INDEX(請求台帳!$I$5:$I$504,MATCH(F587,請求台帳!$A$5:$A$504,0)),""))</f>
        <v/>
      </c>
      <c r="I587" s="29" t="str">
        <f aca="false">IF(COUNTA(B587,D587,E587,F587)=0,"",IF(OR(B587="",E587=""),"要入力",IF(F587="","未消込",IF(ISNA(MATCH(F587,請求台帳!$A$5:$A$504,0)),"番号誤り",IF(INDEX(請求台帳!$T$5:$T$504,MATCH(F587,請求台帳!$A$5:$A$504,0))="取消","取消請求へ消込","消込済")))))</f>
        <v/>
      </c>
      <c r="J587" s="28"/>
      <c r="K587" s="28"/>
    </row>
    <row r="588" customFormat="false" ht="15" hidden="false" customHeight="false" outlineLevel="0" collapsed="false">
      <c r="A588" s="32" t="str">
        <f aca="false">IF(COUNTA(B588,D588,E588,F588)=0,"",ROW()-4)</f>
        <v/>
      </c>
      <c r="B588" s="22"/>
      <c r="C588" s="28"/>
      <c r="D588" s="28"/>
      <c r="E588" s="18"/>
      <c r="F588" s="28"/>
      <c r="G588" s="32" t="str">
        <f aca="false">IF(F588="","",IFERROR(INDEX(請求台帳!$D$5:$D$504,MATCH(F588,請求台帳!$A$5:$A$504,0)),""))</f>
        <v/>
      </c>
      <c r="H588" s="26" t="str">
        <f aca="false">IF(F588="","",IFERROR(INDEX(請求台帳!$I$5:$I$504,MATCH(F588,請求台帳!$A$5:$A$504,0)),""))</f>
        <v/>
      </c>
      <c r="I588" s="29" t="str">
        <f aca="false">IF(COUNTA(B588,D588,E588,F588)=0,"",IF(OR(B588="",E588=""),"要入力",IF(F588="","未消込",IF(ISNA(MATCH(F588,請求台帳!$A$5:$A$504,0)),"番号誤り",IF(INDEX(請求台帳!$T$5:$T$504,MATCH(F588,請求台帳!$A$5:$A$504,0))="取消","取消請求へ消込","消込済")))))</f>
        <v/>
      </c>
      <c r="J588" s="28"/>
      <c r="K588" s="28"/>
    </row>
    <row r="589" customFormat="false" ht="15" hidden="false" customHeight="false" outlineLevel="0" collapsed="false">
      <c r="A589" s="32" t="str">
        <f aca="false">IF(COUNTA(B589,D589,E589,F589)=0,"",ROW()-4)</f>
        <v/>
      </c>
      <c r="B589" s="22"/>
      <c r="C589" s="28"/>
      <c r="D589" s="28"/>
      <c r="E589" s="18"/>
      <c r="F589" s="28"/>
      <c r="G589" s="32" t="str">
        <f aca="false">IF(F589="","",IFERROR(INDEX(請求台帳!$D$5:$D$504,MATCH(F589,請求台帳!$A$5:$A$504,0)),""))</f>
        <v/>
      </c>
      <c r="H589" s="26" t="str">
        <f aca="false">IF(F589="","",IFERROR(INDEX(請求台帳!$I$5:$I$504,MATCH(F589,請求台帳!$A$5:$A$504,0)),""))</f>
        <v/>
      </c>
      <c r="I589" s="29" t="str">
        <f aca="false">IF(COUNTA(B589,D589,E589,F589)=0,"",IF(OR(B589="",E589=""),"要入力",IF(F589="","未消込",IF(ISNA(MATCH(F589,請求台帳!$A$5:$A$504,0)),"番号誤り",IF(INDEX(請求台帳!$T$5:$T$504,MATCH(F589,請求台帳!$A$5:$A$504,0))="取消","取消請求へ消込","消込済")))))</f>
        <v/>
      </c>
      <c r="J589" s="28"/>
      <c r="K589" s="28"/>
    </row>
    <row r="590" customFormat="false" ht="15" hidden="false" customHeight="false" outlineLevel="0" collapsed="false">
      <c r="A590" s="32" t="str">
        <f aca="false">IF(COUNTA(B590,D590,E590,F590)=0,"",ROW()-4)</f>
        <v/>
      </c>
      <c r="B590" s="22"/>
      <c r="C590" s="28"/>
      <c r="D590" s="28"/>
      <c r="E590" s="18"/>
      <c r="F590" s="28"/>
      <c r="G590" s="32" t="str">
        <f aca="false">IF(F590="","",IFERROR(INDEX(請求台帳!$D$5:$D$504,MATCH(F590,請求台帳!$A$5:$A$504,0)),""))</f>
        <v/>
      </c>
      <c r="H590" s="26" t="str">
        <f aca="false">IF(F590="","",IFERROR(INDEX(請求台帳!$I$5:$I$504,MATCH(F590,請求台帳!$A$5:$A$504,0)),""))</f>
        <v/>
      </c>
      <c r="I590" s="29" t="str">
        <f aca="false">IF(COUNTA(B590,D590,E590,F590)=0,"",IF(OR(B590="",E590=""),"要入力",IF(F590="","未消込",IF(ISNA(MATCH(F590,請求台帳!$A$5:$A$504,0)),"番号誤り",IF(INDEX(請求台帳!$T$5:$T$504,MATCH(F590,請求台帳!$A$5:$A$504,0))="取消","取消請求へ消込","消込済")))))</f>
        <v/>
      </c>
      <c r="J590" s="28"/>
      <c r="K590" s="28"/>
    </row>
    <row r="591" customFormat="false" ht="15" hidden="false" customHeight="false" outlineLevel="0" collapsed="false">
      <c r="A591" s="32" t="str">
        <f aca="false">IF(COUNTA(B591,D591,E591,F591)=0,"",ROW()-4)</f>
        <v/>
      </c>
      <c r="B591" s="22"/>
      <c r="C591" s="28"/>
      <c r="D591" s="28"/>
      <c r="E591" s="18"/>
      <c r="F591" s="28"/>
      <c r="G591" s="32" t="str">
        <f aca="false">IF(F591="","",IFERROR(INDEX(請求台帳!$D$5:$D$504,MATCH(F591,請求台帳!$A$5:$A$504,0)),""))</f>
        <v/>
      </c>
      <c r="H591" s="26" t="str">
        <f aca="false">IF(F591="","",IFERROR(INDEX(請求台帳!$I$5:$I$504,MATCH(F591,請求台帳!$A$5:$A$504,0)),""))</f>
        <v/>
      </c>
      <c r="I591" s="29" t="str">
        <f aca="false">IF(COUNTA(B591,D591,E591,F591)=0,"",IF(OR(B591="",E591=""),"要入力",IF(F591="","未消込",IF(ISNA(MATCH(F591,請求台帳!$A$5:$A$504,0)),"番号誤り",IF(INDEX(請求台帳!$T$5:$T$504,MATCH(F591,請求台帳!$A$5:$A$504,0))="取消","取消請求へ消込","消込済")))))</f>
        <v/>
      </c>
      <c r="J591" s="28"/>
      <c r="K591" s="28"/>
    </row>
    <row r="592" customFormat="false" ht="15" hidden="false" customHeight="false" outlineLevel="0" collapsed="false">
      <c r="A592" s="32" t="str">
        <f aca="false">IF(COUNTA(B592,D592,E592,F592)=0,"",ROW()-4)</f>
        <v/>
      </c>
      <c r="B592" s="22"/>
      <c r="C592" s="28"/>
      <c r="D592" s="28"/>
      <c r="E592" s="18"/>
      <c r="F592" s="28"/>
      <c r="G592" s="32" t="str">
        <f aca="false">IF(F592="","",IFERROR(INDEX(請求台帳!$D$5:$D$504,MATCH(F592,請求台帳!$A$5:$A$504,0)),""))</f>
        <v/>
      </c>
      <c r="H592" s="26" t="str">
        <f aca="false">IF(F592="","",IFERROR(INDEX(請求台帳!$I$5:$I$504,MATCH(F592,請求台帳!$A$5:$A$504,0)),""))</f>
        <v/>
      </c>
      <c r="I592" s="29" t="str">
        <f aca="false">IF(COUNTA(B592,D592,E592,F592)=0,"",IF(OR(B592="",E592=""),"要入力",IF(F592="","未消込",IF(ISNA(MATCH(F592,請求台帳!$A$5:$A$504,0)),"番号誤り",IF(INDEX(請求台帳!$T$5:$T$504,MATCH(F592,請求台帳!$A$5:$A$504,0))="取消","取消請求へ消込","消込済")))))</f>
        <v/>
      </c>
      <c r="J592" s="28"/>
      <c r="K592" s="28"/>
    </row>
    <row r="593" customFormat="false" ht="15" hidden="false" customHeight="false" outlineLevel="0" collapsed="false">
      <c r="A593" s="32" t="str">
        <f aca="false">IF(COUNTA(B593,D593,E593,F593)=0,"",ROW()-4)</f>
        <v/>
      </c>
      <c r="B593" s="22"/>
      <c r="C593" s="28"/>
      <c r="D593" s="28"/>
      <c r="E593" s="18"/>
      <c r="F593" s="28"/>
      <c r="G593" s="32" t="str">
        <f aca="false">IF(F593="","",IFERROR(INDEX(請求台帳!$D$5:$D$504,MATCH(F593,請求台帳!$A$5:$A$504,0)),""))</f>
        <v/>
      </c>
      <c r="H593" s="26" t="str">
        <f aca="false">IF(F593="","",IFERROR(INDEX(請求台帳!$I$5:$I$504,MATCH(F593,請求台帳!$A$5:$A$504,0)),""))</f>
        <v/>
      </c>
      <c r="I593" s="29" t="str">
        <f aca="false">IF(COUNTA(B593,D593,E593,F593)=0,"",IF(OR(B593="",E593=""),"要入力",IF(F593="","未消込",IF(ISNA(MATCH(F593,請求台帳!$A$5:$A$504,0)),"番号誤り",IF(INDEX(請求台帳!$T$5:$T$504,MATCH(F593,請求台帳!$A$5:$A$504,0))="取消","取消請求へ消込","消込済")))))</f>
        <v/>
      </c>
      <c r="J593" s="28"/>
      <c r="K593" s="28"/>
    </row>
    <row r="594" customFormat="false" ht="15" hidden="false" customHeight="false" outlineLevel="0" collapsed="false">
      <c r="A594" s="32" t="str">
        <f aca="false">IF(COUNTA(B594,D594,E594,F594)=0,"",ROW()-4)</f>
        <v/>
      </c>
      <c r="B594" s="22"/>
      <c r="C594" s="28"/>
      <c r="D594" s="28"/>
      <c r="E594" s="18"/>
      <c r="F594" s="28"/>
      <c r="G594" s="32" t="str">
        <f aca="false">IF(F594="","",IFERROR(INDEX(請求台帳!$D$5:$D$504,MATCH(F594,請求台帳!$A$5:$A$504,0)),""))</f>
        <v/>
      </c>
      <c r="H594" s="26" t="str">
        <f aca="false">IF(F594="","",IFERROR(INDEX(請求台帳!$I$5:$I$504,MATCH(F594,請求台帳!$A$5:$A$504,0)),""))</f>
        <v/>
      </c>
      <c r="I594" s="29" t="str">
        <f aca="false">IF(COUNTA(B594,D594,E594,F594)=0,"",IF(OR(B594="",E594=""),"要入力",IF(F594="","未消込",IF(ISNA(MATCH(F594,請求台帳!$A$5:$A$504,0)),"番号誤り",IF(INDEX(請求台帳!$T$5:$T$504,MATCH(F594,請求台帳!$A$5:$A$504,0))="取消","取消請求へ消込","消込済")))))</f>
        <v/>
      </c>
      <c r="J594" s="28"/>
      <c r="K594" s="28"/>
    </row>
    <row r="595" customFormat="false" ht="15" hidden="false" customHeight="false" outlineLevel="0" collapsed="false">
      <c r="A595" s="32" t="str">
        <f aca="false">IF(COUNTA(B595,D595,E595,F595)=0,"",ROW()-4)</f>
        <v/>
      </c>
      <c r="B595" s="22"/>
      <c r="C595" s="28"/>
      <c r="D595" s="28"/>
      <c r="E595" s="18"/>
      <c r="F595" s="28"/>
      <c r="G595" s="32" t="str">
        <f aca="false">IF(F595="","",IFERROR(INDEX(請求台帳!$D$5:$D$504,MATCH(F595,請求台帳!$A$5:$A$504,0)),""))</f>
        <v/>
      </c>
      <c r="H595" s="26" t="str">
        <f aca="false">IF(F595="","",IFERROR(INDEX(請求台帳!$I$5:$I$504,MATCH(F595,請求台帳!$A$5:$A$504,0)),""))</f>
        <v/>
      </c>
      <c r="I595" s="29" t="str">
        <f aca="false">IF(COUNTA(B595,D595,E595,F595)=0,"",IF(OR(B595="",E595=""),"要入力",IF(F595="","未消込",IF(ISNA(MATCH(F595,請求台帳!$A$5:$A$504,0)),"番号誤り",IF(INDEX(請求台帳!$T$5:$T$504,MATCH(F595,請求台帳!$A$5:$A$504,0))="取消","取消請求へ消込","消込済")))))</f>
        <v/>
      </c>
      <c r="J595" s="28"/>
      <c r="K595" s="28"/>
    </row>
    <row r="596" customFormat="false" ht="15" hidden="false" customHeight="false" outlineLevel="0" collapsed="false">
      <c r="A596" s="32" t="str">
        <f aca="false">IF(COUNTA(B596,D596,E596,F596)=0,"",ROW()-4)</f>
        <v/>
      </c>
      <c r="B596" s="22"/>
      <c r="C596" s="28"/>
      <c r="D596" s="28"/>
      <c r="E596" s="18"/>
      <c r="F596" s="28"/>
      <c r="G596" s="32" t="str">
        <f aca="false">IF(F596="","",IFERROR(INDEX(請求台帳!$D$5:$D$504,MATCH(F596,請求台帳!$A$5:$A$504,0)),""))</f>
        <v/>
      </c>
      <c r="H596" s="26" t="str">
        <f aca="false">IF(F596="","",IFERROR(INDEX(請求台帳!$I$5:$I$504,MATCH(F596,請求台帳!$A$5:$A$504,0)),""))</f>
        <v/>
      </c>
      <c r="I596" s="29" t="str">
        <f aca="false">IF(COUNTA(B596,D596,E596,F596)=0,"",IF(OR(B596="",E596=""),"要入力",IF(F596="","未消込",IF(ISNA(MATCH(F596,請求台帳!$A$5:$A$504,0)),"番号誤り",IF(INDEX(請求台帳!$T$5:$T$504,MATCH(F596,請求台帳!$A$5:$A$504,0))="取消","取消請求へ消込","消込済")))))</f>
        <v/>
      </c>
      <c r="J596" s="28"/>
      <c r="K596" s="28"/>
    </row>
    <row r="597" customFormat="false" ht="15" hidden="false" customHeight="false" outlineLevel="0" collapsed="false">
      <c r="A597" s="32" t="str">
        <f aca="false">IF(COUNTA(B597,D597,E597,F597)=0,"",ROW()-4)</f>
        <v/>
      </c>
      <c r="B597" s="22"/>
      <c r="C597" s="28"/>
      <c r="D597" s="28"/>
      <c r="E597" s="18"/>
      <c r="F597" s="28"/>
      <c r="G597" s="32" t="str">
        <f aca="false">IF(F597="","",IFERROR(INDEX(請求台帳!$D$5:$D$504,MATCH(F597,請求台帳!$A$5:$A$504,0)),""))</f>
        <v/>
      </c>
      <c r="H597" s="26" t="str">
        <f aca="false">IF(F597="","",IFERROR(INDEX(請求台帳!$I$5:$I$504,MATCH(F597,請求台帳!$A$5:$A$504,0)),""))</f>
        <v/>
      </c>
      <c r="I597" s="29" t="str">
        <f aca="false">IF(COUNTA(B597,D597,E597,F597)=0,"",IF(OR(B597="",E597=""),"要入力",IF(F597="","未消込",IF(ISNA(MATCH(F597,請求台帳!$A$5:$A$504,0)),"番号誤り",IF(INDEX(請求台帳!$T$5:$T$504,MATCH(F597,請求台帳!$A$5:$A$504,0))="取消","取消請求へ消込","消込済")))))</f>
        <v/>
      </c>
      <c r="J597" s="28"/>
      <c r="K597" s="28"/>
    </row>
    <row r="598" customFormat="false" ht="15" hidden="false" customHeight="false" outlineLevel="0" collapsed="false">
      <c r="A598" s="32" t="str">
        <f aca="false">IF(COUNTA(B598,D598,E598,F598)=0,"",ROW()-4)</f>
        <v/>
      </c>
      <c r="B598" s="22"/>
      <c r="C598" s="28"/>
      <c r="D598" s="28"/>
      <c r="E598" s="18"/>
      <c r="F598" s="28"/>
      <c r="G598" s="32" t="str">
        <f aca="false">IF(F598="","",IFERROR(INDEX(請求台帳!$D$5:$D$504,MATCH(F598,請求台帳!$A$5:$A$504,0)),""))</f>
        <v/>
      </c>
      <c r="H598" s="26" t="str">
        <f aca="false">IF(F598="","",IFERROR(INDEX(請求台帳!$I$5:$I$504,MATCH(F598,請求台帳!$A$5:$A$504,0)),""))</f>
        <v/>
      </c>
      <c r="I598" s="29" t="str">
        <f aca="false">IF(COUNTA(B598,D598,E598,F598)=0,"",IF(OR(B598="",E598=""),"要入力",IF(F598="","未消込",IF(ISNA(MATCH(F598,請求台帳!$A$5:$A$504,0)),"番号誤り",IF(INDEX(請求台帳!$T$5:$T$504,MATCH(F598,請求台帳!$A$5:$A$504,0))="取消","取消請求へ消込","消込済")))))</f>
        <v/>
      </c>
      <c r="J598" s="28"/>
      <c r="K598" s="28"/>
    </row>
    <row r="599" customFormat="false" ht="15" hidden="false" customHeight="false" outlineLevel="0" collapsed="false">
      <c r="A599" s="32" t="str">
        <f aca="false">IF(COUNTA(B599,D599,E599,F599)=0,"",ROW()-4)</f>
        <v/>
      </c>
      <c r="B599" s="22"/>
      <c r="C599" s="28"/>
      <c r="D599" s="28"/>
      <c r="E599" s="18"/>
      <c r="F599" s="28"/>
      <c r="G599" s="32" t="str">
        <f aca="false">IF(F599="","",IFERROR(INDEX(請求台帳!$D$5:$D$504,MATCH(F599,請求台帳!$A$5:$A$504,0)),""))</f>
        <v/>
      </c>
      <c r="H599" s="26" t="str">
        <f aca="false">IF(F599="","",IFERROR(INDEX(請求台帳!$I$5:$I$504,MATCH(F599,請求台帳!$A$5:$A$504,0)),""))</f>
        <v/>
      </c>
      <c r="I599" s="29" t="str">
        <f aca="false">IF(COUNTA(B599,D599,E599,F599)=0,"",IF(OR(B599="",E599=""),"要入力",IF(F599="","未消込",IF(ISNA(MATCH(F599,請求台帳!$A$5:$A$504,0)),"番号誤り",IF(INDEX(請求台帳!$T$5:$T$504,MATCH(F599,請求台帳!$A$5:$A$504,0))="取消","取消請求へ消込","消込済")))))</f>
        <v/>
      </c>
      <c r="J599" s="28"/>
      <c r="K599" s="28"/>
    </row>
    <row r="600" customFormat="false" ht="15" hidden="false" customHeight="false" outlineLevel="0" collapsed="false">
      <c r="A600" s="32" t="str">
        <f aca="false">IF(COUNTA(B600,D600,E600,F600)=0,"",ROW()-4)</f>
        <v/>
      </c>
      <c r="B600" s="22"/>
      <c r="C600" s="28"/>
      <c r="D600" s="28"/>
      <c r="E600" s="18"/>
      <c r="F600" s="28"/>
      <c r="G600" s="32" t="str">
        <f aca="false">IF(F600="","",IFERROR(INDEX(請求台帳!$D$5:$D$504,MATCH(F600,請求台帳!$A$5:$A$504,0)),""))</f>
        <v/>
      </c>
      <c r="H600" s="26" t="str">
        <f aca="false">IF(F600="","",IFERROR(INDEX(請求台帳!$I$5:$I$504,MATCH(F600,請求台帳!$A$5:$A$504,0)),""))</f>
        <v/>
      </c>
      <c r="I600" s="29" t="str">
        <f aca="false">IF(COUNTA(B600,D600,E600,F600)=0,"",IF(OR(B600="",E600=""),"要入力",IF(F600="","未消込",IF(ISNA(MATCH(F600,請求台帳!$A$5:$A$504,0)),"番号誤り",IF(INDEX(請求台帳!$T$5:$T$504,MATCH(F600,請求台帳!$A$5:$A$504,0))="取消","取消請求へ消込","消込済")))))</f>
        <v/>
      </c>
      <c r="J600" s="28"/>
      <c r="K600" s="28"/>
    </row>
    <row r="601" customFormat="false" ht="15" hidden="false" customHeight="false" outlineLevel="0" collapsed="false">
      <c r="A601" s="32" t="str">
        <f aca="false">IF(COUNTA(B601,D601,E601,F601)=0,"",ROW()-4)</f>
        <v/>
      </c>
      <c r="B601" s="22"/>
      <c r="C601" s="28"/>
      <c r="D601" s="28"/>
      <c r="E601" s="18"/>
      <c r="F601" s="28"/>
      <c r="G601" s="32" t="str">
        <f aca="false">IF(F601="","",IFERROR(INDEX(請求台帳!$D$5:$D$504,MATCH(F601,請求台帳!$A$5:$A$504,0)),""))</f>
        <v/>
      </c>
      <c r="H601" s="26" t="str">
        <f aca="false">IF(F601="","",IFERROR(INDEX(請求台帳!$I$5:$I$504,MATCH(F601,請求台帳!$A$5:$A$504,0)),""))</f>
        <v/>
      </c>
      <c r="I601" s="29" t="str">
        <f aca="false">IF(COUNTA(B601,D601,E601,F601)=0,"",IF(OR(B601="",E601=""),"要入力",IF(F601="","未消込",IF(ISNA(MATCH(F601,請求台帳!$A$5:$A$504,0)),"番号誤り",IF(INDEX(請求台帳!$T$5:$T$504,MATCH(F601,請求台帳!$A$5:$A$504,0))="取消","取消請求へ消込","消込済")))))</f>
        <v/>
      </c>
      <c r="J601" s="28"/>
      <c r="K601" s="28"/>
    </row>
    <row r="602" customFormat="false" ht="15" hidden="false" customHeight="false" outlineLevel="0" collapsed="false">
      <c r="A602" s="32" t="str">
        <f aca="false">IF(COUNTA(B602,D602,E602,F602)=0,"",ROW()-4)</f>
        <v/>
      </c>
      <c r="B602" s="22"/>
      <c r="C602" s="28"/>
      <c r="D602" s="28"/>
      <c r="E602" s="18"/>
      <c r="F602" s="28"/>
      <c r="G602" s="32" t="str">
        <f aca="false">IF(F602="","",IFERROR(INDEX(請求台帳!$D$5:$D$504,MATCH(F602,請求台帳!$A$5:$A$504,0)),""))</f>
        <v/>
      </c>
      <c r="H602" s="26" t="str">
        <f aca="false">IF(F602="","",IFERROR(INDEX(請求台帳!$I$5:$I$504,MATCH(F602,請求台帳!$A$5:$A$504,0)),""))</f>
        <v/>
      </c>
      <c r="I602" s="29" t="str">
        <f aca="false">IF(COUNTA(B602,D602,E602,F602)=0,"",IF(OR(B602="",E602=""),"要入力",IF(F602="","未消込",IF(ISNA(MATCH(F602,請求台帳!$A$5:$A$504,0)),"番号誤り",IF(INDEX(請求台帳!$T$5:$T$504,MATCH(F602,請求台帳!$A$5:$A$504,0))="取消","取消請求へ消込","消込済")))))</f>
        <v/>
      </c>
      <c r="J602" s="28"/>
      <c r="K602" s="28"/>
    </row>
    <row r="603" customFormat="false" ht="15" hidden="false" customHeight="false" outlineLevel="0" collapsed="false">
      <c r="A603" s="32" t="str">
        <f aca="false">IF(COUNTA(B603,D603,E603,F603)=0,"",ROW()-4)</f>
        <v/>
      </c>
      <c r="B603" s="22"/>
      <c r="C603" s="28"/>
      <c r="D603" s="28"/>
      <c r="E603" s="18"/>
      <c r="F603" s="28"/>
      <c r="G603" s="32" t="str">
        <f aca="false">IF(F603="","",IFERROR(INDEX(請求台帳!$D$5:$D$504,MATCH(F603,請求台帳!$A$5:$A$504,0)),""))</f>
        <v/>
      </c>
      <c r="H603" s="26" t="str">
        <f aca="false">IF(F603="","",IFERROR(INDEX(請求台帳!$I$5:$I$504,MATCH(F603,請求台帳!$A$5:$A$504,0)),""))</f>
        <v/>
      </c>
      <c r="I603" s="29" t="str">
        <f aca="false">IF(COUNTA(B603,D603,E603,F603)=0,"",IF(OR(B603="",E603=""),"要入力",IF(F603="","未消込",IF(ISNA(MATCH(F603,請求台帳!$A$5:$A$504,0)),"番号誤り",IF(INDEX(請求台帳!$T$5:$T$504,MATCH(F603,請求台帳!$A$5:$A$504,0))="取消","取消請求へ消込","消込済")))))</f>
        <v/>
      </c>
      <c r="J603" s="28"/>
      <c r="K603" s="28"/>
    </row>
    <row r="604" customFormat="false" ht="15" hidden="false" customHeight="false" outlineLevel="0" collapsed="false">
      <c r="A604" s="32" t="str">
        <f aca="false">IF(COUNTA(B604,D604,E604,F604)=0,"",ROW()-4)</f>
        <v/>
      </c>
      <c r="B604" s="22"/>
      <c r="C604" s="28"/>
      <c r="D604" s="28"/>
      <c r="E604" s="18"/>
      <c r="F604" s="28"/>
      <c r="G604" s="32" t="str">
        <f aca="false">IF(F604="","",IFERROR(INDEX(請求台帳!$D$5:$D$504,MATCH(F604,請求台帳!$A$5:$A$504,0)),""))</f>
        <v/>
      </c>
      <c r="H604" s="26" t="str">
        <f aca="false">IF(F604="","",IFERROR(INDEX(請求台帳!$I$5:$I$504,MATCH(F604,請求台帳!$A$5:$A$504,0)),""))</f>
        <v/>
      </c>
      <c r="I604" s="29" t="str">
        <f aca="false">IF(COUNTA(B604,D604,E604,F604)=0,"",IF(OR(B604="",E604=""),"要入力",IF(F604="","未消込",IF(ISNA(MATCH(F604,請求台帳!$A$5:$A$504,0)),"番号誤り",IF(INDEX(請求台帳!$T$5:$T$504,MATCH(F604,請求台帳!$A$5:$A$504,0))="取消","取消請求へ消込","消込済")))))</f>
        <v/>
      </c>
      <c r="J604" s="28"/>
      <c r="K604" s="28"/>
    </row>
    <row r="605" customFormat="false" ht="15" hidden="false" customHeight="false" outlineLevel="0" collapsed="false">
      <c r="A605" s="32" t="str">
        <f aca="false">IF(COUNTA(B605,D605,E605,F605)=0,"",ROW()-4)</f>
        <v/>
      </c>
      <c r="B605" s="22"/>
      <c r="C605" s="28"/>
      <c r="D605" s="28"/>
      <c r="E605" s="18"/>
      <c r="F605" s="28"/>
      <c r="G605" s="32" t="str">
        <f aca="false">IF(F605="","",IFERROR(INDEX(請求台帳!$D$5:$D$504,MATCH(F605,請求台帳!$A$5:$A$504,0)),""))</f>
        <v/>
      </c>
      <c r="H605" s="26" t="str">
        <f aca="false">IF(F605="","",IFERROR(INDEX(請求台帳!$I$5:$I$504,MATCH(F605,請求台帳!$A$5:$A$504,0)),""))</f>
        <v/>
      </c>
      <c r="I605" s="29" t="str">
        <f aca="false">IF(COUNTA(B605,D605,E605,F605)=0,"",IF(OR(B605="",E605=""),"要入力",IF(F605="","未消込",IF(ISNA(MATCH(F605,請求台帳!$A$5:$A$504,0)),"番号誤り",IF(INDEX(請求台帳!$T$5:$T$504,MATCH(F605,請求台帳!$A$5:$A$504,0))="取消","取消請求へ消込","消込済")))))</f>
        <v/>
      </c>
      <c r="J605" s="28"/>
      <c r="K605" s="28"/>
    </row>
    <row r="606" customFormat="false" ht="15" hidden="false" customHeight="false" outlineLevel="0" collapsed="false">
      <c r="A606" s="32" t="str">
        <f aca="false">IF(COUNTA(B606,D606,E606,F606)=0,"",ROW()-4)</f>
        <v/>
      </c>
      <c r="B606" s="22"/>
      <c r="C606" s="28"/>
      <c r="D606" s="28"/>
      <c r="E606" s="18"/>
      <c r="F606" s="28"/>
      <c r="G606" s="32" t="str">
        <f aca="false">IF(F606="","",IFERROR(INDEX(請求台帳!$D$5:$D$504,MATCH(F606,請求台帳!$A$5:$A$504,0)),""))</f>
        <v/>
      </c>
      <c r="H606" s="26" t="str">
        <f aca="false">IF(F606="","",IFERROR(INDEX(請求台帳!$I$5:$I$504,MATCH(F606,請求台帳!$A$5:$A$504,0)),""))</f>
        <v/>
      </c>
      <c r="I606" s="29" t="str">
        <f aca="false">IF(COUNTA(B606,D606,E606,F606)=0,"",IF(OR(B606="",E606=""),"要入力",IF(F606="","未消込",IF(ISNA(MATCH(F606,請求台帳!$A$5:$A$504,0)),"番号誤り",IF(INDEX(請求台帳!$T$5:$T$504,MATCH(F606,請求台帳!$A$5:$A$504,0))="取消","取消請求へ消込","消込済")))))</f>
        <v/>
      </c>
      <c r="J606" s="28"/>
      <c r="K606" s="28"/>
    </row>
    <row r="607" customFormat="false" ht="15" hidden="false" customHeight="false" outlineLevel="0" collapsed="false">
      <c r="A607" s="32" t="str">
        <f aca="false">IF(COUNTA(B607,D607,E607,F607)=0,"",ROW()-4)</f>
        <v/>
      </c>
      <c r="B607" s="22"/>
      <c r="C607" s="28"/>
      <c r="D607" s="28"/>
      <c r="E607" s="18"/>
      <c r="F607" s="28"/>
      <c r="G607" s="32" t="str">
        <f aca="false">IF(F607="","",IFERROR(INDEX(請求台帳!$D$5:$D$504,MATCH(F607,請求台帳!$A$5:$A$504,0)),""))</f>
        <v/>
      </c>
      <c r="H607" s="26" t="str">
        <f aca="false">IF(F607="","",IFERROR(INDEX(請求台帳!$I$5:$I$504,MATCH(F607,請求台帳!$A$5:$A$504,0)),""))</f>
        <v/>
      </c>
      <c r="I607" s="29" t="str">
        <f aca="false">IF(COUNTA(B607,D607,E607,F607)=0,"",IF(OR(B607="",E607=""),"要入力",IF(F607="","未消込",IF(ISNA(MATCH(F607,請求台帳!$A$5:$A$504,0)),"番号誤り",IF(INDEX(請求台帳!$T$5:$T$504,MATCH(F607,請求台帳!$A$5:$A$504,0))="取消","取消請求へ消込","消込済")))))</f>
        <v/>
      </c>
      <c r="J607" s="28"/>
      <c r="K607" s="28"/>
    </row>
    <row r="608" customFormat="false" ht="15" hidden="false" customHeight="false" outlineLevel="0" collapsed="false">
      <c r="A608" s="32" t="str">
        <f aca="false">IF(COUNTA(B608,D608,E608,F608)=0,"",ROW()-4)</f>
        <v/>
      </c>
      <c r="B608" s="22"/>
      <c r="C608" s="28"/>
      <c r="D608" s="28"/>
      <c r="E608" s="18"/>
      <c r="F608" s="28"/>
      <c r="G608" s="32" t="str">
        <f aca="false">IF(F608="","",IFERROR(INDEX(請求台帳!$D$5:$D$504,MATCH(F608,請求台帳!$A$5:$A$504,0)),""))</f>
        <v/>
      </c>
      <c r="H608" s="26" t="str">
        <f aca="false">IF(F608="","",IFERROR(INDEX(請求台帳!$I$5:$I$504,MATCH(F608,請求台帳!$A$5:$A$504,0)),""))</f>
        <v/>
      </c>
      <c r="I608" s="29" t="str">
        <f aca="false">IF(COUNTA(B608,D608,E608,F608)=0,"",IF(OR(B608="",E608=""),"要入力",IF(F608="","未消込",IF(ISNA(MATCH(F608,請求台帳!$A$5:$A$504,0)),"番号誤り",IF(INDEX(請求台帳!$T$5:$T$504,MATCH(F608,請求台帳!$A$5:$A$504,0))="取消","取消請求へ消込","消込済")))))</f>
        <v/>
      </c>
      <c r="J608" s="28"/>
      <c r="K608" s="28"/>
    </row>
    <row r="609" customFormat="false" ht="15" hidden="false" customHeight="false" outlineLevel="0" collapsed="false">
      <c r="A609" s="32" t="str">
        <f aca="false">IF(COUNTA(B609,D609,E609,F609)=0,"",ROW()-4)</f>
        <v/>
      </c>
      <c r="B609" s="22"/>
      <c r="C609" s="28"/>
      <c r="D609" s="28"/>
      <c r="E609" s="18"/>
      <c r="F609" s="28"/>
      <c r="G609" s="32" t="str">
        <f aca="false">IF(F609="","",IFERROR(INDEX(請求台帳!$D$5:$D$504,MATCH(F609,請求台帳!$A$5:$A$504,0)),""))</f>
        <v/>
      </c>
      <c r="H609" s="26" t="str">
        <f aca="false">IF(F609="","",IFERROR(INDEX(請求台帳!$I$5:$I$504,MATCH(F609,請求台帳!$A$5:$A$504,0)),""))</f>
        <v/>
      </c>
      <c r="I609" s="29" t="str">
        <f aca="false">IF(COUNTA(B609,D609,E609,F609)=0,"",IF(OR(B609="",E609=""),"要入力",IF(F609="","未消込",IF(ISNA(MATCH(F609,請求台帳!$A$5:$A$504,0)),"番号誤り",IF(INDEX(請求台帳!$T$5:$T$504,MATCH(F609,請求台帳!$A$5:$A$504,0))="取消","取消請求へ消込","消込済")))))</f>
        <v/>
      </c>
      <c r="J609" s="28"/>
      <c r="K609" s="28"/>
    </row>
    <row r="610" customFormat="false" ht="15" hidden="false" customHeight="false" outlineLevel="0" collapsed="false">
      <c r="A610" s="32" t="str">
        <f aca="false">IF(COUNTA(B610,D610,E610,F610)=0,"",ROW()-4)</f>
        <v/>
      </c>
      <c r="B610" s="22"/>
      <c r="C610" s="28"/>
      <c r="D610" s="28"/>
      <c r="E610" s="18"/>
      <c r="F610" s="28"/>
      <c r="G610" s="32" t="str">
        <f aca="false">IF(F610="","",IFERROR(INDEX(請求台帳!$D$5:$D$504,MATCH(F610,請求台帳!$A$5:$A$504,0)),""))</f>
        <v/>
      </c>
      <c r="H610" s="26" t="str">
        <f aca="false">IF(F610="","",IFERROR(INDEX(請求台帳!$I$5:$I$504,MATCH(F610,請求台帳!$A$5:$A$504,0)),""))</f>
        <v/>
      </c>
      <c r="I610" s="29" t="str">
        <f aca="false">IF(COUNTA(B610,D610,E610,F610)=0,"",IF(OR(B610="",E610=""),"要入力",IF(F610="","未消込",IF(ISNA(MATCH(F610,請求台帳!$A$5:$A$504,0)),"番号誤り",IF(INDEX(請求台帳!$T$5:$T$504,MATCH(F610,請求台帳!$A$5:$A$504,0))="取消","取消請求へ消込","消込済")))))</f>
        <v/>
      </c>
      <c r="J610" s="28"/>
      <c r="K610" s="28"/>
    </row>
    <row r="611" customFormat="false" ht="15" hidden="false" customHeight="false" outlineLevel="0" collapsed="false">
      <c r="A611" s="32" t="str">
        <f aca="false">IF(COUNTA(B611,D611,E611,F611)=0,"",ROW()-4)</f>
        <v/>
      </c>
      <c r="B611" s="22"/>
      <c r="C611" s="28"/>
      <c r="D611" s="28"/>
      <c r="E611" s="18"/>
      <c r="F611" s="28"/>
      <c r="G611" s="32" t="str">
        <f aca="false">IF(F611="","",IFERROR(INDEX(請求台帳!$D$5:$D$504,MATCH(F611,請求台帳!$A$5:$A$504,0)),""))</f>
        <v/>
      </c>
      <c r="H611" s="26" t="str">
        <f aca="false">IF(F611="","",IFERROR(INDEX(請求台帳!$I$5:$I$504,MATCH(F611,請求台帳!$A$5:$A$504,0)),""))</f>
        <v/>
      </c>
      <c r="I611" s="29" t="str">
        <f aca="false">IF(COUNTA(B611,D611,E611,F611)=0,"",IF(OR(B611="",E611=""),"要入力",IF(F611="","未消込",IF(ISNA(MATCH(F611,請求台帳!$A$5:$A$504,0)),"番号誤り",IF(INDEX(請求台帳!$T$5:$T$504,MATCH(F611,請求台帳!$A$5:$A$504,0))="取消","取消請求へ消込","消込済")))))</f>
        <v/>
      </c>
      <c r="J611" s="28"/>
      <c r="K611" s="28"/>
    </row>
    <row r="612" customFormat="false" ht="15" hidden="false" customHeight="false" outlineLevel="0" collapsed="false">
      <c r="A612" s="32" t="str">
        <f aca="false">IF(COUNTA(B612,D612,E612,F612)=0,"",ROW()-4)</f>
        <v/>
      </c>
      <c r="B612" s="22"/>
      <c r="C612" s="28"/>
      <c r="D612" s="28"/>
      <c r="E612" s="18"/>
      <c r="F612" s="28"/>
      <c r="G612" s="32" t="str">
        <f aca="false">IF(F612="","",IFERROR(INDEX(請求台帳!$D$5:$D$504,MATCH(F612,請求台帳!$A$5:$A$504,0)),""))</f>
        <v/>
      </c>
      <c r="H612" s="26" t="str">
        <f aca="false">IF(F612="","",IFERROR(INDEX(請求台帳!$I$5:$I$504,MATCH(F612,請求台帳!$A$5:$A$504,0)),""))</f>
        <v/>
      </c>
      <c r="I612" s="29" t="str">
        <f aca="false">IF(COUNTA(B612,D612,E612,F612)=0,"",IF(OR(B612="",E612=""),"要入力",IF(F612="","未消込",IF(ISNA(MATCH(F612,請求台帳!$A$5:$A$504,0)),"番号誤り",IF(INDEX(請求台帳!$T$5:$T$504,MATCH(F612,請求台帳!$A$5:$A$504,0))="取消","取消請求へ消込","消込済")))))</f>
        <v/>
      </c>
      <c r="J612" s="28"/>
      <c r="K612" s="28"/>
    </row>
    <row r="613" customFormat="false" ht="15" hidden="false" customHeight="false" outlineLevel="0" collapsed="false">
      <c r="A613" s="32" t="str">
        <f aca="false">IF(COUNTA(B613,D613,E613,F613)=0,"",ROW()-4)</f>
        <v/>
      </c>
      <c r="B613" s="22"/>
      <c r="C613" s="28"/>
      <c r="D613" s="28"/>
      <c r="E613" s="18"/>
      <c r="F613" s="28"/>
      <c r="G613" s="32" t="str">
        <f aca="false">IF(F613="","",IFERROR(INDEX(請求台帳!$D$5:$D$504,MATCH(F613,請求台帳!$A$5:$A$504,0)),""))</f>
        <v/>
      </c>
      <c r="H613" s="26" t="str">
        <f aca="false">IF(F613="","",IFERROR(INDEX(請求台帳!$I$5:$I$504,MATCH(F613,請求台帳!$A$5:$A$504,0)),""))</f>
        <v/>
      </c>
      <c r="I613" s="29" t="str">
        <f aca="false">IF(COUNTA(B613,D613,E613,F613)=0,"",IF(OR(B613="",E613=""),"要入力",IF(F613="","未消込",IF(ISNA(MATCH(F613,請求台帳!$A$5:$A$504,0)),"番号誤り",IF(INDEX(請求台帳!$T$5:$T$504,MATCH(F613,請求台帳!$A$5:$A$504,0))="取消","取消請求へ消込","消込済")))))</f>
        <v/>
      </c>
      <c r="J613" s="28"/>
      <c r="K613" s="28"/>
    </row>
    <row r="614" customFormat="false" ht="15" hidden="false" customHeight="false" outlineLevel="0" collapsed="false">
      <c r="A614" s="32" t="str">
        <f aca="false">IF(COUNTA(B614,D614,E614,F614)=0,"",ROW()-4)</f>
        <v/>
      </c>
      <c r="B614" s="22"/>
      <c r="C614" s="28"/>
      <c r="D614" s="28"/>
      <c r="E614" s="18"/>
      <c r="F614" s="28"/>
      <c r="G614" s="32" t="str">
        <f aca="false">IF(F614="","",IFERROR(INDEX(請求台帳!$D$5:$D$504,MATCH(F614,請求台帳!$A$5:$A$504,0)),""))</f>
        <v/>
      </c>
      <c r="H614" s="26" t="str">
        <f aca="false">IF(F614="","",IFERROR(INDEX(請求台帳!$I$5:$I$504,MATCH(F614,請求台帳!$A$5:$A$504,0)),""))</f>
        <v/>
      </c>
      <c r="I614" s="29" t="str">
        <f aca="false">IF(COUNTA(B614,D614,E614,F614)=0,"",IF(OR(B614="",E614=""),"要入力",IF(F614="","未消込",IF(ISNA(MATCH(F614,請求台帳!$A$5:$A$504,0)),"番号誤り",IF(INDEX(請求台帳!$T$5:$T$504,MATCH(F614,請求台帳!$A$5:$A$504,0))="取消","取消請求へ消込","消込済")))))</f>
        <v/>
      </c>
      <c r="J614" s="28"/>
      <c r="K614" s="28"/>
    </row>
    <row r="615" customFormat="false" ht="15" hidden="false" customHeight="false" outlineLevel="0" collapsed="false">
      <c r="A615" s="32" t="str">
        <f aca="false">IF(COUNTA(B615,D615,E615,F615)=0,"",ROW()-4)</f>
        <v/>
      </c>
      <c r="B615" s="22"/>
      <c r="C615" s="28"/>
      <c r="D615" s="28"/>
      <c r="E615" s="18"/>
      <c r="F615" s="28"/>
      <c r="G615" s="32" t="str">
        <f aca="false">IF(F615="","",IFERROR(INDEX(請求台帳!$D$5:$D$504,MATCH(F615,請求台帳!$A$5:$A$504,0)),""))</f>
        <v/>
      </c>
      <c r="H615" s="26" t="str">
        <f aca="false">IF(F615="","",IFERROR(INDEX(請求台帳!$I$5:$I$504,MATCH(F615,請求台帳!$A$5:$A$504,0)),""))</f>
        <v/>
      </c>
      <c r="I615" s="29" t="str">
        <f aca="false">IF(COUNTA(B615,D615,E615,F615)=0,"",IF(OR(B615="",E615=""),"要入力",IF(F615="","未消込",IF(ISNA(MATCH(F615,請求台帳!$A$5:$A$504,0)),"番号誤り",IF(INDEX(請求台帳!$T$5:$T$504,MATCH(F615,請求台帳!$A$5:$A$504,0))="取消","取消請求へ消込","消込済")))))</f>
        <v/>
      </c>
      <c r="J615" s="28"/>
      <c r="K615" s="28"/>
    </row>
    <row r="616" customFormat="false" ht="15" hidden="false" customHeight="false" outlineLevel="0" collapsed="false">
      <c r="A616" s="32" t="str">
        <f aca="false">IF(COUNTA(B616,D616,E616,F616)=0,"",ROW()-4)</f>
        <v/>
      </c>
      <c r="B616" s="22"/>
      <c r="C616" s="28"/>
      <c r="D616" s="28"/>
      <c r="E616" s="18"/>
      <c r="F616" s="28"/>
      <c r="G616" s="32" t="str">
        <f aca="false">IF(F616="","",IFERROR(INDEX(請求台帳!$D$5:$D$504,MATCH(F616,請求台帳!$A$5:$A$504,0)),""))</f>
        <v/>
      </c>
      <c r="H616" s="26" t="str">
        <f aca="false">IF(F616="","",IFERROR(INDEX(請求台帳!$I$5:$I$504,MATCH(F616,請求台帳!$A$5:$A$504,0)),""))</f>
        <v/>
      </c>
      <c r="I616" s="29" t="str">
        <f aca="false">IF(COUNTA(B616,D616,E616,F616)=0,"",IF(OR(B616="",E616=""),"要入力",IF(F616="","未消込",IF(ISNA(MATCH(F616,請求台帳!$A$5:$A$504,0)),"番号誤り",IF(INDEX(請求台帳!$T$5:$T$504,MATCH(F616,請求台帳!$A$5:$A$504,0))="取消","取消請求へ消込","消込済")))))</f>
        <v/>
      </c>
      <c r="J616" s="28"/>
      <c r="K616" s="28"/>
    </row>
    <row r="617" customFormat="false" ht="15" hidden="false" customHeight="false" outlineLevel="0" collapsed="false">
      <c r="A617" s="32" t="str">
        <f aca="false">IF(COUNTA(B617,D617,E617,F617)=0,"",ROW()-4)</f>
        <v/>
      </c>
      <c r="B617" s="22"/>
      <c r="C617" s="28"/>
      <c r="D617" s="28"/>
      <c r="E617" s="18"/>
      <c r="F617" s="28"/>
      <c r="G617" s="32" t="str">
        <f aca="false">IF(F617="","",IFERROR(INDEX(請求台帳!$D$5:$D$504,MATCH(F617,請求台帳!$A$5:$A$504,0)),""))</f>
        <v/>
      </c>
      <c r="H617" s="26" t="str">
        <f aca="false">IF(F617="","",IFERROR(INDEX(請求台帳!$I$5:$I$504,MATCH(F617,請求台帳!$A$5:$A$504,0)),""))</f>
        <v/>
      </c>
      <c r="I617" s="29" t="str">
        <f aca="false">IF(COUNTA(B617,D617,E617,F617)=0,"",IF(OR(B617="",E617=""),"要入力",IF(F617="","未消込",IF(ISNA(MATCH(F617,請求台帳!$A$5:$A$504,0)),"番号誤り",IF(INDEX(請求台帳!$T$5:$T$504,MATCH(F617,請求台帳!$A$5:$A$504,0))="取消","取消請求へ消込","消込済")))))</f>
        <v/>
      </c>
      <c r="J617" s="28"/>
      <c r="K617" s="28"/>
    </row>
    <row r="618" customFormat="false" ht="15" hidden="false" customHeight="false" outlineLevel="0" collapsed="false">
      <c r="A618" s="32" t="str">
        <f aca="false">IF(COUNTA(B618,D618,E618,F618)=0,"",ROW()-4)</f>
        <v/>
      </c>
      <c r="B618" s="22"/>
      <c r="C618" s="28"/>
      <c r="D618" s="28"/>
      <c r="E618" s="18"/>
      <c r="F618" s="28"/>
      <c r="G618" s="32" t="str">
        <f aca="false">IF(F618="","",IFERROR(INDEX(請求台帳!$D$5:$D$504,MATCH(F618,請求台帳!$A$5:$A$504,0)),""))</f>
        <v/>
      </c>
      <c r="H618" s="26" t="str">
        <f aca="false">IF(F618="","",IFERROR(INDEX(請求台帳!$I$5:$I$504,MATCH(F618,請求台帳!$A$5:$A$504,0)),""))</f>
        <v/>
      </c>
      <c r="I618" s="29" t="str">
        <f aca="false">IF(COUNTA(B618,D618,E618,F618)=0,"",IF(OR(B618="",E618=""),"要入力",IF(F618="","未消込",IF(ISNA(MATCH(F618,請求台帳!$A$5:$A$504,0)),"番号誤り",IF(INDEX(請求台帳!$T$5:$T$504,MATCH(F618,請求台帳!$A$5:$A$504,0))="取消","取消請求へ消込","消込済")))))</f>
        <v/>
      </c>
      <c r="J618" s="28"/>
      <c r="K618" s="28"/>
    </row>
    <row r="619" customFormat="false" ht="15" hidden="false" customHeight="false" outlineLevel="0" collapsed="false">
      <c r="A619" s="32" t="str">
        <f aca="false">IF(COUNTA(B619,D619,E619,F619)=0,"",ROW()-4)</f>
        <v/>
      </c>
      <c r="B619" s="22"/>
      <c r="C619" s="28"/>
      <c r="D619" s="28"/>
      <c r="E619" s="18"/>
      <c r="F619" s="28"/>
      <c r="G619" s="32" t="str">
        <f aca="false">IF(F619="","",IFERROR(INDEX(請求台帳!$D$5:$D$504,MATCH(F619,請求台帳!$A$5:$A$504,0)),""))</f>
        <v/>
      </c>
      <c r="H619" s="26" t="str">
        <f aca="false">IF(F619="","",IFERROR(INDEX(請求台帳!$I$5:$I$504,MATCH(F619,請求台帳!$A$5:$A$504,0)),""))</f>
        <v/>
      </c>
      <c r="I619" s="29" t="str">
        <f aca="false">IF(COUNTA(B619,D619,E619,F619)=0,"",IF(OR(B619="",E619=""),"要入力",IF(F619="","未消込",IF(ISNA(MATCH(F619,請求台帳!$A$5:$A$504,0)),"番号誤り",IF(INDEX(請求台帳!$T$5:$T$504,MATCH(F619,請求台帳!$A$5:$A$504,0))="取消","取消請求へ消込","消込済")))))</f>
        <v/>
      </c>
      <c r="J619" s="28"/>
      <c r="K619" s="28"/>
    </row>
    <row r="620" customFormat="false" ht="15" hidden="false" customHeight="false" outlineLevel="0" collapsed="false">
      <c r="A620" s="32" t="str">
        <f aca="false">IF(COUNTA(B620,D620,E620,F620)=0,"",ROW()-4)</f>
        <v/>
      </c>
      <c r="B620" s="22"/>
      <c r="C620" s="28"/>
      <c r="D620" s="28"/>
      <c r="E620" s="18"/>
      <c r="F620" s="28"/>
      <c r="G620" s="32" t="str">
        <f aca="false">IF(F620="","",IFERROR(INDEX(請求台帳!$D$5:$D$504,MATCH(F620,請求台帳!$A$5:$A$504,0)),""))</f>
        <v/>
      </c>
      <c r="H620" s="26" t="str">
        <f aca="false">IF(F620="","",IFERROR(INDEX(請求台帳!$I$5:$I$504,MATCH(F620,請求台帳!$A$5:$A$504,0)),""))</f>
        <v/>
      </c>
      <c r="I620" s="29" t="str">
        <f aca="false">IF(COUNTA(B620,D620,E620,F620)=0,"",IF(OR(B620="",E620=""),"要入力",IF(F620="","未消込",IF(ISNA(MATCH(F620,請求台帳!$A$5:$A$504,0)),"番号誤り",IF(INDEX(請求台帳!$T$5:$T$504,MATCH(F620,請求台帳!$A$5:$A$504,0))="取消","取消請求へ消込","消込済")))))</f>
        <v/>
      </c>
      <c r="J620" s="28"/>
      <c r="K620" s="28"/>
    </row>
    <row r="621" customFormat="false" ht="15" hidden="false" customHeight="false" outlineLevel="0" collapsed="false">
      <c r="A621" s="32" t="str">
        <f aca="false">IF(COUNTA(B621,D621,E621,F621)=0,"",ROW()-4)</f>
        <v/>
      </c>
      <c r="B621" s="22"/>
      <c r="C621" s="28"/>
      <c r="D621" s="28"/>
      <c r="E621" s="18"/>
      <c r="F621" s="28"/>
      <c r="G621" s="32" t="str">
        <f aca="false">IF(F621="","",IFERROR(INDEX(請求台帳!$D$5:$D$504,MATCH(F621,請求台帳!$A$5:$A$504,0)),""))</f>
        <v/>
      </c>
      <c r="H621" s="26" t="str">
        <f aca="false">IF(F621="","",IFERROR(INDEX(請求台帳!$I$5:$I$504,MATCH(F621,請求台帳!$A$5:$A$504,0)),""))</f>
        <v/>
      </c>
      <c r="I621" s="29" t="str">
        <f aca="false">IF(COUNTA(B621,D621,E621,F621)=0,"",IF(OR(B621="",E621=""),"要入力",IF(F621="","未消込",IF(ISNA(MATCH(F621,請求台帳!$A$5:$A$504,0)),"番号誤り",IF(INDEX(請求台帳!$T$5:$T$504,MATCH(F621,請求台帳!$A$5:$A$504,0))="取消","取消請求へ消込","消込済")))))</f>
        <v/>
      </c>
      <c r="J621" s="28"/>
      <c r="K621" s="28"/>
    </row>
    <row r="622" customFormat="false" ht="15" hidden="false" customHeight="false" outlineLevel="0" collapsed="false">
      <c r="A622" s="32" t="str">
        <f aca="false">IF(COUNTA(B622,D622,E622,F622)=0,"",ROW()-4)</f>
        <v/>
      </c>
      <c r="B622" s="22"/>
      <c r="C622" s="28"/>
      <c r="D622" s="28"/>
      <c r="E622" s="18"/>
      <c r="F622" s="28"/>
      <c r="G622" s="32" t="str">
        <f aca="false">IF(F622="","",IFERROR(INDEX(請求台帳!$D$5:$D$504,MATCH(F622,請求台帳!$A$5:$A$504,0)),""))</f>
        <v/>
      </c>
      <c r="H622" s="26" t="str">
        <f aca="false">IF(F622="","",IFERROR(INDEX(請求台帳!$I$5:$I$504,MATCH(F622,請求台帳!$A$5:$A$504,0)),""))</f>
        <v/>
      </c>
      <c r="I622" s="29" t="str">
        <f aca="false">IF(COUNTA(B622,D622,E622,F622)=0,"",IF(OR(B622="",E622=""),"要入力",IF(F622="","未消込",IF(ISNA(MATCH(F622,請求台帳!$A$5:$A$504,0)),"番号誤り",IF(INDEX(請求台帳!$T$5:$T$504,MATCH(F622,請求台帳!$A$5:$A$504,0))="取消","取消請求へ消込","消込済")))))</f>
        <v/>
      </c>
      <c r="J622" s="28"/>
      <c r="K622" s="28"/>
    </row>
    <row r="623" customFormat="false" ht="15" hidden="false" customHeight="false" outlineLevel="0" collapsed="false">
      <c r="A623" s="32" t="str">
        <f aca="false">IF(COUNTA(B623,D623,E623,F623)=0,"",ROW()-4)</f>
        <v/>
      </c>
      <c r="B623" s="22"/>
      <c r="C623" s="28"/>
      <c r="D623" s="28"/>
      <c r="E623" s="18"/>
      <c r="F623" s="28"/>
      <c r="G623" s="32" t="str">
        <f aca="false">IF(F623="","",IFERROR(INDEX(請求台帳!$D$5:$D$504,MATCH(F623,請求台帳!$A$5:$A$504,0)),""))</f>
        <v/>
      </c>
      <c r="H623" s="26" t="str">
        <f aca="false">IF(F623="","",IFERROR(INDEX(請求台帳!$I$5:$I$504,MATCH(F623,請求台帳!$A$5:$A$504,0)),""))</f>
        <v/>
      </c>
      <c r="I623" s="29" t="str">
        <f aca="false">IF(COUNTA(B623,D623,E623,F623)=0,"",IF(OR(B623="",E623=""),"要入力",IF(F623="","未消込",IF(ISNA(MATCH(F623,請求台帳!$A$5:$A$504,0)),"番号誤り",IF(INDEX(請求台帳!$T$5:$T$504,MATCH(F623,請求台帳!$A$5:$A$504,0))="取消","取消請求へ消込","消込済")))))</f>
        <v/>
      </c>
      <c r="J623" s="28"/>
      <c r="K623" s="28"/>
    </row>
    <row r="624" customFormat="false" ht="15" hidden="false" customHeight="false" outlineLevel="0" collapsed="false">
      <c r="A624" s="32" t="str">
        <f aca="false">IF(COUNTA(B624,D624,E624,F624)=0,"",ROW()-4)</f>
        <v/>
      </c>
      <c r="B624" s="22"/>
      <c r="C624" s="28"/>
      <c r="D624" s="28"/>
      <c r="E624" s="18"/>
      <c r="F624" s="28"/>
      <c r="G624" s="32" t="str">
        <f aca="false">IF(F624="","",IFERROR(INDEX(請求台帳!$D$5:$D$504,MATCH(F624,請求台帳!$A$5:$A$504,0)),""))</f>
        <v/>
      </c>
      <c r="H624" s="26" t="str">
        <f aca="false">IF(F624="","",IFERROR(INDEX(請求台帳!$I$5:$I$504,MATCH(F624,請求台帳!$A$5:$A$504,0)),""))</f>
        <v/>
      </c>
      <c r="I624" s="29" t="str">
        <f aca="false">IF(COUNTA(B624,D624,E624,F624)=0,"",IF(OR(B624="",E624=""),"要入力",IF(F624="","未消込",IF(ISNA(MATCH(F624,請求台帳!$A$5:$A$504,0)),"番号誤り",IF(INDEX(請求台帳!$T$5:$T$504,MATCH(F624,請求台帳!$A$5:$A$504,0))="取消","取消請求へ消込","消込済")))))</f>
        <v/>
      </c>
      <c r="J624" s="28"/>
      <c r="K624" s="28"/>
    </row>
    <row r="625" customFormat="false" ht="15" hidden="false" customHeight="false" outlineLevel="0" collapsed="false">
      <c r="A625" s="32" t="str">
        <f aca="false">IF(COUNTA(B625,D625,E625,F625)=0,"",ROW()-4)</f>
        <v/>
      </c>
      <c r="B625" s="22"/>
      <c r="C625" s="28"/>
      <c r="D625" s="28"/>
      <c r="E625" s="18"/>
      <c r="F625" s="28"/>
      <c r="G625" s="32" t="str">
        <f aca="false">IF(F625="","",IFERROR(INDEX(請求台帳!$D$5:$D$504,MATCH(F625,請求台帳!$A$5:$A$504,0)),""))</f>
        <v/>
      </c>
      <c r="H625" s="26" t="str">
        <f aca="false">IF(F625="","",IFERROR(INDEX(請求台帳!$I$5:$I$504,MATCH(F625,請求台帳!$A$5:$A$504,0)),""))</f>
        <v/>
      </c>
      <c r="I625" s="29" t="str">
        <f aca="false">IF(COUNTA(B625,D625,E625,F625)=0,"",IF(OR(B625="",E625=""),"要入力",IF(F625="","未消込",IF(ISNA(MATCH(F625,請求台帳!$A$5:$A$504,0)),"番号誤り",IF(INDEX(請求台帳!$T$5:$T$504,MATCH(F625,請求台帳!$A$5:$A$504,0))="取消","取消請求へ消込","消込済")))))</f>
        <v/>
      </c>
      <c r="J625" s="28"/>
      <c r="K625" s="28"/>
    </row>
    <row r="626" customFormat="false" ht="15" hidden="false" customHeight="false" outlineLevel="0" collapsed="false">
      <c r="A626" s="32" t="str">
        <f aca="false">IF(COUNTA(B626,D626,E626,F626)=0,"",ROW()-4)</f>
        <v/>
      </c>
      <c r="B626" s="22"/>
      <c r="C626" s="28"/>
      <c r="D626" s="28"/>
      <c r="E626" s="18"/>
      <c r="F626" s="28"/>
      <c r="G626" s="32" t="str">
        <f aca="false">IF(F626="","",IFERROR(INDEX(請求台帳!$D$5:$D$504,MATCH(F626,請求台帳!$A$5:$A$504,0)),""))</f>
        <v/>
      </c>
      <c r="H626" s="26" t="str">
        <f aca="false">IF(F626="","",IFERROR(INDEX(請求台帳!$I$5:$I$504,MATCH(F626,請求台帳!$A$5:$A$504,0)),""))</f>
        <v/>
      </c>
      <c r="I626" s="29" t="str">
        <f aca="false">IF(COUNTA(B626,D626,E626,F626)=0,"",IF(OR(B626="",E626=""),"要入力",IF(F626="","未消込",IF(ISNA(MATCH(F626,請求台帳!$A$5:$A$504,0)),"番号誤り",IF(INDEX(請求台帳!$T$5:$T$504,MATCH(F626,請求台帳!$A$5:$A$504,0))="取消","取消請求へ消込","消込済")))))</f>
        <v/>
      </c>
      <c r="J626" s="28"/>
      <c r="K626" s="28"/>
    </row>
    <row r="627" customFormat="false" ht="15" hidden="false" customHeight="false" outlineLevel="0" collapsed="false">
      <c r="A627" s="32" t="str">
        <f aca="false">IF(COUNTA(B627,D627,E627,F627)=0,"",ROW()-4)</f>
        <v/>
      </c>
      <c r="B627" s="22"/>
      <c r="C627" s="28"/>
      <c r="D627" s="28"/>
      <c r="E627" s="18"/>
      <c r="F627" s="28"/>
      <c r="G627" s="32" t="str">
        <f aca="false">IF(F627="","",IFERROR(INDEX(請求台帳!$D$5:$D$504,MATCH(F627,請求台帳!$A$5:$A$504,0)),""))</f>
        <v/>
      </c>
      <c r="H627" s="26" t="str">
        <f aca="false">IF(F627="","",IFERROR(INDEX(請求台帳!$I$5:$I$504,MATCH(F627,請求台帳!$A$5:$A$504,0)),""))</f>
        <v/>
      </c>
      <c r="I627" s="29" t="str">
        <f aca="false">IF(COUNTA(B627,D627,E627,F627)=0,"",IF(OR(B627="",E627=""),"要入力",IF(F627="","未消込",IF(ISNA(MATCH(F627,請求台帳!$A$5:$A$504,0)),"番号誤り",IF(INDEX(請求台帳!$T$5:$T$504,MATCH(F627,請求台帳!$A$5:$A$504,0))="取消","取消請求へ消込","消込済")))))</f>
        <v/>
      </c>
      <c r="J627" s="28"/>
      <c r="K627" s="28"/>
    </row>
    <row r="628" customFormat="false" ht="15" hidden="false" customHeight="false" outlineLevel="0" collapsed="false">
      <c r="A628" s="32" t="str">
        <f aca="false">IF(COUNTA(B628,D628,E628,F628)=0,"",ROW()-4)</f>
        <v/>
      </c>
      <c r="B628" s="22"/>
      <c r="C628" s="28"/>
      <c r="D628" s="28"/>
      <c r="E628" s="18"/>
      <c r="F628" s="28"/>
      <c r="G628" s="32" t="str">
        <f aca="false">IF(F628="","",IFERROR(INDEX(請求台帳!$D$5:$D$504,MATCH(F628,請求台帳!$A$5:$A$504,0)),""))</f>
        <v/>
      </c>
      <c r="H628" s="26" t="str">
        <f aca="false">IF(F628="","",IFERROR(INDEX(請求台帳!$I$5:$I$504,MATCH(F628,請求台帳!$A$5:$A$504,0)),""))</f>
        <v/>
      </c>
      <c r="I628" s="29" t="str">
        <f aca="false">IF(COUNTA(B628,D628,E628,F628)=0,"",IF(OR(B628="",E628=""),"要入力",IF(F628="","未消込",IF(ISNA(MATCH(F628,請求台帳!$A$5:$A$504,0)),"番号誤り",IF(INDEX(請求台帳!$T$5:$T$504,MATCH(F628,請求台帳!$A$5:$A$504,0))="取消","取消請求へ消込","消込済")))))</f>
        <v/>
      </c>
      <c r="J628" s="28"/>
      <c r="K628" s="28"/>
    </row>
    <row r="629" customFormat="false" ht="15" hidden="false" customHeight="false" outlineLevel="0" collapsed="false">
      <c r="A629" s="32" t="str">
        <f aca="false">IF(COUNTA(B629,D629,E629,F629)=0,"",ROW()-4)</f>
        <v/>
      </c>
      <c r="B629" s="22"/>
      <c r="C629" s="28"/>
      <c r="D629" s="28"/>
      <c r="E629" s="18"/>
      <c r="F629" s="28"/>
      <c r="G629" s="32" t="str">
        <f aca="false">IF(F629="","",IFERROR(INDEX(請求台帳!$D$5:$D$504,MATCH(F629,請求台帳!$A$5:$A$504,0)),""))</f>
        <v/>
      </c>
      <c r="H629" s="26" t="str">
        <f aca="false">IF(F629="","",IFERROR(INDEX(請求台帳!$I$5:$I$504,MATCH(F629,請求台帳!$A$5:$A$504,0)),""))</f>
        <v/>
      </c>
      <c r="I629" s="29" t="str">
        <f aca="false">IF(COUNTA(B629,D629,E629,F629)=0,"",IF(OR(B629="",E629=""),"要入力",IF(F629="","未消込",IF(ISNA(MATCH(F629,請求台帳!$A$5:$A$504,0)),"番号誤り",IF(INDEX(請求台帳!$T$5:$T$504,MATCH(F629,請求台帳!$A$5:$A$504,0))="取消","取消請求へ消込","消込済")))))</f>
        <v/>
      </c>
      <c r="J629" s="28"/>
      <c r="K629" s="28"/>
    </row>
    <row r="630" customFormat="false" ht="15" hidden="false" customHeight="false" outlineLevel="0" collapsed="false">
      <c r="A630" s="32" t="str">
        <f aca="false">IF(COUNTA(B630,D630,E630,F630)=0,"",ROW()-4)</f>
        <v/>
      </c>
      <c r="B630" s="22"/>
      <c r="C630" s="28"/>
      <c r="D630" s="28"/>
      <c r="E630" s="18"/>
      <c r="F630" s="28"/>
      <c r="G630" s="32" t="str">
        <f aca="false">IF(F630="","",IFERROR(INDEX(請求台帳!$D$5:$D$504,MATCH(F630,請求台帳!$A$5:$A$504,0)),""))</f>
        <v/>
      </c>
      <c r="H630" s="26" t="str">
        <f aca="false">IF(F630="","",IFERROR(INDEX(請求台帳!$I$5:$I$504,MATCH(F630,請求台帳!$A$5:$A$504,0)),""))</f>
        <v/>
      </c>
      <c r="I630" s="29" t="str">
        <f aca="false">IF(COUNTA(B630,D630,E630,F630)=0,"",IF(OR(B630="",E630=""),"要入力",IF(F630="","未消込",IF(ISNA(MATCH(F630,請求台帳!$A$5:$A$504,0)),"番号誤り",IF(INDEX(請求台帳!$T$5:$T$504,MATCH(F630,請求台帳!$A$5:$A$504,0))="取消","取消請求へ消込","消込済")))))</f>
        <v/>
      </c>
      <c r="J630" s="28"/>
      <c r="K630" s="28"/>
    </row>
    <row r="631" customFormat="false" ht="15" hidden="false" customHeight="false" outlineLevel="0" collapsed="false">
      <c r="A631" s="32" t="str">
        <f aca="false">IF(COUNTA(B631,D631,E631,F631)=0,"",ROW()-4)</f>
        <v/>
      </c>
      <c r="B631" s="22"/>
      <c r="C631" s="28"/>
      <c r="D631" s="28"/>
      <c r="E631" s="18"/>
      <c r="F631" s="28"/>
      <c r="G631" s="32" t="str">
        <f aca="false">IF(F631="","",IFERROR(INDEX(請求台帳!$D$5:$D$504,MATCH(F631,請求台帳!$A$5:$A$504,0)),""))</f>
        <v/>
      </c>
      <c r="H631" s="26" t="str">
        <f aca="false">IF(F631="","",IFERROR(INDEX(請求台帳!$I$5:$I$504,MATCH(F631,請求台帳!$A$5:$A$504,0)),""))</f>
        <v/>
      </c>
      <c r="I631" s="29" t="str">
        <f aca="false">IF(COUNTA(B631,D631,E631,F631)=0,"",IF(OR(B631="",E631=""),"要入力",IF(F631="","未消込",IF(ISNA(MATCH(F631,請求台帳!$A$5:$A$504,0)),"番号誤り",IF(INDEX(請求台帳!$T$5:$T$504,MATCH(F631,請求台帳!$A$5:$A$504,0))="取消","取消請求へ消込","消込済")))))</f>
        <v/>
      </c>
      <c r="J631" s="28"/>
      <c r="K631" s="28"/>
    </row>
    <row r="632" customFormat="false" ht="15" hidden="false" customHeight="false" outlineLevel="0" collapsed="false">
      <c r="A632" s="32" t="str">
        <f aca="false">IF(COUNTA(B632,D632,E632,F632)=0,"",ROW()-4)</f>
        <v/>
      </c>
      <c r="B632" s="22"/>
      <c r="C632" s="28"/>
      <c r="D632" s="28"/>
      <c r="E632" s="18"/>
      <c r="F632" s="28"/>
      <c r="G632" s="32" t="str">
        <f aca="false">IF(F632="","",IFERROR(INDEX(請求台帳!$D$5:$D$504,MATCH(F632,請求台帳!$A$5:$A$504,0)),""))</f>
        <v/>
      </c>
      <c r="H632" s="26" t="str">
        <f aca="false">IF(F632="","",IFERROR(INDEX(請求台帳!$I$5:$I$504,MATCH(F632,請求台帳!$A$5:$A$504,0)),""))</f>
        <v/>
      </c>
      <c r="I632" s="29" t="str">
        <f aca="false">IF(COUNTA(B632,D632,E632,F632)=0,"",IF(OR(B632="",E632=""),"要入力",IF(F632="","未消込",IF(ISNA(MATCH(F632,請求台帳!$A$5:$A$504,0)),"番号誤り",IF(INDEX(請求台帳!$T$5:$T$504,MATCH(F632,請求台帳!$A$5:$A$504,0))="取消","取消請求へ消込","消込済")))))</f>
        <v/>
      </c>
      <c r="J632" s="28"/>
      <c r="K632" s="28"/>
    </row>
    <row r="633" customFormat="false" ht="15" hidden="false" customHeight="false" outlineLevel="0" collapsed="false">
      <c r="A633" s="32" t="str">
        <f aca="false">IF(COUNTA(B633,D633,E633,F633)=0,"",ROW()-4)</f>
        <v/>
      </c>
      <c r="B633" s="22"/>
      <c r="C633" s="28"/>
      <c r="D633" s="28"/>
      <c r="E633" s="18"/>
      <c r="F633" s="28"/>
      <c r="G633" s="32" t="str">
        <f aca="false">IF(F633="","",IFERROR(INDEX(請求台帳!$D$5:$D$504,MATCH(F633,請求台帳!$A$5:$A$504,0)),""))</f>
        <v/>
      </c>
      <c r="H633" s="26" t="str">
        <f aca="false">IF(F633="","",IFERROR(INDEX(請求台帳!$I$5:$I$504,MATCH(F633,請求台帳!$A$5:$A$504,0)),""))</f>
        <v/>
      </c>
      <c r="I633" s="29" t="str">
        <f aca="false">IF(COUNTA(B633,D633,E633,F633)=0,"",IF(OR(B633="",E633=""),"要入力",IF(F633="","未消込",IF(ISNA(MATCH(F633,請求台帳!$A$5:$A$504,0)),"番号誤り",IF(INDEX(請求台帳!$T$5:$T$504,MATCH(F633,請求台帳!$A$5:$A$504,0))="取消","取消請求へ消込","消込済")))))</f>
        <v/>
      </c>
      <c r="J633" s="28"/>
      <c r="K633" s="28"/>
    </row>
    <row r="634" customFormat="false" ht="15" hidden="false" customHeight="false" outlineLevel="0" collapsed="false">
      <c r="A634" s="32" t="str">
        <f aca="false">IF(COUNTA(B634,D634,E634,F634)=0,"",ROW()-4)</f>
        <v/>
      </c>
      <c r="B634" s="22"/>
      <c r="C634" s="28"/>
      <c r="D634" s="28"/>
      <c r="E634" s="18"/>
      <c r="F634" s="28"/>
      <c r="G634" s="32" t="str">
        <f aca="false">IF(F634="","",IFERROR(INDEX(請求台帳!$D$5:$D$504,MATCH(F634,請求台帳!$A$5:$A$504,0)),""))</f>
        <v/>
      </c>
      <c r="H634" s="26" t="str">
        <f aca="false">IF(F634="","",IFERROR(INDEX(請求台帳!$I$5:$I$504,MATCH(F634,請求台帳!$A$5:$A$504,0)),""))</f>
        <v/>
      </c>
      <c r="I634" s="29" t="str">
        <f aca="false">IF(COUNTA(B634,D634,E634,F634)=0,"",IF(OR(B634="",E634=""),"要入力",IF(F634="","未消込",IF(ISNA(MATCH(F634,請求台帳!$A$5:$A$504,0)),"番号誤り",IF(INDEX(請求台帳!$T$5:$T$504,MATCH(F634,請求台帳!$A$5:$A$504,0))="取消","取消請求へ消込","消込済")))))</f>
        <v/>
      </c>
      <c r="J634" s="28"/>
      <c r="K634" s="28"/>
    </row>
    <row r="635" customFormat="false" ht="15" hidden="false" customHeight="false" outlineLevel="0" collapsed="false">
      <c r="A635" s="32" t="str">
        <f aca="false">IF(COUNTA(B635,D635,E635,F635)=0,"",ROW()-4)</f>
        <v/>
      </c>
      <c r="B635" s="22"/>
      <c r="C635" s="28"/>
      <c r="D635" s="28"/>
      <c r="E635" s="18"/>
      <c r="F635" s="28"/>
      <c r="G635" s="32" t="str">
        <f aca="false">IF(F635="","",IFERROR(INDEX(請求台帳!$D$5:$D$504,MATCH(F635,請求台帳!$A$5:$A$504,0)),""))</f>
        <v/>
      </c>
      <c r="H635" s="26" t="str">
        <f aca="false">IF(F635="","",IFERROR(INDEX(請求台帳!$I$5:$I$504,MATCH(F635,請求台帳!$A$5:$A$504,0)),""))</f>
        <v/>
      </c>
      <c r="I635" s="29" t="str">
        <f aca="false">IF(COUNTA(B635,D635,E635,F635)=0,"",IF(OR(B635="",E635=""),"要入力",IF(F635="","未消込",IF(ISNA(MATCH(F635,請求台帳!$A$5:$A$504,0)),"番号誤り",IF(INDEX(請求台帳!$T$5:$T$504,MATCH(F635,請求台帳!$A$5:$A$504,0))="取消","取消請求へ消込","消込済")))))</f>
        <v/>
      </c>
      <c r="J635" s="28"/>
      <c r="K635" s="28"/>
    </row>
    <row r="636" customFormat="false" ht="15" hidden="false" customHeight="false" outlineLevel="0" collapsed="false">
      <c r="A636" s="32" t="str">
        <f aca="false">IF(COUNTA(B636,D636,E636,F636)=0,"",ROW()-4)</f>
        <v/>
      </c>
      <c r="B636" s="22"/>
      <c r="C636" s="28"/>
      <c r="D636" s="28"/>
      <c r="E636" s="18"/>
      <c r="F636" s="28"/>
      <c r="G636" s="32" t="str">
        <f aca="false">IF(F636="","",IFERROR(INDEX(請求台帳!$D$5:$D$504,MATCH(F636,請求台帳!$A$5:$A$504,0)),""))</f>
        <v/>
      </c>
      <c r="H636" s="26" t="str">
        <f aca="false">IF(F636="","",IFERROR(INDEX(請求台帳!$I$5:$I$504,MATCH(F636,請求台帳!$A$5:$A$504,0)),""))</f>
        <v/>
      </c>
      <c r="I636" s="29" t="str">
        <f aca="false">IF(COUNTA(B636,D636,E636,F636)=0,"",IF(OR(B636="",E636=""),"要入力",IF(F636="","未消込",IF(ISNA(MATCH(F636,請求台帳!$A$5:$A$504,0)),"番号誤り",IF(INDEX(請求台帳!$T$5:$T$504,MATCH(F636,請求台帳!$A$5:$A$504,0))="取消","取消請求へ消込","消込済")))))</f>
        <v/>
      </c>
      <c r="J636" s="28"/>
      <c r="K636" s="28"/>
    </row>
    <row r="637" customFormat="false" ht="15" hidden="false" customHeight="false" outlineLevel="0" collapsed="false">
      <c r="A637" s="32" t="str">
        <f aca="false">IF(COUNTA(B637,D637,E637,F637)=0,"",ROW()-4)</f>
        <v/>
      </c>
      <c r="B637" s="22"/>
      <c r="C637" s="28"/>
      <c r="D637" s="28"/>
      <c r="E637" s="18"/>
      <c r="F637" s="28"/>
      <c r="G637" s="32" t="str">
        <f aca="false">IF(F637="","",IFERROR(INDEX(請求台帳!$D$5:$D$504,MATCH(F637,請求台帳!$A$5:$A$504,0)),""))</f>
        <v/>
      </c>
      <c r="H637" s="26" t="str">
        <f aca="false">IF(F637="","",IFERROR(INDEX(請求台帳!$I$5:$I$504,MATCH(F637,請求台帳!$A$5:$A$504,0)),""))</f>
        <v/>
      </c>
      <c r="I637" s="29" t="str">
        <f aca="false">IF(COUNTA(B637,D637,E637,F637)=0,"",IF(OR(B637="",E637=""),"要入力",IF(F637="","未消込",IF(ISNA(MATCH(F637,請求台帳!$A$5:$A$504,0)),"番号誤り",IF(INDEX(請求台帳!$T$5:$T$504,MATCH(F637,請求台帳!$A$5:$A$504,0))="取消","取消請求へ消込","消込済")))))</f>
        <v/>
      </c>
      <c r="J637" s="28"/>
      <c r="K637" s="28"/>
    </row>
    <row r="638" customFormat="false" ht="15" hidden="false" customHeight="false" outlineLevel="0" collapsed="false">
      <c r="A638" s="32" t="str">
        <f aca="false">IF(COUNTA(B638,D638,E638,F638)=0,"",ROW()-4)</f>
        <v/>
      </c>
      <c r="B638" s="22"/>
      <c r="C638" s="28"/>
      <c r="D638" s="28"/>
      <c r="E638" s="18"/>
      <c r="F638" s="28"/>
      <c r="G638" s="32" t="str">
        <f aca="false">IF(F638="","",IFERROR(INDEX(請求台帳!$D$5:$D$504,MATCH(F638,請求台帳!$A$5:$A$504,0)),""))</f>
        <v/>
      </c>
      <c r="H638" s="26" t="str">
        <f aca="false">IF(F638="","",IFERROR(INDEX(請求台帳!$I$5:$I$504,MATCH(F638,請求台帳!$A$5:$A$504,0)),""))</f>
        <v/>
      </c>
      <c r="I638" s="29" t="str">
        <f aca="false">IF(COUNTA(B638,D638,E638,F638)=0,"",IF(OR(B638="",E638=""),"要入力",IF(F638="","未消込",IF(ISNA(MATCH(F638,請求台帳!$A$5:$A$504,0)),"番号誤り",IF(INDEX(請求台帳!$T$5:$T$504,MATCH(F638,請求台帳!$A$5:$A$504,0))="取消","取消請求へ消込","消込済")))))</f>
        <v/>
      </c>
      <c r="J638" s="28"/>
      <c r="K638" s="28"/>
    </row>
    <row r="639" customFormat="false" ht="15" hidden="false" customHeight="false" outlineLevel="0" collapsed="false">
      <c r="A639" s="32" t="str">
        <f aca="false">IF(COUNTA(B639,D639,E639,F639)=0,"",ROW()-4)</f>
        <v/>
      </c>
      <c r="B639" s="22"/>
      <c r="C639" s="28"/>
      <c r="D639" s="28"/>
      <c r="E639" s="18"/>
      <c r="F639" s="28"/>
      <c r="G639" s="32" t="str">
        <f aca="false">IF(F639="","",IFERROR(INDEX(請求台帳!$D$5:$D$504,MATCH(F639,請求台帳!$A$5:$A$504,0)),""))</f>
        <v/>
      </c>
      <c r="H639" s="26" t="str">
        <f aca="false">IF(F639="","",IFERROR(INDEX(請求台帳!$I$5:$I$504,MATCH(F639,請求台帳!$A$5:$A$504,0)),""))</f>
        <v/>
      </c>
      <c r="I639" s="29" t="str">
        <f aca="false">IF(COUNTA(B639,D639,E639,F639)=0,"",IF(OR(B639="",E639=""),"要入力",IF(F639="","未消込",IF(ISNA(MATCH(F639,請求台帳!$A$5:$A$504,0)),"番号誤り",IF(INDEX(請求台帳!$T$5:$T$504,MATCH(F639,請求台帳!$A$5:$A$504,0))="取消","取消請求へ消込","消込済")))))</f>
        <v/>
      </c>
      <c r="J639" s="28"/>
      <c r="K639" s="28"/>
    </row>
    <row r="640" customFormat="false" ht="15" hidden="false" customHeight="false" outlineLevel="0" collapsed="false">
      <c r="A640" s="32" t="str">
        <f aca="false">IF(COUNTA(B640,D640,E640,F640)=0,"",ROW()-4)</f>
        <v/>
      </c>
      <c r="B640" s="22"/>
      <c r="C640" s="28"/>
      <c r="D640" s="28"/>
      <c r="E640" s="18"/>
      <c r="F640" s="28"/>
      <c r="G640" s="32" t="str">
        <f aca="false">IF(F640="","",IFERROR(INDEX(請求台帳!$D$5:$D$504,MATCH(F640,請求台帳!$A$5:$A$504,0)),""))</f>
        <v/>
      </c>
      <c r="H640" s="26" t="str">
        <f aca="false">IF(F640="","",IFERROR(INDEX(請求台帳!$I$5:$I$504,MATCH(F640,請求台帳!$A$5:$A$504,0)),""))</f>
        <v/>
      </c>
      <c r="I640" s="29" t="str">
        <f aca="false">IF(COUNTA(B640,D640,E640,F640)=0,"",IF(OR(B640="",E640=""),"要入力",IF(F640="","未消込",IF(ISNA(MATCH(F640,請求台帳!$A$5:$A$504,0)),"番号誤り",IF(INDEX(請求台帳!$T$5:$T$504,MATCH(F640,請求台帳!$A$5:$A$504,0))="取消","取消請求へ消込","消込済")))))</f>
        <v/>
      </c>
      <c r="J640" s="28"/>
      <c r="K640" s="28"/>
    </row>
    <row r="641" customFormat="false" ht="15" hidden="false" customHeight="false" outlineLevel="0" collapsed="false">
      <c r="A641" s="32" t="str">
        <f aca="false">IF(COUNTA(B641,D641,E641,F641)=0,"",ROW()-4)</f>
        <v/>
      </c>
      <c r="B641" s="22"/>
      <c r="C641" s="28"/>
      <c r="D641" s="28"/>
      <c r="E641" s="18"/>
      <c r="F641" s="28"/>
      <c r="G641" s="32" t="str">
        <f aca="false">IF(F641="","",IFERROR(INDEX(請求台帳!$D$5:$D$504,MATCH(F641,請求台帳!$A$5:$A$504,0)),""))</f>
        <v/>
      </c>
      <c r="H641" s="26" t="str">
        <f aca="false">IF(F641="","",IFERROR(INDEX(請求台帳!$I$5:$I$504,MATCH(F641,請求台帳!$A$5:$A$504,0)),""))</f>
        <v/>
      </c>
      <c r="I641" s="29" t="str">
        <f aca="false">IF(COUNTA(B641,D641,E641,F641)=0,"",IF(OR(B641="",E641=""),"要入力",IF(F641="","未消込",IF(ISNA(MATCH(F641,請求台帳!$A$5:$A$504,0)),"番号誤り",IF(INDEX(請求台帳!$T$5:$T$504,MATCH(F641,請求台帳!$A$5:$A$504,0))="取消","取消請求へ消込","消込済")))))</f>
        <v/>
      </c>
      <c r="J641" s="28"/>
      <c r="K641" s="28"/>
    </row>
    <row r="642" customFormat="false" ht="15" hidden="false" customHeight="false" outlineLevel="0" collapsed="false">
      <c r="A642" s="32" t="str">
        <f aca="false">IF(COUNTA(B642,D642,E642,F642)=0,"",ROW()-4)</f>
        <v/>
      </c>
      <c r="B642" s="22"/>
      <c r="C642" s="28"/>
      <c r="D642" s="28"/>
      <c r="E642" s="18"/>
      <c r="F642" s="28"/>
      <c r="G642" s="32" t="str">
        <f aca="false">IF(F642="","",IFERROR(INDEX(請求台帳!$D$5:$D$504,MATCH(F642,請求台帳!$A$5:$A$504,0)),""))</f>
        <v/>
      </c>
      <c r="H642" s="26" t="str">
        <f aca="false">IF(F642="","",IFERROR(INDEX(請求台帳!$I$5:$I$504,MATCH(F642,請求台帳!$A$5:$A$504,0)),""))</f>
        <v/>
      </c>
      <c r="I642" s="29" t="str">
        <f aca="false">IF(COUNTA(B642,D642,E642,F642)=0,"",IF(OR(B642="",E642=""),"要入力",IF(F642="","未消込",IF(ISNA(MATCH(F642,請求台帳!$A$5:$A$504,0)),"番号誤り",IF(INDEX(請求台帳!$T$5:$T$504,MATCH(F642,請求台帳!$A$5:$A$504,0))="取消","取消請求へ消込","消込済")))))</f>
        <v/>
      </c>
      <c r="J642" s="28"/>
      <c r="K642" s="28"/>
    </row>
    <row r="643" customFormat="false" ht="15" hidden="false" customHeight="false" outlineLevel="0" collapsed="false">
      <c r="A643" s="32" t="str">
        <f aca="false">IF(COUNTA(B643,D643,E643,F643)=0,"",ROW()-4)</f>
        <v/>
      </c>
      <c r="B643" s="22"/>
      <c r="C643" s="28"/>
      <c r="D643" s="28"/>
      <c r="E643" s="18"/>
      <c r="F643" s="28"/>
      <c r="G643" s="32" t="str">
        <f aca="false">IF(F643="","",IFERROR(INDEX(請求台帳!$D$5:$D$504,MATCH(F643,請求台帳!$A$5:$A$504,0)),""))</f>
        <v/>
      </c>
      <c r="H643" s="26" t="str">
        <f aca="false">IF(F643="","",IFERROR(INDEX(請求台帳!$I$5:$I$504,MATCH(F643,請求台帳!$A$5:$A$504,0)),""))</f>
        <v/>
      </c>
      <c r="I643" s="29" t="str">
        <f aca="false">IF(COUNTA(B643,D643,E643,F643)=0,"",IF(OR(B643="",E643=""),"要入力",IF(F643="","未消込",IF(ISNA(MATCH(F643,請求台帳!$A$5:$A$504,0)),"番号誤り",IF(INDEX(請求台帳!$T$5:$T$504,MATCH(F643,請求台帳!$A$5:$A$504,0))="取消","取消請求へ消込","消込済")))))</f>
        <v/>
      </c>
      <c r="J643" s="28"/>
      <c r="K643" s="28"/>
    </row>
    <row r="644" customFormat="false" ht="15" hidden="false" customHeight="false" outlineLevel="0" collapsed="false">
      <c r="A644" s="32" t="str">
        <f aca="false">IF(COUNTA(B644,D644,E644,F644)=0,"",ROW()-4)</f>
        <v/>
      </c>
      <c r="B644" s="22"/>
      <c r="C644" s="28"/>
      <c r="D644" s="28"/>
      <c r="E644" s="18"/>
      <c r="F644" s="28"/>
      <c r="G644" s="32" t="str">
        <f aca="false">IF(F644="","",IFERROR(INDEX(請求台帳!$D$5:$D$504,MATCH(F644,請求台帳!$A$5:$A$504,0)),""))</f>
        <v/>
      </c>
      <c r="H644" s="26" t="str">
        <f aca="false">IF(F644="","",IFERROR(INDEX(請求台帳!$I$5:$I$504,MATCH(F644,請求台帳!$A$5:$A$504,0)),""))</f>
        <v/>
      </c>
      <c r="I644" s="29" t="str">
        <f aca="false">IF(COUNTA(B644,D644,E644,F644)=0,"",IF(OR(B644="",E644=""),"要入力",IF(F644="","未消込",IF(ISNA(MATCH(F644,請求台帳!$A$5:$A$504,0)),"番号誤り",IF(INDEX(請求台帳!$T$5:$T$504,MATCH(F644,請求台帳!$A$5:$A$504,0))="取消","取消請求へ消込","消込済")))))</f>
        <v/>
      </c>
      <c r="J644" s="28"/>
      <c r="K644" s="28"/>
    </row>
    <row r="645" customFormat="false" ht="15" hidden="false" customHeight="false" outlineLevel="0" collapsed="false">
      <c r="A645" s="32" t="str">
        <f aca="false">IF(COUNTA(B645,D645,E645,F645)=0,"",ROW()-4)</f>
        <v/>
      </c>
      <c r="B645" s="22"/>
      <c r="C645" s="28"/>
      <c r="D645" s="28"/>
      <c r="E645" s="18"/>
      <c r="F645" s="28"/>
      <c r="G645" s="32" t="str">
        <f aca="false">IF(F645="","",IFERROR(INDEX(請求台帳!$D$5:$D$504,MATCH(F645,請求台帳!$A$5:$A$504,0)),""))</f>
        <v/>
      </c>
      <c r="H645" s="26" t="str">
        <f aca="false">IF(F645="","",IFERROR(INDEX(請求台帳!$I$5:$I$504,MATCH(F645,請求台帳!$A$5:$A$504,0)),""))</f>
        <v/>
      </c>
      <c r="I645" s="29" t="str">
        <f aca="false">IF(COUNTA(B645,D645,E645,F645)=0,"",IF(OR(B645="",E645=""),"要入力",IF(F645="","未消込",IF(ISNA(MATCH(F645,請求台帳!$A$5:$A$504,0)),"番号誤り",IF(INDEX(請求台帳!$T$5:$T$504,MATCH(F645,請求台帳!$A$5:$A$504,0))="取消","取消請求へ消込","消込済")))))</f>
        <v/>
      </c>
      <c r="J645" s="28"/>
      <c r="K645" s="28"/>
    </row>
    <row r="646" customFormat="false" ht="15" hidden="false" customHeight="false" outlineLevel="0" collapsed="false">
      <c r="A646" s="32" t="str">
        <f aca="false">IF(COUNTA(B646,D646,E646,F646)=0,"",ROW()-4)</f>
        <v/>
      </c>
      <c r="B646" s="22"/>
      <c r="C646" s="28"/>
      <c r="D646" s="28"/>
      <c r="E646" s="18"/>
      <c r="F646" s="28"/>
      <c r="G646" s="32" t="str">
        <f aca="false">IF(F646="","",IFERROR(INDEX(請求台帳!$D$5:$D$504,MATCH(F646,請求台帳!$A$5:$A$504,0)),""))</f>
        <v/>
      </c>
      <c r="H646" s="26" t="str">
        <f aca="false">IF(F646="","",IFERROR(INDEX(請求台帳!$I$5:$I$504,MATCH(F646,請求台帳!$A$5:$A$504,0)),""))</f>
        <v/>
      </c>
      <c r="I646" s="29" t="str">
        <f aca="false">IF(COUNTA(B646,D646,E646,F646)=0,"",IF(OR(B646="",E646=""),"要入力",IF(F646="","未消込",IF(ISNA(MATCH(F646,請求台帳!$A$5:$A$504,0)),"番号誤り",IF(INDEX(請求台帳!$T$5:$T$504,MATCH(F646,請求台帳!$A$5:$A$504,0))="取消","取消請求へ消込","消込済")))))</f>
        <v/>
      </c>
      <c r="J646" s="28"/>
      <c r="K646" s="28"/>
    </row>
    <row r="647" customFormat="false" ht="15" hidden="false" customHeight="false" outlineLevel="0" collapsed="false">
      <c r="A647" s="32" t="str">
        <f aca="false">IF(COUNTA(B647,D647,E647,F647)=0,"",ROW()-4)</f>
        <v/>
      </c>
      <c r="B647" s="22"/>
      <c r="C647" s="28"/>
      <c r="D647" s="28"/>
      <c r="E647" s="18"/>
      <c r="F647" s="28"/>
      <c r="G647" s="32" t="str">
        <f aca="false">IF(F647="","",IFERROR(INDEX(請求台帳!$D$5:$D$504,MATCH(F647,請求台帳!$A$5:$A$504,0)),""))</f>
        <v/>
      </c>
      <c r="H647" s="26" t="str">
        <f aca="false">IF(F647="","",IFERROR(INDEX(請求台帳!$I$5:$I$504,MATCH(F647,請求台帳!$A$5:$A$504,0)),""))</f>
        <v/>
      </c>
      <c r="I647" s="29" t="str">
        <f aca="false">IF(COUNTA(B647,D647,E647,F647)=0,"",IF(OR(B647="",E647=""),"要入力",IF(F647="","未消込",IF(ISNA(MATCH(F647,請求台帳!$A$5:$A$504,0)),"番号誤り",IF(INDEX(請求台帳!$T$5:$T$504,MATCH(F647,請求台帳!$A$5:$A$504,0))="取消","取消請求へ消込","消込済")))))</f>
        <v/>
      </c>
      <c r="J647" s="28"/>
      <c r="K647" s="28"/>
    </row>
    <row r="648" customFormat="false" ht="15" hidden="false" customHeight="false" outlineLevel="0" collapsed="false">
      <c r="A648" s="32" t="str">
        <f aca="false">IF(COUNTA(B648,D648,E648,F648)=0,"",ROW()-4)</f>
        <v/>
      </c>
      <c r="B648" s="22"/>
      <c r="C648" s="28"/>
      <c r="D648" s="28"/>
      <c r="E648" s="18"/>
      <c r="F648" s="28"/>
      <c r="G648" s="32" t="str">
        <f aca="false">IF(F648="","",IFERROR(INDEX(請求台帳!$D$5:$D$504,MATCH(F648,請求台帳!$A$5:$A$504,0)),""))</f>
        <v/>
      </c>
      <c r="H648" s="26" t="str">
        <f aca="false">IF(F648="","",IFERROR(INDEX(請求台帳!$I$5:$I$504,MATCH(F648,請求台帳!$A$5:$A$504,0)),""))</f>
        <v/>
      </c>
      <c r="I648" s="29" t="str">
        <f aca="false">IF(COUNTA(B648,D648,E648,F648)=0,"",IF(OR(B648="",E648=""),"要入力",IF(F648="","未消込",IF(ISNA(MATCH(F648,請求台帳!$A$5:$A$504,0)),"番号誤り",IF(INDEX(請求台帳!$T$5:$T$504,MATCH(F648,請求台帳!$A$5:$A$504,0))="取消","取消請求へ消込","消込済")))))</f>
        <v/>
      </c>
      <c r="J648" s="28"/>
      <c r="K648" s="28"/>
    </row>
    <row r="649" customFormat="false" ht="15" hidden="false" customHeight="false" outlineLevel="0" collapsed="false">
      <c r="A649" s="32" t="str">
        <f aca="false">IF(COUNTA(B649,D649,E649,F649)=0,"",ROW()-4)</f>
        <v/>
      </c>
      <c r="B649" s="22"/>
      <c r="C649" s="28"/>
      <c r="D649" s="28"/>
      <c r="E649" s="18"/>
      <c r="F649" s="28"/>
      <c r="G649" s="32" t="str">
        <f aca="false">IF(F649="","",IFERROR(INDEX(請求台帳!$D$5:$D$504,MATCH(F649,請求台帳!$A$5:$A$504,0)),""))</f>
        <v/>
      </c>
      <c r="H649" s="26" t="str">
        <f aca="false">IF(F649="","",IFERROR(INDEX(請求台帳!$I$5:$I$504,MATCH(F649,請求台帳!$A$5:$A$504,0)),""))</f>
        <v/>
      </c>
      <c r="I649" s="29" t="str">
        <f aca="false">IF(COUNTA(B649,D649,E649,F649)=0,"",IF(OR(B649="",E649=""),"要入力",IF(F649="","未消込",IF(ISNA(MATCH(F649,請求台帳!$A$5:$A$504,0)),"番号誤り",IF(INDEX(請求台帳!$T$5:$T$504,MATCH(F649,請求台帳!$A$5:$A$504,0))="取消","取消請求へ消込","消込済")))))</f>
        <v/>
      </c>
      <c r="J649" s="28"/>
      <c r="K649" s="28"/>
    </row>
    <row r="650" customFormat="false" ht="15" hidden="false" customHeight="false" outlineLevel="0" collapsed="false">
      <c r="A650" s="32" t="str">
        <f aca="false">IF(COUNTA(B650,D650,E650,F650)=0,"",ROW()-4)</f>
        <v/>
      </c>
      <c r="B650" s="22"/>
      <c r="C650" s="28"/>
      <c r="D650" s="28"/>
      <c r="E650" s="18"/>
      <c r="F650" s="28"/>
      <c r="G650" s="32" t="str">
        <f aca="false">IF(F650="","",IFERROR(INDEX(請求台帳!$D$5:$D$504,MATCH(F650,請求台帳!$A$5:$A$504,0)),""))</f>
        <v/>
      </c>
      <c r="H650" s="26" t="str">
        <f aca="false">IF(F650="","",IFERROR(INDEX(請求台帳!$I$5:$I$504,MATCH(F650,請求台帳!$A$5:$A$504,0)),""))</f>
        <v/>
      </c>
      <c r="I650" s="29" t="str">
        <f aca="false">IF(COUNTA(B650,D650,E650,F650)=0,"",IF(OR(B650="",E650=""),"要入力",IF(F650="","未消込",IF(ISNA(MATCH(F650,請求台帳!$A$5:$A$504,0)),"番号誤り",IF(INDEX(請求台帳!$T$5:$T$504,MATCH(F650,請求台帳!$A$5:$A$504,0))="取消","取消請求へ消込","消込済")))))</f>
        <v/>
      </c>
      <c r="J650" s="28"/>
      <c r="K650" s="28"/>
    </row>
    <row r="651" customFormat="false" ht="15" hidden="false" customHeight="false" outlineLevel="0" collapsed="false">
      <c r="A651" s="32" t="str">
        <f aca="false">IF(COUNTA(B651,D651,E651,F651)=0,"",ROW()-4)</f>
        <v/>
      </c>
      <c r="B651" s="22"/>
      <c r="C651" s="28"/>
      <c r="D651" s="28"/>
      <c r="E651" s="18"/>
      <c r="F651" s="28"/>
      <c r="G651" s="32" t="str">
        <f aca="false">IF(F651="","",IFERROR(INDEX(請求台帳!$D$5:$D$504,MATCH(F651,請求台帳!$A$5:$A$504,0)),""))</f>
        <v/>
      </c>
      <c r="H651" s="26" t="str">
        <f aca="false">IF(F651="","",IFERROR(INDEX(請求台帳!$I$5:$I$504,MATCH(F651,請求台帳!$A$5:$A$504,0)),""))</f>
        <v/>
      </c>
      <c r="I651" s="29" t="str">
        <f aca="false">IF(COUNTA(B651,D651,E651,F651)=0,"",IF(OR(B651="",E651=""),"要入力",IF(F651="","未消込",IF(ISNA(MATCH(F651,請求台帳!$A$5:$A$504,0)),"番号誤り",IF(INDEX(請求台帳!$T$5:$T$504,MATCH(F651,請求台帳!$A$5:$A$504,0))="取消","取消請求へ消込","消込済")))))</f>
        <v/>
      </c>
      <c r="J651" s="28"/>
      <c r="K651" s="28"/>
    </row>
    <row r="652" customFormat="false" ht="15" hidden="false" customHeight="false" outlineLevel="0" collapsed="false">
      <c r="A652" s="32" t="str">
        <f aca="false">IF(COUNTA(B652,D652,E652,F652)=0,"",ROW()-4)</f>
        <v/>
      </c>
      <c r="B652" s="22"/>
      <c r="C652" s="28"/>
      <c r="D652" s="28"/>
      <c r="E652" s="18"/>
      <c r="F652" s="28"/>
      <c r="G652" s="32" t="str">
        <f aca="false">IF(F652="","",IFERROR(INDEX(請求台帳!$D$5:$D$504,MATCH(F652,請求台帳!$A$5:$A$504,0)),""))</f>
        <v/>
      </c>
      <c r="H652" s="26" t="str">
        <f aca="false">IF(F652="","",IFERROR(INDEX(請求台帳!$I$5:$I$504,MATCH(F652,請求台帳!$A$5:$A$504,0)),""))</f>
        <v/>
      </c>
      <c r="I652" s="29" t="str">
        <f aca="false">IF(COUNTA(B652,D652,E652,F652)=0,"",IF(OR(B652="",E652=""),"要入力",IF(F652="","未消込",IF(ISNA(MATCH(F652,請求台帳!$A$5:$A$504,0)),"番号誤り",IF(INDEX(請求台帳!$T$5:$T$504,MATCH(F652,請求台帳!$A$5:$A$504,0))="取消","取消請求へ消込","消込済")))))</f>
        <v/>
      </c>
      <c r="J652" s="28"/>
      <c r="K652" s="28"/>
    </row>
    <row r="653" customFormat="false" ht="15" hidden="false" customHeight="false" outlineLevel="0" collapsed="false">
      <c r="A653" s="32" t="str">
        <f aca="false">IF(COUNTA(B653,D653,E653,F653)=0,"",ROW()-4)</f>
        <v/>
      </c>
      <c r="B653" s="22"/>
      <c r="C653" s="28"/>
      <c r="D653" s="28"/>
      <c r="E653" s="18"/>
      <c r="F653" s="28"/>
      <c r="G653" s="32" t="str">
        <f aca="false">IF(F653="","",IFERROR(INDEX(請求台帳!$D$5:$D$504,MATCH(F653,請求台帳!$A$5:$A$504,0)),""))</f>
        <v/>
      </c>
      <c r="H653" s="26" t="str">
        <f aca="false">IF(F653="","",IFERROR(INDEX(請求台帳!$I$5:$I$504,MATCH(F653,請求台帳!$A$5:$A$504,0)),""))</f>
        <v/>
      </c>
      <c r="I653" s="29" t="str">
        <f aca="false">IF(COUNTA(B653,D653,E653,F653)=0,"",IF(OR(B653="",E653=""),"要入力",IF(F653="","未消込",IF(ISNA(MATCH(F653,請求台帳!$A$5:$A$504,0)),"番号誤り",IF(INDEX(請求台帳!$T$5:$T$504,MATCH(F653,請求台帳!$A$5:$A$504,0))="取消","取消請求へ消込","消込済")))))</f>
        <v/>
      </c>
      <c r="J653" s="28"/>
      <c r="K653" s="28"/>
    </row>
    <row r="654" customFormat="false" ht="15" hidden="false" customHeight="false" outlineLevel="0" collapsed="false">
      <c r="A654" s="32" t="str">
        <f aca="false">IF(COUNTA(B654,D654,E654,F654)=0,"",ROW()-4)</f>
        <v/>
      </c>
      <c r="B654" s="22"/>
      <c r="C654" s="28"/>
      <c r="D654" s="28"/>
      <c r="E654" s="18"/>
      <c r="F654" s="28"/>
      <c r="G654" s="32" t="str">
        <f aca="false">IF(F654="","",IFERROR(INDEX(請求台帳!$D$5:$D$504,MATCH(F654,請求台帳!$A$5:$A$504,0)),""))</f>
        <v/>
      </c>
      <c r="H654" s="26" t="str">
        <f aca="false">IF(F654="","",IFERROR(INDEX(請求台帳!$I$5:$I$504,MATCH(F654,請求台帳!$A$5:$A$504,0)),""))</f>
        <v/>
      </c>
      <c r="I654" s="29" t="str">
        <f aca="false">IF(COUNTA(B654,D654,E654,F654)=0,"",IF(OR(B654="",E654=""),"要入力",IF(F654="","未消込",IF(ISNA(MATCH(F654,請求台帳!$A$5:$A$504,0)),"番号誤り",IF(INDEX(請求台帳!$T$5:$T$504,MATCH(F654,請求台帳!$A$5:$A$504,0))="取消","取消請求へ消込","消込済")))))</f>
        <v/>
      </c>
      <c r="J654" s="28"/>
      <c r="K654" s="28"/>
    </row>
    <row r="655" customFormat="false" ht="15" hidden="false" customHeight="false" outlineLevel="0" collapsed="false">
      <c r="A655" s="32" t="str">
        <f aca="false">IF(COUNTA(B655,D655,E655,F655)=0,"",ROW()-4)</f>
        <v/>
      </c>
      <c r="B655" s="22"/>
      <c r="C655" s="28"/>
      <c r="D655" s="28"/>
      <c r="E655" s="18"/>
      <c r="F655" s="28"/>
      <c r="G655" s="32" t="str">
        <f aca="false">IF(F655="","",IFERROR(INDEX(請求台帳!$D$5:$D$504,MATCH(F655,請求台帳!$A$5:$A$504,0)),""))</f>
        <v/>
      </c>
      <c r="H655" s="26" t="str">
        <f aca="false">IF(F655="","",IFERROR(INDEX(請求台帳!$I$5:$I$504,MATCH(F655,請求台帳!$A$5:$A$504,0)),""))</f>
        <v/>
      </c>
      <c r="I655" s="29" t="str">
        <f aca="false">IF(COUNTA(B655,D655,E655,F655)=0,"",IF(OR(B655="",E655=""),"要入力",IF(F655="","未消込",IF(ISNA(MATCH(F655,請求台帳!$A$5:$A$504,0)),"番号誤り",IF(INDEX(請求台帳!$T$5:$T$504,MATCH(F655,請求台帳!$A$5:$A$504,0))="取消","取消請求へ消込","消込済")))))</f>
        <v/>
      </c>
      <c r="J655" s="28"/>
      <c r="K655" s="28"/>
    </row>
    <row r="656" customFormat="false" ht="15" hidden="false" customHeight="false" outlineLevel="0" collapsed="false">
      <c r="A656" s="32" t="str">
        <f aca="false">IF(COUNTA(B656,D656,E656,F656)=0,"",ROW()-4)</f>
        <v/>
      </c>
      <c r="B656" s="22"/>
      <c r="C656" s="28"/>
      <c r="D656" s="28"/>
      <c r="E656" s="18"/>
      <c r="F656" s="28"/>
      <c r="G656" s="32" t="str">
        <f aca="false">IF(F656="","",IFERROR(INDEX(請求台帳!$D$5:$D$504,MATCH(F656,請求台帳!$A$5:$A$504,0)),""))</f>
        <v/>
      </c>
      <c r="H656" s="26" t="str">
        <f aca="false">IF(F656="","",IFERROR(INDEX(請求台帳!$I$5:$I$504,MATCH(F656,請求台帳!$A$5:$A$504,0)),""))</f>
        <v/>
      </c>
      <c r="I656" s="29" t="str">
        <f aca="false">IF(COUNTA(B656,D656,E656,F656)=0,"",IF(OR(B656="",E656=""),"要入力",IF(F656="","未消込",IF(ISNA(MATCH(F656,請求台帳!$A$5:$A$504,0)),"番号誤り",IF(INDEX(請求台帳!$T$5:$T$504,MATCH(F656,請求台帳!$A$5:$A$504,0))="取消","取消請求へ消込","消込済")))))</f>
        <v/>
      </c>
      <c r="J656" s="28"/>
      <c r="K656" s="28"/>
    </row>
    <row r="657" customFormat="false" ht="15" hidden="false" customHeight="false" outlineLevel="0" collapsed="false">
      <c r="A657" s="32" t="str">
        <f aca="false">IF(COUNTA(B657,D657,E657,F657)=0,"",ROW()-4)</f>
        <v/>
      </c>
      <c r="B657" s="22"/>
      <c r="C657" s="28"/>
      <c r="D657" s="28"/>
      <c r="E657" s="18"/>
      <c r="F657" s="28"/>
      <c r="G657" s="32" t="str">
        <f aca="false">IF(F657="","",IFERROR(INDEX(請求台帳!$D$5:$D$504,MATCH(F657,請求台帳!$A$5:$A$504,0)),""))</f>
        <v/>
      </c>
      <c r="H657" s="26" t="str">
        <f aca="false">IF(F657="","",IFERROR(INDEX(請求台帳!$I$5:$I$504,MATCH(F657,請求台帳!$A$5:$A$504,0)),""))</f>
        <v/>
      </c>
      <c r="I657" s="29" t="str">
        <f aca="false">IF(COUNTA(B657,D657,E657,F657)=0,"",IF(OR(B657="",E657=""),"要入力",IF(F657="","未消込",IF(ISNA(MATCH(F657,請求台帳!$A$5:$A$504,0)),"番号誤り",IF(INDEX(請求台帳!$T$5:$T$504,MATCH(F657,請求台帳!$A$5:$A$504,0))="取消","取消請求へ消込","消込済")))))</f>
        <v/>
      </c>
      <c r="J657" s="28"/>
      <c r="K657" s="28"/>
    </row>
    <row r="658" customFormat="false" ht="15" hidden="false" customHeight="false" outlineLevel="0" collapsed="false">
      <c r="A658" s="32" t="str">
        <f aca="false">IF(COUNTA(B658,D658,E658,F658)=0,"",ROW()-4)</f>
        <v/>
      </c>
      <c r="B658" s="22"/>
      <c r="C658" s="28"/>
      <c r="D658" s="28"/>
      <c r="E658" s="18"/>
      <c r="F658" s="28"/>
      <c r="G658" s="32" t="str">
        <f aca="false">IF(F658="","",IFERROR(INDEX(請求台帳!$D$5:$D$504,MATCH(F658,請求台帳!$A$5:$A$504,0)),""))</f>
        <v/>
      </c>
      <c r="H658" s="26" t="str">
        <f aca="false">IF(F658="","",IFERROR(INDEX(請求台帳!$I$5:$I$504,MATCH(F658,請求台帳!$A$5:$A$504,0)),""))</f>
        <v/>
      </c>
      <c r="I658" s="29" t="str">
        <f aca="false">IF(COUNTA(B658,D658,E658,F658)=0,"",IF(OR(B658="",E658=""),"要入力",IF(F658="","未消込",IF(ISNA(MATCH(F658,請求台帳!$A$5:$A$504,0)),"番号誤り",IF(INDEX(請求台帳!$T$5:$T$504,MATCH(F658,請求台帳!$A$5:$A$504,0))="取消","取消請求へ消込","消込済")))))</f>
        <v/>
      </c>
      <c r="J658" s="28"/>
      <c r="K658" s="28"/>
    </row>
    <row r="659" customFormat="false" ht="15" hidden="false" customHeight="false" outlineLevel="0" collapsed="false">
      <c r="A659" s="32" t="str">
        <f aca="false">IF(COUNTA(B659,D659,E659,F659)=0,"",ROW()-4)</f>
        <v/>
      </c>
      <c r="B659" s="22"/>
      <c r="C659" s="28"/>
      <c r="D659" s="28"/>
      <c r="E659" s="18"/>
      <c r="F659" s="28"/>
      <c r="G659" s="32" t="str">
        <f aca="false">IF(F659="","",IFERROR(INDEX(請求台帳!$D$5:$D$504,MATCH(F659,請求台帳!$A$5:$A$504,0)),""))</f>
        <v/>
      </c>
      <c r="H659" s="26" t="str">
        <f aca="false">IF(F659="","",IFERROR(INDEX(請求台帳!$I$5:$I$504,MATCH(F659,請求台帳!$A$5:$A$504,0)),""))</f>
        <v/>
      </c>
      <c r="I659" s="29" t="str">
        <f aca="false">IF(COUNTA(B659,D659,E659,F659)=0,"",IF(OR(B659="",E659=""),"要入力",IF(F659="","未消込",IF(ISNA(MATCH(F659,請求台帳!$A$5:$A$504,0)),"番号誤り",IF(INDEX(請求台帳!$T$5:$T$504,MATCH(F659,請求台帳!$A$5:$A$504,0))="取消","取消請求へ消込","消込済")))))</f>
        <v/>
      </c>
      <c r="J659" s="28"/>
      <c r="K659" s="28"/>
    </row>
    <row r="660" customFormat="false" ht="15" hidden="false" customHeight="false" outlineLevel="0" collapsed="false">
      <c r="A660" s="32" t="str">
        <f aca="false">IF(COUNTA(B660,D660,E660,F660)=0,"",ROW()-4)</f>
        <v/>
      </c>
      <c r="B660" s="22"/>
      <c r="C660" s="28"/>
      <c r="D660" s="28"/>
      <c r="E660" s="18"/>
      <c r="F660" s="28"/>
      <c r="G660" s="32" t="str">
        <f aca="false">IF(F660="","",IFERROR(INDEX(請求台帳!$D$5:$D$504,MATCH(F660,請求台帳!$A$5:$A$504,0)),""))</f>
        <v/>
      </c>
      <c r="H660" s="26" t="str">
        <f aca="false">IF(F660="","",IFERROR(INDEX(請求台帳!$I$5:$I$504,MATCH(F660,請求台帳!$A$5:$A$504,0)),""))</f>
        <v/>
      </c>
      <c r="I660" s="29" t="str">
        <f aca="false">IF(COUNTA(B660,D660,E660,F660)=0,"",IF(OR(B660="",E660=""),"要入力",IF(F660="","未消込",IF(ISNA(MATCH(F660,請求台帳!$A$5:$A$504,0)),"番号誤り",IF(INDEX(請求台帳!$T$5:$T$504,MATCH(F660,請求台帳!$A$5:$A$504,0))="取消","取消請求へ消込","消込済")))))</f>
        <v/>
      </c>
      <c r="J660" s="28"/>
      <c r="K660" s="28"/>
    </row>
    <row r="661" customFormat="false" ht="15" hidden="false" customHeight="false" outlineLevel="0" collapsed="false">
      <c r="A661" s="32" t="str">
        <f aca="false">IF(COUNTA(B661,D661,E661,F661)=0,"",ROW()-4)</f>
        <v/>
      </c>
      <c r="B661" s="22"/>
      <c r="C661" s="28"/>
      <c r="D661" s="28"/>
      <c r="E661" s="18"/>
      <c r="F661" s="28"/>
      <c r="G661" s="32" t="str">
        <f aca="false">IF(F661="","",IFERROR(INDEX(請求台帳!$D$5:$D$504,MATCH(F661,請求台帳!$A$5:$A$504,0)),""))</f>
        <v/>
      </c>
      <c r="H661" s="26" t="str">
        <f aca="false">IF(F661="","",IFERROR(INDEX(請求台帳!$I$5:$I$504,MATCH(F661,請求台帳!$A$5:$A$504,0)),""))</f>
        <v/>
      </c>
      <c r="I661" s="29" t="str">
        <f aca="false">IF(COUNTA(B661,D661,E661,F661)=0,"",IF(OR(B661="",E661=""),"要入力",IF(F661="","未消込",IF(ISNA(MATCH(F661,請求台帳!$A$5:$A$504,0)),"番号誤り",IF(INDEX(請求台帳!$T$5:$T$504,MATCH(F661,請求台帳!$A$5:$A$504,0))="取消","取消請求へ消込","消込済")))))</f>
        <v/>
      </c>
      <c r="J661" s="28"/>
      <c r="K661" s="28"/>
    </row>
    <row r="662" customFormat="false" ht="15" hidden="false" customHeight="false" outlineLevel="0" collapsed="false">
      <c r="A662" s="32" t="str">
        <f aca="false">IF(COUNTA(B662,D662,E662,F662)=0,"",ROW()-4)</f>
        <v/>
      </c>
      <c r="B662" s="22"/>
      <c r="C662" s="28"/>
      <c r="D662" s="28"/>
      <c r="E662" s="18"/>
      <c r="F662" s="28"/>
      <c r="G662" s="32" t="str">
        <f aca="false">IF(F662="","",IFERROR(INDEX(請求台帳!$D$5:$D$504,MATCH(F662,請求台帳!$A$5:$A$504,0)),""))</f>
        <v/>
      </c>
      <c r="H662" s="26" t="str">
        <f aca="false">IF(F662="","",IFERROR(INDEX(請求台帳!$I$5:$I$504,MATCH(F662,請求台帳!$A$5:$A$504,0)),""))</f>
        <v/>
      </c>
      <c r="I662" s="29" t="str">
        <f aca="false">IF(COUNTA(B662,D662,E662,F662)=0,"",IF(OR(B662="",E662=""),"要入力",IF(F662="","未消込",IF(ISNA(MATCH(F662,請求台帳!$A$5:$A$504,0)),"番号誤り",IF(INDEX(請求台帳!$T$5:$T$504,MATCH(F662,請求台帳!$A$5:$A$504,0))="取消","取消請求へ消込","消込済")))))</f>
        <v/>
      </c>
      <c r="J662" s="28"/>
      <c r="K662" s="28"/>
    </row>
    <row r="663" customFormat="false" ht="15" hidden="false" customHeight="false" outlineLevel="0" collapsed="false">
      <c r="A663" s="32" t="str">
        <f aca="false">IF(COUNTA(B663,D663,E663,F663)=0,"",ROW()-4)</f>
        <v/>
      </c>
      <c r="B663" s="22"/>
      <c r="C663" s="28"/>
      <c r="D663" s="28"/>
      <c r="E663" s="18"/>
      <c r="F663" s="28"/>
      <c r="G663" s="32" t="str">
        <f aca="false">IF(F663="","",IFERROR(INDEX(請求台帳!$D$5:$D$504,MATCH(F663,請求台帳!$A$5:$A$504,0)),""))</f>
        <v/>
      </c>
      <c r="H663" s="26" t="str">
        <f aca="false">IF(F663="","",IFERROR(INDEX(請求台帳!$I$5:$I$504,MATCH(F663,請求台帳!$A$5:$A$504,0)),""))</f>
        <v/>
      </c>
      <c r="I663" s="29" t="str">
        <f aca="false">IF(COUNTA(B663,D663,E663,F663)=0,"",IF(OR(B663="",E663=""),"要入力",IF(F663="","未消込",IF(ISNA(MATCH(F663,請求台帳!$A$5:$A$504,0)),"番号誤り",IF(INDEX(請求台帳!$T$5:$T$504,MATCH(F663,請求台帳!$A$5:$A$504,0))="取消","取消請求へ消込","消込済")))))</f>
        <v/>
      </c>
      <c r="J663" s="28"/>
      <c r="K663" s="28"/>
    </row>
    <row r="664" customFormat="false" ht="15" hidden="false" customHeight="false" outlineLevel="0" collapsed="false">
      <c r="A664" s="32" t="str">
        <f aca="false">IF(COUNTA(B664,D664,E664,F664)=0,"",ROW()-4)</f>
        <v/>
      </c>
      <c r="B664" s="22"/>
      <c r="C664" s="28"/>
      <c r="D664" s="28"/>
      <c r="E664" s="18"/>
      <c r="F664" s="28"/>
      <c r="G664" s="32" t="str">
        <f aca="false">IF(F664="","",IFERROR(INDEX(請求台帳!$D$5:$D$504,MATCH(F664,請求台帳!$A$5:$A$504,0)),""))</f>
        <v/>
      </c>
      <c r="H664" s="26" t="str">
        <f aca="false">IF(F664="","",IFERROR(INDEX(請求台帳!$I$5:$I$504,MATCH(F664,請求台帳!$A$5:$A$504,0)),""))</f>
        <v/>
      </c>
      <c r="I664" s="29" t="str">
        <f aca="false">IF(COUNTA(B664,D664,E664,F664)=0,"",IF(OR(B664="",E664=""),"要入力",IF(F664="","未消込",IF(ISNA(MATCH(F664,請求台帳!$A$5:$A$504,0)),"番号誤り",IF(INDEX(請求台帳!$T$5:$T$504,MATCH(F664,請求台帳!$A$5:$A$504,0))="取消","取消請求へ消込","消込済")))))</f>
        <v/>
      </c>
      <c r="J664" s="28"/>
      <c r="K664" s="28"/>
    </row>
    <row r="665" customFormat="false" ht="15" hidden="false" customHeight="false" outlineLevel="0" collapsed="false">
      <c r="A665" s="32" t="str">
        <f aca="false">IF(COUNTA(B665,D665,E665,F665)=0,"",ROW()-4)</f>
        <v/>
      </c>
      <c r="B665" s="22"/>
      <c r="C665" s="28"/>
      <c r="D665" s="28"/>
      <c r="E665" s="18"/>
      <c r="F665" s="28"/>
      <c r="G665" s="32" t="str">
        <f aca="false">IF(F665="","",IFERROR(INDEX(請求台帳!$D$5:$D$504,MATCH(F665,請求台帳!$A$5:$A$504,0)),""))</f>
        <v/>
      </c>
      <c r="H665" s="26" t="str">
        <f aca="false">IF(F665="","",IFERROR(INDEX(請求台帳!$I$5:$I$504,MATCH(F665,請求台帳!$A$5:$A$504,0)),""))</f>
        <v/>
      </c>
      <c r="I665" s="29" t="str">
        <f aca="false">IF(COUNTA(B665,D665,E665,F665)=0,"",IF(OR(B665="",E665=""),"要入力",IF(F665="","未消込",IF(ISNA(MATCH(F665,請求台帳!$A$5:$A$504,0)),"番号誤り",IF(INDEX(請求台帳!$T$5:$T$504,MATCH(F665,請求台帳!$A$5:$A$504,0))="取消","取消請求へ消込","消込済")))))</f>
        <v/>
      </c>
      <c r="J665" s="28"/>
      <c r="K665" s="28"/>
    </row>
    <row r="666" customFormat="false" ht="15" hidden="false" customHeight="false" outlineLevel="0" collapsed="false">
      <c r="A666" s="32" t="str">
        <f aca="false">IF(COUNTA(B666,D666,E666,F666)=0,"",ROW()-4)</f>
        <v/>
      </c>
      <c r="B666" s="22"/>
      <c r="C666" s="28"/>
      <c r="D666" s="28"/>
      <c r="E666" s="18"/>
      <c r="F666" s="28"/>
      <c r="G666" s="32" t="str">
        <f aca="false">IF(F666="","",IFERROR(INDEX(請求台帳!$D$5:$D$504,MATCH(F666,請求台帳!$A$5:$A$504,0)),""))</f>
        <v/>
      </c>
      <c r="H666" s="26" t="str">
        <f aca="false">IF(F666="","",IFERROR(INDEX(請求台帳!$I$5:$I$504,MATCH(F666,請求台帳!$A$5:$A$504,0)),""))</f>
        <v/>
      </c>
      <c r="I666" s="29" t="str">
        <f aca="false">IF(COUNTA(B666,D666,E666,F666)=0,"",IF(OR(B666="",E666=""),"要入力",IF(F666="","未消込",IF(ISNA(MATCH(F666,請求台帳!$A$5:$A$504,0)),"番号誤り",IF(INDEX(請求台帳!$T$5:$T$504,MATCH(F666,請求台帳!$A$5:$A$504,0))="取消","取消請求へ消込","消込済")))))</f>
        <v/>
      </c>
      <c r="J666" s="28"/>
      <c r="K666" s="28"/>
    </row>
    <row r="667" customFormat="false" ht="15" hidden="false" customHeight="false" outlineLevel="0" collapsed="false">
      <c r="A667" s="32" t="str">
        <f aca="false">IF(COUNTA(B667,D667,E667,F667)=0,"",ROW()-4)</f>
        <v/>
      </c>
      <c r="B667" s="22"/>
      <c r="C667" s="28"/>
      <c r="D667" s="28"/>
      <c r="E667" s="18"/>
      <c r="F667" s="28"/>
      <c r="G667" s="32" t="str">
        <f aca="false">IF(F667="","",IFERROR(INDEX(請求台帳!$D$5:$D$504,MATCH(F667,請求台帳!$A$5:$A$504,0)),""))</f>
        <v/>
      </c>
      <c r="H667" s="26" t="str">
        <f aca="false">IF(F667="","",IFERROR(INDEX(請求台帳!$I$5:$I$504,MATCH(F667,請求台帳!$A$5:$A$504,0)),""))</f>
        <v/>
      </c>
      <c r="I667" s="29" t="str">
        <f aca="false">IF(COUNTA(B667,D667,E667,F667)=0,"",IF(OR(B667="",E667=""),"要入力",IF(F667="","未消込",IF(ISNA(MATCH(F667,請求台帳!$A$5:$A$504,0)),"番号誤り",IF(INDEX(請求台帳!$T$5:$T$504,MATCH(F667,請求台帳!$A$5:$A$504,0))="取消","取消請求へ消込","消込済")))))</f>
        <v/>
      </c>
      <c r="J667" s="28"/>
      <c r="K667" s="28"/>
    </row>
    <row r="668" customFormat="false" ht="15" hidden="false" customHeight="false" outlineLevel="0" collapsed="false">
      <c r="A668" s="32" t="str">
        <f aca="false">IF(COUNTA(B668,D668,E668,F668)=0,"",ROW()-4)</f>
        <v/>
      </c>
      <c r="B668" s="22"/>
      <c r="C668" s="28"/>
      <c r="D668" s="28"/>
      <c r="E668" s="18"/>
      <c r="F668" s="28"/>
      <c r="G668" s="32" t="str">
        <f aca="false">IF(F668="","",IFERROR(INDEX(請求台帳!$D$5:$D$504,MATCH(F668,請求台帳!$A$5:$A$504,0)),""))</f>
        <v/>
      </c>
      <c r="H668" s="26" t="str">
        <f aca="false">IF(F668="","",IFERROR(INDEX(請求台帳!$I$5:$I$504,MATCH(F668,請求台帳!$A$5:$A$504,0)),""))</f>
        <v/>
      </c>
      <c r="I668" s="29" t="str">
        <f aca="false">IF(COUNTA(B668,D668,E668,F668)=0,"",IF(OR(B668="",E668=""),"要入力",IF(F668="","未消込",IF(ISNA(MATCH(F668,請求台帳!$A$5:$A$504,0)),"番号誤り",IF(INDEX(請求台帳!$T$5:$T$504,MATCH(F668,請求台帳!$A$5:$A$504,0))="取消","取消請求へ消込","消込済")))))</f>
        <v/>
      </c>
      <c r="J668" s="28"/>
      <c r="K668" s="28"/>
    </row>
    <row r="669" customFormat="false" ht="15" hidden="false" customHeight="false" outlineLevel="0" collapsed="false">
      <c r="A669" s="32" t="str">
        <f aca="false">IF(COUNTA(B669,D669,E669,F669)=0,"",ROW()-4)</f>
        <v/>
      </c>
      <c r="B669" s="22"/>
      <c r="C669" s="28"/>
      <c r="D669" s="28"/>
      <c r="E669" s="18"/>
      <c r="F669" s="28"/>
      <c r="G669" s="32" t="str">
        <f aca="false">IF(F669="","",IFERROR(INDEX(請求台帳!$D$5:$D$504,MATCH(F669,請求台帳!$A$5:$A$504,0)),""))</f>
        <v/>
      </c>
      <c r="H669" s="26" t="str">
        <f aca="false">IF(F669="","",IFERROR(INDEX(請求台帳!$I$5:$I$504,MATCH(F669,請求台帳!$A$5:$A$504,0)),""))</f>
        <v/>
      </c>
      <c r="I669" s="29" t="str">
        <f aca="false">IF(COUNTA(B669,D669,E669,F669)=0,"",IF(OR(B669="",E669=""),"要入力",IF(F669="","未消込",IF(ISNA(MATCH(F669,請求台帳!$A$5:$A$504,0)),"番号誤り",IF(INDEX(請求台帳!$T$5:$T$504,MATCH(F669,請求台帳!$A$5:$A$504,0))="取消","取消請求へ消込","消込済")))))</f>
        <v/>
      </c>
      <c r="J669" s="28"/>
      <c r="K669" s="28"/>
    </row>
    <row r="670" customFormat="false" ht="15" hidden="false" customHeight="false" outlineLevel="0" collapsed="false">
      <c r="A670" s="32" t="str">
        <f aca="false">IF(COUNTA(B670,D670,E670,F670)=0,"",ROW()-4)</f>
        <v/>
      </c>
      <c r="B670" s="22"/>
      <c r="C670" s="28"/>
      <c r="D670" s="28"/>
      <c r="E670" s="18"/>
      <c r="F670" s="28"/>
      <c r="G670" s="32" t="str">
        <f aca="false">IF(F670="","",IFERROR(INDEX(請求台帳!$D$5:$D$504,MATCH(F670,請求台帳!$A$5:$A$504,0)),""))</f>
        <v/>
      </c>
      <c r="H670" s="26" t="str">
        <f aca="false">IF(F670="","",IFERROR(INDEX(請求台帳!$I$5:$I$504,MATCH(F670,請求台帳!$A$5:$A$504,0)),""))</f>
        <v/>
      </c>
      <c r="I670" s="29" t="str">
        <f aca="false">IF(COUNTA(B670,D670,E670,F670)=0,"",IF(OR(B670="",E670=""),"要入力",IF(F670="","未消込",IF(ISNA(MATCH(F670,請求台帳!$A$5:$A$504,0)),"番号誤り",IF(INDEX(請求台帳!$T$5:$T$504,MATCH(F670,請求台帳!$A$5:$A$504,0))="取消","取消請求へ消込","消込済")))))</f>
        <v/>
      </c>
      <c r="J670" s="28"/>
      <c r="K670" s="28"/>
    </row>
    <row r="671" customFormat="false" ht="15" hidden="false" customHeight="false" outlineLevel="0" collapsed="false">
      <c r="A671" s="32" t="str">
        <f aca="false">IF(COUNTA(B671,D671,E671,F671)=0,"",ROW()-4)</f>
        <v/>
      </c>
      <c r="B671" s="22"/>
      <c r="C671" s="28"/>
      <c r="D671" s="28"/>
      <c r="E671" s="18"/>
      <c r="F671" s="28"/>
      <c r="G671" s="32" t="str">
        <f aca="false">IF(F671="","",IFERROR(INDEX(請求台帳!$D$5:$D$504,MATCH(F671,請求台帳!$A$5:$A$504,0)),""))</f>
        <v/>
      </c>
      <c r="H671" s="26" t="str">
        <f aca="false">IF(F671="","",IFERROR(INDEX(請求台帳!$I$5:$I$504,MATCH(F671,請求台帳!$A$5:$A$504,0)),""))</f>
        <v/>
      </c>
      <c r="I671" s="29" t="str">
        <f aca="false">IF(COUNTA(B671,D671,E671,F671)=0,"",IF(OR(B671="",E671=""),"要入力",IF(F671="","未消込",IF(ISNA(MATCH(F671,請求台帳!$A$5:$A$504,0)),"番号誤り",IF(INDEX(請求台帳!$T$5:$T$504,MATCH(F671,請求台帳!$A$5:$A$504,0))="取消","取消請求へ消込","消込済")))))</f>
        <v/>
      </c>
      <c r="J671" s="28"/>
      <c r="K671" s="28"/>
    </row>
    <row r="672" customFormat="false" ht="15" hidden="false" customHeight="false" outlineLevel="0" collapsed="false">
      <c r="A672" s="32" t="str">
        <f aca="false">IF(COUNTA(B672,D672,E672,F672)=0,"",ROW()-4)</f>
        <v/>
      </c>
      <c r="B672" s="22"/>
      <c r="C672" s="28"/>
      <c r="D672" s="28"/>
      <c r="E672" s="18"/>
      <c r="F672" s="28"/>
      <c r="G672" s="32" t="str">
        <f aca="false">IF(F672="","",IFERROR(INDEX(請求台帳!$D$5:$D$504,MATCH(F672,請求台帳!$A$5:$A$504,0)),""))</f>
        <v/>
      </c>
      <c r="H672" s="26" t="str">
        <f aca="false">IF(F672="","",IFERROR(INDEX(請求台帳!$I$5:$I$504,MATCH(F672,請求台帳!$A$5:$A$504,0)),""))</f>
        <v/>
      </c>
      <c r="I672" s="29" t="str">
        <f aca="false">IF(COUNTA(B672,D672,E672,F672)=0,"",IF(OR(B672="",E672=""),"要入力",IF(F672="","未消込",IF(ISNA(MATCH(F672,請求台帳!$A$5:$A$504,0)),"番号誤り",IF(INDEX(請求台帳!$T$5:$T$504,MATCH(F672,請求台帳!$A$5:$A$504,0))="取消","取消請求へ消込","消込済")))))</f>
        <v/>
      </c>
      <c r="J672" s="28"/>
      <c r="K672" s="28"/>
    </row>
    <row r="673" customFormat="false" ht="15" hidden="false" customHeight="false" outlineLevel="0" collapsed="false">
      <c r="A673" s="32" t="str">
        <f aca="false">IF(COUNTA(B673,D673,E673,F673)=0,"",ROW()-4)</f>
        <v/>
      </c>
      <c r="B673" s="22"/>
      <c r="C673" s="28"/>
      <c r="D673" s="28"/>
      <c r="E673" s="18"/>
      <c r="F673" s="28"/>
      <c r="G673" s="32" t="str">
        <f aca="false">IF(F673="","",IFERROR(INDEX(請求台帳!$D$5:$D$504,MATCH(F673,請求台帳!$A$5:$A$504,0)),""))</f>
        <v/>
      </c>
      <c r="H673" s="26" t="str">
        <f aca="false">IF(F673="","",IFERROR(INDEX(請求台帳!$I$5:$I$504,MATCH(F673,請求台帳!$A$5:$A$504,0)),""))</f>
        <v/>
      </c>
      <c r="I673" s="29" t="str">
        <f aca="false">IF(COUNTA(B673,D673,E673,F673)=0,"",IF(OR(B673="",E673=""),"要入力",IF(F673="","未消込",IF(ISNA(MATCH(F673,請求台帳!$A$5:$A$504,0)),"番号誤り",IF(INDEX(請求台帳!$T$5:$T$504,MATCH(F673,請求台帳!$A$5:$A$504,0))="取消","取消請求へ消込","消込済")))))</f>
        <v/>
      </c>
      <c r="J673" s="28"/>
      <c r="K673" s="28"/>
    </row>
    <row r="674" customFormat="false" ht="15" hidden="false" customHeight="false" outlineLevel="0" collapsed="false">
      <c r="A674" s="32" t="str">
        <f aca="false">IF(COUNTA(B674,D674,E674,F674)=0,"",ROW()-4)</f>
        <v/>
      </c>
      <c r="B674" s="22"/>
      <c r="C674" s="28"/>
      <c r="D674" s="28"/>
      <c r="E674" s="18"/>
      <c r="F674" s="28"/>
      <c r="G674" s="32" t="str">
        <f aca="false">IF(F674="","",IFERROR(INDEX(請求台帳!$D$5:$D$504,MATCH(F674,請求台帳!$A$5:$A$504,0)),""))</f>
        <v/>
      </c>
      <c r="H674" s="26" t="str">
        <f aca="false">IF(F674="","",IFERROR(INDEX(請求台帳!$I$5:$I$504,MATCH(F674,請求台帳!$A$5:$A$504,0)),""))</f>
        <v/>
      </c>
      <c r="I674" s="29" t="str">
        <f aca="false">IF(COUNTA(B674,D674,E674,F674)=0,"",IF(OR(B674="",E674=""),"要入力",IF(F674="","未消込",IF(ISNA(MATCH(F674,請求台帳!$A$5:$A$504,0)),"番号誤り",IF(INDEX(請求台帳!$T$5:$T$504,MATCH(F674,請求台帳!$A$5:$A$504,0))="取消","取消請求へ消込","消込済")))))</f>
        <v/>
      </c>
      <c r="J674" s="28"/>
      <c r="K674" s="28"/>
    </row>
    <row r="675" customFormat="false" ht="15" hidden="false" customHeight="false" outlineLevel="0" collapsed="false">
      <c r="A675" s="32" t="str">
        <f aca="false">IF(COUNTA(B675,D675,E675,F675)=0,"",ROW()-4)</f>
        <v/>
      </c>
      <c r="B675" s="22"/>
      <c r="C675" s="28"/>
      <c r="D675" s="28"/>
      <c r="E675" s="18"/>
      <c r="F675" s="28"/>
      <c r="G675" s="32" t="str">
        <f aca="false">IF(F675="","",IFERROR(INDEX(請求台帳!$D$5:$D$504,MATCH(F675,請求台帳!$A$5:$A$504,0)),""))</f>
        <v/>
      </c>
      <c r="H675" s="26" t="str">
        <f aca="false">IF(F675="","",IFERROR(INDEX(請求台帳!$I$5:$I$504,MATCH(F675,請求台帳!$A$5:$A$504,0)),""))</f>
        <v/>
      </c>
      <c r="I675" s="29" t="str">
        <f aca="false">IF(COUNTA(B675,D675,E675,F675)=0,"",IF(OR(B675="",E675=""),"要入力",IF(F675="","未消込",IF(ISNA(MATCH(F675,請求台帳!$A$5:$A$504,0)),"番号誤り",IF(INDEX(請求台帳!$T$5:$T$504,MATCH(F675,請求台帳!$A$5:$A$504,0))="取消","取消請求へ消込","消込済")))))</f>
        <v/>
      </c>
      <c r="J675" s="28"/>
      <c r="K675" s="28"/>
    </row>
    <row r="676" customFormat="false" ht="15" hidden="false" customHeight="false" outlineLevel="0" collapsed="false">
      <c r="A676" s="32" t="str">
        <f aca="false">IF(COUNTA(B676,D676,E676,F676)=0,"",ROW()-4)</f>
        <v/>
      </c>
      <c r="B676" s="22"/>
      <c r="C676" s="28"/>
      <c r="D676" s="28"/>
      <c r="E676" s="18"/>
      <c r="F676" s="28"/>
      <c r="G676" s="32" t="str">
        <f aca="false">IF(F676="","",IFERROR(INDEX(請求台帳!$D$5:$D$504,MATCH(F676,請求台帳!$A$5:$A$504,0)),""))</f>
        <v/>
      </c>
      <c r="H676" s="26" t="str">
        <f aca="false">IF(F676="","",IFERROR(INDEX(請求台帳!$I$5:$I$504,MATCH(F676,請求台帳!$A$5:$A$504,0)),""))</f>
        <v/>
      </c>
      <c r="I676" s="29" t="str">
        <f aca="false">IF(COUNTA(B676,D676,E676,F676)=0,"",IF(OR(B676="",E676=""),"要入力",IF(F676="","未消込",IF(ISNA(MATCH(F676,請求台帳!$A$5:$A$504,0)),"番号誤り",IF(INDEX(請求台帳!$T$5:$T$504,MATCH(F676,請求台帳!$A$5:$A$504,0))="取消","取消請求へ消込","消込済")))))</f>
        <v/>
      </c>
      <c r="J676" s="28"/>
      <c r="K676" s="28"/>
    </row>
    <row r="677" customFormat="false" ht="15" hidden="false" customHeight="false" outlineLevel="0" collapsed="false">
      <c r="A677" s="32" t="str">
        <f aca="false">IF(COUNTA(B677,D677,E677,F677)=0,"",ROW()-4)</f>
        <v/>
      </c>
      <c r="B677" s="22"/>
      <c r="C677" s="28"/>
      <c r="D677" s="28"/>
      <c r="E677" s="18"/>
      <c r="F677" s="28"/>
      <c r="G677" s="32" t="str">
        <f aca="false">IF(F677="","",IFERROR(INDEX(請求台帳!$D$5:$D$504,MATCH(F677,請求台帳!$A$5:$A$504,0)),""))</f>
        <v/>
      </c>
      <c r="H677" s="26" t="str">
        <f aca="false">IF(F677="","",IFERROR(INDEX(請求台帳!$I$5:$I$504,MATCH(F677,請求台帳!$A$5:$A$504,0)),""))</f>
        <v/>
      </c>
      <c r="I677" s="29" t="str">
        <f aca="false">IF(COUNTA(B677,D677,E677,F677)=0,"",IF(OR(B677="",E677=""),"要入力",IF(F677="","未消込",IF(ISNA(MATCH(F677,請求台帳!$A$5:$A$504,0)),"番号誤り",IF(INDEX(請求台帳!$T$5:$T$504,MATCH(F677,請求台帳!$A$5:$A$504,0))="取消","取消請求へ消込","消込済")))))</f>
        <v/>
      </c>
      <c r="J677" s="28"/>
      <c r="K677" s="28"/>
    </row>
    <row r="678" customFormat="false" ht="15" hidden="false" customHeight="false" outlineLevel="0" collapsed="false">
      <c r="A678" s="32" t="str">
        <f aca="false">IF(COUNTA(B678,D678,E678,F678)=0,"",ROW()-4)</f>
        <v/>
      </c>
      <c r="B678" s="22"/>
      <c r="C678" s="28"/>
      <c r="D678" s="28"/>
      <c r="E678" s="18"/>
      <c r="F678" s="28"/>
      <c r="G678" s="32" t="str">
        <f aca="false">IF(F678="","",IFERROR(INDEX(請求台帳!$D$5:$D$504,MATCH(F678,請求台帳!$A$5:$A$504,0)),""))</f>
        <v/>
      </c>
      <c r="H678" s="26" t="str">
        <f aca="false">IF(F678="","",IFERROR(INDEX(請求台帳!$I$5:$I$504,MATCH(F678,請求台帳!$A$5:$A$504,0)),""))</f>
        <v/>
      </c>
      <c r="I678" s="29" t="str">
        <f aca="false">IF(COUNTA(B678,D678,E678,F678)=0,"",IF(OR(B678="",E678=""),"要入力",IF(F678="","未消込",IF(ISNA(MATCH(F678,請求台帳!$A$5:$A$504,0)),"番号誤り",IF(INDEX(請求台帳!$T$5:$T$504,MATCH(F678,請求台帳!$A$5:$A$504,0))="取消","取消請求へ消込","消込済")))))</f>
        <v/>
      </c>
      <c r="J678" s="28"/>
      <c r="K678" s="28"/>
    </row>
    <row r="679" customFormat="false" ht="15" hidden="false" customHeight="false" outlineLevel="0" collapsed="false">
      <c r="A679" s="32" t="str">
        <f aca="false">IF(COUNTA(B679,D679,E679,F679)=0,"",ROW()-4)</f>
        <v/>
      </c>
      <c r="B679" s="22"/>
      <c r="C679" s="28"/>
      <c r="D679" s="28"/>
      <c r="E679" s="18"/>
      <c r="F679" s="28"/>
      <c r="G679" s="32" t="str">
        <f aca="false">IF(F679="","",IFERROR(INDEX(請求台帳!$D$5:$D$504,MATCH(F679,請求台帳!$A$5:$A$504,0)),""))</f>
        <v/>
      </c>
      <c r="H679" s="26" t="str">
        <f aca="false">IF(F679="","",IFERROR(INDEX(請求台帳!$I$5:$I$504,MATCH(F679,請求台帳!$A$5:$A$504,0)),""))</f>
        <v/>
      </c>
      <c r="I679" s="29" t="str">
        <f aca="false">IF(COUNTA(B679,D679,E679,F679)=0,"",IF(OR(B679="",E679=""),"要入力",IF(F679="","未消込",IF(ISNA(MATCH(F679,請求台帳!$A$5:$A$504,0)),"番号誤り",IF(INDEX(請求台帳!$T$5:$T$504,MATCH(F679,請求台帳!$A$5:$A$504,0))="取消","取消請求へ消込","消込済")))))</f>
        <v/>
      </c>
      <c r="J679" s="28"/>
      <c r="K679" s="28"/>
    </row>
    <row r="680" customFormat="false" ht="15" hidden="false" customHeight="false" outlineLevel="0" collapsed="false">
      <c r="A680" s="32" t="str">
        <f aca="false">IF(COUNTA(B680,D680,E680,F680)=0,"",ROW()-4)</f>
        <v/>
      </c>
      <c r="B680" s="22"/>
      <c r="C680" s="28"/>
      <c r="D680" s="28"/>
      <c r="E680" s="18"/>
      <c r="F680" s="28"/>
      <c r="G680" s="32" t="str">
        <f aca="false">IF(F680="","",IFERROR(INDEX(請求台帳!$D$5:$D$504,MATCH(F680,請求台帳!$A$5:$A$504,0)),""))</f>
        <v/>
      </c>
      <c r="H680" s="26" t="str">
        <f aca="false">IF(F680="","",IFERROR(INDEX(請求台帳!$I$5:$I$504,MATCH(F680,請求台帳!$A$5:$A$504,0)),""))</f>
        <v/>
      </c>
      <c r="I680" s="29" t="str">
        <f aca="false">IF(COUNTA(B680,D680,E680,F680)=0,"",IF(OR(B680="",E680=""),"要入力",IF(F680="","未消込",IF(ISNA(MATCH(F680,請求台帳!$A$5:$A$504,0)),"番号誤り",IF(INDEX(請求台帳!$T$5:$T$504,MATCH(F680,請求台帳!$A$5:$A$504,0))="取消","取消請求へ消込","消込済")))))</f>
        <v/>
      </c>
      <c r="J680" s="28"/>
      <c r="K680" s="28"/>
    </row>
    <row r="681" customFormat="false" ht="15" hidden="false" customHeight="false" outlineLevel="0" collapsed="false">
      <c r="A681" s="32" t="str">
        <f aca="false">IF(COUNTA(B681,D681,E681,F681)=0,"",ROW()-4)</f>
        <v/>
      </c>
      <c r="B681" s="22"/>
      <c r="C681" s="28"/>
      <c r="D681" s="28"/>
      <c r="E681" s="18"/>
      <c r="F681" s="28"/>
      <c r="G681" s="32" t="str">
        <f aca="false">IF(F681="","",IFERROR(INDEX(請求台帳!$D$5:$D$504,MATCH(F681,請求台帳!$A$5:$A$504,0)),""))</f>
        <v/>
      </c>
      <c r="H681" s="26" t="str">
        <f aca="false">IF(F681="","",IFERROR(INDEX(請求台帳!$I$5:$I$504,MATCH(F681,請求台帳!$A$5:$A$504,0)),""))</f>
        <v/>
      </c>
      <c r="I681" s="29" t="str">
        <f aca="false">IF(COUNTA(B681,D681,E681,F681)=0,"",IF(OR(B681="",E681=""),"要入力",IF(F681="","未消込",IF(ISNA(MATCH(F681,請求台帳!$A$5:$A$504,0)),"番号誤り",IF(INDEX(請求台帳!$T$5:$T$504,MATCH(F681,請求台帳!$A$5:$A$504,0))="取消","取消請求へ消込","消込済")))))</f>
        <v/>
      </c>
      <c r="J681" s="28"/>
      <c r="K681" s="28"/>
    </row>
    <row r="682" customFormat="false" ht="15" hidden="false" customHeight="false" outlineLevel="0" collapsed="false">
      <c r="A682" s="32" t="str">
        <f aca="false">IF(COUNTA(B682,D682,E682,F682)=0,"",ROW()-4)</f>
        <v/>
      </c>
      <c r="B682" s="22"/>
      <c r="C682" s="28"/>
      <c r="D682" s="28"/>
      <c r="E682" s="18"/>
      <c r="F682" s="28"/>
      <c r="G682" s="32" t="str">
        <f aca="false">IF(F682="","",IFERROR(INDEX(請求台帳!$D$5:$D$504,MATCH(F682,請求台帳!$A$5:$A$504,0)),""))</f>
        <v/>
      </c>
      <c r="H682" s="26" t="str">
        <f aca="false">IF(F682="","",IFERROR(INDEX(請求台帳!$I$5:$I$504,MATCH(F682,請求台帳!$A$5:$A$504,0)),""))</f>
        <v/>
      </c>
      <c r="I682" s="29" t="str">
        <f aca="false">IF(COUNTA(B682,D682,E682,F682)=0,"",IF(OR(B682="",E682=""),"要入力",IF(F682="","未消込",IF(ISNA(MATCH(F682,請求台帳!$A$5:$A$504,0)),"番号誤り",IF(INDEX(請求台帳!$T$5:$T$504,MATCH(F682,請求台帳!$A$5:$A$504,0))="取消","取消請求へ消込","消込済")))))</f>
        <v/>
      </c>
      <c r="J682" s="28"/>
      <c r="K682" s="28"/>
    </row>
    <row r="683" customFormat="false" ht="15" hidden="false" customHeight="false" outlineLevel="0" collapsed="false">
      <c r="A683" s="32" t="str">
        <f aca="false">IF(COUNTA(B683,D683,E683,F683)=0,"",ROW()-4)</f>
        <v/>
      </c>
      <c r="B683" s="22"/>
      <c r="C683" s="28"/>
      <c r="D683" s="28"/>
      <c r="E683" s="18"/>
      <c r="F683" s="28"/>
      <c r="G683" s="32" t="str">
        <f aca="false">IF(F683="","",IFERROR(INDEX(請求台帳!$D$5:$D$504,MATCH(F683,請求台帳!$A$5:$A$504,0)),""))</f>
        <v/>
      </c>
      <c r="H683" s="26" t="str">
        <f aca="false">IF(F683="","",IFERROR(INDEX(請求台帳!$I$5:$I$504,MATCH(F683,請求台帳!$A$5:$A$504,0)),""))</f>
        <v/>
      </c>
      <c r="I683" s="29" t="str">
        <f aca="false">IF(COUNTA(B683,D683,E683,F683)=0,"",IF(OR(B683="",E683=""),"要入力",IF(F683="","未消込",IF(ISNA(MATCH(F683,請求台帳!$A$5:$A$504,0)),"番号誤り",IF(INDEX(請求台帳!$T$5:$T$504,MATCH(F683,請求台帳!$A$5:$A$504,0))="取消","取消請求へ消込","消込済")))))</f>
        <v/>
      </c>
      <c r="J683" s="28"/>
      <c r="K683" s="28"/>
    </row>
    <row r="684" customFormat="false" ht="15" hidden="false" customHeight="false" outlineLevel="0" collapsed="false">
      <c r="A684" s="32" t="str">
        <f aca="false">IF(COUNTA(B684,D684,E684,F684)=0,"",ROW()-4)</f>
        <v/>
      </c>
      <c r="B684" s="22"/>
      <c r="C684" s="28"/>
      <c r="D684" s="28"/>
      <c r="E684" s="18"/>
      <c r="F684" s="28"/>
      <c r="G684" s="32" t="str">
        <f aca="false">IF(F684="","",IFERROR(INDEX(請求台帳!$D$5:$D$504,MATCH(F684,請求台帳!$A$5:$A$504,0)),""))</f>
        <v/>
      </c>
      <c r="H684" s="26" t="str">
        <f aca="false">IF(F684="","",IFERROR(INDEX(請求台帳!$I$5:$I$504,MATCH(F684,請求台帳!$A$5:$A$504,0)),""))</f>
        <v/>
      </c>
      <c r="I684" s="29" t="str">
        <f aca="false">IF(COUNTA(B684,D684,E684,F684)=0,"",IF(OR(B684="",E684=""),"要入力",IF(F684="","未消込",IF(ISNA(MATCH(F684,請求台帳!$A$5:$A$504,0)),"番号誤り",IF(INDEX(請求台帳!$T$5:$T$504,MATCH(F684,請求台帳!$A$5:$A$504,0))="取消","取消請求へ消込","消込済")))))</f>
        <v/>
      </c>
      <c r="J684" s="28"/>
      <c r="K684" s="28"/>
    </row>
    <row r="685" customFormat="false" ht="15" hidden="false" customHeight="false" outlineLevel="0" collapsed="false">
      <c r="A685" s="32" t="str">
        <f aca="false">IF(COUNTA(B685,D685,E685,F685)=0,"",ROW()-4)</f>
        <v/>
      </c>
      <c r="B685" s="22"/>
      <c r="C685" s="28"/>
      <c r="D685" s="28"/>
      <c r="E685" s="18"/>
      <c r="F685" s="28"/>
      <c r="G685" s="32" t="str">
        <f aca="false">IF(F685="","",IFERROR(INDEX(請求台帳!$D$5:$D$504,MATCH(F685,請求台帳!$A$5:$A$504,0)),""))</f>
        <v/>
      </c>
      <c r="H685" s="26" t="str">
        <f aca="false">IF(F685="","",IFERROR(INDEX(請求台帳!$I$5:$I$504,MATCH(F685,請求台帳!$A$5:$A$504,0)),""))</f>
        <v/>
      </c>
      <c r="I685" s="29" t="str">
        <f aca="false">IF(COUNTA(B685,D685,E685,F685)=0,"",IF(OR(B685="",E685=""),"要入力",IF(F685="","未消込",IF(ISNA(MATCH(F685,請求台帳!$A$5:$A$504,0)),"番号誤り",IF(INDEX(請求台帳!$T$5:$T$504,MATCH(F685,請求台帳!$A$5:$A$504,0))="取消","取消請求へ消込","消込済")))))</f>
        <v/>
      </c>
      <c r="J685" s="28"/>
      <c r="K685" s="28"/>
    </row>
    <row r="686" customFormat="false" ht="15" hidden="false" customHeight="false" outlineLevel="0" collapsed="false">
      <c r="A686" s="32" t="str">
        <f aca="false">IF(COUNTA(B686,D686,E686,F686)=0,"",ROW()-4)</f>
        <v/>
      </c>
      <c r="B686" s="22"/>
      <c r="C686" s="28"/>
      <c r="D686" s="28"/>
      <c r="E686" s="18"/>
      <c r="F686" s="28"/>
      <c r="G686" s="32" t="str">
        <f aca="false">IF(F686="","",IFERROR(INDEX(請求台帳!$D$5:$D$504,MATCH(F686,請求台帳!$A$5:$A$504,0)),""))</f>
        <v/>
      </c>
      <c r="H686" s="26" t="str">
        <f aca="false">IF(F686="","",IFERROR(INDEX(請求台帳!$I$5:$I$504,MATCH(F686,請求台帳!$A$5:$A$504,0)),""))</f>
        <v/>
      </c>
      <c r="I686" s="29" t="str">
        <f aca="false">IF(COUNTA(B686,D686,E686,F686)=0,"",IF(OR(B686="",E686=""),"要入力",IF(F686="","未消込",IF(ISNA(MATCH(F686,請求台帳!$A$5:$A$504,0)),"番号誤り",IF(INDEX(請求台帳!$T$5:$T$504,MATCH(F686,請求台帳!$A$5:$A$504,0))="取消","取消請求へ消込","消込済")))))</f>
        <v/>
      </c>
      <c r="J686" s="28"/>
      <c r="K686" s="28"/>
    </row>
    <row r="687" customFormat="false" ht="15" hidden="false" customHeight="false" outlineLevel="0" collapsed="false">
      <c r="A687" s="32" t="str">
        <f aca="false">IF(COUNTA(B687,D687,E687,F687)=0,"",ROW()-4)</f>
        <v/>
      </c>
      <c r="B687" s="22"/>
      <c r="C687" s="28"/>
      <c r="D687" s="28"/>
      <c r="E687" s="18"/>
      <c r="F687" s="28"/>
      <c r="G687" s="32" t="str">
        <f aca="false">IF(F687="","",IFERROR(INDEX(請求台帳!$D$5:$D$504,MATCH(F687,請求台帳!$A$5:$A$504,0)),""))</f>
        <v/>
      </c>
      <c r="H687" s="26" t="str">
        <f aca="false">IF(F687="","",IFERROR(INDEX(請求台帳!$I$5:$I$504,MATCH(F687,請求台帳!$A$5:$A$504,0)),""))</f>
        <v/>
      </c>
      <c r="I687" s="29" t="str">
        <f aca="false">IF(COUNTA(B687,D687,E687,F687)=0,"",IF(OR(B687="",E687=""),"要入力",IF(F687="","未消込",IF(ISNA(MATCH(F687,請求台帳!$A$5:$A$504,0)),"番号誤り",IF(INDEX(請求台帳!$T$5:$T$504,MATCH(F687,請求台帳!$A$5:$A$504,0))="取消","取消請求へ消込","消込済")))))</f>
        <v/>
      </c>
      <c r="J687" s="28"/>
      <c r="K687" s="28"/>
    </row>
    <row r="688" customFormat="false" ht="15" hidden="false" customHeight="false" outlineLevel="0" collapsed="false">
      <c r="A688" s="32" t="str">
        <f aca="false">IF(COUNTA(B688,D688,E688,F688)=0,"",ROW()-4)</f>
        <v/>
      </c>
      <c r="B688" s="22"/>
      <c r="C688" s="28"/>
      <c r="D688" s="28"/>
      <c r="E688" s="18"/>
      <c r="F688" s="28"/>
      <c r="G688" s="32" t="str">
        <f aca="false">IF(F688="","",IFERROR(INDEX(請求台帳!$D$5:$D$504,MATCH(F688,請求台帳!$A$5:$A$504,0)),""))</f>
        <v/>
      </c>
      <c r="H688" s="26" t="str">
        <f aca="false">IF(F688="","",IFERROR(INDEX(請求台帳!$I$5:$I$504,MATCH(F688,請求台帳!$A$5:$A$504,0)),""))</f>
        <v/>
      </c>
      <c r="I688" s="29" t="str">
        <f aca="false">IF(COUNTA(B688,D688,E688,F688)=0,"",IF(OR(B688="",E688=""),"要入力",IF(F688="","未消込",IF(ISNA(MATCH(F688,請求台帳!$A$5:$A$504,0)),"番号誤り",IF(INDEX(請求台帳!$T$5:$T$504,MATCH(F688,請求台帳!$A$5:$A$504,0))="取消","取消請求へ消込","消込済")))))</f>
        <v/>
      </c>
      <c r="J688" s="28"/>
      <c r="K688" s="28"/>
    </row>
    <row r="689" customFormat="false" ht="15" hidden="false" customHeight="false" outlineLevel="0" collapsed="false">
      <c r="A689" s="32" t="str">
        <f aca="false">IF(COUNTA(B689,D689,E689,F689)=0,"",ROW()-4)</f>
        <v/>
      </c>
      <c r="B689" s="22"/>
      <c r="C689" s="28"/>
      <c r="D689" s="28"/>
      <c r="E689" s="18"/>
      <c r="F689" s="28"/>
      <c r="G689" s="32" t="str">
        <f aca="false">IF(F689="","",IFERROR(INDEX(請求台帳!$D$5:$D$504,MATCH(F689,請求台帳!$A$5:$A$504,0)),""))</f>
        <v/>
      </c>
      <c r="H689" s="26" t="str">
        <f aca="false">IF(F689="","",IFERROR(INDEX(請求台帳!$I$5:$I$504,MATCH(F689,請求台帳!$A$5:$A$504,0)),""))</f>
        <v/>
      </c>
      <c r="I689" s="29" t="str">
        <f aca="false">IF(COUNTA(B689,D689,E689,F689)=0,"",IF(OR(B689="",E689=""),"要入力",IF(F689="","未消込",IF(ISNA(MATCH(F689,請求台帳!$A$5:$A$504,0)),"番号誤り",IF(INDEX(請求台帳!$T$5:$T$504,MATCH(F689,請求台帳!$A$5:$A$504,0))="取消","取消請求へ消込","消込済")))))</f>
        <v/>
      </c>
      <c r="J689" s="28"/>
      <c r="K689" s="28"/>
    </row>
    <row r="690" customFormat="false" ht="15" hidden="false" customHeight="false" outlineLevel="0" collapsed="false">
      <c r="A690" s="32" t="str">
        <f aca="false">IF(COUNTA(B690,D690,E690,F690)=0,"",ROW()-4)</f>
        <v/>
      </c>
      <c r="B690" s="22"/>
      <c r="C690" s="28"/>
      <c r="D690" s="28"/>
      <c r="E690" s="18"/>
      <c r="F690" s="28"/>
      <c r="G690" s="32" t="str">
        <f aca="false">IF(F690="","",IFERROR(INDEX(請求台帳!$D$5:$D$504,MATCH(F690,請求台帳!$A$5:$A$504,0)),""))</f>
        <v/>
      </c>
      <c r="H690" s="26" t="str">
        <f aca="false">IF(F690="","",IFERROR(INDEX(請求台帳!$I$5:$I$504,MATCH(F690,請求台帳!$A$5:$A$504,0)),""))</f>
        <v/>
      </c>
      <c r="I690" s="29" t="str">
        <f aca="false">IF(COUNTA(B690,D690,E690,F690)=0,"",IF(OR(B690="",E690=""),"要入力",IF(F690="","未消込",IF(ISNA(MATCH(F690,請求台帳!$A$5:$A$504,0)),"番号誤り",IF(INDEX(請求台帳!$T$5:$T$504,MATCH(F690,請求台帳!$A$5:$A$504,0))="取消","取消請求へ消込","消込済")))))</f>
        <v/>
      </c>
      <c r="J690" s="28"/>
      <c r="K690" s="28"/>
    </row>
    <row r="691" customFormat="false" ht="15" hidden="false" customHeight="false" outlineLevel="0" collapsed="false">
      <c r="A691" s="32" t="str">
        <f aca="false">IF(COUNTA(B691,D691,E691,F691)=0,"",ROW()-4)</f>
        <v/>
      </c>
      <c r="B691" s="22"/>
      <c r="C691" s="28"/>
      <c r="D691" s="28"/>
      <c r="E691" s="18"/>
      <c r="F691" s="28"/>
      <c r="G691" s="32" t="str">
        <f aca="false">IF(F691="","",IFERROR(INDEX(請求台帳!$D$5:$D$504,MATCH(F691,請求台帳!$A$5:$A$504,0)),""))</f>
        <v/>
      </c>
      <c r="H691" s="26" t="str">
        <f aca="false">IF(F691="","",IFERROR(INDEX(請求台帳!$I$5:$I$504,MATCH(F691,請求台帳!$A$5:$A$504,0)),""))</f>
        <v/>
      </c>
      <c r="I691" s="29" t="str">
        <f aca="false">IF(COUNTA(B691,D691,E691,F691)=0,"",IF(OR(B691="",E691=""),"要入力",IF(F691="","未消込",IF(ISNA(MATCH(F691,請求台帳!$A$5:$A$504,0)),"番号誤り",IF(INDEX(請求台帳!$T$5:$T$504,MATCH(F691,請求台帳!$A$5:$A$504,0))="取消","取消請求へ消込","消込済")))))</f>
        <v/>
      </c>
      <c r="J691" s="28"/>
      <c r="K691" s="28"/>
    </row>
    <row r="692" customFormat="false" ht="15" hidden="false" customHeight="false" outlineLevel="0" collapsed="false">
      <c r="A692" s="32" t="str">
        <f aca="false">IF(COUNTA(B692,D692,E692,F692)=0,"",ROW()-4)</f>
        <v/>
      </c>
      <c r="B692" s="22"/>
      <c r="C692" s="28"/>
      <c r="D692" s="28"/>
      <c r="E692" s="18"/>
      <c r="F692" s="28"/>
      <c r="G692" s="32" t="str">
        <f aca="false">IF(F692="","",IFERROR(INDEX(請求台帳!$D$5:$D$504,MATCH(F692,請求台帳!$A$5:$A$504,0)),""))</f>
        <v/>
      </c>
      <c r="H692" s="26" t="str">
        <f aca="false">IF(F692="","",IFERROR(INDEX(請求台帳!$I$5:$I$504,MATCH(F692,請求台帳!$A$5:$A$504,0)),""))</f>
        <v/>
      </c>
      <c r="I692" s="29" t="str">
        <f aca="false">IF(COUNTA(B692,D692,E692,F692)=0,"",IF(OR(B692="",E692=""),"要入力",IF(F692="","未消込",IF(ISNA(MATCH(F692,請求台帳!$A$5:$A$504,0)),"番号誤り",IF(INDEX(請求台帳!$T$5:$T$504,MATCH(F692,請求台帳!$A$5:$A$504,0))="取消","取消請求へ消込","消込済")))))</f>
        <v/>
      </c>
      <c r="J692" s="28"/>
      <c r="K692" s="28"/>
    </row>
    <row r="693" customFormat="false" ht="15" hidden="false" customHeight="false" outlineLevel="0" collapsed="false">
      <c r="A693" s="32" t="str">
        <f aca="false">IF(COUNTA(B693,D693,E693,F693)=0,"",ROW()-4)</f>
        <v/>
      </c>
      <c r="B693" s="22"/>
      <c r="C693" s="28"/>
      <c r="D693" s="28"/>
      <c r="E693" s="18"/>
      <c r="F693" s="28"/>
      <c r="G693" s="32" t="str">
        <f aca="false">IF(F693="","",IFERROR(INDEX(請求台帳!$D$5:$D$504,MATCH(F693,請求台帳!$A$5:$A$504,0)),""))</f>
        <v/>
      </c>
      <c r="H693" s="26" t="str">
        <f aca="false">IF(F693="","",IFERROR(INDEX(請求台帳!$I$5:$I$504,MATCH(F693,請求台帳!$A$5:$A$504,0)),""))</f>
        <v/>
      </c>
      <c r="I693" s="29" t="str">
        <f aca="false">IF(COUNTA(B693,D693,E693,F693)=0,"",IF(OR(B693="",E693=""),"要入力",IF(F693="","未消込",IF(ISNA(MATCH(F693,請求台帳!$A$5:$A$504,0)),"番号誤り",IF(INDEX(請求台帳!$T$5:$T$504,MATCH(F693,請求台帳!$A$5:$A$504,0))="取消","取消請求へ消込","消込済")))))</f>
        <v/>
      </c>
      <c r="J693" s="28"/>
      <c r="K693" s="28"/>
    </row>
    <row r="694" customFormat="false" ht="15" hidden="false" customHeight="false" outlineLevel="0" collapsed="false">
      <c r="A694" s="32" t="str">
        <f aca="false">IF(COUNTA(B694,D694,E694,F694)=0,"",ROW()-4)</f>
        <v/>
      </c>
      <c r="B694" s="22"/>
      <c r="C694" s="28"/>
      <c r="D694" s="28"/>
      <c r="E694" s="18"/>
      <c r="F694" s="28"/>
      <c r="G694" s="32" t="str">
        <f aca="false">IF(F694="","",IFERROR(INDEX(請求台帳!$D$5:$D$504,MATCH(F694,請求台帳!$A$5:$A$504,0)),""))</f>
        <v/>
      </c>
      <c r="H694" s="26" t="str">
        <f aca="false">IF(F694="","",IFERROR(INDEX(請求台帳!$I$5:$I$504,MATCH(F694,請求台帳!$A$5:$A$504,0)),""))</f>
        <v/>
      </c>
      <c r="I694" s="29" t="str">
        <f aca="false">IF(COUNTA(B694,D694,E694,F694)=0,"",IF(OR(B694="",E694=""),"要入力",IF(F694="","未消込",IF(ISNA(MATCH(F694,請求台帳!$A$5:$A$504,0)),"番号誤り",IF(INDEX(請求台帳!$T$5:$T$504,MATCH(F694,請求台帳!$A$5:$A$504,0))="取消","取消請求へ消込","消込済")))))</f>
        <v/>
      </c>
      <c r="J694" s="28"/>
      <c r="K694" s="28"/>
    </row>
    <row r="695" customFormat="false" ht="15" hidden="false" customHeight="false" outlineLevel="0" collapsed="false">
      <c r="A695" s="32" t="str">
        <f aca="false">IF(COUNTA(B695,D695,E695,F695)=0,"",ROW()-4)</f>
        <v/>
      </c>
      <c r="B695" s="22"/>
      <c r="C695" s="28"/>
      <c r="D695" s="28"/>
      <c r="E695" s="18"/>
      <c r="F695" s="28"/>
      <c r="G695" s="32" t="str">
        <f aca="false">IF(F695="","",IFERROR(INDEX(請求台帳!$D$5:$D$504,MATCH(F695,請求台帳!$A$5:$A$504,0)),""))</f>
        <v/>
      </c>
      <c r="H695" s="26" t="str">
        <f aca="false">IF(F695="","",IFERROR(INDEX(請求台帳!$I$5:$I$504,MATCH(F695,請求台帳!$A$5:$A$504,0)),""))</f>
        <v/>
      </c>
      <c r="I695" s="29" t="str">
        <f aca="false">IF(COUNTA(B695,D695,E695,F695)=0,"",IF(OR(B695="",E695=""),"要入力",IF(F695="","未消込",IF(ISNA(MATCH(F695,請求台帳!$A$5:$A$504,0)),"番号誤り",IF(INDEX(請求台帳!$T$5:$T$504,MATCH(F695,請求台帳!$A$5:$A$504,0))="取消","取消請求へ消込","消込済")))))</f>
        <v/>
      </c>
      <c r="J695" s="28"/>
      <c r="K695" s="28"/>
    </row>
    <row r="696" customFormat="false" ht="15" hidden="false" customHeight="false" outlineLevel="0" collapsed="false">
      <c r="A696" s="32" t="str">
        <f aca="false">IF(COUNTA(B696,D696,E696,F696)=0,"",ROW()-4)</f>
        <v/>
      </c>
      <c r="B696" s="22"/>
      <c r="C696" s="28"/>
      <c r="D696" s="28"/>
      <c r="E696" s="18"/>
      <c r="F696" s="28"/>
      <c r="G696" s="32" t="str">
        <f aca="false">IF(F696="","",IFERROR(INDEX(請求台帳!$D$5:$D$504,MATCH(F696,請求台帳!$A$5:$A$504,0)),""))</f>
        <v/>
      </c>
      <c r="H696" s="26" t="str">
        <f aca="false">IF(F696="","",IFERROR(INDEX(請求台帳!$I$5:$I$504,MATCH(F696,請求台帳!$A$5:$A$504,0)),""))</f>
        <v/>
      </c>
      <c r="I696" s="29" t="str">
        <f aca="false">IF(COUNTA(B696,D696,E696,F696)=0,"",IF(OR(B696="",E696=""),"要入力",IF(F696="","未消込",IF(ISNA(MATCH(F696,請求台帳!$A$5:$A$504,0)),"番号誤り",IF(INDEX(請求台帳!$T$5:$T$504,MATCH(F696,請求台帳!$A$5:$A$504,0))="取消","取消請求へ消込","消込済")))))</f>
        <v/>
      </c>
      <c r="J696" s="28"/>
      <c r="K696" s="28"/>
    </row>
    <row r="697" customFormat="false" ht="15" hidden="false" customHeight="false" outlineLevel="0" collapsed="false">
      <c r="A697" s="32" t="str">
        <f aca="false">IF(COUNTA(B697,D697,E697,F697)=0,"",ROW()-4)</f>
        <v/>
      </c>
      <c r="B697" s="22"/>
      <c r="C697" s="28"/>
      <c r="D697" s="28"/>
      <c r="E697" s="18"/>
      <c r="F697" s="28"/>
      <c r="G697" s="32" t="str">
        <f aca="false">IF(F697="","",IFERROR(INDEX(請求台帳!$D$5:$D$504,MATCH(F697,請求台帳!$A$5:$A$504,0)),""))</f>
        <v/>
      </c>
      <c r="H697" s="26" t="str">
        <f aca="false">IF(F697="","",IFERROR(INDEX(請求台帳!$I$5:$I$504,MATCH(F697,請求台帳!$A$5:$A$504,0)),""))</f>
        <v/>
      </c>
      <c r="I697" s="29" t="str">
        <f aca="false">IF(COUNTA(B697,D697,E697,F697)=0,"",IF(OR(B697="",E697=""),"要入力",IF(F697="","未消込",IF(ISNA(MATCH(F697,請求台帳!$A$5:$A$504,0)),"番号誤り",IF(INDEX(請求台帳!$T$5:$T$504,MATCH(F697,請求台帳!$A$5:$A$504,0))="取消","取消請求へ消込","消込済")))))</f>
        <v/>
      </c>
      <c r="J697" s="28"/>
      <c r="K697" s="28"/>
    </row>
    <row r="698" customFormat="false" ht="15" hidden="false" customHeight="false" outlineLevel="0" collapsed="false">
      <c r="A698" s="32" t="str">
        <f aca="false">IF(COUNTA(B698,D698,E698,F698)=0,"",ROW()-4)</f>
        <v/>
      </c>
      <c r="B698" s="22"/>
      <c r="C698" s="28"/>
      <c r="D698" s="28"/>
      <c r="E698" s="18"/>
      <c r="F698" s="28"/>
      <c r="G698" s="32" t="str">
        <f aca="false">IF(F698="","",IFERROR(INDEX(請求台帳!$D$5:$D$504,MATCH(F698,請求台帳!$A$5:$A$504,0)),""))</f>
        <v/>
      </c>
      <c r="H698" s="26" t="str">
        <f aca="false">IF(F698="","",IFERROR(INDEX(請求台帳!$I$5:$I$504,MATCH(F698,請求台帳!$A$5:$A$504,0)),""))</f>
        <v/>
      </c>
      <c r="I698" s="29" t="str">
        <f aca="false">IF(COUNTA(B698,D698,E698,F698)=0,"",IF(OR(B698="",E698=""),"要入力",IF(F698="","未消込",IF(ISNA(MATCH(F698,請求台帳!$A$5:$A$504,0)),"番号誤り",IF(INDEX(請求台帳!$T$5:$T$504,MATCH(F698,請求台帳!$A$5:$A$504,0))="取消","取消請求へ消込","消込済")))))</f>
        <v/>
      </c>
      <c r="J698" s="28"/>
      <c r="K698" s="28"/>
    </row>
    <row r="699" customFormat="false" ht="15" hidden="false" customHeight="false" outlineLevel="0" collapsed="false">
      <c r="A699" s="32" t="str">
        <f aca="false">IF(COUNTA(B699,D699,E699,F699)=0,"",ROW()-4)</f>
        <v/>
      </c>
      <c r="B699" s="22"/>
      <c r="C699" s="28"/>
      <c r="D699" s="28"/>
      <c r="E699" s="18"/>
      <c r="F699" s="28"/>
      <c r="G699" s="32" t="str">
        <f aca="false">IF(F699="","",IFERROR(INDEX(請求台帳!$D$5:$D$504,MATCH(F699,請求台帳!$A$5:$A$504,0)),""))</f>
        <v/>
      </c>
      <c r="H699" s="26" t="str">
        <f aca="false">IF(F699="","",IFERROR(INDEX(請求台帳!$I$5:$I$504,MATCH(F699,請求台帳!$A$5:$A$504,0)),""))</f>
        <v/>
      </c>
      <c r="I699" s="29" t="str">
        <f aca="false">IF(COUNTA(B699,D699,E699,F699)=0,"",IF(OR(B699="",E699=""),"要入力",IF(F699="","未消込",IF(ISNA(MATCH(F699,請求台帳!$A$5:$A$504,0)),"番号誤り",IF(INDEX(請求台帳!$T$5:$T$504,MATCH(F699,請求台帳!$A$5:$A$504,0))="取消","取消請求へ消込","消込済")))))</f>
        <v/>
      </c>
      <c r="J699" s="28"/>
      <c r="K699" s="28"/>
    </row>
    <row r="700" customFormat="false" ht="15" hidden="false" customHeight="false" outlineLevel="0" collapsed="false">
      <c r="A700" s="32" t="str">
        <f aca="false">IF(COUNTA(B700,D700,E700,F700)=0,"",ROW()-4)</f>
        <v/>
      </c>
      <c r="B700" s="22"/>
      <c r="C700" s="28"/>
      <c r="D700" s="28"/>
      <c r="E700" s="18"/>
      <c r="F700" s="28"/>
      <c r="G700" s="32" t="str">
        <f aca="false">IF(F700="","",IFERROR(INDEX(請求台帳!$D$5:$D$504,MATCH(F700,請求台帳!$A$5:$A$504,0)),""))</f>
        <v/>
      </c>
      <c r="H700" s="26" t="str">
        <f aca="false">IF(F700="","",IFERROR(INDEX(請求台帳!$I$5:$I$504,MATCH(F700,請求台帳!$A$5:$A$504,0)),""))</f>
        <v/>
      </c>
      <c r="I700" s="29" t="str">
        <f aca="false">IF(COUNTA(B700,D700,E700,F700)=0,"",IF(OR(B700="",E700=""),"要入力",IF(F700="","未消込",IF(ISNA(MATCH(F700,請求台帳!$A$5:$A$504,0)),"番号誤り",IF(INDEX(請求台帳!$T$5:$T$504,MATCH(F700,請求台帳!$A$5:$A$504,0))="取消","取消請求へ消込","消込済")))))</f>
        <v/>
      </c>
      <c r="J700" s="28"/>
      <c r="K700" s="28"/>
    </row>
    <row r="701" customFormat="false" ht="15" hidden="false" customHeight="false" outlineLevel="0" collapsed="false">
      <c r="A701" s="32" t="str">
        <f aca="false">IF(COUNTA(B701,D701,E701,F701)=0,"",ROW()-4)</f>
        <v/>
      </c>
      <c r="B701" s="22"/>
      <c r="C701" s="28"/>
      <c r="D701" s="28"/>
      <c r="E701" s="18"/>
      <c r="F701" s="28"/>
      <c r="G701" s="32" t="str">
        <f aca="false">IF(F701="","",IFERROR(INDEX(請求台帳!$D$5:$D$504,MATCH(F701,請求台帳!$A$5:$A$504,0)),""))</f>
        <v/>
      </c>
      <c r="H701" s="26" t="str">
        <f aca="false">IF(F701="","",IFERROR(INDEX(請求台帳!$I$5:$I$504,MATCH(F701,請求台帳!$A$5:$A$504,0)),""))</f>
        <v/>
      </c>
      <c r="I701" s="29" t="str">
        <f aca="false">IF(COUNTA(B701,D701,E701,F701)=0,"",IF(OR(B701="",E701=""),"要入力",IF(F701="","未消込",IF(ISNA(MATCH(F701,請求台帳!$A$5:$A$504,0)),"番号誤り",IF(INDEX(請求台帳!$T$5:$T$504,MATCH(F701,請求台帳!$A$5:$A$504,0))="取消","取消請求へ消込","消込済")))))</f>
        <v/>
      </c>
      <c r="J701" s="28"/>
      <c r="K701" s="28"/>
    </row>
    <row r="702" customFormat="false" ht="15" hidden="false" customHeight="false" outlineLevel="0" collapsed="false">
      <c r="A702" s="32" t="str">
        <f aca="false">IF(COUNTA(B702,D702,E702,F702)=0,"",ROW()-4)</f>
        <v/>
      </c>
      <c r="B702" s="22"/>
      <c r="C702" s="28"/>
      <c r="D702" s="28"/>
      <c r="E702" s="18"/>
      <c r="F702" s="28"/>
      <c r="G702" s="32" t="str">
        <f aca="false">IF(F702="","",IFERROR(INDEX(請求台帳!$D$5:$D$504,MATCH(F702,請求台帳!$A$5:$A$504,0)),""))</f>
        <v/>
      </c>
      <c r="H702" s="26" t="str">
        <f aca="false">IF(F702="","",IFERROR(INDEX(請求台帳!$I$5:$I$504,MATCH(F702,請求台帳!$A$5:$A$504,0)),""))</f>
        <v/>
      </c>
      <c r="I702" s="29" t="str">
        <f aca="false">IF(COUNTA(B702,D702,E702,F702)=0,"",IF(OR(B702="",E702=""),"要入力",IF(F702="","未消込",IF(ISNA(MATCH(F702,請求台帳!$A$5:$A$504,0)),"番号誤り",IF(INDEX(請求台帳!$T$5:$T$504,MATCH(F702,請求台帳!$A$5:$A$504,0))="取消","取消請求へ消込","消込済")))))</f>
        <v/>
      </c>
      <c r="J702" s="28"/>
      <c r="K702" s="28"/>
    </row>
    <row r="703" customFormat="false" ht="15" hidden="false" customHeight="false" outlineLevel="0" collapsed="false">
      <c r="A703" s="32" t="str">
        <f aca="false">IF(COUNTA(B703,D703,E703,F703)=0,"",ROW()-4)</f>
        <v/>
      </c>
      <c r="B703" s="22"/>
      <c r="C703" s="28"/>
      <c r="D703" s="28"/>
      <c r="E703" s="18"/>
      <c r="F703" s="28"/>
      <c r="G703" s="32" t="str">
        <f aca="false">IF(F703="","",IFERROR(INDEX(請求台帳!$D$5:$D$504,MATCH(F703,請求台帳!$A$5:$A$504,0)),""))</f>
        <v/>
      </c>
      <c r="H703" s="26" t="str">
        <f aca="false">IF(F703="","",IFERROR(INDEX(請求台帳!$I$5:$I$504,MATCH(F703,請求台帳!$A$5:$A$504,0)),""))</f>
        <v/>
      </c>
      <c r="I703" s="29" t="str">
        <f aca="false">IF(COUNTA(B703,D703,E703,F703)=0,"",IF(OR(B703="",E703=""),"要入力",IF(F703="","未消込",IF(ISNA(MATCH(F703,請求台帳!$A$5:$A$504,0)),"番号誤り",IF(INDEX(請求台帳!$T$5:$T$504,MATCH(F703,請求台帳!$A$5:$A$504,0))="取消","取消請求へ消込","消込済")))))</f>
        <v/>
      </c>
      <c r="J703" s="28"/>
      <c r="K703" s="28"/>
    </row>
    <row r="704" customFormat="false" ht="15" hidden="false" customHeight="false" outlineLevel="0" collapsed="false">
      <c r="A704" s="32" t="str">
        <f aca="false">IF(COUNTA(B704,D704,E704,F704)=0,"",ROW()-4)</f>
        <v/>
      </c>
      <c r="B704" s="22"/>
      <c r="C704" s="28"/>
      <c r="D704" s="28"/>
      <c r="E704" s="18"/>
      <c r="F704" s="28"/>
      <c r="G704" s="32" t="str">
        <f aca="false">IF(F704="","",IFERROR(INDEX(請求台帳!$D$5:$D$504,MATCH(F704,請求台帳!$A$5:$A$504,0)),""))</f>
        <v/>
      </c>
      <c r="H704" s="26" t="str">
        <f aca="false">IF(F704="","",IFERROR(INDEX(請求台帳!$I$5:$I$504,MATCH(F704,請求台帳!$A$5:$A$504,0)),""))</f>
        <v/>
      </c>
      <c r="I704" s="29" t="str">
        <f aca="false">IF(COUNTA(B704,D704,E704,F704)=0,"",IF(OR(B704="",E704=""),"要入力",IF(F704="","未消込",IF(ISNA(MATCH(F704,請求台帳!$A$5:$A$504,0)),"番号誤り",IF(INDEX(請求台帳!$T$5:$T$504,MATCH(F704,請求台帳!$A$5:$A$504,0))="取消","取消請求へ消込","消込済")))))</f>
        <v/>
      </c>
      <c r="J704" s="28"/>
      <c r="K704" s="28"/>
    </row>
    <row r="705" customFormat="false" ht="15" hidden="false" customHeight="false" outlineLevel="0" collapsed="false">
      <c r="A705" s="32" t="str">
        <f aca="false">IF(COUNTA(B705,D705,E705,F705)=0,"",ROW()-4)</f>
        <v/>
      </c>
      <c r="B705" s="22"/>
      <c r="C705" s="28"/>
      <c r="D705" s="28"/>
      <c r="E705" s="18"/>
      <c r="F705" s="28"/>
      <c r="G705" s="32" t="str">
        <f aca="false">IF(F705="","",IFERROR(INDEX(請求台帳!$D$5:$D$504,MATCH(F705,請求台帳!$A$5:$A$504,0)),""))</f>
        <v/>
      </c>
      <c r="H705" s="26" t="str">
        <f aca="false">IF(F705="","",IFERROR(INDEX(請求台帳!$I$5:$I$504,MATCH(F705,請求台帳!$A$5:$A$504,0)),""))</f>
        <v/>
      </c>
      <c r="I705" s="29" t="str">
        <f aca="false">IF(COUNTA(B705,D705,E705,F705)=0,"",IF(OR(B705="",E705=""),"要入力",IF(F705="","未消込",IF(ISNA(MATCH(F705,請求台帳!$A$5:$A$504,0)),"番号誤り",IF(INDEX(請求台帳!$T$5:$T$504,MATCH(F705,請求台帳!$A$5:$A$504,0))="取消","取消請求へ消込","消込済")))))</f>
        <v/>
      </c>
      <c r="J705" s="28"/>
      <c r="K705" s="28"/>
    </row>
    <row r="706" customFormat="false" ht="15" hidden="false" customHeight="false" outlineLevel="0" collapsed="false">
      <c r="A706" s="32" t="str">
        <f aca="false">IF(COUNTA(B706,D706,E706,F706)=0,"",ROW()-4)</f>
        <v/>
      </c>
      <c r="B706" s="22"/>
      <c r="C706" s="28"/>
      <c r="D706" s="28"/>
      <c r="E706" s="18"/>
      <c r="F706" s="28"/>
      <c r="G706" s="32" t="str">
        <f aca="false">IF(F706="","",IFERROR(INDEX(請求台帳!$D$5:$D$504,MATCH(F706,請求台帳!$A$5:$A$504,0)),""))</f>
        <v/>
      </c>
      <c r="H706" s="26" t="str">
        <f aca="false">IF(F706="","",IFERROR(INDEX(請求台帳!$I$5:$I$504,MATCH(F706,請求台帳!$A$5:$A$504,0)),""))</f>
        <v/>
      </c>
      <c r="I706" s="29" t="str">
        <f aca="false">IF(COUNTA(B706,D706,E706,F706)=0,"",IF(OR(B706="",E706=""),"要入力",IF(F706="","未消込",IF(ISNA(MATCH(F706,請求台帳!$A$5:$A$504,0)),"番号誤り",IF(INDEX(請求台帳!$T$5:$T$504,MATCH(F706,請求台帳!$A$5:$A$504,0))="取消","取消請求へ消込","消込済")))))</f>
        <v/>
      </c>
      <c r="J706" s="28"/>
      <c r="K706" s="28"/>
    </row>
    <row r="707" customFormat="false" ht="15" hidden="false" customHeight="false" outlineLevel="0" collapsed="false">
      <c r="A707" s="32" t="str">
        <f aca="false">IF(COUNTA(B707,D707,E707,F707)=0,"",ROW()-4)</f>
        <v/>
      </c>
      <c r="B707" s="22"/>
      <c r="C707" s="28"/>
      <c r="D707" s="28"/>
      <c r="E707" s="18"/>
      <c r="F707" s="28"/>
      <c r="G707" s="32" t="str">
        <f aca="false">IF(F707="","",IFERROR(INDEX(請求台帳!$D$5:$D$504,MATCH(F707,請求台帳!$A$5:$A$504,0)),""))</f>
        <v/>
      </c>
      <c r="H707" s="26" t="str">
        <f aca="false">IF(F707="","",IFERROR(INDEX(請求台帳!$I$5:$I$504,MATCH(F707,請求台帳!$A$5:$A$504,0)),""))</f>
        <v/>
      </c>
      <c r="I707" s="29" t="str">
        <f aca="false">IF(COUNTA(B707,D707,E707,F707)=0,"",IF(OR(B707="",E707=""),"要入力",IF(F707="","未消込",IF(ISNA(MATCH(F707,請求台帳!$A$5:$A$504,0)),"番号誤り",IF(INDEX(請求台帳!$T$5:$T$504,MATCH(F707,請求台帳!$A$5:$A$504,0))="取消","取消請求へ消込","消込済")))))</f>
        <v/>
      </c>
      <c r="J707" s="28"/>
      <c r="K707" s="28"/>
    </row>
    <row r="708" customFormat="false" ht="15" hidden="false" customHeight="false" outlineLevel="0" collapsed="false">
      <c r="A708" s="32" t="str">
        <f aca="false">IF(COUNTA(B708,D708,E708,F708)=0,"",ROW()-4)</f>
        <v/>
      </c>
      <c r="B708" s="22"/>
      <c r="C708" s="28"/>
      <c r="D708" s="28"/>
      <c r="E708" s="18"/>
      <c r="F708" s="28"/>
      <c r="G708" s="32" t="str">
        <f aca="false">IF(F708="","",IFERROR(INDEX(請求台帳!$D$5:$D$504,MATCH(F708,請求台帳!$A$5:$A$504,0)),""))</f>
        <v/>
      </c>
      <c r="H708" s="26" t="str">
        <f aca="false">IF(F708="","",IFERROR(INDEX(請求台帳!$I$5:$I$504,MATCH(F708,請求台帳!$A$5:$A$504,0)),""))</f>
        <v/>
      </c>
      <c r="I708" s="29" t="str">
        <f aca="false">IF(COUNTA(B708,D708,E708,F708)=0,"",IF(OR(B708="",E708=""),"要入力",IF(F708="","未消込",IF(ISNA(MATCH(F708,請求台帳!$A$5:$A$504,0)),"番号誤り",IF(INDEX(請求台帳!$T$5:$T$504,MATCH(F708,請求台帳!$A$5:$A$504,0))="取消","取消請求へ消込","消込済")))))</f>
        <v/>
      </c>
      <c r="J708" s="28"/>
      <c r="K708" s="28"/>
    </row>
    <row r="709" customFormat="false" ht="15" hidden="false" customHeight="false" outlineLevel="0" collapsed="false">
      <c r="A709" s="32" t="str">
        <f aca="false">IF(COUNTA(B709,D709,E709,F709)=0,"",ROW()-4)</f>
        <v/>
      </c>
      <c r="B709" s="22"/>
      <c r="C709" s="28"/>
      <c r="D709" s="28"/>
      <c r="E709" s="18"/>
      <c r="F709" s="28"/>
      <c r="G709" s="32" t="str">
        <f aca="false">IF(F709="","",IFERROR(INDEX(請求台帳!$D$5:$D$504,MATCH(F709,請求台帳!$A$5:$A$504,0)),""))</f>
        <v/>
      </c>
      <c r="H709" s="26" t="str">
        <f aca="false">IF(F709="","",IFERROR(INDEX(請求台帳!$I$5:$I$504,MATCH(F709,請求台帳!$A$5:$A$504,0)),""))</f>
        <v/>
      </c>
      <c r="I709" s="29" t="str">
        <f aca="false">IF(COUNTA(B709,D709,E709,F709)=0,"",IF(OR(B709="",E709=""),"要入力",IF(F709="","未消込",IF(ISNA(MATCH(F709,請求台帳!$A$5:$A$504,0)),"番号誤り",IF(INDEX(請求台帳!$T$5:$T$504,MATCH(F709,請求台帳!$A$5:$A$504,0))="取消","取消請求へ消込","消込済")))))</f>
        <v/>
      </c>
      <c r="J709" s="28"/>
      <c r="K709" s="28"/>
    </row>
    <row r="710" customFormat="false" ht="15" hidden="false" customHeight="false" outlineLevel="0" collapsed="false">
      <c r="A710" s="32" t="str">
        <f aca="false">IF(COUNTA(B710,D710,E710,F710)=0,"",ROW()-4)</f>
        <v/>
      </c>
      <c r="B710" s="22"/>
      <c r="C710" s="28"/>
      <c r="D710" s="28"/>
      <c r="E710" s="18"/>
      <c r="F710" s="28"/>
      <c r="G710" s="32" t="str">
        <f aca="false">IF(F710="","",IFERROR(INDEX(請求台帳!$D$5:$D$504,MATCH(F710,請求台帳!$A$5:$A$504,0)),""))</f>
        <v/>
      </c>
      <c r="H710" s="26" t="str">
        <f aca="false">IF(F710="","",IFERROR(INDEX(請求台帳!$I$5:$I$504,MATCH(F710,請求台帳!$A$5:$A$504,0)),""))</f>
        <v/>
      </c>
      <c r="I710" s="29" t="str">
        <f aca="false">IF(COUNTA(B710,D710,E710,F710)=0,"",IF(OR(B710="",E710=""),"要入力",IF(F710="","未消込",IF(ISNA(MATCH(F710,請求台帳!$A$5:$A$504,0)),"番号誤り",IF(INDEX(請求台帳!$T$5:$T$504,MATCH(F710,請求台帳!$A$5:$A$504,0))="取消","取消請求へ消込","消込済")))))</f>
        <v/>
      </c>
      <c r="J710" s="28"/>
      <c r="K710" s="28"/>
    </row>
    <row r="711" customFormat="false" ht="15" hidden="false" customHeight="false" outlineLevel="0" collapsed="false">
      <c r="A711" s="32" t="str">
        <f aca="false">IF(COUNTA(B711,D711,E711,F711)=0,"",ROW()-4)</f>
        <v/>
      </c>
      <c r="B711" s="22"/>
      <c r="C711" s="28"/>
      <c r="D711" s="28"/>
      <c r="E711" s="18"/>
      <c r="F711" s="28"/>
      <c r="G711" s="32" t="str">
        <f aca="false">IF(F711="","",IFERROR(INDEX(請求台帳!$D$5:$D$504,MATCH(F711,請求台帳!$A$5:$A$504,0)),""))</f>
        <v/>
      </c>
      <c r="H711" s="26" t="str">
        <f aca="false">IF(F711="","",IFERROR(INDEX(請求台帳!$I$5:$I$504,MATCH(F711,請求台帳!$A$5:$A$504,0)),""))</f>
        <v/>
      </c>
      <c r="I711" s="29" t="str">
        <f aca="false">IF(COUNTA(B711,D711,E711,F711)=0,"",IF(OR(B711="",E711=""),"要入力",IF(F711="","未消込",IF(ISNA(MATCH(F711,請求台帳!$A$5:$A$504,0)),"番号誤り",IF(INDEX(請求台帳!$T$5:$T$504,MATCH(F711,請求台帳!$A$5:$A$504,0))="取消","取消請求へ消込","消込済")))))</f>
        <v/>
      </c>
      <c r="J711" s="28"/>
      <c r="K711" s="28"/>
    </row>
    <row r="712" customFormat="false" ht="15" hidden="false" customHeight="false" outlineLevel="0" collapsed="false">
      <c r="A712" s="32" t="str">
        <f aca="false">IF(COUNTA(B712,D712,E712,F712)=0,"",ROW()-4)</f>
        <v/>
      </c>
      <c r="B712" s="22"/>
      <c r="C712" s="28"/>
      <c r="D712" s="28"/>
      <c r="E712" s="18"/>
      <c r="F712" s="28"/>
      <c r="G712" s="32" t="str">
        <f aca="false">IF(F712="","",IFERROR(INDEX(請求台帳!$D$5:$D$504,MATCH(F712,請求台帳!$A$5:$A$504,0)),""))</f>
        <v/>
      </c>
      <c r="H712" s="26" t="str">
        <f aca="false">IF(F712="","",IFERROR(INDEX(請求台帳!$I$5:$I$504,MATCH(F712,請求台帳!$A$5:$A$504,0)),""))</f>
        <v/>
      </c>
      <c r="I712" s="29" t="str">
        <f aca="false">IF(COUNTA(B712,D712,E712,F712)=0,"",IF(OR(B712="",E712=""),"要入力",IF(F712="","未消込",IF(ISNA(MATCH(F712,請求台帳!$A$5:$A$504,0)),"番号誤り",IF(INDEX(請求台帳!$T$5:$T$504,MATCH(F712,請求台帳!$A$5:$A$504,0))="取消","取消請求へ消込","消込済")))))</f>
        <v/>
      </c>
      <c r="J712" s="28"/>
      <c r="K712" s="28"/>
    </row>
    <row r="713" customFormat="false" ht="15" hidden="false" customHeight="false" outlineLevel="0" collapsed="false">
      <c r="A713" s="32" t="str">
        <f aca="false">IF(COUNTA(B713,D713,E713,F713)=0,"",ROW()-4)</f>
        <v/>
      </c>
      <c r="B713" s="22"/>
      <c r="C713" s="28"/>
      <c r="D713" s="28"/>
      <c r="E713" s="18"/>
      <c r="F713" s="28"/>
      <c r="G713" s="32" t="str">
        <f aca="false">IF(F713="","",IFERROR(INDEX(請求台帳!$D$5:$D$504,MATCH(F713,請求台帳!$A$5:$A$504,0)),""))</f>
        <v/>
      </c>
      <c r="H713" s="26" t="str">
        <f aca="false">IF(F713="","",IFERROR(INDEX(請求台帳!$I$5:$I$504,MATCH(F713,請求台帳!$A$5:$A$504,0)),""))</f>
        <v/>
      </c>
      <c r="I713" s="29" t="str">
        <f aca="false">IF(COUNTA(B713,D713,E713,F713)=0,"",IF(OR(B713="",E713=""),"要入力",IF(F713="","未消込",IF(ISNA(MATCH(F713,請求台帳!$A$5:$A$504,0)),"番号誤り",IF(INDEX(請求台帳!$T$5:$T$504,MATCH(F713,請求台帳!$A$5:$A$504,0))="取消","取消請求へ消込","消込済")))))</f>
        <v/>
      </c>
      <c r="J713" s="28"/>
      <c r="K713" s="28"/>
    </row>
    <row r="714" customFormat="false" ht="15" hidden="false" customHeight="false" outlineLevel="0" collapsed="false">
      <c r="A714" s="32" t="str">
        <f aca="false">IF(COUNTA(B714,D714,E714,F714)=0,"",ROW()-4)</f>
        <v/>
      </c>
      <c r="B714" s="22"/>
      <c r="C714" s="28"/>
      <c r="D714" s="28"/>
      <c r="E714" s="18"/>
      <c r="F714" s="28"/>
      <c r="G714" s="32" t="str">
        <f aca="false">IF(F714="","",IFERROR(INDEX(請求台帳!$D$5:$D$504,MATCH(F714,請求台帳!$A$5:$A$504,0)),""))</f>
        <v/>
      </c>
      <c r="H714" s="26" t="str">
        <f aca="false">IF(F714="","",IFERROR(INDEX(請求台帳!$I$5:$I$504,MATCH(F714,請求台帳!$A$5:$A$504,0)),""))</f>
        <v/>
      </c>
      <c r="I714" s="29" t="str">
        <f aca="false">IF(COUNTA(B714,D714,E714,F714)=0,"",IF(OR(B714="",E714=""),"要入力",IF(F714="","未消込",IF(ISNA(MATCH(F714,請求台帳!$A$5:$A$504,0)),"番号誤り",IF(INDEX(請求台帳!$T$5:$T$504,MATCH(F714,請求台帳!$A$5:$A$504,0))="取消","取消請求へ消込","消込済")))))</f>
        <v/>
      </c>
      <c r="J714" s="28"/>
      <c r="K714" s="28"/>
    </row>
    <row r="715" customFormat="false" ht="15" hidden="false" customHeight="false" outlineLevel="0" collapsed="false">
      <c r="A715" s="32" t="str">
        <f aca="false">IF(COUNTA(B715,D715,E715,F715)=0,"",ROW()-4)</f>
        <v/>
      </c>
      <c r="B715" s="22"/>
      <c r="C715" s="28"/>
      <c r="D715" s="28"/>
      <c r="E715" s="18"/>
      <c r="F715" s="28"/>
      <c r="G715" s="32" t="str">
        <f aca="false">IF(F715="","",IFERROR(INDEX(請求台帳!$D$5:$D$504,MATCH(F715,請求台帳!$A$5:$A$504,0)),""))</f>
        <v/>
      </c>
      <c r="H715" s="26" t="str">
        <f aca="false">IF(F715="","",IFERROR(INDEX(請求台帳!$I$5:$I$504,MATCH(F715,請求台帳!$A$5:$A$504,0)),""))</f>
        <v/>
      </c>
      <c r="I715" s="29" t="str">
        <f aca="false">IF(COUNTA(B715,D715,E715,F715)=0,"",IF(OR(B715="",E715=""),"要入力",IF(F715="","未消込",IF(ISNA(MATCH(F715,請求台帳!$A$5:$A$504,0)),"番号誤り",IF(INDEX(請求台帳!$T$5:$T$504,MATCH(F715,請求台帳!$A$5:$A$504,0))="取消","取消請求へ消込","消込済")))))</f>
        <v/>
      </c>
      <c r="J715" s="28"/>
      <c r="K715" s="28"/>
    </row>
    <row r="716" customFormat="false" ht="15" hidden="false" customHeight="false" outlineLevel="0" collapsed="false">
      <c r="A716" s="32" t="str">
        <f aca="false">IF(COUNTA(B716,D716,E716,F716)=0,"",ROW()-4)</f>
        <v/>
      </c>
      <c r="B716" s="22"/>
      <c r="C716" s="28"/>
      <c r="D716" s="28"/>
      <c r="E716" s="18"/>
      <c r="F716" s="28"/>
      <c r="G716" s="32" t="str">
        <f aca="false">IF(F716="","",IFERROR(INDEX(請求台帳!$D$5:$D$504,MATCH(F716,請求台帳!$A$5:$A$504,0)),""))</f>
        <v/>
      </c>
      <c r="H716" s="26" t="str">
        <f aca="false">IF(F716="","",IFERROR(INDEX(請求台帳!$I$5:$I$504,MATCH(F716,請求台帳!$A$5:$A$504,0)),""))</f>
        <v/>
      </c>
      <c r="I716" s="29" t="str">
        <f aca="false">IF(COUNTA(B716,D716,E716,F716)=0,"",IF(OR(B716="",E716=""),"要入力",IF(F716="","未消込",IF(ISNA(MATCH(F716,請求台帳!$A$5:$A$504,0)),"番号誤り",IF(INDEX(請求台帳!$T$5:$T$504,MATCH(F716,請求台帳!$A$5:$A$504,0))="取消","取消請求へ消込","消込済")))))</f>
        <v/>
      </c>
      <c r="J716" s="28"/>
      <c r="K716" s="28"/>
    </row>
    <row r="717" customFormat="false" ht="15" hidden="false" customHeight="false" outlineLevel="0" collapsed="false">
      <c r="A717" s="32" t="str">
        <f aca="false">IF(COUNTA(B717,D717,E717,F717)=0,"",ROW()-4)</f>
        <v/>
      </c>
      <c r="B717" s="22"/>
      <c r="C717" s="28"/>
      <c r="D717" s="28"/>
      <c r="E717" s="18"/>
      <c r="F717" s="28"/>
      <c r="G717" s="32" t="str">
        <f aca="false">IF(F717="","",IFERROR(INDEX(請求台帳!$D$5:$D$504,MATCH(F717,請求台帳!$A$5:$A$504,0)),""))</f>
        <v/>
      </c>
      <c r="H717" s="26" t="str">
        <f aca="false">IF(F717="","",IFERROR(INDEX(請求台帳!$I$5:$I$504,MATCH(F717,請求台帳!$A$5:$A$504,0)),""))</f>
        <v/>
      </c>
      <c r="I717" s="29" t="str">
        <f aca="false">IF(COUNTA(B717,D717,E717,F717)=0,"",IF(OR(B717="",E717=""),"要入力",IF(F717="","未消込",IF(ISNA(MATCH(F717,請求台帳!$A$5:$A$504,0)),"番号誤り",IF(INDEX(請求台帳!$T$5:$T$504,MATCH(F717,請求台帳!$A$5:$A$504,0))="取消","取消請求へ消込","消込済")))))</f>
        <v/>
      </c>
      <c r="J717" s="28"/>
      <c r="K717" s="28"/>
    </row>
    <row r="718" customFormat="false" ht="15" hidden="false" customHeight="false" outlineLevel="0" collapsed="false">
      <c r="A718" s="32" t="str">
        <f aca="false">IF(COUNTA(B718,D718,E718,F718)=0,"",ROW()-4)</f>
        <v/>
      </c>
      <c r="B718" s="22"/>
      <c r="C718" s="28"/>
      <c r="D718" s="28"/>
      <c r="E718" s="18"/>
      <c r="F718" s="28"/>
      <c r="G718" s="32" t="str">
        <f aca="false">IF(F718="","",IFERROR(INDEX(請求台帳!$D$5:$D$504,MATCH(F718,請求台帳!$A$5:$A$504,0)),""))</f>
        <v/>
      </c>
      <c r="H718" s="26" t="str">
        <f aca="false">IF(F718="","",IFERROR(INDEX(請求台帳!$I$5:$I$504,MATCH(F718,請求台帳!$A$5:$A$504,0)),""))</f>
        <v/>
      </c>
      <c r="I718" s="29" t="str">
        <f aca="false">IF(COUNTA(B718,D718,E718,F718)=0,"",IF(OR(B718="",E718=""),"要入力",IF(F718="","未消込",IF(ISNA(MATCH(F718,請求台帳!$A$5:$A$504,0)),"番号誤り",IF(INDEX(請求台帳!$T$5:$T$504,MATCH(F718,請求台帳!$A$5:$A$504,0))="取消","取消請求へ消込","消込済")))))</f>
        <v/>
      </c>
      <c r="J718" s="28"/>
      <c r="K718" s="28"/>
    </row>
    <row r="719" customFormat="false" ht="15" hidden="false" customHeight="false" outlineLevel="0" collapsed="false">
      <c r="A719" s="32" t="str">
        <f aca="false">IF(COUNTA(B719,D719,E719,F719)=0,"",ROW()-4)</f>
        <v/>
      </c>
      <c r="B719" s="22"/>
      <c r="C719" s="28"/>
      <c r="D719" s="28"/>
      <c r="E719" s="18"/>
      <c r="F719" s="28"/>
      <c r="G719" s="32" t="str">
        <f aca="false">IF(F719="","",IFERROR(INDEX(請求台帳!$D$5:$D$504,MATCH(F719,請求台帳!$A$5:$A$504,0)),""))</f>
        <v/>
      </c>
      <c r="H719" s="26" t="str">
        <f aca="false">IF(F719="","",IFERROR(INDEX(請求台帳!$I$5:$I$504,MATCH(F719,請求台帳!$A$5:$A$504,0)),""))</f>
        <v/>
      </c>
      <c r="I719" s="29" t="str">
        <f aca="false">IF(COUNTA(B719,D719,E719,F719)=0,"",IF(OR(B719="",E719=""),"要入力",IF(F719="","未消込",IF(ISNA(MATCH(F719,請求台帳!$A$5:$A$504,0)),"番号誤り",IF(INDEX(請求台帳!$T$5:$T$504,MATCH(F719,請求台帳!$A$5:$A$504,0))="取消","取消請求へ消込","消込済")))))</f>
        <v/>
      </c>
      <c r="J719" s="28"/>
      <c r="K719" s="28"/>
    </row>
    <row r="720" customFormat="false" ht="15" hidden="false" customHeight="false" outlineLevel="0" collapsed="false">
      <c r="A720" s="32" t="str">
        <f aca="false">IF(COUNTA(B720,D720,E720,F720)=0,"",ROW()-4)</f>
        <v/>
      </c>
      <c r="B720" s="22"/>
      <c r="C720" s="28"/>
      <c r="D720" s="28"/>
      <c r="E720" s="18"/>
      <c r="F720" s="28"/>
      <c r="G720" s="32" t="str">
        <f aca="false">IF(F720="","",IFERROR(INDEX(請求台帳!$D$5:$D$504,MATCH(F720,請求台帳!$A$5:$A$504,0)),""))</f>
        <v/>
      </c>
      <c r="H720" s="26" t="str">
        <f aca="false">IF(F720="","",IFERROR(INDEX(請求台帳!$I$5:$I$504,MATCH(F720,請求台帳!$A$5:$A$504,0)),""))</f>
        <v/>
      </c>
      <c r="I720" s="29" t="str">
        <f aca="false">IF(COUNTA(B720,D720,E720,F720)=0,"",IF(OR(B720="",E720=""),"要入力",IF(F720="","未消込",IF(ISNA(MATCH(F720,請求台帳!$A$5:$A$504,0)),"番号誤り",IF(INDEX(請求台帳!$T$5:$T$504,MATCH(F720,請求台帳!$A$5:$A$504,0))="取消","取消請求へ消込","消込済")))))</f>
        <v/>
      </c>
      <c r="J720" s="28"/>
      <c r="K720" s="28"/>
    </row>
    <row r="721" customFormat="false" ht="15" hidden="false" customHeight="false" outlineLevel="0" collapsed="false">
      <c r="A721" s="32" t="str">
        <f aca="false">IF(COUNTA(B721,D721,E721,F721)=0,"",ROW()-4)</f>
        <v/>
      </c>
      <c r="B721" s="22"/>
      <c r="C721" s="28"/>
      <c r="D721" s="28"/>
      <c r="E721" s="18"/>
      <c r="F721" s="28"/>
      <c r="G721" s="32" t="str">
        <f aca="false">IF(F721="","",IFERROR(INDEX(請求台帳!$D$5:$D$504,MATCH(F721,請求台帳!$A$5:$A$504,0)),""))</f>
        <v/>
      </c>
      <c r="H721" s="26" t="str">
        <f aca="false">IF(F721="","",IFERROR(INDEX(請求台帳!$I$5:$I$504,MATCH(F721,請求台帳!$A$5:$A$504,0)),""))</f>
        <v/>
      </c>
      <c r="I721" s="29" t="str">
        <f aca="false">IF(COUNTA(B721,D721,E721,F721)=0,"",IF(OR(B721="",E721=""),"要入力",IF(F721="","未消込",IF(ISNA(MATCH(F721,請求台帳!$A$5:$A$504,0)),"番号誤り",IF(INDEX(請求台帳!$T$5:$T$504,MATCH(F721,請求台帳!$A$5:$A$504,0))="取消","取消請求へ消込","消込済")))))</f>
        <v/>
      </c>
      <c r="J721" s="28"/>
      <c r="K721" s="28"/>
    </row>
    <row r="722" customFormat="false" ht="15" hidden="false" customHeight="false" outlineLevel="0" collapsed="false">
      <c r="A722" s="32" t="str">
        <f aca="false">IF(COUNTA(B722,D722,E722,F722)=0,"",ROW()-4)</f>
        <v/>
      </c>
      <c r="B722" s="22"/>
      <c r="C722" s="28"/>
      <c r="D722" s="28"/>
      <c r="E722" s="18"/>
      <c r="F722" s="28"/>
      <c r="G722" s="32" t="str">
        <f aca="false">IF(F722="","",IFERROR(INDEX(請求台帳!$D$5:$D$504,MATCH(F722,請求台帳!$A$5:$A$504,0)),""))</f>
        <v/>
      </c>
      <c r="H722" s="26" t="str">
        <f aca="false">IF(F722="","",IFERROR(INDEX(請求台帳!$I$5:$I$504,MATCH(F722,請求台帳!$A$5:$A$504,0)),""))</f>
        <v/>
      </c>
      <c r="I722" s="29" t="str">
        <f aca="false">IF(COUNTA(B722,D722,E722,F722)=0,"",IF(OR(B722="",E722=""),"要入力",IF(F722="","未消込",IF(ISNA(MATCH(F722,請求台帳!$A$5:$A$504,0)),"番号誤り",IF(INDEX(請求台帳!$T$5:$T$504,MATCH(F722,請求台帳!$A$5:$A$504,0))="取消","取消請求へ消込","消込済")))))</f>
        <v/>
      </c>
      <c r="J722" s="28"/>
      <c r="K722" s="28"/>
    </row>
    <row r="723" customFormat="false" ht="15" hidden="false" customHeight="false" outlineLevel="0" collapsed="false">
      <c r="A723" s="32" t="str">
        <f aca="false">IF(COUNTA(B723,D723,E723,F723)=0,"",ROW()-4)</f>
        <v/>
      </c>
      <c r="B723" s="22"/>
      <c r="C723" s="28"/>
      <c r="D723" s="28"/>
      <c r="E723" s="18"/>
      <c r="F723" s="28"/>
      <c r="G723" s="32" t="str">
        <f aca="false">IF(F723="","",IFERROR(INDEX(請求台帳!$D$5:$D$504,MATCH(F723,請求台帳!$A$5:$A$504,0)),""))</f>
        <v/>
      </c>
      <c r="H723" s="26" t="str">
        <f aca="false">IF(F723="","",IFERROR(INDEX(請求台帳!$I$5:$I$504,MATCH(F723,請求台帳!$A$5:$A$504,0)),""))</f>
        <v/>
      </c>
      <c r="I723" s="29" t="str">
        <f aca="false">IF(COUNTA(B723,D723,E723,F723)=0,"",IF(OR(B723="",E723=""),"要入力",IF(F723="","未消込",IF(ISNA(MATCH(F723,請求台帳!$A$5:$A$504,0)),"番号誤り",IF(INDEX(請求台帳!$T$5:$T$504,MATCH(F723,請求台帳!$A$5:$A$504,0))="取消","取消請求へ消込","消込済")))))</f>
        <v/>
      </c>
      <c r="J723" s="28"/>
      <c r="K723" s="28"/>
    </row>
    <row r="724" customFormat="false" ht="15" hidden="false" customHeight="false" outlineLevel="0" collapsed="false">
      <c r="A724" s="32" t="str">
        <f aca="false">IF(COUNTA(B724,D724,E724,F724)=0,"",ROW()-4)</f>
        <v/>
      </c>
      <c r="B724" s="22"/>
      <c r="C724" s="28"/>
      <c r="D724" s="28"/>
      <c r="E724" s="18"/>
      <c r="F724" s="28"/>
      <c r="G724" s="32" t="str">
        <f aca="false">IF(F724="","",IFERROR(INDEX(請求台帳!$D$5:$D$504,MATCH(F724,請求台帳!$A$5:$A$504,0)),""))</f>
        <v/>
      </c>
      <c r="H724" s="26" t="str">
        <f aca="false">IF(F724="","",IFERROR(INDEX(請求台帳!$I$5:$I$504,MATCH(F724,請求台帳!$A$5:$A$504,0)),""))</f>
        <v/>
      </c>
      <c r="I724" s="29" t="str">
        <f aca="false">IF(COUNTA(B724,D724,E724,F724)=0,"",IF(OR(B724="",E724=""),"要入力",IF(F724="","未消込",IF(ISNA(MATCH(F724,請求台帳!$A$5:$A$504,0)),"番号誤り",IF(INDEX(請求台帳!$T$5:$T$504,MATCH(F724,請求台帳!$A$5:$A$504,0))="取消","取消請求へ消込","消込済")))))</f>
        <v/>
      </c>
      <c r="J724" s="28"/>
      <c r="K724" s="28"/>
    </row>
    <row r="725" customFormat="false" ht="15" hidden="false" customHeight="false" outlineLevel="0" collapsed="false">
      <c r="A725" s="32" t="str">
        <f aca="false">IF(COUNTA(B725,D725,E725,F725)=0,"",ROW()-4)</f>
        <v/>
      </c>
      <c r="B725" s="22"/>
      <c r="C725" s="28"/>
      <c r="D725" s="28"/>
      <c r="E725" s="18"/>
      <c r="F725" s="28"/>
      <c r="G725" s="32" t="str">
        <f aca="false">IF(F725="","",IFERROR(INDEX(請求台帳!$D$5:$D$504,MATCH(F725,請求台帳!$A$5:$A$504,0)),""))</f>
        <v/>
      </c>
      <c r="H725" s="26" t="str">
        <f aca="false">IF(F725="","",IFERROR(INDEX(請求台帳!$I$5:$I$504,MATCH(F725,請求台帳!$A$5:$A$504,0)),""))</f>
        <v/>
      </c>
      <c r="I725" s="29" t="str">
        <f aca="false">IF(COUNTA(B725,D725,E725,F725)=0,"",IF(OR(B725="",E725=""),"要入力",IF(F725="","未消込",IF(ISNA(MATCH(F725,請求台帳!$A$5:$A$504,0)),"番号誤り",IF(INDEX(請求台帳!$T$5:$T$504,MATCH(F725,請求台帳!$A$5:$A$504,0))="取消","取消請求へ消込","消込済")))))</f>
        <v/>
      </c>
      <c r="J725" s="28"/>
      <c r="K725" s="28"/>
    </row>
    <row r="726" customFormat="false" ht="15" hidden="false" customHeight="false" outlineLevel="0" collapsed="false">
      <c r="A726" s="32" t="str">
        <f aca="false">IF(COUNTA(B726,D726,E726,F726)=0,"",ROW()-4)</f>
        <v/>
      </c>
      <c r="B726" s="22"/>
      <c r="C726" s="28"/>
      <c r="D726" s="28"/>
      <c r="E726" s="18"/>
      <c r="F726" s="28"/>
      <c r="G726" s="32" t="str">
        <f aca="false">IF(F726="","",IFERROR(INDEX(請求台帳!$D$5:$D$504,MATCH(F726,請求台帳!$A$5:$A$504,0)),""))</f>
        <v/>
      </c>
      <c r="H726" s="26" t="str">
        <f aca="false">IF(F726="","",IFERROR(INDEX(請求台帳!$I$5:$I$504,MATCH(F726,請求台帳!$A$5:$A$504,0)),""))</f>
        <v/>
      </c>
      <c r="I726" s="29" t="str">
        <f aca="false">IF(COUNTA(B726,D726,E726,F726)=0,"",IF(OR(B726="",E726=""),"要入力",IF(F726="","未消込",IF(ISNA(MATCH(F726,請求台帳!$A$5:$A$504,0)),"番号誤り",IF(INDEX(請求台帳!$T$5:$T$504,MATCH(F726,請求台帳!$A$5:$A$504,0))="取消","取消請求へ消込","消込済")))))</f>
        <v/>
      </c>
      <c r="J726" s="28"/>
      <c r="K726" s="28"/>
    </row>
    <row r="727" customFormat="false" ht="15" hidden="false" customHeight="false" outlineLevel="0" collapsed="false">
      <c r="A727" s="32" t="str">
        <f aca="false">IF(COUNTA(B727,D727,E727,F727)=0,"",ROW()-4)</f>
        <v/>
      </c>
      <c r="B727" s="22"/>
      <c r="C727" s="28"/>
      <c r="D727" s="28"/>
      <c r="E727" s="18"/>
      <c r="F727" s="28"/>
      <c r="G727" s="32" t="str">
        <f aca="false">IF(F727="","",IFERROR(INDEX(請求台帳!$D$5:$D$504,MATCH(F727,請求台帳!$A$5:$A$504,0)),""))</f>
        <v/>
      </c>
      <c r="H727" s="26" t="str">
        <f aca="false">IF(F727="","",IFERROR(INDEX(請求台帳!$I$5:$I$504,MATCH(F727,請求台帳!$A$5:$A$504,0)),""))</f>
        <v/>
      </c>
      <c r="I727" s="29" t="str">
        <f aca="false">IF(COUNTA(B727,D727,E727,F727)=0,"",IF(OR(B727="",E727=""),"要入力",IF(F727="","未消込",IF(ISNA(MATCH(F727,請求台帳!$A$5:$A$504,0)),"番号誤り",IF(INDEX(請求台帳!$T$5:$T$504,MATCH(F727,請求台帳!$A$5:$A$504,0))="取消","取消請求へ消込","消込済")))))</f>
        <v/>
      </c>
      <c r="J727" s="28"/>
      <c r="K727" s="28"/>
    </row>
    <row r="728" customFormat="false" ht="15" hidden="false" customHeight="false" outlineLevel="0" collapsed="false">
      <c r="A728" s="32" t="str">
        <f aca="false">IF(COUNTA(B728,D728,E728,F728)=0,"",ROW()-4)</f>
        <v/>
      </c>
      <c r="B728" s="22"/>
      <c r="C728" s="28"/>
      <c r="D728" s="28"/>
      <c r="E728" s="18"/>
      <c r="F728" s="28"/>
      <c r="G728" s="32" t="str">
        <f aca="false">IF(F728="","",IFERROR(INDEX(請求台帳!$D$5:$D$504,MATCH(F728,請求台帳!$A$5:$A$504,0)),""))</f>
        <v/>
      </c>
      <c r="H728" s="26" t="str">
        <f aca="false">IF(F728="","",IFERROR(INDEX(請求台帳!$I$5:$I$504,MATCH(F728,請求台帳!$A$5:$A$504,0)),""))</f>
        <v/>
      </c>
      <c r="I728" s="29" t="str">
        <f aca="false">IF(COUNTA(B728,D728,E728,F728)=0,"",IF(OR(B728="",E728=""),"要入力",IF(F728="","未消込",IF(ISNA(MATCH(F728,請求台帳!$A$5:$A$504,0)),"番号誤り",IF(INDEX(請求台帳!$T$5:$T$504,MATCH(F728,請求台帳!$A$5:$A$504,0))="取消","取消請求へ消込","消込済")))))</f>
        <v/>
      </c>
      <c r="J728" s="28"/>
      <c r="K728" s="28"/>
    </row>
    <row r="729" customFormat="false" ht="15" hidden="false" customHeight="false" outlineLevel="0" collapsed="false">
      <c r="A729" s="32" t="str">
        <f aca="false">IF(COUNTA(B729,D729,E729,F729)=0,"",ROW()-4)</f>
        <v/>
      </c>
      <c r="B729" s="22"/>
      <c r="C729" s="28"/>
      <c r="D729" s="28"/>
      <c r="E729" s="18"/>
      <c r="F729" s="28"/>
      <c r="G729" s="32" t="str">
        <f aca="false">IF(F729="","",IFERROR(INDEX(請求台帳!$D$5:$D$504,MATCH(F729,請求台帳!$A$5:$A$504,0)),""))</f>
        <v/>
      </c>
      <c r="H729" s="26" t="str">
        <f aca="false">IF(F729="","",IFERROR(INDEX(請求台帳!$I$5:$I$504,MATCH(F729,請求台帳!$A$5:$A$504,0)),""))</f>
        <v/>
      </c>
      <c r="I729" s="29" t="str">
        <f aca="false">IF(COUNTA(B729,D729,E729,F729)=0,"",IF(OR(B729="",E729=""),"要入力",IF(F729="","未消込",IF(ISNA(MATCH(F729,請求台帳!$A$5:$A$504,0)),"番号誤り",IF(INDEX(請求台帳!$T$5:$T$504,MATCH(F729,請求台帳!$A$5:$A$504,0))="取消","取消請求へ消込","消込済")))))</f>
        <v/>
      </c>
      <c r="J729" s="28"/>
      <c r="K729" s="28"/>
    </row>
    <row r="730" customFormat="false" ht="15" hidden="false" customHeight="false" outlineLevel="0" collapsed="false">
      <c r="A730" s="32" t="str">
        <f aca="false">IF(COUNTA(B730,D730,E730,F730)=0,"",ROW()-4)</f>
        <v/>
      </c>
      <c r="B730" s="22"/>
      <c r="C730" s="28"/>
      <c r="D730" s="28"/>
      <c r="E730" s="18"/>
      <c r="F730" s="28"/>
      <c r="G730" s="32" t="str">
        <f aca="false">IF(F730="","",IFERROR(INDEX(請求台帳!$D$5:$D$504,MATCH(F730,請求台帳!$A$5:$A$504,0)),""))</f>
        <v/>
      </c>
      <c r="H730" s="26" t="str">
        <f aca="false">IF(F730="","",IFERROR(INDEX(請求台帳!$I$5:$I$504,MATCH(F730,請求台帳!$A$5:$A$504,0)),""))</f>
        <v/>
      </c>
      <c r="I730" s="29" t="str">
        <f aca="false">IF(COUNTA(B730,D730,E730,F730)=0,"",IF(OR(B730="",E730=""),"要入力",IF(F730="","未消込",IF(ISNA(MATCH(F730,請求台帳!$A$5:$A$504,0)),"番号誤り",IF(INDEX(請求台帳!$T$5:$T$504,MATCH(F730,請求台帳!$A$5:$A$504,0))="取消","取消請求へ消込","消込済")))))</f>
        <v/>
      </c>
      <c r="J730" s="28"/>
      <c r="K730" s="28"/>
    </row>
    <row r="731" customFormat="false" ht="15" hidden="false" customHeight="false" outlineLevel="0" collapsed="false">
      <c r="A731" s="32" t="str">
        <f aca="false">IF(COUNTA(B731,D731,E731,F731)=0,"",ROW()-4)</f>
        <v/>
      </c>
      <c r="B731" s="22"/>
      <c r="C731" s="28"/>
      <c r="D731" s="28"/>
      <c r="E731" s="18"/>
      <c r="F731" s="28"/>
      <c r="G731" s="32" t="str">
        <f aca="false">IF(F731="","",IFERROR(INDEX(請求台帳!$D$5:$D$504,MATCH(F731,請求台帳!$A$5:$A$504,0)),""))</f>
        <v/>
      </c>
      <c r="H731" s="26" t="str">
        <f aca="false">IF(F731="","",IFERROR(INDEX(請求台帳!$I$5:$I$504,MATCH(F731,請求台帳!$A$5:$A$504,0)),""))</f>
        <v/>
      </c>
      <c r="I731" s="29" t="str">
        <f aca="false">IF(COUNTA(B731,D731,E731,F731)=0,"",IF(OR(B731="",E731=""),"要入力",IF(F731="","未消込",IF(ISNA(MATCH(F731,請求台帳!$A$5:$A$504,0)),"番号誤り",IF(INDEX(請求台帳!$T$5:$T$504,MATCH(F731,請求台帳!$A$5:$A$504,0))="取消","取消請求へ消込","消込済")))))</f>
        <v/>
      </c>
      <c r="J731" s="28"/>
      <c r="K731" s="28"/>
    </row>
    <row r="732" customFormat="false" ht="15" hidden="false" customHeight="false" outlineLevel="0" collapsed="false">
      <c r="A732" s="32" t="str">
        <f aca="false">IF(COUNTA(B732,D732,E732,F732)=0,"",ROW()-4)</f>
        <v/>
      </c>
      <c r="B732" s="22"/>
      <c r="C732" s="28"/>
      <c r="D732" s="28"/>
      <c r="E732" s="18"/>
      <c r="F732" s="28"/>
      <c r="G732" s="32" t="str">
        <f aca="false">IF(F732="","",IFERROR(INDEX(請求台帳!$D$5:$D$504,MATCH(F732,請求台帳!$A$5:$A$504,0)),""))</f>
        <v/>
      </c>
      <c r="H732" s="26" t="str">
        <f aca="false">IF(F732="","",IFERROR(INDEX(請求台帳!$I$5:$I$504,MATCH(F732,請求台帳!$A$5:$A$504,0)),""))</f>
        <v/>
      </c>
      <c r="I732" s="29" t="str">
        <f aca="false">IF(COUNTA(B732,D732,E732,F732)=0,"",IF(OR(B732="",E732=""),"要入力",IF(F732="","未消込",IF(ISNA(MATCH(F732,請求台帳!$A$5:$A$504,0)),"番号誤り",IF(INDEX(請求台帳!$T$5:$T$504,MATCH(F732,請求台帳!$A$5:$A$504,0))="取消","取消請求へ消込","消込済")))))</f>
        <v/>
      </c>
      <c r="J732" s="28"/>
      <c r="K732" s="28"/>
    </row>
    <row r="733" customFormat="false" ht="15" hidden="false" customHeight="false" outlineLevel="0" collapsed="false">
      <c r="A733" s="32" t="str">
        <f aca="false">IF(COUNTA(B733,D733,E733,F733)=0,"",ROW()-4)</f>
        <v/>
      </c>
      <c r="B733" s="22"/>
      <c r="C733" s="28"/>
      <c r="D733" s="28"/>
      <c r="E733" s="18"/>
      <c r="F733" s="28"/>
      <c r="G733" s="32" t="str">
        <f aca="false">IF(F733="","",IFERROR(INDEX(請求台帳!$D$5:$D$504,MATCH(F733,請求台帳!$A$5:$A$504,0)),""))</f>
        <v/>
      </c>
      <c r="H733" s="26" t="str">
        <f aca="false">IF(F733="","",IFERROR(INDEX(請求台帳!$I$5:$I$504,MATCH(F733,請求台帳!$A$5:$A$504,0)),""))</f>
        <v/>
      </c>
      <c r="I733" s="29" t="str">
        <f aca="false">IF(COUNTA(B733,D733,E733,F733)=0,"",IF(OR(B733="",E733=""),"要入力",IF(F733="","未消込",IF(ISNA(MATCH(F733,請求台帳!$A$5:$A$504,0)),"番号誤り",IF(INDEX(請求台帳!$T$5:$T$504,MATCH(F733,請求台帳!$A$5:$A$504,0))="取消","取消請求へ消込","消込済")))))</f>
        <v/>
      </c>
      <c r="J733" s="28"/>
      <c r="K733" s="28"/>
    </row>
    <row r="734" customFormat="false" ht="15" hidden="false" customHeight="false" outlineLevel="0" collapsed="false">
      <c r="A734" s="32" t="str">
        <f aca="false">IF(COUNTA(B734,D734,E734,F734)=0,"",ROW()-4)</f>
        <v/>
      </c>
      <c r="B734" s="22"/>
      <c r="C734" s="28"/>
      <c r="D734" s="28"/>
      <c r="E734" s="18"/>
      <c r="F734" s="28"/>
      <c r="G734" s="32" t="str">
        <f aca="false">IF(F734="","",IFERROR(INDEX(請求台帳!$D$5:$D$504,MATCH(F734,請求台帳!$A$5:$A$504,0)),""))</f>
        <v/>
      </c>
      <c r="H734" s="26" t="str">
        <f aca="false">IF(F734="","",IFERROR(INDEX(請求台帳!$I$5:$I$504,MATCH(F734,請求台帳!$A$5:$A$504,0)),""))</f>
        <v/>
      </c>
      <c r="I734" s="29" t="str">
        <f aca="false">IF(COUNTA(B734,D734,E734,F734)=0,"",IF(OR(B734="",E734=""),"要入力",IF(F734="","未消込",IF(ISNA(MATCH(F734,請求台帳!$A$5:$A$504,0)),"番号誤り",IF(INDEX(請求台帳!$T$5:$T$504,MATCH(F734,請求台帳!$A$5:$A$504,0))="取消","取消請求へ消込","消込済")))))</f>
        <v/>
      </c>
      <c r="J734" s="28"/>
      <c r="K734" s="28"/>
    </row>
    <row r="735" customFormat="false" ht="15" hidden="false" customHeight="false" outlineLevel="0" collapsed="false">
      <c r="A735" s="32" t="str">
        <f aca="false">IF(COUNTA(B735,D735,E735,F735)=0,"",ROW()-4)</f>
        <v/>
      </c>
      <c r="B735" s="22"/>
      <c r="C735" s="28"/>
      <c r="D735" s="28"/>
      <c r="E735" s="18"/>
      <c r="F735" s="28"/>
      <c r="G735" s="32" t="str">
        <f aca="false">IF(F735="","",IFERROR(INDEX(請求台帳!$D$5:$D$504,MATCH(F735,請求台帳!$A$5:$A$504,0)),""))</f>
        <v/>
      </c>
      <c r="H735" s="26" t="str">
        <f aca="false">IF(F735="","",IFERROR(INDEX(請求台帳!$I$5:$I$504,MATCH(F735,請求台帳!$A$5:$A$504,0)),""))</f>
        <v/>
      </c>
      <c r="I735" s="29" t="str">
        <f aca="false">IF(COUNTA(B735,D735,E735,F735)=0,"",IF(OR(B735="",E735=""),"要入力",IF(F735="","未消込",IF(ISNA(MATCH(F735,請求台帳!$A$5:$A$504,0)),"番号誤り",IF(INDEX(請求台帳!$T$5:$T$504,MATCH(F735,請求台帳!$A$5:$A$504,0))="取消","取消請求へ消込","消込済")))))</f>
        <v/>
      </c>
      <c r="J735" s="28"/>
      <c r="K735" s="28"/>
    </row>
    <row r="736" customFormat="false" ht="15" hidden="false" customHeight="false" outlineLevel="0" collapsed="false">
      <c r="A736" s="32" t="str">
        <f aca="false">IF(COUNTA(B736,D736,E736,F736)=0,"",ROW()-4)</f>
        <v/>
      </c>
      <c r="B736" s="22"/>
      <c r="C736" s="28"/>
      <c r="D736" s="28"/>
      <c r="E736" s="18"/>
      <c r="F736" s="28"/>
      <c r="G736" s="32" t="str">
        <f aca="false">IF(F736="","",IFERROR(INDEX(請求台帳!$D$5:$D$504,MATCH(F736,請求台帳!$A$5:$A$504,0)),""))</f>
        <v/>
      </c>
      <c r="H736" s="26" t="str">
        <f aca="false">IF(F736="","",IFERROR(INDEX(請求台帳!$I$5:$I$504,MATCH(F736,請求台帳!$A$5:$A$504,0)),""))</f>
        <v/>
      </c>
      <c r="I736" s="29" t="str">
        <f aca="false">IF(COUNTA(B736,D736,E736,F736)=0,"",IF(OR(B736="",E736=""),"要入力",IF(F736="","未消込",IF(ISNA(MATCH(F736,請求台帳!$A$5:$A$504,0)),"番号誤り",IF(INDEX(請求台帳!$T$5:$T$504,MATCH(F736,請求台帳!$A$5:$A$504,0))="取消","取消請求へ消込","消込済")))))</f>
        <v/>
      </c>
      <c r="J736" s="28"/>
      <c r="K736" s="28"/>
    </row>
    <row r="737" customFormat="false" ht="15" hidden="false" customHeight="false" outlineLevel="0" collapsed="false">
      <c r="A737" s="32" t="str">
        <f aca="false">IF(COUNTA(B737,D737,E737,F737)=0,"",ROW()-4)</f>
        <v/>
      </c>
      <c r="B737" s="22"/>
      <c r="C737" s="28"/>
      <c r="D737" s="28"/>
      <c r="E737" s="18"/>
      <c r="F737" s="28"/>
      <c r="G737" s="32" t="str">
        <f aca="false">IF(F737="","",IFERROR(INDEX(請求台帳!$D$5:$D$504,MATCH(F737,請求台帳!$A$5:$A$504,0)),""))</f>
        <v/>
      </c>
      <c r="H737" s="26" t="str">
        <f aca="false">IF(F737="","",IFERROR(INDEX(請求台帳!$I$5:$I$504,MATCH(F737,請求台帳!$A$5:$A$504,0)),""))</f>
        <v/>
      </c>
      <c r="I737" s="29" t="str">
        <f aca="false">IF(COUNTA(B737,D737,E737,F737)=0,"",IF(OR(B737="",E737=""),"要入力",IF(F737="","未消込",IF(ISNA(MATCH(F737,請求台帳!$A$5:$A$504,0)),"番号誤り",IF(INDEX(請求台帳!$T$5:$T$504,MATCH(F737,請求台帳!$A$5:$A$504,0))="取消","取消請求へ消込","消込済")))))</f>
        <v/>
      </c>
      <c r="J737" s="28"/>
      <c r="K737" s="28"/>
    </row>
    <row r="738" customFormat="false" ht="15" hidden="false" customHeight="false" outlineLevel="0" collapsed="false">
      <c r="A738" s="32" t="str">
        <f aca="false">IF(COUNTA(B738,D738,E738,F738)=0,"",ROW()-4)</f>
        <v/>
      </c>
      <c r="B738" s="22"/>
      <c r="C738" s="28"/>
      <c r="D738" s="28"/>
      <c r="E738" s="18"/>
      <c r="F738" s="28"/>
      <c r="G738" s="32" t="str">
        <f aca="false">IF(F738="","",IFERROR(INDEX(請求台帳!$D$5:$D$504,MATCH(F738,請求台帳!$A$5:$A$504,0)),""))</f>
        <v/>
      </c>
      <c r="H738" s="26" t="str">
        <f aca="false">IF(F738="","",IFERROR(INDEX(請求台帳!$I$5:$I$504,MATCH(F738,請求台帳!$A$5:$A$504,0)),""))</f>
        <v/>
      </c>
      <c r="I738" s="29" t="str">
        <f aca="false">IF(COUNTA(B738,D738,E738,F738)=0,"",IF(OR(B738="",E738=""),"要入力",IF(F738="","未消込",IF(ISNA(MATCH(F738,請求台帳!$A$5:$A$504,0)),"番号誤り",IF(INDEX(請求台帳!$T$5:$T$504,MATCH(F738,請求台帳!$A$5:$A$504,0))="取消","取消請求へ消込","消込済")))))</f>
        <v/>
      </c>
      <c r="J738" s="28"/>
      <c r="K738" s="28"/>
    </row>
    <row r="739" customFormat="false" ht="15" hidden="false" customHeight="false" outlineLevel="0" collapsed="false">
      <c r="A739" s="32" t="str">
        <f aca="false">IF(COUNTA(B739,D739,E739,F739)=0,"",ROW()-4)</f>
        <v/>
      </c>
      <c r="B739" s="22"/>
      <c r="C739" s="28"/>
      <c r="D739" s="28"/>
      <c r="E739" s="18"/>
      <c r="F739" s="28"/>
      <c r="G739" s="32" t="str">
        <f aca="false">IF(F739="","",IFERROR(INDEX(請求台帳!$D$5:$D$504,MATCH(F739,請求台帳!$A$5:$A$504,0)),""))</f>
        <v/>
      </c>
      <c r="H739" s="26" t="str">
        <f aca="false">IF(F739="","",IFERROR(INDEX(請求台帳!$I$5:$I$504,MATCH(F739,請求台帳!$A$5:$A$504,0)),""))</f>
        <v/>
      </c>
      <c r="I739" s="29" t="str">
        <f aca="false">IF(COUNTA(B739,D739,E739,F739)=0,"",IF(OR(B739="",E739=""),"要入力",IF(F739="","未消込",IF(ISNA(MATCH(F739,請求台帳!$A$5:$A$504,0)),"番号誤り",IF(INDEX(請求台帳!$T$5:$T$504,MATCH(F739,請求台帳!$A$5:$A$504,0))="取消","取消請求へ消込","消込済")))))</f>
        <v/>
      </c>
      <c r="J739" s="28"/>
      <c r="K739" s="28"/>
    </row>
    <row r="740" customFormat="false" ht="15" hidden="false" customHeight="false" outlineLevel="0" collapsed="false">
      <c r="A740" s="32" t="str">
        <f aca="false">IF(COUNTA(B740,D740,E740,F740)=0,"",ROW()-4)</f>
        <v/>
      </c>
      <c r="B740" s="22"/>
      <c r="C740" s="28"/>
      <c r="D740" s="28"/>
      <c r="E740" s="18"/>
      <c r="F740" s="28"/>
      <c r="G740" s="32" t="str">
        <f aca="false">IF(F740="","",IFERROR(INDEX(請求台帳!$D$5:$D$504,MATCH(F740,請求台帳!$A$5:$A$504,0)),""))</f>
        <v/>
      </c>
      <c r="H740" s="26" t="str">
        <f aca="false">IF(F740="","",IFERROR(INDEX(請求台帳!$I$5:$I$504,MATCH(F740,請求台帳!$A$5:$A$504,0)),""))</f>
        <v/>
      </c>
      <c r="I740" s="29" t="str">
        <f aca="false">IF(COUNTA(B740,D740,E740,F740)=0,"",IF(OR(B740="",E740=""),"要入力",IF(F740="","未消込",IF(ISNA(MATCH(F740,請求台帳!$A$5:$A$504,0)),"番号誤り",IF(INDEX(請求台帳!$T$5:$T$504,MATCH(F740,請求台帳!$A$5:$A$504,0))="取消","取消請求へ消込","消込済")))))</f>
        <v/>
      </c>
      <c r="J740" s="28"/>
      <c r="K740" s="28"/>
    </row>
    <row r="741" customFormat="false" ht="15" hidden="false" customHeight="false" outlineLevel="0" collapsed="false">
      <c r="A741" s="32" t="str">
        <f aca="false">IF(COUNTA(B741,D741,E741,F741)=0,"",ROW()-4)</f>
        <v/>
      </c>
      <c r="B741" s="22"/>
      <c r="C741" s="28"/>
      <c r="D741" s="28"/>
      <c r="E741" s="18"/>
      <c r="F741" s="28"/>
      <c r="G741" s="32" t="str">
        <f aca="false">IF(F741="","",IFERROR(INDEX(請求台帳!$D$5:$D$504,MATCH(F741,請求台帳!$A$5:$A$504,0)),""))</f>
        <v/>
      </c>
      <c r="H741" s="26" t="str">
        <f aca="false">IF(F741="","",IFERROR(INDEX(請求台帳!$I$5:$I$504,MATCH(F741,請求台帳!$A$5:$A$504,0)),""))</f>
        <v/>
      </c>
      <c r="I741" s="29" t="str">
        <f aca="false">IF(COUNTA(B741,D741,E741,F741)=0,"",IF(OR(B741="",E741=""),"要入力",IF(F741="","未消込",IF(ISNA(MATCH(F741,請求台帳!$A$5:$A$504,0)),"番号誤り",IF(INDEX(請求台帳!$T$5:$T$504,MATCH(F741,請求台帳!$A$5:$A$504,0))="取消","取消請求へ消込","消込済")))))</f>
        <v/>
      </c>
      <c r="J741" s="28"/>
      <c r="K741" s="28"/>
    </row>
    <row r="742" customFormat="false" ht="15" hidden="false" customHeight="false" outlineLevel="0" collapsed="false">
      <c r="A742" s="32" t="str">
        <f aca="false">IF(COUNTA(B742,D742,E742,F742)=0,"",ROW()-4)</f>
        <v/>
      </c>
      <c r="B742" s="22"/>
      <c r="C742" s="28"/>
      <c r="D742" s="28"/>
      <c r="E742" s="18"/>
      <c r="F742" s="28"/>
      <c r="G742" s="32" t="str">
        <f aca="false">IF(F742="","",IFERROR(INDEX(請求台帳!$D$5:$D$504,MATCH(F742,請求台帳!$A$5:$A$504,0)),""))</f>
        <v/>
      </c>
      <c r="H742" s="26" t="str">
        <f aca="false">IF(F742="","",IFERROR(INDEX(請求台帳!$I$5:$I$504,MATCH(F742,請求台帳!$A$5:$A$504,0)),""))</f>
        <v/>
      </c>
      <c r="I742" s="29" t="str">
        <f aca="false">IF(COUNTA(B742,D742,E742,F742)=0,"",IF(OR(B742="",E742=""),"要入力",IF(F742="","未消込",IF(ISNA(MATCH(F742,請求台帳!$A$5:$A$504,0)),"番号誤り",IF(INDEX(請求台帳!$T$5:$T$504,MATCH(F742,請求台帳!$A$5:$A$504,0))="取消","取消請求へ消込","消込済")))))</f>
        <v/>
      </c>
      <c r="J742" s="28"/>
      <c r="K742" s="28"/>
    </row>
    <row r="743" customFormat="false" ht="15" hidden="false" customHeight="false" outlineLevel="0" collapsed="false">
      <c r="A743" s="32" t="str">
        <f aca="false">IF(COUNTA(B743,D743,E743,F743)=0,"",ROW()-4)</f>
        <v/>
      </c>
      <c r="B743" s="22"/>
      <c r="C743" s="28"/>
      <c r="D743" s="28"/>
      <c r="E743" s="18"/>
      <c r="F743" s="28"/>
      <c r="G743" s="32" t="str">
        <f aca="false">IF(F743="","",IFERROR(INDEX(請求台帳!$D$5:$D$504,MATCH(F743,請求台帳!$A$5:$A$504,0)),""))</f>
        <v/>
      </c>
      <c r="H743" s="26" t="str">
        <f aca="false">IF(F743="","",IFERROR(INDEX(請求台帳!$I$5:$I$504,MATCH(F743,請求台帳!$A$5:$A$504,0)),""))</f>
        <v/>
      </c>
      <c r="I743" s="29" t="str">
        <f aca="false">IF(COUNTA(B743,D743,E743,F743)=0,"",IF(OR(B743="",E743=""),"要入力",IF(F743="","未消込",IF(ISNA(MATCH(F743,請求台帳!$A$5:$A$504,0)),"番号誤り",IF(INDEX(請求台帳!$T$5:$T$504,MATCH(F743,請求台帳!$A$5:$A$504,0))="取消","取消請求へ消込","消込済")))))</f>
        <v/>
      </c>
      <c r="J743" s="28"/>
      <c r="K743" s="28"/>
    </row>
    <row r="744" customFormat="false" ht="15" hidden="false" customHeight="false" outlineLevel="0" collapsed="false">
      <c r="A744" s="32" t="str">
        <f aca="false">IF(COUNTA(B744,D744,E744,F744)=0,"",ROW()-4)</f>
        <v/>
      </c>
      <c r="B744" s="22"/>
      <c r="C744" s="28"/>
      <c r="D744" s="28"/>
      <c r="E744" s="18"/>
      <c r="F744" s="28"/>
      <c r="G744" s="32" t="str">
        <f aca="false">IF(F744="","",IFERROR(INDEX(請求台帳!$D$5:$D$504,MATCH(F744,請求台帳!$A$5:$A$504,0)),""))</f>
        <v/>
      </c>
      <c r="H744" s="26" t="str">
        <f aca="false">IF(F744="","",IFERROR(INDEX(請求台帳!$I$5:$I$504,MATCH(F744,請求台帳!$A$5:$A$504,0)),""))</f>
        <v/>
      </c>
      <c r="I744" s="29" t="str">
        <f aca="false">IF(COUNTA(B744,D744,E744,F744)=0,"",IF(OR(B744="",E744=""),"要入力",IF(F744="","未消込",IF(ISNA(MATCH(F744,請求台帳!$A$5:$A$504,0)),"番号誤り",IF(INDEX(請求台帳!$T$5:$T$504,MATCH(F744,請求台帳!$A$5:$A$504,0))="取消","取消請求へ消込","消込済")))))</f>
        <v/>
      </c>
      <c r="J744" s="28"/>
      <c r="K744" s="28"/>
    </row>
    <row r="745" customFormat="false" ht="15" hidden="false" customHeight="false" outlineLevel="0" collapsed="false">
      <c r="A745" s="32" t="str">
        <f aca="false">IF(COUNTA(B745,D745,E745,F745)=0,"",ROW()-4)</f>
        <v/>
      </c>
      <c r="B745" s="22"/>
      <c r="C745" s="28"/>
      <c r="D745" s="28"/>
      <c r="E745" s="18"/>
      <c r="F745" s="28"/>
      <c r="G745" s="32" t="str">
        <f aca="false">IF(F745="","",IFERROR(INDEX(請求台帳!$D$5:$D$504,MATCH(F745,請求台帳!$A$5:$A$504,0)),""))</f>
        <v/>
      </c>
      <c r="H745" s="26" t="str">
        <f aca="false">IF(F745="","",IFERROR(INDEX(請求台帳!$I$5:$I$504,MATCH(F745,請求台帳!$A$5:$A$504,0)),""))</f>
        <v/>
      </c>
      <c r="I745" s="29" t="str">
        <f aca="false">IF(COUNTA(B745,D745,E745,F745)=0,"",IF(OR(B745="",E745=""),"要入力",IF(F745="","未消込",IF(ISNA(MATCH(F745,請求台帳!$A$5:$A$504,0)),"番号誤り",IF(INDEX(請求台帳!$T$5:$T$504,MATCH(F745,請求台帳!$A$5:$A$504,0))="取消","取消請求へ消込","消込済")))))</f>
        <v/>
      </c>
      <c r="J745" s="28"/>
      <c r="K745" s="28"/>
    </row>
    <row r="746" customFormat="false" ht="15" hidden="false" customHeight="false" outlineLevel="0" collapsed="false">
      <c r="A746" s="32" t="str">
        <f aca="false">IF(COUNTA(B746,D746,E746,F746)=0,"",ROW()-4)</f>
        <v/>
      </c>
      <c r="B746" s="22"/>
      <c r="C746" s="28"/>
      <c r="D746" s="28"/>
      <c r="E746" s="18"/>
      <c r="F746" s="28"/>
      <c r="G746" s="32" t="str">
        <f aca="false">IF(F746="","",IFERROR(INDEX(請求台帳!$D$5:$D$504,MATCH(F746,請求台帳!$A$5:$A$504,0)),""))</f>
        <v/>
      </c>
      <c r="H746" s="26" t="str">
        <f aca="false">IF(F746="","",IFERROR(INDEX(請求台帳!$I$5:$I$504,MATCH(F746,請求台帳!$A$5:$A$504,0)),""))</f>
        <v/>
      </c>
      <c r="I746" s="29" t="str">
        <f aca="false">IF(COUNTA(B746,D746,E746,F746)=0,"",IF(OR(B746="",E746=""),"要入力",IF(F746="","未消込",IF(ISNA(MATCH(F746,請求台帳!$A$5:$A$504,0)),"番号誤り",IF(INDEX(請求台帳!$T$5:$T$504,MATCH(F746,請求台帳!$A$5:$A$504,0))="取消","取消請求へ消込","消込済")))))</f>
        <v/>
      </c>
      <c r="J746" s="28"/>
      <c r="K746" s="28"/>
    </row>
    <row r="747" customFormat="false" ht="15" hidden="false" customHeight="false" outlineLevel="0" collapsed="false">
      <c r="A747" s="32" t="str">
        <f aca="false">IF(COUNTA(B747,D747,E747,F747)=0,"",ROW()-4)</f>
        <v/>
      </c>
      <c r="B747" s="22"/>
      <c r="C747" s="28"/>
      <c r="D747" s="28"/>
      <c r="E747" s="18"/>
      <c r="F747" s="28"/>
      <c r="G747" s="32" t="str">
        <f aca="false">IF(F747="","",IFERROR(INDEX(請求台帳!$D$5:$D$504,MATCH(F747,請求台帳!$A$5:$A$504,0)),""))</f>
        <v/>
      </c>
      <c r="H747" s="26" t="str">
        <f aca="false">IF(F747="","",IFERROR(INDEX(請求台帳!$I$5:$I$504,MATCH(F747,請求台帳!$A$5:$A$504,0)),""))</f>
        <v/>
      </c>
      <c r="I747" s="29" t="str">
        <f aca="false">IF(COUNTA(B747,D747,E747,F747)=0,"",IF(OR(B747="",E747=""),"要入力",IF(F747="","未消込",IF(ISNA(MATCH(F747,請求台帳!$A$5:$A$504,0)),"番号誤り",IF(INDEX(請求台帳!$T$5:$T$504,MATCH(F747,請求台帳!$A$5:$A$504,0))="取消","取消請求へ消込","消込済")))))</f>
        <v/>
      </c>
      <c r="J747" s="28"/>
      <c r="K747" s="28"/>
    </row>
    <row r="748" customFormat="false" ht="15" hidden="false" customHeight="false" outlineLevel="0" collapsed="false">
      <c r="A748" s="32" t="str">
        <f aca="false">IF(COUNTA(B748,D748,E748,F748)=0,"",ROW()-4)</f>
        <v/>
      </c>
      <c r="B748" s="22"/>
      <c r="C748" s="28"/>
      <c r="D748" s="28"/>
      <c r="E748" s="18"/>
      <c r="F748" s="28"/>
      <c r="G748" s="32" t="str">
        <f aca="false">IF(F748="","",IFERROR(INDEX(請求台帳!$D$5:$D$504,MATCH(F748,請求台帳!$A$5:$A$504,0)),""))</f>
        <v/>
      </c>
      <c r="H748" s="26" t="str">
        <f aca="false">IF(F748="","",IFERROR(INDEX(請求台帳!$I$5:$I$504,MATCH(F748,請求台帳!$A$5:$A$504,0)),""))</f>
        <v/>
      </c>
      <c r="I748" s="29" t="str">
        <f aca="false">IF(COUNTA(B748,D748,E748,F748)=0,"",IF(OR(B748="",E748=""),"要入力",IF(F748="","未消込",IF(ISNA(MATCH(F748,請求台帳!$A$5:$A$504,0)),"番号誤り",IF(INDEX(請求台帳!$T$5:$T$504,MATCH(F748,請求台帳!$A$5:$A$504,0))="取消","取消請求へ消込","消込済")))))</f>
        <v/>
      </c>
      <c r="J748" s="28"/>
      <c r="K748" s="28"/>
    </row>
    <row r="749" customFormat="false" ht="15" hidden="false" customHeight="false" outlineLevel="0" collapsed="false">
      <c r="A749" s="32" t="str">
        <f aca="false">IF(COUNTA(B749,D749,E749,F749)=0,"",ROW()-4)</f>
        <v/>
      </c>
      <c r="B749" s="22"/>
      <c r="C749" s="28"/>
      <c r="D749" s="28"/>
      <c r="E749" s="18"/>
      <c r="F749" s="28"/>
      <c r="G749" s="32" t="str">
        <f aca="false">IF(F749="","",IFERROR(INDEX(請求台帳!$D$5:$D$504,MATCH(F749,請求台帳!$A$5:$A$504,0)),""))</f>
        <v/>
      </c>
      <c r="H749" s="26" t="str">
        <f aca="false">IF(F749="","",IFERROR(INDEX(請求台帳!$I$5:$I$504,MATCH(F749,請求台帳!$A$5:$A$504,0)),""))</f>
        <v/>
      </c>
      <c r="I749" s="29" t="str">
        <f aca="false">IF(COUNTA(B749,D749,E749,F749)=0,"",IF(OR(B749="",E749=""),"要入力",IF(F749="","未消込",IF(ISNA(MATCH(F749,請求台帳!$A$5:$A$504,0)),"番号誤り",IF(INDEX(請求台帳!$T$5:$T$504,MATCH(F749,請求台帳!$A$5:$A$504,0))="取消","取消請求へ消込","消込済")))))</f>
        <v/>
      </c>
      <c r="J749" s="28"/>
      <c r="K749" s="28"/>
    </row>
    <row r="750" customFormat="false" ht="15" hidden="false" customHeight="false" outlineLevel="0" collapsed="false">
      <c r="A750" s="32" t="str">
        <f aca="false">IF(COUNTA(B750,D750,E750,F750)=0,"",ROW()-4)</f>
        <v/>
      </c>
      <c r="B750" s="22"/>
      <c r="C750" s="28"/>
      <c r="D750" s="28"/>
      <c r="E750" s="18"/>
      <c r="F750" s="28"/>
      <c r="G750" s="32" t="str">
        <f aca="false">IF(F750="","",IFERROR(INDEX(請求台帳!$D$5:$D$504,MATCH(F750,請求台帳!$A$5:$A$504,0)),""))</f>
        <v/>
      </c>
      <c r="H750" s="26" t="str">
        <f aca="false">IF(F750="","",IFERROR(INDEX(請求台帳!$I$5:$I$504,MATCH(F750,請求台帳!$A$5:$A$504,0)),""))</f>
        <v/>
      </c>
      <c r="I750" s="29" t="str">
        <f aca="false">IF(COUNTA(B750,D750,E750,F750)=0,"",IF(OR(B750="",E750=""),"要入力",IF(F750="","未消込",IF(ISNA(MATCH(F750,請求台帳!$A$5:$A$504,0)),"番号誤り",IF(INDEX(請求台帳!$T$5:$T$504,MATCH(F750,請求台帳!$A$5:$A$504,0))="取消","取消請求へ消込","消込済")))))</f>
        <v/>
      </c>
      <c r="J750" s="28"/>
      <c r="K750" s="28"/>
    </row>
    <row r="751" customFormat="false" ht="15" hidden="false" customHeight="false" outlineLevel="0" collapsed="false">
      <c r="A751" s="32" t="str">
        <f aca="false">IF(COUNTA(B751,D751,E751,F751)=0,"",ROW()-4)</f>
        <v/>
      </c>
      <c r="B751" s="22"/>
      <c r="C751" s="28"/>
      <c r="D751" s="28"/>
      <c r="E751" s="18"/>
      <c r="F751" s="28"/>
      <c r="G751" s="32" t="str">
        <f aca="false">IF(F751="","",IFERROR(INDEX(請求台帳!$D$5:$D$504,MATCH(F751,請求台帳!$A$5:$A$504,0)),""))</f>
        <v/>
      </c>
      <c r="H751" s="26" t="str">
        <f aca="false">IF(F751="","",IFERROR(INDEX(請求台帳!$I$5:$I$504,MATCH(F751,請求台帳!$A$5:$A$504,0)),""))</f>
        <v/>
      </c>
      <c r="I751" s="29" t="str">
        <f aca="false">IF(COUNTA(B751,D751,E751,F751)=0,"",IF(OR(B751="",E751=""),"要入力",IF(F751="","未消込",IF(ISNA(MATCH(F751,請求台帳!$A$5:$A$504,0)),"番号誤り",IF(INDEX(請求台帳!$T$5:$T$504,MATCH(F751,請求台帳!$A$5:$A$504,0))="取消","取消請求へ消込","消込済")))))</f>
        <v/>
      </c>
      <c r="J751" s="28"/>
      <c r="K751" s="28"/>
    </row>
    <row r="752" customFormat="false" ht="15" hidden="false" customHeight="false" outlineLevel="0" collapsed="false">
      <c r="A752" s="32" t="str">
        <f aca="false">IF(COUNTA(B752,D752,E752,F752)=0,"",ROW()-4)</f>
        <v/>
      </c>
      <c r="B752" s="22"/>
      <c r="C752" s="28"/>
      <c r="D752" s="28"/>
      <c r="E752" s="18"/>
      <c r="F752" s="28"/>
      <c r="G752" s="32" t="str">
        <f aca="false">IF(F752="","",IFERROR(INDEX(請求台帳!$D$5:$D$504,MATCH(F752,請求台帳!$A$5:$A$504,0)),""))</f>
        <v/>
      </c>
      <c r="H752" s="26" t="str">
        <f aca="false">IF(F752="","",IFERROR(INDEX(請求台帳!$I$5:$I$504,MATCH(F752,請求台帳!$A$5:$A$504,0)),""))</f>
        <v/>
      </c>
      <c r="I752" s="29" t="str">
        <f aca="false">IF(COUNTA(B752,D752,E752,F752)=0,"",IF(OR(B752="",E752=""),"要入力",IF(F752="","未消込",IF(ISNA(MATCH(F752,請求台帳!$A$5:$A$504,0)),"番号誤り",IF(INDEX(請求台帳!$T$5:$T$504,MATCH(F752,請求台帳!$A$5:$A$504,0))="取消","取消請求へ消込","消込済")))))</f>
        <v/>
      </c>
      <c r="J752" s="28"/>
      <c r="K752" s="28"/>
    </row>
    <row r="753" customFormat="false" ht="15" hidden="false" customHeight="false" outlineLevel="0" collapsed="false">
      <c r="A753" s="32" t="str">
        <f aca="false">IF(COUNTA(B753,D753,E753,F753)=0,"",ROW()-4)</f>
        <v/>
      </c>
      <c r="B753" s="22"/>
      <c r="C753" s="28"/>
      <c r="D753" s="28"/>
      <c r="E753" s="18"/>
      <c r="F753" s="28"/>
      <c r="G753" s="32" t="str">
        <f aca="false">IF(F753="","",IFERROR(INDEX(請求台帳!$D$5:$D$504,MATCH(F753,請求台帳!$A$5:$A$504,0)),""))</f>
        <v/>
      </c>
      <c r="H753" s="26" t="str">
        <f aca="false">IF(F753="","",IFERROR(INDEX(請求台帳!$I$5:$I$504,MATCH(F753,請求台帳!$A$5:$A$504,0)),""))</f>
        <v/>
      </c>
      <c r="I753" s="29" t="str">
        <f aca="false">IF(COUNTA(B753,D753,E753,F753)=0,"",IF(OR(B753="",E753=""),"要入力",IF(F753="","未消込",IF(ISNA(MATCH(F753,請求台帳!$A$5:$A$504,0)),"番号誤り",IF(INDEX(請求台帳!$T$5:$T$504,MATCH(F753,請求台帳!$A$5:$A$504,0))="取消","取消請求へ消込","消込済")))))</f>
        <v/>
      </c>
      <c r="J753" s="28"/>
      <c r="K753" s="28"/>
    </row>
    <row r="754" customFormat="false" ht="15" hidden="false" customHeight="false" outlineLevel="0" collapsed="false">
      <c r="A754" s="32" t="str">
        <f aca="false">IF(COUNTA(B754,D754,E754,F754)=0,"",ROW()-4)</f>
        <v/>
      </c>
      <c r="B754" s="22"/>
      <c r="C754" s="28"/>
      <c r="D754" s="28"/>
      <c r="E754" s="18"/>
      <c r="F754" s="28"/>
      <c r="G754" s="32" t="str">
        <f aca="false">IF(F754="","",IFERROR(INDEX(請求台帳!$D$5:$D$504,MATCH(F754,請求台帳!$A$5:$A$504,0)),""))</f>
        <v/>
      </c>
      <c r="H754" s="26" t="str">
        <f aca="false">IF(F754="","",IFERROR(INDEX(請求台帳!$I$5:$I$504,MATCH(F754,請求台帳!$A$5:$A$504,0)),""))</f>
        <v/>
      </c>
      <c r="I754" s="29" t="str">
        <f aca="false">IF(COUNTA(B754,D754,E754,F754)=0,"",IF(OR(B754="",E754=""),"要入力",IF(F754="","未消込",IF(ISNA(MATCH(F754,請求台帳!$A$5:$A$504,0)),"番号誤り",IF(INDEX(請求台帳!$T$5:$T$504,MATCH(F754,請求台帳!$A$5:$A$504,0))="取消","取消請求へ消込","消込済")))))</f>
        <v/>
      </c>
      <c r="J754" s="28"/>
      <c r="K754" s="28"/>
    </row>
    <row r="755" customFormat="false" ht="15" hidden="false" customHeight="false" outlineLevel="0" collapsed="false">
      <c r="A755" s="32" t="str">
        <f aca="false">IF(COUNTA(B755,D755,E755,F755)=0,"",ROW()-4)</f>
        <v/>
      </c>
      <c r="B755" s="22"/>
      <c r="C755" s="28"/>
      <c r="D755" s="28"/>
      <c r="E755" s="18"/>
      <c r="F755" s="28"/>
      <c r="G755" s="32" t="str">
        <f aca="false">IF(F755="","",IFERROR(INDEX(請求台帳!$D$5:$D$504,MATCH(F755,請求台帳!$A$5:$A$504,0)),""))</f>
        <v/>
      </c>
      <c r="H755" s="26" t="str">
        <f aca="false">IF(F755="","",IFERROR(INDEX(請求台帳!$I$5:$I$504,MATCH(F755,請求台帳!$A$5:$A$504,0)),""))</f>
        <v/>
      </c>
      <c r="I755" s="29" t="str">
        <f aca="false">IF(COUNTA(B755,D755,E755,F755)=0,"",IF(OR(B755="",E755=""),"要入力",IF(F755="","未消込",IF(ISNA(MATCH(F755,請求台帳!$A$5:$A$504,0)),"番号誤り",IF(INDEX(請求台帳!$T$5:$T$504,MATCH(F755,請求台帳!$A$5:$A$504,0))="取消","取消請求へ消込","消込済")))))</f>
        <v/>
      </c>
      <c r="J755" s="28"/>
      <c r="K755" s="28"/>
    </row>
    <row r="756" customFormat="false" ht="15" hidden="false" customHeight="false" outlineLevel="0" collapsed="false">
      <c r="A756" s="32" t="str">
        <f aca="false">IF(COUNTA(B756,D756,E756,F756)=0,"",ROW()-4)</f>
        <v/>
      </c>
      <c r="B756" s="22"/>
      <c r="C756" s="28"/>
      <c r="D756" s="28"/>
      <c r="E756" s="18"/>
      <c r="F756" s="28"/>
      <c r="G756" s="32" t="str">
        <f aca="false">IF(F756="","",IFERROR(INDEX(請求台帳!$D$5:$D$504,MATCH(F756,請求台帳!$A$5:$A$504,0)),""))</f>
        <v/>
      </c>
      <c r="H756" s="26" t="str">
        <f aca="false">IF(F756="","",IFERROR(INDEX(請求台帳!$I$5:$I$504,MATCH(F756,請求台帳!$A$5:$A$504,0)),""))</f>
        <v/>
      </c>
      <c r="I756" s="29" t="str">
        <f aca="false">IF(COUNTA(B756,D756,E756,F756)=0,"",IF(OR(B756="",E756=""),"要入力",IF(F756="","未消込",IF(ISNA(MATCH(F756,請求台帳!$A$5:$A$504,0)),"番号誤り",IF(INDEX(請求台帳!$T$5:$T$504,MATCH(F756,請求台帳!$A$5:$A$504,0))="取消","取消請求へ消込","消込済")))))</f>
        <v/>
      </c>
      <c r="J756" s="28"/>
      <c r="K756" s="28"/>
    </row>
    <row r="757" customFormat="false" ht="15" hidden="false" customHeight="false" outlineLevel="0" collapsed="false">
      <c r="A757" s="32" t="str">
        <f aca="false">IF(COUNTA(B757,D757,E757,F757)=0,"",ROW()-4)</f>
        <v/>
      </c>
      <c r="B757" s="22"/>
      <c r="C757" s="28"/>
      <c r="D757" s="28"/>
      <c r="E757" s="18"/>
      <c r="F757" s="28"/>
      <c r="G757" s="32" t="str">
        <f aca="false">IF(F757="","",IFERROR(INDEX(請求台帳!$D$5:$D$504,MATCH(F757,請求台帳!$A$5:$A$504,0)),""))</f>
        <v/>
      </c>
      <c r="H757" s="26" t="str">
        <f aca="false">IF(F757="","",IFERROR(INDEX(請求台帳!$I$5:$I$504,MATCH(F757,請求台帳!$A$5:$A$504,0)),""))</f>
        <v/>
      </c>
      <c r="I757" s="29" t="str">
        <f aca="false">IF(COUNTA(B757,D757,E757,F757)=0,"",IF(OR(B757="",E757=""),"要入力",IF(F757="","未消込",IF(ISNA(MATCH(F757,請求台帳!$A$5:$A$504,0)),"番号誤り",IF(INDEX(請求台帳!$T$5:$T$504,MATCH(F757,請求台帳!$A$5:$A$504,0))="取消","取消請求へ消込","消込済")))))</f>
        <v/>
      </c>
      <c r="J757" s="28"/>
      <c r="K757" s="28"/>
    </row>
    <row r="758" customFormat="false" ht="15" hidden="false" customHeight="false" outlineLevel="0" collapsed="false">
      <c r="A758" s="32" t="str">
        <f aca="false">IF(COUNTA(B758,D758,E758,F758)=0,"",ROW()-4)</f>
        <v/>
      </c>
      <c r="B758" s="22"/>
      <c r="C758" s="28"/>
      <c r="D758" s="28"/>
      <c r="E758" s="18"/>
      <c r="F758" s="28"/>
      <c r="G758" s="32" t="str">
        <f aca="false">IF(F758="","",IFERROR(INDEX(請求台帳!$D$5:$D$504,MATCH(F758,請求台帳!$A$5:$A$504,0)),""))</f>
        <v/>
      </c>
      <c r="H758" s="26" t="str">
        <f aca="false">IF(F758="","",IFERROR(INDEX(請求台帳!$I$5:$I$504,MATCH(F758,請求台帳!$A$5:$A$504,0)),""))</f>
        <v/>
      </c>
      <c r="I758" s="29" t="str">
        <f aca="false">IF(COUNTA(B758,D758,E758,F758)=0,"",IF(OR(B758="",E758=""),"要入力",IF(F758="","未消込",IF(ISNA(MATCH(F758,請求台帳!$A$5:$A$504,0)),"番号誤り",IF(INDEX(請求台帳!$T$5:$T$504,MATCH(F758,請求台帳!$A$5:$A$504,0))="取消","取消請求へ消込","消込済")))))</f>
        <v/>
      </c>
      <c r="J758" s="28"/>
      <c r="K758" s="28"/>
    </row>
    <row r="759" customFormat="false" ht="15" hidden="false" customHeight="false" outlineLevel="0" collapsed="false">
      <c r="A759" s="32" t="str">
        <f aca="false">IF(COUNTA(B759,D759,E759,F759)=0,"",ROW()-4)</f>
        <v/>
      </c>
      <c r="B759" s="22"/>
      <c r="C759" s="28"/>
      <c r="D759" s="28"/>
      <c r="E759" s="18"/>
      <c r="F759" s="28"/>
      <c r="G759" s="32" t="str">
        <f aca="false">IF(F759="","",IFERROR(INDEX(請求台帳!$D$5:$D$504,MATCH(F759,請求台帳!$A$5:$A$504,0)),""))</f>
        <v/>
      </c>
      <c r="H759" s="26" t="str">
        <f aca="false">IF(F759="","",IFERROR(INDEX(請求台帳!$I$5:$I$504,MATCH(F759,請求台帳!$A$5:$A$504,0)),""))</f>
        <v/>
      </c>
      <c r="I759" s="29" t="str">
        <f aca="false">IF(COUNTA(B759,D759,E759,F759)=0,"",IF(OR(B759="",E759=""),"要入力",IF(F759="","未消込",IF(ISNA(MATCH(F759,請求台帳!$A$5:$A$504,0)),"番号誤り",IF(INDEX(請求台帳!$T$5:$T$504,MATCH(F759,請求台帳!$A$5:$A$504,0))="取消","取消請求へ消込","消込済")))))</f>
        <v/>
      </c>
      <c r="J759" s="28"/>
      <c r="K759" s="28"/>
    </row>
    <row r="760" customFormat="false" ht="15" hidden="false" customHeight="false" outlineLevel="0" collapsed="false">
      <c r="A760" s="32" t="str">
        <f aca="false">IF(COUNTA(B760,D760,E760,F760)=0,"",ROW()-4)</f>
        <v/>
      </c>
      <c r="B760" s="22"/>
      <c r="C760" s="28"/>
      <c r="D760" s="28"/>
      <c r="E760" s="18"/>
      <c r="F760" s="28"/>
      <c r="G760" s="32" t="str">
        <f aca="false">IF(F760="","",IFERROR(INDEX(請求台帳!$D$5:$D$504,MATCH(F760,請求台帳!$A$5:$A$504,0)),""))</f>
        <v/>
      </c>
      <c r="H760" s="26" t="str">
        <f aca="false">IF(F760="","",IFERROR(INDEX(請求台帳!$I$5:$I$504,MATCH(F760,請求台帳!$A$5:$A$504,0)),""))</f>
        <v/>
      </c>
      <c r="I760" s="29" t="str">
        <f aca="false">IF(COUNTA(B760,D760,E760,F760)=0,"",IF(OR(B760="",E760=""),"要入力",IF(F760="","未消込",IF(ISNA(MATCH(F760,請求台帳!$A$5:$A$504,0)),"番号誤り",IF(INDEX(請求台帳!$T$5:$T$504,MATCH(F760,請求台帳!$A$5:$A$504,0))="取消","取消請求へ消込","消込済")))))</f>
        <v/>
      </c>
      <c r="J760" s="28"/>
      <c r="K760" s="28"/>
    </row>
    <row r="761" customFormat="false" ht="15" hidden="false" customHeight="false" outlineLevel="0" collapsed="false">
      <c r="A761" s="32" t="str">
        <f aca="false">IF(COUNTA(B761,D761,E761,F761)=0,"",ROW()-4)</f>
        <v/>
      </c>
      <c r="B761" s="22"/>
      <c r="C761" s="28"/>
      <c r="D761" s="28"/>
      <c r="E761" s="18"/>
      <c r="F761" s="28"/>
      <c r="G761" s="32" t="str">
        <f aca="false">IF(F761="","",IFERROR(INDEX(請求台帳!$D$5:$D$504,MATCH(F761,請求台帳!$A$5:$A$504,0)),""))</f>
        <v/>
      </c>
      <c r="H761" s="26" t="str">
        <f aca="false">IF(F761="","",IFERROR(INDEX(請求台帳!$I$5:$I$504,MATCH(F761,請求台帳!$A$5:$A$504,0)),""))</f>
        <v/>
      </c>
      <c r="I761" s="29" t="str">
        <f aca="false">IF(COUNTA(B761,D761,E761,F761)=0,"",IF(OR(B761="",E761=""),"要入力",IF(F761="","未消込",IF(ISNA(MATCH(F761,請求台帳!$A$5:$A$504,0)),"番号誤り",IF(INDEX(請求台帳!$T$5:$T$504,MATCH(F761,請求台帳!$A$5:$A$504,0))="取消","取消請求へ消込","消込済")))))</f>
        <v/>
      </c>
      <c r="J761" s="28"/>
      <c r="K761" s="28"/>
    </row>
    <row r="762" customFormat="false" ht="15" hidden="false" customHeight="false" outlineLevel="0" collapsed="false">
      <c r="A762" s="32" t="str">
        <f aca="false">IF(COUNTA(B762,D762,E762,F762)=0,"",ROW()-4)</f>
        <v/>
      </c>
      <c r="B762" s="22"/>
      <c r="C762" s="28"/>
      <c r="D762" s="28"/>
      <c r="E762" s="18"/>
      <c r="F762" s="28"/>
      <c r="G762" s="32" t="str">
        <f aca="false">IF(F762="","",IFERROR(INDEX(請求台帳!$D$5:$D$504,MATCH(F762,請求台帳!$A$5:$A$504,0)),""))</f>
        <v/>
      </c>
      <c r="H762" s="26" t="str">
        <f aca="false">IF(F762="","",IFERROR(INDEX(請求台帳!$I$5:$I$504,MATCH(F762,請求台帳!$A$5:$A$504,0)),""))</f>
        <v/>
      </c>
      <c r="I762" s="29" t="str">
        <f aca="false">IF(COUNTA(B762,D762,E762,F762)=0,"",IF(OR(B762="",E762=""),"要入力",IF(F762="","未消込",IF(ISNA(MATCH(F762,請求台帳!$A$5:$A$504,0)),"番号誤り",IF(INDEX(請求台帳!$T$5:$T$504,MATCH(F762,請求台帳!$A$5:$A$504,0))="取消","取消請求へ消込","消込済")))))</f>
        <v/>
      </c>
      <c r="J762" s="28"/>
      <c r="K762" s="28"/>
    </row>
    <row r="763" customFormat="false" ht="15" hidden="false" customHeight="false" outlineLevel="0" collapsed="false">
      <c r="A763" s="32" t="str">
        <f aca="false">IF(COUNTA(B763,D763,E763,F763)=0,"",ROW()-4)</f>
        <v/>
      </c>
      <c r="B763" s="22"/>
      <c r="C763" s="28"/>
      <c r="D763" s="28"/>
      <c r="E763" s="18"/>
      <c r="F763" s="28"/>
      <c r="G763" s="32" t="str">
        <f aca="false">IF(F763="","",IFERROR(INDEX(請求台帳!$D$5:$D$504,MATCH(F763,請求台帳!$A$5:$A$504,0)),""))</f>
        <v/>
      </c>
      <c r="H763" s="26" t="str">
        <f aca="false">IF(F763="","",IFERROR(INDEX(請求台帳!$I$5:$I$504,MATCH(F763,請求台帳!$A$5:$A$504,0)),""))</f>
        <v/>
      </c>
      <c r="I763" s="29" t="str">
        <f aca="false">IF(COUNTA(B763,D763,E763,F763)=0,"",IF(OR(B763="",E763=""),"要入力",IF(F763="","未消込",IF(ISNA(MATCH(F763,請求台帳!$A$5:$A$504,0)),"番号誤り",IF(INDEX(請求台帳!$T$5:$T$504,MATCH(F763,請求台帳!$A$5:$A$504,0))="取消","取消請求へ消込","消込済")))))</f>
        <v/>
      </c>
      <c r="J763" s="28"/>
      <c r="K763" s="28"/>
    </row>
    <row r="764" customFormat="false" ht="15" hidden="false" customHeight="false" outlineLevel="0" collapsed="false">
      <c r="A764" s="32" t="str">
        <f aca="false">IF(COUNTA(B764,D764,E764,F764)=0,"",ROW()-4)</f>
        <v/>
      </c>
      <c r="B764" s="22"/>
      <c r="C764" s="28"/>
      <c r="D764" s="28"/>
      <c r="E764" s="18"/>
      <c r="F764" s="28"/>
      <c r="G764" s="32" t="str">
        <f aca="false">IF(F764="","",IFERROR(INDEX(請求台帳!$D$5:$D$504,MATCH(F764,請求台帳!$A$5:$A$504,0)),""))</f>
        <v/>
      </c>
      <c r="H764" s="26" t="str">
        <f aca="false">IF(F764="","",IFERROR(INDEX(請求台帳!$I$5:$I$504,MATCH(F764,請求台帳!$A$5:$A$504,0)),""))</f>
        <v/>
      </c>
      <c r="I764" s="29" t="str">
        <f aca="false">IF(COUNTA(B764,D764,E764,F764)=0,"",IF(OR(B764="",E764=""),"要入力",IF(F764="","未消込",IF(ISNA(MATCH(F764,請求台帳!$A$5:$A$504,0)),"番号誤り",IF(INDEX(請求台帳!$T$5:$T$504,MATCH(F764,請求台帳!$A$5:$A$504,0))="取消","取消請求へ消込","消込済")))))</f>
        <v/>
      </c>
      <c r="J764" s="28"/>
      <c r="K764" s="28"/>
    </row>
    <row r="765" customFormat="false" ht="15" hidden="false" customHeight="false" outlineLevel="0" collapsed="false">
      <c r="A765" s="32" t="str">
        <f aca="false">IF(COUNTA(B765,D765,E765,F765)=0,"",ROW()-4)</f>
        <v/>
      </c>
      <c r="B765" s="22"/>
      <c r="C765" s="28"/>
      <c r="D765" s="28"/>
      <c r="E765" s="18"/>
      <c r="F765" s="28"/>
      <c r="G765" s="32" t="str">
        <f aca="false">IF(F765="","",IFERROR(INDEX(請求台帳!$D$5:$D$504,MATCH(F765,請求台帳!$A$5:$A$504,0)),""))</f>
        <v/>
      </c>
      <c r="H765" s="26" t="str">
        <f aca="false">IF(F765="","",IFERROR(INDEX(請求台帳!$I$5:$I$504,MATCH(F765,請求台帳!$A$5:$A$504,0)),""))</f>
        <v/>
      </c>
      <c r="I765" s="29" t="str">
        <f aca="false">IF(COUNTA(B765,D765,E765,F765)=0,"",IF(OR(B765="",E765=""),"要入力",IF(F765="","未消込",IF(ISNA(MATCH(F765,請求台帳!$A$5:$A$504,0)),"番号誤り",IF(INDEX(請求台帳!$T$5:$T$504,MATCH(F765,請求台帳!$A$5:$A$504,0))="取消","取消請求へ消込","消込済")))))</f>
        <v/>
      </c>
      <c r="J765" s="28"/>
      <c r="K765" s="28"/>
    </row>
    <row r="766" customFormat="false" ht="15" hidden="false" customHeight="false" outlineLevel="0" collapsed="false">
      <c r="A766" s="32" t="str">
        <f aca="false">IF(COUNTA(B766,D766,E766,F766)=0,"",ROW()-4)</f>
        <v/>
      </c>
      <c r="B766" s="22"/>
      <c r="C766" s="28"/>
      <c r="D766" s="28"/>
      <c r="E766" s="18"/>
      <c r="F766" s="28"/>
      <c r="G766" s="32" t="str">
        <f aca="false">IF(F766="","",IFERROR(INDEX(請求台帳!$D$5:$D$504,MATCH(F766,請求台帳!$A$5:$A$504,0)),""))</f>
        <v/>
      </c>
      <c r="H766" s="26" t="str">
        <f aca="false">IF(F766="","",IFERROR(INDEX(請求台帳!$I$5:$I$504,MATCH(F766,請求台帳!$A$5:$A$504,0)),""))</f>
        <v/>
      </c>
      <c r="I766" s="29" t="str">
        <f aca="false">IF(COUNTA(B766,D766,E766,F766)=0,"",IF(OR(B766="",E766=""),"要入力",IF(F766="","未消込",IF(ISNA(MATCH(F766,請求台帳!$A$5:$A$504,0)),"番号誤り",IF(INDEX(請求台帳!$T$5:$T$504,MATCH(F766,請求台帳!$A$5:$A$504,0))="取消","取消請求へ消込","消込済")))))</f>
        <v/>
      </c>
      <c r="J766" s="28"/>
      <c r="K766" s="28"/>
    </row>
    <row r="767" customFormat="false" ht="15" hidden="false" customHeight="false" outlineLevel="0" collapsed="false">
      <c r="A767" s="32" t="str">
        <f aca="false">IF(COUNTA(B767,D767,E767,F767)=0,"",ROW()-4)</f>
        <v/>
      </c>
      <c r="B767" s="22"/>
      <c r="C767" s="28"/>
      <c r="D767" s="28"/>
      <c r="E767" s="18"/>
      <c r="F767" s="28"/>
      <c r="G767" s="32" t="str">
        <f aca="false">IF(F767="","",IFERROR(INDEX(請求台帳!$D$5:$D$504,MATCH(F767,請求台帳!$A$5:$A$504,0)),""))</f>
        <v/>
      </c>
      <c r="H767" s="26" t="str">
        <f aca="false">IF(F767="","",IFERROR(INDEX(請求台帳!$I$5:$I$504,MATCH(F767,請求台帳!$A$5:$A$504,0)),""))</f>
        <v/>
      </c>
      <c r="I767" s="29" t="str">
        <f aca="false">IF(COUNTA(B767,D767,E767,F767)=0,"",IF(OR(B767="",E767=""),"要入力",IF(F767="","未消込",IF(ISNA(MATCH(F767,請求台帳!$A$5:$A$504,0)),"番号誤り",IF(INDEX(請求台帳!$T$5:$T$504,MATCH(F767,請求台帳!$A$5:$A$504,0))="取消","取消請求へ消込","消込済")))))</f>
        <v/>
      </c>
      <c r="J767" s="28"/>
      <c r="K767" s="28"/>
    </row>
    <row r="768" customFormat="false" ht="15" hidden="false" customHeight="false" outlineLevel="0" collapsed="false">
      <c r="A768" s="32" t="str">
        <f aca="false">IF(COUNTA(B768,D768,E768,F768)=0,"",ROW()-4)</f>
        <v/>
      </c>
      <c r="B768" s="22"/>
      <c r="C768" s="28"/>
      <c r="D768" s="28"/>
      <c r="E768" s="18"/>
      <c r="F768" s="28"/>
      <c r="G768" s="32" t="str">
        <f aca="false">IF(F768="","",IFERROR(INDEX(請求台帳!$D$5:$D$504,MATCH(F768,請求台帳!$A$5:$A$504,0)),""))</f>
        <v/>
      </c>
      <c r="H768" s="26" t="str">
        <f aca="false">IF(F768="","",IFERROR(INDEX(請求台帳!$I$5:$I$504,MATCH(F768,請求台帳!$A$5:$A$504,0)),""))</f>
        <v/>
      </c>
      <c r="I768" s="29" t="str">
        <f aca="false">IF(COUNTA(B768,D768,E768,F768)=0,"",IF(OR(B768="",E768=""),"要入力",IF(F768="","未消込",IF(ISNA(MATCH(F768,請求台帳!$A$5:$A$504,0)),"番号誤り",IF(INDEX(請求台帳!$T$5:$T$504,MATCH(F768,請求台帳!$A$5:$A$504,0))="取消","取消請求へ消込","消込済")))))</f>
        <v/>
      </c>
      <c r="J768" s="28"/>
      <c r="K768" s="28"/>
    </row>
    <row r="769" customFormat="false" ht="15" hidden="false" customHeight="false" outlineLevel="0" collapsed="false">
      <c r="A769" s="32" t="str">
        <f aca="false">IF(COUNTA(B769,D769,E769,F769)=0,"",ROW()-4)</f>
        <v/>
      </c>
      <c r="B769" s="22"/>
      <c r="C769" s="28"/>
      <c r="D769" s="28"/>
      <c r="E769" s="18"/>
      <c r="F769" s="28"/>
      <c r="G769" s="32" t="str">
        <f aca="false">IF(F769="","",IFERROR(INDEX(請求台帳!$D$5:$D$504,MATCH(F769,請求台帳!$A$5:$A$504,0)),""))</f>
        <v/>
      </c>
      <c r="H769" s="26" t="str">
        <f aca="false">IF(F769="","",IFERROR(INDEX(請求台帳!$I$5:$I$504,MATCH(F769,請求台帳!$A$5:$A$504,0)),""))</f>
        <v/>
      </c>
      <c r="I769" s="29" t="str">
        <f aca="false">IF(COUNTA(B769,D769,E769,F769)=0,"",IF(OR(B769="",E769=""),"要入力",IF(F769="","未消込",IF(ISNA(MATCH(F769,請求台帳!$A$5:$A$504,0)),"番号誤り",IF(INDEX(請求台帳!$T$5:$T$504,MATCH(F769,請求台帳!$A$5:$A$504,0))="取消","取消請求へ消込","消込済")))))</f>
        <v/>
      </c>
      <c r="J769" s="28"/>
      <c r="K769" s="28"/>
    </row>
    <row r="770" customFormat="false" ht="15" hidden="false" customHeight="false" outlineLevel="0" collapsed="false">
      <c r="A770" s="32" t="str">
        <f aca="false">IF(COUNTA(B770,D770,E770,F770)=0,"",ROW()-4)</f>
        <v/>
      </c>
      <c r="B770" s="22"/>
      <c r="C770" s="28"/>
      <c r="D770" s="28"/>
      <c r="E770" s="18"/>
      <c r="F770" s="28"/>
      <c r="G770" s="32" t="str">
        <f aca="false">IF(F770="","",IFERROR(INDEX(請求台帳!$D$5:$D$504,MATCH(F770,請求台帳!$A$5:$A$504,0)),""))</f>
        <v/>
      </c>
      <c r="H770" s="26" t="str">
        <f aca="false">IF(F770="","",IFERROR(INDEX(請求台帳!$I$5:$I$504,MATCH(F770,請求台帳!$A$5:$A$504,0)),""))</f>
        <v/>
      </c>
      <c r="I770" s="29" t="str">
        <f aca="false">IF(COUNTA(B770,D770,E770,F770)=0,"",IF(OR(B770="",E770=""),"要入力",IF(F770="","未消込",IF(ISNA(MATCH(F770,請求台帳!$A$5:$A$504,0)),"番号誤り",IF(INDEX(請求台帳!$T$5:$T$504,MATCH(F770,請求台帳!$A$5:$A$504,0))="取消","取消請求へ消込","消込済")))))</f>
        <v/>
      </c>
      <c r="J770" s="28"/>
      <c r="K770" s="28"/>
    </row>
    <row r="771" customFormat="false" ht="15" hidden="false" customHeight="false" outlineLevel="0" collapsed="false">
      <c r="A771" s="32" t="str">
        <f aca="false">IF(COUNTA(B771,D771,E771,F771)=0,"",ROW()-4)</f>
        <v/>
      </c>
      <c r="B771" s="22"/>
      <c r="C771" s="28"/>
      <c r="D771" s="28"/>
      <c r="E771" s="18"/>
      <c r="F771" s="28"/>
      <c r="G771" s="32" t="str">
        <f aca="false">IF(F771="","",IFERROR(INDEX(請求台帳!$D$5:$D$504,MATCH(F771,請求台帳!$A$5:$A$504,0)),""))</f>
        <v/>
      </c>
      <c r="H771" s="26" t="str">
        <f aca="false">IF(F771="","",IFERROR(INDEX(請求台帳!$I$5:$I$504,MATCH(F771,請求台帳!$A$5:$A$504,0)),""))</f>
        <v/>
      </c>
      <c r="I771" s="29" t="str">
        <f aca="false">IF(COUNTA(B771,D771,E771,F771)=0,"",IF(OR(B771="",E771=""),"要入力",IF(F771="","未消込",IF(ISNA(MATCH(F771,請求台帳!$A$5:$A$504,0)),"番号誤り",IF(INDEX(請求台帳!$T$5:$T$504,MATCH(F771,請求台帳!$A$5:$A$504,0))="取消","取消請求へ消込","消込済")))))</f>
        <v/>
      </c>
      <c r="J771" s="28"/>
      <c r="K771" s="28"/>
    </row>
    <row r="772" customFormat="false" ht="15" hidden="false" customHeight="false" outlineLevel="0" collapsed="false">
      <c r="A772" s="32" t="str">
        <f aca="false">IF(COUNTA(B772,D772,E772,F772)=0,"",ROW()-4)</f>
        <v/>
      </c>
      <c r="B772" s="22"/>
      <c r="C772" s="28"/>
      <c r="D772" s="28"/>
      <c r="E772" s="18"/>
      <c r="F772" s="28"/>
      <c r="G772" s="32" t="str">
        <f aca="false">IF(F772="","",IFERROR(INDEX(請求台帳!$D$5:$D$504,MATCH(F772,請求台帳!$A$5:$A$504,0)),""))</f>
        <v/>
      </c>
      <c r="H772" s="26" t="str">
        <f aca="false">IF(F772="","",IFERROR(INDEX(請求台帳!$I$5:$I$504,MATCH(F772,請求台帳!$A$5:$A$504,0)),""))</f>
        <v/>
      </c>
      <c r="I772" s="29" t="str">
        <f aca="false">IF(COUNTA(B772,D772,E772,F772)=0,"",IF(OR(B772="",E772=""),"要入力",IF(F772="","未消込",IF(ISNA(MATCH(F772,請求台帳!$A$5:$A$504,0)),"番号誤り",IF(INDEX(請求台帳!$T$5:$T$504,MATCH(F772,請求台帳!$A$5:$A$504,0))="取消","取消請求へ消込","消込済")))))</f>
        <v/>
      </c>
      <c r="J772" s="28"/>
      <c r="K772" s="28"/>
    </row>
    <row r="773" customFormat="false" ht="15" hidden="false" customHeight="false" outlineLevel="0" collapsed="false">
      <c r="A773" s="32" t="str">
        <f aca="false">IF(COUNTA(B773,D773,E773,F773)=0,"",ROW()-4)</f>
        <v/>
      </c>
      <c r="B773" s="22"/>
      <c r="C773" s="28"/>
      <c r="D773" s="28"/>
      <c r="E773" s="18"/>
      <c r="F773" s="28"/>
      <c r="G773" s="32" t="str">
        <f aca="false">IF(F773="","",IFERROR(INDEX(請求台帳!$D$5:$D$504,MATCH(F773,請求台帳!$A$5:$A$504,0)),""))</f>
        <v/>
      </c>
      <c r="H773" s="26" t="str">
        <f aca="false">IF(F773="","",IFERROR(INDEX(請求台帳!$I$5:$I$504,MATCH(F773,請求台帳!$A$5:$A$504,0)),""))</f>
        <v/>
      </c>
      <c r="I773" s="29" t="str">
        <f aca="false">IF(COUNTA(B773,D773,E773,F773)=0,"",IF(OR(B773="",E773=""),"要入力",IF(F773="","未消込",IF(ISNA(MATCH(F773,請求台帳!$A$5:$A$504,0)),"番号誤り",IF(INDEX(請求台帳!$T$5:$T$504,MATCH(F773,請求台帳!$A$5:$A$504,0))="取消","取消請求へ消込","消込済")))))</f>
        <v/>
      </c>
      <c r="J773" s="28"/>
      <c r="K773" s="28"/>
    </row>
    <row r="774" customFormat="false" ht="15" hidden="false" customHeight="false" outlineLevel="0" collapsed="false">
      <c r="A774" s="32" t="str">
        <f aca="false">IF(COUNTA(B774,D774,E774,F774)=0,"",ROW()-4)</f>
        <v/>
      </c>
      <c r="B774" s="22"/>
      <c r="C774" s="28"/>
      <c r="D774" s="28"/>
      <c r="E774" s="18"/>
      <c r="F774" s="28"/>
      <c r="G774" s="32" t="str">
        <f aca="false">IF(F774="","",IFERROR(INDEX(請求台帳!$D$5:$D$504,MATCH(F774,請求台帳!$A$5:$A$504,0)),""))</f>
        <v/>
      </c>
      <c r="H774" s="26" t="str">
        <f aca="false">IF(F774="","",IFERROR(INDEX(請求台帳!$I$5:$I$504,MATCH(F774,請求台帳!$A$5:$A$504,0)),""))</f>
        <v/>
      </c>
      <c r="I774" s="29" t="str">
        <f aca="false">IF(COUNTA(B774,D774,E774,F774)=0,"",IF(OR(B774="",E774=""),"要入力",IF(F774="","未消込",IF(ISNA(MATCH(F774,請求台帳!$A$5:$A$504,0)),"番号誤り",IF(INDEX(請求台帳!$T$5:$T$504,MATCH(F774,請求台帳!$A$5:$A$504,0))="取消","取消請求へ消込","消込済")))))</f>
        <v/>
      </c>
      <c r="J774" s="28"/>
      <c r="K774" s="28"/>
    </row>
    <row r="775" customFormat="false" ht="15" hidden="false" customHeight="false" outlineLevel="0" collapsed="false">
      <c r="A775" s="32" t="str">
        <f aca="false">IF(COUNTA(B775,D775,E775,F775)=0,"",ROW()-4)</f>
        <v/>
      </c>
      <c r="B775" s="22"/>
      <c r="C775" s="28"/>
      <c r="D775" s="28"/>
      <c r="E775" s="18"/>
      <c r="F775" s="28"/>
      <c r="G775" s="32" t="str">
        <f aca="false">IF(F775="","",IFERROR(INDEX(請求台帳!$D$5:$D$504,MATCH(F775,請求台帳!$A$5:$A$504,0)),""))</f>
        <v/>
      </c>
      <c r="H775" s="26" t="str">
        <f aca="false">IF(F775="","",IFERROR(INDEX(請求台帳!$I$5:$I$504,MATCH(F775,請求台帳!$A$5:$A$504,0)),""))</f>
        <v/>
      </c>
      <c r="I775" s="29" t="str">
        <f aca="false">IF(COUNTA(B775,D775,E775,F775)=0,"",IF(OR(B775="",E775=""),"要入力",IF(F775="","未消込",IF(ISNA(MATCH(F775,請求台帳!$A$5:$A$504,0)),"番号誤り",IF(INDEX(請求台帳!$T$5:$T$504,MATCH(F775,請求台帳!$A$5:$A$504,0))="取消","取消請求へ消込","消込済")))))</f>
        <v/>
      </c>
      <c r="J775" s="28"/>
      <c r="K775" s="28"/>
    </row>
    <row r="776" customFormat="false" ht="15" hidden="false" customHeight="false" outlineLevel="0" collapsed="false">
      <c r="A776" s="32" t="str">
        <f aca="false">IF(COUNTA(B776,D776,E776,F776)=0,"",ROW()-4)</f>
        <v/>
      </c>
      <c r="B776" s="22"/>
      <c r="C776" s="28"/>
      <c r="D776" s="28"/>
      <c r="E776" s="18"/>
      <c r="F776" s="28"/>
      <c r="G776" s="32" t="str">
        <f aca="false">IF(F776="","",IFERROR(INDEX(請求台帳!$D$5:$D$504,MATCH(F776,請求台帳!$A$5:$A$504,0)),""))</f>
        <v/>
      </c>
      <c r="H776" s="26" t="str">
        <f aca="false">IF(F776="","",IFERROR(INDEX(請求台帳!$I$5:$I$504,MATCH(F776,請求台帳!$A$5:$A$504,0)),""))</f>
        <v/>
      </c>
      <c r="I776" s="29" t="str">
        <f aca="false">IF(COUNTA(B776,D776,E776,F776)=0,"",IF(OR(B776="",E776=""),"要入力",IF(F776="","未消込",IF(ISNA(MATCH(F776,請求台帳!$A$5:$A$504,0)),"番号誤り",IF(INDEX(請求台帳!$T$5:$T$504,MATCH(F776,請求台帳!$A$5:$A$504,0))="取消","取消請求へ消込","消込済")))))</f>
        <v/>
      </c>
      <c r="J776" s="28"/>
      <c r="K776" s="28"/>
    </row>
    <row r="777" customFormat="false" ht="15" hidden="false" customHeight="false" outlineLevel="0" collapsed="false">
      <c r="A777" s="32" t="str">
        <f aca="false">IF(COUNTA(B777,D777,E777,F777)=0,"",ROW()-4)</f>
        <v/>
      </c>
      <c r="B777" s="22"/>
      <c r="C777" s="28"/>
      <c r="D777" s="28"/>
      <c r="E777" s="18"/>
      <c r="F777" s="28"/>
      <c r="G777" s="32" t="str">
        <f aca="false">IF(F777="","",IFERROR(INDEX(請求台帳!$D$5:$D$504,MATCH(F777,請求台帳!$A$5:$A$504,0)),""))</f>
        <v/>
      </c>
      <c r="H777" s="26" t="str">
        <f aca="false">IF(F777="","",IFERROR(INDEX(請求台帳!$I$5:$I$504,MATCH(F777,請求台帳!$A$5:$A$504,0)),""))</f>
        <v/>
      </c>
      <c r="I777" s="29" t="str">
        <f aca="false">IF(COUNTA(B777,D777,E777,F777)=0,"",IF(OR(B777="",E777=""),"要入力",IF(F777="","未消込",IF(ISNA(MATCH(F777,請求台帳!$A$5:$A$504,0)),"番号誤り",IF(INDEX(請求台帳!$T$5:$T$504,MATCH(F777,請求台帳!$A$5:$A$504,0))="取消","取消請求へ消込","消込済")))))</f>
        <v/>
      </c>
      <c r="J777" s="28"/>
      <c r="K777" s="28"/>
    </row>
    <row r="778" customFormat="false" ht="15" hidden="false" customHeight="false" outlineLevel="0" collapsed="false">
      <c r="A778" s="32" t="str">
        <f aca="false">IF(COUNTA(B778,D778,E778,F778)=0,"",ROW()-4)</f>
        <v/>
      </c>
      <c r="B778" s="22"/>
      <c r="C778" s="28"/>
      <c r="D778" s="28"/>
      <c r="E778" s="18"/>
      <c r="F778" s="28"/>
      <c r="G778" s="32" t="str">
        <f aca="false">IF(F778="","",IFERROR(INDEX(請求台帳!$D$5:$D$504,MATCH(F778,請求台帳!$A$5:$A$504,0)),""))</f>
        <v/>
      </c>
      <c r="H778" s="26" t="str">
        <f aca="false">IF(F778="","",IFERROR(INDEX(請求台帳!$I$5:$I$504,MATCH(F778,請求台帳!$A$5:$A$504,0)),""))</f>
        <v/>
      </c>
      <c r="I778" s="29" t="str">
        <f aca="false">IF(COUNTA(B778,D778,E778,F778)=0,"",IF(OR(B778="",E778=""),"要入力",IF(F778="","未消込",IF(ISNA(MATCH(F778,請求台帳!$A$5:$A$504,0)),"番号誤り",IF(INDEX(請求台帳!$T$5:$T$504,MATCH(F778,請求台帳!$A$5:$A$504,0))="取消","取消請求へ消込","消込済")))))</f>
        <v/>
      </c>
      <c r="J778" s="28"/>
      <c r="K778" s="28"/>
    </row>
    <row r="779" customFormat="false" ht="15" hidden="false" customHeight="false" outlineLevel="0" collapsed="false">
      <c r="A779" s="32" t="str">
        <f aca="false">IF(COUNTA(B779,D779,E779,F779)=0,"",ROW()-4)</f>
        <v/>
      </c>
      <c r="B779" s="22"/>
      <c r="C779" s="28"/>
      <c r="D779" s="28"/>
      <c r="E779" s="18"/>
      <c r="F779" s="28"/>
      <c r="G779" s="32" t="str">
        <f aca="false">IF(F779="","",IFERROR(INDEX(請求台帳!$D$5:$D$504,MATCH(F779,請求台帳!$A$5:$A$504,0)),""))</f>
        <v/>
      </c>
      <c r="H779" s="26" t="str">
        <f aca="false">IF(F779="","",IFERROR(INDEX(請求台帳!$I$5:$I$504,MATCH(F779,請求台帳!$A$5:$A$504,0)),""))</f>
        <v/>
      </c>
      <c r="I779" s="29" t="str">
        <f aca="false">IF(COUNTA(B779,D779,E779,F779)=0,"",IF(OR(B779="",E779=""),"要入力",IF(F779="","未消込",IF(ISNA(MATCH(F779,請求台帳!$A$5:$A$504,0)),"番号誤り",IF(INDEX(請求台帳!$T$5:$T$504,MATCH(F779,請求台帳!$A$5:$A$504,0))="取消","取消請求へ消込","消込済")))))</f>
        <v/>
      </c>
      <c r="J779" s="28"/>
      <c r="K779" s="28"/>
    </row>
    <row r="780" customFormat="false" ht="15" hidden="false" customHeight="false" outlineLevel="0" collapsed="false">
      <c r="A780" s="32" t="str">
        <f aca="false">IF(COUNTA(B780,D780,E780,F780)=0,"",ROW()-4)</f>
        <v/>
      </c>
      <c r="B780" s="22"/>
      <c r="C780" s="28"/>
      <c r="D780" s="28"/>
      <c r="E780" s="18"/>
      <c r="F780" s="28"/>
      <c r="G780" s="32" t="str">
        <f aca="false">IF(F780="","",IFERROR(INDEX(請求台帳!$D$5:$D$504,MATCH(F780,請求台帳!$A$5:$A$504,0)),""))</f>
        <v/>
      </c>
      <c r="H780" s="26" t="str">
        <f aca="false">IF(F780="","",IFERROR(INDEX(請求台帳!$I$5:$I$504,MATCH(F780,請求台帳!$A$5:$A$504,0)),""))</f>
        <v/>
      </c>
      <c r="I780" s="29" t="str">
        <f aca="false">IF(COUNTA(B780,D780,E780,F780)=0,"",IF(OR(B780="",E780=""),"要入力",IF(F780="","未消込",IF(ISNA(MATCH(F780,請求台帳!$A$5:$A$504,0)),"番号誤り",IF(INDEX(請求台帳!$T$5:$T$504,MATCH(F780,請求台帳!$A$5:$A$504,0))="取消","取消請求へ消込","消込済")))))</f>
        <v/>
      </c>
      <c r="J780" s="28"/>
      <c r="K780" s="28"/>
    </row>
    <row r="781" customFormat="false" ht="15" hidden="false" customHeight="false" outlineLevel="0" collapsed="false">
      <c r="A781" s="32" t="str">
        <f aca="false">IF(COUNTA(B781,D781,E781,F781)=0,"",ROW()-4)</f>
        <v/>
      </c>
      <c r="B781" s="22"/>
      <c r="C781" s="28"/>
      <c r="D781" s="28"/>
      <c r="E781" s="18"/>
      <c r="F781" s="28"/>
      <c r="G781" s="32" t="str">
        <f aca="false">IF(F781="","",IFERROR(INDEX(請求台帳!$D$5:$D$504,MATCH(F781,請求台帳!$A$5:$A$504,0)),""))</f>
        <v/>
      </c>
      <c r="H781" s="26" t="str">
        <f aca="false">IF(F781="","",IFERROR(INDEX(請求台帳!$I$5:$I$504,MATCH(F781,請求台帳!$A$5:$A$504,0)),""))</f>
        <v/>
      </c>
      <c r="I781" s="29" t="str">
        <f aca="false">IF(COUNTA(B781,D781,E781,F781)=0,"",IF(OR(B781="",E781=""),"要入力",IF(F781="","未消込",IF(ISNA(MATCH(F781,請求台帳!$A$5:$A$504,0)),"番号誤り",IF(INDEX(請求台帳!$T$5:$T$504,MATCH(F781,請求台帳!$A$5:$A$504,0))="取消","取消請求へ消込","消込済")))))</f>
        <v/>
      </c>
      <c r="J781" s="28"/>
      <c r="K781" s="28"/>
    </row>
    <row r="782" customFormat="false" ht="15" hidden="false" customHeight="false" outlineLevel="0" collapsed="false">
      <c r="A782" s="32" t="str">
        <f aca="false">IF(COUNTA(B782,D782,E782,F782)=0,"",ROW()-4)</f>
        <v/>
      </c>
      <c r="B782" s="22"/>
      <c r="C782" s="28"/>
      <c r="D782" s="28"/>
      <c r="E782" s="18"/>
      <c r="F782" s="28"/>
      <c r="G782" s="32" t="str">
        <f aca="false">IF(F782="","",IFERROR(INDEX(請求台帳!$D$5:$D$504,MATCH(F782,請求台帳!$A$5:$A$504,0)),""))</f>
        <v/>
      </c>
      <c r="H782" s="26" t="str">
        <f aca="false">IF(F782="","",IFERROR(INDEX(請求台帳!$I$5:$I$504,MATCH(F782,請求台帳!$A$5:$A$504,0)),""))</f>
        <v/>
      </c>
      <c r="I782" s="29" t="str">
        <f aca="false">IF(COUNTA(B782,D782,E782,F782)=0,"",IF(OR(B782="",E782=""),"要入力",IF(F782="","未消込",IF(ISNA(MATCH(F782,請求台帳!$A$5:$A$504,0)),"番号誤り",IF(INDEX(請求台帳!$T$5:$T$504,MATCH(F782,請求台帳!$A$5:$A$504,0))="取消","取消請求へ消込","消込済")))))</f>
        <v/>
      </c>
      <c r="J782" s="28"/>
      <c r="K782" s="28"/>
    </row>
    <row r="783" customFormat="false" ht="15" hidden="false" customHeight="false" outlineLevel="0" collapsed="false">
      <c r="A783" s="32" t="str">
        <f aca="false">IF(COUNTA(B783,D783,E783,F783)=0,"",ROW()-4)</f>
        <v/>
      </c>
      <c r="B783" s="22"/>
      <c r="C783" s="28"/>
      <c r="D783" s="28"/>
      <c r="E783" s="18"/>
      <c r="F783" s="28"/>
      <c r="G783" s="32" t="str">
        <f aca="false">IF(F783="","",IFERROR(INDEX(請求台帳!$D$5:$D$504,MATCH(F783,請求台帳!$A$5:$A$504,0)),""))</f>
        <v/>
      </c>
      <c r="H783" s="26" t="str">
        <f aca="false">IF(F783="","",IFERROR(INDEX(請求台帳!$I$5:$I$504,MATCH(F783,請求台帳!$A$5:$A$504,0)),""))</f>
        <v/>
      </c>
      <c r="I783" s="29" t="str">
        <f aca="false">IF(COUNTA(B783,D783,E783,F783)=0,"",IF(OR(B783="",E783=""),"要入力",IF(F783="","未消込",IF(ISNA(MATCH(F783,請求台帳!$A$5:$A$504,0)),"番号誤り",IF(INDEX(請求台帳!$T$5:$T$504,MATCH(F783,請求台帳!$A$5:$A$504,0))="取消","取消請求へ消込","消込済")))))</f>
        <v/>
      </c>
      <c r="J783" s="28"/>
      <c r="K783" s="28"/>
    </row>
    <row r="784" customFormat="false" ht="15" hidden="false" customHeight="false" outlineLevel="0" collapsed="false">
      <c r="A784" s="32" t="str">
        <f aca="false">IF(COUNTA(B784,D784,E784,F784)=0,"",ROW()-4)</f>
        <v/>
      </c>
      <c r="B784" s="22"/>
      <c r="C784" s="28"/>
      <c r="D784" s="28"/>
      <c r="E784" s="18"/>
      <c r="F784" s="28"/>
      <c r="G784" s="32" t="str">
        <f aca="false">IF(F784="","",IFERROR(INDEX(請求台帳!$D$5:$D$504,MATCH(F784,請求台帳!$A$5:$A$504,0)),""))</f>
        <v/>
      </c>
      <c r="H784" s="26" t="str">
        <f aca="false">IF(F784="","",IFERROR(INDEX(請求台帳!$I$5:$I$504,MATCH(F784,請求台帳!$A$5:$A$504,0)),""))</f>
        <v/>
      </c>
      <c r="I784" s="29" t="str">
        <f aca="false">IF(COUNTA(B784,D784,E784,F784)=0,"",IF(OR(B784="",E784=""),"要入力",IF(F784="","未消込",IF(ISNA(MATCH(F784,請求台帳!$A$5:$A$504,0)),"番号誤り",IF(INDEX(請求台帳!$T$5:$T$504,MATCH(F784,請求台帳!$A$5:$A$504,0))="取消","取消請求へ消込","消込済")))))</f>
        <v/>
      </c>
      <c r="J784" s="28"/>
      <c r="K784" s="28"/>
    </row>
    <row r="785" customFormat="false" ht="15" hidden="false" customHeight="false" outlineLevel="0" collapsed="false">
      <c r="A785" s="32" t="str">
        <f aca="false">IF(COUNTA(B785,D785,E785,F785)=0,"",ROW()-4)</f>
        <v/>
      </c>
      <c r="B785" s="22"/>
      <c r="C785" s="28"/>
      <c r="D785" s="28"/>
      <c r="E785" s="18"/>
      <c r="F785" s="28"/>
      <c r="G785" s="32" t="str">
        <f aca="false">IF(F785="","",IFERROR(INDEX(請求台帳!$D$5:$D$504,MATCH(F785,請求台帳!$A$5:$A$504,0)),""))</f>
        <v/>
      </c>
      <c r="H785" s="26" t="str">
        <f aca="false">IF(F785="","",IFERROR(INDEX(請求台帳!$I$5:$I$504,MATCH(F785,請求台帳!$A$5:$A$504,0)),""))</f>
        <v/>
      </c>
      <c r="I785" s="29" t="str">
        <f aca="false">IF(COUNTA(B785,D785,E785,F785)=0,"",IF(OR(B785="",E785=""),"要入力",IF(F785="","未消込",IF(ISNA(MATCH(F785,請求台帳!$A$5:$A$504,0)),"番号誤り",IF(INDEX(請求台帳!$T$5:$T$504,MATCH(F785,請求台帳!$A$5:$A$504,0))="取消","取消請求へ消込","消込済")))))</f>
        <v/>
      </c>
      <c r="J785" s="28"/>
      <c r="K785" s="28"/>
    </row>
    <row r="786" customFormat="false" ht="15" hidden="false" customHeight="false" outlineLevel="0" collapsed="false">
      <c r="A786" s="32" t="str">
        <f aca="false">IF(COUNTA(B786,D786,E786,F786)=0,"",ROW()-4)</f>
        <v/>
      </c>
      <c r="B786" s="22"/>
      <c r="C786" s="28"/>
      <c r="D786" s="28"/>
      <c r="E786" s="18"/>
      <c r="F786" s="28"/>
      <c r="G786" s="32" t="str">
        <f aca="false">IF(F786="","",IFERROR(INDEX(請求台帳!$D$5:$D$504,MATCH(F786,請求台帳!$A$5:$A$504,0)),""))</f>
        <v/>
      </c>
      <c r="H786" s="26" t="str">
        <f aca="false">IF(F786="","",IFERROR(INDEX(請求台帳!$I$5:$I$504,MATCH(F786,請求台帳!$A$5:$A$504,0)),""))</f>
        <v/>
      </c>
      <c r="I786" s="29" t="str">
        <f aca="false">IF(COUNTA(B786,D786,E786,F786)=0,"",IF(OR(B786="",E786=""),"要入力",IF(F786="","未消込",IF(ISNA(MATCH(F786,請求台帳!$A$5:$A$504,0)),"番号誤り",IF(INDEX(請求台帳!$T$5:$T$504,MATCH(F786,請求台帳!$A$5:$A$504,0))="取消","取消請求へ消込","消込済")))))</f>
        <v/>
      </c>
      <c r="J786" s="28"/>
      <c r="K786" s="28"/>
    </row>
    <row r="787" customFormat="false" ht="15" hidden="false" customHeight="false" outlineLevel="0" collapsed="false">
      <c r="A787" s="32" t="str">
        <f aca="false">IF(COUNTA(B787,D787,E787,F787)=0,"",ROW()-4)</f>
        <v/>
      </c>
      <c r="B787" s="22"/>
      <c r="C787" s="28"/>
      <c r="D787" s="28"/>
      <c r="E787" s="18"/>
      <c r="F787" s="28"/>
      <c r="G787" s="32" t="str">
        <f aca="false">IF(F787="","",IFERROR(INDEX(請求台帳!$D$5:$D$504,MATCH(F787,請求台帳!$A$5:$A$504,0)),""))</f>
        <v/>
      </c>
      <c r="H787" s="26" t="str">
        <f aca="false">IF(F787="","",IFERROR(INDEX(請求台帳!$I$5:$I$504,MATCH(F787,請求台帳!$A$5:$A$504,0)),""))</f>
        <v/>
      </c>
      <c r="I787" s="29" t="str">
        <f aca="false">IF(COUNTA(B787,D787,E787,F787)=0,"",IF(OR(B787="",E787=""),"要入力",IF(F787="","未消込",IF(ISNA(MATCH(F787,請求台帳!$A$5:$A$504,0)),"番号誤り",IF(INDEX(請求台帳!$T$5:$T$504,MATCH(F787,請求台帳!$A$5:$A$504,0))="取消","取消請求へ消込","消込済")))))</f>
        <v/>
      </c>
      <c r="J787" s="28"/>
      <c r="K787" s="28"/>
    </row>
    <row r="788" customFormat="false" ht="15" hidden="false" customHeight="false" outlineLevel="0" collapsed="false">
      <c r="A788" s="32" t="str">
        <f aca="false">IF(COUNTA(B788,D788,E788,F788)=0,"",ROW()-4)</f>
        <v/>
      </c>
      <c r="B788" s="22"/>
      <c r="C788" s="28"/>
      <c r="D788" s="28"/>
      <c r="E788" s="18"/>
      <c r="F788" s="28"/>
      <c r="G788" s="32" t="str">
        <f aca="false">IF(F788="","",IFERROR(INDEX(請求台帳!$D$5:$D$504,MATCH(F788,請求台帳!$A$5:$A$504,0)),""))</f>
        <v/>
      </c>
      <c r="H788" s="26" t="str">
        <f aca="false">IF(F788="","",IFERROR(INDEX(請求台帳!$I$5:$I$504,MATCH(F788,請求台帳!$A$5:$A$504,0)),""))</f>
        <v/>
      </c>
      <c r="I788" s="29" t="str">
        <f aca="false">IF(COUNTA(B788,D788,E788,F788)=0,"",IF(OR(B788="",E788=""),"要入力",IF(F788="","未消込",IF(ISNA(MATCH(F788,請求台帳!$A$5:$A$504,0)),"番号誤り",IF(INDEX(請求台帳!$T$5:$T$504,MATCH(F788,請求台帳!$A$5:$A$504,0))="取消","取消請求へ消込","消込済")))))</f>
        <v/>
      </c>
      <c r="J788" s="28"/>
      <c r="K788" s="28"/>
    </row>
    <row r="789" customFormat="false" ht="15" hidden="false" customHeight="false" outlineLevel="0" collapsed="false">
      <c r="A789" s="32" t="str">
        <f aca="false">IF(COUNTA(B789,D789,E789,F789)=0,"",ROW()-4)</f>
        <v/>
      </c>
      <c r="B789" s="22"/>
      <c r="C789" s="28"/>
      <c r="D789" s="28"/>
      <c r="E789" s="18"/>
      <c r="F789" s="28"/>
      <c r="G789" s="32" t="str">
        <f aca="false">IF(F789="","",IFERROR(INDEX(請求台帳!$D$5:$D$504,MATCH(F789,請求台帳!$A$5:$A$504,0)),""))</f>
        <v/>
      </c>
      <c r="H789" s="26" t="str">
        <f aca="false">IF(F789="","",IFERROR(INDEX(請求台帳!$I$5:$I$504,MATCH(F789,請求台帳!$A$5:$A$504,0)),""))</f>
        <v/>
      </c>
      <c r="I789" s="29" t="str">
        <f aca="false">IF(COUNTA(B789,D789,E789,F789)=0,"",IF(OR(B789="",E789=""),"要入力",IF(F789="","未消込",IF(ISNA(MATCH(F789,請求台帳!$A$5:$A$504,0)),"番号誤り",IF(INDEX(請求台帳!$T$5:$T$504,MATCH(F789,請求台帳!$A$5:$A$504,0))="取消","取消請求へ消込","消込済")))))</f>
        <v/>
      </c>
      <c r="J789" s="28"/>
      <c r="K789" s="28"/>
    </row>
    <row r="790" customFormat="false" ht="15" hidden="false" customHeight="false" outlineLevel="0" collapsed="false">
      <c r="A790" s="32" t="str">
        <f aca="false">IF(COUNTA(B790,D790,E790,F790)=0,"",ROW()-4)</f>
        <v/>
      </c>
      <c r="B790" s="22"/>
      <c r="C790" s="28"/>
      <c r="D790" s="28"/>
      <c r="E790" s="18"/>
      <c r="F790" s="28"/>
      <c r="G790" s="32" t="str">
        <f aca="false">IF(F790="","",IFERROR(INDEX(請求台帳!$D$5:$D$504,MATCH(F790,請求台帳!$A$5:$A$504,0)),""))</f>
        <v/>
      </c>
      <c r="H790" s="26" t="str">
        <f aca="false">IF(F790="","",IFERROR(INDEX(請求台帳!$I$5:$I$504,MATCH(F790,請求台帳!$A$5:$A$504,0)),""))</f>
        <v/>
      </c>
      <c r="I790" s="29" t="str">
        <f aca="false">IF(COUNTA(B790,D790,E790,F790)=0,"",IF(OR(B790="",E790=""),"要入力",IF(F790="","未消込",IF(ISNA(MATCH(F790,請求台帳!$A$5:$A$504,0)),"番号誤り",IF(INDEX(請求台帳!$T$5:$T$504,MATCH(F790,請求台帳!$A$5:$A$504,0))="取消","取消請求へ消込","消込済")))))</f>
        <v/>
      </c>
      <c r="J790" s="28"/>
      <c r="K790" s="28"/>
    </row>
    <row r="791" customFormat="false" ht="15" hidden="false" customHeight="false" outlineLevel="0" collapsed="false">
      <c r="A791" s="32" t="str">
        <f aca="false">IF(COUNTA(B791,D791,E791,F791)=0,"",ROW()-4)</f>
        <v/>
      </c>
      <c r="B791" s="22"/>
      <c r="C791" s="28"/>
      <c r="D791" s="28"/>
      <c r="E791" s="18"/>
      <c r="F791" s="28"/>
      <c r="G791" s="32" t="str">
        <f aca="false">IF(F791="","",IFERROR(INDEX(請求台帳!$D$5:$D$504,MATCH(F791,請求台帳!$A$5:$A$504,0)),""))</f>
        <v/>
      </c>
      <c r="H791" s="26" t="str">
        <f aca="false">IF(F791="","",IFERROR(INDEX(請求台帳!$I$5:$I$504,MATCH(F791,請求台帳!$A$5:$A$504,0)),""))</f>
        <v/>
      </c>
      <c r="I791" s="29" t="str">
        <f aca="false">IF(COUNTA(B791,D791,E791,F791)=0,"",IF(OR(B791="",E791=""),"要入力",IF(F791="","未消込",IF(ISNA(MATCH(F791,請求台帳!$A$5:$A$504,0)),"番号誤り",IF(INDEX(請求台帳!$T$5:$T$504,MATCH(F791,請求台帳!$A$5:$A$504,0))="取消","取消請求へ消込","消込済")))))</f>
        <v/>
      </c>
      <c r="J791" s="28"/>
      <c r="K791" s="28"/>
    </row>
    <row r="792" customFormat="false" ht="15" hidden="false" customHeight="false" outlineLevel="0" collapsed="false">
      <c r="A792" s="32" t="str">
        <f aca="false">IF(COUNTA(B792,D792,E792,F792)=0,"",ROW()-4)</f>
        <v/>
      </c>
      <c r="B792" s="22"/>
      <c r="C792" s="28"/>
      <c r="D792" s="28"/>
      <c r="E792" s="18"/>
      <c r="F792" s="28"/>
      <c r="G792" s="32" t="str">
        <f aca="false">IF(F792="","",IFERROR(INDEX(請求台帳!$D$5:$D$504,MATCH(F792,請求台帳!$A$5:$A$504,0)),""))</f>
        <v/>
      </c>
      <c r="H792" s="26" t="str">
        <f aca="false">IF(F792="","",IFERROR(INDEX(請求台帳!$I$5:$I$504,MATCH(F792,請求台帳!$A$5:$A$504,0)),""))</f>
        <v/>
      </c>
      <c r="I792" s="29" t="str">
        <f aca="false">IF(COUNTA(B792,D792,E792,F792)=0,"",IF(OR(B792="",E792=""),"要入力",IF(F792="","未消込",IF(ISNA(MATCH(F792,請求台帳!$A$5:$A$504,0)),"番号誤り",IF(INDEX(請求台帳!$T$5:$T$504,MATCH(F792,請求台帳!$A$5:$A$504,0))="取消","取消請求へ消込","消込済")))))</f>
        <v/>
      </c>
      <c r="J792" s="28"/>
      <c r="K792" s="28"/>
    </row>
    <row r="793" customFormat="false" ht="15" hidden="false" customHeight="false" outlineLevel="0" collapsed="false">
      <c r="A793" s="32" t="str">
        <f aca="false">IF(COUNTA(B793,D793,E793,F793)=0,"",ROW()-4)</f>
        <v/>
      </c>
      <c r="B793" s="22"/>
      <c r="C793" s="28"/>
      <c r="D793" s="28"/>
      <c r="E793" s="18"/>
      <c r="F793" s="28"/>
      <c r="G793" s="32" t="str">
        <f aca="false">IF(F793="","",IFERROR(INDEX(請求台帳!$D$5:$D$504,MATCH(F793,請求台帳!$A$5:$A$504,0)),""))</f>
        <v/>
      </c>
      <c r="H793" s="26" t="str">
        <f aca="false">IF(F793="","",IFERROR(INDEX(請求台帳!$I$5:$I$504,MATCH(F793,請求台帳!$A$5:$A$504,0)),""))</f>
        <v/>
      </c>
      <c r="I793" s="29" t="str">
        <f aca="false">IF(COUNTA(B793,D793,E793,F793)=0,"",IF(OR(B793="",E793=""),"要入力",IF(F793="","未消込",IF(ISNA(MATCH(F793,請求台帳!$A$5:$A$504,0)),"番号誤り",IF(INDEX(請求台帳!$T$5:$T$504,MATCH(F793,請求台帳!$A$5:$A$504,0))="取消","取消請求へ消込","消込済")))))</f>
        <v/>
      </c>
      <c r="J793" s="28"/>
      <c r="K793" s="28"/>
    </row>
    <row r="794" customFormat="false" ht="15" hidden="false" customHeight="false" outlineLevel="0" collapsed="false">
      <c r="A794" s="32" t="str">
        <f aca="false">IF(COUNTA(B794,D794,E794,F794)=0,"",ROW()-4)</f>
        <v/>
      </c>
      <c r="B794" s="22"/>
      <c r="C794" s="28"/>
      <c r="D794" s="28"/>
      <c r="E794" s="18"/>
      <c r="F794" s="28"/>
      <c r="G794" s="32" t="str">
        <f aca="false">IF(F794="","",IFERROR(INDEX(請求台帳!$D$5:$D$504,MATCH(F794,請求台帳!$A$5:$A$504,0)),""))</f>
        <v/>
      </c>
      <c r="H794" s="26" t="str">
        <f aca="false">IF(F794="","",IFERROR(INDEX(請求台帳!$I$5:$I$504,MATCH(F794,請求台帳!$A$5:$A$504,0)),""))</f>
        <v/>
      </c>
      <c r="I794" s="29" t="str">
        <f aca="false">IF(COUNTA(B794,D794,E794,F794)=0,"",IF(OR(B794="",E794=""),"要入力",IF(F794="","未消込",IF(ISNA(MATCH(F794,請求台帳!$A$5:$A$504,0)),"番号誤り",IF(INDEX(請求台帳!$T$5:$T$504,MATCH(F794,請求台帳!$A$5:$A$504,0))="取消","取消請求へ消込","消込済")))))</f>
        <v/>
      </c>
      <c r="J794" s="28"/>
      <c r="K794" s="28"/>
    </row>
    <row r="795" customFormat="false" ht="15" hidden="false" customHeight="false" outlineLevel="0" collapsed="false">
      <c r="A795" s="32" t="str">
        <f aca="false">IF(COUNTA(B795,D795,E795,F795)=0,"",ROW()-4)</f>
        <v/>
      </c>
      <c r="B795" s="22"/>
      <c r="C795" s="28"/>
      <c r="D795" s="28"/>
      <c r="E795" s="18"/>
      <c r="F795" s="28"/>
      <c r="G795" s="32" t="str">
        <f aca="false">IF(F795="","",IFERROR(INDEX(請求台帳!$D$5:$D$504,MATCH(F795,請求台帳!$A$5:$A$504,0)),""))</f>
        <v/>
      </c>
      <c r="H795" s="26" t="str">
        <f aca="false">IF(F795="","",IFERROR(INDEX(請求台帳!$I$5:$I$504,MATCH(F795,請求台帳!$A$5:$A$504,0)),""))</f>
        <v/>
      </c>
      <c r="I795" s="29" t="str">
        <f aca="false">IF(COUNTA(B795,D795,E795,F795)=0,"",IF(OR(B795="",E795=""),"要入力",IF(F795="","未消込",IF(ISNA(MATCH(F795,請求台帳!$A$5:$A$504,0)),"番号誤り",IF(INDEX(請求台帳!$T$5:$T$504,MATCH(F795,請求台帳!$A$5:$A$504,0))="取消","取消請求へ消込","消込済")))))</f>
        <v/>
      </c>
      <c r="J795" s="28"/>
      <c r="K795" s="28"/>
    </row>
    <row r="796" customFormat="false" ht="15" hidden="false" customHeight="false" outlineLevel="0" collapsed="false">
      <c r="A796" s="32" t="str">
        <f aca="false">IF(COUNTA(B796,D796,E796,F796)=0,"",ROW()-4)</f>
        <v/>
      </c>
      <c r="B796" s="22"/>
      <c r="C796" s="28"/>
      <c r="D796" s="28"/>
      <c r="E796" s="18"/>
      <c r="F796" s="28"/>
      <c r="G796" s="32" t="str">
        <f aca="false">IF(F796="","",IFERROR(INDEX(請求台帳!$D$5:$D$504,MATCH(F796,請求台帳!$A$5:$A$504,0)),""))</f>
        <v/>
      </c>
      <c r="H796" s="26" t="str">
        <f aca="false">IF(F796="","",IFERROR(INDEX(請求台帳!$I$5:$I$504,MATCH(F796,請求台帳!$A$5:$A$504,0)),""))</f>
        <v/>
      </c>
      <c r="I796" s="29" t="str">
        <f aca="false">IF(COUNTA(B796,D796,E796,F796)=0,"",IF(OR(B796="",E796=""),"要入力",IF(F796="","未消込",IF(ISNA(MATCH(F796,請求台帳!$A$5:$A$504,0)),"番号誤り",IF(INDEX(請求台帳!$T$5:$T$504,MATCH(F796,請求台帳!$A$5:$A$504,0))="取消","取消請求へ消込","消込済")))))</f>
        <v/>
      </c>
      <c r="J796" s="28"/>
      <c r="K796" s="28"/>
    </row>
    <row r="797" customFormat="false" ht="15" hidden="false" customHeight="false" outlineLevel="0" collapsed="false">
      <c r="A797" s="32" t="str">
        <f aca="false">IF(COUNTA(B797,D797,E797,F797)=0,"",ROW()-4)</f>
        <v/>
      </c>
      <c r="B797" s="22"/>
      <c r="C797" s="28"/>
      <c r="D797" s="28"/>
      <c r="E797" s="18"/>
      <c r="F797" s="28"/>
      <c r="G797" s="32" t="str">
        <f aca="false">IF(F797="","",IFERROR(INDEX(請求台帳!$D$5:$D$504,MATCH(F797,請求台帳!$A$5:$A$504,0)),""))</f>
        <v/>
      </c>
      <c r="H797" s="26" t="str">
        <f aca="false">IF(F797="","",IFERROR(INDEX(請求台帳!$I$5:$I$504,MATCH(F797,請求台帳!$A$5:$A$504,0)),""))</f>
        <v/>
      </c>
      <c r="I797" s="29" t="str">
        <f aca="false">IF(COUNTA(B797,D797,E797,F797)=0,"",IF(OR(B797="",E797=""),"要入力",IF(F797="","未消込",IF(ISNA(MATCH(F797,請求台帳!$A$5:$A$504,0)),"番号誤り",IF(INDEX(請求台帳!$T$5:$T$504,MATCH(F797,請求台帳!$A$5:$A$504,0))="取消","取消請求へ消込","消込済")))))</f>
        <v/>
      </c>
      <c r="J797" s="28"/>
      <c r="K797" s="28"/>
    </row>
    <row r="798" customFormat="false" ht="15" hidden="false" customHeight="false" outlineLevel="0" collapsed="false">
      <c r="A798" s="32" t="str">
        <f aca="false">IF(COUNTA(B798,D798,E798,F798)=0,"",ROW()-4)</f>
        <v/>
      </c>
      <c r="B798" s="22"/>
      <c r="C798" s="28"/>
      <c r="D798" s="28"/>
      <c r="E798" s="18"/>
      <c r="F798" s="28"/>
      <c r="G798" s="32" t="str">
        <f aca="false">IF(F798="","",IFERROR(INDEX(請求台帳!$D$5:$D$504,MATCH(F798,請求台帳!$A$5:$A$504,0)),""))</f>
        <v/>
      </c>
      <c r="H798" s="26" t="str">
        <f aca="false">IF(F798="","",IFERROR(INDEX(請求台帳!$I$5:$I$504,MATCH(F798,請求台帳!$A$5:$A$504,0)),""))</f>
        <v/>
      </c>
      <c r="I798" s="29" t="str">
        <f aca="false">IF(COUNTA(B798,D798,E798,F798)=0,"",IF(OR(B798="",E798=""),"要入力",IF(F798="","未消込",IF(ISNA(MATCH(F798,請求台帳!$A$5:$A$504,0)),"番号誤り",IF(INDEX(請求台帳!$T$5:$T$504,MATCH(F798,請求台帳!$A$5:$A$504,0))="取消","取消請求へ消込","消込済")))))</f>
        <v/>
      </c>
      <c r="J798" s="28"/>
      <c r="K798" s="28"/>
    </row>
    <row r="799" customFormat="false" ht="15" hidden="false" customHeight="false" outlineLevel="0" collapsed="false">
      <c r="A799" s="32" t="str">
        <f aca="false">IF(COUNTA(B799,D799,E799,F799)=0,"",ROW()-4)</f>
        <v/>
      </c>
      <c r="B799" s="22"/>
      <c r="C799" s="28"/>
      <c r="D799" s="28"/>
      <c r="E799" s="18"/>
      <c r="F799" s="28"/>
      <c r="G799" s="32" t="str">
        <f aca="false">IF(F799="","",IFERROR(INDEX(請求台帳!$D$5:$D$504,MATCH(F799,請求台帳!$A$5:$A$504,0)),""))</f>
        <v/>
      </c>
      <c r="H799" s="26" t="str">
        <f aca="false">IF(F799="","",IFERROR(INDEX(請求台帳!$I$5:$I$504,MATCH(F799,請求台帳!$A$5:$A$504,0)),""))</f>
        <v/>
      </c>
      <c r="I799" s="29" t="str">
        <f aca="false">IF(COUNTA(B799,D799,E799,F799)=0,"",IF(OR(B799="",E799=""),"要入力",IF(F799="","未消込",IF(ISNA(MATCH(F799,請求台帳!$A$5:$A$504,0)),"番号誤り",IF(INDEX(請求台帳!$T$5:$T$504,MATCH(F799,請求台帳!$A$5:$A$504,0))="取消","取消請求へ消込","消込済")))))</f>
        <v/>
      </c>
      <c r="J799" s="28"/>
      <c r="K799" s="28"/>
    </row>
    <row r="800" customFormat="false" ht="15" hidden="false" customHeight="false" outlineLevel="0" collapsed="false">
      <c r="A800" s="32" t="str">
        <f aca="false">IF(COUNTA(B800,D800,E800,F800)=0,"",ROW()-4)</f>
        <v/>
      </c>
      <c r="B800" s="22"/>
      <c r="C800" s="28"/>
      <c r="D800" s="28"/>
      <c r="E800" s="18"/>
      <c r="F800" s="28"/>
      <c r="G800" s="32" t="str">
        <f aca="false">IF(F800="","",IFERROR(INDEX(請求台帳!$D$5:$D$504,MATCH(F800,請求台帳!$A$5:$A$504,0)),""))</f>
        <v/>
      </c>
      <c r="H800" s="26" t="str">
        <f aca="false">IF(F800="","",IFERROR(INDEX(請求台帳!$I$5:$I$504,MATCH(F800,請求台帳!$A$5:$A$504,0)),""))</f>
        <v/>
      </c>
      <c r="I800" s="29" t="str">
        <f aca="false">IF(COUNTA(B800,D800,E800,F800)=0,"",IF(OR(B800="",E800=""),"要入力",IF(F800="","未消込",IF(ISNA(MATCH(F800,請求台帳!$A$5:$A$504,0)),"番号誤り",IF(INDEX(請求台帳!$T$5:$T$504,MATCH(F800,請求台帳!$A$5:$A$504,0))="取消","取消請求へ消込","消込済")))))</f>
        <v/>
      </c>
      <c r="J800" s="28"/>
      <c r="K800" s="28"/>
    </row>
    <row r="801" customFormat="false" ht="15" hidden="false" customHeight="false" outlineLevel="0" collapsed="false">
      <c r="A801" s="32" t="str">
        <f aca="false">IF(COUNTA(B801,D801,E801,F801)=0,"",ROW()-4)</f>
        <v/>
      </c>
      <c r="B801" s="22"/>
      <c r="C801" s="28"/>
      <c r="D801" s="28"/>
      <c r="E801" s="18"/>
      <c r="F801" s="28"/>
      <c r="G801" s="32" t="str">
        <f aca="false">IF(F801="","",IFERROR(INDEX(請求台帳!$D$5:$D$504,MATCH(F801,請求台帳!$A$5:$A$504,0)),""))</f>
        <v/>
      </c>
      <c r="H801" s="26" t="str">
        <f aca="false">IF(F801="","",IFERROR(INDEX(請求台帳!$I$5:$I$504,MATCH(F801,請求台帳!$A$5:$A$504,0)),""))</f>
        <v/>
      </c>
      <c r="I801" s="29" t="str">
        <f aca="false">IF(COUNTA(B801,D801,E801,F801)=0,"",IF(OR(B801="",E801=""),"要入力",IF(F801="","未消込",IF(ISNA(MATCH(F801,請求台帳!$A$5:$A$504,0)),"番号誤り",IF(INDEX(請求台帳!$T$5:$T$504,MATCH(F801,請求台帳!$A$5:$A$504,0))="取消","取消請求へ消込","消込済")))))</f>
        <v/>
      </c>
      <c r="J801" s="28"/>
      <c r="K801" s="28"/>
    </row>
    <row r="802" customFormat="false" ht="15" hidden="false" customHeight="false" outlineLevel="0" collapsed="false">
      <c r="A802" s="32" t="str">
        <f aca="false">IF(COUNTA(B802,D802,E802,F802)=0,"",ROW()-4)</f>
        <v/>
      </c>
      <c r="B802" s="22"/>
      <c r="C802" s="28"/>
      <c r="D802" s="28"/>
      <c r="E802" s="18"/>
      <c r="F802" s="28"/>
      <c r="G802" s="32" t="str">
        <f aca="false">IF(F802="","",IFERROR(INDEX(請求台帳!$D$5:$D$504,MATCH(F802,請求台帳!$A$5:$A$504,0)),""))</f>
        <v/>
      </c>
      <c r="H802" s="26" t="str">
        <f aca="false">IF(F802="","",IFERROR(INDEX(請求台帳!$I$5:$I$504,MATCH(F802,請求台帳!$A$5:$A$504,0)),""))</f>
        <v/>
      </c>
      <c r="I802" s="29" t="str">
        <f aca="false">IF(COUNTA(B802,D802,E802,F802)=0,"",IF(OR(B802="",E802=""),"要入力",IF(F802="","未消込",IF(ISNA(MATCH(F802,請求台帳!$A$5:$A$504,0)),"番号誤り",IF(INDEX(請求台帳!$T$5:$T$504,MATCH(F802,請求台帳!$A$5:$A$504,0))="取消","取消請求へ消込","消込済")))))</f>
        <v/>
      </c>
      <c r="J802" s="28"/>
      <c r="K802" s="28"/>
    </row>
    <row r="803" customFormat="false" ht="15" hidden="false" customHeight="false" outlineLevel="0" collapsed="false">
      <c r="A803" s="32" t="str">
        <f aca="false">IF(COUNTA(B803,D803,E803,F803)=0,"",ROW()-4)</f>
        <v/>
      </c>
      <c r="B803" s="22"/>
      <c r="C803" s="28"/>
      <c r="D803" s="28"/>
      <c r="E803" s="18"/>
      <c r="F803" s="28"/>
      <c r="G803" s="32" t="str">
        <f aca="false">IF(F803="","",IFERROR(INDEX(請求台帳!$D$5:$D$504,MATCH(F803,請求台帳!$A$5:$A$504,0)),""))</f>
        <v/>
      </c>
      <c r="H803" s="26" t="str">
        <f aca="false">IF(F803="","",IFERROR(INDEX(請求台帳!$I$5:$I$504,MATCH(F803,請求台帳!$A$5:$A$504,0)),""))</f>
        <v/>
      </c>
      <c r="I803" s="29" t="str">
        <f aca="false">IF(COUNTA(B803,D803,E803,F803)=0,"",IF(OR(B803="",E803=""),"要入力",IF(F803="","未消込",IF(ISNA(MATCH(F803,請求台帳!$A$5:$A$504,0)),"番号誤り",IF(INDEX(請求台帳!$T$5:$T$504,MATCH(F803,請求台帳!$A$5:$A$504,0))="取消","取消請求へ消込","消込済")))))</f>
        <v/>
      </c>
      <c r="J803" s="28"/>
      <c r="K803" s="28"/>
    </row>
    <row r="804" customFormat="false" ht="15" hidden="false" customHeight="false" outlineLevel="0" collapsed="false">
      <c r="A804" s="32" t="str">
        <f aca="false">IF(COUNTA(B804,D804,E804,F804)=0,"",ROW()-4)</f>
        <v/>
      </c>
      <c r="B804" s="22"/>
      <c r="C804" s="28"/>
      <c r="D804" s="28"/>
      <c r="E804" s="18"/>
      <c r="F804" s="28"/>
      <c r="G804" s="32" t="str">
        <f aca="false">IF(F804="","",IFERROR(INDEX(請求台帳!$D$5:$D$504,MATCH(F804,請求台帳!$A$5:$A$504,0)),""))</f>
        <v/>
      </c>
      <c r="H804" s="26" t="str">
        <f aca="false">IF(F804="","",IFERROR(INDEX(請求台帳!$I$5:$I$504,MATCH(F804,請求台帳!$A$5:$A$504,0)),""))</f>
        <v/>
      </c>
      <c r="I804" s="29" t="str">
        <f aca="false">IF(COUNTA(B804,D804,E804,F804)=0,"",IF(OR(B804="",E804=""),"要入力",IF(F804="","未消込",IF(ISNA(MATCH(F804,請求台帳!$A$5:$A$504,0)),"番号誤り",IF(INDEX(請求台帳!$T$5:$T$504,MATCH(F804,請求台帳!$A$5:$A$504,0))="取消","取消請求へ消込","消込済")))))</f>
        <v/>
      </c>
      <c r="J804" s="28"/>
      <c r="K804" s="28"/>
    </row>
    <row r="805" customFormat="false" ht="15" hidden="false" customHeight="false" outlineLevel="0" collapsed="false">
      <c r="A805" s="32" t="str">
        <f aca="false">IF(COUNTA(B805,D805,E805,F805)=0,"",ROW()-4)</f>
        <v/>
      </c>
      <c r="B805" s="22"/>
      <c r="C805" s="28"/>
      <c r="D805" s="28"/>
      <c r="E805" s="18"/>
      <c r="F805" s="28"/>
      <c r="G805" s="32" t="str">
        <f aca="false">IF(F805="","",IFERROR(INDEX(請求台帳!$D$5:$D$504,MATCH(F805,請求台帳!$A$5:$A$504,0)),""))</f>
        <v/>
      </c>
      <c r="H805" s="26" t="str">
        <f aca="false">IF(F805="","",IFERROR(INDEX(請求台帳!$I$5:$I$504,MATCH(F805,請求台帳!$A$5:$A$504,0)),""))</f>
        <v/>
      </c>
      <c r="I805" s="29" t="str">
        <f aca="false">IF(COUNTA(B805,D805,E805,F805)=0,"",IF(OR(B805="",E805=""),"要入力",IF(F805="","未消込",IF(ISNA(MATCH(F805,請求台帳!$A$5:$A$504,0)),"番号誤り",IF(INDEX(請求台帳!$T$5:$T$504,MATCH(F805,請求台帳!$A$5:$A$504,0))="取消","取消請求へ消込","消込済")))))</f>
        <v/>
      </c>
      <c r="J805" s="28"/>
      <c r="K805" s="28"/>
    </row>
    <row r="806" customFormat="false" ht="15" hidden="false" customHeight="false" outlineLevel="0" collapsed="false">
      <c r="A806" s="32" t="str">
        <f aca="false">IF(COUNTA(B806,D806,E806,F806)=0,"",ROW()-4)</f>
        <v/>
      </c>
      <c r="B806" s="22"/>
      <c r="C806" s="28"/>
      <c r="D806" s="28"/>
      <c r="E806" s="18"/>
      <c r="F806" s="28"/>
      <c r="G806" s="32" t="str">
        <f aca="false">IF(F806="","",IFERROR(INDEX(請求台帳!$D$5:$D$504,MATCH(F806,請求台帳!$A$5:$A$504,0)),""))</f>
        <v/>
      </c>
      <c r="H806" s="26" t="str">
        <f aca="false">IF(F806="","",IFERROR(INDEX(請求台帳!$I$5:$I$504,MATCH(F806,請求台帳!$A$5:$A$504,0)),""))</f>
        <v/>
      </c>
      <c r="I806" s="29" t="str">
        <f aca="false">IF(COUNTA(B806,D806,E806,F806)=0,"",IF(OR(B806="",E806=""),"要入力",IF(F806="","未消込",IF(ISNA(MATCH(F806,請求台帳!$A$5:$A$504,0)),"番号誤り",IF(INDEX(請求台帳!$T$5:$T$504,MATCH(F806,請求台帳!$A$5:$A$504,0))="取消","取消請求へ消込","消込済")))))</f>
        <v/>
      </c>
      <c r="J806" s="28"/>
      <c r="K806" s="28"/>
    </row>
    <row r="807" customFormat="false" ht="15" hidden="false" customHeight="false" outlineLevel="0" collapsed="false">
      <c r="A807" s="32" t="str">
        <f aca="false">IF(COUNTA(B807,D807,E807,F807)=0,"",ROW()-4)</f>
        <v/>
      </c>
      <c r="B807" s="22"/>
      <c r="C807" s="28"/>
      <c r="D807" s="28"/>
      <c r="E807" s="18"/>
      <c r="F807" s="28"/>
      <c r="G807" s="32" t="str">
        <f aca="false">IF(F807="","",IFERROR(INDEX(請求台帳!$D$5:$D$504,MATCH(F807,請求台帳!$A$5:$A$504,0)),""))</f>
        <v/>
      </c>
      <c r="H807" s="26" t="str">
        <f aca="false">IF(F807="","",IFERROR(INDEX(請求台帳!$I$5:$I$504,MATCH(F807,請求台帳!$A$5:$A$504,0)),""))</f>
        <v/>
      </c>
      <c r="I807" s="29" t="str">
        <f aca="false">IF(COUNTA(B807,D807,E807,F807)=0,"",IF(OR(B807="",E807=""),"要入力",IF(F807="","未消込",IF(ISNA(MATCH(F807,請求台帳!$A$5:$A$504,0)),"番号誤り",IF(INDEX(請求台帳!$T$5:$T$504,MATCH(F807,請求台帳!$A$5:$A$504,0))="取消","取消請求へ消込","消込済")))))</f>
        <v/>
      </c>
      <c r="J807" s="28"/>
      <c r="K807" s="28"/>
    </row>
    <row r="808" customFormat="false" ht="15" hidden="false" customHeight="false" outlineLevel="0" collapsed="false">
      <c r="A808" s="32" t="str">
        <f aca="false">IF(COUNTA(B808,D808,E808,F808)=0,"",ROW()-4)</f>
        <v/>
      </c>
      <c r="B808" s="22"/>
      <c r="C808" s="28"/>
      <c r="D808" s="28"/>
      <c r="E808" s="18"/>
      <c r="F808" s="28"/>
      <c r="G808" s="32" t="str">
        <f aca="false">IF(F808="","",IFERROR(INDEX(請求台帳!$D$5:$D$504,MATCH(F808,請求台帳!$A$5:$A$504,0)),""))</f>
        <v/>
      </c>
      <c r="H808" s="26" t="str">
        <f aca="false">IF(F808="","",IFERROR(INDEX(請求台帳!$I$5:$I$504,MATCH(F808,請求台帳!$A$5:$A$504,0)),""))</f>
        <v/>
      </c>
      <c r="I808" s="29" t="str">
        <f aca="false">IF(COUNTA(B808,D808,E808,F808)=0,"",IF(OR(B808="",E808=""),"要入力",IF(F808="","未消込",IF(ISNA(MATCH(F808,請求台帳!$A$5:$A$504,0)),"番号誤り",IF(INDEX(請求台帳!$T$5:$T$504,MATCH(F808,請求台帳!$A$5:$A$504,0))="取消","取消請求へ消込","消込済")))))</f>
        <v/>
      </c>
      <c r="J808" s="28"/>
      <c r="K808" s="28"/>
    </row>
    <row r="809" customFormat="false" ht="15" hidden="false" customHeight="false" outlineLevel="0" collapsed="false">
      <c r="A809" s="32" t="str">
        <f aca="false">IF(COUNTA(B809,D809,E809,F809)=0,"",ROW()-4)</f>
        <v/>
      </c>
      <c r="B809" s="22"/>
      <c r="C809" s="28"/>
      <c r="D809" s="28"/>
      <c r="E809" s="18"/>
      <c r="F809" s="28"/>
      <c r="G809" s="32" t="str">
        <f aca="false">IF(F809="","",IFERROR(INDEX(請求台帳!$D$5:$D$504,MATCH(F809,請求台帳!$A$5:$A$504,0)),""))</f>
        <v/>
      </c>
      <c r="H809" s="26" t="str">
        <f aca="false">IF(F809="","",IFERROR(INDEX(請求台帳!$I$5:$I$504,MATCH(F809,請求台帳!$A$5:$A$504,0)),""))</f>
        <v/>
      </c>
      <c r="I809" s="29" t="str">
        <f aca="false">IF(COUNTA(B809,D809,E809,F809)=0,"",IF(OR(B809="",E809=""),"要入力",IF(F809="","未消込",IF(ISNA(MATCH(F809,請求台帳!$A$5:$A$504,0)),"番号誤り",IF(INDEX(請求台帳!$T$5:$T$504,MATCH(F809,請求台帳!$A$5:$A$504,0))="取消","取消請求へ消込","消込済")))))</f>
        <v/>
      </c>
      <c r="J809" s="28"/>
      <c r="K809" s="28"/>
    </row>
    <row r="810" customFormat="false" ht="15" hidden="false" customHeight="false" outlineLevel="0" collapsed="false">
      <c r="A810" s="32" t="str">
        <f aca="false">IF(COUNTA(B810,D810,E810,F810)=0,"",ROW()-4)</f>
        <v/>
      </c>
      <c r="B810" s="22"/>
      <c r="C810" s="28"/>
      <c r="D810" s="28"/>
      <c r="E810" s="18"/>
      <c r="F810" s="28"/>
      <c r="G810" s="32" t="str">
        <f aca="false">IF(F810="","",IFERROR(INDEX(請求台帳!$D$5:$D$504,MATCH(F810,請求台帳!$A$5:$A$504,0)),""))</f>
        <v/>
      </c>
      <c r="H810" s="26" t="str">
        <f aca="false">IF(F810="","",IFERROR(INDEX(請求台帳!$I$5:$I$504,MATCH(F810,請求台帳!$A$5:$A$504,0)),""))</f>
        <v/>
      </c>
      <c r="I810" s="29" t="str">
        <f aca="false">IF(COUNTA(B810,D810,E810,F810)=0,"",IF(OR(B810="",E810=""),"要入力",IF(F810="","未消込",IF(ISNA(MATCH(F810,請求台帳!$A$5:$A$504,0)),"番号誤り",IF(INDEX(請求台帳!$T$5:$T$504,MATCH(F810,請求台帳!$A$5:$A$504,0))="取消","取消請求へ消込","消込済")))))</f>
        <v/>
      </c>
      <c r="J810" s="28"/>
      <c r="K810" s="28"/>
    </row>
    <row r="811" customFormat="false" ht="15" hidden="false" customHeight="false" outlineLevel="0" collapsed="false">
      <c r="A811" s="32" t="str">
        <f aca="false">IF(COUNTA(B811,D811,E811,F811)=0,"",ROW()-4)</f>
        <v/>
      </c>
      <c r="B811" s="22"/>
      <c r="C811" s="28"/>
      <c r="D811" s="28"/>
      <c r="E811" s="18"/>
      <c r="F811" s="28"/>
      <c r="G811" s="32" t="str">
        <f aca="false">IF(F811="","",IFERROR(INDEX(請求台帳!$D$5:$D$504,MATCH(F811,請求台帳!$A$5:$A$504,0)),""))</f>
        <v/>
      </c>
      <c r="H811" s="26" t="str">
        <f aca="false">IF(F811="","",IFERROR(INDEX(請求台帳!$I$5:$I$504,MATCH(F811,請求台帳!$A$5:$A$504,0)),""))</f>
        <v/>
      </c>
      <c r="I811" s="29" t="str">
        <f aca="false">IF(COUNTA(B811,D811,E811,F811)=0,"",IF(OR(B811="",E811=""),"要入力",IF(F811="","未消込",IF(ISNA(MATCH(F811,請求台帳!$A$5:$A$504,0)),"番号誤り",IF(INDEX(請求台帳!$T$5:$T$504,MATCH(F811,請求台帳!$A$5:$A$504,0))="取消","取消請求へ消込","消込済")))))</f>
        <v/>
      </c>
      <c r="J811" s="28"/>
      <c r="K811" s="28"/>
    </row>
    <row r="812" customFormat="false" ht="15" hidden="false" customHeight="false" outlineLevel="0" collapsed="false">
      <c r="A812" s="32" t="str">
        <f aca="false">IF(COUNTA(B812,D812,E812,F812)=0,"",ROW()-4)</f>
        <v/>
      </c>
      <c r="B812" s="22"/>
      <c r="C812" s="28"/>
      <c r="D812" s="28"/>
      <c r="E812" s="18"/>
      <c r="F812" s="28"/>
      <c r="G812" s="32" t="str">
        <f aca="false">IF(F812="","",IFERROR(INDEX(請求台帳!$D$5:$D$504,MATCH(F812,請求台帳!$A$5:$A$504,0)),""))</f>
        <v/>
      </c>
      <c r="H812" s="26" t="str">
        <f aca="false">IF(F812="","",IFERROR(INDEX(請求台帳!$I$5:$I$504,MATCH(F812,請求台帳!$A$5:$A$504,0)),""))</f>
        <v/>
      </c>
      <c r="I812" s="29" t="str">
        <f aca="false">IF(COUNTA(B812,D812,E812,F812)=0,"",IF(OR(B812="",E812=""),"要入力",IF(F812="","未消込",IF(ISNA(MATCH(F812,請求台帳!$A$5:$A$504,0)),"番号誤り",IF(INDEX(請求台帳!$T$5:$T$504,MATCH(F812,請求台帳!$A$5:$A$504,0))="取消","取消請求へ消込","消込済")))))</f>
        <v/>
      </c>
      <c r="J812" s="28"/>
      <c r="K812" s="28"/>
    </row>
    <row r="813" customFormat="false" ht="15" hidden="false" customHeight="false" outlineLevel="0" collapsed="false">
      <c r="A813" s="32" t="str">
        <f aca="false">IF(COUNTA(B813,D813,E813,F813)=0,"",ROW()-4)</f>
        <v/>
      </c>
      <c r="B813" s="22"/>
      <c r="C813" s="28"/>
      <c r="D813" s="28"/>
      <c r="E813" s="18"/>
      <c r="F813" s="28"/>
      <c r="G813" s="32" t="str">
        <f aca="false">IF(F813="","",IFERROR(INDEX(請求台帳!$D$5:$D$504,MATCH(F813,請求台帳!$A$5:$A$504,0)),""))</f>
        <v/>
      </c>
      <c r="H813" s="26" t="str">
        <f aca="false">IF(F813="","",IFERROR(INDEX(請求台帳!$I$5:$I$504,MATCH(F813,請求台帳!$A$5:$A$504,0)),""))</f>
        <v/>
      </c>
      <c r="I813" s="29" t="str">
        <f aca="false">IF(COUNTA(B813,D813,E813,F813)=0,"",IF(OR(B813="",E813=""),"要入力",IF(F813="","未消込",IF(ISNA(MATCH(F813,請求台帳!$A$5:$A$504,0)),"番号誤り",IF(INDEX(請求台帳!$T$5:$T$504,MATCH(F813,請求台帳!$A$5:$A$504,0))="取消","取消請求へ消込","消込済")))))</f>
        <v/>
      </c>
      <c r="J813" s="28"/>
      <c r="K813" s="28"/>
    </row>
    <row r="814" customFormat="false" ht="15" hidden="false" customHeight="false" outlineLevel="0" collapsed="false">
      <c r="A814" s="32" t="str">
        <f aca="false">IF(COUNTA(B814,D814,E814,F814)=0,"",ROW()-4)</f>
        <v/>
      </c>
      <c r="B814" s="22"/>
      <c r="C814" s="28"/>
      <c r="D814" s="28"/>
      <c r="E814" s="18"/>
      <c r="F814" s="28"/>
      <c r="G814" s="32" t="str">
        <f aca="false">IF(F814="","",IFERROR(INDEX(請求台帳!$D$5:$D$504,MATCH(F814,請求台帳!$A$5:$A$504,0)),""))</f>
        <v/>
      </c>
      <c r="H814" s="26" t="str">
        <f aca="false">IF(F814="","",IFERROR(INDEX(請求台帳!$I$5:$I$504,MATCH(F814,請求台帳!$A$5:$A$504,0)),""))</f>
        <v/>
      </c>
      <c r="I814" s="29" t="str">
        <f aca="false">IF(COUNTA(B814,D814,E814,F814)=0,"",IF(OR(B814="",E814=""),"要入力",IF(F814="","未消込",IF(ISNA(MATCH(F814,請求台帳!$A$5:$A$504,0)),"番号誤り",IF(INDEX(請求台帳!$T$5:$T$504,MATCH(F814,請求台帳!$A$5:$A$504,0))="取消","取消請求へ消込","消込済")))))</f>
        <v/>
      </c>
      <c r="J814" s="28"/>
      <c r="K814" s="28"/>
    </row>
    <row r="815" customFormat="false" ht="15" hidden="false" customHeight="false" outlineLevel="0" collapsed="false">
      <c r="A815" s="32" t="str">
        <f aca="false">IF(COUNTA(B815,D815,E815,F815)=0,"",ROW()-4)</f>
        <v/>
      </c>
      <c r="B815" s="22"/>
      <c r="C815" s="28"/>
      <c r="D815" s="28"/>
      <c r="E815" s="18"/>
      <c r="F815" s="28"/>
      <c r="G815" s="32" t="str">
        <f aca="false">IF(F815="","",IFERROR(INDEX(請求台帳!$D$5:$D$504,MATCH(F815,請求台帳!$A$5:$A$504,0)),""))</f>
        <v/>
      </c>
      <c r="H815" s="26" t="str">
        <f aca="false">IF(F815="","",IFERROR(INDEX(請求台帳!$I$5:$I$504,MATCH(F815,請求台帳!$A$5:$A$504,0)),""))</f>
        <v/>
      </c>
      <c r="I815" s="29" t="str">
        <f aca="false">IF(COUNTA(B815,D815,E815,F815)=0,"",IF(OR(B815="",E815=""),"要入力",IF(F815="","未消込",IF(ISNA(MATCH(F815,請求台帳!$A$5:$A$504,0)),"番号誤り",IF(INDEX(請求台帳!$T$5:$T$504,MATCH(F815,請求台帳!$A$5:$A$504,0))="取消","取消請求へ消込","消込済")))))</f>
        <v/>
      </c>
      <c r="J815" s="28"/>
      <c r="K815" s="28"/>
    </row>
    <row r="816" customFormat="false" ht="15" hidden="false" customHeight="false" outlineLevel="0" collapsed="false">
      <c r="A816" s="32" t="str">
        <f aca="false">IF(COUNTA(B816,D816,E816,F816)=0,"",ROW()-4)</f>
        <v/>
      </c>
      <c r="B816" s="22"/>
      <c r="C816" s="28"/>
      <c r="D816" s="28"/>
      <c r="E816" s="18"/>
      <c r="F816" s="28"/>
      <c r="G816" s="32" t="str">
        <f aca="false">IF(F816="","",IFERROR(INDEX(請求台帳!$D$5:$D$504,MATCH(F816,請求台帳!$A$5:$A$504,0)),""))</f>
        <v/>
      </c>
      <c r="H816" s="26" t="str">
        <f aca="false">IF(F816="","",IFERROR(INDEX(請求台帳!$I$5:$I$504,MATCH(F816,請求台帳!$A$5:$A$504,0)),""))</f>
        <v/>
      </c>
      <c r="I816" s="29" t="str">
        <f aca="false">IF(COUNTA(B816,D816,E816,F816)=0,"",IF(OR(B816="",E816=""),"要入力",IF(F816="","未消込",IF(ISNA(MATCH(F816,請求台帳!$A$5:$A$504,0)),"番号誤り",IF(INDEX(請求台帳!$T$5:$T$504,MATCH(F816,請求台帳!$A$5:$A$504,0))="取消","取消請求へ消込","消込済")))))</f>
        <v/>
      </c>
      <c r="J816" s="28"/>
      <c r="K816" s="28"/>
    </row>
    <row r="817" customFormat="false" ht="15" hidden="false" customHeight="false" outlineLevel="0" collapsed="false">
      <c r="A817" s="32" t="str">
        <f aca="false">IF(COUNTA(B817,D817,E817,F817)=0,"",ROW()-4)</f>
        <v/>
      </c>
      <c r="B817" s="22"/>
      <c r="C817" s="28"/>
      <c r="D817" s="28"/>
      <c r="E817" s="18"/>
      <c r="F817" s="28"/>
      <c r="G817" s="32" t="str">
        <f aca="false">IF(F817="","",IFERROR(INDEX(請求台帳!$D$5:$D$504,MATCH(F817,請求台帳!$A$5:$A$504,0)),""))</f>
        <v/>
      </c>
      <c r="H817" s="26" t="str">
        <f aca="false">IF(F817="","",IFERROR(INDEX(請求台帳!$I$5:$I$504,MATCH(F817,請求台帳!$A$5:$A$504,0)),""))</f>
        <v/>
      </c>
      <c r="I817" s="29" t="str">
        <f aca="false">IF(COUNTA(B817,D817,E817,F817)=0,"",IF(OR(B817="",E817=""),"要入力",IF(F817="","未消込",IF(ISNA(MATCH(F817,請求台帳!$A$5:$A$504,0)),"番号誤り",IF(INDEX(請求台帳!$T$5:$T$504,MATCH(F817,請求台帳!$A$5:$A$504,0))="取消","取消請求へ消込","消込済")))))</f>
        <v/>
      </c>
      <c r="J817" s="28"/>
      <c r="K817" s="28"/>
    </row>
    <row r="818" customFormat="false" ht="15" hidden="false" customHeight="false" outlineLevel="0" collapsed="false">
      <c r="A818" s="32" t="str">
        <f aca="false">IF(COUNTA(B818,D818,E818,F818)=0,"",ROW()-4)</f>
        <v/>
      </c>
      <c r="B818" s="22"/>
      <c r="C818" s="28"/>
      <c r="D818" s="28"/>
      <c r="E818" s="18"/>
      <c r="F818" s="28"/>
      <c r="G818" s="32" t="str">
        <f aca="false">IF(F818="","",IFERROR(INDEX(請求台帳!$D$5:$D$504,MATCH(F818,請求台帳!$A$5:$A$504,0)),""))</f>
        <v/>
      </c>
      <c r="H818" s="26" t="str">
        <f aca="false">IF(F818="","",IFERROR(INDEX(請求台帳!$I$5:$I$504,MATCH(F818,請求台帳!$A$5:$A$504,0)),""))</f>
        <v/>
      </c>
      <c r="I818" s="29" t="str">
        <f aca="false">IF(COUNTA(B818,D818,E818,F818)=0,"",IF(OR(B818="",E818=""),"要入力",IF(F818="","未消込",IF(ISNA(MATCH(F818,請求台帳!$A$5:$A$504,0)),"番号誤り",IF(INDEX(請求台帳!$T$5:$T$504,MATCH(F818,請求台帳!$A$5:$A$504,0))="取消","取消請求へ消込","消込済")))))</f>
        <v/>
      </c>
      <c r="J818" s="28"/>
      <c r="K818" s="28"/>
    </row>
    <row r="819" customFormat="false" ht="15" hidden="false" customHeight="false" outlineLevel="0" collapsed="false">
      <c r="A819" s="32" t="str">
        <f aca="false">IF(COUNTA(B819,D819,E819,F819)=0,"",ROW()-4)</f>
        <v/>
      </c>
      <c r="B819" s="22"/>
      <c r="C819" s="28"/>
      <c r="D819" s="28"/>
      <c r="E819" s="18"/>
      <c r="F819" s="28"/>
      <c r="G819" s="32" t="str">
        <f aca="false">IF(F819="","",IFERROR(INDEX(請求台帳!$D$5:$D$504,MATCH(F819,請求台帳!$A$5:$A$504,0)),""))</f>
        <v/>
      </c>
      <c r="H819" s="26" t="str">
        <f aca="false">IF(F819="","",IFERROR(INDEX(請求台帳!$I$5:$I$504,MATCH(F819,請求台帳!$A$5:$A$504,0)),""))</f>
        <v/>
      </c>
      <c r="I819" s="29" t="str">
        <f aca="false">IF(COUNTA(B819,D819,E819,F819)=0,"",IF(OR(B819="",E819=""),"要入力",IF(F819="","未消込",IF(ISNA(MATCH(F819,請求台帳!$A$5:$A$504,0)),"番号誤り",IF(INDEX(請求台帳!$T$5:$T$504,MATCH(F819,請求台帳!$A$5:$A$504,0))="取消","取消請求へ消込","消込済")))))</f>
        <v/>
      </c>
      <c r="J819" s="28"/>
      <c r="K819" s="28"/>
    </row>
    <row r="820" customFormat="false" ht="15" hidden="false" customHeight="false" outlineLevel="0" collapsed="false">
      <c r="A820" s="32" t="str">
        <f aca="false">IF(COUNTA(B820,D820,E820,F820)=0,"",ROW()-4)</f>
        <v/>
      </c>
      <c r="B820" s="22"/>
      <c r="C820" s="28"/>
      <c r="D820" s="28"/>
      <c r="E820" s="18"/>
      <c r="F820" s="28"/>
      <c r="G820" s="32" t="str">
        <f aca="false">IF(F820="","",IFERROR(INDEX(請求台帳!$D$5:$D$504,MATCH(F820,請求台帳!$A$5:$A$504,0)),""))</f>
        <v/>
      </c>
      <c r="H820" s="26" t="str">
        <f aca="false">IF(F820="","",IFERROR(INDEX(請求台帳!$I$5:$I$504,MATCH(F820,請求台帳!$A$5:$A$504,0)),""))</f>
        <v/>
      </c>
      <c r="I820" s="29" t="str">
        <f aca="false">IF(COUNTA(B820,D820,E820,F820)=0,"",IF(OR(B820="",E820=""),"要入力",IF(F820="","未消込",IF(ISNA(MATCH(F820,請求台帳!$A$5:$A$504,0)),"番号誤り",IF(INDEX(請求台帳!$T$5:$T$504,MATCH(F820,請求台帳!$A$5:$A$504,0))="取消","取消請求へ消込","消込済")))))</f>
        <v/>
      </c>
      <c r="J820" s="28"/>
      <c r="K820" s="28"/>
    </row>
    <row r="821" customFormat="false" ht="15" hidden="false" customHeight="false" outlineLevel="0" collapsed="false">
      <c r="A821" s="32" t="str">
        <f aca="false">IF(COUNTA(B821,D821,E821,F821)=0,"",ROW()-4)</f>
        <v/>
      </c>
      <c r="B821" s="22"/>
      <c r="C821" s="28"/>
      <c r="D821" s="28"/>
      <c r="E821" s="18"/>
      <c r="F821" s="28"/>
      <c r="G821" s="32" t="str">
        <f aca="false">IF(F821="","",IFERROR(INDEX(請求台帳!$D$5:$D$504,MATCH(F821,請求台帳!$A$5:$A$504,0)),""))</f>
        <v/>
      </c>
      <c r="H821" s="26" t="str">
        <f aca="false">IF(F821="","",IFERROR(INDEX(請求台帳!$I$5:$I$504,MATCH(F821,請求台帳!$A$5:$A$504,0)),""))</f>
        <v/>
      </c>
      <c r="I821" s="29" t="str">
        <f aca="false">IF(COUNTA(B821,D821,E821,F821)=0,"",IF(OR(B821="",E821=""),"要入力",IF(F821="","未消込",IF(ISNA(MATCH(F821,請求台帳!$A$5:$A$504,0)),"番号誤り",IF(INDEX(請求台帳!$T$5:$T$504,MATCH(F821,請求台帳!$A$5:$A$504,0))="取消","取消請求へ消込","消込済")))))</f>
        <v/>
      </c>
      <c r="J821" s="28"/>
      <c r="K821" s="28"/>
    </row>
    <row r="822" customFormat="false" ht="15" hidden="false" customHeight="false" outlineLevel="0" collapsed="false">
      <c r="A822" s="32" t="str">
        <f aca="false">IF(COUNTA(B822,D822,E822,F822)=0,"",ROW()-4)</f>
        <v/>
      </c>
      <c r="B822" s="22"/>
      <c r="C822" s="28"/>
      <c r="D822" s="28"/>
      <c r="E822" s="18"/>
      <c r="F822" s="28"/>
      <c r="G822" s="32" t="str">
        <f aca="false">IF(F822="","",IFERROR(INDEX(請求台帳!$D$5:$D$504,MATCH(F822,請求台帳!$A$5:$A$504,0)),""))</f>
        <v/>
      </c>
      <c r="H822" s="26" t="str">
        <f aca="false">IF(F822="","",IFERROR(INDEX(請求台帳!$I$5:$I$504,MATCH(F822,請求台帳!$A$5:$A$504,0)),""))</f>
        <v/>
      </c>
      <c r="I822" s="29" t="str">
        <f aca="false">IF(COUNTA(B822,D822,E822,F822)=0,"",IF(OR(B822="",E822=""),"要入力",IF(F822="","未消込",IF(ISNA(MATCH(F822,請求台帳!$A$5:$A$504,0)),"番号誤り",IF(INDEX(請求台帳!$T$5:$T$504,MATCH(F822,請求台帳!$A$5:$A$504,0))="取消","取消請求へ消込","消込済")))))</f>
        <v/>
      </c>
      <c r="J822" s="28"/>
      <c r="K822" s="28"/>
    </row>
    <row r="823" customFormat="false" ht="15" hidden="false" customHeight="false" outlineLevel="0" collapsed="false">
      <c r="A823" s="32" t="str">
        <f aca="false">IF(COUNTA(B823,D823,E823,F823)=0,"",ROW()-4)</f>
        <v/>
      </c>
      <c r="B823" s="22"/>
      <c r="C823" s="28"/>
      <c r="D823" s="28"/>
      <c r="E823" s="18"/>
      <c r="F823" s="28"/>
      <c r="G823" s="32" t="str">
        <f aca="false">IF(F823="","",IFERROR(INDEX(請求台帳!$D$5:$D$504,MATCH(F823,請求台帳!$A$5:$A$504,0)),""))</f>
        <v/>
      </c>
      <c r="H823" s="26" t="str">
        <f aca="false">IF(F823="","",IFERROR(INDEX(請求台帳!$I$5:$I$504,MATCH(F823,請求台帳!$A$5:$A$504,0)),""))</f>
        <v/>
      </c>
      <c r="I823" s="29" t="str">
        <f aca="false">IF(COUNTA(B823,D823,E823,F823)=0,"",IF(OR(B823="",E823=""),"要入力",IF(F823="","未消込",IF(ISNA(MATCH(F823,請求台帳!$A$5:$A$504,0)),"番号誤り",IF(INDEX(請求台帳!$T$5:$T$504,MATCH(F823,請求台帳!$A$5:$A$504,0))="取消","取消請求へ消込","消込済")))))</f>
        <v/>
      </c>
      <c r="J823" s="28"/>
      <c r="K823" s="28"/>
    </row>
    <row r="824" customFormat="false" ht="15" hidden="false" customHeight="false" outlineLevel="0" collapsed="false">
      <c r="A824" s="32" t="str">
        <f aca="false">IF(COUNTA(B824,D824,E824,F824)=0,"",ROW()-4)</f>
        <v/>
      </c>
      <c r="B824" s="22"/>
      <c r="C824" s="28"/>
      <c r="D824" s="28"/>
      <c r="E824" s="18"/>
      <c r="F824" s="28"/>
      <c r="G824" s="32" t="str">
        <f aca="false">IF(F824="","",IFERROR(INDEX(請求台帳!$D$5:$D$504,MATCH(F824,請求台帳!$A$5:$A$504,0)),""))</f>
        <v/>
      </c>
      <c r="H824" s="26" t="str">
        <f aca="false">IF(F824="","",IFERROR(INDEX(請求台帳!$I$5:$I$504,MATCH(F824,請求台帳!$A$5:$A$504,0)),""))</f>
        <v/>
      </c>
      <c r="I824" s="29" t="str">
        <f aca="false">IF(COUNTA(B824,D824,E824,F824)=0,"",IF(OR(B824="",E824=""),"要入力",IF(F824="","未消込",IF(ISNA(MATCH(F824,請求台帳!$A$5:$A$504,0)),"番号誤り",IF(INDEX(請求台帳!$T$5:$T$504,MATCH(F824,請求台帳!$A$5:$A$504,0))="取消","取消請求へ消込","消込済")))))</f>
        <v/>
      </c>
      <c r="J824" s="28"/>
      <c r="K824" s="28"/>
    </row>
    <row r="825" customFormat="false" ht="15" hidden="false" customHeight="false" outlineLevel="0" collapsed="false">
      <c r="A825" s="32" t="str">
        <f aca="false">IF(COUNTA(B825,D825,E825,F825)=0,"",ROW()-4)</f>
        <v/>
      </c>
      <c r="B825" s="22"/>
      <c r="C825" s="28"/>
      <c r="D825" s="28"/>
      <c r="E825" s="18"/>
      <c r="F825" s="28"/>
      <c r="G825" s="32" t="str">
        <f aca="false">IF(F825="","",IFERROR(INDEX(請求台帳!$D$5:$D$504,MATCH(F825,請求台帳!$A$5:$A$504,0)),""))</f>
        <v/>
      </c>
      <c r="H825" s="26" t="str">
        <f aca="false">IF(F825="","",IFERROR(INDEX(請求台帳!$I$5:$I$504,MATCH(F825,請求台帳!$A$5:$A$504,0)),""))</f>
        <v/>
      </c>
      <c r="I825" s="29" t="str">
        <f aca="false">IF(COUNTA(B825,D825,E825,F825)=0,"",IF(OR(B825="",E825=""),"要入力",IF(F825="","未消込",IF(ISNA(MATCH(F825,請求台帳!$A$5:$A$504,0)),"番号誤り",IF(INDEX(請求台帳!$T$5:$T$504,MATCH(F825,請求台帳!$A$5:$A$504,0))="取消","取消請求へ消込","消込済")))))</f>
        <v/>
      </c>
      <c r="J825" s="28"/>
      <c r="K825" s="28"/>
    </row>
    <row r="826" customFormat="false" ht="15" hidden="false" customHeight="false" outlineLevel="0" collapsed="false">
      <c r="A826" s="32" t="str">
        <f aca="false">IF(COUNTA(B826,D826,E826,F826)=0,"",ROW()-4)</f>
        <v/>
      </c>
      <c r="B826" s="22"/>
      <c r="C826" s="28"/>
      <c r="D826" s="28"/>
      <c r="E826" s="18"/>
      <c r="F826" s="28"/>
      <c r="G826" s="32" t="str">
        <f aca="false">IF(F826="","",IFERROR(INDEX(請求台帳!$D$5:$D$504,MATCH(F826,請求台帳!$A$5:$A$504,0)),""))</f>
        <v/>
      </c>
      <c r="H826" s="26" t="str">
        <f aca="false">IF(F826="","",IFERROR(INDEX(請求台帳!$I$5:$I$504,MATCH(F826,請求台帳!$A$5:$A$504,0)),""))</f>
        <v/>
      </c>
      <c r="I826" s="29" t="str">
        <f aca="false">IF(COUNTA(B826,D826,E826,F826)=0,"",IF(OR(B826="",E826=""),"要入力",IF(F826="","未消込",IF(ISNA(MATCH(F826,請求台帳!$A$5:$A$504,0)),"番号誤り",IF(INDEX(請求台帳!$T$5:$T$504,MATCH(F826,請求台帳!$A$5:$A$504,0))="取消","取消請求へ消込","消込済")))))</f>
        <v/>
      </c>
      <c r="J826" s="28"/>
      <c r="K826" s="28"/>
    </row>
    <row r="827" customFormat="false" ht="15" hidden="false" customHeight="false" outlineLevel="0" collapsed="false">
      <c r="A827" s="32" t="str">
        <f aca="false">IF(COUNTA(B827,D827,E827,F827)=0,"",ROW()-4)</f>
        <v/>
      </c>
      <c r="B827" s="22"/>
      <c r="C827" s="28"/>
      <c r="D827" s="28"/>
      <c r="E827" s="18"/>
      <c r="F827" s="28"/>
      <c r="G827" s="32" t="str">
        <f aca="false">IF(F827="","",IFERROR(INDEX(請求台帳!$D$5:$D$504,MATCH(F827,請求台帳!$A$5:$A$504,0)),""))</f>
        <v/>
      </c>
      <c r="H827" s="26" t="str">
        <f aca="false">IF(F827="","",IFERROR(INDEX(請求台帳!$I$5:$I$504,MATCH(F827,請求台帳!$A$5:$A$504,0)),""))</f>
        <v/>
      </c>
      <c r="I827" s="29" t="str">
        <f aca="false">IF(COUNTA(B827,D827,E827,F827)=0,"",IF(OR(B827="",E827=""),"要入力",IF(F827="","未消込",IF(ISNA(MATCH(F827,請求台帳!$A$5:$A$504,0)),"番号誤り",IF(INDEX(請求台帳!$T$5:$T$504,MATCH(F827,請求台帳!$A$5:$A$504,0))="取消","取消請求へ消込","消込済")))))</f>
        <v/>
      </c>
      <c r="J827" s="28"/>
      <c r="K827" s="28"/>
    </row>
    <row r="828" customFormat="false" ht="15" hidden="false" customHeight="false" outlineLevel="0" collapsed="false">
      <c r="A828" s="32" t="str">
        <f aca="false">IF(COUNTA(B828,D828,E828,F828)=0,"",ROW()-4)</f>
        <v/>
      </c>
      <c r="B828" s="22"/>
      <c r="C828" s="28"/>
      <c r="D828" s="28"/>
      <c r="E828" s="18"/>
      <c r="F828" s="28"/>
      <c r="G828" s="32" t="str">
        <f aca="false">IF(F828="","",IFERROR(INDEX(請求台帳!$D$5:$D$504,MATCH(F828,請求台帳!$A$5:$A$504,0)),""))</f>
        <v/>
      </c>
      <c r="H828" s="26" t="str">
        <f aca="false">IF(F828="","",IFERROR(INDEX(請求台帳!$I$5:$I$504,MATCH(F828,請求台帳!$A$5:$A$504,0)),""))</f>
        <v/>
      </c>
      <c r="I828" s="29" t="str">
        <f aca="false">IF(COUNTA(B828,D828,E828,F828)=0,"",IF(OR(B828="",E828=""),"要入力",IF(F828="","未消込",IF(ISNA(MATCH(F828,請求台帳!$A$5:$A$504,0)),"番号誤り",IF(INDEX(請求台帳!$T$5:$T$504,MATCH(F828,請求台帳!$A$5:$A$504,0))="取消","取消請求へ消込","消込済")))))</f>
        <v/>
      </c>
      <c r="J828" s="28"/>
      <c r="K828" s="28"/>
    </row>
    <row r="829" customFormat="false" ht="15" hidden="false" customHeight="false" outlineLevel="0" collapsed="false">
      <c r="A829" s="32" t="str">
        <f aca="false">IF(COUNTA(B829,D829,E829,F829)=0,"",ROW()-4)</f>
        <v/>
      </c>
      <c r="B829" s="22"/>
      <c r="C829" s="28"/>
      <c r="D829" s="28"/>
      <c r="E829" s="18"/>
      <c r="F829" s="28"/>
      <c r="G829" s="32" t="str">
        <f aca="false">IF(F829="","",IFERROR(INDEX(請求台帳!$D$5:$D$504,MATCH(F829,請求台帳!$A$5:$A$504,0)),""))</f>
        <v/>
      </c>
      <c r="H829" s="26" t="str">
        <f aca="false">IF(F829="","",IFERROR(INDEX(請求台帳!$I$5:$I$504,MATCH(F829,請求台帳!$A$5:$A$504,0)),""))</f>
        <v/>
      </c>
      <c r="I829" s="29" t="str">
        <f aca="false">IF(COUNTA(B829,D829,E829,F829)=0,"",IF(OR(B829="",E829=""),"要入力",IF(F829="","未消込",IF(ISNA(MATCH(F829,請求台帳!$A$5:$A$504,0)),"番号誤り",IF(INDEX(請求台帳!$T$5:$T$504,MATCH(F829,請求台帳!$A$5:$A$504,0))="取消","取消請求へ消込","消込済")))))</f>
        <v/>
      </c>
      <c r="J829" s="28"/>
      <c r="K829" s="28"/>
    </row>
    <row r="830" customFormat="false" ht="15" hidden="false" customHeight="false" outlineLevel="0" collapsed="false">
      <c r="A830" s="32" t="str">
        <f aca="false">IF(COUNTA(B830,D830,E830,F830)=0,"",ROW()-4)</f>
        <v/>
      </c>
      <c r="B830" s="22"/>
      <c r="C830" s="28"/>
      <c r="D830" s="28"/>
      <c r="E830" s="18"/>
      <c r="F830" s="28"/>
      <c r="G830" s="32" t="str">
        <f aca="false">IF(F830="","",IFERROR(INDEX(請求台帳!$D$5:$D$504,MATCH(F830,請求台帳!$A$5:$A$504,0)),""))</f>
        <v/>
      </c>
      <c r="H830" s="26" t="str">
        <f aca="false">IF(F830="","",IFERROR(INDEX(請求台帳!$I$5:$I$504,MATCH(F830,請求台帳!$A$5:$A$504,0)),""))</f>
        <v/>
      </c>
      <c r="I830" s="29" t="str">
        <f aca="false">IF(COUNTA(B830,D830,E830,F830)=0,"",IF(OR(B830="",E830=""),"要入力",IF(F830="","未消込",IF(ISNA(MATCH(F830,請求台帳!$A$5:$A$504,0)),"番号誤り",IF(INDEX(請求台帳!$T$5:$T$504,MATCH(F830,請求台帳!$A$5:$A$504,0))="取消","取消請求へ消込","消込済")))))</f>
        <v/>
      </c>
      <c r="J830" s="28"/>
      <c r="K830" s="28"/>
    </row>
    <row r="831" customFormat="false" ht="15" hidden="false" customHeight="false" outlineLevel="0" collapsed="false">
      <c r="A831" s="32" t="str">
        <f aca="false">IF(COUNTA(B831,D831,E831,F831)=0,"",ROW()-4)</f>
        <v/>
      </c>
      <c r="B831" s="22"/>
      <c r="C831" s="28"/>
      <c r="D831" s="28"/>
      <c r="E831" s="18"/>
      <c r="F831" s="28"/>
      <c r="G831" s="32" t="str">
        <f aca="false">IF(F831="","",IFERROR(INDEX(請求台帳!$D$5:$D$504,MATCH(F831,請求台帳!$A$5:$A$504,0)),""))</f>
        <v/>
      </c>
      <c r="H831" s="26" t="str">
        <f aca="false">IF(F831="","",IFERROR(INDEX(請求台帳!$I$5:$I$504,MATCH(F831,請求台帳!$A$5:$A$504,0)),""))</f>
        <v/>
      </c>
      <c r="I831" s="29" t="str">
        <f aca="false">IF(COUNTA(B831,D831,E831,F831)=0,"",IF(OR(B831="",E831=""),"要入力",IF(F831="","未消込",IF(ISNA(MATCH(F831,請求台帳!$A$5:$A$504,0)),"番号誤り",IF(INDEX(請求台帳!$T$5:$T$504,MATCH(F831,請求台帳!$A$5:$A$504,0))="取消","取消請求へ消込","消込済")))))</f>
        <v/>
      </c>
      <c r="J831" s="28"/>
      <c r="K831" s="28"/>
    </row>
    <row r="832" customFormat="false" ht="15" hidden="false" customHeight="false" outlineLevel="0" collapsed="false">
      <c r="A832" s="32" t="str">
        <f aca="false">IF(COUNTA(B832,D832,E832,F832)=0,"",ROW()-4)</f>
        <v/>
      </c>
      <c r="B832" s="22"/>
      <c r="C832" s="28"/>
      <c r="D832" s="28"/>
      <c r="E832" s="18"/>
      <c r="F832" s="28"/>
      <c r="G832" s="32" t="str">
        <f aca="false">IF(F832="","",IFERROR(INDEX(請求台帳!$D$5:$D$504,MATCH(F832,請求台帳!$A$5:$A$504,0)),""))</f>
        <v/>
      </c>
      <c r="H832" s="26" t="str">
        <f aca="false">IF(F832="","",IFERROR(INDEX(請求台帳!$I$5:$I$504,MATCH(F832,請求台帳!$A$5:$A$504,0)),""))</f>
        <v/>
      </c>
      <c r="I832" s="29" t="str">
        <f aca="false">IF(COUNTA(B832,D832,E832,F832)=0,"",IF(OR(B832="",E832=""),"要入力",IF(F832="","未消込",IF(ISNA(MATCH(F832,請求台帳!$A$5:$A$504,0)),"番号誤り",IF(INDEX(請求台帳!$T$5:$T$504,MATCH(F832,請求台帳!$A$5:$A$504,0))="取消","取消請求へ消込","消込済")))))</f>
        <v/>
      </c>
      <c r="J832" s="28"/>
      <c r="K832" s="28"/>
    </row>
    <row r="833" customFormat="false" ht="15" hidden="false" customHeight="false" outlineLevel="0" collapsed="false">
      <c r="A833" s="32" t="str">
        <f aca="false">IF(COUNTA(B833,D833,E833,F833)=0,"",ROW()-4)</f>
        <v/>
      </c>
      <c r="B833" s="22"/>
      <c r="C833" s="28"/>
      <c r="D833" s="28"/>
      <c r="E833" s="18"/>
      <c r="F833" s="28"/>
      <c r="G833" s="32" t="str">
        <f aca="false">IF(F833="","",IFERROR(INDEX(請求台帳!$D$5:$D$504,MATCH(F833,請求台帳!$A$5:$A$504,0)),""))</f>
        <v/>
      </c>
      <c r="H833" s="26" t="str">
        <f aca="false">IF(F833="","",IFERROR(INDEX(請求台帳!$I$5:$I$504,MATCH(F833,請求台帳!$A$5:$A$504,0)),""))</f>
        <v/>
      </c>
      <c r="I833" s="29" t="str">
        <f aca="false">IF(COUNTA(B833,D833,E833,F833)=0,"",IF(OR(B833="",E833=""),"要入力",IF(F833="","未消込",IF(ISNA(MATCH(F833,請求台帳!$A$5:$A$504,0)),"番号誤り",IF(INDEX(請求台帳!$T$5:$T$504,MATCH(F833,請求台帳!$A$5:$A$504,0))="取消","取消請求へ消込","消込済")))))</f>
        <v/>
      </c>
      <c r="J833" s="28"/>
      <c r="K833" s="28"/>
    </row>
    <row r="834" customFormat="false" ht="15" hidden="false" customHeight="false" outlineLevel="0" collapsed="false">
      <c r="A834" s="32" t="str">
        <f aca="false">IF(COUNTA(B834,D834,E834,F834)=0,"",ROW()-4)</f>
        <v/>
      </c>
      <c r="B834" s="22"/>
      <c r="C834" s="28"/>
      <c r="D834" s="28"/>
      <c r="E834" s="18"/>
      <c r="F834" s="28"/>
      <c r="G834" s="32" t="str">
        <f aca="false">IF(F834="","",IFERROR(INDEX(請求台帳!$D$5:$D$504,MATCH(F834,請求台帳!$A$5:$A$504,0)),""))</f>
        <v/>
      </c>
      <c r="H834" s="26" t="str">
        <f aca="false">IF(F834="","",IFERROR(INDEX(請求台帳!$I$5:$I$504,MATCH(F834,請求台帳!$A$5:$A$504,0)),""))</f>
        <v/>
      </c>
      <c r="I834" s="29" t="str">
        <f aca="false">IF(COUNTA(B834,D834,E834,F834)=0,"",IF(OR(B834="",E834=""),"要入力",IF(F834="","未消込",IF(ISNA(MATCH(F834,請求台帳!$A$5:$A$504,0)),"番号誤り",IF(INDEX(請求台帳!$T$5:$T$504,MATCH(F834,請求台帳!$A$5:$A$504,0))="取消","取消請求へ消込","消込済")))))</f>
        <v/>
      </c>
      <c r="J834" s="28"/>
      <c r="K834" s="28"/>
    </row>
    <row r="835" customFormat="false" ht="15" hidden="false" customHeight="false" outlineLevel="0" collapsed="false">
      <c r="A835" s="32" t="str">
        <f aca="false">IF(COUNTA(B835,D835,E835,F835)=0,"",ROW()-4)</f>
        <v/>
      </c>
      <c r="B835" s="22"/>
      <c r="C835" s="28"/>
      <c r="D835" s="28"/>
      <c r="E835" s="18"/>
      <c r="F835" s="28"/>
      <c r="G835" s="32" t="str">
        <f aca="false">IF(F835="","",IFERROR(INDEX(請求台帳!$D$5:$D$504,MATCH(F835,請求台帳!$A$5:$A$504,0)),""))</f>
        <v/>
      </c>
      <c r="H835" s="26" t="str">
        <f aca="false">IF(F835="","",IFERROR(INDEX(請求台帳!$I$5:$I$504,MATCH(F835,請求台帳!$A$5:$A$504,0)),""))</f>
        <v/>
      </c>
      <c r="I835" s="29" t="str">
        <f aca="false">IF(COUNTA(B835,D835,E835,F835)=0,"",IF(OR(B835="",E835=""),"要入力",IF(F835="","未消込",IF(ISNA(MATCH(F835,請求台帳!$A$5:$A$504,0)),"番号誤り",IF(INDEX(請求台帳!$T$5:$T$504,MATCH(F835,請求台帳!$A$5:$A$504,0))="取消","取消請求へ消込","消込済")))))</f>
        <v/>
      </c>
      <c r="J835" s="28"/>
      <c r="K835" s="28"/>
    </row>
    <row r="836" customFormat="false" ht="15" hidden="false" customHeight="false" outlineLevel="0" collapsed="false">
      <c r="A836" s="32" t="str">
        <f aca="false">IF(COUNTA(B836,D836,E836,F836)=0,"",ROW()-4)</f>
        <v/>
      </c>
      <c r="B836" s="22"/>
      <c r="C836" s="28"/>
      <c r="D836" s="28"/>
      <c r="E836" s="18"/>
      <c r="F836" s="28"/>
      <c r="G836" s="32" t="str">
        <f aca="false">IF(F836="","",IFERROR(INDEX(請求台帳!$D$5:$D$504,MATCH(F836,請求台帳!$A$5:$A$504,0)),""))</f>
        <v/>
      </c>
      <c r="H836" s="26" t="str">
        <f aca="false">IF(F836="","",IFERROR(INDEX(請求台帳!$I$5:$I$504,MATCH(F836,請求台帳!$A$5:$A$504,0)),""))</f>
        <v/>
      </c>
      <c r="I836" s="29" t="str">
        <f aca="false">IF(COUNTA(B836,D836,E836,F836)=0,"",IF(OR(B836="",E836=""),"要入力",IF(F836="","未消込",IF(ISNA(MATCH(F836,請求台帳!$A$5:$A$504,0)),"番号誤り",IF(INDEX(請求台帳!$T$5:$T$504,MATCH(F836,請求台帳!$A$5:$A$504,0))="取消","取消請求へ消込","消込済")))))</f>
        <v/>
      </c>
      <c r="J836" s="28"/>
      <c r="K836" s="28"/>
    </row>
    <row r="837" customFormat="false" ht="15" hidden="false" customHeight="false" outlineLevel="0" collapsed="false">
      <c r="A837" s="32" t="str">
        <f aca="false">IF(COUNTA(B837,D837,E837,F837)=0,"",ROW()-4)</f>
        <v/>
      </c>
      <c r="B837" s="22"/>
      <c r="C837" s="28"/>
      <c r="D837" s="28"/>
      <c r="E837" s="18"/>
      <c r="F837" s="28"/>
      <c r="G837" s="32" t="str">
        <f aca="false">IF(F837="","",IFERROR(INDEX(請求台帳!$D$5:$D$504,MATCH(F837,請求台帳!$A$5:$A$504,0)),""))</f>
        <v/>
      </c>
      <c r="H837" s="26" t="str">
        <f aca="false">IF(F837="","",IFERROR(INDEX(請求台帳!$I$5:$I$504,MATCH(F837,請求台帳!$A$5:$A$504,0)),""))</f>
        <v/>
      </c>
      <c r="I837" s="29" t="str">
        <f aca="false">IF(COUNTA(B837,D837,E837,F837)=0,"",IF(OR(B837="",E837=""),"要入力",IF(F837="","未消込",IF(ISNA(MATCH(F837,請求台帳!$A$5:$A$504,0)),"番号誤り",IF(INDEX(請求台帳!$T$5:$T$504,MATCH(F837,請求台帳!$A$5:$A$504,0))="取消","取消請求へ消込","消込済")))))</f>
        <v/>
      </c>
      <c r="J837" s="28"/>
      <c r="K837" s="28"/>
    </row>
    <row r="838" customFormat="false" ht="15" hidden="false" customHeight="false" outlineLevel="0" collapsed="false">
      <c r="A838" s="32" t="str">
        <f aca="false">IF(COUNTA(B838,D838,E838,F838)=0,"",ROW()-4)</f>
        <v/>
      </c>
      <c r="B838" s="22"/>
      <c r="C838" s="28"/>
      <c r="D838" s="28"/>
      <c r="E838" s="18"/>
      <c r="F838" s="28"/>
      <c r="G838" s="32" t="str">
        <f aca="false">IF(F838="","",IFERROR(INDEX(請求台帳!$D$5:$D$504,MATCH(F838,請求台帳!$A$5:$A$504,0)),""))</f>
        <v/>
      </c>
      <c r="H838" s="26" t="str">
        <f aca="false">IF(F838="","",IFERROR(INDEX(請求台帳!$I$5:$I$504,MATCH(F838,請求台帳!$A$5:$A$504,0)),""))</f>
        <v/>
      </c>
      <c r="I838" s="29" t="str">
        <f aca="false">IF(COUNTA(B838,D838,E838,F838)=0,"",IF(OR(B838="",E838=""),"要入力",IF(F838="","未消込",IF(ISNA(MATCH(F838,請求台帳!$A$5:$A$504,0)),"番号誤り",IF(INDEX(請求台帳!$T$5:$T$504,MATCH(F838,請求台帳!$A$5:$A$504,0))="取消","取消請求へ消込","消込済")))))</f>
        <v/>
      </c>
      <c r="J838" s="28"/>
      <c r="K838" s="28"/>
    </row>
    <row r="839" customFormat="false" ht="15" hidden="false" customHeight="false" outlineLevel="0" collapsed="false">
      <c r="A839" s="32" t="str">
        <f aca="false">IF(COUNTA(B839,D839,E839,F839)=0,"",ROW()-4)</f>
        <v/>
      </c>
      <c r="B839" s="22"/>
      <c r="C839" s="28"/>
      <c r="D839" s="28"/>
      <c r="E839" s="18"/>
      <c r="F839" s="28"/>
      <c r="G839" s="32" t="str">
        <f aca="false">IF(F839="","",IFERROR(INDEX(請求台帳!$D$5:$D$504,MATCH(F839,請求台帳!$A$5:$A$504,0)),""))</f>
        <v/>
      </c>
      <c r="H839" s="26" t="str">
        <f aca="false">IF(F839="","",IFERROR(INDEX(請求台帳!$I$5:$I$504,MATCH(F839,請求台帳!$A$5:$A$504,0)),""))</f>
        <v/>
      </c>
      <c r="I839" s="29" t="str">
        <f aca="false">IF(COUNTA(B839,D839,E839,F839)=0,"",IF(OR(B839="",E839=""),"要入力",IF(F839="","未消込",IF(ISNA(MATCH(F839,請求台帳!$A$5:$A$504,0)),"番号誤り",IF(INDEX(請求台帳!$T$5:$T$504,MATCH(F839,請求台帳!$A$5:$A$504,0))="取消","取消請求へ消込","消込済")))))</f>
        <v/>
      </c>
      <c r="J839" s="28"/>
      <c r="K839" s="28"/>
    </row>
    <row r="840" customFormat="false" ht="15" hidden="false" customHeight="false" outlineLevel="0" collapsed="false">
      <c r="A840" s="32" t="str">
        <f aca="false">IF(COUNTA(B840,D840,E840,F840)=0,"",ROW()-4)</f>
        <v/>
      </c>
      <c r="B840" s="22"/>
      <c r="C840" s="28"/>
      <c r="D840" s="28"/>
      <c r="E840" s="18"/>
      <c r="F840" s="28"/>
      <c r="G840" s="32" t="str">
        <f aca="false">IF(F840="","",IFERROR(INDEX(請求台帳!$D$5:$D$504,MATCH(F840,請求台帳!$A$5:$A$504,0)),""))</f>
        <v/>
      </c>
      <c r="H840" s="26" t="str">
        <f aca="false">IF(F840="","",IFERROR(INDEX(請求台帳!$I$5:$I$504,MATCH(F840,請求台帳!$A$5:$A$504,0)),""))</f>
        <v/>
      </c>
      <c r="I840" s="29" t="str">
        <f aca="false">IF(COUNTA(B840,D840,E840,F840)=0,"",IF(OR(B840="",E840=""),"要入力",IF(F840="","未消込",IF(ISNA(MATCH(F840,請求台帳!$A$5:$A$504,0)),"番号誤り",IF(INDEX(請求台帳!$T$5:$T$504,MATCH(F840,請求台帳!$A$5:$A$504,0))="取消","取消請求へ消込","消込済")))))</f>
        <v/>
      </c>
      <c r="J840" s="28"/>
      <c r="K840" s="28"/>
    </row>
    <row r="841" customFormat="false" ht="15" hidden="false" customHeight="false" outlineLevel="0" collapsed="false">
      <c r="A841" s="32" t="str">
        <f aca="false">IF(COUNTA(B841,D841,E841,F841)=0,"",ROW()-4)</f>
        <v/>
      </c>
      <c r="B841" s="22"/>
      <c r="C841" s="28"/>
      <c r="D841" s="28"/>
      <c r="E841" s="18"/>
      <c r="F841" s="28"/>
      <c r="G841" s="32" t="str">
        <f aca="false">IF(F841="","",IFERROR(INDEX(請求台帳!$D$5:$D$504,MATCH(F841,請求台帳!$A$5:$A$504,0)),""))</f>
        <v/>
      </c>
      <c r="H841" s="26" t="str">
        <f aca="false">IF(F841="","",IFERROR(INDEX(請求台帳!$I$5:$I$504,MATCH(F841,請求台帳!$A$5:$A$504,0)),""))</f>
        <v/>
      </c>
      <c r="I841" s="29" t="str">
        <f aca="false">IF(COUNTA(B841,D841,E841,F841)=0,"",IF(OR(B841="",E841=""),"要入力",IF(F841="","未消込",IF(ISNA(MATCH(F841,請求台帳!$A$5:$A$504,0)),"番号誤り",IF(INDEX(請求台帳!$T$5:$T$504,MATCH(F841,請求台帳!$A$5:$A$504,0))="取消","取消請求へ消込","消込済")))))</f>
        <v/>
      </c>
      <c r="J841" s="28"/>
      <c r="K841" s="28"/>
    </row>
    <row r="842" customFormat="false" ht="15" hidden="false" customHeight="false" outlineLevel="0" collapsed="false">
      <c r="A842" s="32" t="str">
        <f aca="false">IF(COUNTA(B842,D842,E842,F842)=0,"",ROW()-4)</f>
        <v/>
      </c>
      <c r="B842" s="22"/>
      <c r="C842" s="28"/>
      <c r="D842" s="28"/>
      <c r="E842" s="18"/>
      <c r="F842" s="28"/>
      <c r="G842" s="32" t="str">
        <f aca="false">IF(F842="","",IFERROR(INDEX(請求台帳!$D$5:$D$504,MATCH(F842,請求台帳!$A$5:$A$504,0)),""))</f>
        <v/>
      </c>
      <c r="H842" s="26" t="str">
        <f aca="false">IF(F842="","",IFERROR(INDEX(請求台帳!$I$5:$I$504,MATCH(F842,請求台帳!$A$5:$A$504,0)),""))</f>
        <v/>
      </c>
      <c r="I842" s="29" t="str">
        <f aca="false">IF(COUNTA(B842,D842,E842,F842)=0,"",IF(OR(B842="",E842=""),"要入力",IF(F842="","未消込",IF(ISNA(MATCH(F842,請求台帳!$A$5:$A$504,0)),"番号誤り",IF(INDEX(請求台帳!$T$5:$T$504,MATCH(F842,請求台帳!$A$5:$A$504,0))="取消","取消請求へ消込","消込済")))))</f>
        <v/>
      </c>
      <c r="J842" s="28"/>
      <c r="K842" s="28"/>
    </row>
    <row r="843" customFormat="false" ht="15" hidden="false" customHeight="false" outlineLevel="0" collapsed="false">
      <c r="A843" s="32" t="str">
        <f aca="false">IF(COUNTA(B843,D843,E843,F843)=0,"",ROW()-4)</f>
        <v/>
      </c>
      <c r="B843" s="22"/>
      <c r="C843" s="28"/>
      <c r="D843" s="28"/>
      <c r="E843" s="18"/>
      <c r="F843" s="28"/>
      <c r="G843" s="32" t="str">
        <f aca="false">IF(F843="","",IFERROR(INDEX(請求台帳!$D$5:$D$504,MATCH(F843,請求台帳!$A$5:$A$504,0)),""))</f>
        <v/>
      </c>
      <c r="H843" s="26" t="str">
        <f aca="false">IF(F843="","",IFERROR(INDEX(請求台帳!$I$5:$I$504,MATCH(F843,請求台帳!$A$5:$A$504,0)),""))</f>
        <v/>
      </c>
      <c r="I843" s="29" t="str">
        <f aca="false">IF(COUNTA(B843,D843,E843,F843)=0,"",IF(OR(B843="",E843=""),"要入力",IF(F843="","未消込",IF(ISNA(MATCH(F843,請求台帳!$A$5:$A$504,0)),"番号誤り",IF(INDEX(請求台帳!$T$5:$T$504,MATCH(F843,請求台帳!$A$5:$A$504,0))="取消","取消請求へ消込","消込済")))))</f>
        <v/>
      </c>
      <c r="J843" s="28"/>
      <c r="K843" s="28"/>
    </row>
    <row r="844" customFormat="false" ht="15" hidden="false" customHeight="false" outlineLevel="0" collapsed="false">
      <c r="A844" s="32" t="str">
        <f aca="false">IF(COUNTA(B844,D844,E844,F844)=0,"",ROW()-4)</f>
        <v/>
      </c>
      <c r="B844" s="22"/>
      <c r="C844" s="28"/>
      <c r="D844" s="28"/>
      <c r="E844" s="18"/>
      <c r="F844" s="28"/>
      <c r="G844" s="32" t="str">
        <f aca="false">IF(F844="","",IFERROR(INDEX(請求台帳!$D$5:$D$504,MATCH(F844,請求台帳!$A$5:$A$504,0)),""))</f>
        <v/>
      </c>
      <c r="H844" s="26" t="str">
        <f aca="false">IF(F844="","",IFERROR(INDEX(請求台帳!$I$5:$I$504,MATCH(F844,請求台帳!$A$5:$A$504,0)),""))</f>
        <v/>
      </c>
      <c r="I844" s="29" t="str">
        <f aca="false">IF(COUNTA(B844,D844,E844,F844)=0,"",IF(OR(B844="",E844=""),"要入力",IF(F844="","未消込",IF(ISNA(MATCH(F844,請求台帳!$A$5:$A$504,0)),"番号誤り",IF(INDEX(請求台帳!$T$5:$T$504,MATCH(F844,請求台帳!$A$5:$A$504,0))="取消","取消請求へ消込","消込済")))))</f>
        <v/>
      </c>
      <c r="J844" s="28"/>
      <c r="K844" s="28"/>
    </row>
    <row r="845" customFormat="false" ht="15" hidden="false" customHeight="false" outlineLevel="0" collapsed="false">
      <c r="A845" s="32" t="str">
        <f aca="false">IF(COUNTA(B845,D845,E845,F845)=0,"",ROW()-4)</f>
        <v/>
      </c>
      <c r="B845" s="22"/>
      <c r="C845" s="28"/>
      <c r="D845" s="28"/>
      <c r="E845" s="18"/>
      <c r="F845" s="28"/>
      <c r="G845" s="32" t="str">
        <f aca="false">IF(F845="","",IFERROR(INDEX(請求台帳!$D$5:$D$504,MATCH(F845,請求台帳!$A$5:$A$504,0)),""))</f>
        <v/>
      </c>
      <c r="H845" s="26" t="str">
        <f aca="false">IF(F845="","",IFERROR(INDEX(請求台帳!$I$5:$I$504,MATCH(F845,請求台帳!$A$5:$A$504,0)),""))</f>
        <v/>
      </c>
      <c r="I845" s="29" t="str">
        <f aca="false">IF(COUNTA(B845,D845,E845,F845)=0,"",IF(OR(B845="",E845=""),"要入力",IF(F845="","未消込",IF(ISNA(MATCH(F845,請求台帳!$A$5:$A$504,0)),"番号誤り",IF(INDEX(請求台帳!$T$5:$T$504,MATCH(F845,請求台帳!$A$5:$A$504,0))="取消","取消請求へ消込","消込済")))))</f>
        <v/>
      </c>
      <c r="J845" s="28"/>
      <c r="K845" s="28"/>
    </row>
    <row r="846" customFormat="false" ht="15" hidden="false" customHeight="false" outlineLevel="0" collapsed="false">
      <c r="A846" s="32" t="str">
        <f aca="false">IF(COUNTA(B846,D846,E846,F846)=0,"",ROW()-4)</f>
        <v/>
      </c>
      <c r="B846" s="22"/>
      <c r="C846" s="28"/>
      <c r="D846" s="28"/>
      <c r="E846" s="18"/>
      <c r="F846" s="28"/>
      <c r="G846" s="32" t="str">
        <f aca="false">IF(F846="","",IFERROR(INDEX(請求台帳!$D$5:$D$504,MATCH(F846,請求台帳!$A$5:$A$504,0)),""))</f>
        <v/>
      </c>
      <c r="H846" s="26" t="str">
        <f aca="false">IF(F846="","",IFERROR(INDEX(請求台帳!$I$5:$I$504,MATCH(F846,請求台帳!$A$5:$A$504,0)),""))</f>
        <v/>
      </c>
      <c r="I846" s="29" t="str">
        <f aca="false">IF(COUNTA(B846,D846,E846,F846)=0,"",IF(OR(B846="",E846=""),"要入力",IF(F846="","未消込",IF(ISNA(MATCH(F846,請求台帳!$A$5:$A$504,0)),"番号誤り",IF(INDEX(請求台帳!$T$5:$T$504,MATCH(F846,請求台帳!$A$5:$A$504,0))="取消","取消請求へ消込","消込済")))))</f>
        <v/>
      </c>
      <c r="J846" s="28"/>
      <c r="K846" s="28"/>
    </row>
    <row r="847" customFormat="false" ht="15" hidden="false" customHeight="false" outlineLevel="0" collapsed="false">
      <c r="A847" s="32" t="str">
        <f aca="false">IF(COUNTA(B847,D847,E847,F847)=0,"",ROW()-4)</f>
        <v/>
      </c>
      <c r="B847" s="22"/>
      <c r="C847" s="28"/>
      <c r="D847" s="28"/>
      <c r="E847" s="18"/>
      <c r="F847" s="28"/>
      <c r="G847" s="32" t="str">
        <f aca="false">IF(F847="","",IFERROR(INDEX(請求台帳!$D$5:$D$504,MATCH(F847,請求台帳!$A$5:$A$504,0)),""))</f>
        <v/>
      </c>
      <c r="H847" s="26" t="str">
        <f aca="false">IF(F847="","",IFERROR(INDEX(請求台帳!$I$5:$I$504,MATCH(F847,請求台帳!$A$5:$A$504,0)),""))</f>
        <v/>
      </c>
      <c r="I847" s="29" t="str">
        <f aca="false">IF(COUNTA(B847,D847,E847,F847)=0,"",IF(OR(B847="",E847=""),"要入力",IF(F847="","未消込",IF(ISNA(MATCH(F847,請求台帳!$A$5:$A$504,0)),"番号誤り",IF(INDEX(請求台帳!$T$5:$T$504,MATCH(F847,請求台帳!$A$5:$A$504,0))="取消","取消請求へ消込","消込済")))))</f>
        <v/>
      </c>
      <c r="J847" s="28"/>
      <c r="K847" s="28"/>
    </row>
    <row r="848" customFormat="false" ht="15" hidden="false" customHeight="false" outlineLevel="0" collapsed="false">
      <c r="A848" s="32" t="str">
        <f aca="false">IF(COUNTA(B848,D848,E848,F848)=0,"",ROW()-4)</f>
        <v/>
      </c>
      <c r="B848" s="22"/>
      <c r="C848" s="28"/>
      <c r="D848" s="28"/>
      <c r="E848" s="18"/>
      <c r="F848" s="28"/>
      <c r="G848" s="32" t="str">
        <f aca="false">IF(F848="","",IFERROR(INDEX(請求台帳!$D$5:$D$504,MATCH(F848,請求台帳!$A$5:$A$504,0)),""))</f>
        <v/>
      </c>
      <c r="H848" s="26" t="str">
        <f aca="false">IF(F848="","",IFERROR(INDEX(請求台帳!$I$5:$I$504,MATCH(F848,請求台帳!$A$5:$A$504,0)),""))</f>
        <v/>
      </c>
      <c r="I848" s="29" t="str">
        <f aca="false">IF(COUNTA(B848,D848,E848,F848)=0,"",IF(OR(B848="",E848=""),"要入力",IF(F848="","未消込",IF(ISNA(MATCH(F848,請求台帳!$A$5:$A$504,0)),"番号誤り",IF(INDEX(請求台帳!$T$5:$T$504,MATCH(F848,請求台帳!$A$5:$A$504,0))="取消","取消請求へ消込","消込済")))))</f>
        <v/>
      </c>
      <c r="J848" s="28"/>
      <c r="K848" s="28"/>
    </row>
    <row r="849" customFormat="false" ht="15" hidden="false" customHeight="false" outlineLevel="0" collapsed="false">
      <c r="A849" s="32" t="str">
        <f aca="false">IF(COUNTA(B849,D849,E849,F849)=0,"",ROW()-4)</f>
        <v/>
      </c>
      <c r="B849" s="22"/>
      <c r="C849" s="28"/>
      <c r="D849" s="28"/>
      <c r="E849" s="18"/>
      <c r="F849" s="28"/>
      <c r="G849" s="32" t="str">
        <f aca="false">IF(F849="","",IFERROR(INDEX(請求台帳!$D$5:$D$504,MATCH(F849,請求台帳!$A$5:$A$504,0)),""))</f>
        <v/>
      </c>
      <c r="H849" s="26" t="str">
        <f aca="false">IF(F849="","",IFERROR(INDEX(請求台帳!$I$5:$I$504,MATCH(F849,請求台帳!$A$5:$A$504,0)),""))</f>
        <v/>
      </c>
      <c r="I849" s="29" t="str">
        <f aca="false">IF(COUNTA(B849,D849,E849,F849)=0,"",IF(OR(B849="",E849=""),"要入力",IF(F849="","未消込",IF(ISNA(MATCH(F849,請求台帳!$A$5:$A$504,0)),"番号誤り",IF(INDEX(請求台帳!$T$5:$T$504,MATCH(F849,請求台帳!$A$5:$A$504,0))="取消","取消請求へ消込","消込済")))))</f>
        <v/>
      </c>
      <c r="J849" s="28"/>
      <c r="K849" s="28"/>
    </row>
    <row r="850" customFormat="false" ht="15" hidden="false" customHeight="false" outlineLevel="0" collapsed="false">
      <c r="A850" s="32" t="str">
        <f aca="false">IF(COUNTA(B850,D850,E850,F850)=0,"",ROW()-4)</f>
        <v/>
      </c>
      <c r="B850" s="22"/>
      <c r="C850" s="28"/>
      <c r="D850" s="28"/>
      <c r="E850" s="18"/>
      <c r="F850" s="28"/>
      <c r="G850" s="32" t="str">
        <f aca="false">IF(F850="","",IFERROR(INDEX(請求台帳!$D$5:$D$504,MATCH(F850,請求台帳!$A$5:$A$504,0)),""))</f>
        <v/>
      </c>
      <c r="H850" s="26" t="str">
        <f aca="false">IF(F850="","",IFERROR(INDEX(請求台帳!$I$5:$I$504,MATCH(F850,請求台帳!$A$5:$A$504,0)),""))</f>
        <v/>
      </c>
      <c r="I850" s="29" t="str">
        <f aca="false">IF(COUNTA(B850,D850,E850,F850)=0,"",IF(OR(B850="",E850=""),"要入力",IF(F850="","未消込",IF(ISNA(MATCH(F850,請求台帳!$A$5:$A$504,0)),"番号誤り",IF(INDEX(請求台帳!$T$5:$T$504,MATCH(F850,請求台帳!$A$5:$A$504,0))="取消","取消請求へ消込","消込済")))))</f>
        <v/>
      </c>
      <c r="J850" s="28"/>
      <c r="K850" s="28"/>
    </row>
    <row r="851" customFormat="false" ht="15" hidden="false" customHeight="false" outlineLevel="0" collapsed="false">
      <c r="A851" s="32" t="str">
        <f aca="false">IF(COUNTA(B851,D851,E851,F851)=0,"",ROW()-4)</f>
        <v/>
      </c>
      <c r="B851" s="22"/>
      <c r="C851" s="28"/>
      <c r="D851" s="28"/>
      <c r="E851" s="18"/>
      <c r="F851" s="28"/>
      <c r="G851" s="32" t="str">
        <f aca="false">IF(F851="","",IFERROR(INDEX(請求台帳!$D$5:$D$504,MATCH(F851,請求台帳!$A$5:$A$504,0)),""))</f>
        <v/>
      </c>
      <c r="H851" s="26" t="str">
        <f aca="false">IF(F851="","",IFERROR(INDEX(請求台帳!$I$5:$I$504,MATCH(F851,請求台帳!$A$5:$A$504,0)),""))</f>
        <v/>
      </c>
      <c r="I851" s="29" t="str">
        <f aca="false">IF(COUNTA(B851,D851,E851,F851)=0,"",IF(OR(B851="",E851=""),"要入力",IF(F851="","未消込",IF(ISNA(MATCH(F851,請求台帳!$A$5:$A$504,0)),"番号誤り",IF(INDEX(請求台帳!$T$5:$T$504,MATCH(F851,請求台帳!$A$5:$A$504,0))="取消","取消請求へ消込","消込済")))))</f>
        <v/>
      </c>
      <c r="J851" s="28"/>
      <c r="K851" s="28"/>
    </row>
    <row r="852" customFormat="false" ht="15" hidden="false" customHeight="false" outlineLevel="0" collapsed="false">
      <c r="A852" s="32" t="str">
        <f aca="false">IF(COUNTA(B852,D852,E852,F852)=0,"",ROW()-4)</f>
        <v/>
      </c>
      <c r="B852" s="22"/>
      <c r="C852" s="28"/>
      <c r="D852" s="28"/>
      <c r="E852" s="18"/>
      <c r="F852" s="28"/>
      <c r="G852" s="32" t="str">
        <f aca="false">IF(F852="","",IFERROR(INDEX(請求台帳!$D$5:$D$504,MATCH(F852,請求台帳!$A$5:$A$504,0)),""))</f>
        <v/>
      </c>
      <c r="H852" s="26" t="str">
        <f aca="false">IF(F852="","",IFERROR(INDEX(請求台帳!$I$5:$I$504,MATCH(F852,請求台帳!$A$5:$A$504,0)),""))</f>
        <v/>
      </c>
      <c r="I852" s="29" t="str">
        <f aca="false">IF(COUNTA(B852,D852,E852,F852)=0,"",IF(OR(B852="",E852=""),"要入力",IF(F852="","未消込",IF(ISNA(MATCH(F852,請求台帳!$A$5:$A$504,0)),"番号誤り",IF(INDEX(請求台帳!$T$5:$T$504,MATCH(F852,請求台帳!$A$5:$A$504,0))="取消","取消請求へ消込","消込済")))))</f>
        <v/>
      </c>
      <c r="J852" s="28"/>
      <c r="K852" s="28"/>
    </row>
    <row r="853" customFormat="false" ht="15" hidden="false" customHeight="false" outlineLevel="0" collapsed="false">
      <c r="A853" s="32" t="str">
        <f aca="false">IF(COUNTA(B853,D853,E853,F853)=0,"",ROW()-4)</f>
        <v/>
      </c>
      <c r="B853" s="22"/>
      <c r="C853" s="28"/>
      <c r="D853" s="28"/>
      <c r="E853" s="18"/>
      <c r="F853" s="28"/>
      <c r="G853" s="32" t="str">
        <f aca="false">IF(F853="","",IFERROR(INDEX(請求台帳!$D$5:$D$504,MATCH(F853,請求台帳!$A$5:$A$504,0)),""))</f>
        <v/>
      </c>
      <c r="H853" s="26" t="str">
        <f aca="false">IF(F853="","",IFERROR(INDEX(請求台帳!$I$5:$I$504,MATCH(F853,請求台帳!$A$5:$A$504,0)),""))</f>
        <v/>
      </c>
      <c r="I853" s="29" t="str">
        <f aca="false">IF(COUNTA(B853,D853,E853,F853)=0,"",IF(OR(B853="",E853=""),"要入力",IF(F853="","未消込",IF(ISNA(MATCH(F853,請求台帳!$A$5:$A$504,0)),"番号誤り",IF(INDEX(請求台帳!$T$5:$T$504,MATCH(F853,請求台帳!$A$5:$A$504,0))="取消","取消請求へ消込","消込済")))))</f>
        <v/>
      </c>
      <c r="J853" s="28"/>
      <c r="K853" s="28"/>
    </row>
    <row r="854" customFormat="false" ht="15" hidden="false" customHeight="false" outlineLevel="0" collapsed="false">
      <c r="A854" s="32" t="str">
        <f aca="false">IF(COUNTA(B854,D854,E854,F854)=0,"",ROW()-4)</f>
        <v/>
      </c>
      <c r="B854" s="22"/>
      <c r="C854" s="28"/>
      <c r="D854" s="28"/>
      <c r="E854" s="18"/>
      <c r="F854" s="28"/>
      <c r="G854" s="32" t="str">
        <f aca="false">IF(F854="","",IFERROR(INDEX(請求台帳!$D$5:$D$504,MATCH(F854,請求台帳!$A$5:$A$504,0)),""))</f>
        <v/>
      </c>
      <c r="H854" s="26" t="str">
        <f aca="false">IF(F854="","",IFERROR(INDEX(請求台帳!$I$5:$I$504,MATCH(F854,請求台帳!$A$5:$A$504,0)),""))</f>
        <v/>
      </c>
      <c r="I854" s="29" t="str">
        <f aca="false">IF(COUNTA(B854,D854,E854,F854)=0,"",IF(OR(B854="",E854=""),"要入力",IF(F854="","未消込",IF(ISNA(MATCH(F854,請求台帳!$A$5:$A$504,0)),"番号誤り",IF(INDEX(請求台帳!$T$5:$T$504,MATCH(F854,請求台帳!$A$5:$A$504,0))="取消","取消請求へ消込","消込済")))))</f>
        <v/>
      </c>
      <c r="J854" s="28"/>
      <c r="K854" s="28"/>
    </row>
    <row r="855" customFormat="false" ht="15" hidden="false" customHeight="false" outlineLevel="0" collapsed="false">
      <c r="A855" s="32" t="str">
        <f aca="false">IF(COUNTA(B855,D855,E855,F855)=0,"",ROW()-4)</f>
        <v/>
      </c>
      <c r="B855" s="22"/>
      <c r="C855" s="28"/>
      <c r="D855" s="28"/>
      <c r="E855" s="18"/>
      <c r="F855" s="28"/>
      <c r="G855" s="32" t="str">
        <f aca="false">IF(F855="","",IFERROR(INDEX(請求台帳!$D$5:$D$504,MATCH(F855,請求台帳!$A$5:$A$504,0)),""))</f>
        <v/>
      </c>
      <c r="H855" s="26" t="str">
        <f aca="false">IF(F855="","",IFERROR(INDEX(請求台帳!$I$5:$I$504,MATCH(F855,請求台帳!$A$5:$A$504,0)),""))</f>
        <v/>
      </c>
      <c r="I855" s="29" t="str">
        <f aca="false">IF(COUNTA(B855,D855,E855,F855)=0,"",IF(OR(B855="",E855=""),"要入力",IF(F855="","未消込",IF(ISNA(MATCH(F855,請求台帳!$A$5:$A$504,0)),"番号誤り",IF(INDEX(請求台帳!$T$5:$T$504,MATCH(F855,請求台帳!$A$5:$A$504,0))="取消","取消請求へ消込","消込済")))))</f>
        <v/>
      </c>
      <c r="J855" s="28"/>
      <c r="K855" s="28"/>
    </row>
    <row r="856" customFormat="false" ht="15" hidden="false" customHeight="false" outlineLevel="0" collapsed="false">
      <c r="A856" s="32" t="str">
        <f aca="false">IF(COUNTA(B856,D856,E856,F856)=0,"",ROW()-4)</f>
        <v/>
      </c>
      <c r="B856" s="22"/>
      <c r="C856" s="28"/>
      <c r="D856" s="28"/>
      <c r="E856" s="18"/>
      <c r="F856" s="28"/>
      <c r="G856" s="32" t="str">
        <f aca="false">IF(F856="","",IFERROR(INDEX(請求台帳!$D$5:$D$504,MATCH(F856,請求台帳!$A$5:$A$504,0)),""))</f>
        <v/>
      </c>
      <c r="H856" s="26" t="str">
        <f aca="false">IF(F856="","",IFERROR(INDEX(請求台帳!$I$5:$I$504,MATCH(F856,請求台帳!$A$5:$A$504,0)),""))</f>
        <v/>
      </c>
      <c r="I856" s="29" t="str">
        <f aca="false">IF(COUNTA(B856,D856,E856,F856)=0,"",IF(OR(B856="",E856=""),"要入力",IF(F856="","未消込",IF(ISNA(MATCH(F856,請求台帳!$A$5:$A$504,0)),"番号誤り",IF(INDEX(請求台帳!$T$5:$T$504,MATCH(F856,請求台帳!$A$5:$A$504,0))="取消","取消請求へ消込","消込済")))))</f>
        <v/>
      </c>
      <c r="J856" s="28"/>
      <c r="K856" s="28"/>
    </row>
    <row r="857" customFormat="false" ht="15" hidden="false" customHeight="false" outlineLevel="0" collapsed="false">
      <c r="A857" s="32" t="str">
        <f aca="false">IF(COUNTA(B857,D857,E857,F857)=0,"",ROW()-4)</f>
        <v/>
      </c>
      <c r="B857" s="22"/>
      <c r="C857" s="28"/>
      <c r="D857" s="28"/>
      <c r="E857" s="18"/>
      <c r="F857" s="28"/>
      <c r="G857" s="32" t="str">
        <f aca="false">IF(F857="","",IFERROR(INDEX(請求台帳!$D$5:$D$504,MATCH(F857,請求台帳!$A$5:$A$504,0)),""))</f>
        <v/>
      </c>
      <c r="H857" s="26" t="str">
        <f aca="false">IF(F857="","",IFERROR(INDEX(請求台帳!$I$5:$I$504,MATCH(F857,請求台帳!$A$5:$A$504,0)),""))</f>
        <v/>
      </c>
      <c r="I857" s="29" t="str">
        <f aca="false">IF(COUNTA(B857,D857,E857,F857)=0,"",IF(OR(B857="",E857=""),"要入力",IF(F857="","未消込",IF(ISNA(MATCH(F857,請求台帳!$A$5:$A$504,0)),"番号誤り",IF(INDEX(請求台帳!$T$5:$T$504,MATCH(F857,請求台帳!$A$5:$A$504,0))="取消","取消請求へ消込","消込済")))))</f>
        <v/>
      </c>
      <c r="J857" s="28"/>
      <c r="K857" s="28"/>
    </row>
    <row r="858" customFormat="false" ht="15" hidden="false" customHeight="false" outlineLevel="0" collapsed="false">
      <c r="A858" s="32" t="str">
        <f aca="false">IF(COUNTA(B858,D858,E858,F858)=0,"",ROW()-4)</f>
        <v/>
      </c>
      <c r="B858" s="22"/>
      <c r="C858" s="28"/>
      <c r="D858" s="28"/>
      <c r="E858" s="18"/>
      <c r="F858" s="28"/>
      <c r="G858" s="32" t="str">
        <f aca="false">IF(F858="","",IFERROR(INDEX(請求台帳!$D$5:$D$504,MATCH(F858,請求台帳!$A$5:$A$504,0)),""))</f>
        <v/>
      </c>
      <c r="H858" s="26" t="str">
        <f aca="false">IF(F858="","",IFERROR(INDEX(請求台帳!$I$5:$I$504,MATCH(F858,請求台帳!$A$5:$A$504,0)),""))</f>
        <v/>
      </c>
      <c r="I858" s="29" t="str">
        <f aca="false">IF(COUNTA(B858,D858,E858,F858)=0,"",IF(OR(B858="",E858=""),"要入力",IF(F858="","未消込",IF(ISNA(MATCH(F858,請求台帳!$A$5:$A$504,0)),"番号誤り",IF(INDEX(請求台帳!$T$5:$T$504,MATCH(F858,請求台帳!$A$5:$A$504,0))="取消","取消請求へ消込","消込済")))))</f>
        <v/>
      </c>
      <c r="J858" s="28"/>
      <c r="K858" s="28"/>
    </row>
    <row r="859" customFormat="false" ht="15" hidden="false" customHeight="false" outlineLevel="0" collapsed="false">
      <c r="A859" s="32" t="str">
        <f aca="false">IF(COUNTA(B859,D859,E859,F859)=0,"",ROW()-4)</f>
        <v/>
      </c>
      <c r="B859" s="22"/>
      <c r="C859" s="28"/>
      <c r="D859" s="28"/>
      <c r="E859" s="18"/>
      <c r="F859" s="28"/>
      <c r="G859" s="32" t="str">
        <f aca="false">IF(F859="","",IFERROR(INDEX(請求台帳!$D$5:$D$504,MATCH(F859,請求台帳!$A$5:$A$504,0)),""))</f>
        <v/>
      </c>
      <c r="H859" s="26" t="str">
        <f aca="false">IF(F859="","",IFERROR(INDEX(請求台帳!$I$5:$I$504,MATCH(F859,請求台帳!$A$5:$A$504,0)),""))</f>
        <v/>
      </c>
      <c r="I859" s="29" t="str">
        <f aca="false">IF(COUNTA(B859,D859,E859,F859)=0,"",IF(OR(B859="",E859=""),"要入力",IF(F859="","未消込",IF(ISNA(MATCH(F859,請求台帳!$A$5:$A$504,0)),"番号誤り",IF(INDEX(請求台帳!$T$5:$T$504,MATCH(F859,請求台帳!$A$5:$A$504,0))="取消","取消請求へ消込","消込済")))))</f>
        <v/>
      </c>
      <c r="J859" s="28"/>
      <c r="K859" s="28"/>
    </row>
    <row r="860" customFormat="false" ht="15" hidden="false" customHeight="false" outlineLevel="0" collapsed="false">
      <c r="A860" s="32" t="str">
        <f aca="false">IF(COUNTA(B860,D860,E860,F860)=0,"",ROW()-4)</f>
        <v/>
      </c>
      <c r="B860" s="22"/>
      <c r="C860" s="28"/>
      <c r="D860" s="28"/>
      <c r="E860" s="18"/>
      <c r="F860" s="28"/>
      <c r="G860" s="32" t="str">
        <f aca="false">IF(F860="","",IFERROR(INDEX(請求台帳!$D$5:$D$504,MATCH(F860,請求台帳!$A$5:$A$504,0)),""))</f>
        <v/>
      </c>
      <c r="H860" s="26" t="str">
        <f aca="false">IF(F860="","",IFERROR(INDEX(請求台帳!$I$5:$I$504,MATCH(F860,請求台帳!$A$5:$A$504,0)),""))</f>
        <v/>
      </c>
      <c r="I860" s="29" t="str">
        <f aca="false">IF(COUNTA(B860,D860,E860,F860)=0,"",IF(OR(B860="",E860=""),"要入力",IF(F860="","未消込",IF(ISNA(MATCH(F860,請求台帳!$A$5:$A$504,0)),"番号誤り",IF(INDEX(請求台帳!$T$5:$T$504,MATCH(F860,請求台帳!$A$5:$A$504,0))="取消","取消請求へ消込","消込済")))))</f>
        <v/>
      </c>
      <c r="J860" s="28"/>
      <c r="K860" s="28"/>
    </row>
    <row r="861" customFormat="false" ht="15" hidden="false" customHeight="false" outlineLevel="0" collapsed="false">
      <c r="A861" s="32" t="str">
        <f aca="false">IF(COUNTA(B861,D861,E861,F861)=0,"",ROW()-4)</f>
        <v/>
      </c>
      <c r="B861" s="22"/>
      <c r="C861" s="28"/>
      <c r="D861" s="28"/>
      <c r="E861" s="18"/>
      <c r="F861" s="28"/>
      <c r="G861" s="32" t="str">
        <f aca="false">IF(F861="","",IFERROR(INDEX(請求台帳!$D$5:$D$504,MATCH(F861,請求台帳!$A$5:$A$504,0)),""))</f>
        <v/>
      </c>
      <c r="H861" s="26" t="str">
        <f aca="false">IF(F861="","",IFERROR(INDEX(請求台帳!$I$5:$I$504,MATCH(F861,請求台帳!$A$5:$A$504,0)),""))</f>
        <v/>
      </c>
      <c r="I861" s="29" t="str">
        <f aca="false">IF(COUNTA(B861,D861,E861,F861)=0,"",IF(OR(B861="",E861=""),"要入力",IF(F861="","未消込",IF(ISNA(MATCH(F861,請求台帳!$A$5:$A$504,0)),"番号誤り",IF(INDEX(請求台帳!$T$5:$T$504,MATCH(F861,請求台帳!$A$5:$A$504,0))="取消","取消請求へ消込","消込済")))))</f>
        <v/>
      </c>
      <c r="J861" s="28"/>
      <c r="K861" s="28"/>
    </row>
    <row r="862" customFormat="false" ht="15" hidden="false" customHeight="false" outlineLevel="0" collapsed="false">
      <c r="A862" s="32" t="str">
        <f aca="false">IF(COUNTA(B862,D862,E862,F862)=0,"",ROW()-4)</f>
        <v/>
      </c>
      <c r="B862" s="22"/>
      <c r="C862" s="28"/>
      <c r="D862" s="28"/>
      <c r="E862" s="18"/>
      <c r="F862" s="28"/>
      <c r="G862" s="32" t="str">
        <f aca="false">IF(F862="","",IFERROR(INDEX(請求台帳!$D$5:$D$504,MATCH(F862,請求台帳!$A$5:$A$504,0)),""))</f>
        <v/>
      </c>
      <c r="H862" s="26" t="str">
        <f aca="false">IF(F862="","",IFERROR(INDEX(請求台帳!$I$5:$I$504,MATCH(F862,請求台帳!$A$5:$A$504,0)),""))</f>
        <v/>
      </c>
      <c r="I862" s="29" t="str">
        <f aca="false">IF(COUNTA(B862,D862,E862,F862)=0,"",IF(OR(B862="",E862=""),"要入力",IF(F862="","未消込",IF(ISNA(MATCH(F862,請求台帳!$A$5:$A$504,0)),"番号誤り",IF(INDEX(請求台帳!$T$5:$T$504,MATCH(F862,請求台帳!$A$5:$A$504,0))="取消","取消請求へ消込","消込済")))))</f>
        <v/>
      </c>
      <c r="J862" s="28"/>
      <c r="K862" s="28"/>
    </row>
    <row r="863" customFormat="false" ht="15" hidden="false" customHeight="false" outlineLevel="0" collapsed="false">
      <c r="A863" s="32" t="str">
        <f aca="false">IF(COUNTA(B863,D863,E863,F863)=0,"",ROW()-4)</f>
        <v/>
      </c>
      <c r="B863" s="22"/>
      <c r="C863" s="28"/>
      <c r="D863" s="28"/>
      <c r="E863" s="18"/>
      <c r="F863" s="28"/>
      <c r="G863" s="32" t="str">
        <f aca="false">IF(F863="","",IFERROR(INDEX(請求台帳!$D$5:$D$504,MATCH(F863,請求台帳!$A$5:$A$504,0)),""))</f>
        <v/>
      </c>
      <c r="H863" s="26" t="str">
        <f aca="false">IF(F863="","",IFERROR(INDEX(請求台帳!$I$5:$I$504,MATCH(F863,請求台帳!$A$5:$A$504,0)),""))</f>
        <v/>
      </c>
      <c r="I863" s="29" t="str">
        <f aca="false">IF(COUNTA(B863,D863,E863,F863)=0,"",IF(OR(B863="",E863=""),"要入力",IF(F863="","未消込",IF(ISNA(MATCH(F863,請求台帳!$A$5:$A$504,0)),"番号誤り",IF(INDEX(請求台帳!$T$5:$T$504,MATCH(F863,請求台帳!$A$5:$A$504,0))="取消","取消請求へ消込","消込済")))))</f>
        <v/>
      </c>
      <c r="J863" s="28"/>
      <c r="K863" s="28"/>
    </row>
    <row r="864" customFormat="false" ht="15" hidden="false" customHeight="false" outlineLevel="0" collapsed="false">
      <c r="A864" s="32" t="str">
        <f aca="false">IF(COUNTA(B864,D864,E864,F864)=0,"",ROW()-4)</f>
        <v/>
      </c>
      <c r="B864" s="22"/>
      <c r="C864" s="28"/>
      <c r="D864" s="28"/>
      <c r="E864" s="18"/>
      <c r="F864" s="28"/>
      <c r="G864" s="32" t="str">
        <f aca="false">IF(F864="","",IFERROR(INDEX(請求台帳!$D$5:$D$504,MATCH(F864,請求台帳!$A$5:$A$504,0)),""))</f>
        <v/>
      </c>
      <c r="H864" s="26" t="str">
        <f aca="false">IF(F864="","",IFERROR(INDEX(請求台帳!$I$5:$I$504,MATCH(F864,請求台帳!$A$5:$A$504,0)),""))</f>
        <v/>
      </c>
      <c r="I864" s="29" t="str">
        <f aca="false">IF(COUNTA(B864,D864,E864,F864)=0,"",IF(OR(B864="",E864=""),"要入力",IF(F864="","未消込",IF(ISNA(MATCH(F864,請求台帳!$A$5:$A$504,0)),"番号誤り",IF(INDEX(請求台帳!$T$5:$T$504,MATCH(F864,請求台帳!$A$5:$A$504,0))="取消","取消請求へ消込","消込済")))))</f>
        <v/>
      </c>
      <c r="J864" s="28"/>
      <c r="K864" s="28"/>
    </row>
    <row r="865" customFormat="false" ht="15" hidden="false" customHeight="false" outlineLevel="0" collapsed="false">
      <c r="A865" s="32" t="str">
        <f aca="false">IF(COUNTA(B865,D865,E865,F865)=0,"",ROW()-4)</f>
        <v/>
      </c>
      <c r="B865" s="22"/>
      <c r="C865" s="28"/>
      <c r="D865" s="28"/>
      <c r="E865" s="18"/>
      <c r="F865" s="28"/>
      <c r="G865" s="32" t="str">
        <f aca="false">IF(F865="","",IFERROR(INDEX(請求台帳!$D$5:$D$504,MATCH(F865,請求台帳!$A$5:$A$504,0)),""))</f>
        <v/>
      </c>
      <c r="H865" s="26" t="str">
        <f aca="false">IF(F865="","",IFERROR(INDEX(請求台帳!$I$5:$I$504,MATCH(F865,請求台帳!$A$5:$A$504,0)),""))</f>
        <v/>
      </c>
      <c r="I865" s="29" t="str">
        <f aca="false">IF(COUNTA(B865,D865,E865,F865)=0,"",IF(OR(B865="",E865=""),"要入力",IF(F865="","未消込",IF(ISNA(MATCH(F865,請求台帳!$A$5:$A$504,0)),"番号誤り",IF(INDEX(請求台帳!$T$5:$T$504,MATCH(F865,請求台帳!$A$5:$A$504,0))="取消","取消請求へ消込","消込済")))))</f>
        <v/>
      </c>
      <c r="J865" s="28"/>
      <c r="K865" s="28"/>
    </row>
    <row r="866" customFormat="false" ht="15" hidden="false" customHeight="false" outlineLevel="0" collapsed="false">
      <c r="A866" s="32" t="str">
        <f aca="false">IF(COUNTA(B866,D866,E866,F866)=0,"",ROW()-4)</f>
        <v/>
      </c>
      <c r="B866" s="22"/>
      <c r="C866" s="28"/>
      <c r="D866" s="28"/>
      <c r="E866" s="18"/>
      <c r="F866" s="28"/>
      <c r="G866" s="32" t="str">
        <f aca="false">IF(F866="","",IFERROR(INDEX(請求台帳!$D$5:$D$504,MATCH(F866,請求台帳!$A$5:$A$504,0)),""))</f>
        <v/>
      </c>
      <c r="H866" s="26" t="str">
        <f aca="false">IF(F866="","",IFERROR(INDEX(請求台帳!$I$5:$I$504,MATCH(F866,請求台帳!$A$5:$A$504,0)),""))</f>
        <v/>
      </c>
      <c r="I866" s="29" t="str">
        <f aca="false">IF(COUNTA(B866,D866,E866,F866)=0,"",IF(OR(B866="",E866=""),"要入力",IF(F866="","未消込",IF(ISNA(MATCH(F866,請求台帳!$A$5:$A$504,0)),"番号誤り",IF(INDEX(請求台帳!$T$5:$T$504,MATCH(F866,請求台帳!$A$5:$A$504,0))="取消","取消請求へ消込","消込済")))))</f>
        <v/>
      </c>
      <c r="J866" s="28"/>
      <c r="K866" s="28"/>
    </row>
    <row r="867" customFormat="false" ht="15" hidden="false" customHeight="false" outlineLevel="0" collapsed="false">
      <c r="A867" s="32" t="str">
        <f aca="false">IF(COUNTA(B867,D867,E867,F867)=0,"",ROW()-4)</f>
        <v/>
      </c>
      <c r="B867" s="22"/>
      <c r="C867" s="28"/>
      <c r="D867" s="28"/>
      <c r="E867" s="18"/>
      <c r="F867" s="28"/>
      <c r="G867" s="32" t="str">
        <f aca="false">IF(F867="","",IFERROR(INDEX(請求台帳!$D$5:$D$504,MATCH(F867,請求台帳!$A$5:$A$504,0)),""))</f>
        <v/>
      </c>
      <c r="H867" s="26" t="str">
        <f aca="false">IF(F867="","",IFERROR(INDEX(請求台帳!$I$5:$I$504,MATCH(F867,請求台帳!$A$5:$A$504,0)),""))</f>
        <v/>
      </c>
      <c r="I867" s="29" t="str">
        <f aca="false">IF(COUNTA(B867,D867,E867,F867)=0,"",IF(OR(B867="",E867=""),"要入力",IF(F867="","未消込",IF(ISNA(MATCH(F867,請求台帳!$A$5:$A$504,0)),"番号誤り",IF(INDEX(請求台帳!$T$5:$T$504,MATCH(F867,請求台帳!$A$5:$A$504,0))="取消","取消請求へ消込","消込済")))))</f>
        <v/>
      </c>
      <c r="J867" s="28"/>
      <c r="K867" s="28"/>
    </row>
    <row r="868" customFormat="false" ht="15" hidden="false" customHeight="false" outlineLevel="0" collapsed="false">
      <c r="A868" s="32" t="str">
        <f aca="false">IF(COUNTA(B868,D868,E868,F868)=0,"",ROW()-4)</f>
        <v/>
      </c>
      <c r="B868" s="22"/>
      <c r="C868" s="28"/>
      <c r="D868" s="28"/>
      <c r="E868" s="18"/>
      <c r="F868" s="28"/>
      <c r="G868" s="32" t="str">
        <f aca="false">IF(F868="","",IFERROR(INDEX(請求台帳!$D$5:$D$504,MATCH(F868,請求台帳!$A$5:$A$504,0)),""))</f>
        <v/>
      </c>
      <c r="H868" s="26" t="str">
        <f aca="false">IF(F868="","",IFERROR(INDEX(請求台帳!$I$5:$I$504,MATCH(F868,請求台帳!$A$5:$A$504,0)),""))</f>
        <v/>
      </c>
      <c r="I868" s="29" t="str">
        <f aca="false">IF(COUNTA(B868,D868,E868,F868)=0,"",IF(OR(B868="",E868=""),"要入力",IF(F868="","未消込",IF(ISNA(MATCH(F868,請求台帳!$A$5:$A$504,0)),"番号誤り",IF(INDEX(請求台帳!$T$5:$T$504,MATCH(F868,請求台帳!$A$5:$A$504,0))="取消","取消請求へ消込","消込済")))))</f>
        <v/>
      </c>
      <c r="J868" s="28"/>
      <c r="K868" s="28"/>
    </row>
    <row r="869" customFormat="false" ht="15" hidden="false" customHeight="false" outlineLevel="0" collapsed="false">
      <c r="A869" s="32" t="str">
        <f aca="false">IF(COUNTA(B869,D869,E869,F869)=0,"",ROW()-4)</f>
        <v/>
      </c>
      <c r="B869" s="22"/>
      <c r="C869" s="28"/>
      <c r="D869" s="28"/>
      <c r="E869" s="18"/>
      <c r="F869" s="28"/>
      <c r="G869" s="32" t="str">
        <f aca="false">IF(F869="","",IFERROR(INDEX(請求台帳!$D$5:$D$504,MATCH(F869,請求台帳!$A$5:$A$504,0)),""))</f>
        <v/>
      </c>
      <c r="H869" s="26" t="str">
        <f aca="false">IF(F869="","",IFERROR(INDEX(請求台帳!$I$5:$I$504,MATCH(F869,請求台帳!$A$5:$A$504,0)),""))</f>
        <v/>
      </c>
      <c r="I869" s="29" t="str">
        <f aca="false">IF(COUNTA(B869,D869,E869,F869)=0,"",IF(OR(B869="",E869=""),"要入力",IF(F869="","未消込",IF(ISNA(MATCH(F869,請求台帳!$A$5:$A$504,0)),"番号誤り",IF(INDEX(請求台帳!$T$5:$T$504,MATCH(F869,請求台帳!$A$5:$A$504,0))="取消","取消請求へ消込","消込済")))))</f>
        <v/>
      </c>
      <c r="J869" s="28"/>
      <c r="K869" s="28"/>
    </row>
    <row r="870" customFormat="false" ht="15" hidden="false" customHeight="false" outlineLevel="0" collapsed="false">
      <c r="A870" s="32" t="str">
        <f aca="false">IF(COUNTA(B870,D870,E870,F870)=0,"",ROW()-4)</f>
        <v/>
      </c>
      <c r="B870" s="22"/>
      <c r="C870" s="28"/>
      <c r="D870" s="28"/>
      <c r="E870" s="18"/>
      <c r="F870" s="28"/>
      <c r="G870" s="32" t="str">
        <f aca="false">IF(F870="","",IFERROR(INDEX(請求台帳!$D$5:$D$504,MATCH(F870,請求台帳!$A$5:$A$504,0)),""))</f>
        <v/>
      </c>
      <c r="H870" s="26" t="str">
        <f aca="false">IF(F870="","",IFERROR(INDEX(請求台帳!$I$5:$I$504,MATCH(F870,請求台帳!$A$5:$A$504,0)),""))</f>
        <v/>
      </c>
      <c r="I870" s="29" t="str">
        <f aca="false">IF(COUNTA(B870,D870,E870,F870)=0,"",IF(OR(B870="",E870=""),"要入力",IF(F870="","未消込",IF(ISNA(MATCH(F870,請求台帳!$A$5:$A$504,0)),"番号誤り",IF(INDEX(請求台帳!$T$5:$T$504,MATCH(F870,請求台帳!$A$5:$A$504,0))="取消","取消請求へ消込","消込済")))))</f>
        <v/>
      </c>
      <c r="J870" s="28"/>
      <c r="K870" s="28"/>
    </row>
    <row r="871" customFormat="false" ht="15" hidden="false" customHeight="false" outlineLevel="0" collapsed="false">
      <c r="A871" s="32" t="str">
        <f aca="false">IF(COUNTA(B871,D871,E871,F871)=0,"",ROW()-4)</f>
        <v/>
      </c>
      <c r="B871" s="22"/>
      <c r="C871" s="28"/>
      <c r="D871" s="28"/>
      <c r="E871" s="18"/>
      <c r="F871" s="28"/>
      <c r="G871" s="32" t="str">
        <f aca="false">IF(F871="","",IFERROR(INDEX(請求台帳!$D$5:$D$504,MATCH(F871,請求台帳!$A$5:$A$504,0)),""))</f>
        <v/>
      </c>
      <c r="H871" s="26" t="str">
        <f aca="false">IF(F871="","",IFERROR(INDEX(請求台帳!$I$5:$I$504,MATCH(F871,請求台帳!$A$5:$A$504,0)),""))</f>
        <v/>
      </c>
      <c r="I871" s="29" t="str">
        <f aca="false">IF(COUNTA(B871,D871,E871,F871)=0,"",IF(OR(B871="",E871=""),"要入力",IF(F871="","未消込",IF(ISNA(MATCH(F871,請求台帳!$A$5:$A$504,0)),"番号誤り",IF(INDEX(請求台帳!$T$5:$T$504,MATCH(F871,請求台帳!$A$5:$A$504,0))="取消","取消請求へ消込","消込済")))))</f>
        <v/>
      </c>
      <c r="J871" s="28"/>
      <c r="K871" s="28"/>
    </row>
    <row r="872" customFormat="false" ht="15" hidden="false" customHeight="false" outlineLevel="0" collapsed="false">
      <c r="A872" s="32" t="str">
        <f aca="false">IF(COUNTA(B872,D872,E872,F872)=0,"",ROW()-4)</f>
        <v/>
      </c>
      <c r="B872" s="22"/>
      <c r="C872" s="28"/>
      <c r="D872" s="28"/>
      <c r="E872" s="18"/>
      <c r="F872" s="28"/>
      <c r="G872" s="32" t="str">
        <f aca="false">IF(F872="","",IFERROR(INDEX(請求台帳!$D$5:$D$504,MATCH(F872,請求台帳!$A$5:$A$504,0)),""))</f>
        <v/>
      </c>
      <c r="H872" s="26" t="str">
        <f aca="false">IF(F872="","",IFERROR(INDEX(請求台帳!$I$5:$I$504,MATCH(F872,請求台帳!$A$5:$A$504,0)),""))</f>
        <v/>
      </c>
      <c r="I872" s="29" t="str">
        <f aca="false">IF(COUNTA(B872,D872,E872,F872)=0,"",IF(OR(B872="",E872=""),"要入力",IF(F872="","未消込",IF(ISNA(MATCH(F872,請求台帳!$A$5:$A$504,0)),"番号誤り",IF(INDEX(請求台帳!$T$5:$T$504,MATCH(F872,請求台帳!$A$5:$A$504,0))="取消","取消請求へ消込","消込済")))))</f>
        <v/>
      </c>
      <c r="J872" s="28"/>
      <c r="K872" s="28"/>
    </row>
    <row r="873" customFormat="false" ht="15" hidden="false" customHeight="false" outlineLevel="0" collapsed="false">
      <c r="A873" s="32" t="str">
        <f aca="false">IF(COUNTA(B873,D873,E873,F873)=0,"",ROW()-4)</f>
        <v/>
      </c>
      <c r="B873" s="22"/>
      <c r="C873" s="28"/>
      <c r="D873" s="28"/>
      <c r="E873" s="18"/>
      <c r="F873" s="28"/>
      <c r="G873" s="32" t="str">
        <f aca="false">IF(F873="","",IFERROR(INDEX(請求台帳!$D$5:$D$504,MATCH(F873,請求台帳!$A$5:$A$504,0)),""))</f>
        <v/>
      </c>
      <c r="H873" s="26" t="str">
        <f aca="false">IF(F873="","",IFERROR(INDEX(請求台帳!$I$5:$I$504,MATCH(F873,請求台帳!$A$5:$A$504,0)),""))</f>
        <v/>
      </c>
      <c r="I873" s="29" t="str">
        <f aca="false">IF(COUNTA(B873,D873,E873,F873)=0,"",IF(OR(B873="",E873=""),"要入力",IF(F873="","未消込",IF(ISNA(MATCH(F873,請求台帳!$A$5:$A$504,0)),"番号誤り",IF(INDEX(請求台帳!$T$5:$T$504,MATCH(F873,請求台帳!$A$5:$A$504,0))="取消","取消請求へ消込","消込済")))))</f>
        <v/>
      </c>
      <c r="J873" s="28"/>
      <c r="K873" s="28"/>
    </row>
    <row r="874" customFormat="false" ht="15" hidden="false" customHeight="false" outlineLevel="0" collapsed="false">
      <c r="A874" s="32" t="str">
        <f aca="false">IF(COUNTA(B874,D874,E874,F874)=0,"",ROW()-4)</f>
        <v/>
      </c>
      <c r="B874" s="22"/>
      <c r="C874" s="28"/>
      <c r="D874" s="28"/>
      <c r="E874" s="18"/>
      <c r="F874" s="28"/>
      <c r="G874" s="32" t="str">
        <f aca="false">IF(F874="","",IFERROR(INDEX(請求台帳!$D$5:$D$504,MATCH(F874,請求台帳!$A$5:$A$504,0)),""))</f>
        <v/>
      </c>
      <c r="H874" s="26" t="str">
        <f aca="false">IF(F874="","",IFERROR(INDEX(請求台帳!$I$5:$I$504,MATCH(F874,請求台帳!$A$5:$A$504,0)),""))</f>
        <v/>
      </c>
      <c r="I874" s="29" t="str">
        <f aca="false">IF(COUNTA(B874,D874,E874,F874)=0,"",IF(OR(B874="",E874=""),"要入力",IF(F874="","未消込",IF(ISNA(MATCH(F874,請求台帳!$A$5:$A$504,0)),"番号誤り",IF(INDEX(請求台帳!$T$5:$T$504,MATCH(F874,請求台帳!$A$5:$A$504,0))="取消","取消請求へ消込","消込済")))))</f>
        <v/>
      </c>
      <c r="J874" s="28"/>
      <c r="K874" s="28"/>
    </row>
    <row r="875" customFormat="false" ht="15" hidden="false" customHeight="false" outlineLevel="0" collapsed="false">
      <c r="A875" s="32" t="str">
        <f aca="false">IF(COUNTA(B875,D875,E875,F875)=0,"",ROW()-4)</f>
        <v/>
      </c>
      <c r="B875" s="22"/>
      <c r="C875" s="28"/>
      <c r="D875" s="28"/>
      <c r="E875" s="18"/>
      <c r="F875" s="28"/>
      <c r="G875" s="32" t="str">
        <f aca="false">IF(F875="","",IFERROR(INDEX(請求台帳!$D$5:$D$504,MATCH(F875,請求台帳!$A$5:$A$504,0)),""))</f>
        <v/>
      </c>
      <c r="H875" s="26" t="str">
        <f aca="false">IF(F875="","",IFERROR(INDEX(請求台帳!$I$5:$I$504,MATCH(F875,請求台帳!$A$5:$A$504,0)),""))</f>
        <v/>
      </c>
      <c r="I875" s="29" t="str">
        <f aca="false">IF(COUNTA(B875,D875,E875,F875)=0,"",IF(OR(B875="",E875=""),"要入力",IF(F875="","未消込",IF(ISNA(MATCH(F875,請求台帳!$A$5:$A$504,0)),"番号誤り",IF(INDEX(請求台帳!$T$5:$T$504,MATCH(F875,請求台帳!$A$5:$A$504,0))="取消","取消請求へ消込","消込済")))))</f>
        <v/>
      </c>
      <c r="J875" s="28"/>
      <c r="K875" s="28"/>
    </row>
    <row r="876" customFormat="false" ht="15" hidden="false" customHeight="false" outlineLevel="0" collapsed="false">
      <c r="A876" s="32" t="str">
        <f aca="false">IF(COUNTA(B876,D876,E876,F876)=0,"",ROW()-4)</f>
        <v/>
      </c>
      <c r="B876" s="22"/>
      <c r="C876" s="28"/>
      <c r="D876" s="28"/>
      <c r="E876" s="18"/>
      <c r="F876" s="28"/>
      <c r="G876" s="32" t="str">
        <f aca="false">IF(F876="","",IFERROR(INDEX(請求台帳!$D$5:$D$504,MATCH(F876,請求台帳!$A$5:$A$504,0)),""))</f>
        <v/>
      </c>
      <c r="H876" s="26" t="str">
        <f aca="false">IF(F876="","",IFERROR(INDEX(請求台帳!$I$5:$I$504,MATCH(F876,請求台帳!$A$5:$A$504,0)),""))</f>
        <v/>
      </c>
      <c r="I876" s="29" t="str">
        <f aca="false">IF(COUNTA(B876,D876,E876,F876)=0,"",IF(OR(B876="",E876=""),"要入力",IF(F876="","未消込",IF(ISNA(MATCH(F876,請求台帳!$A$5:$A$504,0)),"番号誤り",IF(INDEX(請求台帳!$T$5:$T$504,MATCH(F876,請求台帳!$A$5:$A$504,0))="取消","取消請求へ消込","消込済")))))</f>
        <v/>
      </c>
      <c r="J876" s="28"/>
      <c r="K876" s="28"/>
    </row>
    <row r="877" customFormat="false" ht="15" hidden="false" customHeight="false" outlineLevel="0" collapsed="false">
      <c r="A877" s="32" t="str">
        <f aca="false">IF(COUNTA(B877,D877,E877,F877)=0,"",ROW()-4)</f>
        <v/>
      </c>
      <c r="B877" s="22"/>
      <c r="C877" s="28"/>
      <c r="D877" s="28"/>
      <c r="E877" s="18"/>
      <c r="F877" s="28"/>
      <c r="G877" s="32" t="str">
        <f aca="false">IF(F877="","",IFERROR(INDEX(請求台帳!$D$5:$D$504,MATCH(F877,請求台帳!$A$5:$A$504,0)),""))</f>
        <v/>
      </c>
      <c r="H877" s="26" t="str">
        <f aca="false">IF(F877="","",IFERROR(INDEX(請求台帳!$I$5:$I$504,MATCH(F877,請求台帳!$A$5:$A$504,0)),""))</f>
        <v/>
      </c>
      <c r="I877" s="29" t="str">
        <f aca="false">IF(COUNTA(B877,D877,E877,F877)=0,"",IF(OR(B877="",E877=""),"要入力",IF(F877="","未消込",IF(ISNA(MATCH(F877,請求台帳!$A$5:$A$504,0)),"番号誤り",IF(INDEX(請求台帳!$T$5:$T$504,MATCH(F877,請求台帳!$A$5:$A$504,0))="取消","取消請求へ消込","消込済")))))</f>
        <v/>
      </c>
      <c r="J877" s="28"/>
      <c r="K877" s="28"/>
    </row>
    <row r="878" customFormat="false" ht="15" hidden="false" customHeight="false" outlineLevel="0" collapsed="false">
      <c r="A878" s="32" t="str">
        <f aca="false">IF(COUNTA(B878,D878,E878,F878)=0,"",ROW()-4)</f>
        <v/>
      </c>
      <c r="B878" s="22"/>
      <c r="C878" s="28"/>
      <c r="D878" s="28"/>
      <c r="E878" s="18"/>
      <c r="F878" s="28"/>
      <c r="G878" s="32" t="str">
        <f aca="false">IF(F878="","",IFERROR(INDEX(請求台帳!$D$5:$D$504,MATCH(F878,請求台帳!$A$5:$A$504,0)),""))</f>
        <v/>
      </c>
      <c r="H878" s="26" t="str">
        <f aca="false">IF(F878="","",IFERROR(INDEX(請求台帳!$I$5:$I$504,MATCH(F878,請求台帳!$A$5:$A$504,0)),""))</f>
        <v/>
      </c>
      <c r="I878" s="29" t="str">
        <f aca="false">IF(COUNTA(B878,D878,E878,F878)=0,"",IF(OR(B878="",E878=""),"要入力",IF(F878="","未消込",IF(ISNA(MATCH(F878,請求台帳!$A$5:$A$504,0)),"番号誤り",IF(INDEX(請求台帳!$T$5:$T$504,MATCH(F878,請求台帳!$A$5:$A$504,0))="取消","取消請求へ消込","消込済")))))</f>
        <v/>
      </c>
      <c r="J878" s="28"/>
      <c r="K878" s="28"/>
    </row>
    <row r="879" customFormat="false" ht="15" hidden="false" customHeight="false" outlineLevel="0" collapsed="false">
      <c r="A879" s="32" t="str">
        <f aca="false">IF(COUNTA(B879,D879,E879,F879)=0,"",ROW()-4)</f>
        <v/>
      </c>
      <c r="B879" s="22"/>
      <c r="C879" s="28"/>
      <c r="D879" s="28"/>
      <c r="E879" s="18"/>
      <c r="F879" s="28"/>
      <c r="G879" s="32" t="str">
        <f aca="false">IF(F879="","",IFERROR(INDEX(請求台帳!$D$5:$D$504,MATCH(F879,請求台帳!$A$5:$A$504,0)),""))</f>
        <v/>
      </c>
      <c r="H879" s="26" t="str">
        <f aca="false">IF(F879="","",IFERROR(INDEX(請求台帳!$I$5:$I$504,MATCH(F879,請求台帳!$A$5:$A$504,0)),""))</f>
        <v/>
      </c>
      <c r="I879" s="29" t="str">
        <f aca="false">IF(COUNTA(B879,D879,E879,F879)=0,"",IF(OR(B879="",E879=""),"要入力",IF(F879="","未消込",IF(ISNA(MATCH(F879,請求台帳!$A$5:$A$504,0)),"番号誤り",IF(INDEX(請求台帳!$T$5:$T$504,MATCH(F879,請求台帳!$A$5:$A$504,0))="取消","取消請求へ消込","消込済")))))</f>
        <v/>
      </c>
      <c r="J879" s="28"/>
      <c r="K879" s="28"/>
    </row>
    <row r="880" customFormat="false" ht="15" hidden="false" customHeight="false" outlineLevel="0" collapsed="false">
      <c r="A880" s="32" t="str">
        <f aca="false">IF(COUNTA(B880,D880,E880,F880)=0,"",ROW()-4)</f>
        <v/>
      </c>
      <c r="B880" s="22"/>
      <c r="C880" s="28"/>
      <c r="D880" s="28"/>
      <c r="E880" s="18"/>
      <c r="F880" s="28"/>
      <c r="G880" s="32" t="str">
        <f aca="false">IF(F880="","",IFERROR(INDEX(請求台帳!$D$5:$D$504,MATCH(F880,請求台帳!$A$5:$A$504,0)),""))</f>
        <v/>
      </c>
      <c r="H880" s="26" t="str">
        <f aca="false">IF(F880="","",IFERROR(INDEX(請求台帳!$I$5:$I$504,MATCH(F880,請求台帳!$A$5:$A$504,0)),""))</f>
        <v/>
      </c>
      <c r="I880" s="29" t="str">
        <f aca="false">IF(COUNTA(B880,D880,E880,F880)=0,"",IF(OR(B880="",E880=""),"要入力",IF(F880="","未消込",IF(ISNA(MATCH(F880,請求台帳!$A$5:$A$504,0)),"番号誤り",IF(INDEX(請求台帳!$T$5:$T$504,MATCH(F880,請求台帳!$A$5:$A$504,0))="取消","取消請求へ消込","消込済")))))</f>
        <v/>
      </c>
      <c r="J880" s="28"/>
      <c r="K880" s="28"/>
    </row>
    <row r="881" customFormat="false" ht="15" hidden="false" customHeight="false" outlineLevel="0" collapsed="false">
      <c r="A881" s="32" t="str">
        <f aca="false">IF(COUNTA(B881,D881,E881,F881)=0,"",ROW()-4)</f>
        <v/>
      </c>
      <c r="B881" s="22"/>
      <c r="C881" s="28"/>
      <c r="D881" s="28"/>
      <c r="E881" s="18"/>
      <c r="F881" s="28"/>
      <c r="G881" s="32" t="str">
        <f aca="false">IF(F881="","",IFERROR(INDEX(請求台帳!$D$5:$D$504,MATCH(F881,請求台帳!$A$5:$A$504,0)),""))</f>
        <v/>
      </c>
      <c r="H881" s="26" t="str">
        <f aca="false">IF(F881="","",IFERROR(INDEX(請求台帳!$I$5:$I$504,MATCH(F881,請求台帳!$A$5:$A$504,0)),""))</f>
        <v/>
      </c>
      <c r="I881" s="29" t="str">
        <f aca="false">IF(COUNTA(B881,D881,E881,F881)=0,"",IF(OR(B881="",E881=""),"要入力",IF(F881="","未消込",IF(ISNA(MATCH(F881,請求台帳!$A$5:$A$504,0)),"番号誤り",IF(INDEX(請求台帳!$T$5:$T$504,MATCH(F881,請求台帳!$A$5:$A$504,0))="取消","取消請求へ消込","消込済")))))</f>
        <v/>
      </c>
      <c r="J881" s="28"/>
      <c r="K881" s="28"/>
    </row>
    <row r="882" customFormat="false" ht="15" hidden="false" customHeight="false" outlineLevel="0" collapsed="false">
      <c r="A882" s="32" t="str">
        <f aca="false">IF(COUNTA(B882,D882,E882,F882)=0,"",ROW()-4)</f>
        <v/>
      </c>
      <c r="B882" s="22"/>
      <c r="C882" s="28"/>
      <c r="D882" s="28"/>
      <c r="E882" s="18"/>
      <c r="F882" s="28"/>
      <c r="G882" s="32" t="str">
        <f aca="false">IF(F882="","",IFERROR(INDEX(請求台帳!$D$5:$D$504,MATCH(F882,請求台帳!$A$5:$A$504,0)),""))</f>
        <v/>
      </c>
      <c r="H882" s="26" t="str">
        <f aca="false">IF(F882="","",IFERROR(INDEX(請求台帳!$I$5:$I$504,MATCH(F882,請求台帳!$A$5:$A$504,0)),""))</f>
        <v/>
      </c>
      <c r="I882" s="29" t="str">
        <f aca="false">IF(COUNTA(B882,D882,E882,F882)=0,"",IF(OR(B882="",E882=""),"要入力",IF(F882="","未消込",IF(ISNA(MATCH(F882,請求台帳!$A$5:$A$504,0)),"番号誤り",IF(INDEX(請求台帳!$T$5:$T$504,MATCH(F882,請求台帳!$A$5:$A$504,0))="取消","取消請求へ消込","消込済")))))</f>
        <v/>
      </c>
      <c r="J882" s="28"/>
      <c r="K882" s="28"/>
    </row>
    <row r="883" customFormat="false" ht="15" hidden="false" customHeight="false" outlineLevel="0" collapsed="false">
      <c r="A883" s="32" t="str">
        <f aca="false">IF(COUNTA(B883,D883,E883,F883)=0,"",ROW()-4)</f>
        <v/>
      </c>
      <c r="B883" s="22"/>
      <c r="C883" s="28"/>
      <c r="D883" s="28"/>
      <c r="E883" s="18"/>
      <c r="F883" s="28"/>
      <c r="G883" s="32" t="str">
        <f aca="false">IF(F883="","",IFERROR(INDEX(請求台帳!$D$5:$D$504,MATCH(F883,請求台帳!$A$5:$A$504,0)),""))</f>
        <v/>
      </c>
      <c r="H883" s="26" t="str">
        <f aca="false">IF(F883="","",IFERROR(INDEX(請求台帳!$I$5:$I$504,MATCH(F883,請求台帳!$A$5:$A$504,0)),""))</f>
        <v/>
      </c>
      <c r="I883" s="29" t="str">
        <f aca="false">IF(COUNTA(B883,D883,E883,F883)=0,"",IF(OR(B883="",E883=""),"要入力",IF(F883="","未消込",IF(ISNA(MATCH(F883,請求台帳!$A$5:$A$504,0)),"番号誤り",IF(INDEX(請求台帳!$T$5:$T$504,MATCH(F883,請求台帳!$A$5:$A$504,0))="取消","取消請求へ消込","消込済")))))</f>
        <v/>
      </c>
      <c r="J883" s="28"/>
      <c r="K883" s="28"/>
    </row>
    <row r="884" customFormat="false" ht="15" hidden="false" customHeight="false" outlineLevel="0" collapsed="false">
      <c r="A884" s="32" t="str">
        <f aca="false">IF(COUNTA(B884,D884,E884,F884)=0,"",ROW()-4)</f>
        <v/>
      </c>
      <c r="B884" s="22"/>
      <c r="C884" s="28"/>
      <c r="D884" s="28"/>
      <c r="E884" s="18"/>
      <c r="F884" s="28"/>
      <c r="G884" s="32" t="str">
        <f aca="false">IF(F884="","",IFERROR(INDEX(請求台帳!$D$5:$D$504,MATCH(F884,請求台帳!$A$5:$A$504,0)),""))</f>
        <v/>
      </c>
      <c r="H884" s="26" t="str">
        <f aca="false">IF(F884="","",IFERROR(INDEX(請求台帳!$I$5:$I$504,MATCH(F884,請求台帳!$A$5:$A$504,0)),""))</f>
        <v/>
      </c>
      <c r="I884" s="29" t="str">
        <f aca="false">IF(COUNTA(B884,D884,E884,F884)=0,"",IF(OR(B884="",E884=""),"要入力",IF(F884="","未消込",IF(ISNA(MATCH(F884,請求台帳!$A$5:$A$504,0)),"番号誤り",IF(INDEX(請求台帳!$T$5:$T$504,MATCH(F884,請求台帳!$A$5:$A$504,0))="取消","取消請求へ消込","消込済")))))</f>
        <v/>
      </c>
      <c r="J884" s="28"/>
      <c r="K884" s="28"/>
    </row>
    <row r="885" customFormat="false" ht="15" hidden="false" customHeight="false" outlineLevel="0" collapsed="false">
      <c r="A885" s="32" t="str">
        <f aca="false">IF(COUNTA(B885,D885,E885,F885)=0,"",ROW()-4)</f>
        <v/>
      </c>
      <c r="B885" s="22"/>
      <c r="C885" s="28"/>
      <c r="D885" s="28"/>
      <c r="E885" s="18"/>
      <c r="F885" s="28"/>
      <c r="G885" s="32" t="str">
        <f aca="false">IF(F885="","",IFERROR(INDEX(請求台帳!$D$5:$D$504,MATCH(F885,請求台帳!$A$5:$A$504,0)),""))</f>
        <v/>
      </c>
      <c r="H885" s="26" t="str">
        <f aca="false">IF(F885="","",IFERROR(INDEX(請求台帳!$I$5:$I$504,MATCH(F885,請求台帳!$A$5:$A$504,0)),""))</f>
        <v/>
      </c>
      <c r="I885" s="29" t="str">
        <f aca="false">IF(COUNTA(B885,D885,E885,F885)=0,"",IF(OR(B885="",E885=""),"要入力",IF(F885="","未消込",IF(ISNA(MATCH(F885,請求台帳!$A$5:$A$504,0)),"番号誤り",IF(INDEX(請求台帳!$T$5:$T$504,MATCH(F885,請求台帳!$A$5:$A$504,0))="取消","取消請求へ消込","消込済")))))</f>
        <v/>
      </c>
      <c r="J885" s="28"/>
      <c r="K885" s="28"/>
    </row>
    <row r="886" customFormat="false" ht="15" hidden="false" customHeight="false" outlineLevel="0" collapsed="false">
      <c r="A886" s="32" t="str">
        <f aca="false">IF(COUNTA(B886,D886,E886,F886)=0,"",ROW()-4)</f>
        <v/>
      </c>
      <c r="B886" s="22"/>
      <c r="C886" s="28"/>
      <c r="D886" s="28"/>
      <c r="E886" s="18"/>
      <c r="F886" s="28"/>
      <c r="G886" s="32" t="str">
        <f aca="false">IF(F886="","",IFERROR(INDEX(請求台帳!$D$5:$D$504,MATCH(F886,請求台帳!$A$5:$A$504,0)),""))</f>
        <v/>
      </c>
      <c r="H886" s="26" t="str">
        <f aca="false">IF(F886="","",IFERROR(INDEX(請求台帳!$I$5:$I$504,MATCH(F886,請求台帳!$A$5:$A$504,0)),""))</f>
        <v/>
      </c>
      <c r="I886" s="29" t="str">
        <f aca="false">IF(COUNTA(B886,D886,E886,F886)=0,"",IF(OR(B886="",E886=""),"要入力",IF(F886="","未消込",IF(ISNA(MATCH(F886,請求台帳!$A$5:$A$504,0)),"番号誤り",IF(INDEX(請求台帳!$T$5:$T$504,MATCH(F886,請求台帳!$A$5:$A$504,0))="取消","取消請求へ消込","消込済")))))</f>
        <v/>
      </c>
      <c r="J886" s="28"/>
      <c r="K886" s="28"/>
    </row>
    <row r="887" customFormat="false" ht="15" hidden="false" customHeight="false" outlineLevel="0" collapsed="false">
      <c r="A887" s="32" t="str">
        <f aca="false">IF(COUNTA(B887,D887,E887,F887)=0,"",ROW()-4)</f>
        <v/>
      </c>
      <c r="B887" s="22"/>
      <c r="C887" s="28"/>
      <c r="D887" s="28"/>
      <c r="E887" s="18"/>
      <c r="F887" s="28"/>
      <c r="G887" s="32" t="str">
        <f aca="false">IF(F887="","",IFERROR(INDEX(請求台帳!$D$5:$D$504,MATCH(F887,請求台帳!$A$5:$A$504,0)),""))</f>
        <v/>
      </c>
      <c r="H887" s="26" t="str">
        <f aca="false">IF(F887="","",IFERROR(INDEX(請求台帳!$I$5:$I$504,MATCH(F887,請求台帳!$A$5:$A$504,0)),""))</f>
        <v/>
      </c>
      <c r="I887" s="29" t="str">
        <f aca="false">IF(COUNTA(B887,D887,E887,F887)=0,"",IF(OR(B887="",E887=""),"要入力",IF(F887="","未消込",IF(ISNA(MATCH(F887,請求台帳!$A$5:$A$504,0)),"番号誤り",IF(INDEX(請求台帳!$T$5:$T$504,MATCH(F887,請求台帳!$A$5:$A$504,0))="取消","取消請求へ消込","消込済")))))</f>
        <v/>
      </c>
      <c r="J887" s="28"/>
      <c r="K887" s="28"/>
    </row>
    <row r="888" customFormat="false" ht="15" hidden="false" customHeight="false" outlineLevel="0" collapsed="false">
      <c r="A888" s="32" t="str">
        <f aca="false">IF(COUNTA(B888,D888,E888,F888)=0,"",ROW()-4)</f>
        <v/>
      </c>
      <c r="B888" s="22"/>
      <c r="C888" s="28"/>
      <c r="D888" s="28"/>
      <c r="E888" s="18"/>
      <c r="F888" s="28"/>
      <c r="G888" s="32" t="str">
        <f aca="false">IF(F888="","",IFERROR(INDEX(請求台帳!$D$5:$D$504,MATCH(F888,請求台帳!$A$5:$A$504,0)),""))</f>
        <v/>
      </c>
      <c r="H888" s="26" t="str">
        <f aca="false">IF(F888="","",IFERROR(INDEX(請求台帳!$I$5:$I$504,MATCH(F888,請求台帳!$A$5:$A$504,0)),""))</f>
        <v/>
      </c>
      <c r="I888" s="29" t="str">
        <f aca="false">IF(COUNTA(B888,D888,E888,F888)=0,"",IF(OR(B888="",E888=""),"要入力",IF(F888="","未消込",IF(ISNA(MATCH(F888,請求台帳!$A$5:$A$504,0)),"番号誤り",IF(INDEX(請求台帳!$T$5:$T$504,MATCH(F888,請求台帳!$A$5:$A$504,0))="取消","取消請求へ消込","消込済")))))</f>
        <v/>
      </c>
      <c r="J888" s="28"/>
      <c r="K888" s="28"/>
    </row>
    <row r="889" customFormat="false" ht="15" hidden="false" customHeight="false" outlineLevel="0" collapsed="false">
      <c r="A889" s="32" t="str">
        <f aca="false">IF(COUNTA(B889,D889,E889,F889)=0,"",ROW()-4)</f>
        <v/>
      </c>
      <c r="B889" s="22"/>
      <c r="C889" s="28"/>
      <c r="D889" s="28"/>
      <c r="E889" s="18"/>
      <c r="F889" s="28"/>
      <c r="G889" s="32" t="str">
        <f aca="false">IF(F889="","",IFERROR(INDEX(請求台帳!$D$5:$D$504,MATCH(F889,請求台帳!$A$5:$A$504,0)),""))</f>
        <v/>
      </c>
      <c r="H889" s="26" t="str">
        <f aca="false">IF(F889="","",IFERROR(INDEX(請求台帳!$I$5:$I$504,MATCH(F889,請求台帳!$A$5:$A$504,0)),""))</f>
        <v/>
      </c>
      <c r="I889" s="29" t="str">
        <f aca="false">IF(COUNTA(B889,D889,E889,F889)=0,"",IF(OR(B889="",E889=""),"要入力",IF(F889="","未消込",IF(ISNA(MATCH(F889,請求台帳!$A$5:$A$504,0)),"番号誤り",IF(INDEX(請求台帳!$T$5:$T$504,MATCH(F889,請求台帳!$A$5:$A$504,0))="取消","取消請求へ消込","消込済")))))</f>
        <v/>
      </c>
      <c r="J889" s="28"/>
      <c r="K889" s="28"/>
    </row>
    <row r="890" customFormat="false" ht="15" hidden="false" customHeight="false" outlineLevel="0" collapsed="false">
      <c r="A890" s="32" t="str">
        <f aca="false">IF(COUNTA(B890,D890,E890,F890)=0,"",ROW()-4)</f>
        <v/>
      </c>
      <c r="B890" s="22"/>
      <c r="C890" s="28"/>
      <c r="D890" s="28"/>
      <c r="E890" s="18"/>
      <c r="F890" s="28"/>
      <c r="G890" s="32" t="str">
        <f aca="false">IF(F890="","",IFERROR(INDEX(請求台帳!$D$5:$D$504,MATCH(F890,請求台帳!$A$5:$A$504,0)),""))</f>
        <v/>
      </c>
      <c r="H890" s="26" t="str">
        <f aca="false">IF(F890="","",IFERROR(INDEX(請求台帳!$I$5:$I$504,MATCH(F890,請求台帳!$A$5:$A$504,0)),""))</f>
        <v/>
      </c>
      <c r="I890" s="29" t="str">
        <f aca="false">IF(COUNTA(B890,D890,E890,F890)=0,"",IF(OR(B890="",E890=""),"要入力",IF(F890="","未消込",IF(ISNA(MATCH(F890,請求台帳!$A$5:$A$504,0)),"番号誤り",IF(INDEX(請求台帳!$T$5:$T$504,MATCH(F890,請求台帳!$A$5:$A$504,0))="取消","取消請求へ消込","消込済")))))</f>
        <v/>
      </c>
      <c r="J890" s="28"/>
      <c r="K890" s="28"/>
    </row>
    <row r="891" customFormat="false" ht="15" hidden="false" customHeight="false" outlineLevel="0" collapsed="false">
      <c r="A891" s="32" t="str">
        <f aca="false">IF(COUNTA(B891,D891,E891,F891)=0,"",ROW()-4)</f>
        <v/>
      </c>
      <c r="B891" s="22"/>
      <c r="C891" s="28"/>
      <c r="D891" s="28"/>
      <c r="E891" s="18"/>
      <c r="F891" s="28"/>
      <c r="G891" s="32" t="str">
        <f aca="false">IF(F891="","",IFERROR(INDEX(請求台帳!$D$5:$D$504,MATCH(F891,請求台帳!$A$5:$A$504,0)),""))</f>
        <v/>
      </c>
      <c r="H891" s="26" t="str">
        <f aca="false">IF(F891="","",IFERROR(INDEX(請求台帳!$I$5:$I$504,MATCH(F891,請求台帳!$A$5:$A$504,0)),""))</f>
        <v/>
      </c>
      <c r="I891" s="29" t="str">
        <f aca="false">IF(COUNTA(B891,D891,E891,F891)=0,"",IF(OR(B891="",E891=""),"要入力",IF(F891="","未消込",IF(ISNA(MATCH(F891,請求台帳!$A$5:$A$504,0)),"番号誤り",IF(INDEX(請求台帳!$T$5:$T$504,MATCH(F891,請求台帳!$A$5:$A$504,0))="取消","取消請求へ消込","消込済")))))</f>
        <v/>
      </c>
      <c r="J891" s="28"/>
      <c r="K891" s="28"/>
    </row>
    <row r="892" customFormat="false" ht="15" hidden="false" customHeight="false" outlineLevel="0" collapsed="false">
      <c r="A892" s="32" t="str">
        <f aca="false">IF(COUNTA(B892,D892,E892,F892)=0,"",ROW()-4)</f>
        <v/>
      </c>
      <c r="B892" s="22"/>
      <c r="C892" s="28"/>
      <c r="D892" s="28"/>
      <c r="E892" s="18"/>
      <c r="F892" s="28"/>
      <c r="G892" s="32" t="str">
        <f aca="false">IF(F892="","",IFERROR(INDEX(請求台帳!$D$5:$D$504,MATCH(F892,請求台帳!$A$5:$A$504,0)),""))</f>
        <v/>
      </c>
      <c r="H892" s="26" t="str">
        <f aca="false">IF(F892="","",IFERROR(INDEX(請求台帳!$I$5:$I$504,MATCH(F892,請求台帳!$A$5:$A$504,0)),""))</f>
        <v/>
      </c>
      <c r="I892" s="29" t="str">
        <f aca="false">IF(COUNTA(B892,D892,E892,F892)=0,"",IF(OR(B892="",E892=""),"要入力",IF(F892="","未消込",IF(ISNA(MATCH(F892,請求台帳!$A$5:$A$504,0)),"番号誤り",IF(INDEX(請求台帳!$T$5:$T$504,MATCH(F892,請求台帳!$A$5:$A$504,0))="取消","取消請求へ消込","消込済")))))</f>
        <v/>
      </c>
      <c r="J892" s="28"/>
      <c r="K892" s="28"/>
    </row>
    <row r="893" customFormat="false" ht="15" hidden="false" customHeight="false" outlineLevel="0" collapsed="false">
      <c r="A893" s="32" t="str">
        <f aca="false">IF(COUNTA(B893,D893,E893,F893)=0,"",ROW()-4)</f>
        <v/>
      </c>
      <c r="B893" s="22"/>
      <c r="C893" s="28"/>
      <c r="D893" s="28"/>
      <c r="E893" s="18"/>
      <c r="F893" s="28"/>
      <c r="G893" s="32" t="str">
        <f aca="false">IF(F893="","",IFERROR(INDEX(請求台帳!$D$5:$D$504,MATCH(F893,請求台帳!$A$5:$A$504,0)),""))</f>
        <v/>
      </c>
      <c r="H893" s="26" t="str">
        <f aca="false">IF(F893="","",IFERROR(INDEX(請求台帳!$I$5:$I$504,MATCH(F893,請求台帳!$A$5:$A$504,0)),""))</f>
        <v/>
      </c>
      <c r="I893" s="29" t="str">
        <f aca="false">IF(COUNTA(B893,D893,E893,F893)=0,"",IF(OR(B893="",E893=""),"要入力",IF(F893="","未消込",IF(ISNA(MATCH(F893,請求台帳!$A$5:$A$504,0)),"番号誤り",IF(INDEX(請求台帳!$T$5:$T$504,MATCH(F893,請求台帳!$A$5:$A$504,0))="取消","取消請求へ消込","消込済")))))</f>
        <v/>
      </c>
      <c r="J893" s="28"/>
      <c r="K893" s="28"/>
    </row>
    <row r="894" customFormat="false" ht="15" hidden="false" customHeight="false" outlineLevel="0" collapsed="false">
      <c r="A894" s="32" t="str">
        <f aca="false">IF(COUNTA(B894,D894,E894,F894)=0,"",ROW()-4)</f>
        <v/>
      </c>
      <c r="B894" s="22"/>
      <c r="C894" s="28"/>
      <c r="D894" s="28"/>
      <c r="E894" s="18"/>
      <c r="F894" s="28"/>
      <c r="G894" s="32" t="str">
        <f aca="false">IF(F894="","",IFERROR(INDEX(請求台帳!$D$5:$D$504,MATCH(F894,請求台帳!$A$5:$A$504,0)),""))</f>
        <v/>
      </c>
      <c r="H894" s="26" t="str">
        <f aca="false">IF(F894="","",IFERROR(INDEX(請求台帳!$I$5:$I$504,MATCH(F894,請求台帳!$A$5:$A$504,0)),""))</f>
        <v/>
      </c>
      <c r="I894" s="29" t="str">
        <f aca="false">IF(COUNTA(B894,D894,E894,F894)=0,"",IF(OR(B894="",E894=""),"要入力",IF(F894="","未消込",IF(ISNA(MATCH(F894,請求台帳!$A$5:$A$504,0)),"番号誤り",IF(INDEX(請求台帳!$T$5:$T$504,MATCH(F894,請求台帳!$A$5:$A$504,0))="取消","取消請求へ消込","消込済")))))</f>
        <v/>
      </c>
      <c r="J894" s="28"/>
      <c r="K894" s="28"/>
    </row>
    <row r="895" customFormat="false" ht="15" hidden="false" customHeight="false" outlineLevel="0" collapsed="false">
      <c r="A895" s="32" t="str">
        <f aca="false">IF(COUNTA(B895,D895,E895,F895)=0,"",ROW()-4)</f>
        <v/>
      </c>
      <c r="B895" s="22"/>
      <c r="C895" s="28"/>
      <c r="D895" s="28"/>
      <c r="E895" s="18"/>
      <c r="F895" s="28"/>
      <c r="G895" s="32" t="str">
        <f aca="false">IF(F895="","",IFERROR(INDEX(請求台帳!$D$5:$D$504,MATCH(F895,請求台帳!$A$5:$A$504,0)),""))</f>
        <v/>
      </c>
      <c r="H895" s="26" t="str">
        <f aca="false">IF(F895="","",IFERROR(INDEX(請求台帳!$I$5:$I$504,MATCH(F895,請求台帳!$A$5:$A$504,0)),""))</f>
        <v/>
      </c>
      <c r="I895" s="29" t="str">
        <f aca="false">IF(COUNTA(B895,D895,E895,F895)=0,"",IF(OR(B895="",E895=""),"要入力",IF(F895="","未消込",IF(ISNA(MATCH(F895,請求台帳!$A$5:$A$504,0)),"番号誤り",IF(INDEX(請求台帳!$T$5:$T$504,MATCH(F895,請求台帳!$A$5:$A$504,0))="取消","取消請求へ消込","消込済")))))</f>
        <v/>
      </c>
      <c r="J895" s="28"/>
      <c r="K895" s="28"/>
    </row>
    <row r="896" customFormat="false" ht="15" hidden="false" customHeight="false" outlineLevel="0" collapsed="false">
      <c r="A896" s="32" t="str">
        <f aca="false">IF(COUNTA(B896,D896,E896,F896)=0,"",ROW()-4)</f>
        <v/>
      </c>
      <c r="B896" s="22"/>
      <c r="C896" s="28"/>
      <c r="D896" s="28"/>
      <c r="E896" s="18"/>
      <c r="F896" s="28"/>
      <c r="G896" s="32" t="str">
        <f aca="false">IF(F896="","",IFERROR(INDEX(請求台帳!$D$5:$D$504,MATCH(F896,請求台帳!$A$5:$A$504,0)),""))</f>
        <v/>
      </c>
      <c r="H896" s="26" t="str">
        <f aca="false">IF(F896="","",IFERROR(INDEX(請求台帳!$I$5:$I$504,MATCH(F896,請求台帳!$A$5:$A$504,0)),""))</f>
        <v/>
      </c>
      <c r="I896" s="29" t="str">
        <f aca="false">IF(COUNTA(B896,D896,E896,F896)=0,"",IF(OR(B896="",E896=""),"要入力",IF(F896="","未消込",IF(ISNA(MATCH(F896,請求台帳!$A$5:$A$504,0)),"番号誤り",IF(INDEX(請求台帳!$T$5:$T$504,MATCH(F896,請求台帳!$A$5:$A$504,0))="取消","取消請求へ消込","消込済")))))</f>
        <v/>
      </c>
      <c r="J896" s="28"/>
      <c r="K896" s="28"/>
    </row>
    <row r="897" customFormat="false" ht="15" hidden="false" customHeight="false" outlineLevel="0" collapsed="false">
      <c r="A897" s="32" t="str">
        <f aca="false">IF(COUNTA(B897,D897,E897,F897)=0,"",ROW()-4)</f>
        <v/>
      </c>
      <c r="B897" s="22"/>
      <c r="C897" s="28"/>
      <c r="D897" s="28"/>
      <c r="E897" s="18"/>
      <c r="F897" s="28"/>
      <c r="G897" s="32" t="str">
        <f aca="false">IF(F897="","",IFERROR(INDEX(請求台帳!$D$5:$D$504,MATCH(F897,請求台帳!$A$5:$A$504,0)),""))</f>
        <v/>
      </c>
      <c r="H897" s="26" t="str">
        <f aca="false">IF(F897="","",IFERROR(INDEX(請求台帳!$I$5:$I$504,MATCH(F897,請求台帳!$A$5:$A$504,0)),""))</f>
        <v/>
      </c>
      <c r="I897" s="29" t="str">
        <f aca="false">IF(COUNTA(B897,D897,E897,F897)=0,"",IF(OR(B897="",E897=""),"要入力",IF(F897="","未消込",IF(ISNA(MATCH(F897,請求台帳!$A$5:$A$504,0)),"番号誤り",IF(INDEX(請求台帳!$T$5:$T$504,MATCH(F897,請求台帳!$A$5:$A$504,0))="取消","取消請求へ消込","消込済")))))</f>
        <v/>
      </c>
      <c r="J897" s="28"/>
      <c r="K897" s="28"/>
    </row>
    <row r="898" customFormat="false" ht="15" hidden="false" customHeight="false" outlineLevel="0" collapsed="false">
      <c r="A898" s="32" t="str">
        <f aca="false">IF(COUNTA(B898,D898,E898,F898)=0,"",ROW()-4)</f>
        <v/>
      </c>
      <c r="B898" s="22"/>
      <c r="C898" s="28"/>
      <c r="D898" s="28"/>
      <c r="E898" s="18"/>
      <c r="F898" s="28"/>
      <c r="G898" s="32" t="str">
        <f aca="false">IF(F898="","",IFERROR(INDEX(請求台帳!$D$5:$D$504,MATCH(F898,請求台帳!$A$5:$A$504,0)),""))</f>
        <v/>
      </c>
      <c r="H898" s="26" t="str">
        <f aca="false">IF(F898="","",IFERROR(INDEX(請求台帳!$I$5:$I$504,MATCH(F898,請求台帳!$A$5:$A$504,0)),""))</f>
        <v/>
      </c>
      <c r="I898" s="29" t="str">
        <f aca="false">IF(COUNTA(B898,D898,E898,F898)=0,"",IF(OR(B898="",E898=""),"要入力",IF(F898="","未消込",IF(ISNA(MATCH(F898,請求台帳!$A$5:$A$504,0)),"番号誤り",IF(INDEX(請求台帳!$T$5:$T$504,MATCH(F898,請求台帳!$A$5:$A$504,0))="取消","取消請求へ消込","消込済")))))</f>
        <v/>
      </c>
      <c r="J898" s="28"/>
      <c r="K898" s="28"/>
    </row>
    <row r="899" customFormat="false" ht="15" hidden="false" customHeight="false" outlineLevel="0" collapsed="false">
      <c r="A899" s="32" t="str">
        <f aca="false">IF(COUNTA(B899,D899,E899,F899)=0,"",ROW()-4)</f>
        <v/>
      </c>
      <c r="B899" s="22"/>
      <c r="C899" s="28"/>
      <c r="D899" s="28"/>
      <c r="E899" s="18"/>
      <c r="F899" s="28"/>
      <c r="G899" s="32" t="str">
        <f aca="false">IF(F899="","",IFERROR(INDEX(請求台帳!$D$5:$D$504,MATCH(F899,請求台帳!$A$5:$A$504,0)),""))</f>
        <v/>
      </c>
      <c r="H899" s="26" t="str">
        <f aca="false">IF(F899="","",IFERROR(INDEX(請求台帳!$I$5:$I$504,MATCH(F899,請求台帳!$A$5:$A$504,0)),""))</f>
        <v/>
      </c>
      <c r="I899" s="29" t="str">
        <f aca="false">IF(COUNTA(B899,D899,E899,F899)=0,"",IF(OR(B899="",E899=""),"要入力",IF(F899="","未消込",IF(ISNA(MATCH(F899,請求台帳!$A$5:$A$504,0)),"番号誤り",IF(INDEX(請求台帳!$T$5:$T$504,MATCH(F899,請求台帳!$A$5:$A$504,0))="取消","取消請求へ消込","消込済")))))</f>
        <v/>
      </c>
      <c r="J899" s="28"/>
      <c r="K899" s="28"/>
    </row>
    <row r="900" customFormat="false" ht="15" hidden="false" customHeight="false" outlineLevel="0" collapsed="false">
      <c r="A900" s="32" t="str">
        <f aca="false">IF(COUNTA(B900,D900,E900,F900)=0,"",ROW()-4)</f>
        <v/>
      </c>
      <c r="B900" s="22"/>
      <c r="C900" s="28"/>
      <c r="D900" s="28"/>
      <c r="E900" s="18"/>
      <c r="F900" s="28"/>
      <c r="G900" s="32" t="str">
        <f aca="false">IF(F900="","",IFERROR(INDEX(請求台帳!$D$5:$D$504,MATCH(F900,請求台帳!$A$5:$A$504,0)),""))</f>
        <v/>
      </c>
      <c r="H900" s="26" t="str">
        <f aca="false">IF(F900="","",IFERROR(INDEX(請求台帳!$I$5:$I$504,MATCH(F900,請求台帳!$A$5:$A$504,0)),""))</f>
        <v/>
      </c>
      <c r="I900" s="29" t="str">
        <f aca="false">IF(COUNTA(B900,D900,E900,F900)=0,"",IF(OR(B900="",E900=""),"要入力",IF(F900="","未消込",IF(ISNA(MATCH(F900,請求台帳!$A$5:$A$504,0)),"番号誤り",IF(INDEX(請求台帳!$T$5:$T$504,MATCH(F900,請求台帳!$A$5:$A$504,0))="取消","取消請求へ消込","消込済")))))</f>
        <v/>
      </c>
      <c r="J900" s="28"/>
      <c r="K900" s="28"/>
    </row>
    <row r="901" customFormat="false" ht="15" hidden="false" customHeight="false" outlineLevel="0" collapsed="false">
      <c r="A901" s="32" t="str">
        <f aca="false">IF(COUNTA(B901,D901,E901,F901)=0,"",ROW()-4)</f>
        <v/>
      </c>
      <c r="B901" s="22"/>
      <c r="C901" s="28"/>
      <c r="D901" s="28"/>
      <c r="E901" s="18"/>
      <c r="F901" s="28"/>
      <c r="G901" s="32" t="str">
        <f aca="false">IF(F901="","",IFERROR(INDEX(請求台帳!$D$5:$D$504,MATCH(F901,請求台帳!$A$5:$A$504,0)),""))</f>
        <v/>
      </c>
      <c r="H901" s="26" t="str">
        <f aca="false">IF(F901="","",IFERROR(INDEX(請求台帳!$I$5:$I$504,MATCH(F901,請求台帳!$A$5:$A$504,0)),""))</f>
        <v/>
      </c>
      <c r="I901" s="29" t="str">
        <f aca="false">IF(COUNTA(B901,D901,E901,F901)=0,"",IF(OR(B901="",E901=""),"要入力",IF(F901="","未消込",IF(ISNA(MATCH(F901,請求台帳!$A$5:$A$504,0)),"番号誤り",IF(INDEX(請求台帳!$T$5:$T$504,MATCH(F901,請求台帳!$A$5:$A$504,0))="取消","取消請求へ消込","消込済")))))</f>
        <v/>
      </c>
      <c r="J901" s="28"/>
      <c r="K901" s="28"/>
    </row>
    <row r="902" customFormat="false" ht="15" hidden="false" customHeight="false" outlineLevel="0" collapsed="false">
      <c r="A902" s="32" t="str">
        <f aca="false">IF(COUNTA(B902,D902,E902,F902)=0,"",ROW()-4)</f>
        <v/>
      </c>
      <c r="B902" s="22"/>
      <c r="C902" s="28"/>
      <c r="D902" s="28"/>
      <c r="E902" s="18"/>
      <c r="F902" s="28"/>
      <c r="G902" s="32" t="str">
        <f aca="false">IF(F902="","",IFERROR(INDEX(請求台帳!$D$5:$D$504,MATCH(F902,請求台帳!$A$5:$A$504,0)),""))</f>
        <v/>
      </c>
      <c r="H902" s="26" t="str">
        <f aca="false">IF(F902="","",IFERROR(INDEX(請求台帳!$I$5:$I$504,MATCH(F902,請求台帳!$A$5:$A$504,0)),""))</f>
        <v/>
      </c>
      <c r="I902" s="29" t="str">
        <f aca="false">IF(COUNTA(B902,D902,E902,F902)=0,"",IF(OR(B902="",E902=""),"要入力",IF(F902="","未消込",IF(ISNA(MATCH(F902,請求台帳!$A$5:$A$504,0)),"番号誤り",IF(INDEX(請求台帳!$T$5:$T$504,MATCH(F902,請求台帳!$A$5:$A$504,0))="取消","取消請求へ消込","消込済")))))</f>
        <v/>
      </c>
      <c r="J902" s="28"/>
      <c r="K902" s="28"/>
    </row>
    <row r="903" customFormat="false" ht="15" hidden="false" customHeight="false" outlineLevel="0" collapsed="false">
      <c r="A903" s="32" t="str">
        <f aca="false">IF(COUNTA(B903,D903,E903,F903)=0,"",ROW()-4)</f>
        <v/>
      </c>
      <c r="B903" s="22"/>
      <c r="C903" s="28"/>
      <c r="D903" s="28"/>
      <c r="E903" s="18"/>
      <c r="F903" s="28"/>
      <c r="G903" s="32" t="str">
        <f aca="false">IF(F903="","",IFERROR(INDEX(請求台帳!$D$5:$D$504,MATCH(F903,請求台帳!$A$5:$A$504,0)),""))</f>
        <v/>
      </c>
      <c r="H903" s="26" t="str">
        <f aca="false">IF(F903="","",IFERROR(INDEX(請求台帳!$I$5:$I$504,MATCH(F903,請求台帳!$A$5:$A$504,0)),""))</f>
        <v/>
      </c>
      <c r="I903" s="29" t="str">
        <f aca="false">IF(COUNTA(B903,D903,E903,F903)=0,"",IF(OR(B903="",E903=""),"要入力",IF(F903="","未消込",IF(ISNA(MATCH(F903,請求台帳!$A$5:$A$504,0)),"番号誤り",IF(INDEX(請求台帳!$T$5:$T$504,MATCH(F903,請求台帳!$A$5:$A$504,0))="取消","取消請求へ消込","消込済")))))</f>
        <v/>
      </c>
      <c r="J903" s="28"/>
      <c r="K903" s="28"/>
    </row>
    <row r="904" customFormat="false" ht="15" hidden="false" customHeight="false" outlineLevel="0" collapsed="false">
      <c r="A904" s="32" t="str">
        <f aca="false">IF(COUNTA(B904,D904,E904,F904)=0,"",ROW()-4)</f>
        <v/>
      </c>
      <c r="B904" s="22"/>
      <c r="C904" s="28"/>
      <c r="D904" s="28"/>
      <c r="E904" s="18"/>
      <c r="F904" s="28"/>
      <c r="G904" s="32" t="str">
        <f aca="false">IF(F904="","",IFERROR(INDEX(請求台帳!$D$5:$D$504,MATCH(F904,請求台帳!$A$5:$A$504,0)),""))</f>
        <v/>
      </c>
      <c r="H904" s="26" t="str">
        <f aca="false">IF(F904="","",IFERROR(INDEX(請求台帳!$I$5:$I$504,MATCH(F904,請求台帳!$A$5:$A$504,0)),""))</f>
        <v/>
      </c>
      <c r="I904" s="29" t="str">
        <f aca="false">IF(COUNTA(B904,D904,E904,F904)=0,"",IF(OR(B904="",E904=""),"要入力",IF(F904="","未消込",IF(ISNA(MATCH(F904,請求台帳!$A$5:$A$504,0)),"番号誤り",IF(INDEX(請求台帳!$T$5:$T$504,MATCH(F904,請求台帳!$A$5:$A$504,0))="取消","取消請求へ消込","消込済")))))</f>
        <v/>
      </c>
      <c r="J904" s="28"/>
      <c r="K904" s="28"/>
    </row>
    <row r="905" customFormat="false" ht="15" hidden="false" customHeight="false" outlineLevel="0" collapsed="false">
      <c r="A905" s="32" t="str">
        <f aca="false">IF(COUNTA(B905,D905,E905,F905)=0,"",ROW()-4)</f>
        <v/>
      </c>
      <c r="B905" s="22"/>
      <c r="C905" s="28"/>
      <c r="D905" s="28"/>
      <c r="E905" s="18"/>
      <c r="F905" s="28"/>
      <c r="G905" s="32" t="str">
        <f aca="false">IF(F905="","",IFERROR(INDEX(請求台帳!$D$5:$D$504,MATCH(F905,請求台帳!$A$5:$A$504,0)),""))</f>
        <v/>
      </c>
      <c r="H905" s="26" t="str">
        <f aca="false">IF(F905="","",IFERROR(INDEX(請求台帳!$I$5:$I$504,MATCH(F905,請求台帳!$A$5:$A$504,0)),""))</f>
        <v/>
      </c>
      <c r="I905" s="29" t="str">
        <f aca="false">IF(COUNTA(B905,D905,E905,F905)=0,"",IF(OR(B905="",E905=""),"要入力",IF(F905="","未消込",IF(ISNA(MATCH(F905,請求台帳!$A$5:$A$504,0)),"番号誤り",IF(INDEX(請求台帳!$T$5:$T$504,MATCH(F905,請求台帳!$A$5:$A$504,0))="取消","取消請求へ消込","消込済")))))</f>
        <v/>
      </c>
      <c r="J905" s="28"/>
      <c r="K905" s="28"/>
    </row>
    <row r="906" customFormat="false" ht="15" hidden="false" customHeight="false" outlineLevel="0" collapsed="false">
      <c r="A906" s="32" t="str">
        <f aca="false">IF(COUNTA(B906,D906,E906,F906)=0,"",ROW()-4)</f>
        <v/>
      </c>
      <c r="B906" s="22"/>
      <c r="C906" s="28"/>
      <c r="D906" s="28"/>
      <c r="E906" s="18"/>
      <c r="F906" s="28"/>
      <c r="G906" s="32" t="str">
        <f aca="false">IF(F906="","",IFERROR(INDEX(請求台帳!$D$5:$D$504,MATCH(F906,請求台帳!$A$5:$A$504,0)),""))</f>
        <v/>
      </c>
      <c r="H906" s="26" t="str">
        <f aca="false">IF(F906="","",IFERROR(INDEX(請求台帳!$I$5:$I$504,MATCH(F906,請求台帳!$A$5:$A$504,0)),""))</f>
        <v/>
      </c>
      <c r="I906" s="29" t="str">
        <f aca="false">IF(COUNTA(B906,D906,E906,F906)=0,"",IF(OR(B906="",E906=""),"要入力",IF(F906="","未消込",IF(ISNA(MATCH(F906,請求台帳!$A$5:$A$504,0)),"番号誤り",IF(INDEX(請求台帳!$T$5:$T$504,MATCH(F906,請求台帳!$A$5:$A$504,0))="取消","取消請求へ消込","消込済")))))</f>
        <v/>
      </c>
      <c r="J906" s="28"/>
      <c r="K906" s="28"/>
    </row>
    <row r="907" customFormat="false" ht="15" hidden="false" customHeight="false" outlineLevel="0" collapsed="false">
      <c r="A907" s="32" t="str">
        <f aca="false">IF(COUNTA(B907,D907,E907,F907)=0,"",ROW()-4)</f>
        <v/>
      </c>
      <c r="B907" s="22"/>
      <c r="C907" s="28"/>
      <c r="D907" s="28"/>
      <c r="E907" s="18"/>
      <c r="F907" s="28"/>
      <c r="G907" s="32" t="str">
        <f aca="false">IF(F907="","",IFERROR(INDEX(請求台帳!$D$5:$D$504,MATCH(F907,請求台帳!$A$5:$A$504,0)),""))</f>
        <v/>
      </c>
      <c r="H907" s="26" t="str">
        <f aca="false">IF(F907="","",IFERROR(INDEX(請求台帳!$I$5:$I$504,MATCH(F907,請求台帳!$A$5:$A$504,0)),""))</f>
        <v/>
      </c>
      <c r="I907" s="29" t="str">
        <f aca="false">IF(COUNTA(B907,D907,E907,F907)=0,"",IF(OR(B907="",E907=""),"要入力",IF(F907="","未消込",IF(ISNA(MATCH(F907,請求台帳!$A$5:$A$504,0)),"番号誤り",IF(INDEX(請求台帳!$T$5:$T$504,MATCH(F907,請求台帳!$A$5:$A$504,0))="取消","取消請求へ消込","消込済")))))</f>
        <v/>
      </c>
      <c r="J907" s="28"/>
      <c r="K907" s="28"/>
    </row>
    <row r="908" customFormat="false" ht="15" hidden="false" customHeight="false" outlineLevel="0" collapsed="false">
      <c r="A908" s="32" t="str">
        <f aca="false">IF(COUNTA(B908,D908,E908,F908)=0,"",ROW()-4)</f>
        <v/>
      </c>
      <c r="B908" s="22"/>
      <c r="C908" s="28"/>
      <c r="D908" s="28"/>
      <c r="E908" s="18"/>
      <c r="F908" s="28"/>
      <c r="G908" s="32" t="str">
        <f aca="false">IF(F908="","",IFERROR(INDEX(請求台帳!$D$5:$D$504,MATCH(F908,請求台帳!$A$5:$A$504,0)),""))</f>
        <v/>
      </c>
      <c r="H908" s="26" t="str">
        <f aca="false">IF(F908="","",IFERROR(INDEX(請求台帳!$I$5:$I$504,MATCH(F908,請求台帳!$A$5:$A$504,0)),""))</f>
        <v/>
      </c>
      <c r="I908" s="29" t="str">
        <f aca="false">IF(COUNTA(B908,D908,E908,F908)=0,"",IF(OR(B908="",E908=""),"要入力",IF(F908="","未消込",IF(ISNA(MATCH(F908,請求台帳!$A$5:$A$504,0)),"番号誤り",IF(INDEX(請求台帳!$T$5:$T$504,MATCH(F908,請求台帳!$A$5:$A$504,0))="取消","取消請求へ消込","消込済")))))</f>
        <v/>
      </c>
      <c r="J908" s="28"/>
      <c r="K908" s="28"/>
    </row>
    <row r="909" customFormat="false" ht="15" hidden="false" customHeight="false" outlineLevel="0" collapsed="false">
      <c r="A909" s="32" t="str">
        <f aca="false">IF(COUNTA(B909,D909,E909,F909)=0,"",ROW()-4)</f>
        <v/>
      </c>
      <c r="B909" s="22"/>
      <c r="C909" s="28"/>
      <c r="D909" s="28"/>
      <c r="E909" s="18"/>
      <c r="F909" s="28"/>
      <c r="G909" s="32" t="str">
        <f aca="false">IF(F909="","",IFERROR(INDEX(請求台帳!$D$5:$D$504,MATCH(F909,請求台帳!$A$5:$A$504,0)),""))</f>
        <v/>
      </c>
      <c r="H909" s="26" t="str">
        <f aca="false">IF(F909="","",IFERROR(INDEX(請求台帳!$I$5:$I$504,MATCH(F909,請求台帳!$A$5:$A$504,0)),""))</f>
        <v/>
      </c>
      <c r="I909" s="29" t="str">
        <f aca="false">IF(COUNTA(B909,D909,E909,F909)=0,"",IF(OR(B909="",E909=""),"要入力",IF(F909="","未消込",IF(ISNA(MATCH(F909,請求台帳!$A$5:$A$504,0)),"番号誤り",IF(INDEX(請求台帳!$T$5:$T$504,MATCH(F909,請求台帳!$A$5:$A$504,0))="取消","取消請求へ消込","消込済")))))</f>
        <v/>
      </c>
      <c r="J909" s="28"/>
      <c r="K909" s="28"/>
    </row>
    <row r="910" customFormat="false" ht="15" hidden="false" customHeight="false" outlineLevel="0" collapsed="false">
      <c r="A910" s="32" t="str">
        <f aca="false">IF(COUNTA(B910,D910,E910,F910)=0,"",ROW()-4)</f>
        <v/>
      </c>
      <c r="B910" s="22"/>
      <c r="C910" s="28"/>
      <c r="D910" s="28"/>
      <c r="E910" s="18"/>
      <c r="F910" s="28"/>
      <c r="G910" s="32" t="str">
        <f aca="false">IF(F910="","",IFERROR(INDEX(請求台帳!$D$5:$D$504,MATCH(F910,請求台帳!$A$5:$A$504,0)),""))</f>
        <v/>
      </c>
      <c r="H910" s="26" t="str">
        <f aca="false">IF(F910="","",IFERROR(INDEX(請求台帳!$I$5:$I$504,MATCH(F910,請求台帳!$A$5:$A$504,0)),""))</f>
        <v/>
      </c>
      <c r="I910" s="29" t="str">
        <f aca="false">IF(COUNTA(B910,D910,E910,F910)=0,"",IF(OR(B910="",E910=""),"要入力",IF(F910="","未消込",IF(ISNA(MATCH(F910,請求台帳!$A$5:$A$504,0)),"番号誤り",IF(INDEX(請求台帳!$T$5:$T$504,MATCH(F910,請求台帳!$A$5:$A$504,0))="取消","取消請求へ消込","消込済")))))</f>
        <v/>
      </c>
      <c r="J910" s="28"/>
      <c r="K910" s="28"/>
    </row>
    <row r="911" customFormat="false" ht="15" hidden="false" customHeight="false" outlineLevel="0" collapsed="false">
      <c r="A911" s="32" t="str">
        <f aca="false">IF(COUNTA(B911,D911,E911,F911)=0,"",ROW()-4)</f>
        <v/>
      </c>
      <c r="B911" s="22"/>
      <c r="C911" s="28"/>
      <c r="D911" s="28"/>
      <c r="E911" s="18"/>
      <c r="F911" s="28"/>
      <c r="G911" s="32" t="str">
        <f aca="false">IF(F911="","",IFERROR(INDEX(請求台帳!$D$5:$D$504,MATCH(F911,請求台帳!$A$5:$A$504,0)),""))</f>
        <v/>
      </c>
      <c r="H911" s="26" t="str">
        <f aca="false">IF(F911="","",IFERROR(INDEX(請求台帳!$I$5:$I$504,MATCH(F911,請求台帳!$A$5:$A$504,0)),""))</f>
        <v/>
      </c>
      <c r="I911" s="29" t="str">
        <f aca="false">IF(COUNTA(B911,D911,E911,F911)=0,"",IF(OR(B911="",E911=""),"要入力",IF(F911="","未消込",IF(ISNA(MATCH(F911,請求台帳!$A$5:$A$504,0)),"番号誤り",IF(INDEX(請求台帳!$T$5:$T$504,MATCH(F911,請求台帳!$A$5:$A$504,0))="取消","取消請求へ消込","消込済")))))</f>
        <v/>
      </c>
      <c r="J911" s="28"/>
      <c r="K911" s="28"/>
    </row>
    <row r="912" customFormat="false" ht="15" hidden="false" customHeight="false" outlineLevel="0" collapsed="false">
      <c r="A912" s="32" t="str">
        <f aca="false">IF(COUNTA(B912,D912,E912,F912)=0,"",ROW()-4)</f>
        <v/>
      </c>
      <c r="B912" s="22"/>
      <c r="C912" s="28"/>
      <c r="D912" s="28"/>
      <c r="E912" s="18"/>
      <c r="F912" s="28"/>
      <c r="G912" s="32" t="str">
        <f aca="false">IF(F912="","",IFERROR(INDEX(請求台帳!$D$5:$D$504,MATCH(F912,請求台帳!$A$5:$A$504,0)),""))</f>
        <v/>
      </c>
      <c r="H912" s="26" t="str">
        <f aca="false">IF(F912="","",IFERROR(INDEX(請求台帳!$I$5:$I$504,MATCH(F912,請求台帳!$A$5:$A$504,0)),""))</f>
        <v/>
      </c>
      <c r="I912" s="29" t="str">
        <f aca="false">IF(COUNTA(B912,D912,E912,F912)=0,"",IF(OR(B912="",E912=""),"要入力",IF(F912="","未消込",IF(ISNA(MATCH(F912,請求台帳!$A$5:$A$504,0)),"番号誤り",IF(INDEX(請求台帳!$T$5:$T$504,MATCH(F912,請求台帳!$A$5:$A$504,0))="取消","取消請求へ消込","消込済")))))</f>
        <v/>
      </c>
      <c r="J912" s="28"/>
      <c r="K912" s="28"/>
    </row>
    <row r="913" customFormat="false" ht="15" hidden="false" customHeight="false" outlineLevel="0" collapsed="false">
      <c r="A913" s="32" t="str">
        <f aca="false">IF(COUNTA(B913,D913,E913,F913)=0,"",ROW()-4)</f>
        <v/>
      </c>
      <c r="B913" s="22"/>
      <c r="C913" s="28"/>
      <c r="D913" s="28"/>
      <c r="E913" s="18"/>
      <c r="F913" s="28"/>
      <c r="G913" s="32" t="str">
        <f aca="false">IF(F913="","",IFERROR(INDEX(請求台帳!$D$5:$D$504,MATCH(F913,請求台帳!$A$5:$A$504,0)),""))</f>
        <v/>
      </c>
      <c r="H913" s="26" t="str">
        <f aca="false">IF(F913="","",IFERROR(INDEX(請求台帳!$I$5:$I$504,MATCH(F913,請求台帳!$A$5:$A$504,0)),""))</f>
        <v/>
      </c>
      <c r="I913" s="29" t="str">
        <f aca="false">IF(COUNTA(B913,D913,E913,F913)=0,"",IF(OR(B913="",E913=""),"要入力",IF(F913="","未消込",IF(ISNA(MATCH(F913,請求台帳!$A$5:$A$504,0)),"番号誤り",IF(INDEX(請求台帳!$T$5:$T$504,MATCH(F913,請求台帳!$A$5:$A$504,0))="取消","取消請求へ消込","消込済")))))</f>
        <v/>
      </c>
      <c r="J913" s="28"/>
      <c r="K913" s="28"/>
    </row>
    <row r="914" customFormat="false" ht="15" hidden="false" customHeight="false" outlineLevel="0" collapsed="false">
      <c r="A914" s="32" t="str">
        <f aca="false">IF(COUNTA(B914,D914,E914,F914)=0,"",ROW()-4)</f>
        <v/>
      </c>
      <c r="B914" s="22"/>
      <c r="C914" s="28"/>
      <c r="D914" s="28"/>
      <c r="E914" s="18"/>
      <c r="F914" s="28"/>
      <c r="G914" s="32" t="str">
        <f aca="false">IF(F914="","",IFERROR(INDEX(請求台帳!$D$5:$D$504,MATCH(F914,請求台帳!$A$5:$A$504,0)),""))</f>
        <v/>
      </c>
      <c r="H914" s="26" t="str">
        <f aca="false">IF(F914="","",IFERROR(INDEX(請求台帳!$I$5:$I$504,MATCH(F914,請求台帳!$A$5:$A$504,0)),""))</f>
        <v/>
      </c>
      <c r="I914" s="29" t="str">
        <f aca="false">IF(COUNTA(B914,D914,E914,F914)=0,"",IF(OR(B914="",E914=""),"要入力",IF(F914="","未消込",IF(ISNA(MATCH(F914,請求台帳!$A$5:$A$504,0)),"番号誤り",IF(INDEX(請求台帳!$T$5:$T$504,MATCH(F914,請求台帳!$A$5:$A$504,0))="取消","取消請求へ消込","消込済")))))</f>
        <v/>
      </c>
      <c r="J914" s="28"/>
      <c r="K914" s="28"/>
    </row>
    <row r="915" customFormat="false" ht="15" hidden="false" customHeight="false" outlineLevel="0" collapsed="false">
      <c r="A915" s="32" t="str">
        <f aca="false">IF(COUNTA(B915,D915,E915,F915)=0,"",ROW()-4)</f>
        <v/>
      </c>
      <c r="B915" s="22"/>
      <c r="C915" s="28"/>
      <c r="D915" s="28"/>
      <c r="E915" s="18"/>
      <c r="F915" s="28"/>
      <c r="G915" s="32" t="str">
        <f aca="false">IF(F915="","",IFERROR(INDEX(請求台帳!$D$5:$D$504,MATCH(F915,請求台帳!$A$5:$A$504,0)),""))</f>
        <v/>
      </c>
      <c r="H915" s="26" t="str">
        <f aca="false">IF(F915="","",IFERROR(INDEX(請求台帳!$I$5:$I$504,MATCH(F915,請求台帳!$A$5:$A$504,0)),""))</f>
        <v/>
      </c>
      <c r="I915" s="29" t="str">
        <f aca="false">IF(COUNTA(B915,D915,E915,F915)=0,"",IF(OR(B915="",E915=""),"要入力",IF(F915="","未消込",IF(ISNA(MATCH(F915,請求台帳!$A$5:$A$504,0)),"番号誤り",IF(INDEX(請求台帳!$T$5:$T$504,MATCH(F915,請求台帳!$A$5:$A$504,0))="取消","取消請求へ消込","消込済")))))</f>
        <v/>
      </c>
      <c r="J915" s="28"/>
      <c r="K915" s="28"/>
    </row>
    <row r="916" customFormat="false" ht="15" hidden="false" customHeight="false" outlineLevel="0" collapsed="false">
      <c r="A916" s="32" t="str">
        <f aca="false">IF(COUNTA(B916,D916,E916,F916)=0,"",ROW()-4)</f>
        <v/>
      </c>
      <c r="B916" s="22"/>
      <c r="C916" s="28"/>
      <c r="D916" s="28"/>
      <c r="E916" s="18"/>
      <c r="F916" s="28"/>
      <c r="G916" s="32" t="str">
        <f aca="false">IF(F916="","",IFERROR(INDEX(請求台帳!$D$5:$D$504,MATCH(F916,請求台帳!$A$5:$A$504,0)),""))</f>
        <v/>
      </c>
      <c r="H916" s="26" t="str">
        <f aca="false">IF(F916="","",IFERROR(INDEX(請求台帳!$I$5:$I$504,MATCH(F916,請求台帳!$A$5:$A$504,0)),""))</f>
        <v/>
      </c>
      <c r="I916" s="29" t="str">
        <f aca="false">IF(COUNTA(B916,D916,E916,F916)=0,"",IF(OR(B916="",E916=""),"要入力",IF(F916="","未消込",IF(ISNA(MATCH(F916,請求台帳!$A$5:$A$504,0)),"番号誤り",IF(INDEX(請求台帳!$T$5:$T$504,MATCH(F916,請求台帳!$A$5:$A$504,0))="取消","取消請求へ消込","消込済")))))</f>
        <v/>
      </c>
      <c r="J916" s="28"/>
      <c r="K916" s="28"/>
    </row>
    <row r="917" customFormat="false" ht="15" hidden="false" customHeight="false" outlineLevel="0" collapsed="false">
      <c r="A917" s="32" t="str">
        <f aca="false">IF(COUNTA(B917,D917,E917,F917)=0,"",ROW()-4)</f>
        <v/>
      </c>
      <c r="B917" s="22"/>
      <c r="C917" s="28"/>
      <c r="D917" s="28"/>
      <c r="E917" s="18"/>
      <c r="F917" s="28"/>
      <c r="G917" s="32" t="str">
        <f aca="false">IF(F917="","",IFERROR(INDEX(請求台帳!$D$5:$D$504,MATCH(F917,請求台帳!$A$5:$A$504,0)),""))</f>
        <v/>
      </c>
      <c r="H917" s="26" t="str">
        <f aca="false">IF(F917="","",IFERROR(INDEX(請求台帳!$I$5:$I$504,MATCH(F917,請求台帳!$A$5:$A$504,0)),""))</f>
        <v/>
      </c>
      <c r="I917" s="29" t="str">
        <f aca="false">IF(COUNTA(B917,D917,E917,F917)=0,"",IF(OR(B917="",E917=""),"要入力",IF(F917="","未消込",IF(ISNA(MATCH(F917,請求台帳!$A$5:$A$504,0)),"番号誤り",IF(INDEX(請求台帳!$T$5:$T$504,MATCH(F917,請求台帳!$A$5:$A$504,0))="取消","取消請求へ消込","消込済")))))</f>
        <v/>
      </c>
      <c r="J917" s="28"/>
      <c r="K917" s="28"/>
    </row>
    <row r="918" customFormat="false" ht="15" hidden="false" customHeight="false" outlineLevel="0" collapsed="false">
      <c r="A918" s="32" t="str">
        <f aca="false">IF(COUNTA(B918,D918,E918,F918)=0,"",ROW()-4)</f>
        <v/>
      </c>
      <c r="B918" s="22"/>
      <c r="C918" s="28"/>
      <c r="D918" s="28"/>
      <c r="E918" s="18"/>
      <c r="F918" s="28"/>
      <c r="G918" s="32" t="str">
        <f aca="false">IF(F918="","",IFERROR(INDEX(請求台帳!$D$5:$D$504,MATCH(F918,請求台帳!$A$5:$A$504,0)),""))</f>
        <v/>
      </c>
      <c r="H918" s="26" t="str">
        <f aca="false">IF(F918="","",IFERROR(INDEX(請求台帳!$I$5:$I$504,MATCH(F918,請求台帳!$A$5:$A$504,0)),""))</f>
        <v/>
      </c>
      <c r="I918" s="29" t="str">
        <f aca="false">IF(COUNTA(B918,D918,E918,F918)=0,"",IF(OR(B918="",E918=""),"要入力",IF(F918="","未消込",IF(ISNA(MATCH(F918,請求台帳!$A$5:$A$504,0)),"番号誤り",IF(INDEX(請求台帳!$T$5:$T$504,MATCH(F918,請求台帳!$A$5:$A$504,0))="取消","取消請求へ消込","消込済")))))</f>
        <v/>
      </c>
      <c r="J918" s="28"/>
      <c r="K918" s="28"/>
    </row>
    <row r="919" customFormat="false" ht="15" hidden="false" customHeight="false" outlineLevel="0" collapsed="false">
      <c r="A919" s="32" t="str">
        <f aca="false">IF(COUNTA(B919,D919,E919,F919)=0,"",ROW()-4)</f>
        <v/>
      </c>
      <c r="B919" s="22"/>
      <c r="C919" s="28"/>
      <c r="D919" s="28"/>
      <c r="E919" s="18"/>
      <c r="F919" s="28"/>
      <c r="G919" s="32" t="str">
        <f aca="false">IF(F919="","",IFERROR(INDEX(請求台帳!$D$5:$D$504,MATCH(F919,請求台帳!$A$5:$A$504,0)),""))</f>
        <v/>
      </c>
      <c r="H919" s="26" t="str">
        <f aca="false">IF(F919="","",IFERROR(INDEX(請求台帳!$I$5:$I$504,MATCH(F919,請求台帳!$A$5:$A$504,0)),""))</f>
        <v/>
      </c>
      <c r="I919" s="29" t="str">
        <f aca="false">IF(COUNTA(B919,D919,E919,F919)=0,"",IF(OR(B919="",E919=""),"要入力",IF(F919="","未消込",IF(ISNA(MATCH(F919,請求台帳!$A$5:$A$504,0)),"番号誤り",IF(INDEX(請求台帳!$T$5:$T$504,MATCH(F919,請求台帳!$A$5:$A$504,0))="取消","取消請求へ消込","消込済")))))</f>
        <v/>
      </c>
      <c r="J919" s="28"/>
      <c r="K919" s="28"/>
    </row>
    <row r="920" customFormat="false" ht="15" hidden="false" customHeight="false" outlineLevel="0" collapsed="false">
      <c r="A920" s="32" t="str">
        <f aca="false">IF(COUNTA(B920,D920,E920,F920)=0,"",ROW()-4)</f>
        <v/>
      </c>
      <c r="B920" s="22"/>
      <c r="C920" s="28"/>
      <c r="D920" s="28"/>
      <c r="E920" s="18"/>
      <c r="F920" s="28"/>
      <c r="G920" s="32" t="str">
        <f aca="false">IF(F920="","",IFERROR(INDEX(請求台帳!$D$5:$D$504,MATCH(F920,請求台帳!$A$5:$A$504,0)),""))</f>
        <v/>
      </c>
      <c r="H920" s="26" t="str">
        <f aca="false">IF(F920="","",IFERROR(INDEX(請求台帳!$I$5:$I$504,MATCH(F920,請求台帳!$A$5:$A$504,0)),""))</f>
        <v/>
      </c>
      <c r="I920" s="29" t="str">
        <f aca="false">IF(COUNTA(B920,D920,E920,F920)=0,"",IF(OR(B920="",E920=""),"要入力",IF(F920="","未消込",IF(ISNA(MATCH(F920,請求台帳!$A$5:$A$504,0)),"番号誤り",IF(INDEX(請求台帳!$T$5:$T$504,MATCH(F920,請求台帳!$A$5:$A$504,0))="取消","取消請求へ消込","消込済")))))</f>
        <v/>
      </c>
      <c r="J920" s="28"/>
      <c r="K920" s="28"/>
    </row>
    <row r="921" customFormat="false" ht="15" hidden="false" customHeight="false" outlineLevel="0" collapsed="false">
      <c r="A921" s="32" t="str">
        <f aca="false">IF(COUNTA(B921,D921,E921,F921)=0,"",ROW()-4)</f>
        <v/>
      </c>
      <c r="B921" s="22"/>
      <c r="C921" s="28"/>
      <c r="D921" s="28"/>
      <c r="E921" s="18"/>
      <c r="F921" s="28"/>
      <c r="G921" s="32" t="str">
        <f aca="false">IF(F921="","",IFERROR(INDEX(請求台帳!$D$5:$D$504,MATCH(F921,請求台帳!$A$5:$A$504,0)),""))</f>
        <v/>
      </c>
      <c r="H921" s="26" t="str">
        <f aca="false">IF(F921="","",IFERROR(INDEX(請求台帳!$I$5:$I$504,MATCH(F921,請求台帳!$A$5:$A$504,0)),""))</f>
        <v/>
      </c>
      <c r="I921" s="29" t="str">
        <f aca="false">IF(COUNTA(B921,D921,E921,F921)=0,"",IF(OR(B921="",E921=""),"要入力",IF(F921="","未消込",IF(ISNA(MATCH(F921,請求台帳!$A$5:$A$504,0)),"番号誤り",IF(INDEX(請求台帳!$T$5:$T$504,MATCH(F921,請求台帳!$A$5:$A$504,0))="取消","取消請求へ消込","消込済")))))</f>
        <v/>
      </c>
      <c r="J921" s="28"/>
      <c r="K921" s="28"/>
    </row>
    <row r="922" customFormat="false" ht="15" hidden="false" customHeight="false" outlineLevel="0" collapsed="false">
      <c r="A922" s="32" t="str">
        <f aca="false">IF(COUNTA(B922,D922,E922,F922)=0,"",ROW()-4)</f>
        <v/>
      </c>
      <c r="B922" s="22"/>
      <c r="C922" s="28"/>
      <c r="D922" s="28"/>
      <c r="E922" s="18"/>
      <c r="F922" s="28"/>
      <c r="G922" s="32" t="str">
        <f aca="false">IF(F922="","",IFERROR(INDEX(請求台帳!$D$5:$D$504,MATCH(F922,請求台帳!$A$5:$A$504,0)),""))</f>
        <v/>
      </c>
      <c r="H922" s="26" t="str">
        <f aca="false">IF(F922="","",IFERROR(INDEX(請求台帳!$I$5:$I$504,MATCH(F922,請求台帳!$A$5:$A$504,0)),""))</f>
        <v/>
      </c>
      <c r="I922" s="29" t="str">
        <f aca="false">IF(COUNTA(B922,D922,E922,F922)=0,"",IF(OR(B922="",E922=""),"要入力",IF(F922="","未消込",IF(ISNA(MATCH(F922,請求台帳!$A$5:$A$504,0)),"番号誤り",IF(INDEX(請求台帳!$T$5:$T$504,MATCH(F922,請求台帳!$A$5:$A$504,0))="取消","取消請求へ消込","消込済")))))</f>
        <v/>
      </c>
      <c r="J922" s="28"/>
      <c r="K922" s="28"/>
    </row>
    <row r="923" customFormat="false" ht="15" hidden="false" customHeight="false" outlineLevel="0" collapsed="false">
      <c r="A923" s="32" t="str">
        <f aca="false">IF(COUNTA(B923,D923,E923,F923)=0,"",ROW()-4)</f>
        <v/>
      </c>
      <c r="B923" s="22"/>
      <c r="C923" s="28"/>
      <c r="D923" s="28"/>
      <c r="E923" s="18"/>
      <c r="F923" s="28"/>
      <c r="G923" s="32" t="str">
        <f aca="false">IF(F923="","",IFERROR(INDEX(請求台帳!$D$5:$D$504,MATCH(F923,請求台帳!$A$5:$A$504,0)),""))</f>
        <v/>
      </c>
      <c r="H923" s="26" t="str">
        <f aca="false">IF(F923="","",IFERROR(INDEX(請求台帳!$I$5:$I$504,MATCH(F923,請求台帳!$A$5:$A$504,0)),""))</f>
        <v/>
      </c>
      <c r="I923" s="29" t="str">
        <f aca="false">IF(COUNTA(B923,D923,E923,F923)=0,"",IF(OR(B923="",E923=""),"要入力",IF(F923="","未消込",IF(ISNA(MATCH(F923,請求台帳!$A$5:$A$504,0)),"番号誤り",IF(INDEX(請求台帳!$T$5:$T$504,MATCH(F923,請求台帳!$A$5:$A$504,0))="取消","取消請求へ消込","消込済")))))</f>
        <v/>
      </c>
      <c r="J923" s="28"/>
      <c r="K923" s="28"/>
    </row>
    <row r="924" customFormat="false" ht="15" hidden="false" customHeight="false" outlineLevel="0" collapsed="false">
      <c r="A924" s="32" t="str">
        <f aca="false">IF(COUNTA(B924,D924,E924,F924)=0,"",ROW()-4)</f>
        <v/>
      </c>
      <c r="B924" s="22"/>
      <c r="C924" s="28"/>
      <c r="D924" s="28"/>
      <c r="E924" s="18"/>
      <c r="F924" s="28"/>
      <c r="G924" s="32" t="str">
        <f aca="false">IF(F924="","",IFERROR(INDEX(請求台帳!$D$5:$D$504,MATCH(F924,請求台帳!$A$5:$A$504,0)),""))</f>
        <v/>
      </c>
      <c r="H924" s="26" t="str">
        <f aca="false">IF(F924="","",IFERROR(INDEX(請求台帳!$I$5:$I$504,MATCH(F924,請求台帳!$A$5:$A$504,0)),""))</f>
        <v/>
      </c>
      <c r="I924" s="29" t="str">
        <f aca="false">IF(COUNTA(B924,D924,E924,F924)=0,"",IF(OR(B924="",E924=""),"要入力",IF(F924="","未消込",IF(ISNA(MATCH(F924,請求台帳!$A$5:$A$504,0)),"番号誤り",IF(INDEX(請求台帳!$T$5:$T$504,MATCH(F924,請求台帳!$A$5:$A$504,0))="取消","取消請求へ消込","消込済")))))</f>
        <v/>
      </c>
      <c r="J924" s="28"/>
      <c r="K924" s="28"/>
    </row>
    <row r="925" customFormat="false" ht="15" hidden="false" customHeight="false" outlineLevel="0" collapsed="false">
      <c r="A925" s="32" t="str">
        <f aca="false">IF(COUNTA(B925,D925,E925,F925)=0,"",ROW()-4)</f>
        <v/>
      </c>
      <c r="B925" s="22"/>
      <c r="C925" s="28"/>
      <c r="D925" s="28"/>
      <c r="E925" s="18"/>
      <c r="F925" s="28"/>
      <c r="G925" s="32" t="str">
        <f aca="false">IF(F925="","",IFERROR(INDEX(請求台帳!$D$5:$D$504,MATCH(F925,請求台帳!$A$5:$A$504,0)),""))</f>
        <v/>
      </c>
      <c r="H925" s="26" t="str">
        <f aca="false">IF(F925="","",IFERROR(INDEX(請求台帳!$I$5:$I$504,MATCH(F925,請求台帳!$A$5:$A$504,0)),""))</f>
        <v/>
      </c>
      <c r="I925" s="29" t="str">
        <f aca="false">IF(COUNTA(B925,D925,E925,F925)=0,"",IF(OR(B925="",E925=""),"要入力",IF(F925="","未消込",IF(ISNA(MATCH(F925,請求台帳!$A$5:$A$504,0)),"番号誤り",IF(INDEX(請求台帳!$T$5:$T$504,MATCH(F925,請求台帳!$A$5:$A$504,0))="取消","取消請求へ消込","消込済")))))</f>
        <v/>
      </c>
      <c r="J925" s="28"/>
      <c r="K925" s="28"/>
    </row>
    <row r="926" customFormat="false" ht="15" hidden="false" customHeight="false" outlineLevel="0" collapsed="false">
      <c r="A926" s="32" t="str">
        <f aca="false">IF(COUNTA(B926,D926,E926,F926)=0,"",ROW()-4)</f>
        <v/>
      </c>
      <c r="B926" s="22"/>
      <c r="C926" s="28"/>
      <c r="D926" s="28"/>
      <c r="E926" s="18"/>
      <c r="F926" s="28"/>
      <c r="G926" s="32" t="str">
        <f aca="false">IF(F926="","",IFERROR(INDEX(請求台帳!$D$5:$D$504,MATCH(F926,請求台帳!$A$5:$A$504,0)),""))</f>
        <v/>
      </c>
      <c r="H926" s="26" t="str">
        <f aca="false">IF(F926="","",IFERROR(INDEX(請求台帳!$I$5:$I$504,MATCH(F926,請求台帳!$A$5:$A$504,0)),""))</f>
        <v/>
      </c>
      <c r="I926" s="29" t="str">
        <f aca="false">IF(COUNTA(B926,D926,E926,F926)=0,"",IF(OR(B926="",E926=""),"要入力",IF(F926="","未消込",IF(ISNA(MATCH(F926,請求台帳!$A$5:$A$504,0)),"番号誤り",IF(INDEX(請求台帳!$T$5:$T$504,MATCH(F926,請求台帳!$A$5:$A$504,0))="取消","取消請求へ消込","消込済")))))</f>
        <v/>
      </c>
      <c r="J926" s="28"/>
      <c r="K926" s="28"/>
    </row>
    <row r="927" customFormat="false" ht="15" hidden="false" customHeight="false" outlineLevel="0" collapsed="false">
      <c r="A927" s="32" t="str">
        <f aca="false">IF(COUNTA(B927,D927,E927,F927)=0,"",ROW()-4)</f>
        <v/>
      </c>
      <c r="B927" s="22"/>
      <c r="C927" s="28"/>
      <c r="D927" s="28"/>
      <c r="E927" s="18"/>
      <c r="F927" s="28"/>
      <c r="G927" s="32" t="str">
        <f aca="false">IF(F927="","",IFERROR(INDEX(請求台帳!$D$5:$D$504,MATCH(F927,請求台帳!$A$5:$A$504,0)),""))</f>
        <v/>
      </c>
      <c r="H927" s="26" t="str">
        <f aca="false">IF(F927="","",IFERROR(INDEX(請求台帳!$I$5:$I$504,MATCH(F927,請求台帳!$A$5:$A$504,0)),""))</f>
        <v/>
      </c>
      <c r="I927" s="29" t="str">
        <f aca="false">IF(COUNTA(B927,D927,E927,F927)=0,"",IF(OR(B927="",E927=""),"要入力",IF(F927="","未消込",IF(ISNA(MATCH(F927,請求台帳!$A$5:$A$504,0)),"番号誤り",IF(INDEX(請求台帳!$T$5:$T$504,MATCH(F927,請求台帳!$A$5:$A$504,0))="取消","取消請求へ消込","消込済")))))</f>
        <v/>
      </c>
      <c r="J927" s="28"/>
      <c r="K927" s="28"/>
    </row>
    <row r="928" customFormat="false" ht="15" hidden="false" customHeight="false" outlineLevel="0" collapsed="false">
      <c r="A928" s="32" t="str">
        <f aca="false">IF(COUNTA(B928,D928,E928,F928)=0,"",ROW()-4)</f>
        <v/>
      </c>
      <c r="B928" s="22"/>
      <c r="C928" s="28"/>
      <c r="D928" s="28"/>
      <c r="E928" s="18"/>
      <c r="F928" s="28"/>
      <c r="G928" s="32" t="str">
        <f aca="false">IF(F928="","",IFERROR(INDEX(請求台帳!$D$5:$D$504,MATCH(F928,請求台帳!$A$5:$A$504,0)),""))</f>
        <v/>
      </c>
      <c r="H928" s="26" t="str">
        <f aca="false">IF(F928="","",IFERROR(INDEX(請求台帳!$I$5:$I$504,MATCH(F928,請求台帳!$A$5:$A$504,0)),""))</f>
        <v/>
      </c>
      <c r="I928" s="29" t="str">
        <f aca="false">IF(COUNTA(B928,D928,E928,F928)=0,"",IF(OR(B928="",E928=""),"要入力",IF(F928="","未消込",IF(ISNA(MATCH(F928,請求台帳!$A$5:$A$504,0)),"番号誤り",IF(INDEX(請求台帳!$T$5:$T$504,MATCH(F928,請求台帳!$A$5:$A$504,0))="取消","取消請求へ消込","消込済")))))</f>
        <v/>
      </c>
      <c r="J928" s="28"/>
      <c r="K928" s="28"/>
    </row>
    <row r="929" customFormat="false" ht="15" hidden="false" customHeight="false" outlineLevel="0" collapsed="false">
      <c r="A929" s="32" t="str">
        <f aca="false">IF(COUNTA(B929,D929,E929,F929)=0,"",ROW()-4)</f>
        <v/>
      </c>
      <c r="B929" s="22"/>
      <c r="C929" s="28"/>
      <c r="D929" s="28"/>
      <c r="E929" s="18"/>
      <c r="F929" s="28"/>
      <c r="G929" s="32" t="str">
        <f aca="false">IF(F929="","",IFERROR(INDEX(請求台帳!$D$5:$D$504,MATCH(F929,請求台帳!$A$5:$A$504,0)),""))</f>
        <v/>
      </c>
      <c r="H929" s="26" t="str">
        <f aca="false">IF(F929="","",IFERROR(INDEX(請求台帳!$I$5:$I$504,MATCH(F929,請求台帳!$A$5:$A$504,0)),""))</f>
        <v/>
      </c>
      <c r="I929" s="29" t="str">
        <f aca="false">IF(COUNTA(B929,D929,E929,F929)=0,"",IF(OR(B929="",E929=""),"要入力",IF(F929="","未消込",IF(ISNA(MATCH(F929,請求台帳!$A$5:$A$504,0)),"番号誤り",IF(INDEX(請求台帳!$T$5:$T$504,MATCH(F929,請求台帳!$A$5:$A$504,0))="取消","取消請求へ消込","消込済")))))</f>
        <v/>
      </c>
      <c r="J929" s="28"/>
      <c r="K929" s="28"/>
    </row>
    <row r="930" customFormat="false" ht="15" hidden="false" customHeight="false" outlineLevel="0" collapsed="false">
      <c r="A930" s="32" t="str">
        <f aca="false">IF(COUNTA(B930,D930,E930,F930)=0,"",ROW()-4)</f>
        <v/>
      </c>
      <c r="B930" s="22"/>
      <c r="C930" s="28"/>
      <c r="D930" s="28"/>
      <c r="E930" s="18"/>
      <c r="F930" s="28"/>
      <c r="G930" s="32" t="str">
        <f aca="false">IF(F930="","",IFERROR(INDEX(請求台帳!$D$5:$D$504,MATCH(F930,請求台帳!$A$5:$A$504,0)),""))</f>
        <v/>
      </c>
      <c r="H930" s="26" t="str">
        <f aca="false">IF(F930="","",IFERROR(INDEX(請求台帳!$I$5:$I$504,MATCH(F930,請求台帳!$A$5:$A$504,0)),""))</f>
        <v/>
      </c>
      <c r="I930" s="29" t="str">
        <f aca="false">IF(COUNTA(B930,D930,E930,F930)=0,"",IF(OR(B930="",E930=""),"要入力",IF(F930="","未消込",IF(ISNA(MATCH(F930,請求台帳!$A$5:$A$504,0)),"番号誤り",IF(INDEX(請求台帳!$T$5:$T$504,MATCH(F930,請求台帳!$A$5:$A$504,0))="取消","取消請求へ消込","消込済")))))</f>
        <v/>
      </c>
      <c r="J930" s="28"/>
      <c r="K930" s="28"/>
    </row>
    <row r="931" customFormat="false" ht="15" hidden="false" customHeight="false" outlineLevel="0" collapsed="false">
      <c r="A931" s="32" t="str">
        <f aca="false">IF(COUNTA(B931,D931,E931,F931)=0,"",ROW()-4)</f>
        <v/>
      </c>
      <c r="B931" s="22"/>
      <c r="C931" s="28"/>
      <c r="D931" s="28"/>
      <c r="E931" s="18"/>
      <c r="F931" s="28"/>
      <c r="G931" s="32" t="str">
        <f aca="false">IF(F931="","",IFERROR(INDEX(請求台帳!$D$5:$D$504,MATCH(F931,請求台帳!$A$5:$A$504,0)),""))</f>
        <v/>
      </c>
      <c r="H931" s="26" t="str">
        <f aca="false">IF(F931="","",IFERROR(INDEX(請求台帳!$I$5:$I$504,MATCH(F931,請求台帳!$A$5:$A$504,0)),""))</f>
        <v/>
      </c>
      <c r="I931" s="29" t="str">
        <f aca="false">IF(COUNTA(B931,D931,E931,F931)=0,"",IF(OR(B931="",E931=""),"要入力",IF(F931="","未消込",IF(ISNA(MATCH(F931,請求台帳!$A$5:$A$504,0)),"番号誤り",IF(INDEX(請求台帳!$T$5:$T$504,MATCH(F931,請求台帳!$A$5:$A$504,0))="取消","取消請求へ消込","消込済")))))</f>
        <v/>
      </c>
      <c r="J931" s="28"/>
      <c r="K931" s="28"/>
    </row>
    <row r="932" customFormat="false" ht="15" hidden="false" customHeight="false" outlineLevel="0" collapsed="false">
      <c r="A932" s="32" t="str">
        <f aca="false">IF(COUNTA(B932,D932,E932,F932)=0,"",ROW()-4)</f>
        <v/>
      </c>
      <c r="B932" s="22"/>
      <c r="C932" s="28"/>
      <c r="D932" s="28"/>
      <c r="E932" s="18"/>
      <c r="F932" s="28"/>
      <c r="G932" s="32" t="str">
        <f aca="false">IF(F932="","",IFERROR(INDEX(請求台帳!$D$5:$D$504,MATCH(F932,請求台帳!$A$5:$A$504,0)),""))</f>
        <v/>
      </c>
      <c r="H932" s="26" t="str">
        <f aca="false">IF(F932="","",IFERROR(INDEX(請求台帳!$I$5:$I$504,MATCH(F932,請求台帳!$A$5:$A$504,0)),""))</f>
        <v/>
      </c>
      <c r="I932" s="29" t="str">
        <f aca="false">IF(COUNTA(B932,D932,E932,F932)=0,"",IF(OR(B932="",E932=""),"要入力",IF(F932="","未消込",IF(ISNA(MATCH(F932,請求台帳!$A$5:$A$504,0)),"番号誤り",IF(INDEX(請求台帳!$T$5:$T$504,MATCH(F932,請求台帳!$A$5:$A$504,0))="取消","取消請求へ消込","消込済")))))</f>
        <v/>
      </c>
      <c r="J932" s="28"/>
      <c r="K932" s="28"/>
    </row>
    <row r="933" customFormat="false" ht="15" hidden="false" customHeight="false" outlineLevel="0" collapsed="false">
      <c r="A933" s="32" t="str">
        <f aca="false">IF(COUNTA(B933,D933,E933,F933)=0,"",ROW()-4)</f>
        <v/>
      </c>
      <c r="B933" s="22"/>
      <c r="C933" s="28"/>
      <c r="D933" s="28"/>
      <c r="E933" s="18"/>
      <c r="F933" s="28"/>
      <c r="G933" s="32" t="str">
        <f aca="false">IF(F933="","",IFERROR(INDEX(請求台帳!$D$5:$D$504,MATCH(F933,請求台帳!$A$5:$A$504,0)),""))</f>
        <v/>
      </c>
      <c r="H933" s="26" t="str">
        <f aca="false">IF(F933="","",IFERROR(INDEX(請求台帳!$I$5:$I$504,MATCH(F933,請求台帳!$A$5:$A$504,0)),""))</f>
        <v/>
      </c>
      <c r="I933" s="29" t="str">
        <f aca="false">IF(COUNTA(B933,D933,E933,F933)=0,"",IF(OR(B933="",E933=""),"要入力",IF(F933="","未消込",IF(ISNA(MATCH(F933,請求台帳!$A$5:$A$504,0)),"番号誤り",IF(INDEX(請求台帳!$T$5:$T$504,MATCH(F933,請求台帳!$A$5:$A$504,0))="取消","取消請求へ消込","消込済")))))</f>
        <v/>
      </c>
      <c r="J933" s="28"/>
      <c r="K933" s="28"/>
    </row>
    <row r="934" customFormat="false" ht="15" hidden="false" customHeight="false" outlineLevel="0" collapsed="false">
      <c r="A934" s="32" t="str">
        <f aca="false">IF(COUNTA(B934,D934,E934,F934)=0,"",ROW()-4)</f>
        <v/>
      </c>
      <c r="B934" s="22"/>
      <c r="C934" s="28"/>
      <c r="D934" s="28"/>
      <c r="E934" s="18"/>
      <c r="F934" s="28"/>
      <c r="G934" s="32" t="str">
        <f aca="false">IF(F934="","",IFERROR(INDEX(請求台帳!$D$5:$D$504,MATCH(F934,請求台帳!$A$5:$A$504,0)),""))</f>
        <v/>
      </c>
      <c r="H934" s="26" t="str">
        <f aca="false">IF(F934="","",IFERROR(INDEX(請求台帳!$I$5:$I$504,MATCH(F934,請求台帳!$A$5:$A$504,0)),""))</f>
        <v/>
      </c>
      <c r="I934" s="29" t="str">
        <f aca="false">IF(COUNTA(B934,D934,E934,F934)=0,"",IF(OR(B934="",E934=""),"要入力",IF(F934="","未消込",IF(ISNA(MATCH(F934,請求台帳!$A$5:$A$504,0)),"番号誤り",IF(INDEX(請求台帳!$T$5:$T$504,MATCH(F934,請求台帳!$A$5:$A$504,0))="取消","取消請求へ消込","消込済")))))</f>
        <v/>
      </c>
      <c r="J934" s="28"/>
      <c r="K934" s="28"/>
    </row>
    <row r="935" customFormat="false" ht="15" hidden="false" customHeight="false" outlineLevel="0" collapsed="false">
      <c r="A935" s="32" t="str">
        <f aca="false">IF(COUNTA(B935,D935,E935,F935)=0,"",ROW()-4)</f>
        <v/>
      </c>
      <c r="B935" s="22"/>
      <c r="C935" s="28"/>
      <c r="D935" s="28"/>
      <c r="E935" s="18"/>
      <c r="F935" s="28"/>
      <c r="G935" s="32" t="str">
        <f aca="false">IF(F935="","",IFERROR(INDEX(請求台帳!$D$5:$D$504,MATCH(F935,請求台帳!$A$5:$A$504,0)),""))</f>
        <v/>
      </c>
      <c r="H935" s="26" t="str">
        <f aca="false">IF(F935="","",IFERROR(INDEX(請求台帳!$I$5:$I$504,MATCH(F935,請求台帳!$A$5:$A$504,0)),""))</f>
        <v/>
      </c>
      <c r="I935" s="29" t="str">
        <f aca="false">IF(COUNTA(B935,D935,E935,F935)=0,"",IF(OR(B935="",E935=""),"要入力",IF(F935="","未消込",IF(ISNA(MATCH(F935,請求台帳!$A$5:$A$504,0)),"番号誤り",IF(INDEX(請求台帳!$T$5:$T$504,MATCH(F935,請求台帳!$A$5:$A$504,0))="取消","取消請求へ消込","消込済")))))</f>
        <v/>
      </c>
      <c r="J935" s="28"/>
      <c r="K935" s="28"/>
    </row>
    <row r="936" customFormat="false" ht="15" hidden="false" customHeight="false" outlineLevel="0" collapsed="false">
      <c r="A936" s="32" t="str">
        <f aca="false">IF(COUNTA(B936,D936,E936,F936)=0,"",ROW()-4)</f>
        <v/>
      </c>
      <c r="B936" s="22"/>
      <c r="C936" s="28"/>
      <c r="D936" s="28"/>
      <c r="E936" s="18"/>
      <c r="F936" s="28"/>
      <c r="G936" s="32" t="str">
        <f aca="false">IF(F936="","",IFERROR(INDEX(請求台帳!$D$5:$D$504,MATCH(F936,請求台帳!$A$5:$A$504,0)),""))</f>
        <v/>
      </c>
      <c r="H936" s="26" t="str">
        <f aca="false">IF(F936="","",IFERROR(INDEX(請求台帳!$I$5:$I$504,MATCH(F936,請求台帳!$A$5:$A$504,0)),""))</f>
        <v/>
      </c>
      <c r="I936" s="29" t="str">
        <f aca="false">IF(COUNTA(B936,D936,E936,F936)=0,"",IF(OR(B936="",E936=""),"要入力",IF(F936="","未消込",IF(ISNA(MATCH(F936,請求台帳!$A$5:$A$504,0)),"番号誤り",IF(INDEX(請求台帳!$T$5:$T$504,MATCH(F936,請求台帳!$A$5:$A$504,0))="取消","取消請求へ消込","消込済")))))</f>
        <v/>
      </c>
      <c r="J936" s="28"/>
      <c r="K936" s="28"/>
    </row>
    <row r="937" customFormat="false" ht="15" hidden="false" customHeight="false" outlineLevel="0" collapsed="false">
      <c r="A937" s="32" t="str">
        <f aca="false">IF(COUNTA(B937,D937,E937,F937)=0,"",ROW()-4)</f>
        <v/>
      </c>
      <c r="B937" s="22"/>
      <c r="C937" s="28"/>
      <c r="D937" s="28"/>
      <c r="E937" s="18"/>
      <c r="F937" s="28"/>
      <c r="G937" s="32" t="str">
        <f aca="false">IF(F937="","",IFERROR(INDEX(請求台帳!$D$5:$D$504,MATCH(F937,請求台帳!$A$5:$A$504,0)),""))</f>
        <v/>
      </c>
      <c r="H937" s="26" t="str">
        <f aca="false">IF(F937="","",IFERROR(INDEX(請求台帳!$I$5:$I$504,MATCH(F937,請求台帳!$A$5:$A$504,0)),""))</f>
        <v/>
      </c>
      <c r="I937" s="29" t="str">
        <f aca="false">IF(COUNTA(B937,D937,E937,F937)=0,"",IF(OR(B937="",E937=""),"要入力",IF(F937="","未消込",IF(ISNA(MATCH(F937,請求台帳!$A$5:$A$504,0)),"番号誤り",IF(INDEX(請求台帳!$T$5:$T$504,MATCH(F937,請求台帳!$A$5:$A$504,0))="取消","取消請求へ消込","消込済")))))</f>
        <v/>
      </c>
      <c r="J937" s="28"/>
      <c r="K937" s="28"/>
    </row>
    <row r="938" customFormat="false" ht="15" hidden="false" customHeight="false" outlineLevel="0" collapsed="false">
      <c r="A938" s="32" t="str">
        <f aca="false">IF(COUNTA(B938,D938,E938,F938)=0,"",ROW()-4)</f>
        <v/>
      </c>
      <c r="B938" s="22"/>
      <c r="C938" s="28"/>
      <c r="D938" s="28"/>
      <c r="E938" s="18"/>
      <c r="F938" s="28"/>
      <c r="G938" s="32" t="str">
        <f aca="false">IF(F938="","",IFERROR(INDEX(請求台帳!$D$5:$D$504,MATCH(F938,請求台帳!$A$5:$A$504,0)),""))</f>
        <v/>
      </c>
      <c r="H938" s="26" t="str">
        <f aca="false">IF(F938="","",IFERROR(INDEX(請求台帳!$I$5:$I$504,MATCH(F938,請求台帳!$A$5:$A$504,0)),""))</f>
        <v/>
      </c>
      <c r="I938" s="29" t="str">
        <f aca="false">IF(COUNTA(B938,D938,E938,F938)=0,"",IF(OR(B938="",E938=""),"要入力",IF(F938="","未消込",IF(ISNA(MATCH(F938,請求台帳!$A$5:$A$504,0)),"番号誤り",IF(INDEX(請求台帳!$T$5:$T$504,MATCH(F938,請求台帳!$A$5:$A$504,0))="取消","取消請求へ消込","消込済")))))</f>
        <v/>
      </c>
      <c r="J938" s="28"/>
      <c r="K938" s="28"/>
    </row>
    <row r="939" customFormat="false" ht="15" hidden="false" customHeight="false" outlineLevel="0" collapsed="false">
      <c r="A939" s="32" t="str">
        <f aca="false">IF(COUNTA(B939,D939,E939,F939)=0,"",ROW()-4)</f>
        <v/>
      </c>
      <c r="B939" s="22"/>
      <c r="C939" s="28"/>
      <c r="D939" s="28"/>
      <c r="E939" s="18"/>
      <c r="F939" s="28"/>
      <c r="G939" s="32" t="str">
        <f aca="false">IF(F939="","",IFERROR(INDEX(請求台帳!$D$5:$D$504,MATCH(F939,請求台帳!$A$5:$A$504,0)),""))</f>
        <v/>
      </c>
      <c r="H939" s="26" t="str">
        <f aca="false">IF(F939="","",IFERROR(INDEX(請求台帳!$I$5:$I$504,MATCH(F939,請求台帳!$A$5:$A$504,0)),""))</f>
        <v/>
      </c>
      <c r="I939" s="29" t="str">
        <f aca="false">IF(COUNTA(B939,D939,E939,F939)=0,"",IF(OR(B939="",E939=""),"要入力",IF(F939="","未消込",IF(ISNA(MATCH(F939,請求台帳!$A$5:$A$504,0)),"番号誤り",IF(INDEX(請求台帳!$T$5:$T$504,MATCH(F939,請求台帳!$A$5:$A$504,0))="取消","取消請求へ消込","消込済")))))</f>
        <v/>
      </c>
      <c r="J939" s="28"/>
      <c r="K939" s="28"/>
    </row>
    <row r="940" customFormat="false" ht="15" hidden="false" customHeight="false" outlineLevel="0" collapsed="false">
      <c r="A940" s="32" t="str">
        <f aca="false">IF(COUNTA(B940,D940,E940,F940)=0,"",ROW()-4)</f>
        <v/>
      </c>
      <c r="B940" s="22"/>
      <c r="C940" s="28"/>
      <c r="D940" s="28"/>
      <c r="E940" s="18"/>
      <c r="F940" s="28"/>
      <c r="G940" s="32" t="str">
        <f aca="false">IF(F940="","",IFERROR(INDEX(請求台帳!$D$5:$D$504,MATCH(F940,請求台帳!$A$5:$A$504,0)),""))</f>
        <v/>
      </c>
      <c r="H940" s="26" t="str">
        <f aca="false">IF(F940="","",IFERROR(INDEX(請求台帳!$I$5:$I$504,MATCH(F940,請求台帳!$A$5:$A$504,0)),""))</f>
        <v/>
      </c>
      <c r="I940" s="29" t="str">
        <f aca="false">IF(COUNTA(B940,D940,E940,F940)=0,"",IF(OR(B940="",E940=""),"要入力",IF(F940="","未消込",IF(ISNA(MATCH(F940,請求台帳!$A$5:$A$504,0)),"番号誤り",IF(INDEX(請求台帳!$T$5:$T$504,MATCH(F940,請求台帳!$A$5:$A$504,0))="取消","取消請求へ消込","消込済")))))</f>
        <v/>
      </c>
      <c r="J940" s="28"/>
      <c r="K940" s="28"/>
    </row>
    <row r="941" customFormat="false" ht="15" hidden="false" customHeight="false" outlineLevel="0" collapsed="false">
      <c r="A941" s="32" t="str">
        <f aca="false">IF(COUNTA(B941,D941,E941,F941)=0,"",ROW()-4)</f>
        <v/>
      </c>
      <c r="B941" s="22"/>
      <c r="C941" s="28"/>
      <c r="D941" s="28"/>
      <c r="E941" s="18"/>
      <c r="F941" s="28"/>
      <c r="G941" s="32" t="str">
        <f aca="false">IF(F941="","",IFERROR(INDEX(請求台帳!$D$5:$D$504,MATCH(F941,請求台帳!$A$5:$A$504,0)),""))</f>
        <v/>
      </c>
      <c r="H941" s="26" t="str">
        <f aca="false">IF(F941="","",IFERROR(INDEX(請求台帳!$I$5:$I$504,MATCH(F941,請求台帳!$A$5:$A$504,0)),""))</f>
        <v/>
      </c>
      <c r="I941" s="29" t="str">
        <f aca="false">IF(COUNTA(B941,D941,E941,F941)=0,"",IF(OR(B941="",E941=""),"要入力",IF(F941="","未消込",IF(ISNA(MATCH(F941,請求台帳!$A$5:$A$504,0)),"番号誤り",IF(INDEX(請求台帳!$T$5:$T$504,MATCH(F941,請求台帳!$A$5:$A$504,0))="取消","取消請求へ消込","消込済")))))</f>
        <v/>
      </c>
      <c r="J941" s="28"/>
      <c r="K941" s="28"/>
    </row>
    <row r="942" customFormat="false" ht="15" hidden="false" customHeight="false" outlineLevel="0" collapsed="false">
      <c r="A942" s="32" t="str">
        <f aca="false">IF(COUNTA(B942,D942,E942,F942)=0,"",ROW()-4)</f>
        <v/>
      </c>
      <c r="B942" s="22"/>
      <c r="C942" s="28"/>
      <c r="D942" s="28"/>
      <c r="E942" s="18"/>
      <c r="F942" s="28"/>
      <c r="G942" s="32" t="str">
        <f aca="false">IF(F942="","",IFERROR(INDEX(請求台帳!$D$5:$D$504,MATCH(F942,請求台帳!$A$5:$A$504,0)),""))</f>
        <v/>
      </c>
      <c r="H942" s="26" t="str">
        <f aca="false">IF(F942="","",IFERROR(INDEX(請求台帳!$I$5:$I$504,MATCH(F942,請求台帳!$A$5:$A$504,0)),""))</f>
        <v/>
      </c>
      <c r="I942" s="29" t="str">
        <f aca="false">IF(COUNTA(B942,D942,E942,F942)=0,"",IF(OR(B942="",E942=""),"要入力",IF(F942="","未消込",IF(ISNA(MATCH(F942,請求台帳!$A$5:$A$504,0)),"番号誤り",IF(INDEX(請求台帳!$T$5:$T$504,MATCH(F942,請求台帳!$A$5:$A$504,0))="取消","取消請求へ消込","消込済")))))</f>
        <v/>
      </c>
      <c r="J942" s="28"/>
      <c r="K942" s="28"/>
    </row>
    <row r="943" customFormat="false" ht="15" hidden="false" customHeight="false" outlineLevel="0" collapsed="false">
      <c r="A943" s="32" t="str">
        <f aca="false">IF(COUNTA(B943,D943,E943,F943)=0,"",ROW()-4)</f>
        <v/>
      </c>
      <c r="B943" s="22"/>
      <c r="C943" s="28"/>
      <c r="D943" s="28"/>
      <c r="E943" s="18"/>
      <c r="F943" s="28"/>
      <c r="G943" s="32" t="str">
        <f aca="false">IF(F943="","",IFERROR(INDEX(請求台帳!$D$5:$D$504,MATCH(F943,請求台帳!$A$5:$A$504,0)),""))</f>
        <v/>
      </c>
      <c r="H943" s="26" t="str">
        <f aca="false">IF(F943="","",IFERROR(INDEX(請求台帳!$I$5:$I$504,MATCH(F943,請求台帳!$A$5:$A$504,0)),""))</f>
        <v/>
      </c>
      <c r="I943" s="29" t="str">
        <f aca="false">IF(COUNTA(B943,D943,E943,F943)=0,"",IF(OR(B943="",E943=""),"要入力",IF(F943="","未消込",IF(ISNA(MATCH(F943,請求台帳!$A$5:$A$504,0)),"番号誤り",IF(INDEX(請求台帳!$T$5:$T$504,MATCH(F943,請求台帳!$A$5:$A$504,0))="取消","取消請求へ消込","消込済")))))</f>
        <v/>
      </c>
      <c r="J943" s="28"/>
      <c r="K943" s="28"/>
    </row>
    <row r="944" customFormat="false" ht="15" hidden="false" customHeight="false" outlineLevel="0" collapsed="false">
      <c r="A944" s="32" t="str">
        <f aca="false">IF(COUNTA(B944,D944,E944,F944)=0,"",ROW()-4)</f>
        <v/>
      </c>
      <c r="B944" s="22"/>
      <c r="C944" s="28"/>
      <c r="D944" s="28"/>
      <c r="E944" s="18"/>
      <c r="F944" s="28"/>
      <c r="G944" s="32" t="str">
        <f aca="false">IF(F944="","",IFERROR(INDEX(請求台帳!$D$5:$D$504,MATCH(F944,請求台帳!$A$5:$A$504,0)),""))</f>
        <v/>
      </c>
      <c r="H944" s="26" t="str">
        <f aca="false">IF(F944="","",IFERROR(INDEX(請求台帳!$I$5:$I$504,MATCH(F944,請求台帳!$A$5:$A$504,0)),""))</f>
        <v/>
      </c>
      <c r="I944" s="29" t="str">
        <f aca="false">IF(COUNTA(B944,D944,E944,F944)=0,"",IF(OR(B944="",E944=""),"要入力",IF(F944="","未消込",IF(ISNA(MATCH(F944,請求台帳!$A$5:$A$504,0)),"番号誤り",IF(INDEX(請求台帳!$T$5:$T$504,MATCH(F944,請求台帳!$A$5:$A$504,0))="取消","取消請求へ消込","消込済")))))</f>
        <v/>
      </c>
      <c r="J944" s="28"/>
      <c r="K944" s="28"/>
    </row>
    <row r="945" customFormat="false" ht="15" hidden="false" customHeight="false" outlineLevel="0" collapsed="false">
      <c r="A945" s="32" t="str">
        <f aca="false">IF(COUNTA(B945,D945,E945,F945)=0,"",ROW()-4)</f>
        <v/>
      </c>
      <c r="B945" s="22"/>
      <c r="C945" s="28"/>
      <c r="D945" s="28"/>
      <c r="E945" s="18"/>
      <c r="F945" s="28"/>
      <c r="G945" s="32" t="str">
        <f aca="false">IF(F945="","",IFERROR(INDEX(請求台帳!$D$5:$D$504,MATCH(F945,請求台帳!$A$5:$A$504,0)),""))</f>
        <v/>
      </c>
      <c r="H945" s="26" t="str">
        <f aca="false">IF(F945="","",IFERROR(INDEX(請求台帳!$I$5:$I$504,MATCH(F945,請求台帳!$A$5:$A$504,0)),""))</f>
        <v/>
      </c>
      <c r="I945" s="29" t="str">
        <f aca="false">IF(COUNTA(B945,D945,E945,F945)=0,"",IF(OR(B945="",E945=""),"要入力",IF(F945="","未消込",IF(ISNA(MATCH(F945,請求台帳!$A$5:$A$504,0)),"番号誤り",IF(INDEX(請求台帳!$T$5:$T$504,MATCH(F945,請求台帳!$A$5:$A$504,0))="取消","取消請求へ消込","消込済")))))</f>
        <v/>
      </c>
      <c r="J945" s="28"/>
      <c r="K945" s="28"/>
    </row>
    <row r="946" customFormat="false" ht="15" hidden="false" customHeight="false" outlineLevel="0" collapsed="false">
      <c r="A946" s="32" t="str">
        <f aca="false">IF(COUNTA(B946,D946,E946,F946)=0,"",ROW()-4)</f>
        <v/>
      </c>
      <c r="B946" s="22"/>
      <c r="C946" s="28"/>
      <c r="D946" s="28"/>
      <c r="E946" s="18"/>
      <c r="F946" s="28"/>
      <c r="G946" s="32" t="str">
        <f aca="false">IF(F946="","",IFERROR(INDEX(請求台帳!$D$5:$D$504,MATCH(F946,請求台帳!$A$5:$A$504,0)),""))</f>
        <v/>
      </c>
      <c r="H946" s="26" t="str">
        <f aca="false">IF(F946="","",IFERROR(INDEX(請求台帳!$I$5:$I$504,MATCH(F946,請求台帳!$A$5:$A$504,0)),""))</f>
        <v/>
      </c>
      <c r="I946" s="29" t="str">
        <f aca="false">IF(COUNTA(B946,D946,E946,F946)=0,"",IF(OR(B946="",E946=""),"要入力",IF(F946="","未消込",IF(ISNA(MATCH(F946,請求台帳!$A$5:$A$504,0)),"番号誤り",IF(INDEX(請求台帳!$T$5:$T$504,MATCH(F946,請求台帳!$A$5:$A$504,0))="取消","取消請求へ消込","消込済")))))</f>
        <v/>
      </c>
      <c r="J946" s="28"/>
      <c r="K946" s="28"/>
    </row>
    <row r="947" customFormat="false" ht="15" hidden="false" customHeight="false" outlineLevel="0" collapsed="false">
      <c r="A947" s="32" t="str">
        <f aca="false">IF(COUNTA(B947,D947,E947,F947)=0,"",ROW()-4)</f>
        <v/>
      </c>
      <c r="B947" s="22"/>
      <c r="C947" s="28"/>
      <c r="D947" s="28"/>
      <c r="E947" s="18"/>
      <c r="F947" s="28"/>
      <c r="G947" s="32" t="str">
        <f aca="false">IF(F947="","",IFERROR(INDEX(請求台帳!$D$5:$D$504,MATCH(F947,請求台帳!$A$5:$A$504,0)),""))</f>
        <v/>
      </c>
      <c r="H947" s="26" t="str">
        <f aca="false">IF(F947="","",IFERROR(INDEX(請求台帳!$I$5:$I$504,MATCH(F947,請求台帳!$A$5:$A$504,0)),""))</f>
        <v/>
      </c>
      <c r="I947" s="29" t="str">
        <f aca="false">IF(COUNTA(B947,D947,E947,F947)=0,"",IF(OR(B947="",E947=""),"要入力",IF(F947="","未消込",IF(ISNA(MATCH(F947,請求台帳!$A$5:$A$504,0)),"番号誤り",IF(INDEX(請求台帳!$T$5:$T$504,MATCH(F947,請求台帳!$A$5:$A$504,0))="取消","取消請求へ消込","消込済")))))</f>
        <v/>
      </c>
      <c r="J947" s="28"/>
      <c r="K947" s="28"/>
    </row>
    <row r="948" customFormat="false" ht="15" hidden="false" customHeight="false" outlineLevel="0" collapsed="false">
      <c r="A948" s="32" t="str">
        <f aca="false">IF(COUNTA(B948,D948,E948,F948)=0,"",ROW()-4)</f>
        <v/>
      </c>
      <c r="B948" s="22"/>
      <c r="C948" s="28"/>
      <c r="D948" s="28"/>
      <c r="E948" s="18"/>
      <c r="F948" s="28"/>
      <c r="G948" s="32" t="str">
        <f aca="false">IF(F948="","",IFERROR(INDEX(請求台帳!$D$5:$D$504,MATCH(F948,請求台帳!$A$5:$A$504,0)),""))</f>
        <v/>
      </c>
      <c r="H948" s="26" t="str">
        <f aca="false">IF(F948="","",IFERROR(INDEX(請求台帳!$I$5:$I$504,MATCH(F948,請求台帳!$A$5:$A$504,0)),""))</f>
        <v/>
      </c>
      <c r="I948" s="29" t="str">
        <f aca="false">IF(COUNTA(B948,D948,E948,F948)=0,"",IF(OR(B948="",E948=""),"要入力",IF(F948="","未消込",IF(ISNA(MATCH(F948,請求台帳!$A$5:$A$504,0)),"番号誤り",IF(INDEX(請求台帳!$T$5:$T$504,MATCH(F948,請求台帳!$A$5:$A$504,0))="取消","取消請求へ消込","消込済")))))</f>
        <v/>
      </c>
      <c r="J948" s="28"/>
      <c r="K948" s="28"/>
    </row>
    <row r="949" customFormat="false" ht="15" hidden="false" customHeight="false" outlineLevel="0" collapsed="false">
      <c r="A949" s="32" t="str">
        <f aca="false">IF(COUNTA(B949,D949,E949,F949)=0,"",ROW()-4)</f>
        <v/>
      </c>
      <c r="B949" s="22"/>
      <c r="C949" s="28"/>
      <c r="D949" s="28"/>
      <c r="E949" s="18"/>
      <c r="F949" s="28"/>
      <c r="G949" s="32" t="str">
        <f aca="false">IF(F949="","",IFERROR(INDEX(請求台帳!$D$5:$D$504,MATCH(F949,請求台帳!$A$5:$A$504,0)),""))</f>
        <v/>
      </c>
      <c r="H949" s="26" t="str">
        <f aca="false">IF(F949="","",IFERROR(INDEX(請求台帳!$I$5:$I$504,MATCH(F949,請求台帳!$A$5:$A$504,0)),""))</f>
        <v/>
      </c>
      <c r="I949" s="29" t="str">
        <f aca="false">IF(COUNTA(B949,D949,E949,F949)=0,"",IF(OR(B949="",E949=""),"要入力",IF(F949="","未消込",IF(ISNA(MATCH(F949,請求台帳!$A$5:$A$504,0)),"番号誤り",IF(INDEX(請求台帳!$T$5:$T$504,MATCH(F949,請求台帳!$A$5:$A$504,0))="取消","取消請求へ消込","消込済")))))</f>
        <v/>
      </c>
      <c r="J949" s="28"/>
      <c r="K949" s="28"/>
    </row>
    <row r="950" customFormat="false" ht="15" hidden="false" customHeight="false" outlineLevel="0" collapsed="false">
      <c r="A950" s="32" t="str">
        <f aca="false">IF(COUNTA(B950,D950,E950,F950)=0,"",ROW()-4)</f>
        <v/>
      </c>
      <c r="B950" s="22"/>
      <c r="C950" s="28"/>
      <c r="D950" s="28"/>
      <c r="E950" s="18"/>
      <c r="F950" s="28"/>
      <c r="G950" s="32" t="str">
        <f aca="false">IF(F950="","",IFERROR(INDEX(請求台帳!$D$5:$D$504,MATCH(F950,請求台帳!$A$5:$A$504,0)),""))</f>
        <v/>
      </c>
      <c r="H950" s="26" t="str">
        <f aca="false">IF(F950="","",IFERROR(INDEX(請求台帳!$I$5:$I$504,MATCH(F950,請求台帳!$A$5:$A$504,0)),""))</f>
        <v/>
      </c>
      <c r="I950" s="29" t="str">
        <f aca="false">IF(COUNTA(B950,D950,E950,F950)=0,"",IF(OR(B950="",E950=""),"要入力",IF(F950="","未消込",IF(ISNA(MATCH(F950,請求台帳!$A$5:$A$504,0)),"番号誤り",IF(INDEX(請求台帳!$T$5:$T$504,MATCH(F950,請求台帳!$A$5:$A$504,0))="取消","取消請求へ消込","消込済")))))</f>
        <v/>
      </c>
      <c r="J950" s="28"/>
      <c r="K950" s="28"/>
    </row>
    <row r="951" customFormat="false" ht="15" hidden="false" customHeight="false" outlineLevel="0" collapsed="false">
      <c r="A951" s="32" t="str">
        <f aca="false">IF(COUNTA(B951,D951,E951,F951)=0,"",ROW()-4)</f>
        <v/>
      </c>
      <c r="B951" s="22"/>
      <c r="C951" s="28"/>
      <c r="D951" s="28"/>
      <c r="E951" s="18"/>
      <c r="F951" s="28"/>
      <c r="G951" s="32" t="str">
        <f aca="false">IF(F951="","",IFERROR(INDEX(請求台帳!$D$5:$D$504,MATCH(F951,請求台帳!$A$5:$A$504,0)),""))</f>
        <v/>
      </c>
      <c r="H951" s="26" t="str">
        <f aca="false">IF(F951="","",IFERROR(INDEX(請求台帳!$I$5:$I$504,MATCH(F951,請求台帳!$A$5:$A$504,0)),""))</f>
        <v/>
      </c>
      <c r="I951" s="29" t="str">
        <f aca="false">IF(COUNTA(B951,D951,E951,F951)=0,"",IF(OR(B951="",E951=""),"要入力",IF(F951="","未消込",IF(ISNA(MATCH(F951,請求台帳!$A$5:$A$504,0)),"番号誤り",IF(INDEX(請求台帳!$T$5:$T$504,MATCH(F951,請求台帳!$A$5:$A$504,0))="取消","取消請求へ消込","消込済")))))</f>
        <v/>
      </c>
      <c r="J951" s="28"/>
      <c r="K951" s="28"/>
    </row>
    <row r="952" customFormat="false" ht="15" hidden="false" customHeight="false" outlineLevel="0" collapsed="false">
      <c r="A952" s="32" t="str">
        <f aca="false">IF(COUNTA(B952,D952,E952,F952)=0,"",ROW()-4)</f>
        <v/>
      </c>
      <c r="B952" s="22"/>
      <c r="C952" s="28"/>
      <c r="D952" s="28"/>
      <c r="E952" s="18"/>
      <c r="F952" s="28"/>
      <c r="G952" s="32" t="str">
        <f aca="false">IF(F952="","",IFERROR(INDEX(請求台帳!$D$5:$D$504,MATCH(F952,請求台帳!$A$5:$A$504,0)),""))</f>
        <v/>
      </c>
      <c r="H952" s="26" t="str">
        <f aca="false">IF(F952="","",IFERROR(INDEX(請求台帳!$I$5:$I$504,MATCH(F952,請求台帳!$A$5:$A$504,0)),""))</f>
        <v/>
      </c>
      <c r="I952" s="29" t="str">
        <f aca="false">IF(COUNTA(B952,D952,E952,F952)=0,"",IF(OR(B952="",E952=""),"要入力",IF(F952="","未消込",IF(ISNA(MATCH(F952,請求台帳!$A$5:$A$504,0)),"番号誤り",IF(INDEX(請求台帳!$T$5:$T$504,MATCH(F952,請求台帳!$A$5:$A$504,0))="取消","取消請求へ消込","消込済")))))</f>
        <v/>
      </c>
      <c r="J952" s="28"/>
      <c r="K952" s="28"/>
    </row>
    <row r="953" customFormat="false" ht="15" hidden="false" customHeight="false" outlineLevel="0" collapsed="false">
      <c r="A953" s="32" t="str">
        <f aca="false">IF(COUNTA(B953,D953,E953,F953)=0,"",ROW()-4)</f>
        <v/>
      </c>
      <c r="B953" s="22"/>
      <c r="C953" s="28"/>
      <c r="D953" s="28"/>
      <c r="E953" s="18"/>
      <c r="F953" s="28"/>
      <c r="G953" s="32" t="str">
        <f aca="false">IF(F953="","",IFERROR(INDEX(請求台帳!$D$5:$D$504,MATCH(F953,請求台帳!$A$5:$A$504,0)),""))</f>
        <v/>
      </c>
      <c r="H953" s="26" t="str">
        <f aca="false">IF(F953="","",IFERROR(INDEX(請求台帳!$I$5:$I$504,MATCH(F953,請求台帳!$A$5:$A$504,0)),""))</f>
        <v/>
      </c>
      <c r="I953" s="29" t="str">
        <f aca="false">IF(COUNTA(B953,D953,E953,F953)=0,"",IF(OR(B953="",E953=""),"要入力",IF(F953="","未消込",IF(ISNA(MATCH(F953,請求台帳!$A$5:$A$504,0)),"番号誤り",IF(INDEX(請求台帳!$T$5:$T$504,MATCH(F953,請求台帳!$A$5:$A$504,0))="取消","取消請求へ消込","消込済")))))</f>
        <v/>
      </c>
      <c r="J953" s="28"/>
      <c r="K953" s="28"/>
    </row>
    <row r="954" customFormat="false" ht="15" hidden="false" customHeight="false" outlineLevel="0" collapsed="false">
      <c r="A954" s="32" t="str">
        <f aca="false">IF(COUNTA(B954,D954,E954,F954)=0,"",ROW()-4)</f>
        <v/>
      </c>
      <c r="B954" s="22"/>
      <c r="C954" s="28"/>
      <c r="D954" s="28"/>
      <c r="E954" s="18"/>
      <c r="F954" s="28"/>
      <c r="G954" s="32" t="str">
        <f aca="false">IF(F954="","",IFERROR(INDEX(請求台帳!$D$5:$D$504,MATCH(F954,請求台帳!$A$5:$A$504,0)),""))</f>
        <v/>
      </c>
      <c r="H954" s="26" t="str">
        <f aca="false">IF(F954="","",IFERROR(INDEX(請求台帳!$I$5:$I$504,MATCH(F954,請求台帳!$A$5:$A$504,0)),""))</f>
        <v/>
      </c>
      <c r="I954" s="29" t="str">
        <f aca="false">IF(COUNTA(B954,D954,E954,F954)=0,"",IF(OR(B954="",E954=""),"要入力",IF(F954="","未消込",IF(ISNA(MATCH(F954,請求台帳!$A$5:$A$504,0)),"番号誤り",IF(INDEX(請求台帳!$T$5:$T$504,MATCH(F954,請求台帳!$A$5:$A$504,0))="取消","取消請求へ消込","消込済")))))</f>
        <v/>
      </c>
      <c r="J954" s="28"/>
      <c r="K954" s="28"/>
    </row>
    <row r="955" customFormat="false" ht="15" hidden="false" customHeight="false" outlineLevel="0" collapsed="false">
      <c r="A955" s="32" t="str">
        <f aca="false">IF(COUNTA(B955,D955,E955,F955)=0,"",ROW()-4)</f>
        <v/>
      </c>
      <c r="B955" s="22"/>
      <c r="C955" s="28"/>
      <c r="D955" s="28"/>
      <c r="E955" s="18"/>
      <c r="F955" s="28"/>
      <c r="G955" s="32" t="str">
        <f aca="false">IF(F955="","",IFERROR(INDEX(請求台帳!$D$5:$D$504,MATCH(F955,請求台帳!$A$5:$A$504,0)),""))</f>
        <v/>
      </c>
      <c r="H955" s="26" t="str">
        <f aca="false">IF(F955="","",IFERROR(INDEX(請求台帳!$I$5:$I$504,MATCH(F955,請求台帳!$A$5:$A$504,0)),""))</f>
        <v/>
      </c>
      <c r="I955" s="29" t="str">
        <f aca="false">IF(COUNTA(B955,D955,E955,F955)=0,"",IF(OR(B955="",E955=""),"要入力",IF(F955="","未消込",IF(ISNA(MATCH(F955,請求台帳!$A$5:$A$504,0)),"番号誤り",IF(INDEX(請求台帳!$T$5:$T$504,MATCH(F955,請求台帳!$A$5:$A$504,0))="取消","取消請求へ消込","消込済")))))</f>
        <v/>
      </c>
      <c r="J955" s="28"/>
      <c r="K955" s="28"/>
    </row>
    <row r="956" customFormat="false" ht="15" hidden="false" customHeight="false" outlineLevel="0" collapsed="false">
      <c r="A956" s="32" t="str">
        <f aca="false">IF(COUNTA(B956,D956,E956,F956)=0,"",ROW()-4)</f>
        <v/>
      </c>
      <c r="B956" s="22"/>
      <c r="C956" s="28"/>
      <c r="D956" s="28"/>
      <c r="E956" s="18"/>
      <c r="F956" s="28"/>
      <c r="G956" s="32" t="str">
        <f aca="false">IF(F956="","",IFERROR(INDEX(請求台帳!$D$5:$D$504,MATCH(F956,請求台帳!$A$5:$A$504,0)),""))</f>
        <v/>
      </c>
      <c r="H956" s="26" t="str">
        <f aca="false">IF(F956="","",IFERROR(INDEX(請求台帳!$I$5:$I$504,MATCH(F956,請求台帳!$A$5:$A$504,0)),""))</f>
        <v/>
      </c>
      <c r="I956" s="29" t="str">
        <f aca="false">IF(COUNTA(B956,D956,E956,F956)=0,"",IF(OR(B956="",E956=""),"要入力",IF(F956="","未消込",IF(ISNA(MATCH(F956,請求台帳!$A$5:$A$504,0)),"番号誤り",IF(INDEX(請求台帳!$T$5:$T$504,MATCH(F956,請求台帳!$A$5:$A$504,0))="取消","取消請求へ消込","消込済")))))</f>
        <v/>
      </c>
      <c r="J956" s="28"/>
      <c r="K956" s="28"/>
    </row>
    <row r="957" customFormat="false" ht="15" hidden="false" customHeight="false" outlineLevel="0" collapsed="false">
      <c r="A957" s="32" t="str">
        <f aca="false">IF(COUNTA(B957,D957,E957,F957)=0,"",ROW()-4)</f>
        <v/>
      </c>
      <c r="B957" s="22"/>
      <c r="C957" s="28"/>
      <c r="D957" s="28"/>
      <c r="E957" s="18"/>
      <c r="F957" s="28"/>
      <c r="G957" s="32" t="str">
        <f aca="false">IF(F957="","",IFERROR(INDEX(請求台帳!$D$5:$D$504,MATCH(F957,請求台帳!$A$5:$A$504,0)),""))</f>
        <v/>
      </c>
      <c r="H957" s="26" t="str">
        <f aca="false">IF(F957="","",IFERROR(INDEX(請求台帳!$I$5:$I$504,MATCH(F957,請求台帳!$A$5:$A$504,0)),""))</f>
        <v/>
      </c>
      <c r="I957" s="29" t="str">
        <f aca="false">IF(COUNTA(B957,D957,E957,F957)=0,"",IF(OR(B957="",E957=""),"要入力",IF(F957="","未消込",IF(ISNA(MATCH(F957,請求台帳!$A$5:$A$504,0)),"番号誤り",IF(INDEX(請求台帳!$T$5:$T$504,MATCH(F957,請求台帳!$A$5:$A$504,0))="取消","取消請求へ消込","消込済")))))</f>
        <v/>
      </c>
      <c r="J957" s="28"/>
      <c r="K957" s="28"/>
    </row>
    <row r="958" customFormat="false" ht="15" hidden="false" customHeight="false" outlineLevel="0" collapsed="false">
      <c r="A958" s="32" t="str">
        <f aca="false">IF(COUNTA(B958,D958,E958,F958)=0,"",ROW()-4)</f>
        <v/>
      </c>
      <c r="B958" s="22"/>
      <c r="C958" s="28"/>
      <c r="D958" s="28"/>
      <c r="E958" s="18"/>
      <c r="F958" s="28"/>
      <c r="G958" s="32" t="str">
        <f aca="false">IF(F958="","",IFERROR(INDEX(請求台帳!$D$5:$D$504,MATCH(F958,請求台帳!$A$5:$A$504,0)),""))</f>
        <v/>
      </c>
      <c r="H958" s="26" t="str">
        <f aca="false">IF(F958="","",IFERROR(INDEX(請求台帳!$I$5:$I$504,MATCH(F958,請求台帳!$A$5:$A$504,0)),""))</f>
        <v/>
      </c>
      <c r="I958" s="29" t="str">
        <f aca="false">IF(COUNTA(B958,D958,E958,F958)=0,"",IF(OR(B958="",E958=""),"要入力",IF(F958="","未消込",IF(ISNA(MATCH(F958,請求台帳!$A$5:$A$504,0)),"番号誤り",IF(INDEX(請求台帳!$T$5:$T$504,MATCH(F958,請求台帳!$A$5:$A$504,0))="取消","取消請求へ消込","消込済")))))</f>
        <v/>
      </c>
      <c r="J958" s="28"/>
      <c r="K958" s="28"/>
    </row>
    <row r="959" customFormat="false" ht="15" hidden="false" customHeight="false" outlineLevel="0" collapsed="false">
      <c r="A959" s="32" t="str">
        <f aca="false">IF(COUNTA(B959,D959,E959,F959)=0,"",ROW()-4)</f>
        <v/>
      </c>
      <c r="B959" s="22"/>
      <c r="C959" s="28"/>
      <c r="D959" s="28"/>
      <c r="E959" s="18"/>
      <c r="F959" s="28"/>
      <c r="G959" s="32" t="str">
        <f aca="false">IF(F959="","",IFERROR(INDEX(請求台帳!$D$5:$D$504,MATCH(F959,請求台帳!$A$5:$A$504,0)),""))</f>
        <v/>
      </c>
      <c r="H959" s="26" t="str">
        <f aca="false">IF(F959="","",IFERROR(INDEX(請求台帳!$I$5:$I$504,MATCH(F959,請求台帳!$A$5:$A$504,0)),""))</f>
        <v/>
      </c>
      <c r="I959" s="29" t="str">
        <f aca="false">IF(COUNTA(B959,D959,E959,F959)=0,"",IF(OR(B959="",E959=""),"要入力",IF(F959="","未消込",IF(ISNA(MATCH(F959,請求台帳!$A$5:$A$504,0)),"番号誤り",IF(INDEX(請求台帳!$T$5:$T$504,MATCH(F959,請求台帳!$A$5:$A$504,0))="取消","取消請求へ消込","消込済")))))</f>
        <v/>
      </c>
      <c r="J959" s="28"/>
      <c r="K959" s="28"/>
    </row>
    <row r="960" customFormat="false" ht="15" hidden="false" customHeight="false" outlineLevel="0" collapsed="false">
      <c r="A960" s="32" t="str">
        <f aca="false">IF(COUNTA(B960,D960,E960,F960)=0,"",ROW()-4)</f>
        <v/>
      </c>
      <c r="B960" s="22"/>
      <c r="C960" s="28"/>
      <c r="D960" s="28"/>
      <c r="E960" s="18"/>
      <c r="F960" s="28"/>
      <c r="G960" s="32" t="str">
        <f aca="false">IF(F960="","",IFERROR(INDEX(請求台帳!$D$5:$D$504,MATCH(F960,請求台帳!$A$5:$A$504,0)),""))</f>
        <v/>
      </c>
      <c r="H960" s="26" t="str">
        <f aca="false">IF(F960="","",IFERROR(INDEX(請求台帳!$I$5:$I$504,MATCH(F960,請求台帳!$A$5:$A$504,0)),""))</f>
        <v/>
      </c>
      <c r="I960" s="29" t="str">
        <f aca="false">IF(COUNTA(B960,D960,E960,F960)=0,"",IF(OR(B960="",E960=""),"要入力",IF(F960="","未消込",IF(ISNA(MATCH(F960,請求台帳!$A$5:$A$504,0)),"番号誤り",IF(INDEX(請求台帳!$T$5:$T$504,MATCH(F960,請求台帳!$A$5:$A$504,0))="取消","取消請求へ消込","消込済")))))</f>
        <v/>
      </c>
      <c r="J960" s="28"/>
      <c r="K960" s="28"/>
    </row>
    <row r="961" customFormat="false" ht="15" hidden="false" customHeight="false" outlineLevel="0" collapsed="false">
      <c r="A961" s="32" t="str">
        <f aca="false">IF(COUNTA(B961,D961,E961,F961)=0,"",ROW()-4)</f>
        <v/>
      </c>
      <c r="B961" s="22"/>
      <c r="C961" s="28"/>
      <c r="D961" s="28"/>
      <c r="E961" s="18"/>
      <c r="F961" s="28"/>
      <c r="G961" s="32" t="str">
        <f aca="false">IF(F961="","",IFERROR(INDEX(請求台帳!$D$5:$D$504,MATCH(F961,請求台帳!$A$5:$A$504,0)),""))</f>
        <v/>
      </c>
      <c r="H961" s="26" t="str">
        <f aca="false">IF(F961="","",IFERROR(INDEX(請求台帳!$I$5:$I$504,MATCH(F961,請求台帳!$A$5:$A$504,0)),""))</f>
        <v/>
      </c>
      <c r="I961" s="29" t="str">
        <f aca="false">IF(COUNTA(B961,D961,E961,F961)=0,"",IF(OR(B961="",E961=""),"要入力",IF(F961="","未消込",IF(ISNA(MATCH(F961,請求台帳!$A$5:$A$504,0)),"番号誤り",IF(INDEX(請求台帳!$T$5:$T$504,MATCH(F961,請求台帳!$A$5:$A$504,0))="取消","取消請求へ消込","消込済")))))</f>
        <v/>
      </c>
      <c r="J961" s="28"/>
      <c r="K961" s="28"/>
    </row>
    <row r="962" customFormat="false" ht="15" hidden="false" customHeight="false" outlineLevel="0" collapsed="false">
      <c r="A962" s="32" t="str">
        <f aca="false">IF(COUNTA(B962,D962,E962,F962)=0,"",ROW()-4)</f>
        <v/>
      </c>
      <c r="B962" s="22"/>
      <c r="C962" s="28"/>
      <c r="D962" s="28"/>
      <c r="E962" s="18"/>
      <c r="F962" s="28"/>
      <c r="G962" s="32" t="str">
        <f aca="false">IF(F962="","",IFERROR(INDEX(請求台帳!$D$5:$D$504,MATCH(F962,請求台帳!$A$5:$A$504,0)),""))</f>
        <v/>
      </c>
      <c r="H962" s="26" t="str">
        <f aca="false">IF(F962="","",IFERROR(INDEX(請求台帳!$I$5:$I$504,MATCH(F962,請求台帳!$A$5:$A$504,0)),""))</f>
        <v/>
      </c>
      <c r="I962" s="29" t="str">
        <f aca="false">IF(COUNTA(B962,D962,E962,F962)=0,"",IF(OR(B962="",E962=""),"要入力",IF(F962="","未消込",IF(ISNA(MATCH(F962,請求台帳!$A$5:$A$504,0)),"番号誤り",IF(INDEX(請求台帳!$T$5:$T$504,MATCH(F962,請求台帳!$A$5:$A$504,0))="取消","取消請求へ消込","消込済")))))</f>
        <v/>
      </c>
      <c r="J962" s="28"/>
      <c r="K962" s="28"/>
    </row>
    <row r="963" customFormat="false" ht="15" hidden="false" customHeight="false" outlineLevel="0" collapsed="false">
      <c r="A963" s="32" t="str">
        <f aca="false">IF(COUNTA(B963,D963,E963,F963)=0,"",ROW()-4)</f>
        <v/>
      </c>
      <c r="B963" s="22"/>
      <c r="C963" s="28"/>
      <c r="D963" s="28"/>
      <c r="E963" s="18"/>
      <c r="F963" s="28"/>
      <c r="G963" s="32" t="str">
        <f aca="false">IF(F963="","",IFERROR(INDEX(請求台帳!$D$5:$D$504,MATCH(F963,請求台帳!$A$5:$A$504,0)),""))</f>
        <v/>
      </c>
      <c r="H963" s="26" t="str">
        <f aca="false">IF(F963="","",IFERROR(INDEX(請求台帳!$I$5:$I$504,MATCH(F963,請求台帳!$A$5:$A$504,0)),""))</f>
        <v/>
      </c>
      <c r="I963" s="29" t="str">
        <f aca="false">IF(COUNTA(B963,D963,E963,F963)=0,"",IF(OR(B963="",E963=""),"要入力",IF(F963="","未消込",IF(ISNA(MATCH(F963,請求台帳!$A$5:$A$504,0)),"番号誤り",IF(INDEX(請求台帳!$T$5:$T$504,MATCH(F963,請求台帳!$A$5:$A$504,0))="取消","取消請求へ消込","消込済")))))</f>
        <v/>
      </c>
      <c r="J963" s="28"/>
      <c r="K963" s="28"/>
    </row>
    <row r="964" customFormat="false" ht="15" hidden="false" customHeight="false" outlineLevel="0" collapsed="false">
      <c r="A964" s="32" t="str">
        <f aca="false">IF(COUNTA(B964,D964,E964,F964)=0,"",ROW()-4)</f>
        <v/>
      </c>
      <c r="B964" s="22"/>
      <c r="C964" s="28"/>
      <c r="D964" s="28"/>
      <c r="E964" s="18"/>
      <c r="F964" s="28"/>
      <c r="G964" s="32" t="str">
        <f aca="false">IF(F964="","",IFERROR(INDEX(請求台帳!$D$5:$D$504,MATCH(F964,請求台帳!$A$5:$A$504,0)),""))</f>
        <v/>
      </c>
      <c r="H964" s="26" t="str">
        <f aca="false">IF(F964="","",IFERROR(INDEX(請求台帳!$I$5:$I$504,MATCH(F964,請求台帳!$A$5:$A$504,0)),""))</f>
        <v/>
      </c>
      <c r="I964" s="29" t="str">
        <f aca="false">IF(COUNTA(B964,D964,E964,F964)=0,"",IF(OR(B964="",E964=""),"要入力",IF(F964="","未消込",IF(ISNA(MATCH(F964,請求台帳!$A$5:$A$504,0)),"番号誤り",IF(INDEX(請求台帳!$T$5:$T$504,MATCH(F964,請求台帳!$A$5:$A$504,0))="取消","取消請求へ消込","消込済")))))</f>
        <v/>
      </c>
      <c r="J964" s="28"/>
      <c r="K964" s="28"/>
    </row>
    <row r="965" customFormat="false" ht="15" hidden="false" customHeight="false" outlineLevel="0" collapsed="false">
      <c r="A965" s="32" t="str">
        <f aca="false">IF(COUNTA(B965,D965,E965,F965)=0,"",ROW()-4)</f>
        <v/>
      </c>
      <c r="B965" s="22"/>
      <c r="C965" s="28"/>
      <c r="D965" s="28"/>
      <c r="E965" s="18"/>
      <c r="F965" s="28"/>
      <c r="G965" s="32" t="str">
        <f aca="false">IF(F965="","",IFERROR(INDEX(請求台帳!$D$5:$D$504,MATCH(F965,請求台帳!$A$5:$A$504,0)),""))</f>
        <v/>
      </c>
      <c r="H965" s="26" t="str">
        <f aca="false">IF(F965="","",IFERROR(INDEX(請求台帳!$I$5:$I$504,MATCH(F965,請求台帳!$A$5:$A$504,0)),""))</f>
        <v/>
      </c>
      <c r="I965" s="29" t="str">
        <f aca="false">IF(COUNTA(B965,D965,E965,F965)=0,"",IF(OR(B965="",E965=""),"要入力",IF(F965="","未消込",IF(ISNA(MATCH(F965,請求台帳!$A$5:$A$504,0)),"番号誤り",IF(INDEX(請求台帳!$T$5:$T$504,MATCH(F965,請求台帳!$A$5:$A$504,0))="取消","取消請求へ消込","消込済")))))</f>
        <v/>
      </c>
      <c r="J965" s="28"/>
      <c r="K965" s="28"/>
    </row>
    <row r="966" customFormat="false" ht="15" hidden="false" customHeight="false" outlineLevel="0" collapsed="false">
      <c r="A966" s="32" t="str">
        <f aca="false">IF(COUNTA(B966,D966,E966,F966)=0,"",ROW()-4)</f>
        <v/>
      </c>
      <c r="B966" s="22"/>
      <c r="C966" s="28"/>
      <c r="D966" s="28"/>
      <c r="E966" s="18"/>
      <c r="F966" s="28"/>
      <c r="G966" s="32" t="str">
        <f aca="false">IF(F966="","",IFERROR(INDEX(請求台帳!$D$5:$D$504,MATCH(F966,請求台帳!$A$5:$A$504,0)),""))</f>
        <v/>
      </c>
      <c r="H966" s="26" t="str">
        <f aca="false">IF(F966="","",IFERROR(INDEX(請求台帳!$I$5:$I$504,MATCH(F966,請求台帳!$A$5:$A$504,0)),""))</f>
        <v/>
      </c>
      <c r="I966" s="29" t="str">
        <f aca="false">IF(COUNTA(B966,D966,E966,F966)=0,"",IF(OR(B966="",E966=""),"要入力",IF(F966="","未消込",IF(ISNA(MATCH(F966,請求台帳!$A$5:$A$504,0)),"番号誤り",IF(INDEX(請求台帳!$T$5:$T$504,MATCH(F966,請求台帳!$A$5:$A$504,0))="取消","取消請求へ消込","消込済")))))</f>
        <v/>
      </c>
      <c r="J966" s="28"/>
      <c r="K966" s="28"/>
    </row>
    <row r="967" customFormat="false" ht="15" hidden="false" customHeight="false" outlineLevel="0" collapsed="false">
      <c r="A967" s="32" t="str">
        <f aca="false">IF(COUNTA(B967,D967,E967,F967)=0,"",ROW()-4)</f>
        <v/>
      </c>
      <c r="B967" s="22"/>
      <c r="C967" s="28"/>
      <c r="D967" s="28"/>
      <c r="E967" s="18"/>
      <c r="F967" s="28"/>
      <c r="G967" s="32" t="str">
        <f aca="false">IF(F967="","",IFERROR(INDEX(請求台帳!$D$5:$D$504,MATCH(F967,請求台帳!$A$5:$A$504,0)),""))</f>
        <v/>
      </c>
      <c r="H967" s="26" t="str">
        <f aca="false">IF(F967="","",IFERROR(INDEX(請求台帳!$I$5:$I$504,MATCH(F967,請求台帳!$A$5:$A$504,0)),""))</f>
        <v/>
      </c>
      <c r="I967" s="29" t="str">
        <f aca="false">IF(COUNTA(B967,D967,E967,F967)=0,"",IF(OR(B967="",E967=""),"要入力",IF(F967="","未消込",IF(ISNA(MATCH(F967,請求台帳!$A$5:$A$504,0)),"番号誤り",IF(INDEX(請求台帳!$T$5:$T$504,MATCH(F967,請求台帳!$A$5:$A$504,0))="取消","取消請求へ消込","消込済")))))</f>
        <v/>
      </c>
      <c r="J967" s="28"/>
      <c r="K967" s="28"/>
    </row>
    <row r="968" customFormat="false" ht="15" hidden="false" customHeight="false" outlineLevel="0" collapsed="false">
      <c r="A968" s="32" t="str">
        <f aca="false">IF(COUNTA(B968,D968,E968,F968)=0,"",ROW()-4)</f>
        <v/>
      </c>
      <c r="B968" s="22"/>
      <c r="C968" s="28"/>
      <c r="D968" s="28"/>
      <c r="E968" s="18"/>
      <c r="F968" s="28"/>
      <c r="G968" s="32" t="str">
        <f aca="false">IF(F968="","",IFERROR(INDEX(請求台帳!$D$5:$D$504,MATCH(F968,請求台帳!$A$5:$A$504,0)),""))</f>
        <v/>
      </c>
      <c r="H968" s="26" t="str">
        <f aca="false">IF(F968="","",IFERROR(INDEX(請求台帳!$I$5:$I$504,MATCH(F968,請求台帳!$A$5:$A$504,0)),""))</f>
        <v/>
      </c>
      <c r="I968" s="29" t="str">
        <f aca="false">IF(COUNTA(B968,D968,E968,F968)=0,"",IF(OR(B968="",E968=""),"要入力",IF(F968="","未消込",IF(ISNA(MATCH(F968,請求台帳!$A$5:$A$504,0)),"番号誤り",IF(INDEX(請求台帳!$T$5:$T$504,MATCH(F968,請求台帳!$A$5:$A$504,0))="取消","取消請求へ消込","消込済")))))</f>
        <v/>
      </c>
      <c r="J968" s="28"/>
      <c r="K968" s="28"/>
    </row>
    <row r="969" customFormat="false" ht="15" hidden="false" customHeight="false" outlineLevel="0" collapsed="false">
      <c r="A969" s="32" t="str">
        <f aca="false">IF(COUNTA(B969,D969,E969,F969)=0,"",ROW()-4)</f>
        <v/>
      </c>
      <c r="B969" s="22"/>
      <c r="C969" s="28"/>
      <c r="D969" s="28"/>
      <c r="E969" s="18"/>
      <c r="F969" s="28"/>
      <c r="G969" s="32" t="str">
        <f aca="false">IF(F969="","",IFERROR(INDEX(請求台帳!$D$5:$D$504,MATCH(F969,請求台帳!$A$5:$A$504,0)),""))</f>
        <v/>
      </c>
      <c r="H969" s="26" t="str">
        <f aca="false">IF(F969="","",IFERROR(INDEX(請求台帳!$I$5:$I$504,MATCH(F969,請求台帳!$A$5:$A$504,0)),""))</f>
        <v/>
      </c>
      <c r="I969" s="29" t="str">
        <f aca="false">IF(COUNTA(B969,D969,E969,F969)=0,"",IF(OR(B969="",E969=""),"要入力",IF(F969="","未消込",IF(ISNA(MATCH(F969,請求台帳!$A$5:$A$504,0)),"番号誤り",IF(INDEX(請求台帳!$T$5:$T$504,MATCH(F969,請求台帳!$A$5:$A$504,0))="取消","取消請求へ消込","消込済")))))</f>
        <v/>
      </c>
      <c r="J969" s="28"/>
      <c r="K969" s="28"/>
    </row>
    <row r="970" customFormat="false" ht="15" hidden="false" customHeight="false" outlineLevel="0" collapsed="false">
      <c r="A970" s="32" t="str">
        <f aca="false">IF(COUNTA(B970,D970,E970,F970)=0,"",ROW()-4)</f>
        <v/>
      </c>
      <c r="B970" s="22"/>
      <c r="C970" s="28"/>
      <c r="D970" s="28"/>
      <c r="E970" s="18"/>
      <c r="F970" s="28"/>
      <c r="G970" s="32" t="str">
        <f aca="false">IF(F970="","",IFERROR(INDEX(請求台帳!$D$5:$D$504,MATCH(F970,請求台帳!$A$5:$A$504,0)),""))</f>
        <v/>
      </c>
      <c r="H970" s="26" t="str">
        <f aca="false">IF(F970="","",IFERROR(INDEX(請求台帳!$I$5:$I$504,MATCH(F970,請求台帳!$A$5:$A$504,0)),""))</f>
        <v/>
      </c>
      <c r="I970" s="29" t="str">
        <f aca="false">IF(COUNTA(B970,D970,E970,F970)=0,"",IF(OR(B970="",E970=""),"要入力",IF(F970="","未消込",IF(ISNA(MATCH(F970,請求台帳!$A$5:$A$504,0)),"番号誤り",IF(INDEX(請求台帳!$T$5:$T$504,MATCH(F970,請求台帳!$A$5:$A$504,0))="取消","取消請求へ消込","消込済")))))</f>
        <v/>
      </c>
      <c r="J970" s="28"/>
      <c r="K970" s="28"/>
    </row>
    <row r="971" customFormat="false" ht="15" hidden="false" customHeight="false" outlineLevel="0" collapsed="false">
      <c r="A971" s="32" t="str">
        <f aca="false">IF(COUNTA(B971,D971,E971,F971)=0,"",ROW()-4)</f>
        <v/>
      </c>
      <c r="B971" s="22"/>
      <c r="C971" s="28"/>
      <c r="D971" s="28"/>
      <c r="E971" s="18"/>
      <c r="F971" s="28"/>
      <c r="G971" s="32" t="str">
        <f aca="false">IF(F971="","",IFERROR(INDEX(請求台帳!$D$5:$D$504,MATCH(F971,請求台帳!$A$5:$A$504,0)),""))</f>
        <v/>
      </c>
      <c r="H971" s="26" t="str">
        <f aca="false">IF(F971="","",IFERROR(INDEX(請求台帳!$I$5:$I$504,MATCH(F971,請求台帳!$A$5:$A$504,0)),""))</f>
        <v/>
      </c>
      <c r="I971" s="29" t="str">
        <f aca="false">IF(COUNTA(B971,D971,E971,F971)=0,"",IF(OR(B971="",E971=""),"要入力",IF(F971="","未消込",IF(ISNA(MATCH(F971,請求台帳!$A$5:$A$504,0)),"番号誤り",IF(INDEX(請求台帳!$T$5:$T$504,MATCH(F971,請求台帳!$A$5:$A$504,0))="取消","取消請求へ消込","消込済")))))</f>
        <v/>
      </c>
      <c r="J971" s="28"/>
      <c r="K971" s="28"/>
    </row>
    <row r="972" customFormat="false" ht="15" hidden="false" customHeight="false" outlineLevel="0" collapsed="false">
      <c r="A972" s="32" t="str">
        <f aca="false">IF(COUNTA(B972,D972,E972,F972)=0,"",ROW()-4)</f>
        <v/>
      </c>
      <c r="B972" s="22"/>
      <c r="C972" s="28"/>
      <c r="D972" s="28"/>
      <c r="E972" s="18"/>
      <c r="F972" s="28"/>
      <c r="G972" s="32" t="str">
        <f aca="false">IF(F972="","",IFERROR(INDEX(請求台帳!$D$5:$D$504,MATCH(F972,請求台帳!$A$5:$A$504,0)),""))</f>
        <v/>
      </c>
      <c r="H972" s="26" t="str">
        <f aca="false">IF(F972="","",IFERROR(INDEX(請求台帳!$I$5:$I$504,MATCH(F972,請求台帳!$A$5:$A$504,0)),""))</f>
        <v/>
      </c>
      <c r="I972" s="29" t="str">
        <f aca="false">IF(COUNTA(B972,D972,E972,F972)=0,"",IF(OR(B972="",E972=""),"要入力",IF(F972="","未消込",IF(ISNA(MATCH(F972,請求台帳!$A$5:$A$504,0)),"番号誤り",IF(INDEX(請求台帳!$T$5:$T$504,MATCH(F972,請求台帳!$A$5:$A$504,0))="取消","取消請求へ消込","消込済")))))</f>
        <v/>
      </c>
      <c r="J972" s="28"/>
      <c r="K972" s="28"/>
    </row>
    <row r="973" customFormat="false" ht="15" hidden="false" customHeight="false" outlineLevel="0" collapsed="false">
      <c r="A973" s="32" t="str">
        <f aca="false">IF(COUNTA(B973,D973,E973,F973)=0,"",ROW()-4)</f>
        <v/>
      </c>
      <c r="B973" s="22"/>
      <c r="C973" s="28"/>
      <c r="D973" s="28"/>
      <c r="E973" s="18"/>
      <c r="F973" s="28"/>
      <c r="G973" s="32" t="str">
        <f aca="false">IF(F973="","",IFERROR(INDEX(請求台帳!$D$5:$D$504,MATCH(F973,請求台帳!$A$5:$A$504,0)),""))</f>
        <v/>
      </c>
      <c r="H973" s="26" t="str">
        <f aca="false">IF(F973="","",IFERROR(INDEX(請求台帳!$I$5:$I$504,MATCH(F973,請求台帳!$A$5:$A$504,0)),""))</f>
        <v/>
      </c>
      <c r="I973" s="29" t="str">
        <f aca="false">IF(COUNTA(B973,D973,E973,F973)=0,"",IF(OR(B973="",E973=""),"要入力",IF(F973="","未消込",IF(ISNA(MATCH(F973,請求台帳!$A$5:$A$504,0)),"番号誤り",IF(INDEX(請求台帳!$T$5:$T$504,MATCH(F973,請求台帳!$A$5:$A$504,0))="取消","取消請求へ消込","消込済")))))</f>
        <v/>
      </c>
      <c r="J973" s="28"/>
      <c r="K973" s="28"/>
    </row>
    <row r="974" customFormat="false" ht="15" hidden="false" customHeight="false" outlineLevel="0" collapsed="false">
      <c r="A974" s="32" t="str">
        <f aca="false">IF(COUNTA(B974,D974,E974,F974)=0,"",ROW()-4)</f>
        <v/>
      </c>
      <c r="B974" s="22"/>
      <c r="C974" s="28"/>
      <c r="D974" s="28"/>
      <c r="E974" s="18"/>
      <c r="F974" s="28"/>
      <c r="G974" s="32" t="str">
        <f aca="false">IF(F974="","",IFERROR(INDEX(請求台帳!$D$5:$D$504,MATCH(F974,請求台帳!$A$5:$A$504,0)),""))</f>
        <v/>
      </c>
      <c r="H974" s="26" t="str">
        <f aca="false">IF(F974="","",IFERROR(INDEX(請求台帳!$I$5:$I$504,MATCH(F974,請求台帳!$A$5:$A$504,0)),""))</f>
        <v/>
      </c>
      <c r="I974" s="29" t="str">
        <f aca="false">IF(COUNTA(B974,D974,E974,F974)=0,"",IF(OR(B974="",E974=""),"要入力",IF(F974="","未消込",IF(ISNA(MATCH(F974,請求台帳!$A$5:$A$504,0)),"番号誤り",IF(INDEX(請求台帳!$T$5:$T$504,MATCH(F974,請求台帳!$A$5:$A$504,0))="取消","取消請求へ消込","消込済")))))</f>
        <v/>
      </c>
      <c r="J974" s="28"/>
      <c r="K974" s="28"/>
    </row>
    <row r="975" customFormat="false" ht="15" hidden="false" customHeight="false" outlineLevel="0" collapsed="false">
      <c r="A975" s="32" t="str">
        <f aca="false">IF(COUNTA(B975,D975,E975,F975)=0,"",ROW()-4)</f>
        <v/>
      </c>
      <c r="B975" s="22"/>
      <c r="C975" s="28"/>
      <c r="D975" s="28"/>
      <c r="E975" s="18"/>
      <c r="F975" s="28"/>
      <c r="G975" s="32" t="str">
        <f aca="false">IF(F975="","",IFERROR(INDEX(請求台帳!$D$5:$D$504,MATCH(F975,請求台帳!$A$5:$A$504,0)),""))</f>
        <v/>
      </c>
      <c r="H975" s="26" t="str">
        <f aca="false">IF(F975="","",IFERROR(INDEX(請求台帳!$I$5:$I$504,MATCH(F975,請求台帳!$A$5:$A$504,0)),""))</f>
        <v/>
      </c>
      <c r="I975" s="29" t="str">
        <f aca="false">IF(COUNTA(B975,D975,E975,F975)=0,"",IF(OR(B975="",E975=""),"要入力",IF(F975="","未消込",IF(ISNA(MATCH(F975,請求台帳!$A$5:$A$504,0)),"番号誤り",IF(INDEX(請求台帳!$T$5:$T$504,MATCH(F975,請求台帳!$A$5:$A$504,0))="取消","取消請求へ消込","消込済")))))</f>
        <v/>
      </c>
      <c r="J975" s="28"/>
      <c r="K975" s="28"/>
    </row>
    <row r="976" customFormat="false" ht="15" hidden="false" customHeight="false" outlineLevel="0" collapsed="false">
      <c r="A976" s="32" t="str">
        <f aca="false">IF(COUNTA(B976,D976,E976,F976)=0,"",ROW()-4)</f>
        <v/>
      </c>
      <c r="B976" s="22"/>
      <c r="C976" s="28"/>
      <c r="D976" s="28"/>
      <c r="E976" s="18"/>
      <c r="F976" s="28"/>
      <c r="G976" s="32" t="str">
        <f aca="false">IF(F976="","",IFERROR(INDEX(請求台帳!$D$5:$D$504,MATCH(F976,請求台帳!$A$5:$A$504,0)),""))</f>
        <v/>
      </c>
      <c r="H976" s="26" t="str">
        <f aca="false">IF(F976="","",IFERROR(INDEX(請求台帳!$I$5:$I$504,MATCH(F976,請求台帳!$A$5:$A$504,0)),""))</f>
        <v/>
      </c>
      <c r="I976" s="29" t="str">
        <f aca="false">IF(COUNTA(B976,D976,E976,F976)=0,"",IF(OR(B976="",E976=""),"要入力",IF(F976="","未消込",IF(ISNA(MATCH(F976,請求台帳!$A$5:$A$504,0)),"番号誤り",IF(INDEX(請求台帳!$T$5:$T$504,MATCH(F976,請求台帳!$A$5:$A$504,0))="取消","取消請求へ消込","消込済")))))</f>
        <v/>
      </c>
      <c r="J976" s="28"/>
      <c r="K976" s="28"/>
    </row>
    <row r="977" customFormat="false" ht="15" hidden="false" customHeight="false" outlineLevel="0" collapsed="false">
      <c r="A977" s="32" t="str">
        <f aca="false">IF(COUNTA(B977,D977,E977,F977)=0,"",ROW()-4)</f>
        <v/>
      </c>
      <c r="B977" s="22"/>
      <c r="C977" s="28"/>
      <c r="D977" s="28"/>
      <c r="E977" s="18"/>
      <c r="F977" s="28"/>
      <c r="G977" s="32" t="str">
        <f aca="false">IF(F977="","",IFERROR(INDEX(請求台帳!$D$5:$D$504,MATCH(F977,請求台帳!$A$5:$A$504,0)),""))</f>
        <v/>
      </c>
      <c r="H977" s="26" t="str">
        <f aca="false">IF(F977="","",IFERROR(INDEX(請求台帳!$I$5:$I$504,MATCH(F977,請求台帳!$A$5:$A$504,0)),""))</f>
        <v/>
      </c>
      <c r="I977" s="29" t="str">
        <f aca="false">IF(COUNTA(B977,D977,E977,F977)=0,"",IF(OR(B977="",E977=""),"要入力",IF(F977="","未消込",IF(ISNA(MATCH(F977,請求台帳!$A$5:$A$504,0)),"番号誤り",IF(INDEX(請求台帳!$T$5:$T$504,MATCH(F977,請求台帳!$A$5:$A$504,0))="取消","取消請求へ消込","消込済")))))</f>
        <v/>
      </c>
      <c r="J977" s="28"/>
      <c r="K977" s="28"/>
    </row>
    <row r="978" customFormat="false" ht="15" hidden="false" customHeight="false" outlineLevel="0" collapsed="false">
      <c r="A978" s="32" t="str">
        <f aca="false">IF(COUNTA(B978,D978,E978,F978)=0,"",ROW()-4)</f>
        <v/>
      </c>
      <c r="B978" s="22"/>
      <c r="C978" s="28"/>
      <c r="D978" s="28"/>
      <c r="E978" s="18"/>
      <c r="F978" s="28"/>
      <c r="G978" s="32" t="str">
        <f aca="false">IF(F978="","",IFERROR(INDEX(請求台帳!$D$5:$D$504,MATCH(F978,請求台帳!$A$5:$A$504,0)),""))</f>
        <v/>
      </c>
      <c r="H978" s="26" t="str">
        <f aca="false">IF(F978="","",IFERROR(INDEX(請求台帳!$I$5:$I$504,MATCH(F978,請求台帳!$A$5:$A$504,0)),""))</f>
        <v/>
      </c>
      <c r="I978" s="29" t="str">
        <f aca="false">IF(COUNTA(B978,D978,E978,F978)=0,"",IF(OR(B978="",E978=""),"要入力",IF(F978="","未消込",IF(ISNA(MATCH(F978,請求台帳!$A$5:$A$504,0)),"番号誤り",IF(INDEX(請求台帳!$T$5:$T$504,MATCH(F978,請求台帳!$A$5:$A$504,0))="取消","取消請求へ消込","消込済")))))</f>
        <v/>
      </c>
      <c r="J978" s="28"/>
      <c r="K978" s="28"/>
    </row>
    <row r="979" customFormat="false" ht="15" hidden="false" customHeight="false" outlineLevel="0" collapsed="false">
      <c r="A979" s="32" t="str">
        <f aca="false">IF(COUNTA(B979,D979,E979,F979)=0,"",ROW()-4)</f>
        <v/>
      </c>
      <c r="B979" s="22"/>
      <c r="C979" s="28"/>
      <c r="D979" s="28"/>
      <c r="E979" s="18"/>
      <c r="F979" s="28"/>
      <c r="G979" s="32" t="str">
        <f aca="false">IF(F979="","",IFERROR(INDEX(請求台帳!$D$5:$D$504,MATCH(F979,請求台帳!$A$5:$A$504,0)),""))</f>
        <v/>
      </c>
      <c r="H979" s="26" t="str">
        <f aca="false">IF(F979="","",IFERROR(INDEX(請求台帳!$I$5:$I$504,MATCH(F979,請求台帳!$A$5:$A$504,0)),""))</f>
        <v/>
      </c>
      <c r="I979" s="29" t="str">
        <f aca="false">IF(COUNTA(B979,D979,E979,F979)=0,"",IF(OR(B979="",E979=""),"要入力",IF(F979="","未消込",IF(ISNA(MATCH(F979,請求台帳!$A$5:$A$504,0)),"番号誤り",IF(INDEX(請求台帳!$T$5:$T$504,MATCH(F979,請求台帳!$A$5:$A$504,0))="取消","取消請求へ消込","消込済")))))</f>
        <v/>
      </c>
      <c r="J979" s="28"/>
      <c r="K979" s="28"/>
    </row>
    <row r="980" customFormat="false" ht="15" hidden="false" customHeight="false" outlineLevel="0" collapsed="false">
      <c r="A980" s="32" t="str">
        <f aca="false">IF(COUNTA(B980,D980,E980,F980)=0,"",ROW()-4)</f>
        <v/>
      </c>
      <c r="B980" s="22"/>
      <c r="C980" s="28"/>
      <c r="D980" s="28"/>
      <c r="E980" s="18"/>
      <c r="F980" s="28"/>
      <c r="G980" s="32" t="str">
        <f aca="false">IF(F980="","",IFERROR(INDEX(請求台帳!$D$5:$D$504,MATCH(F980,請求台帳!$A$5:$A$504,0)),""))</f>
        <v/>
      </c>
      <c r="H980" s="26" t="str">
        <f aca="false">IF(F980="","",IFERROR(INDEX(請求台帳!$I$5:$I$504,MATCH(F980,請求台帳!$A$5:$A$504,0)),""))</f>
        <v/>
      </c>
      <c r="I980" s="29" t="str">
        <f aca="false">IF(COUNTA(B980,D980,E980,F980)=0,"",IF(OR(B980="",E980=""),"要入力",IF(F980="","未消込",IF(ISNA(MATCH(F980,請求台帳!$A$5:$A$504,0)),"番号誤り",IF(INDEX(請求台帳!$T$5:$T$504,MATCH(F980,請求台帳!$A$5:$A$504,0))="取消","取消請求へ消込","消込済")))))</f>
        <v/>
      </c>
      <c r="J980" s="28"/>
      <c r="K980" s="28"/>
    </row>
    <row r="981" customFormat="false" ht="15" hidden="false" customHeight="false" outlineLevel="0" collapsed="false">
      <c r="A981" s="32" t="str">
        <f aca="false">IF(COUNTA(B981,D981,E981,F981)=0,"",ROW()-4)</f>
        <v/>
      </c>
      <c r="B981" s="22"/>
      <c r="C981" s="28"/>
      <c r="D981" s="28"/>
      <c r="E981" s="18"/>
      <c r="F981" s="28"/>
      <c r="G981" s="32" t="str">
        <f aca="false">IF(F981="","",IFERROR(INDEX(請求台帳!$D$5:$D$504,MATCH(F981,請求台帳!$A$5:$A$504,0)),""))</f>
        <v/>
      </c>
      <c r="H981" s="26" t="str">
        <f aca="false">IF(F981="","",IFERROR(INDEX(請求台帳!$I$5:$I$504,MATCH(F981,請求台帳!$A$5:$A$504,0)),""))</f>
        <v/>
      </c>
      <c r="I981" s="29" t="str">
        <f aca="false">IF(COUNTA(B981,D981,E981,F981)=0,"",IF(OR(B981="",E981=""),"要入力",IF(F981="","未消込",IF(ISNA(MATCH(F981,請求台帳!$A$5:$A$504,0)),"番号誤り",IF(INDEX(請求台帳!$T$5:$T$504,MATCH(F981,請求台帳!$A$5:$A$504,0))="取消","取消請求へ消込","消込済")))))</f>
        <v/>
      </c>
      <c r="J981" s="28"/>
      <c r="K981" s="28"/>
    </row>
    <row r="982" customFormat="false" ht="15" hidden="false" customHeight="false" outlineLevel="0" collapsed="false">
      <c r="A982" s="32" t="str">
        <f aca="false">IF(COUNTA(B982,D982,E982,F982)=0,"",ROW()-4)</f>
        <v/>
      </c>
      <c r="B982" s="22"/>
      <c r="C982" s="28"/>
      <c r="D982" s="28"/>
      <c r="E982" s="18"/>
      <c r="F982" s="28"/>
      <c r="G982" s="32" t="str">
        <f aca="false">IF(F982="","",IFERROR(INDEX(請求台帳!$D$5:$D$504,MATCH(F982,請求台帳!$A$5:$A$504,0)),""))</f>
        <v/>
      </c>
      <c r="H982" s="26" t="str">
        <f aca="false">IF(F982="","",IFERROR(INDEX(請求台帳!$I$5:$I$504,MATCH(F982,請求台帳!$A$5:$A$504,0)),""))</f>
        <v/>
      </c>
      <c r="I982" s="29" t="str">
        <f aca="false">IF(COUNTA(B982,D982,E982,F982)=0,"",IF(OR(B982="",E982=""),"要入力",IF(F982="","未消込",IF(ISNA(MATCH(F982,請求台帳!$A$5:$A$504,0)),"番号誤り",IF(INDEX(請求台帳!$T$5:$T$504,MATCH(F982,請求台帳!$A$5:$A$504,0))="取消","取消請求へ消込","消込済")))))</f>
        <v/>
      </c>
      <c r="J982" s="28"/>
      <c r="K982" s="28"/>
    </row>
    <row r="983" customFormat="false" ht="15" hidden="false" customHeight="false" outlineLevel="0" collapsed="false">
      <c r="A983" s="32" t="str">
        <f aca="false">IF(COUNTA(B983,D983,E983,F983)=0,"",ROW()-4)</f>
        <v/>
      </c>
      <c r="B983" s="22"/>
      <c r="C983" s="28"/>
      <c r="D983" s="28"/>
      <c r="E983" s="18"/>
      <c r="F983" s="28"/>
      <c r="G983" s="32" t="str">
        <f aca="false">IF(F983="","",IFERROR(INDEX(請求台帳!$D$5:$D$504,MATCH(F983,請求台帳!$A$5:$A$504,0)),""))</f>
        <v/>
      </c>
      <c r="H983" s="26" t="str">
        <f aca="false">IF(F983="","",IFERROR(INDEX(請求台帳!$I$5:$I$504,MATCH(F983,請求台帳!$A$5:$A$504,0)),""))</f>
        <v/>
      </c>
      <c r="I983" s="29" t="str">
        <f aca="false">IF(COUNTA(B983,D983,E983,F983)=0,"",IF(OR(B983="",E983=""),"要入力",IF(F983="","未消込",IF(ISNA(MATCH(F983,請求台帳!$A$5:$A$504,0)),"番号誤り",IF(INDEX(請求台帳!$T$5:$T$504,MATCH(F983,請求台帳!$A$5:$A$504,0))="取消","取消請求へ消込","消込済")))))</f>
        <v/>
      </c>
      <c r="J983" s="28"/>
      <c r="K983" s="28"/>
    </row>
    <row r="984" customFormat="false" ht="15" hidden="false" customHeight="false" outlineLevel="0" collapsed="false">
      <c r="A984" s="32" t="str">
        <f aca="false">IF(COUNTA(B984,D984,E984,F984)=0,"",ROW()-4)</f>
        <v/>
      </c>
      <c r="B984" s="22"/>
      <c r="C984" s="28"/>
      <c r="D984" s="28"/>
      <c r="E984" s="18"/>
      <c r="F984" s="28"/>
      <c r="G984" s="32" t="str">
        <f aca="false">IF(F984="","",IFERROR(INDEX(請求台帳!$D$5:$D$504,MATCH(F984,請求台帳!$A$5:$A$504,0)),""))</f>
        <v/>
      </c>
      <c r="H984" s="26" t="str">
        <f aca="false">IF(F984="","",IFERROR(INDEX(請求台帳!$I$5:$I$504,MATCH(F984,請求台帳!$A$5:$A$504,0)),""))</f>
        <v/>
      </c>
      <c r="I984" s="29" t="str">
        <f aca="false">IF(COUNTA(B984,D984,E984,F984)=0,"",IF(OR(B984="",E984=""),"要入力",IF(F984="","未消込",IF(ISNA(MATCH(F984,請求台帳!$A$5:$A$504,0)),"番号誤り",IF(INDEX(請求台帳!$T$5:$T$504,MATCH(F984,請求台帳!$A$5:$A$504,0))="取消","取消請求へ消込","消込済")))))</f>
        <v/>
      </c>
      <c r="J984" s="28"/>
      <c r="K984" s="28"/>
    </row>
    <row r="985" customFormat="false" ht="15" hidden="false" customHeight="false" outlineLevel="0" collapsed="false">
      <c r="A985" s="32" t="str">
        <f aca="false">IF(COUNTA(B985,D985,E985,F985)=0,"",ROW()-4)</f>
        <v/>
      </c>
      <c r="B985" s="22"/>
      <c r="C985" s="28"/>
      <c r="D985" s="28"/>
      <c r="E985" s="18"/>
      <c r="F985" s="28"/>
      <c r="G985" s="32" t="str">
        <f aca="false">IF(F985="","",IFERROR(INDEX(請求台帳!$D$5:$D$504,MATCH(F985,請求台帳!$A$5:$A$504,0)),""))</f>
        <v/>
      </c>
      <c r="H985" s="26" t="str">
        <f aca="false">IF(F985="","",IFERROR(INDEX(請求台帳!$I$5:$I$504,MATCH(F985,請求台帳!$A$5:$A$504,0)),""))</f>
        <v/>
      </c>
      <c r="I985" s="29" t="str">
        <f aca="false">IF(COUNTA(B985,D985,E985,F985)=0,"",IF(OR(B985="",E985=""),"要入力",IF(F985="","未消込",IF(ISNA(MATCH(F985,請求台帳!$A$5:$A$504,0)),"番号誤り",IF(INDEX(請求台帳!$T$5:$T$504,MATCH(F985,請求台帳!$A$5:$A$504,0))="取消","取消請求へ消込","消込済")))))</f>
        <v/>
      </c>
      <c r="J985" s="28"/>
      <c r="K985" s="28"/>
    </row>
    <row r="986" customFormat="false" ht="15" hidden="false" customHeight="false" outlineLevel="0" collapsed="false">
      <c r="A986" s="32" t="str">
        <f aca="false">IF(COUNTA(B986,D986,E986,F986)=0,"",ROW()-4)</f>
        <v/>
      </c>
      <c r="B986" s="22"/>
      <c r="C986" s="28"/>
      <c r="D986" s="28"/>
      <c r="E986" s="18"/>
      <c r="F986" s="28"/>
      <c r="G986" s="32" t="str">
        <f aca="false">IF(F986="","",IFERROR(INDEX(請求台帳!$D$5:$D$504,MATCH(F986,請求台帳!$A$5:$A$504,0)),""))</f>
        <v/>
      </c>
      <c r="H986" s="26" t="str">
        <f aca="false">IF(F986="","",IFERROR(INDEX(請求台帳!$I$5:$I$504,MATCH(F986,請求台帳!$A$5:$A$504,0)),""))</f>
        <v/>
      </c>
      <c r="I986" s="29" t="str">
        <f aca="false">IF(COUNTA(B986,D986,E986,F986)=0,"",IF(OR(B986="",E986=""),"要入力",IF(F986="","未消込",IF(ISNA(MATCH(F986,請求台帳!$A$5:$A$504,0)),"番号誤り",IF(INDEX(請求台帳!$T$5:$T$504,MATCH(F986,請求台帳!$A$5:$A$504,0))="取消","取消請求へ消込","消込済")))))</f>
        <v/>
      </c>
      <c r="J986" s="28"/>
      <c r="K986" s="28"/>
    </row>
    <row r="987" customFormat="false" ht="15" hidden="false" customHeight="false" outlineLevel="0" collapsed="false">
      <c r="A987" s="32" t="str">
        <f aca="false">IF(COUNTA(B987,D987,E987,F987)=0,"",ROW()-4)</f>
        <v/>
      </c>
      <c r="B987" s="22"/>
      <c r="C987" s="28"/>
      <c r="D987" s="28"/>
      <c r="E987" s="18"/>
      <c r="F987" s="28"/>
      <c r="G987" s="32" t="str">
        <f aca="false">IF(F987="","",IFERROR(INDEX(請求台帳!$D$5:$D$504,MATCH(F987,請求台帳!$A$5:$A$504,0)),""))</f>
        <v/>
      </c>
      <c r="H987" s="26" t="str">
        <f aca="false">IF(F987="","",IFERROR(INDEX(請求台帳!$I$5:$I$504,MATCH(F987,請求台帳!$A$5:$A$504,0)),""))</f>
        <v/>
      </c>
      <c r="I987" s="29" t="str">
        <f aca="false">IF(COUNTA(B987,D987,E987,F987)=0,"",IF(OR(B987="",E987=""),"要入力",IF(F987="","未消込",IF(ISNA(MATCH(F987,請求台帳!$A$5:$A$504,0)),"番号誤り",IF(INDEX(請求台帳!$T$5:$T$504,MATCH(F987,請求台帳!$A$5:$A$504,0))="取消","取消請求へ消込","消込済")))))</f>
        <v/>
      </c>
      <c r="J987" s="28"/>
      <c r="K987" s="28"/>
    </row>
    <row r="988" customFormat="false" ht="15" hidden="false" customHeight="false" outlineLevel="0" collapsed="false">
      <c r="A988" s="32" t="str">
        <f aca="false">IF(COUNTA(B988,D988,E988,F988)=0,"",ROW()-4)</f>
        <v/>
      </c>
      <c r="B988" s="22"/>
      <c r="C988" s="28"/>
      <c r="D988" s="28"/>
      <c r="E988" s="18"/>
      <c r="F988" s="28"/>
      <c r="G988" s="32" t="str">
        <f aca="false">IF(F988="","",IFERROR(INDEX(請求台帳!$D$5:$D$504,MATCH(F988,請求台帳!$A$5:$A$504,0)),""))</f>
        <v/>
      </c>
      <c r="H988" s="26" t="str">
        <f aca="false">IF(F988="","",IFERROR(INDEX(請求台帳!$I$5:$I$504,MATCH(F988,請求台帳!$A$5:$A$504,0)),""))</f>
        <v/>
      </c>
      <c r="I988" s="29" t="str">
        <f aca="false">IF(COUNTA(B988,D988,E988,F988)=0,"",IF(OR(B988="",E988=""),"要入力",IF(F988="","未消込",IF(ISNA(MATCH(F988,請求台帳!$A$5:$A$504,0)),"番号誤り",IF(INDEX(請求台帳!$T$5:$T$504,MATCH(F988,請求台帳!$A$5:$A$504,0))="取消","取消請求へ消込","消込済")))))</f>
        <v/>
      </c>
      <c r="J988" s="28"/>
      <c r="K988" s="28"/>
    </row>
    <row r="989" customFormat="false" ht="15" hidden="false" customHeight="false" outlineLevel="0" collapsed="false">
      <c r="A989" s="32" t="str">
        <f aca="false">IF(COUNTA(B989,D989,E989,F989)=0,"",ROW()-4)</f>
        <v/>
      </c>
      <c r="B989" s="22"/>
      <c r="C989" s="28"/>
      <c r="D989" s="28"/>
      <c r="E989" s="18"/>
      <c r="F989" s="28"/>
      <c r="G989" s="32" t="str">
        <f aca="false">IF(F989="","",IFERROR(INDEX(請求台帳!$D$5:$D$504,MATCH(F989,請求台帳!$A$5:$A$504,0)),""))</f>
        <v/>
      </c>
      <c r="H989" s="26" t="str">
        <f aca="false">IF(F989="","",IFERROR(INDEX(請求台帳!$I$5:$I$504,MATCH(F989,請求台帳!$A$5:$A$504,0)),""))</f>
        <v/>
      </c>
      <c r="I989" s="29" t="str">
        <f aca="false">IF(COUNTA(B989,D989,E989,F989)=0,"",IF(OR(B989="",E989=""),"要入力",IF(F989="","未消込",IF(ISNA(MATCH(F989,請求台帳!$A$5:$A$504,0)),"番号誤り",IF(INDEX(請求台帳!$T$5:$T$504,MATCH(F989,請求台帳!$A$5:$A$504,0))="取消","取消請求へ消込","消込済")))))</f>
        <v/>
      </c>
      <c r="J989" s="28"/>
      <c r="K989" s="28"/>
    </row>
    <row r="990" customFormat="false" ht="15" hidden="false" customHeight="false" outlineLevel="0" collapsed="false">
      <c r="A990" s="32" t="str">
        <f aca="false">IF(COUNTA(B990,D990,E990,F990)=0,"",ROW()-4)</f>
        <v/>
      </c>
      <c r="B990" s="22"/>
      <c r="C990" s="28"/>
      <c r="D990" s="28"/>
      <c r="E990" s="18"/>
      <c r="F990" s="28"/>
      <c r="G990" s="32" t="str">
        <f aca="false">IF(F990="","",IFERROR(INDEX(請求台帳!$D$5:$D$504,MATCH(F990,請求台帳!$A$5:$A$504,0)),""))</f>
        <v/>
      </c>
      <c r="H990" s="26" t="str">
        <f aca="false">IF(F990="","",IFERROR(INDEX(請求台帳!$I$5:$I$504,MATCH(F990,請求台帳!$A$5:$A$504,0)),""))</f>
        <v/>
      </c>
      <c r="I990" s="29" t="str">
        <f aca="false">IF(COUNTA(B990,D990,E990,F990)=0,"",IF(OR(B990="",E990=""),"要入力",IF(F990="","未消込",IF(ISNA(MATCH(F990,請求台帳!$A$5:$A$504,0)),"番号誤り",IF(INDEX(請求台帳!$T$5:$T$504,MATCH(F990,請求台帳!$A$5:$A$504,0))="取消","取消請求へ消込","消込済")))))</f>
        <v/>
      </c>
      <c r="J990" s="28"/>
      <c r="K990" s="28"/>
    </row>
    <row r="991" customFormat="false" ht="15" hidden="false" customHeight="false" outlineLevel="0" collapsed="false">
      <c r="A991" s="32" t="str">
        <f aca="false">IF(COUNTA(B991,D991,E991,F991)=0,"",ROW()-4)</f>
        <v/>
      </c>
      <c r="B991" s="22"/>
      <c r="C991" s="28"/>
      <c r="D991" s="28"/>
      <c r="E991" s="18"/>
      <c r="F991" s="28"/>
      <c r="G991" s="32" t="str">
        <f aca="false">IF(F991="","",IFERROR(INDEX(請求台帳!$D$5:$D$504,MATCH(F991,請求台帳!$A$5:$A$504,0)),""))</f>
        <v/>
      </c>
      <c r="H991" s="26" t="str">
        <f aca="false">IF(F991="","",IFERROR(INDEX(請求台帳!$I$5:$I$504,MATCH(F991,請求台帳!$A$5:$A$504,0)),""))</f>
        <v/>
      </c>
      <c r="I991" s="29" t="str">
        <f aca="false">IF(COUNTA(B991,D991,E991,F991)=0,"",IF(OR(B991="",E991=""),"要入力",IF(F991="","未消込",IF(ISNA(MATCH(F991,請求台帳!$A$5:$A$504,0)),"番号誤り",IF(INDEX(請求台帳!$T$5:$T$504,MATCH(F991,請求台帳!$A$5:$A$504,0))="取消","取消請求へ消込","消込済")))))</f>
        <v/>
      </c>
      <c r="J991" s="28"/>
      <c r="K991" s="28"/>
    </row>
    <row r="992" customFormat="false" ht="15" hidden="false" customHeight="false" outlineLevel="0" collapsed="false">
      <c r="A992" s="32" t="str">
        <f aca="false">IF(COUNTA(B992,D992,E992,F992)=0,"",ROW()-4)</f>
        <v/>
      </c>
      <c r="B992" s="22"/>
      <c r="C992" s="28"/>
      <c r="D992" s="28"/>
      <c r="E992" s="18"/>
      <c r="F992" s="28"/>
      <c r="G992" s="32" t="str">
        <f aca="false">IF(F992="","",IFERROR(INDEX(請求台帳!$D$5:$D$504,MATCH(F992,請求台帳!$A$5:$A$504,0)),""))</f>
        <v/>
      </c>
      <c r="H992" s="26" t="str">
        <f aca="false">IF(F992="","",IFERROR(INDEX(請求台帳!$I$5:$I$504,MATCH(F992,請求台帳!$A$5:$A$504,0)),""))</f>
        <v/>
      </c>
      <c r="I992" s="29" t="str">
        <f aca="false">IF(COUNTA(B992,D992,E992,F992)=0,"",IF(OR(B992="",E992=""),"要入力",IF(F992="","未消込",IF(ISNA(MATCH(F992,請求台帳!$A$5:$A$504,0)),"番号誤り",IF(INDEX(請求台帳!$T$5:$T$504,MATCH(F992,請求台帳!$A$5:$A$504,0))="取消","取消請求へ消込","消込済")))))</f>
        <v/>
      </c>
      <c r="J992" s="28"/>
      <c r="K992" s="28"/>
    </row>
    <row r="993" customFormat="false" ht="15" hidden="false" customHeight="false" outlineLevel="0" collapsed="false">
      <c r="A993" s="32" t="str">
        <f aca="false">IF(COUNTA(B993,D993,E993,F993)=0,"",ROW()-4)</f>
        <v/>
      </c>
      <c r="B993" s="22"/>
      <c r="C993" s="28"/>
      <c r="D993" s="28"/>
      <c r="E993" s="18"/>
      <c r="F993" s="28"/>
      <c r="G993" s="32" t="str">
        <f aca="false">IF(F993="","",IFERROR(INDEX(請求台帳!$D$5:$D$504,MATCH(F993,請求台帳!$A$5:$A$504,0)),""))</f>
        <v/>
      </c>
      <c r="H993" s="26" t="str">
        <f aca="false">IF(F993="","",IFERROR(INDEX(請求台帳!$I$5:$I$504,MATCH(F993,請求台帳!$A$5:$A$504,0)),""))</f>
        <v/>
      </c>
      <c r="I993" s="29" t="str">
        <f aca="false">IF(COUNTA(B993,D993,E993,F993)=0,"",IF(OR(B993="",E993=""),"要入力",IF(F993="","未消込",IF(ISNA(MATCH(F993,請求台帳!$A$5:$A$504,0)),"番号誤り",IF(INDEX(請求台帳!$T$5:$T$504,MATCH(F993,請求台帳!$A$5:$A$504,0))="取消","取消請求へ消込","消込済")))))</f>
        <v/>
      </c>
      <c r="J993" s="28"/>
      <c r="K993" s="28"/>
    </row>
    <row r="994" customFormat="false" ht="15" hidden="false" customHeight="false" outlineLevel="0" collapsed="false">
      <c r="A994" s="32" t="str">
        <f aca="false">IF(COUNTA(B994,D994,E994,F994)=0,"",ROW()-4)</f>
        <v/>
      </c>
      <c r="B994" s="22"/>
      <c r="C994" s="28"/>
      <c r="D994" s="28"/>
      <c r="E994" s="18"/>
      <c r="F994" s="28"/>
      <c r="G994" s="32" t="str">
        <f aca="false">IF(F994="","",IFERROR(INDEX(請求台帳!$D$5:$D$504,MATCH(F994,請求台帳!$A$5:$A$504,0)),""))</f>
        <v/>
      </c>
      <c r="H994" s="26" t="str">
        <f aca="false">IF(F994="","",IFERROR(INDEX(請求台帳!$I$5:$I$504,MATCH(F994,請求台帳!$A$5:$A$504,0)),""))</f>
        <v/>
      </c>
      <c r="I994" s="29" t="str">
        <f aca="false">IF(COUNTA(B994,D994,E994,F994)=0,"",IF(OR(B994="",E994=""),"要入力",IF(F994="","未消込",IF(ISNA(MATCH(F994,請求台帳!$A$5:$A$504,0)),"番号誤り",IF(INDEX(請求台帳!$T$5:$T$504,MATCH(F994,請求台帳!$A$5:$A$504,0))="取消","取消請求へ消込","消込済")))))</f>
        <v/>
      </c>
      <c r="J994" s="28"/>
      <c r="K994" s="28"/>
    </row>
    <row r="995" customFormat="false" ht="15" hidden="false" customHeight="false" outlineLevel="0" collapsed="false">
      <c r="A995" s="32" t="str">
        <f aca="false">IF(COUNTA(B995,D995,E995,F995)=0,"",ROW()-4)</f>
        <v/>
      </c>
      <c r="B995" s="22"/>
      <c r="C995" s="28"/>
      <c r="D995" s="28"/>
      <c r="E995" s="18"/>
      <c r="F995" s="28"/>
      <c r="G995" s="32" t="str">
        <f aca="false">IF(F995="","",IFERROR(INDEX(請求台帳!$D$5:$D$504,MATCH(F995,請求台帳!$A$5:$A$504,0)),""))</f>
        <v/>
      </c>
      <c r="H995" s="26" t="str">
        <f aca="false">IF(F995="","",IFERROR(INDEX(請求台帳!$I$5:$I$504,MATCH(F995,請求台帳!$A$5:$A$504,0)),""))</f>
        <v/>
      </c>
      <c r="I995" s="29" t="str">
        <f aca="false">IF(COUNTA(B995,D995,E995,F995)=0,"",IF(OR(B995="",E995=""),"要入力",IF(F995="","未消込",IF(ISNA(MATCH(F995,請求台帳!$A$5:$A$504,0)),"番号誤り",IF(INDEX(請求台帳!$T$5:$T$504,MATCH(F995,請求台帳!$A$5:$A$504,0))="取消","取消請求へ消込","消込済")))))</f>
        <v/>
      </c>
      <c r="J995" s="28"/>
      <c r="K995" s="28"/>
    </row>
    <row r="996" customFormat="false" ht="15" hidden="false" customHeight="false" outlineLevel="0" collapsed="false">
      <c r="A996" s="32" t="str">
        <f aca="false">IF(COUNTA(B996,D996,E996,F996)=0,"",ROW()-4)</f>
        <v/>
      </c>
      <c r="B996" s="22"/>
      <c r="C996" s="28"/>
      <c r="D996" s="28"/>
      <c r="E996" s="18"/>
      <c r="F996" s="28"/>
      <c r="G996" s="32" t="str">
        <f aca="false">IF(F996="","",IFERROR(INDEX(請求台帳!$D$5:$D$504,MATCH(F996,請求台帳!$A$5:$A$504,0)),""))</f>
        <v/>
      </c>
      <c r="H996" s="26" t="str">
        <f aca="false">IF(F996="","",IFERROR(INDEX(請求台帳!$I$5:$I$504,MATCH(F996,請求台帳!$A$5:$A$504,0)),""))</f>
        <v/>
      </c>
      <c r="I996" s="29" t="str">
        <f aca="false">IF(COUNTA(B996,D996,E996,F996)=0,"",IF(OR(B996="",E996=""),"要入力",IF(F996="","未消込",IF(ISNA(MATCH(F996,請求台帳!$A$5:$A$504,0)),"番号誤り",IF(INDEX(請求台帳!$T$5:$T$504,MATCH(F996,請求台帳!$A$5:$A$504,0))="取消","取消請求へ消込","消込済")))))</f>
        <v/>
      </c>
      <c r="J996" s="28"/>
      <c r="K996" s="28"/>
    </row>
    <row r="997" customFormat="false" ht="15" hidden="false" customHeight="false" outlineLevel="0" collapsed="false">
      <c r="A997" s="32" t="str">
        <f aca="false">IF(COUNTA(B997,D997,E997,F997)=0,"",ROW()-4)</f>
        <v/>
      </c>
      <c r="B997" s="22"/>
      <c r="C997" s="28"/>
      <c r="D997" s="28"/>
      <c r="E997" s="18"/>
      <c r="F997" s="28"/>
      <c r="G997" s="32" t="str">
        <f aca="false">IF(F997="","",IFERROR(INDEX(請求台帳!$D$5:$D$504,MATCH(F997,請求台帳!$A$5:$A$504,0)),""))</f>
        <v/>
      </c>
      <c r="H997" s="26" t="str">
        <f aca="false">IF(F997="","",IFERROR(INDEX(請求台帳!$I$5:$I$504,MATCH(F997,請求台帳!$A$5:$A$504,0)),""))</f>
        <v/>
      </c>
      <c r="I997" s="29" t="str">
        <f aca="false">IF(COUNTA(B997,D997,E997,F997)=0,"",IF(OR(B997="",E997=""),"要入力",IF(F997="","未消込",IF(ISNA(MATCH(F997,請求台帳!$A$5:$A$504,0)),"番号誤り",IF(INDEX(請求台帳!$T$5:$T$504,MATCH(F997,請求台帳!$A$5:$A$504,0))="取消","取消請求へ消込","消込済")))))</f>
        <v/>
      </c>
      <c r="J997" s="28"/>
      <c r="K997" s="28"/>
    </row>
    <row r="998" customFormat="false" ht="15" hidden="false" customHeight="false" outlineLevel="0" collapsed="false">
      <c r="A998" s="32" t="str">
        <f aca="false">IF(COUNTA(B998,D998,E998,F998)=0,"",ROW()-4)</f>
        <v/>
      </c>
      <c r="B998" s="22"/>
      <c r="C998" s="28"/>
      <c r="D998" s="28"/>
      <c r="E998" s="18"/>
      <c r="F998" s="28"/>
      <c r="G998" s="32" t="str">
        <f aca="false">IF(F998="","",IFERROR(INDEX(請求台帳!$D$5:$D$504,MATCH(F998,請求台帳!$A$5:$A$504,0)),""))</f>
        <v/>
      </c>
      <c r="H998" s="26" t="str">
        <f aca="false">IF(F998="","",IFERROR(INDEX(請求台帳!$I$5:$I$504,MATCH(F998,請求台帳!$A$5:$A$504,0)),""))</f>
        <v/>
      </c>
      <c r="I998" s="29" t="str">
        <f aca="false">IF(COUNTA(B998,D998,E998,F998)=0,"",IF(OR(B998="",E998=""),"要入力",IF(F998="","未消込",IF(ISNA(MATCH(F998,請求台帳!$A$5:$A$504,0)),"番号誤り",IF(INDEX(請求台帳!$T$5:$T$504,MATCH(F998,請求台帳!$A$5:$A$504,0))="取消","取消請求へ消込","消込済")))))</f>
        <v/>
      </c>
      <c r="J998" s="28"/>
      <c r="K998" s="28"/>
    </row>
    <row r="999" customFormat="false" ht="15" hidden="false" customHeight="false" outlineLevel="0" collapsed="false">
      <c r="A999" s="32" t="str">
        <f aca="false">IF(COUNTA(B999,D999,E999,F999)=0,"",ROW()-4)</f>
        <v/>
      </c>
      <c r="B999" s="22"/>
      <c r="C999" s="28"/>
      <c r="D999" s="28"/>
      <c r="E999" s="18"/>
      <c r="F999" s="28"/>
      <c r="G999" s="32" t="str">
        <f aca="false">IF(F999="","",IFERROR(INDEX(請求台帳!$D$5:$D$504,MATCH(F999,請求台帳!$A$5:$A$504,0)),""))</f>
        <v/>
      </c>
      <c r="H999" s="26" t="str">
        <f aca="false">IF(F999="","",IFERROR(INDEX(請求台帳!$I$5:$I$504,MATCH(F999,請求台帳!$A$5:$A$504,0)),""))</f>
        <v/>
      </c>
      <c r="I999" s="29" t="str">
        <f aca="false">IF(COUNTA(B999,D999,E999,F999)=0,"",IF(OR(B999="",E999=""),"要入力",IF(F999="","未消込",IF(ISNA(MATCH(F999,請求台帳!$A$5:$A$504,0)),"番号誤り",IF(INDEX(請求台帳!$T$5:$T$504,MATCH(F999,請求台帳!$A$5:$A$504,0))="取消","取消請求へ消込","消込済")))))</f>
        <v/>
      </c>
      <c r="J999" s="28"/>
      <c r="K999" s="28"/>
    </row>
    <row r="1000" customFormat="false" ht="15" hidden="false" customHeight="false" outlineLevel="0" collapsed="false">
      <c r="A1000" s="32" t="str">
        <f aca="false">IF(COUNTA(B1000,D1000,E1000,F1000)=0,"",ROW()-4)</f>
        <v/>
      </c>
      <c r="B1000" s="22"/>
      <c r="C1000" s="28"/>
      <c r="D1000" s="28"/>
      <c r="E1000" s="18"/>
      <c r="F1000" s="28"/>
      <c r="G1000" s="32" t="str">
        <f aca="false">IF(F1000="","",IFERROR(INDEX(請求台帳!$D$5:$D$504,MATCH(F1000,請求台帳!$A$5:$A$504,0)),""))</f>
        <v/>
      </c>
      <c r="H1000" s="26" t="str">
        <f aca="false">IF(F1000="","",IFERROR(INDEX(請求台帳!$I$5:$I$504,MATCH(F1000,請求台帳!$A$5:$A$504,0)),""))</f>
        <v/>
      </c>
      <c r="I1000" s="29" t="str">
        <f aca="false">IF(COUNTA(B1000,D1000,E1000,F1000)=0,"",IF(OR(B1000="",E1000=""),"要入力",IF(F1000="","未消込",IF(ISNA(MATCH(F1000,請求台帳!$A$5:$A$504,0)),"番号誤り",IF(INDEX(請求台帳!$T$5:$T$504,MATCH(F1000,請求台帳!$A$5:$A$504,0))="取消","取消請求へ消込","消込済")))))</f>
        <v/>
      </c>
      <c r="J1000" s="28"/>
      <c r="K1000" s="28"/>
    </row>
    <row r="1001" customFormat="false" ht="15" hidden="false" customHeight="false" outlineLevel="0" collapsed="false">
      <c r="A1001" s="32" t="str">
        <f aca="false">IF(COUNTA(B1001,D1001,E1001,F1001)=0,"",ROW()-4)</f>
        <v/>
      </c>
      <c r="B1001" s="22"/>
      <c r="C1001" s="28"/>
      <c r="D1001" s="28"/>
      <c r="E1001" s="18"/>
      <c r="F1001" s="28"/>
      <c r="G1001" s="32" t="str">
        <f aca="false">IF(F1001="","",IFERROR(INDEX(請求台帳!$D$5:$D$504,MATCH(F1001,請求台帳!$A$5:$A$504,0)),""))</f>
        <v/>
      </c>
      <c r="H1001" s="26" t="str">
        <f aca="false">IF(F1001="","",IFERROR(INDEX(請求台帳!$I$5:$I$504,MATCH(F1001,請求台帳!$A$5:$A$504,0)),""))</f>
        <v/>
      </c>
      <c r="I1001" s="29" t="str">
        <f aca="false">IF(COUNTA(B1001,D1001,E1001,F1001)=0,"",IF(OR(B1001="",E1001=""),"要入力",IF(F1001="","未消込",IF(ISNA(MATCH(F1001,請求台帳!$A$5:$A$504,0)),"番号誤り",IF(INDEX(請求台帳!$T$5:$T$504,MATCH(F1001,請求台帳!$A$5:$A$504,0))="取消","取消請求へ消込","消込済")))))</f>
        <v/>
      </c>
      <c r="J1001" s="28"/>
      <c r="K1001" s="28"/>
    </row>
    <row r="1002" customFormat="false" ht="15" hidden="false" customHeight="false" outlineLevel="0" collapsed="false">
      <c r="A1002" s="32" t="str">
        <f aca="false">IF(COUNTA(B1002,D1002,E1002,F1002)=0,"",ROW()-4)</f>
        <v/>
      </c>
      <c r="B1002" s="22"/>
      <c r="C1002" s="28"/>
      <c r="D1002" s="28"/>
      <c r="E1002" s="18"/>
      <c r="F1002" s="28"/>
      <c r="G1002" s="32" t="str">
        <f aca="false">IF(F1002="","",IFERROR(INDEX(請求台帳!$D$5:$D$504,MATCH(F1002,請求台帳!$A$5:$A$504,0)),""))</f>
        <v/>
      </c>
      <c r="H1002" s="26" t="str">
        <f aca="false">IF(F1002="","",IFERROR(INDEX(請求台帳!$I$5:$I$504,MATCH(F1002,請求台帳!$A$5:$A$504,0)),""))</f>
        <v/>
      </c>
      <c r="I1002" s="29" t="str">
        <f aca="false">IF(COUNTA(B1002,D1002,E1002,F1002)=0,"",IF(OR(B1002="",E1002=""),"要入力",IF(F1002="","未消込",IF(ISNA(MATCH(F1002,請求台帳!$A$5:$A$504,0)),"番号誤り",IF(INDEX(請求台帳!$T$5:$T$504,MATCH(F1002,請求台帳!$A$5:$A$504,0))="取消","取消請求へ消込","消込済")))))</f>
        <v/>
      </c>
      <c r="J1002" s="28"/>
      <c r="K1002" s="28"/>
    </row>
    <row r="1003" customFormat="false" ht="15" hidden="false" customHeight="false" outlineLevel="0" collapsed="false">
      <c r="A1003" s="32" t="str">
        <f aca="false">IF(COUNTA(B1003,D1003,E1003,F1003)=0,"",ROW()-4)</f>
        <v/>
      </c>
      <c r="B1003" s="22"/>
      <c r="C1003" s="28"/>
      <c r="D1003" s="28"/>
      <c r="E1003" s="18"/>
      <c r="F1003" s="28"/>
      <c r="G1003" s="32" t="str">
        <f aca="false">IF(F1003="","",IFERROR(INDEX(請求台帳!$D$5:$D$504,MATCH(F1003,請求台帳!$A$5:$A$504,0)),""))</f>
        <v/>
      </c>
      <c r="H1003" s="26" t="str">
        <f aca="false">IF(F1003="","",IFERROR(INDEX(請求台帳!$I$5:$I$504,MATCH(F1003,請求台帳!$A$5:$A$504,0)),""))</f>
        <v/>
      </c>
      <c r="I1003" s="29" t="str">
        <f aca="false">IF(COUNTA(B1003,D1003,E1003,F1003)=0,"",IF(OR(B1003="",E1003=""),"要入力",IF(F1003="","未消込",IF(ISNA(MATCH(F1003,請求台帳!$A$5:$A$504,0)),"番号誤り",IF(INDEX(請求台帳!$T$5:$T$504,MATCH(F1003,請求台帳!$A$5:$A$504,0))="取消","取消請求へ消込","消込済")))))</f>
        <v/>
      </c>
      <c r="J1003" s="28"/>
      <c r="K1003" s="28"/>
    </row>
    <row r="1004" customFormat="false" ht="15" hidden="false" customHeight="false" outlineLevel="0" collapsed="false">
      <c r="A1004" s="32" t="str">
        <f aca="false">IF(COUNTA(B1004,D1004,E1004,F1004)=0,"",ROW()-4)</f>
        <v/>
      </c>
      <c r="B1004" s="22"/>
      <c r="C1004" s="28"/>
      <c r="D1004" s="28"/>
      <c r="E1004" s="18"/>
      <c r="F1004" s="28"/>
      <c r="G1004" s="32" t="str">
        <f aca="false">IF(F1004="","",IFERROR(INDEX(請求台帳!$D$5:$D$504,MATCH(F1004,請求台帳!$A$5:$A$504,0)),""))</f>
        <v/>
      </c>
      <c r="H1004" s="26" t="str">
        <f aca="false">IF(F1004="","",IFERROR(INDEX(請求台帳!$I$5:$I$504,MATCH(F1004,請求台帳!$A$5:$A$504,0)),""))</f>
        <v/>
      </c>
      <c r="I1004" s="29" t="str">
        <f aca="false">IF(COUNTA(B1004,D1004,E1004,F1004)=0,"",IF(OR(B1004="",E1004=""),"要入力",IF(F1004="","未消込",IF(ISNA(MATCH(F1004,請求台帳!$A$5:$A$504,0)),"番号誤り",IF(INDEX(請求台帳!$T$5:$T$504,MATCH(F1004,請求台帳!$A$5:$A$504,0))="取消","取消請求へ消込","消込済")))))</f>
        <v/>
      </c>
      <c r="J1004" s="28"/>
      <c r="K1004" s="28"/>
    </row>
  </sheetData>
  <sheetProtection sheet="true" formatCells="false" formatColumns="false" formatRows="false" autoFilter="false"/>
  <autoFilter ref="A4:K1004"/>
  <conditionalFormatting sqref="I5:I1004">
    <cfRule type="expression" priority="2" aboveAverage="0" equalAverage="0" bottom="0" percent="0" rank="0" text="" dxfId="1">
      <formula>$I5="入金済"</formula>
    </cfRule>
    <cfRule type="expression" priority="3" aboveAverage="0" equalAverage="0" bottom="0" percent="0" rank="0" text="" dxfId="0">
      <formula>$I5="期日超過"</formula>
    </cfRule>
    <cfRule type="expression" priority="4" aboveAverage="0" equalAverage="0" bottom="0" percent="0" rank="0" text="" dxfId="0">
      <formula>$I5="一部入金・超過"</formula>
    </cfRule>
    <cfRule type="expression" priority="5" aboveAverage="0" equalAverage="0" bottom="0" percent="0" rank="0" text="" dxfId="20">
      <formula>$I5="未送付"</formula>
    </cfRule>
    <cfRule type="expression" priority="6" aboveAverage="0" equalAverage="0" bottom="0" percent="0" rank="0" text="" dxfId="2">
      <formula>$I5="要入力"</formula>
    </cfRule>
    <cfRule type="expression" priority="7" aboveAverage="0" equalAverage="0" bottom="0" percent="0" rank="0" text="" dxfId="21">
      <formula>$I5="期日間近"</formula>
    </cfRule>
    <cfRule type="expression" priority="8" aboveAverage="0" equalAverage="0" bottom="0" percent="0" rank="0" text="" dxfId="21">
      <formula>$I5="一部入金"</formula>
    </cfRule>
    <cfRule type="expression" priority="9" aboveAverage="0" equalAverage="0" bottom="0" percent="0" rank="0" text="" dxfId="22">
      <formula>$I5="過入金"</formula>
    </cfRule>
    <cfRule type="expression" priority="10" aboveAverage="0" equalAverage="0" bottom="0" percent="0" rank="0" text="" dxfId="23">
      <formula>$I5="取消"</formula>
    </cfRule>
    <cfRule type="expression" priority="11" aboveAverage="0" equalAverage="0" bottom="0" percent="0" rank="0" text="" dxfId="0">
      <formula>$I5="未消込"</formula>
    </cfRule>
    <cfRule type="expression" priority="12" aboveAverage="0" equalAverage="0" bottom="0" percent="0" rank="0" text="" dxfId="2">
      <formula>$I5="番号誤り"</formula>
    </cfRule>
    <cfRule type="expression" priority="13" aboveAverage="0" equalAverage="0" bottom="0" percent="0" rank="0" text="" dxfId="1">
      <formula>$I5="消込済"</formula>
    </cfRule>
    <cfRule type="expression" priority="14" aboveAverage="0" equalAverage="0" bottom="0" percent="0" rank="0" text="" dxfId="2">
      <formula>$I5="取消請求へ消込"</formula>
    </cfRule>
  </conditionalFormatting>
  <dataValidations count="3">
    <dataValidation allowBlank="true" error="日付を入力してください(例: 2026/9/30)" errorStyle="stop" errorTitle="入力エラー" operator="between" showDropDown="false" showErrorMessage="true" showInputMessage="false" sqref="B5:B1004" type="date">
      <formula1>DATE(2000,1,1)</formula1>
      <formula2>DATE(2100,12,31)</formula2>
    </dataValidation>
    <dataValidation allowBlank="true" error="数値(円)を入力してください" errorStyle="stop" errorTitle="入力エラー" operator="greaterThanOrEqual" showDropDown="false" showErrorMessage="true" showInputMessage="false" sqref="E5:E1004" type="decimal">
      <formula1>-99999999999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C5:C1004" type="list">
      <formula1>設定!$H$5:$H$24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186</v>
      </c>
    </row>
    <row r="3" customFormat="false" ht="15" hidden="false" customHeight="false" outlineLevel="0" collapsed="false">
      <c r="C3" s="10" t="s">
        <v>187</v>
      </c>
      <c r="D3" s="33" t="n">
        <f aca="false">D205</f>
        <v>349300</v>
      </c>
      <c r="E3" s="33" t="n">
        <f aca="false">E205</f>
        <v>184300</v>
      </c>
      <c r="F3" s="33" t="n">
        <f aca="false">F205</f>
        <v>0</v>
      </c>
      <c r="G3" s="33" t="n">
        <f aca="false">G205</f>
        <v>165000</v>
      </c>
      <c r="H3" s="33" t="n">
        <f aca="false">H205</f>
        <v>0</v>
      </c>
    </row>
    <row r="4" customFormat="false" ht="31.5" hidden="false" customHeight="true" outlineLevel="0" collapsed="false">
      <c r="A4" s="20" t="s">
        <v>120</v>
      </c>
      <c r="B4" s="20" t="s">
        <v>121</v>
      </c>
      <c r="C4" s="20" t="s">
        <v>188</v>
      </c>
      <c r="D4" s="20" t="s">
        <v>136</v>
      </c>
      <c r="E4" s="20" t="s">
        <v>189</v>
      </c>
      <c r="F4" s="20" t="s">
        <v>190</v>
      </c>
      <c r="G4" s="20" t="s">
        <v>191</v>
      </c>
      <c r="H4" s="20" t="s">
        <v>192</v>
      </c>
      <c r="I4" s="20" t="s">
        <v>193</v>
      </c>
      <c r="J4" s="20" t="s">
        <v>194</v>
      </c>
    </row>
    <row r="5" customFormat="false" ht="15" hidden="false" customHeight="false" outlineLevel="0" collapsed="false">
      <c r="A5" s="32" t="str">
        <f aca="false">IF(取引先マスタ!A5="","",取引先マスタ!A5)</f>
        <v>C001</v>
      </c>
      <c r="B5" s="32" t="str">
        <f aca="false">IF(A5="","",取引先マスタ!B5)</f>
        <v>株式会社サンプル商事</v>
      </c>
      <c r="C5" s="32" t="str">
        <f aca="false">IF(A5="","",取引先マスタ!J5&amp;"")</f>
        <v>山田</v>
      </c>
      <c r="D5" s="26" t="n">
        <f aca="false">IF(A5="","",SUMIFS(請求台帳!$S$5:$S$504,請求台帳!$C$5:$C$504,A5,請求台帳!$T$5:$T$504,"&lt;&gt;取消"))</f>
        <v>110000</v>
      </c>
      <c r="E5" s="26" t="n">
        <f aca="false">IF(A5="","",D5-SUM(F5:H5))</f>
        <v>110000</v>
      </c>
      <c r="F5" s="26" t="n">
        <f aca="false">IF(A5="","",SUMIFS(請求台帳!$S$5:$S$504,請求台帳!$C$5:$C$504,A5,請求台帳!$V$5:$V$504,"&gt;=1",請求台帳!$V$5:$V$504,"&lt;=30"))</f>
        <v>0</v>
      </c>
      <c r="G5" s="26" t="n">
        <f aca="false">IF(A5="","",SUMIFS(請求台帳!$S$5:$S$504,請求台帳!$C$5:$C$504,A5,請求台帳!$V$5:$V$504,"&gt;=31",請求台帳!$V$5:$V$504,"&lt;=60"))</f>
        <v>0</v>
      </c>
      <c r="H5" s="26" t="n">
        <f aca="false">IF(A5="","",SUMIFS(請求台帳!$S$5:$S$504,請求台帳!$C$5:$C$504,A5,請求台帳!$V$5:$V$504,"&gt;=61"))</f>
        <v>0</v>
      </c>
      <c r="I5" s="34" t="n">
        <f aca="false">IF(A5="","",COUNTIFS(請求台帳!$C$5:$C$504,A5,請求台帳!$B$5:$B$504,"&gt;="&amp;チェック!$C$4,請求台帳!$B$5:$B$504,"&lt;="&amp;EOMONTH(チェック!$C$4,0),請求台帳!$T$5:$T$504,"&lt;&gt;取消"))</f>
        <v>0</v>
      </c>
      <c r="J5" s="29" t="str">
        <f aca="false">IF(A5="","",IF(AND(取引先マスタ!G5="有",I5=0),"請求漏れ候補",""))</f>
        <v>請求漏れ候補</v>
      </c>
    </row>
    <row r="6" customFormat="false" ht="15" hidden="false" customHeight="false" outlineLevel="0" collapsed="false">
      <c r="A6" s="32" t="str">
        <f aca="false">IF(取引先マスタ!A6="","",取引先マスタ!A6)</f>
        <v>C002</v>
      </c>
      <c r="B6" s="32" t="str">
        <f aca="false">IF(A6="","",取引先マスタ!B6)</f>
        <v>有限会社テスト工業</v>
      </c>
      <c r="C6" s="32" t="str">
        <f aca="false">IF(A6="","",取引先マスタ!J6&amp;"")</f>
        <v>佐藤</v>
      </c>
      <c r="D6" s="26" t="n">
        <f aca="false">IF(A6="","",SUMIFS(請求台帳!$S$5:$S$504,請求台帳!$C$5:$C$504,A6,請求台帳!$T$5:$T$504,"&lt;&gt;取消"))</f>
        <v>165000</v>
      </c>
      <c r="E6" s="26" t="n">
        <f aca="false">IF(A6="","",D6-SUM(F6:H6))</f>
        <v>0</v>
      </c>
      <c r="F6" s="26" t="n">
        <f aca="false">IF(A6="","",SUMIFS(請求台帳!$S$5:$S$504,請求台帳!$C$5:$C$504,A6,請求台帳!$V$5:$V$504,"&gt;=1",請求台帳!$V$5:$V$504,"&lt;=30"))</f>
        <v>0</v>
      </c>
      <c r="G6" s="26" t="n">
        <f aca="false">IF(A6="","",SUMIFS(請求台帳!$S$5:$S$504,請求台帳!$C$5:$C$504,A6,請求台帳!$V$5:$V$504,"&gt;=31",請求台帳!$V$5:$V$504,"&lt;=60"))</f>
        <v>165000</v>
      </c>
      <c r="H6" s="26" t="n">
        <f aca="false">IF(A6="","",SUMIFS(請求台帳!$S$5:$S$504,請求台帳!$C$5:$C$504,A6,請求台帳!$V$5:$V$504,"&gt;=61"))</f>
        <v>0</v>
      </c>
      <c r="I6" s="34" t="n">
        <f aca="false">IF(A6="","",COUNTIFS(請求台帳!$C$5:$C$504,A6,請求台帳!$B$5:$B$504,"&gt;="&amp;チェック!$C$4,請求台帳!$B$5:$B$504,"&lt;="&amp;EOMONTH(チェック!$C$4,0),請求台帳!$T$5:$T$504,"&lt;&gt;取消"))</f>
        <v>0</v>
      </c>
      <c r="J6" s="29" t="str">
        <f aca="false">IF(A6="","",IF(AND(取引先マスタ!G6="有",I6=0),"請求漏れ候補",""))</f>
        <v/>
      </c>
    </row>
    <row r="7" customFormat="false" ht="15" hidden="false" customHeight="false" outlineLevel="0" collapsed="false">
      <c r="A7" s="32" t="str">
        <f aca="false">IF(取引先マスタ!A7="","",取引先マスタ!A7)</f>
        <v>C003</v>
      </c>
      <c r="B7" s="32" t="str">
        <f aca="false">IF(A7="","",取引先マスタ!B7)</f>
        <v>合同会社デモ</v>
      </c>
      <c r="C7" s="32" t="str">
        <f aca="false">IF(A7="","",取引先マスタ!J7&amp;"")</f>
        <v>山田</v>
      </c>
      <c r="D7" s="26" t="n">
        <f aca="false">IF(A7="","",SUMIFS(請求台帳!$S$5:$S$504,請求台帳!$C$5:$C$504,A7,請求台帳!$T$5:$T$504,"&lt;&gt;取消"))</f>
        <v>74300</v>
      </c>
      <c r="E7" s="26" t="n">
        <f aca="false">IF(A7="","",D7-SUM(F7:H7))</f>
        <v>74300</v>
      </c>
      <c r="F7" s="26" t="n">
        <f aca="false">IF(A7="","",SUMIFS(請求台帳!$S$5:$S$504,請求台帳!$C$5:$C$504,A7,請求台帳!$V$5:$V$504,"&gt;=1",請求台帳!$V$5:$V$504,"&lt;=30"))</f>
        <v>0</v>
      </c>
      <c r="G7" s="26" t="n">
        <f aca="false">IF(A7="","",SUMIFS(請求台帳!$S$5:$S$504,請求台帳!$C$5:$C$504,A7,請求台帳!$V$5:$V$504,"&gt;=31",請求台帳!$V$5:$V$504,"&lt;=60"))</f>
        <v>0</v>
      </c>
      <c r="H7" s="26" t="n">
        <f aca="false">IF(A7="","",SUMIFS(請求台帳!$S$5:$S$504,請求台帳!$C$5:$C$504,A7,請求台帳!$V$5:$V$504,"&gt;=61"))</f>
        <v>0</v>
      </c>
      <c r="I7" s="34" t="n">
        <f aca="false">IF(A7="","",COUNTIFS(請求台帳!$C$5:$C$504,A7,請求台帳!$B$5:$B$504,"&gt;="&amp;チェック!$C$4,請求台帳!$B$5:$B$504,"&lt;="&amp;EOMONTH(チェック!$C$4,0),請求台帳!$T$5:$T$504,"&lt;&gt;取消"))</f>
        <v>1</v>
      </c>
      <c r="J7" s="29" t="str">
        <f aca="false">IF(A7="","",IF(AND(取引先マスタ!G7="有",I7=0),"請求漏れ候補",""))</f>
        <v/>
      </c>
    </row>
    <row r="8" customFormat="false" ht="15" hidden="false" customHeight="false" outlineLevel="0" collapsed="false">
      <c r="A8" s="32" t="str">
        <f aca="false">IF(取引先マスタ!A8="","",取引先マスタ!A8)</f>
        <v/>
      </c>
      <c r="B8" s="32" t="str">
        <f aca="false">IF(A8="","",取引先マスタ!B8)</f>
        <v/>
      </c>
      <c r="C8" s="32" t="str">
        <f aca="false">IF(A8="","",取引先マスタ!J8&amp;"")</f>
        <v/>
      </c>
      <c r="D8" s="26" t="str">
        <f aca="false">IF(A8="","",SUMIFS(請求台帳!$S$5:$S$504,請求台帳!$C$5:$C$504,A8,請求台帳!$T$5:$T$504,"&lt;&gt;取消"))</f>
        <v/>
      </c>
      <c r="E8" s="26" t="str">
        <f aca="false">IF(A8="","",D8-SUM(F8:H8))</f>
        <v/>
      </c>
      <c r="F8" s="26" t="str">
        <f aca="false">IF(A8="","",SUMIFS(請求台帳!$S$5:$S$504,請求台帳!$C$5:$C$504,A8,請求台帳!$V$5:$V$504,"&gt;=1",請求台帳!$V$5:$V$504,"&lt;=30"))</f>
        <v/>
      </c>
      <c r="G8" s="26" t="str">
        <f aca="false">IF(A8="","",SUMIFS(請求台帳!$S$5:$S$504,請求台帳!$C$5:$C$504,A8,請求台帳!$V$5:$V$504,"&gt;=31",請求台帳!$V$5:$V$504,"&lt;=60"))</f>
        <v/>
      </c>
      <c r="H8" s="26" t="str">
        <f aca="false">IF(A8="","",SUMIFS(請求台帳!$S$5:$S$504,請求台帳!$C$5:$C$504,A8,請求台帳!$V$5:$V$504,"&gt;=61"))</f>
        <v/>
      </c>
      <c r="I8" s="34" t="str">
        <f aca="false">IF(A8="","",COUNTIFS(請求台帳!$C$5:$C$504,A8,請求台帳!$B$5:$B$504,"&gt;="&amp;チェック!$C$4,請求台帳!$B$5:$B$504,"&lt;="&amp;EOMONTH(チェック!$C$4,0),請求台帳!$T$5:$T$504,"&lt;&gt;取消"))</f>
        <v/>
      </c>
      <c r="J8" s="29" t="str">
        <f aca="false">IF(A8="","",IF(AND(取引先マスタ!G8="有",I8=0),"請求漏れ候補",""))</f>
        <v/>
      </c>
    </row>
    <row r="9" customFormat="false" ht="15" hidden="false" customHeight="false" outlineLevel="0" collapsed="false">
      <c r="A9" s="32" t="str">
        <f aca="false">IF(取引先マスタ!A9="","",取引先マスタ!A9)</f>
        <v/>
      </c>
      <c r="B9" s="32" t="str">
        <f aca="false">IF(A9="","",取引先マスタ!B9)</f>
        <v/>
      </c>
      <c r="C9" s="32" t="str">
        <f aca="false">IF(A9="","",取引先マスタ!J9&amp;"")</f>
        <v/>
      </c>
      <c r="D9" s="26" t="str">
        <f aca="false">IF(A9="","",SUMIFS(請求台帳!$S$5:$S$504,請求台帳!$C$5:$C$504,A9,請求台帳!$T$5:$T$504,"&lt;&gt;取消"))</f>
        <v/>
      </c>
      <c r="E9" s="26" t="str">
        <f aca="false">IF(A9="","",D9-SUM(F9:H9))</f>
        <v/>
      </c>
      <c r="F9" s="26" t="str">
        <f aca="false">IF(A9="","",SUMIFS(請求台帳!$S$5:$S$504,請求台帳!$C$5:$C$504,A9,請求台帳!$V$5:$V$504,"&gt;=1",請求台帳!$V$5:$V$504,"&lt;=30"))</f>
        <v/>
      </c>
      <c r="G9" s="26" t="str">
        <f aca="false">IF(A9="","",SUMIFS(請求台帳!$S$5:$S$504,請求台帳!$C$5:$C$504,A9,請求台帳!$V$5:$V$504,"&gt;=31",請求台帳!$V$5:$V$504,"&lt;=60"))</f>
        <v/>
      </c>
      <c r="H9" s="26" t="str">
        <f aca="false">IF(A9="","",SUMIFS(請求台帳!$S$5:$S$504,請求台帳!$C$5:$C$504,A9,請求台帳!$V$5:$V$504,"&gt;=61"))</f>
        <v/>
      </c>
      <c r="I9" s="34" t="str">
        <f aca="false">IF(A9="","",COUNTIFS(請求台帳!$C$5:$C$504,A9,請求台帳!$B$5:$B$504,"&gt;="&amp;チェック!$C$4,請求台帳!$B$5:$B$504,"&lt;="&amp;EOMONTH(チェック!$C$4,0),請求台帳!$T$5:$T$504,"&lt;&gt;取消"))</f>
        <v/>
      </c>
      <c r="J9" s="29" t="str">
        <f aca="false">IF(A9="","",IF(AND(取引先マスタ!G9="有",I9=0),"請求漏れ候補",""))</f>
        <v/>
      </c>
    </row>
    <row r="10" customFormat="false" ht="15" hidden="false" customHeight="false" outlineLevel="0" collapsed="false">
      <c r="A10" s="32" t="str">
        <f aca="false">IF(取引先マスタ!A10="","",取引先マスタ!A10)</f>
        <v/>
      </c>
      <c r="B10" s="32" t="str">
        <f aca="false">IF(A10="","",取引先マスタ!B10)</f>
        <v/>
      </c>
      <c r="C10" s="32" t="str">
        <f aca="false">IF(A10="","",取引先マスタ!J10&amp;"")</f>
        <v/>
      </c>
      <c r="D10" s="26" t="str">
        <f aca="false">IF(A10="","",SUMIFS(請求台帳!$S$5:$S$504,請求台帳!$C$5:$C$504,A10,請求台帳!$T$5:$T$504,"&lt;&gt;取消"))</f>
        <v/>
      </c>
      <c r="E10" s="26" t="str">
        <f aca="false">IF(A10="","",D10-SUM(F10:H10))</f>
        <v/>
      </c>
      <c r="F10" s="26" t="str">
        <f aca="false">IF(A10="","",SUMIFS(請求台帳!$S$5:$S$504,請求台帳!$C$5:$C$504,A10,請求台帳!$V$5:$V$504,"&gt;=1",請求台帳!$V$5:$V$504,"&lt;=30"))</f>
        <v/>
      </c>
      <c r="G10" s="26" t="str">
        <f aca="false">IF(A10="","",SUMIFS(請求台帳!$S$5:$S$504,請求台帳!$C$5:$C$504,A10,請求台帳!$V$5:$V$504,"&gt;=31",請求台帳!$V$5:$V$504,"&lt;=60"))</f>
        <v/>
      </c>
      <c r="H10" s="26" t="str">
        <f aca="false">IF(A10="","",SUMIFS(請求台帳!$S$5:$S$504,請求台帳!$C$5:$C$504,A10,請求台帳!$V$5:$V$504,"&gt;=61"))</f>
        <v/>
      </c>
      <c r="I10" s="34" t="str">
        <f aca="false">IF(A10="","",COUNTIFS(請求台帳!$C$5:$C$504,A10,請求台帳!$B$5:$B$504,"&gt;="&amp;チェック!$C$4,請求台帳!$B$5:$B$504,"&lt;="&amp;EOMONTH(チェック!$C$4,0),請求台帳!$T$5:$T$504,"&lt;&gt;取消"))</f>
        <v/>
      </c>
      <c r="J10" s="29" t="str">
        <f aca="false">IF(A10="","",IF(AND(取引先マスタ!G10="有",I10=0),"請求漏れ候補",""))</f>
        <v/>
      </c>
    </row>
    <row r="11" customFormat="false" ht="15" hidden="false" customHeight="false" outlineLevel="0" collapsed="false">
      <c r="A11" s="32" t="str">
        <f aca="false">IF(取引先マスタ!A11="","",取引先マスタ!A11)</f>
        <v/>
      </c>
      <c r="B11" s="32" t="str">
        <f aca="false">IF(A11="","",取引先マスタ!B11)</f>
        <v/>
      </c>
      <c r="C11" s="32" t="str">
        <f aca="false">IF(A11="","",取引先マスタ!J11&amp;"")</f>
        <v/>
      </c>
      <c r="D11" s="26" t="str">
        <f aca="false">IF(A11="","",SUMIFS(請求台帳!$S$5:$S$504,請求台帳!$C$5:$C$504,A11,請求台帳!$T$5:$T$504,"&lt;&gt;取消"))</f>
        <v/>
      </c>
      <c r="E11" s="26" t="str">
        <f aca="false">IF(A11="","",D11-SUM(F11:H11))</f>
        <v/>
      </c>
      <c r="F11" s="26" t="str">
        <f aca="false">IF(A11="","",SUMIFS(請求台帳!$S$5:$S$504,請求台帳!$C$5:$C$504,A11,請求台帳!$V$5:$V$504,"&gt;=1",請求台帳!$V$5:$V$504,"&lt;=30"))</f>
        <v/>
      </c>
      <c r="G11" s="26" t="str">
        <f aca="false">IF(A11="","",SUMIFS(請求台帳!$S$5:$S$504,請求台帳!$C$5:$C$504,A11,請求台帳!$V$5:$V$504,"&gt;=31",請求台帳!$V$5:$V$504,"&lt;=60"))</f>
        <v/>
      </c>
      <c r="H11" s="26" t="str">
        <f aca="false">IF(A11="","",SUMIFS(請求台帳!$S$5:$S$504,請求台帳!$C$5:$C$504,A11,請求台帳!$V$5:$V$504,"&gt;=61"))</f>
        <v/>
      </c>
      <c r="I11" s="34" t="str">
        <f aca="false">IF(A11="","",COUNTIFS(請求台帳!$C$5:$C$504,A11,請求台帳!$B$5:$B$504,"&gt;="&amp;チェック!$C$4,請求台帳!$B$5:$B$504,"&lt;="&amp;EOMONTH(チェック!$C$4,0),請求台帳!$T$5:$T$504,"&lt;&gt;取消"))</f>
        <v/>
      </c>
      <c r="J11" s="29" t="str">
        <f aca="false">IF(A11="","",IF(AND(取引先マスタ!G11="有",I11=0),"請求漏れ候補",""))</f>
        <v/>
      </c>
    </row>
    <row r="12" customFormat="false" ht="15" hidden="false" customHeight="false" outlineLevel="0" collapsed="false">
      <c r="A12" s="32" t="str">
        <f aca="false">IF(取引先マスタ!A12="","",取引先マスタ!A12)</f>
        <v/>
      </c>
      <c r="B12" s="32" t="str">
        <f aca="false">IF(A12="","",取引先マスタ!B12)</f>
        <v/>
      </c>
      <c r="C12" s="32" t="str">
        <f aca="false">IF(A12="","",取引先マスタ!J12&amp;"")</f>
        <v/>
      </c>
      <c r="D12" s="26" t="str">
        <f aca="false">IF(A12="","",SUMIFS(請求台帳!$S$5:$S$504,請求台帳!$C$5:$C$504,A12,請求台帳!$T$5:$T$504,"&lt;&gt;取消"))</f>
        <v/>
      </c>
      <c r="E12" s="26" t="str">
        <f aca="false">IF(A12="","",D12-SUM(F12:H12))</f>
        <v/>
      </c>
      <c r="F12" s="26" t="str">
        <f aca="false">IF(A12="","",SUMIFS(請求台帳!$S$5:$S$504,請求台帳!$C$5:$C$504,A12,請求台帳!$V$5:$V$504,"&gt;=1",請求台帳!$V$5:$V$504,"&lt;=30"))</f>
        <v/>
      </c>
      <c r="G12" s="26" t="str">
        <f aca="false">IF(A12="","",SUMIFS(請求台帳!$S$5:$S$504,請求台帳!$C$5:$C$504,A12,請求台帳!$V$5:$V$504,"&gt;=31",請求台帳!$V$5:$V$504,"&lt;=60"))</f>
        <v/>
      </c>
      <c r="H12" s="26" t="str">
        <f aca="false">IF(A12="","",SUMIFS(請求台帳!$S$5:$S$504,請求台帳!$C$5:$C$504,A12,請求台帳!$V$5:$V$504,"&gt;=61"))</f>
        <v/>
      </c>
      <c r="I12" s="34" t="str">
        <f aca="false">IF(A12="","",COUNTIFS(請求台帳!$C$5:$C$504,A12,請求台帳!$B$5:$B$504,"&gt;="&amp;チェック!$C$4,請求台帳!$B$5:$B$504,"&lt;="&amp;EOMONTH(チェック!$C$4,0),請求台帳!$T$5:$T$504,"&lt;&gt;取消"))</f>
        <v/>
      </c>
      <c r="J12" s="29" t="str">
        <f aca="false">IF(A12="","",IF(AND(取引先マスタ!G12="有",I12=0),"請求漏れ候補",""))</f>
        <v/>
      </c>
    </row>
    <row r="13" customFormat="false" ht="15" hidden="false" customHeight="false" outlineLevel="0" collapsed="false">
      <c r="A13" s="32" t="str">
        <f aca="false">IF(取引先マスタ!A13="","",取引先マスタ!A13)</f>
        <v/>
      </c>
      <c r="B13" s="32" t="str">
        <f aca="false">IF(A13="","",取引先マスタ!B13)</f>
        <v/>
      </c>
      <c r="C13" s="32" t="str">
        <f aca="false">IF(A13="","",取引先マスタ!J13&amp;"")</f>
        <v/>
      </c>
      <c r="D13" s="26" t="str">
        <f aca="false">IF(A13="","",SUMIFS(請求台帳!$S$5:$S$504,請求台帳!$C$5:$C$504,A13,請求台帳!$T$5:$T$504,"&lt;&gt;取消"))</f>
        <v/>
      </c>
      <c r="E13" s="26" t="str">
        <f aca="false">IF(A13="","",D13-SUM(F13:H13))</f>
        <v/>
      </c>
      <c r="F13" s="26" t="str">
        <f aca="false">IF(A13="","",SUMIFS(請求台帳!$S$5:$S$504,請求台帳!$C$5:$C$504,A13,請求台帳!$V$5:$V$504,"&gt;=1",請求台帳!$V$5:$V$504,"&lt;=30"))</f>
        <v/>
      </c>
      <c r="G13" s="26" t="str">
        <f aca="false">IF(A13="","",SUMIFS(請求台帳!$S$5:$S$504,請求台帳!$C$5:$C$504,A13,請求台帳!$V$5:$V$504,"&gt;=31",請求台帳!$V$5:$V$504,"&lt;=60"))</f>
        <v/>
      </c>
      <c r="H13" s="26" t="str">
        <f aca="false">IF(A13="","",SUMIFS(請求台帳!$S$5:$S$504,請求台帳!$C$5:$C$504,A13,請求台帳!$V$5:$V$504,"&gt;=61"))</f>
        <v/>
      </c>
      <c r="I13" s="34" t="str">
        <f aca="false">IF(A13="","",COUNTIFS(請求台帳!$C$5:$C$504,A13,請求台帳!$B$5:$B$504,"&gt;="&amp;チェック!$C$4,請求台帳!$B$5:$B$504,"&lt;="&amp;EOMONTH(チェック!$C$4,0),請求台帳!$T$5:$T$504,"&lt;&gt;取消"))</f>
        <v/>
      </c>
      <c r="J13" s="29" t="str">
        <f aca="false">IF(A13="","",IF(AND(取引先マスタ!G13="有",I13=0),"請求漏れ候補",""))</f>
        <v/>
      </c>
    </row>
    <row r="14" customFormat="false" ht="15" hidden="false" customHeight="false" outlineLevel="0" collapsed="false">
      <c r="A14" s="32" t="str">
        <f aca="false">IF(取引先マスタ!A14="","",取引先マスタ!A14)</f>
        <v/>
      </c>
      <c r="B14" s="32" t="str">
        <f aca="false">IF(A14="","",取引先マスタ!B14)</f>
        <v/>
      </c>
      <c r="C14" s="32" t="str">
        <f aca="false">IF(A14="","",取引先マスタ!J14&amp;"")</f>
        <v/>
      </c>
      <c r="D14" s="26" t="str">
        <f aca="false">IF(A14="","",SUMIFS(請求台帳!$S$5:$S$504,請求台帳!$C$5:$C$504,A14,請求台帳!$T$5:$T$504,"&lt;&gt;取消"))</f>
        <v/>
      </c>
      <c r="E14" s="26" t="str">
        <f aca="false">IF(A14="","",D14-SUM(F14:H14))</f>
        <v/>
      </c>
      <c r="F14" s="26" t="str">
        <f aca="false">IF(A14="","",SUMIFS(請求台帳!$S$5:$S$504,請求台帳!$C$5:$C$504,A14,請求台帳!$V$5:$V$504,"&gt;=1",請求台帳!$V$5:$V$504,"&lt;=30"))</f>
        <v/>
      </c>
      <c r="G14" s="26" t="str">
        <f aca="false">IF(A14="","",SUMIFS(請求台帳!$S$5:$S$504,請求台帳!$C$5:$C$504,A14,請求台帳!$V$5:$V$504,"&gt;=31",請求台帳!$V$5:$V$504,"&lt;=60"))</f>
        <v/>
      </c>
      <c r="H14" s="26" t="str">
        <f aca="false">IF(A14="","",SUMIFS(請求台帳!$S$5:$S$504,請求台帳!$C$5:$C$504,A14,請求台帳!$V$5:$V$504,"&gt;=61"))</f>
        <v/>
      </c>
      <c r="I14" s="34" t="str">
        <f aca="false">IF(A14="","",COUNTIFS(請求台帳!$C$5:$C$504,A14,請求台帳!$B$5:$B$504,"&gt;="&amp;チェック!$C$4,請求台帳!$B$5:$B$504,"&lt;="&amp;EOMONTH(チェック!$C$4,0),請求台帳!$T$5:$T$504,"&lt;&gt;取消"))</f>
        <v/>
      </c>
      <c r="J14" s="29" t="str">
        <f aca="false">IF(A14="","",IF(AND(取引先マスタ!G14="有",I14=0),"請求漏れ候補",""))</f>
        <v/>
      </c>
    </row>
    <row r="15" customFormat="false" ht="15" hidden="false" customHeight="false" outlineLevel="0" collapsed="false">
      <c r="A15" s="32" t="str">
        <f aca="false">IF(取引先マスタ!A15="","",取引先マスタ!A15)</f>
        <v/>
      </c>
      <c r="B15" s="32" t="str">
        <f aca="false">IF(A15="","",取引先マスタ!B15)</f>
        <v/>
      </c>
      <c r="C15" s="32" t="str">
        <f aca="false">IF(A15="","",取引先マスタ!J15&amp;"")</f>
        <v/>
      </c>
      <c r="D15" s="26" t="str">
        <f aca="false">IF(A15="","",SUMIFS(請求台帳!$S$5:$S$504,請求台帳!$C$5:$C$504,A15,請求台帳!$T$5:$T$504,"&lt;&gt;取消"))</f>
        <v/>
      </c>
      <c r="E15" s="26" t="str">
        <f aca="false">IF(A15="","",D15-SUM(F15:H15))</f>
        <v/>
      </c>
      <c r="F15" s="26" t="str">
        <f aca="false">IF(A15="","",SUMIFS(請求台帳!$S$5:$S$504,請求台帳!$C$5:$C$504,A15,請求台帳!$V$5:$V$504,"&gt;=1",請求台帳!$V$5:$V$504,"&lt;=30"))</f>
        <v/>
      </c>
      <c r="G15" s="26" t="str">
        <f aca="false">IF(A15="","",SUMIFS(請求台帳!$S$5:$S$504,請求台帳!$C$5:$C$504,A15,請求台帳!$V$5:$V$504,"&gt;=31",請求台帳!$V$5:$V$504,"&lt;=60"))</f>
        <v/>
      </c>
      <c r="H15" s="26" t="str">
        <f aca="false">IF(A15="","",SUMIFS(請求台帳!$S$5:$S$504,請求台帳!$C$5:$C$504,A15,請求台帳!$V$5:$V$504,"&gt;=61"))</f>
        <v/>
      </c>
      <c r="I15" s="34" t="str">
        <f aca="false">IF(A15="","",COUNTIFS(請求台帳!$C$5:$C$504,A15,請求台帳!$B$5:$B$504,"&gt;="&amp;チェック!$C$4,請求台帳!$B$5:$B$504,"&lt;="&amp;EOMONTH(チェック!$C$4,0),請求台帳!$T$5:$T$504,"&lt;&gt;取消"))</f>
        <v/>
      </c>
      <c r="J15" s="29" t="str">
        <f aca="false">IF(A15="","",IF(AND(取引先マスタ!G15="有",I15=0),"請求漏れ候補",""))</f>
        <v/>
      </c>
    </row>
    <row r="16" customFormat="false" ht="15" hidden="false" customHeight="false" outlineLevel="0" collapsed="false">
      <c r="A16" s="32" t="str">
        <f aca="false">IF(取引先マスタ!A16="","",取引先マスタ!A16)</f>
        <v/>
      </c>
      <c r="B16" s="32" t="str">
        <f aca="false">IF(A16="","",取引先マスタ!B16)</f>
        <v/>
      </c>
      <c r="C16" s="32" t="str">
        <f aca="false">IF(A16="","",取引先マスタ!J16&amp;"")</f>
        <v/>
      </c>
      <c r="D16" s="26" t="str">
        <f aca="false">IF(A16="","",SUMIFS(請求台帳!$S$5:$S$504,請求台帳!$C$5:$C$504,A16,請求台帳!$T$5:$T$504,"&lt;&gt;取消"))</f>
        <v/>
      </c>
      <c r="E16" s="26" t="str">
        <f aca="false">IF(A16="","",D16-SUM(F16:H16))</f>
        <v/>
      </c>
      <c r="F16" s="26" t="str">
        <f aca="false">IF(A16="","",SUMIFS(請求台帳!$S$5:$S$504,請求台帳!$C$5:$C$504,A16,請求台帳!$V$5:$V$504,"&gt;=1",請求台帳!$V$5:$V$504,"&lt;=30"))</f>
        <v/>
      </c>
      <c r="G16" s="26" t="str">
        <f aca="false">IF(A16="","",SUMIFS(請求台帳!$S$5:$S$504,請求台帳!$C$5:$C$504,A16,請求台帳!$V$5:$V$504,"&gt;=31",請求台帳!$V$5:$V$504,"&lt;=60"))</f>
        <v/>
      </c>
      <c r="H16" s="26" t="str">
        <f aca="false">IF(A16="","",SUMIFS(請求台帳!$S$5:$S$504,請求台帳!$C$5:$C$504,A16,請求台帳!$V$5:$V$504,"&gt;=61"))</f>
        <v/>
      </c>
      <c r="I16" s="34" t="str">
        <f aca="false">IF(A16="","",COUNTIFS(請求台帳!$C$5:$C$504,A16,請求台帳!$B$5:$B$504,"&gt;="&amp;チェック!$C$4,請求台帳!$B$5:$B$504,"&lt;="&amp;EOMONTH(チェック!$C$4,0),請求台帳!$T$5:$T$504,"&lt;&gt;取消"))</f>
        <v/>
      </c>
      <c r="J16" s="29" t="str">
        <f aca="false">IF(A16="","",IF(AND(取引先マスタ!G16="有",I16=0),"請求漏れ候補",""))</f>
        <v/>
      </c>
    </row>
    <row r="17" customFormat="false" ht="15" hidden="false" customHeight="false" outlineLevel="0" collapsed="false">
      <c r="A17" s="32" t="str">
        <f aca="false">IF(取引先マスタ!A17="","",取引先マスタ!A17)</f>
        <v/>
      </c>
      <c r="B17" s="32" t="str">
        <f aca="false">IF(A17="","",取引先マスタ!B17)</f>
        <v/>
      </c>
      <c r="C17" s="32" t="str">
        <f aca="false">IF(A17="","",取引先マスタ!J17&amp;"")</f>
        <v/>
      </c>
      <c r="D17" s="26" t="str">
        <f aca="false">IF(A17="","",SUMIFS(請求台帳!$S$5:$S$504,請求台帳!$C$5:$C$504,A17,請求台帳!$T$5:$T$504,"&lt;&gt;取消"))</f>
        <v/>
      </c>
      <c r="E17" s="26" t="str">
        <f aca="false">IF(A17="","",D17-SUM(F17:H17))</f>
        <v/>
      </c>
      <c r="F17" s="26" t="str">
        <f aca="false">IF(A17="","",SUMIFS(請求台帳!$S$5:$S$504,請求台帳!$C$5:$C$504,A17,請求台帳!$V$5:$V$504,"&gt;=1",請求台帳!$V$5:$V$504,"&lt;=30"))</f>
        <v/>
      </c>
      <c r="G17" s="26" t="str">
        <f aca="false">IF(A17="","",SUMIFS(請求台帳!$S$5:$S$504,請求台帳!$C$5:$C$504,A17,請求台帳!$V$5:$V$504,"&gt;=31",請求台帳!$V$5:$V$504,"&lt;=60"))</f>
        <v/>
      </c>
      <c r="H17" s="26" t="str">
        <f aca="false">IF(A17="","",SUMIFS(請求台帳!$S$5:$S$504,請求台帳!$C$5:$C$504,A17,請求台帳!$V$5:$V$504,"&gt;=61"))</f>
        <v/>
      </c>
      <c r="I17" s="34" t="str">
        <f aca="false">IF(A17="","",COUNTIFS(請求台帳!$C$5:$C$504,A17,請求台帳!$B$5:$B$504,"&gt;="&amp;チェック!$C$4,請求台帳!$B$5:$B$504,"&lt;="&amp;EOMONTH(チェック!$C$4,0),請求台帳!$T$5:$T$504,"&lt;&gt;取消"))</f>
        <v/>
      </c>
      <c r="J17" s="29" t="str">
        <f aca="false">IF(A17="","",IF(AND(取引先マスタ!G17="有",I17=0),"請求漏れ候補",""))</f>
        <v/>
      </c>
    </row>
    <row r="18" customFormat="false" ht="15" hidden="false" customHeight="false" outlineLevel="0" collapsed="false">
      <c r="A18" s="32" t="str">
        <f aca="false">IF(取引先マスタ!A18="","",取引先マスタ!A18)</f>
        <v/>
      </c>
      <c r="B18" s="32" t="str">
        <f aca="false">IF(A18="","",取引先マスタ!B18)</f>
        <v/>
      </c>
      <c r="C18" s="32" t="str">
        <f aca="false">IF(A18="","",取引先マスタ!J18&amp;"")</f>
        <v/>
      </c>
      <c r="D18" s="26" t="str">
        <f aca="false">IF(A18="","",SUMIFS(請求台帳!$S$5:$S$504,請求台帳!$C$5:$C$504,A18,請求台帳!$T$5:$T$504,"&lt;&gt;取消"))</f>
        <v/>
      </c>
      <c r="E18" s="26" t="str">
        <f aca="false">IF(A18="","",D18-SUM(F18:H18))</f>
        <v/>
      </c>
      <c r="F18" s="26" t="str">
        <f aca="false">IF(A18="","",SUMIFS(請求台帳!$S$5:$S$504,請求台帳!$C$5:$C$504,A18,請求台帳!$V$5:$V$504,"&gt;=1",請求台帳!$V$5:$V$504,"&lt;=30"))</f>
        <v/>
      </c>
      <c r="G18" s="26" t="str">
        <f aca="false">IF(A18="","",SUMIFS(請求台帳!$S$5:$S$504,請求台帳!$C$5:$C$504,A18,請求台帳!$V$5:$V$504,"&gt;=31",請求台帳!$V$5:$V$504,"&lt;=60"))</f>
        <v/>
      </c>
      <c r="H18" s="26" t="str">
        <f aca="false">IF(A18="","",SUMIFS(請求台帳!$S$5:$S$504,請求台帳!$C$5:$C$504,A18,請求台帳!$V$5:$V$504,"&gt;=61"))</f>
        <v/>
      </c>
      <c r="I18" s="34" t="str">
        <f aca="false">IF(A18="","",COUNTIFS(請求台帳!$C$5:$C$504,A18,請求台帳!$B$5:$B$504,"&gt;="&amp;チェック!$C$4,請求台帳!$B$5:$B$504,"&lt;="&amp;EOMONTH(チェック!$C$4,0),請求台帳!$T$5:$T$504,"&lt;&gt;取消"))</f>
        <v/>
      </c>
      <c r="J18" s="29" t="str">
        <f aca="false">IF(A18="","",IF(AND(取引先マスタ!G18="有",I18=0),"請求漏れ候補",""))</f>
        <v/>
      </c>
    </row>
    <row r="19" customFormat="false" ht="15" hidden="false" customHeight="false" outlineLevel="0" collapsed="false">
      <c r="A19" s="32" t="str">
        <f aca="false">IF(取引先マスタ!A19="","",取引先マスタ!A19)</f>
        <v/>
      </c>
      <c r="B19" s="32" t="str">
        <f aca="false">IF(A19="","",取引先マスタ!B19)</f>
        <v/>
      </c>
      <c r="C19" s="32" t="str">
        <f aca="false">IF(A19="","",取引先マスタ!J19&amp;"")</f>
        <v/>
      </c>
      <c r="D19" s="26" t="str">
        <f aca="false">IF(A19="","",SUMIFS(請求台帳!$S$5:$S$504,請求台帳!$C$5:$C$504,A19,請求台帳!$T$5:$T$504,"&lt;&gt;取消"))</f>
        <v/>
      </c>
      <c r="E19" s="26" t="str">
        <f aca="false">IF(A19="","",D19-SUM(F19:H19))</f>
        <v/>
      </c>
      <c r="F19" s="26" t="str">
        <f aca="false">IF(A19="","",SUMIFS(請求台帳!$S$5:$S$504,請求台帳!$C$5:$C$504,A19,請求台帳!$V$5:$V$504,"&gt;=1",請求台帳!$V$5:$V$504,"&lt;=30"))</f>
        <v/>
      </c>
      <c r="G19" s="26" t="str">
        <f aca="false">IF(A19="","",SUMIFS(請求台帳!$S$5:$S$504,請求台帳!$C$5:$C$504,A19,請求台帳!$V$5:$V$504,"&gt;=31",請求台帳!$V$5:$V$504,"&lt;=60"))</f>
        <v/>
      </c>
      <c r="H19" s="26" t="str">
        <f aca="false">IF(A19="","",SUMIFS(請求台帳!$S$5:$S$504,請求台帳!$C$5:$C$504,A19,請求台帳!$V$5:$V$504,"&gt;=61"))</f>
        <v/>
      </c>
      <c r="I19" s="34" t="str">
        <f aca="false">IF(A19="","",COUNTIFS(請求台帳!$C$5:$C$504,A19,請求台帳!$B$5:$B$504,"&gt;="&amp;チェック!$C$4,請求台帳!$B$5:$B$504,"&lt;="&amp;EOMONTH(チェック!$C$4,0),請求台帳!$T$5:$T$504,"&lt;&gt;取消"))</f>
        <v/>
      </c>
      <c r="J19" s="29" t="str">
        <f aca="false">IF(A19="","",IF(AND(取引先マスタ!G19="有",I19=0),"請求漏れ候補",""))</f>
        <v/>
      </c>
    </row>
    <row r="20" customFormat="false" ht="15" hidden="false" customHeight="false" outlineLevel="0" collapsed="false">
      <c r="A20" s="32" t="str">
        <f aca="false">IF(取引先マスタ!A20="","",取引先マスタ!A20)</f>
        <v/>
      </c>
      <c r="B20" s="32" t="str">
        <f aca="false">IF(A20="","",取引先マスタ!B20)</f>
        <v/>
      </c>
      <c r="C20" s="32" t="str">
        <f aca="false">IF(A20="","",取引先マスタ!J20&amp;"")</f>
        <v/>
      </c>
      <c r="D20" s="26" t="str">
        <f aca="false">IF(A20="","",SUMIFS(請求台帳!$S$5:$S$504,請求台帳!$C$5:$C$504,A20,請求台帳!$T$5:$T$504,"&lt;&gt;取消"))</f>
        <v/>
      </c>
      <c r="E20" s="26" t="str">
        <f aca="false">IF(A20="","",D20-SUM(F20:H20))</f>
        <v/>
      </c>
      <c r="F20" s="26" t="str">
        <f aca="false">IF(A20="","",SUMIFS(請求台帳!$S$5:$S$504,請求台帳!$C$5:$C$504,A20,請求台帳!$V$5:$V$504,"&gt;=1",請求台帳!$V$5:$V$504,"&lt;=30"))</f>
        <v/>
      </c>
      <c r="G20" s="26" t="str">
        <f aca="false">IF(A20="","",SUMIFS(請求台帳!$S$5:$S$504,請求台帳!$C$5:$C$504,A20,請求台帳!$V$5:$V$504,"&gt;=31",請求台帳!$V$5:$V$504,"&lt;=60"))</f>
        <v/>
      </c>
      <c r="H20" s="26" t="str">
        <f aca="false">IF(A20="","",SUMIFS(請求台帳!$S$5:$S$504,請求台帳!$C$5:$C$504,A20,請求台帳!$V$5:$V$504,"&gt;=61"))</f>
        <v/>
      </c>
      <c r="I20" s="34" t="str">
        <f aca="false">IF(A20="","",COUNTIFS(請求台帳!$C$5:$C$504,A20,請求台帳!$B$5:$B$504,"&gt;="&amp;チェック!$C$4,請求台帳!$B$5:$B$504,"&lt;="&amp;EOMONTH(チェック!$C$4,0),請求台帳!$T$5:$T$504,"&lt;&gt;取消"))</f>
        <v/>
      </c>
      <c r="J20" s="29" t="str">
        <f aca="false">IF(A20="","",IF(AND(取引先マスタ!G20="有",I20=0),"請求漏れ候補",""))</f>
        <v/>
      </c>
    </row>
    <row r="21" customFormat="false" ht="15" hidden="false" customHeight="false" outlineLevel="0" collapsed="false">
      <c r="A21" s="32" t="str">
        <f aca="false">IF(取引先マスタ!A21="","",取引先マスタ!A21)</f>
        <v/>
      </c>
      <c r="B21" s="32" t="str">
        <f aca="false">IF(A21="","",取引先マスタ!B21)</f>
        <v/>
      </c>
      <c r="C21" s="32" t="str">
        <f aca="false">IF(A21="","",取引先マスタ!J21&amp;"")</f>
        <v/>
      </c>
      <c r="D21" s="26" t="str">
        <f aca="false">IF(A21="","",SUMIFS(請求台帳!$S$5:$S$504,請求台帳!$C$5:$C$504,A21,請求台帳!$T$5:$T$504,"&lt;&gt;取消"))</f>
        <v/>
      </c>
      <c r="E21" s="26" t="str">
        <f aca="false">IF(A21="","",D21-SUM(F21:H21))</f>
        <v/>
      </c>
      <c r="F21" s="26" t="str">
        <f aca="false">IF(A21="","",SUMIFS(請求台帳!$S$5:$S$504,請求台帳!$C$5:$C$504,A21,請求台帳!$V$5:$V$504,"&gt;=1",請求台帳!$V$5:$V$504,"&lt;=30"))</f>
        <v/>
      </c>
      <c r="G21" s="26" t="str">
        <f aca="false">IF(A21="","",SUMIFS(請求台帳!$S$5:$S$504,請求台帳!$C$5:$C$504,A21,請求台帳!$V$5:$V$504,"&gt;=31",請求台帳!$V$5:$V$504,"&lt;=60"))</f>
        <v/>
      </c>
      <c r="H21" s="26" t="str">
        <f aca="false">IF(A21="","",SUMIFS(請求台帳!$S$5:$S$504,請求台帳!$C$5:$C$504,A21,請求台帳!$V$5:$V$504,"&gt;=61"))</f>
        <v/>
      </c>
      <c r="I21" s="34" t="str">
        <f aca="false">IF(A21="","",COUNTIFS(請求台帳!$C$5:$C$504,A21,請求台帳!$B$5:$B$504,"&gt;="&amp;チェック!$C$4,請求台帳!$B$5:$B$504,"&lt;="&amp;EOMONTH(チェック!$C$4,0),請求台帳!$T$5:$T$504,"&lt;&gt;取消"))</f>
        <v/>
      </c>
      <c r="J21" s="29" t="str">
        <f aca="false">IF(A21="","",IF(AND(取引先マスタ!G21="有",I21=0),"請求漏れ候補",""))</f>
        <v/>
      </c>
    </row>
    <row r="22" customFormat="false" ht="15" hidden="false" customHeight="false" outlineLevel="0" collapsed="false">
      <c r="A22" s="32" t="str">
        <f aca="false">IF(取引先マスタ!A22="","",取引先マスタ!A22)</f>
        <v/>
      </c>
      <c r="B22" s="32" t="str">
        <f aca="false">IF(A22="","",取引先マスタ!B22)</f>
        <v/>
      </c>
      <c r="C22" s="32" t="str">
        <f aca="false">IF(A22="","",取引先マスタ!J22&amp;"")</f>
        <v/>
      </c>
      <c r="D22" s="26" t="str">
        <f aca="false">IF(A22="","",SUMIFS(請求台帳!$S$5:$S$504,請求台帳!$C$5:$C$504,A22,請求台帳!$T$5:$T$504,"&lt;&gt;取消"))</f>
        <v/>
      </c>
      <c r="E22" s="26" t="str">
        <f aca="false">IF(A22="","",D22-SUM(F22:H22))</f>
        <v/>
      </c>
      <c r="F22" s="26" t="str">
        <f aca="false">IF(A22="","",SUMIFS(請求台帳!$S$5:$S$504,請求台帳!$C$5:$C$504,A22,請求台帳!$V$5:$V$504,"&gt;=1",請求台帳!$V$5:$V$504,"&lt;=30"))</f>
        <v/>
      </c>
      <c r="G22" s="26" t="str">
        <f aca="false">IF(A22="","",SUMIFS(請求台帳!$S$5:$S$504,請求台帳!$C$5:$C$504,A22,請求台帳!$V$5:$V$504,"&gt;=31",請求台帳!$V$5:$V$504,"&lt;=60"))</f>
        <v/>
      </c>
      <c r="H22" s="26" t="str">
        <f aca="false">IF(A22="","",SUMIFS(請求台帳!$S$5:$S$504,請求台帳!$C$5:$C$504,A22,請求台帳!$V$5:$V$504,"&gt;=61"))</f>
        <v/>
      </c>
      <c r="I22" s="34" t="str">
        <f aca="false">IF(A22="","",COUNTIFS(請求台帳!$C$5:$C$504,A22,請求台帳!$B$5:$B$504,"&gt;="&amp;チェック!$C$4,請求台帳!$B$5:$B$504,"&lt;="&amp;EOMONTH(チェック!$C$4,0),請求台帳!$T$5:$T$504,"&lt;&gt;取消"))</f>
        <v/>
      </c>
      <c r="J22" s="29" t="str">
        <f aca="false">IF(A22="","",IF(AND(取引先マスタ!G22="有",I22=0),"請求漏れ候補",""))</f>
        <v/>
      </c>
    </row>
    <row r="23" customFormat="false" ht="15" hidden="false" customHeight="false" outlineLevel="0" collapsed="false">
      <c r="A23" s="32" t="str">
        <f aca="false">IF(取引先マスタ!A23="","",取引先マスタ!A23)</f>
        <v/>
      </c>
      <c r="B23" s="32" t="str">
        <f aca="false">IF(A23="","",取引先マスタ!B23)</f>
        <v/>
      </c>
      <c r="C23" s="32" t="str">
        <f aca="false">IF(A23="","",取引先マスタ!J23&amp;"")</f>
        <v/>
      </c>
      <c r="D23" s="26" t="str">
        <f aca="false">IF(A23="","",SUMIFS(請求台帳!$S$5:$S$504,請求台帳!$C$5:$C$504,A23,請求台帳!$T$5:$T$504,"&lt;&gt;取消"))</f>
        <v/>
      </c>
      <c r="E23" s="26" t="str">
        <f aca="false">IF(A23="","",D23-SUM(F23:H23))</f>
        <v/>
      </c>
      <c r="F23" s="26" t="str">
        <f aca="false">IF(A23="","",SUMIFS(請求台帳!$S$5:$S$504,請求台帳!$C$5:$C$504,A23,請求台帳!$V$5:$V$504,"&gt;=1",請求台帳!$V$5:$V$504,"&lt;=30"))</f>
        <v/>
      </c>
      <c r="G23" s="26" t="str">
        <f aca="false">IF(A23="","",SUMIFS(請求台帳!$S$5:$S$504,請求台帳!$C$5:$C$504,A23,請求台帳!$V$5:$V$504,"&gt;=31",請求台帳!$V$5:$V$504,"&lt;=60"))</f>
        <v/>
      </c>
      <c r="H23" s="26" t="str">
        <f aca="false">IF(A23="","",SUMIFS(請求台帳!$S$5:$S$504,請求台帳!$C$5:$C$504,A23,請求台帳!$V$5:$V$504,"&gt;=61"))</f>
        <v/>
      </c>
      <c r="I23" s="34" t="str">
        <f aca="false">IF(A23="","",COUNTIFS(請求台帳!$C$5:$C$504,A23,請求台帳!$B$5:$B$504,"&gt;="&amp;チェック!$C$4,請求台帳!$B$5:$B$504,"&lt;="&amp;EOMONTH(チェック!$C$4,0),請求台帳!$T$5:$T$504,"&lt;&gt;取消"))</f>
        <v/>
      </c>
      <c r="J23" s="29" t="str">
        <f aca="false">IF(A23="","",IF(AND(取引先マスタ!G23="有",I23=0),"請求漏れ候補",""))</f>
        <v/>
      </c>
    </row>
    <row r="24" customFormat="false" ht="15" hidden="false" customHeight="false" outlineLevel="0" collapsed="false">
      <c r="A24" s="32" t="str">
        <f aca="false">IF(取引先マスタ!A24="","",取引先マスタ!A24)</f>
        <v/>
      </c>
      <c r="B24" s="32" t="str">
        <f aca="false">IF(A24="","",取引先マスタ!B24)</f>
        <v/>
      </c>
      <c r="C24" s="32" t="str">
        <f aca="false">IF(A24="","",取引先マスタ!J24&amp;"")</f>
        <v/>
      </c>
      <c r="D24" s="26" t="str">
        <f aca="false">IF(A24="","",SUMIFS(請求台帳!$S$5:$S$504,請求台帳!$C$5:$C$504,A24,請求台帳!$T$5:$T$504,"&lt;&gt;取消"))</f>
        <v/>
      </c>
      <c r="E24" s="26" t="str">
        <f aca="false">IF(A24="","",D24-SUM(F24:H24))</f>
        <v/>
      </c>
      <c r="F24" s="26" t="str">
        <f aca="false">IF(A24="","",SUMIFS(請求台帳!$S$5:$S$504,請求台帳!$C$5:$C$504,A24,請求台帳!$V$5:$V$504,"&gt;=1",請求台帳!$V$5:$V$504,"&lt;=30"))</f>
        <v/>
      </c>
      <c r="G24" s="26" t="str">
        <f aca="false">IF(A24="","",SUMIFS(請求台帳!$S$5:$S$504,請求台帳!$C$5:$C$504,A24,請求台帳!$V$5:$V$504,"&gt;=31",請求台帳!$V$5:$V$504,"&lt;=60"))</f>
        <v/>
      </c>
      <c r="H24" s="26" t="str">
        <f aca="false">IF(A24="","",SUMIFS(請求台帳!$S$5:$S$504,請求台帳!$C$5:$C$504,A24,請求台帳!$V$5:$V$504,"&gt;=61"))</f>
        <v/>
      </c>
      <c r="I24" s="34" t="str">
        <f aca="false">IF(A24="","",COUNTIFS(請求台帳!$C$5:$C$504,A24,請求台帳!$B$5:$B$504,"&gt;="&amp;チェック!$C$4,請求台帳!$B$5:$B$504,"&lt;="&amp;EOMONTH(チェック!$C$4,0),請求台帳!$T$5:$T$504,"&lt;&gt;取消"))</f>
        <v/>
      </c>
      <c r="J24" s="29" t="str">
        <f aca="false">IF(A24="","",IF(AND(取引先マスタ!G24="有",I24=0),"請求漏れ候補",""))</f>
        <v/>
      </c>
    </row>
    <row r="25" customFormat="false" ht="15" hidden="false" customHeight="false" outlineLevel="0" collapsed="false">
      <c r="A25" s="32" t="str">
        <f aca="false">IF(取引先マスタ!A25="","",取引先マスタ!A25)</f>
        <v/>
      </c>
      <c r="B25" s="32" t="str">
        <f aca="false">IF(A25="","",取引先マスタ!B25)</f>
        <v/>
      </c>
      <c r="C25" s="32" t="str">
        <f aca="false">IF(A25="","",取引先マスタ!J25&amp;"")</f>
        <v/>
      </c>
      <c r="D25" s="26" t="str">
        <f aca="false">IF(A25="","",SUMIFS(請求台帳!$S$5:$S$504,請求台帳!$C$5:$C$504,A25,請求台帳!$T$5:$T$504,"&lt;&gt;取消"))</f>
        <v/>
      </c>
      <c r="E25" s="26" t="str">
        <f aca="false">IF(A25="","",D25-SUM(F25:H25))</f>
        <v/>
      </c>
      <c r="F25" s="26" t="str">
        <f aca="false">IF(A25="","",SUMIFS(請求台帳!$S$5:$S$504,請求台帳!$C$5:$C$504,A25,請求台帳!$V$5:$V$504,"&gt;=1",請求台帳!$V$5:$V$504,"&lt;=30"))</f>
        <v/>
      </c>
      <c r="G25" s="26" t="str">
        <f aca="false">IF(A25="","",SUMIFS(請求台帳!$S$5:$S$504,請求台帳!$C$5:$C$504,A25,請求台帳!$V$5:$V$504,"&gt;=31",請求台帳!$V$5:$V$504,"&lt;=60"))</f>
        <v/>
      </c>
      <c r="H25" s="26" t="str">
        <f aca="false">IF(A25="","",SUMIFS(請求台帳!$S$5:$S$504,請求台帳!$C$5:$C$504,A25,請求台帳!$V$5:$V$504,"&gt;=61"))</f>
        <v/>
      </c>
      <c r="I25" s="34" t="str">
        <f aca="false">IF(A25="","",COUNTIFS(請求台帳!$C$5:$C$504,A25,請求台帳!$B$5:$B$504,"&gt;="&amp;チェック!$C$4,請求台帳!$B$5:$B$504,"&lt;="&amp;EOMONTH(チェック!$C$4,0),請求台帳!$T$5:$T$504,"&lt;&gt;取消"))</f>
        <v/>
      </c>
      <c r="J25" s="29" t="str">
        <f aca="false">IF(A25="","",IF(AND(取引先マスタ!G25="有",I25=0),"請求漏れ候補",""))</f>
        <v/>
      </c>
    </row>
    <row r="26" customFormat="false" ht="15" hidden="false" customHeight="false" outlineLevel="0" collapsed="false">
      <c r="A26" s="32" t="str">
        <f aca="false">IF(取引先マスタ!A26="","",取引先マスタ!A26)</f>
        <v/>
      </c>
      <c r="B26" s="32" t="str">
        <f aca="false">IF(A26="","",取引先マスタ!B26)</f>
        <v/>
      </c>
      <c r="C26" s="32" t="str">
        <f aca="false">IF(A26="","",取引先マスタ!J26&amp;"")</f>
        <v/>
      </c>
      <c r="D26" s="26" t="str">
        <f aca="false">IF(A26="","",SUMIFS(請求台帳!$S$5:$S$504,請求台帳!$C$5:$C$504,A26,請求台帳!$T$5:$T$504,"&lt;&gt;取消"))</f>
        <v/>
      </c>
      <c r="E26" s="26" t="str">
        <f aca="false">IF(A26="","",D26-SUM(F26:H26))</f>
        <v/>
      </c>
      <c r="F26" s="26" t="str">
        <f aca="false">IF(A26="","",SUMIFS(請求台帳!$S$5:$S$504,請求台帳!$C$5:$C$504,A26,請求台帳!$V$5:$V$504,"&gt;=1",請求台帳!$V$5:$V$504,"&lt;=30"))</f>
        <v/>
      </c>
      <c r="G26" s="26" t="str">
        <f aca="false">IF(A26="","",SUMIFS(請求台帳!$S$5:$S$504,請求台帳!$C$5:$C$504,A26,請求台帳!$V$5:$V$504,"&gt;=31",請求台帳!$V$5:$V$504,"&lt;=60"))</f>
        <v/>
      </c>
      <c r="H26" s="26" t="str">
        <f aca="false">IF(A26="","",SUMIFS(請求台帳!$S$5:$S$504,請求台帳!$C$5:$C$504,A26,請求台帳!$V$5:$V$504,"&gt;=61"))</f>
        <v/>
      </c>
      <c r="I26" s="34" t="str">
        <f aca="false">IF(A26="","",COUNTIFS(請求台帳!$C$5:$C$504,A26,請求台帳!$B$5:$B$504,"&gt;="&amp;チェック!$C$4,請求台帳!$B$5:$B$504,"&lt;="&amp;EOMONTH(チェック!$C$4,0),請求台帳!$T$5:$T$504,"&lt;&gt;取消"))</f>
        <v/>
      </c>
      <c r="J26" s="29" t="str">
        <f aca="false">IF(A26="","",IF(AND(取引先マスタ!G26="有",I26=0),"請求漏れ候補",""))</f>
        <v/>
      </c>
    </row>
    <row r="27" customFormat="false" ht="15" hidden="false" customHeight="false" outlineLevel="0" collapsed="false">
      <c r="A27" s="32" t="str">
        <f aca="false">IF(取引先マスタ!A27="","",取引先マスタ!A27)</f>
        <v/>
      </c>
      <c r="B27" s="32" t="str">
        <f aca="false">IF(A27="","",取引先マスタ!B27)</f>
        <v/>
      </c>
      <c r="C27" s="32" t="str">
        <f aca="false">IF(A27="","",取引先マスタ!J27&amp;"")</f>
        <v/>
      </c>
      <c r="D27" s="26" t="str">
        <f aca="false">IF(A27="","",SUMIFS(請求台帳!$S$5:$S$504,請求台帳!$C$5:$C$504,A27,請求台帳!$T$5:$T$504,"&lt;&gt;取消"))</f>
        <v/>
      </c>
      <c r="E27" s="26" t="str">
        <f aca="false">IF(A27="","",D27-SUM(F27:H27))</f>
        <v/>
      </c>
      <c r="F27" s="26" t="str">
        <f aca="false">IF(A27="","",SUMIFS(請求台帳!$S$5:$S$504,請求台帳!$C$5:$C$504,A27,請求台帳!$V$5:$V$504,"&gt;=1",請求台帳!$V$5:$V$504,"&lt;=30"))</f>
        <v/>
      </c>
      <c r="G27" s="26" t="str">
        <f aca="false">IF(A27="","",SUMIFS(請求台帳!$S$5:$S$504,請求台帳!$C$5:$C$504,A27,請求台帳!$V$5:$V$504,"&gt;=31",請求台帳!$V$5:$V$504,"&lt;=60"))</f>
        <v/>
      </c>
      <c r="H27" s="26" t="str">
        <f aca="false">IF(A27="","",SUMIFS(請求台帳!$S$5:$S$504,請求台帳!$C$5:$C$504,A27,請求台帳!$V$5:$V$504,"&gt;=61"))</f>
        <v/>
      </c>
      <c r="I27" s="34" t="str">
        <f aca="false">IF(A27="","",COUNTIFS(請求台帳!$C$5:$C$504,A27,請求台帳!$B$5:$B$504,"&gt;="&amp;チェック!$C$4,請求台帳!$B$5:$B$504,"&lt;="&amp;EOMONTH(チェック!$C$4,0),請求台帳!$T$5:$T$504,"&lt;&gt;取消"))</f>
        <v/>
      </c>
      <c r="J27" s="29" t="str">
        <f aca="false">IF(A27="","",IF(AND(取引先マスタ!G27="有",I27=0),"請求漏れ候補",""))</f>
        <v/>
      </c>
    </row>
    <row r="28" customFormat="false" ht="15" hidden="false" customHeight="false" outlineLevel="0" collapsed="false">
      <c r="A28" s="32" t="str">
        <f aca="false">IF(取引先マスタ!A28="","",取引先マスタ!A28)</f>
        <v/>
      </c>
      <c r="B28" s="32" t="str">
        <f aca="false">IF(A28="","",取引先マスタ!B28)</f>
        <v/>
      </c>
      <c r="C28" s="32" t="str">
        <f aca="false">IF(A28="","",取引先マスタ!J28&amp;"")</f>
        <v/>
      </c>
      <c r="D28" s="26" t="str">
        <f aca="false">IF(A28="","",SUMIFS(請求台帳!$S$5:$S$504,請求台帳!$C$5:$C$504,A28,請求台帳!$T$5:$T$504,"&lt;&gt;取消"))</f>
        <v/>
      </c>
      <c r="E28" s="26" t="str">
        <f aca="false">IF(A28="","",D28-SUM(F28:H28))</f>
        <v/>
      </c>
      <c r="F28" s="26" t="str">
        <f aca="false">IF(A28="","",SUMIFS(請求台帳!$S$5:$S$504,請求台帳!$C$5:$C$504,A28,請求台帳!$V$5:$V$504,"&gt;=1",請求台帳!$V$5:$V$504,"&lt;=30"))</f>
        <v/>
      </c>
      <c r="G28" s="26" t="str">
        <f aca="false">IF(A28="","",SUMIFS(請求台帳!$S$5:$S$504,請求台帳!$C$5:$C$504,A28,請求台帳!$V$5:$V$504,"&gt;=31",請求台帳!$V$5:$V$504,"&lt;=60"))</f>
        <v/>
      </c>
      <c r="H28" s="26" t="str">
        <f aca="false">IF(A28="","",SUMIFS(請求台帳!$S$5:$S$504,請求台帳!$C$5:$C$504,A28,請求台帳!$V$5:$V$504,"&gt;=61"))</f>
        <v/>
      </c>
      <c r="I28" s="34" t="str">
        <f aca="false">IF(A28="","",COUNTIFS(請求台帳!$C$5:$C$504,A28,請求台帳!$B$5:$B$504,"&gt;="&amp;チェック!$C$4,請求台帳!$B$5:$B$504,"&lt;="&amp;EOMONTH(チェック!$C$4,0),請求台帳!$T$5:$T$504,"&lt;&gt;取消"))</f>
        <v/>
      </c>
      <c r="J28" s="29" t="str">
        <f aca="false">IF(A28="","",IF(AND(取引先マスタ!G28="有",I28=0),"請求漏れ候補",""))</f>
        <v/>
      </c>
    </row>
    <row r="29" customFormat="false" ht="15" hidden="false" customHeight="false" outlineLevel="0" collapsed="false">
      <c r="A29" s="32" t="str">
        <f aca="false">IF(取引先マスタ!A29="","",取引先マスタ!A29)</f>
        <v/>
      </c>
      <c r="B29" s="32" t="str">
        <f aca="false">IF(A29="","",取引先マスタ!B29)</f>
        <v/>
      </c>
      <c r="C29" s="32" t="str">
        <f aca="false">IF(A29="","",取引先マスタ!J29&amp;"")</f>
        <v/>
      </c>
      <c r="D29" s="26" t="str">
        <f aca="false">IF(A29="","",SUMIFS(請求台帳!$S$5:$S$504,請求台帳!$C$5:$C$504,A29,請求台帳!$T$5:$T$504,"&lt;&gt;取消"))</f>
        <v/>
      </c>
      <c r="E29" s="26" t="str">
        <f aca="false">IF(A29="","",D29-SUM(F29:H29))</f>
        <v/>
      </c>
      <c r="F29" s="26" t="str">
        <f aca="false">IF(A29="","",SUMIFS(請求台帳!$S$5:$S$504,請求台帳!$C$5:$C$504,A29,請求台帳!$V$5:$V$504,"&gt;=1",請求台帳!$V$5:$V$504,"&lt;=30"))</f>
        <v/>
      </c>
      <c r="G29" s="26" t="str">
        <f aca="false">IF(A29="","",SUMIFS(請求台帳!$S$5:$S$504,請求台帳!$C$5:$C$504,A29,請求台帳!$V$5:$V$504,"&gt;=31",請求台帳!$V$5:$V$504,"&lt;=60"))</f>
        <v/>
      </c>
      <c r="H29" s="26" t="str">
        <f aca="false">IF(A29="","",SUMIFS(請求台帳!$S$5:$S$504,請求台帳!$C$5:$C$504,A29,請求台帳!$V$5:$V$504,"&gt;=61"))</f>
        <v/>
      </c>
      <c r="I29" s="34" t="str">
        <f aca="false">IF(A29="","",COUNTIFS(請求台帳!$C$5:$C$504,A29,請求台帳!$B$5:$B$504,"&gt;="&amp;チェック!$C$4,請求台帳!$B$5:$B$504,"&lt;="&amp;EOMONTH(チェック!$C$4,0),請求台帳!$T$5:$T$504,"&lt;&gt;取消"))</f>
        <v/>
      </c>
      <c r="J29" s="29" t="str">
        <f aca="false">IF(A29="","",IF(AND(取引先マスタ!G29="有",I29=0),"請求漏れ候補",""))</f>
        <v/>
      </c>
    </row>
    <row r="30" customFormat="false" ht="15" hidden="false" customHeight="false" outlineLevel="0" collapsed="false">
      <c r="A30" s="32" t="str">
        <f aca="false">IF(取引先マスタ!A30="","",取引先マスタ!A30)</f>
        <v/>
      </c>
      <c r="B30" s="32" t="str">
        <f aca="false">IF(A30="","",取引先マスタ!B30)</f>
        <v/>
      </c>
      <c r="C30" s="32" t="str">
        <f aca="false">IF(A30="","",取引先マスタ!J30&amp;"")</f>
        <v/>
      </c>
      <c r="D30" s="26" t="str">
        <f aca="false">IF(A30="","",SUMIFS(請求台帳!$S$5:$S$504,請求台帳!$C$5:$C$504,A30,請求台帳!$T$5:$T$504,"&lt;&gt;取消"))</f>
        <v/>
      </c>
      <c r="E30" s="26" t="str">
        <f aca="false">IF(A30="","",D30-SUM(F30:H30))</f>
        <v/>
      </c>
      <c r="F30" s="26" t="str">
        <f aca="false">IF(A30="","",SUMIFS(請求台帳!$S$5:$S$504,請求台帳!$C$5:$C$504,A30,請求台帳!$V$5:$V$504,"&gt;=1",請求台帳!$V$5:$V$504,"&lt;=30"))</f>
        <v/>
      </c>
      <c r="G30" s="26" t="str">
        <f aca="false">IF(A30="","",SUMIFS(請求台帳!$S$5:$S$504,請求台帳!$C$5:$C$504,A30,請求台帳!$V$5:$V$504,"&gt;=31",請求台帳!$V$5:$V$504,"&lt;=60"))</f>
        <v/>
      </c>
      <c r="H30" s="26" t="str">
        <f aca="false">IF(A30="","",SUMIFS(請求台帳!$S$5:$S$504,請求台帳!$C$5:$C$504,A30,請求台帳!$V$5:$V$504,"&gt;=61"))</f>
        <v/>
      </c>
      <c r="I30" s="34" t="str">
        <f aca="false">IF(A30="","",COUNTIFS(請求台帳!$C$5:$C$504,A30,請求台帳!$B$5:$B$504,"&gt;="&amp;チェック!$C$4,請求台帳!$B$5:$B$504,"&lt;="&amp;EOMONTH(チェック!$C$4,0),請求台帳!$T$5:$T$504,"&lt;&gt;取消"))</f>
        <v/>
      </c>
      <c r="J30" s="29" t="str">
        <f aca="false">IF(A30="","",IF(AND(取引先マスタ!G30="有",I30=0),"請求漏れ候補",""))</f>
        <v/>
      </c>
    </row>
    <row r="31" customFormat="false" ht="15" hidden="false" customHeight="false" outlineLevel="0" collapsed="false">
      <c r="A31" s="32" t="str">
        <f aca="false">IF(取引先マスタ!A31="","",取引先マスタ!A31)</f>
        <v/>
      </c>
      <c r="B31" s="32" t="str">
        <f aca="false">IF(A31="","",取引先マスタ!B31)</f>
        <v/>
      </c>
      <c r="C31" s="32" t="str">
        <f aca="false">IF(A31="","",取引先マスタ!J31&amp;"")</f>
        <v/>
      </c>
      <c r="D31" s="26" t="str">
        <f aca="false">IF(A31="","",SUMIFS(請求台帳!$S$5:$S$504,請求台帳!$C$5:$C$504,A31,請求台帳!$T$5:$T$504,"&lt;&gt;取消"))</f>
        <v/>
      </c>
      <c r="E31" s="26" t="str">
        <f aca="false">IF(A31="","",D31-SUM(F31:H31))</f>
        <v/>
      </c>
      <c r="F31" s="26" t="str">
        <f aca="false">IF(A31="","",SUMIFS(請求台帳!$S$5:$S$504,請求台帳!$C$5:$C$504,A31,請求台帳!$V$5:$V$504,"&gt;=1",請求台帳!$V$5:$V$504,"&lt;=30"))</f>
        <v/>
      </c>
      <c r="G31" s="26" t="str">
        <f aca="false">IF(A31="","",SUMIFS(請求台帳!$S$5:$S$504,請求台帳!$C$5:$C$504,A31,請求台帳!$V$5:$V$504,"&gt;=31",請求台帳!$V$5:$V$504,"&lt;=60"))</f>
        <v/>
      </c>
      <c r="H31" s="26" t="str">
        <f aca="false">IF(A31="","",SUMIFS(請求台帳!$S$5:$S$504,請求台帳!$C$5:$C$504,A31,請求台帳!$V$5:$V$504,"&gt;=61"))</f>
        <v/>
      </c>
      <c r="I31" s="34" t="str">
        <f aca="false">IF(A31="","",COUNTIFS(請求台帳!$C$5:$C$504,A31,請求台帳!$B$5:$B$504,"&gt;="&amp;チェック!$C$4,請求台帳!$B$5:$B$504,"&lt;="&amp;EOMONTH(チェック!$C$4,0),請求台帳!$T$5:$T$504,"&lt;&gt;取消"))</f>
        <v/>
      </c>
      <c r="J31" s="29" t="str">
        <f aca="false">IF(A31="","",IF(AND(取引先マスタ!G31="有",I31=0),"請求漏れ候補",""))</f>
        <v/>
      </c>
    </row>
    <row r="32" customFormat="false" ht="15" hidden="false" customHeight="false" outlineLevel="0" collapsed="false">
      <c r="A32" s="32" t="str">
        <f aca="false">IF(取引先マスタ!A32="","",取引先マスタ!A32)</f>
        <v/>
      </c>
      <c r="B32" s="32" t="str">
        <f aca="false">IF(A32="","",取引先マスタ!B32)</f>
        <v/>
      </c>
      <c r="C32" s="32" t="str">
        <f aca="false">IF(A32="","",取引先マスタ!J32&amp;"")</f>
        <v/>
      </c>
      <c r="D32" s="26" t="str">
        <f aca="false">IF(A32="","",SUMIFS(請求台帳!$S$5:$S$504,請求台帳!$C$5:$C$504,A32,請求台帳!$T$5:$T$504,"&lt;&gt;取消"))</f>
        <v/>
      </c>
      <c r="E32" s="26" t="str">
        <f aca="false">IF(A32="","",D32-SUM(F32:H32))</f>
        <v/>
      </c>
      <c r="F32" s="26" t="str">
        <f aca="false">IF(A32="","",SUMIFS(請求台帳!$S$5:$S$504,請求台帳!$C$5:$C$504,A32,請求台帳!$V$5:$V$504,"&gt;=1",請求台帳!$V$5:$V$504,"&lt;=30"))</f>
        <v/>
      </c>
      <c r="G32" s="26" t="str">
        <f aca="false">IF(A32="","",SUMIFS(請求台帳!$S$5:$S$504,請求台帳!$C$5:$C$504,A32,請求台帳!$V$5:$V$504,"&gt;=31",請求台帳!$V$5:$V$504,"&lt;=60"))</f>
        <v/>
      </c>
      <c r="H32" s="26" t="str">
        <f aca="false">IF(A32="","",SUMIFS(請求台帳!$S$5:$S$504,請求台帳!$C$5:$C$504,A32,請求台帳!$V$5:$V$504,"&gt;=61"))</f>
        <v/>
      </c>
      <c r="I32" s="34" t="str">
        <f aca="false">IF(A32="","",COUNTIFS(請求台帳!$C$5:$C$504,A32,請求台帳!$B$5:$B$504,"&gt;="&amp;チェック!$C$4,請求台帳!$B$5:$B$504,"&lt;="&amp;EOMONTH(チェック!$C$4,0),請求台帳!$T$5:$T$504,"&lt;&gt;取消"))</f>
        <v/>
      </c>
      <c r="J32" s="29" t="str">
        <f aca="false">IF(A32="","",IF(AND(取引先マスタ!G32="有",I32=0),"請求漏れ候補",""))</f>
        <v/>
      </c>
    </row>
    <row r="33" customFormat="false" ht="15" hidden="false" customHeight="false" outlineLevel="0" collapsed="false">
      <c r="A33" s="32" t="str">
        <f aca="false">IF(取引先マスタ!A33="","",取引先マスタ!A33)</f>
        <v/>
      </c>
      <c r="B33" s="32" t="str">
        <f aca="false">IF(A33="","",取引先マスタ!B33)</f>
        <v/>
      </c>
      <c r="C33" s="32" t="str">
        <f aca="false">IF(A33="","",取引先マスタ!J33&amp;"")</f>
        <v/>
      </c>
      <c r="D33" s="26" t="str">
        <f aca="false">IF(A33="","",SUMIFS(請求台帳!$S$5:$S$504,請求台帳!$C$5:$C$504,A33,請求台帳!$T$5:$T$504,"&lt;&gt;取消"))</f>
        <v/>
      </c>
      <c r="E33" s="26" t="str">
        <f aca="false">IF(A33="","",D33-SUM(F33:H33))</f>
        <v/>
      </c>
      <c r="F33" s="26" t="str">
        <f aca="false">IF(A33="","",SUMIFS(請求台帳!$S$5:$S$504,請求台帳!$C$5:$C$504,A33,請求台帳!$V$5:$V$504,"&gt;=1",請求台帳!$V$5:$V$504,"&lt;=30"))</f>
        <v/>
      </c>
      <c r="G33" s="26" t="str">
        <f aca="false">IF(A33="","",SUMIFS(請求台帳!$S$5:$S$504,請求台帳!$C$5:$C$504,A33,請求台帳!$V$5:$V$504,"&gt;=31",請求台帳!$V$5:$V$504,"&lt;=60"))</f>
        <v/>
      </c>
      <c r="H33" s="26" t="str">
        <f aca="false">IF(A33="","",SUMIFS(請求台帳!$S$5:$S$504,請求台帳!$C$5:$C$504,A33,請求台帳!$V$5:$V$504,"&gt;=61"))</f>
        <v/>
      </c>
      <c r="I33" s="34" t="str">
        <f aca="false">IF(A33="","",COUNTIFS(請求台帳!$C$5:$C$504,A33,請求台帳!$B$5:$B$504,"&gt;="&amp;チェック!$C$4,請求台帳!$B$5:$B$504,"&lt;="&amp;EOMONTH(チェック!$C$4,0),請求台帳!$T$5:$T$504,"&lt;&gt;取消"))</f>
        <v/>
      </c>
      <c r="J33" s="29" t="str">
        <f aca="false">IF(A33="","",IF(AND(取引先マスタ!G33="有",I33=0),"請求漏れ候補",""))</f>
        <v/>
      </c>
    </row>
    <row r="34" customFormat="false" ht="15" hidden="false" customHeight="false" outlineLevel="0" collapsed="false">
      <c r="A34" s="32" t="str">
        <f aca="false">IF(取引先マスタ!A34="","",取引先マスタ!A34)</f>
        <v/>
      </c>
      <c r="B34" s="32" t="str">
        <f aca="false">IF(A34="","",取引先マスタ!B34)</f>
        <v/>
      </c>
      <c r="C34" s="32" t="str">
        <f aca="false">IF(A34="","",取引先マスタ!J34&amp;"")</f>
        <v/>
      </c>
      <c r="D34" s="26" t="str">
        <f aca="false">IF(A34="","",SUMIFS(請求台帳!$S$5:$S$504,請求台帳!$C$5:$C$504,A34,請求台帳!$T$5:$T$504,"&lt;&gt;取消"))</f>
        <v/>
      </c>
      <c r="E34" s="26" t="str">
        <f aca="false">IF(A34="","",D34-SUM(F34:H34))</f>
        <v/>
      </c>
      <c r="F34" s="26" t="str">
        <f aca="false">IF(A34="","",SUMIFS(請求台帳!$S$5:$S$504,請求台帳!$C$5:$C$504,A34,請求台帳!$V$5:$V$504,"&gt;=1",請求台帳!$V$5:$V$504,"&lt;=30"))</f>
        <v/>
      </c>
      <c r="G34" s="26" t="str">
        <f aca="false">IF(A34="","",SUMIFS(請求台帳!$S$5:$S$504,請求台帳!$C$5:$C$504,A34,請求台帳!$V$5:$V$504,"&gt;=31",請求台帳!$V$5:$V$504,"&lt;=60"))</f>
        <v/>
      </c>
      <c r="H34" s="26" t="str">
        <f aca="false">IF(A34="","",SUMIFS(請求台帳!$S$5:$S$504,請求台帳!$C$5:$C$504,A34,請求台帳!$V$5:$V$504,"&gt;=61"))</f>
        <v/>
      </c>
      <c r="I34" s="34" t="str">
        <f aca="false">IF(A34="","",COUNTIFS(請求台帳!$C$5:$C$504,A34,請求台帳!$B$5:$B$504,"&gt;="&amp;チェック!$C$4,請求台帳!$B$5:$B$504,"&lt;="&amp;EOMONTH(チェック!$C$4,0),請求台帳!$T$5:$T$504,"&lt;&gt;取消"))</f>
        <v/>
      </c>
      <c r="J34" s="29" t="str">
        <f aca="false">IF(A34="","",IF(AND(取引先マスタ!G34="有",I34=0),"請求漏れ候補",""))</f>
        <v/>
      </c>
    </row>
    <row r="35" customFormat="false" ht="15" hidden="false" customHeight="false" outlineLevel="0" collapsed="false">
      <c r="A35" s="32" t="str">
        <f aca="false">IF(取引先マスタ!A35="","",取引先マスタ!A35)</f>
        <v/>
      </c>
      <c r="B35" s="32" t="str">
        <f aca="false">IF(A35="","",取引先マスタ!B35)</f>
        <v/>
      </c>
      <c r="C35" s="32" t="str">
        <f aca="false">IF(A35="","",取引先マスタ!J35&amp;"")</f>
        <v/>
      </c>
      <c r="D35" s="26" t="str">
        <f aca="false">IF(A35="","",SUMIFS(請求台帳!$S$5:$S$504,請求台帳!$C$5:$C$504,A35,請求台帳!$T$5:$T$504,"&lt;&gt;取消"))</f>
        <v/>
      </c>
      <c r="E35" s="26" t="str">
        <f aca="false">IF(A35="","",D35-SUM(F35:H35))</f>
        <v/>
      </c>
      <c r="F35" s="26" t="str">
        <f aca="false">IF(A35="","",SUMIFS(請求台帳!$S$5:$S$504,請求台帳!$C$5:$C$504,A35,請求台帳!$V$5:$V$504,"&gt;=1",請求台帳!$V$5:$V$504,"&lt;=30"))</f>
        <v/>
      </c>
      <c r="G35" s="26" t="str">
        <f aca="false">IF(A35="","",SUMIFS(請求台帳!$S$5:$S$504,請求台帳!$C$5:$C$504,A35,請求台帳!$V$5:$V$504,"&gt;=31",請求台帳!$V$5:$V$504,"&lt;=60"))</f>
        <v/>
      </c>
      <c r="H35" s="26" t="str">
        <f aca="false">IF(A35="","",SUMIFS(請求台帳!$S$5:$S$504,請求台帳!$C$5:$C$504,A35,請求台帳!$V$5:$V$504,"&gt;=61"))</f>
        <v/>
      </c>
      <c r="I35" s="34" t="str">
        <f aca="false">IF(A35="","",COUNTIFS(請求台帳!$C$5:$C$504,A35,請求台帳!$B$5:$B$504,"&gt;="&amp;チェック!$C$4,請求台帳!$B$5:$B$504,"&lt;="&amp;EOMONTH(チェック!$C$4,0),請求台帳!$T$5:$T$504,"&lt;&gt;取消"))</f>
        <v/>
      </c>
      <c r="J35" s="29" t="str">
        <f aca="false">IF(A35="","",IF(AND(取引先マスタ!G35="有",I35=0),"請求漏れ候補",""))</f>
        <v/>
      </c>
    </row>
    <row r="36" customFormat="false" ht="15" hidden="false" customHeight="false" outlineLevel="0" collapsed="false">
      <c r="A36" s="32" t="str">
        <f aca="false">IF(取引先マスタ!A36="","",取引先マスタ!A36)</f>
        <v/>
      </c>
      <c r="B36" s="32" t="str">
        <f aca="false">IF(A36="","",取引先マスタ!B36)</f>
        <v/>
      </c>
      <c r="C36" s="32" t="str">
        <f aca="false">IF(A36="","",取引先マスタ!J36&amp;"")</f>
        <v/>
      </c>
      <c r="D36" s="26" t="str">
        <f aca="false">IF(A36="","",SUMIFS(請求台帳!$S$5:$S$504,請求台帳!$C$5:$C$504,A36,請求台帳!$T$5:$T$504,"&lt;&gt;取消"))</f>
        <v/>
      </c>
      <c r="E36" s="26" t="str">
        <f aca="false">IF(A36="","",D36-SUM(F36:H36))</f>
        <v/>
      </c>
      <c r="F36" s="26" t="str">
        <f aca="false">IF(A36="","",SUMIFS(請求台帳!$S$5:$S$504,請求台帳!$C$5:$C$504,A36,請求台帳!$V$5:$V$504,"&gt;=1",請求台帳!$V$5:$V$504,"&lt;=30"))</f>
        <v/>
      </c>
      <c r="G36" s="26" t="str">
        <f aca="false">IF(A36="","",SUMIFS(請求台帳!$S$5:$S$504,請求台帳!$C$5:$C$504,A36,請求台帳!$V$5:$V$504,"&gt;=31",請求台帳!$V$5:$V$504,"&lt;=60"))</f>
        <v/>
      </c>
      <c r="H36" s="26" t="str">
        <f aca="false">IF(A36="","",SUMIFS(請求台帳!$S$5:$S$504,請求台帳!$C$5:$C$504,A36,請求台帳!$V$5:$V$504,"&gt;=61"))</f>
        <v/>
      </c>
      <c r="I36" s="34" t="str">
        <f aca="false">IF(A36="","",COUNTIFS(請求台帳!$C$5:$C$504,A36,請求台帳!$B$5:$B$504,"&gt;="&amp;チェック!$C$4,請求台帳!$B$5:$B$504,"&lt;="&amp;EOMONTH(チェック!$C$4,0),請求台帳!$T$5:$T$504,"&lt;&gt;取消"))</f>
        <v/>
      </c>
      <c r="J36" s="29" t="str">
        <f aca="false">IF(A36="","",IF(AND(取引先マスタ!G36="有",I36=0),"請求漏れ候補",""))</f>
        <v/>
      </c>
    </row>
    <row r="37" customFormat="false" ht="15" hidden="false" customHeight="false" outlineLevel="0" collapsed="false">
      <c r="A37" s="32" t="str">
        <f aca="false">IF(取引先マスタ!A37="","",取引先マスタ!A37)</f>
        <v/>
      </c>
      <c r="B37" s="32" t="str">
        <f aca="false">IF(A37="","",取引先マスタ!B37)</f>
        <v/>
      </c>
      <c r="C37" s="32" t="str">
        <f aca="false">IF(A37="","",取引先マスタ!J37&amp;"")</f>
        <v/>
      </c>
      <c r="D37" s="26" t="str">
        <f aca="false">IF(A37="","",SUMIFS(請求台帳!$S$5:$S$504,請求台帳!$C$5:$C$504,A37,請求台帳!$T$5:$T$504,"&lt;&gt;取消"))</f>
        <v/>
      </c>
      <c r="E37" s="26" t="str">
        <f aca="false">IF(A37="","",D37-SUM(F37:H37))</f>
        <v/>
      </c>
      <c r="F37" s="26" t="str">
        <f aca="false">IF(A37="","",SUMIFS(請求台帳!$S$5:$S$504,請求台帳!$C$5:$C$504,A37,請求台帳!$V$5:$V$504,"&gt;=1",請求台帳!$V$5:$V$504,"&lt;=30"))</f>
        <v/>
      </c>
      <c r="G37" s="26" t="str">
        <f aca="false">IF(A37="","",SUMIFS(請求台帳!$S$5:$S$504,請求台帳!$C$5:$C$504,A37,請求台帳!$V$5:$V$504,"&gt;=31",請求台帳!$V$5:$V$504,"&lt;=60"))</f>
        <v/>
      </c>
      <c r="H37" s="26" t="str">
        <f aca="false">IF(A37="","",SUMIFS(請求台帳!$S$5:$S$504,請求台帳!$C$5:$C$504,A37,請求台帳!$V$5:$V$504,"&gt;=61"))</f>
        <v/>
      </c>
      <c r="I37" s="34" t="str">
        <f aca="false">IF(A37="","",COUNTIFS(請求台帳!$C$5:$C$504,A37,請求台帳!$B$5:$B$504,"&gt;="&amp;チェック!$C$4,請求台帳!$B$5:$B$504,"&lt;="&amp;EOMONTH(チェック!$C$4,0),請求台帳!$T$5:$T$504,"&lt;&gt;取消"))</f>
        <v/>
      </c>
      <c r="J37" s="29" t="str">
        <f aca="false">IF(A37="","",IF(AND(取引先マスタ!G37="有",I37=0),"請求漏れ候補",""))</f>
        <v/>
      </c>
    </row>
    <row r="38" customFormat="false" ht="15" hidden="false" customHeight="false" outlineLevel="0" collapsed="false">
      <c r="A38" s="32" t="str">
        <f aca="false">IF(取引先マスタ!A38="","",取引先マスタ!A38)</f>
        <v/>
      </c>
      <c r="B38" s="32" t="str">
        <f aca="false">IF(A38="","",取引先マスタ!B38)</f>
        <v/>
      </c>
      <c r="C38" s="32" t="str">
        <f aca="false">IF(A38="","",取引先マスタ!J38&amp;"")</f>
        <v/>
      </c>
      <c r="D38" s="26" t="str">
        <f aca="false">IF(A38="","",SUMIFS(請求台帳!$S$5:$S$504,請求台帳!$C$5:$C$504,A38,請求台帳!$T$5:$T$504,"&lt;&gt;取消"))</f>
        <v/>
      </c>
      <c r="E38" s="26" t="str">
        <f aca="false">IF(A38="","",D38-SUM(F38:H38))</f>
        <v/>
      </c>
      <c r="F38" s="26" t="str">
        <f aca="false">IF(A38="","",SUMIFS(請求台帳!$S$5:$S$504,請求台帳!$C$5:$C$504,A38,請求台帳!$V$5:$V$504,"&gt;=1",請求台帳!$V$5:$V$504,"&lt;=30"))</f>
        <v/>
      </c>
      <c r="G38" s="26" t="str">
        <f aca="false">IF(A38="","",SUMIFS(請求台帳!$S$5:$S$504,請求台帳!$C$5:$C$504,A38,請求台帳!$V$5:$V$504,"&gt;=31",請求台帳!$V$5:$V$504,"&lt;=60"))</f>
        <v/>
      </c>
      <c r="H38" s="26" t="str">
        <f aca="false">IF(A38="","",SUMIFS(請求台帳!$S$5:$S$504,請求台帳!$C$5:$C$504,A38,請求台帳!$V$5:$V$504,"&gt;=61"))</f>
        <v/>
      </c>
      <c r="I38" s="34" t="str">
        <f aca="false">IF(A38="","",COUNTIFS(請求台帳!$C$5:$C$504,A38,請求台帳!$B$5:$B$504,"&gt;="&amp;チェック!$C$4,請求台帳!$B$5:$B$504,"&lt;="&amp;EOMONTH(チェック!$C$4,0),請求台帳!$T$5:$T$504,"&lt;&gt;取消"))</f>
        <v/>
      </c>
      <c r="J38" s="29" t="str">
        <f aca="false">IF(A38="","",IF(AND(取引先マスタ!G38="有",I38=0),"請求漏れ候補",""))</f>
        <v/>
      </c>
    </row>
    <row r="39" customFormat="false" ht="15" hidden="false" customHeight="false" outlineLevel="0" collapsed="false">
      <c r="A39" s="32" t="str">
        <f aca="false">IF(取引先マスタ!A39="","",取引先マスタ!A39)</f>
        <v/>
      </c>
      <c r="B39" s="32" t="str">
        <f aca="false">IF(A39="","",取引先マスタ!B39)</f>
        <v/>
      </c>
      <c r="C39" s="32" t="str">
        <f aca="false">IF(A39="","",取引先マスタ!J39&amp;"")</f>
        <v/>
      </c>
      <c r="D39" s="26" t="str">
        <f aca="false">IF(A39="","",SUMIFS(請求台帳!$S$5:$S$504,請求台帳!$C$5:$C$504,A39,請求台帳!$T$5:$T$504,"&lt;&gt;取消"))</f>
        <v/>
      </c>
      <c r="E39" s="26" t="str">
        <f aca="false">IF(A39="","",D39-SUM(F39:H39))</f>
        <v/>
      </c>
      <c r="F39" s="26" t="str">
        <f aca="false">IF(A39="","",SUMIFS(請求台帳!$S$5:$S$504,請求台帳!$C$5:$C$504,A39,請求台帳!$V$5:$V$504,"&gt;=1",請求台帳!$V$5:$V$504,"&lt;=30"))</f>
        <v/>
      </c>
      <c r="G39" s="26" t="str">
        <f aca="false">IF(A39="","",SUMIFS(請求台帳!$S$5:$S$504,請求台帳!$C$5:$C$504,A39,請求台帳!$V$5:$V$504,"&gt;=31",請求台帳!$V$5:$V$504,"&lt;=60"))</f>
        <v/>
      </c>
      <c r="H39" s="26" t="str">
        <f aca="false">IF(A39="","",SUMIFS(請求台帳!$S$5:$S$504,請求台帳!$C$5:$C$504,A39,請求台帳!$V$5:$V$504,"&gt;=61"))</f>
        <v/>
      </c>
      <c r="I39" s="34" t="str">
        <f aca="false">IF(A39="","",COUNTIFS(請求台帳!$C$5:$C$504,A39,請求台帳!$B$5:$B$504,"&gt;="&amp;チェック!$C$4,請求台帳!$B$5:$B$504,"&lt;="&amp;EOMONTH(チェック!$C$4,0),請求台帳!$T$5:$T$504,"&lt;&gt;取消"))</f>
        <v/>
      </c>
      <c r="J39" s="29" t="str">
        <f aca="false">IF(A39="","",IF(AND(取引先マスタ!G39="有",I39=0),"請求漏れ候補",""))</f>
        <v/>
      </c>
    </row>
    <row r="40" customFormat="false" ht="15" hidden="false" customHeight="false" outlineLevel="0" collapsed="false">
      <c r="A40" s="32" t="str">
        <f aca="false">IF(取引先マスタ!A40="","",取引先マスタ!A40)</f>
        <v/>
      </c>
      <c r="B40" s="32" t="str">
        <f aca="false">IF(A40="","",取引先マスタ!B40)</f>
        <v/>
      </c>
      <c r="C40" s="32" t="str">
        <f aca="false">IF(A40="","",取引先マスタ!J40&amp;"")</f>
        <v/>
      </c>
      <c r="D40" s="26" t="str">
        <f aca="false">IF(A40="","",SUMIFS(請求台帳!$S$5:$S$504,請求台帳!$C$5:$C$504,A40,請求台帳!$T$5:$T$504,"&lt;&gt;取消"))</f>
        <v/>
      </c>
      <c r="E40" s="26" t="str">
        <f aca="false">IF(A40="","",D40-SUM(F40:H40))</f>
        <v/>
      </c>
      <c r="F40" s="26" t="str">
        <f aca="false">IF(A40="","",SUMIFS(請求台帳!$S$5:$S$504,請求台帳!$C$5:$C$504,A40,請求台帳!$V$5:$V$504,"&gt;=1",請求台帳!$V$5:$V$504,"&lt;=30"))</f>
        <v/>
      </c>
      <c r="G40" s="26" t="str">
        <f aca="false">IF(A40="","",SUMIFS(請求台帳!$S$5:$S$504,請求台帳!$C$5:$C$504,A40,請求台帳!$V$5:$V$504,"&gt;=31",請求台帳!$V$5:$V$504,"&lt;=60"))</f>
        <v/>
      </c>
      <c r="H40" s="26" t="str">
        <f aca="false">IF(A40="","",SUMIFS(請求台帳!$S$5:$S$504,請求台帳!$C$5:$C$504,A40,請求台帳!$V$5:$V$504,"&gt;=61"))</f>
        <v/>
      </c>
      <c r="I40" s="34" t="str">
        <f aca="false">IF(A40="","",COUNTIFS(請求台帳!$C$5:$C$504,A40,請求台帳!$B$5:$B$504,"&gt;="&amp;チェック!$C$4,請求台帳!$B$5:$B$504,"&lt;="&amp;EOMONTH(チェック!$C$4,0),請求台帳!$T$5:$T$504,"&lt;&gt;取消"))</f>
        <v/>
      </c>
      <c r="J40" s="29" t="str">
        <f aca="false">IF(A40="","",IF(AND(取引先マスタ!G40="有",I40=0),"請求漏れ候補",""))</f>
        <v/>
      </c>
    </row>
    <row r="41" customFormat="false" ht="15" hidden="false" customHeight="false" outlineLevel="0" collapsed="false">
      <c r="A41" s="32" t="str">
        <f aca="false">IF(取引先マスタ!A41="","",取引先マスタ!A41)</f>
        <v/>
      </c>
      <c r="B41" s="32" t="str">
        <f aca="false">IF(A41="","",取引先マスタ!B41)</f>
        <v/>
      </c>
      <c r="C41" s="32" t="str">
        <f aca="false">IF(A41="","",取引先マスタ!J41&amp;"")</f>
        <v/>
      </c>
      <c r="D41" s="26" t="str">
        <f aca="false">IF(A41="","",SUMIFS(請求台帳!$S$5:$S$504,請求台帳!$C$5:$C$504,A41,請求台帳!$T$5:$T$504,"&lt;&gt;取消"))</f>
        <v/>
      </c>
      <c r="E41" s="26" t="str">
        <f aca="false">IF(A41="","",D41-SUM(F41:H41))</f>
        <v/>
      </c>
      <c r="F41" s="26" t="str">
        <f aca="false">IF(A41="","",SUMIFS(請求台帳!$S$5:$S$504,請求台帳!$C$5:$C$504,A41,請求台帳!$V$5:$V$504,"&gt;=1",請求台帳!$V$5:$V$504,"&lt;=30"))</f>
        <v/>
      </c>
      <c r="G41" s="26" t="str">
        <f aca="false">IF(A41="","",SUMIFS(請求台帳!$S$5:$S$504,請求台帳!$C$5:$C$504,A41,請求台帳!$V$5:$V$504,"&gt;=31",請求台帳!$V$5:$V$504,"&lt;=60"))</f>
        <v/>
      </c>
      <c r="H41" s="26" t="str">
        <f aca="false">IF(A41="","",SUMIFS(請求台帳!$S$5:$S$504,請求台帳!$C$5:$C$504,A41,請求台帳!$V$5:$V$504,"&gt;=61"))</f>
        <v/>
      </c>
      <c r="I41" s="34" t="str">
        <f aca="false">IF(A41="","",COUNTIFS(請求台帳!$C$5:$C$504,A41,請求台帳!$B$5:$B$504,"&gt;="&amp;チェック!$C$4,請求台帳!$B$5:$B$504,"&lt;="&amp;EOMONTH(チェック!$C$4,0),請求台帳!$T$5:$T$504,"&lt;&gt;取消"))</f>
        <v/>
      </c>
      <c r="J41" s="29" t="str">
        <f aca="false">IF(A41="","",IF(AND(取引先マスタ!G41="有",I41=0),"請求漏れ候補",""))</f>
        <v/>
      </c>
    </row>
    <row r="42" customFormat="false" ht="15" hidden="false" customHeight="false" outlineLevel="0" collapsed="false">
      <c r="A42" s="32" t="str">
        <f aca="false">IF(取引先マスタ!A42="","",取引先マスタ!A42)</f>
        <v/>
      </c>
      <c r="B42" s="32" t="str">
        <f aca="false">IF(A42="","",取引先マスタ!B42)</f>
        <v/>
      </c>
      <c r="C42" s="32" t="str">
        <f aca="false">IF(A42="","",取引先マスタ!J42&amp;"")</f>
        <v/>
      </c>
      <c r="D42" s="26" t="str">
        <f aca="false">IF(A42="","",SUMIFS(請求台帳!$S$5:$S$504,請求台帳!$C$5:$C$504,A42,請求台帳!$T$5:$T$504,"&lt;&gt;取消"))</f>
        <v/>
      </c>
      <c r="E42" s="26" t="str">
        <f aca="false">IF(A42="","",D42-SUM(F42:H42))</f>
        <v/>
      </c>
      <c r="F42" s="26" t="str">
        <f aca="false">IF(A42="","",SUMIFS(請求台帳!$S$5:$S$504,請求台帳!$C$5:$C$504,A42,請求台帳!$V$5:$V$504,"&gt;=1",請求台帳!$V$5:$V$504,"&lt;=30"))</f>
        <v/>
      </c>
      <c r="G42" s="26" t="str">
        <f aca="false">IF(A42="","",SUMIFS(請求台帳!$S$5:$S$504,請求台帳!$C$5:$C$504,A42,請求台帳!$V$5:$V$504,"&gt;=31",請求台帳!$V$5:$V$504,"&lt;=60"))</f>
        <v/>
      </c>
      <c r="H42" s="26" t="str">
        <f aca="false">IF(A42="","",SUMIFS(請求台帳!$S$5:$S$504,請求台帳!$C$5:$C$504,A42,請求台帳!$V$5:$V$504,"&gt;=61"))</f>
        <v/>
      </c>
      <c r="I42" s="34" t="str">
        <f aca="false">IF(A42="","",COUNTIFS(請求台帳!$C$5:$C$504,A42,請求台帳!$B$5:$B$504,"&gt;="&amp;チェック!$C$4,請求台帳!$B$5:$B$504,"&lt;="&amp;EOMONTH(チェック!$C$4,0),請求台帳!$T$5:$T$504,"&lt;&gt;取消"))</f>
        <v/>
      </c>
      <c r="J42" s="29" t="str">
        <f aca="false">IF(A42="","",IF(AND(取引先マスタ!G42="有",I42=0),"請求漏れ候補",""))</f>
        <v/>
      </c>
    </row>
    <row r="43" customFormat="false" ht="15" hidden="false" customHeight="false" outlineLevel="0" collapsed="false">
      <c r="A43" s="32" t="str">
        <f aca="false">IF(取引先マスタ!A43="","",取引先マスタ!A43)</f>
        <v/>
      </c>
      <c r="B43" s="32" t="str">
        <f aca="false">IF(A43="","",取引先マスタ!B43)</f>
        <v/>
      </c>
      <c r="C43" s="32" t="str">
        <f aca="false">IF(A43="","",取引先マスタ!J43&amp;"")</f>
        <v/>
      </c>
      <c r="D43" s="26" t="str">
        <f aca="false">IF(A43="","",SUMIFS(請求台帳!$S$5:$S$504,請求台帳!$C$5:$C$504,A43,請求台帳!$T$5:$T$504,"&lt;&gt;取消"))</f>
        <v/>
      </c>
      <c r="E43" s="26" t="str">
        <f aca="false">IF(A43="","",D43-SUM(F43:H43))</f>
        <v/>
      </c>
      <c r="F43" s="26" t="str">
        <f aca="false">IF(A43="","",SUMIFS(請求台帳!$S$5:$S$504,請求台帳!$C$5:$C$504,A43,請求台帳!$V$5:$V$504,"&gt;=1",請求台帳!$V$5:$V$504,"&lt;=30"))</f>
        <v/>
      </c>
      <c r="G43" s="26" t="str">
        <f aca="false">IF(A43="","",SUMIFS(請求台帳!$S$5:$S$504,請求台帳!$C$5:$C$504,A43,請求台帳!$V$5:$V$504,"&gt;=31",請求台帳!$V$5:$V$504,"&lt;=60"))</f>
        <v/>
      </c>
      <c r="H43" s="26" t="str">
        <f aca="false">IF(A43="","",SUMIFS(請求台帳!$S$5:$S$504,請求台帳!$C$5:$C$504,A43,請求台帳!$V$5:$V$504,"&gt;=61"))</f>
        <v/>
      </c>
      <c r="I43" s="34" t="str">
        <f aca="false">IF(A43="","",COUNTIFS(請求台帳!$C$5:$C$504,A43,請求台帳!$B$5:$B$504,"&gt;="&amp;チェック!$C$4,請求台帳!$B$5:$B$504,"&lt;="&amp;EOMONTH(チェック!$C$4,0),請求台帳!$T$5:$T$504,"&lt;&gt;取消"))</f>
        <v/>
      </c>
      <c r="J43" s="29" t="str">
        <f aca="false">IF(A43="","",IF(AND(取引先マスタ!G43="有",I43=0),"請求漏れ候補",""))</f>
        <v/>
      </c>
    </row>
    <row r="44" customFormat="false" ht="15" hidden="false" customHeight="false" outlineLevel="0" collapsed="false">
      <c r="A44" s="32" t="str">
        <f aca="false">IF(取引先マスタ!A44="","",取引先マスタ!A44)</f>
        <v/>
      </c>
      <c r="B44" s="32" t="str">
        <f aca="false">IF(A44="","",取引先マスタ!B44)</f>
        <v/>
      </c>
      <c r="C44" s="32" t="str">
        <f aca="false">IF(A44="","",取引先マスタ!J44&amp;"")</f>
        <v/>
      </c>
      <c r="D44" s="26" t="str">
        <f aca="false">IF(A44="","",SUMIFS(請求台帳!$S$5:$S$504,請求台帳!$C$5:$C$504,A44,請求台帳!$T$5:$T$504,"&lt;&gt;取消"))</f>
        <v/>
      </c>
      <c r="E44" s="26" t="str">
        <f aca="false">IF(A44="","",D44-SUM(F44:H44))</f>
        <v/>
      </c>
      <c r="F44" s="26" t="str">
        <f aca="false">IF(A44="","",SUMIFS(請求台帳!$S$5:$S$504,請求台帳!$C$5:$C$504,A44,請求台帳!$V$5:$V$504,"&gt;=1",請求台帳!$V$5:$V$504,"&lt;=30"))</f>
        <v/>
      </c>
      <c r="G44" s="26" t="str">
        <f aca="false">IF(A44="","",SUMIFS(請求台帳!$S$5:$S$504,請求台帳!$C$5:$C$504,A44,請求台帳!$V$5:$V$504,"&gt;=31",請求台帳!$V$5:$V$504,"&lt;=60"))</f>
        <v/>
      </c>
      <c r="H44" s="26" t="str">
        <f aca="false">IF(A44="","",SUMIFS(請求台帳!$S$5:$S$504,請求台帳!$C$5:$C$504,A44,請求台帳!$V$5:$V$504,"&gt;=61"))</f>
        <v/>
      </c>
      <c r="I44" s="34" t="str">
        <f aca="false">IF(A44="","",COUNTIFS(請求台帳!$C$5:$C$504,A44,請求台帳!$B$5:$B$504,"&gt;="&amp;チェック!$C$4,請求台帳!$B$5:$B$504,"&lt;="&amp;EOMONTH(チェック!$C$4,0),請求台帳!$T$5:$T$504,"&lt;&gt;取消"))</f>
        <v/>
      </c>
      <c r="J44" s="29" t="str">
        <f aca="false">IF(A44="","",IF(AND(取引先マスタ!G44="有",I44=0),"請求漏れ候補",""))</f>
        <v/>
      </c>
    </row>
    <row r="45" customFormat="false" ht="15" hidden="false" customHeight="false" outlineLevel="0" collapsed="false">
      <c r="A45" s="32" t="str">
        <f aca="false">IF(取引先マスタ!A45="","",取引先マスタ!A45)</f>
        <v/>
      </c>
      <c r="B45" s="32" t="str">
        <f aca="false">IF(A45="","",取引先マスタ!B45)</f>
        <v/>
      </c>
      <c r="C45" s="32" t="str">
        <f aca="false">IF(A45="","",取引先マスタ!J45&amp;"")</f>
        <v/>
      </c>
      <c r="D45" s="26" t="str">
        <f aca="false">IF(A45="","",SUMIFS(請求台帳!$S$5:$S$504,請求台帳!$C$5:$C$504,A45,請求台帳!$T$5:$T$504,"&lt;&gt;取消"))</f>
        <v/>
      </c>
      <c r="E45" s="26" t="str">
        <f aca="false">IF(A45="","",D45-SUM(F45:H45))</f>
        <v/>
      </c>
      <c r="F45" s="26" t="str">
        <f aca="false">IF(A45="","",SUMIFS(請求台帳!$S$5:$S$504,請求台帳!$C$5:$C$504,A45,請求台帳!$V$5:$V$504,"&gt;=1",請求台帳!$V$5:$V$504,"&lt;=30"))</f>
        <v/>
      </c>
      <c r="G45" s="26" t="str">
        <f aca="false">IF(A45="","",SUMIFS(請求台帳!$S$5:$S$504,請求台帳!$C$5:$C$504,A45,請求台帳!$V$5:$V$504,"&gt;=31",請求台帳!$V$5:$V$504,"&lt;=60"))</f>
        <v/>
      </c>
      <c r="H45" s="26" t="str">
        <f aca="false">IF(A45="","",SUMIFS(請求台帳!$S$5:$S$504,請求台帳!$C$5:$C$504,A45,請求台帳!$V$5:$V$504,"&gt;=61"))</f>
        <v/>
      </c>
      <c r="I45" s="34" t="str">
        <f aca="false">IF(A45="","",COUNTIFS(請求台帳!$C$5:$C$504,A45,請求台帳!$B$5:$B$504,"&gt;="&amp;チェック!$C$4,請求台帳!$B$5:$B$504,"&lt;="&amp;EOMONTH(チェック!$C$4,0),請求台帳!$T$5:$T$504,"&lt;&gt;取消"))</f>
        <v/>
      </c>
      <c r="J45" s="29" t="str">
        <f aca="false">IF(A45="","",IF(AND(取引先マスタ!G45="有",I45=0),"請求漏れ候補",""))</f>
        <v/>
      </c>
    </row>
    <row r="46" customFormat="false" ht="15" hidden="false" customHeight="false" outlineLevel="0" collapsed="false">
      <c r="A46" s="32" t="str">
        <f aca="false">IF(取引先マスタ!A46="","",取引先マスタ!A46)</f>
        <v/>
      </c>
      <c r="B46" s="32" t="str">
        <f aca="false">IF(A46="","",取引先マスタ!B46)</f>
        <v/>
      </c>
      <c r="C46" s="32" t="str">
        <f aca="false">IF(A46="","",取引先マスタ!J46&amp;"")</f>
        <v/>
      </c>
      <c r="D46" s="26" t="str">
        <f aca="false">IF(A46="","",SUMIFS(請求台帳!$S$5:$S$504,請求台帳!$C$5:$C$504,A46,請求台帳!$T$5:$T$504,"&lt;&gt;取消"))</f>
        <v/>
      </c>
      <c r="E46" s="26" t="str">
        <f aca="false">IF(A46="","",D46-SUM(F46:H46))</f>
        <v/>
      </c>
      <c r="F46" s="26" t="str">
        <f aca="false">IF(A46="","",SUMIFS(請求台帳!$S$5:$S$504,請求台帳!$C$5:$C$504,A46,請求台帳!$V$5:$V$504,"&gt;=1",請求台帳!$V$5:$V$504,"&lt;=30"))</f>
        <v/>
      </c>
      <c r="G46" s="26" t="str">
        <f aca="false">IF(A46="","",SUMIFS(請求台帳!$S$5:$S$504,請求台帳!$C$5:$C$504,A46,請求台帳!$V$5:$V$504,"&gt;=31",請求台帳!$V$5:$V$504,"&lt;=60"))</f>
        <v/>
      </c>
      <c r="H46" s="26" t="str">
        <f aca="false">IF(A46="","",SUMIFS(請求台帳!$S$5:$S$504,請求台帳!$C$5:$C$504,A46,請求台帳!$V$5:$V$504,"&gt;=61"))</f>
        <v/>
      </c>
      <c r="I46" s="34" t="str">
        <f aca="false">IF(A46="","",COUNTIFS(請求台帳!$C$5:$C$504,A46,請求台帳!$B$5:$B$504,"&gt;="&amp;チェック!$C$4,請求台帳!$B$5:$B$504,"&lt;="&amp;EOMONTH(チェック!$C$4,0),請求台帳!$T$5:$T$504,"&lt;&gt;取消"))</f>
        <v/>
      </c>
      <c r="J46" s="29" t="str">
        <f aca="false">IF(A46="","",IF(AND(取引先マスタ!G46="有",I46=0),"請求漏れ候補",""))</f>
        <v/>
      </c>
    </row>
    <row r="47" customFormat="false" ht="15" hidden="false" customHeight="false" outlineLevel="0" collapsed="false">
      <c r="A47" s="32" t="str">
        <f aca="false">IF(取引先マスタ!A47="","",取引先マスタ!A47)</f>
        <v/>
      </c>
      <c r="B47" s="32" t="str">
        <f aca="false">IF(A47="","",取引先マスタ!B47)</f>
        <v/>
      </c>
      <c r="C47" s="32" t="str">
        <f aca="false">IF(A47="","",取引先マスタ!J47&amp;"")</f>
        <v/>
      </c>
      <c r="D47" s="26" t="str">
        <f aca="false">IF(A47="","",SUMIFS(請求台帳!$S$5:$S$504,請求台帳!$C$5:$C$504,A47,請求台帳!$T$5:$T$504,"&lt;&gt;取消"))</f>
        <v/>
      </c>
      <c r="E47" s="26" t="str">
        <f aca="false">IF(A47="","",D47-SUM(F47:H47))</f>
        <v/>
      </c>
      <c r="F47" s="26" t="str">
        <f aca="false">IF(A47="","",SUMIFS(請求台帳!$S$5:$S$504,請求台帳!$C$5:$C$504,A47,請求台帳!$V$5:$V$504,"&gt;=1",請求台帳!$V$5:$V$504,"&lt;=30"))</f>
        <v/>
      </c>
      <c r="G47" s="26" t="str">
        <f aca="false">IF(A47="","",SUMIFS(請求台帳!$S$5:$S$504,請求台帳!$C$5:$C$504,A47,請求台帳!$V$5:$V$504,"&gt;=31",請求台帳!$V$5:$V$504,"&lt;=60"))</f>
        <v/>
      </c>
      <c r="H47" s="26" t="str">
        <f aca="false">IF(A47="","",SUMIFS(請求台帳!$S$5:$S$504,請求台帳!$C$5:$C$504,A47,請求台帳!$V$5:$V$504,"&gt;=61"))</f>
        <v/>
      </c>
      <c r="I47" s="34" t="str">
        <f aca="false">IF(A47="","",COUNTIFS(請求台帳!$C$5:$C$504,A47,請求台帳!$B$5:$B$504,"&gt;="&amp;チェック!$C$4,請求台帳!$B$5:$B$504,"&lt;="&amp;EOMONTH(チェック!$C$4,0),請求台帳!$T$5:$T$504,"&lt;&gt;取消"))</f>
        <v/>
      </c>
      <c r="J47" s="29" t="str">
        <f aca="false">IF(A47="","",IF(AND(取引先マスタ!G47="有",I47=0),"請求漏れ候補",""))</f>
        <v/>
      </c>
    </row>
    <row r="48" customFormat="false" ht="15" hidden="false" customHeight="false" outlineLevel="0" collapsed="false">
      <c r="A48" s="32" t="str">
        <f aca="false">IF(取引先マスタ!A48="","",取引先マスタ!A48)</f>
        <v/>
      </c>
      <c r="B48" s="32" t="str">
        <f aca="false">IF(A48="","",取引先マスタ!B48)</f>
        <v/>
      </c>
      <c r="C48" s="32" t="str">
        <f aca="false">IF(A48="","",取引先マスタ!J48&amp;"")</f>
        <v/>
      </c>
      <c r="D48" s="26" t="str">
        <f aca="false">IF(A48="","",SUMIFS(請求台帳!$S$5:$S$504,請求台帳!$C$5:$C$504,A48,請求台帳!$T$5:$T$504,"&lt;&gt;取消"))</f>
        <v/>
      </c>
      <c r="E48" s="26" t="str">
        <f aca="false">IF(A48="","",D48-SUM(F48:H48))</f>
        <v/>
      </c>
      <c r="F48" s="26" t="str">
        <f aca="false">IF(A48="","",SUMIFS(請求台帳!$S$5:$S$504,請求台帳!$C$5:$C$504,A48,請求台帳!$V$5:$V$504,"&gt;=1",請求台帳!$V$5:$V$504,"&lt;=30"))</f>
        <v/>
      </c>
      <c r="G48" s="26" t="str">
        <f aca="false">IF(A48="","",SUMIFS(請求台帳!$S$5:$S$504,請求台帳!$C$5:$C$504,A48,請求台帳!$V$5:$V$504,"&gt;=31",請求台帳!$V$5:$V$504,"&lt;=60"))</f>
        <v/>
      </c>
      <c r="H48" s="26" t="str">
        <f aca="false">IF(A48="","",SUMIFS(請求台帳!$S$5:$S$504,請求台帳!$C$5:$C$504,A48,請求台帳!$V$5:$V$504,"&gt;=61"))</f>
        <v/>
      </c>
      <c r="I48" s="34" t="str">
        <f aca="false">IF(A48="","",COUNTIFS(請求台帳!$C$5:$C$504,A48,請求台帳!$B$5:$B$504,"&gt;="&amp;チェック!$C$4,請求台帳!$B$5:$B$504,"&lt;="&amp;EOMONTH(チェック!$C$4,0),請求台帳!$T$5:$T$504,"&lt;&gt;取消"))</f>
        <v/>
      </c>
      <c r="J48" s="29" t="str">
        <f aca="false">IF(A48="","",IF(AND(取引先マスタ!G48="有",I48=0),"請求漏れ候補",""))</f>
        <v/>
      </c>
    </row>
    <row r="49" customFormat="false" ht="15" hidden="false" customHeight="false" outlineLevel="0" collapsed="false">
      <c r="A49" s="32" t="str">
        <f aca="false">IF(取引先マスタ!A49="","",取引先マスタ!A49)</f>
        <v/>
      </c>
      <c r="B49" s="32" t="str">
        <f aca="false">IF(A49="","",取引先マスタ!B49)</f>
        <v/>
      </c>
      <c r="C49" s="32" t="str">
        <f aca="false">IF(A49="","",取引先マスタ!J49&amp;"")</f>
        <v/>
      </c>
      <c r="D49" s="26" t="str">
        <f aca="false">IF(A49="","",SUMIFS(請求台帳!$S$5:$S$504,請求台帳!$C$5:$C$504,A49,請求台帳!$T$5:$T$504,"&lt;&gt;取消"))</f>
        <v/>
      </c>
      <c r="E49" s="26" t="str">
        <f aca="false">IF(A49="","",D49-SUM(F49:H49))</f>
        <v/>
      </c>
      <c r="F49" s="26" t="str">
        <f aca="false">IF(A49="","",SUMIFS(請求台帳!$S$5:$S$504,請求台帳!$C$5:$C$504,A49,請求台帳!$V$5:$V$504,"&gt;=1",請求台帳!$V$5:$V$504,"&lt;=30"))</f>
        <v/>
      </c>
      <c r="G49" s="26" t="str">
        <f aca="false">IF(A49="","",SUMIFS(請求台帳!$S$5:$S$504,請求台帳!$C$5:$C$504,A49,請求台帳!$V$5:$V$504,"&gt;=31",請求台帳!$V$5:$V$504,"&lt;=60"))</f>
        <v/>
      </c>
      <c r="H49" s="26" t="str">
        <f aca="false">IF(A49="","",SUMIFS(請求台帳!$S$5:$S$504,請求台帳!$C$5:$C$504,A49,請求台帳!$V$5:$V$504,"&gt;=61"))</f>
        <v/>
      </c>
      <c r="I49" s="34" t="str">
        <f aca="false">IF(A49="","",COUNTIFS(請求台帳!$C$5:$C$504,A49,請求台帳!$B$5:$B$504,"&gt;="&amp;チェック!$C$4,請求台帳!$B$5:$B$504,"&lt;="&amp;EOMONTH(チェック!$C$4,0),請求台帳!$T$5:$T$504,"&lt;&gt;取消"))</f>
        <v/>
      </c>
      <c r="J49" s="29" t="str">
        <f aca="false">IF(A49="","",IF(AND(取引先マスタ!G49="有",I49=0),"請求漏れ候補",""))</f>
        <v/>
      </c>
    </row>
    <row r="50" customFormat="false" ht="15" hidden="false" customHeight="false" outlineLevel="0" collapsed="false">
      <c r="A50" s="32" t="str">
        <f aca="false">IF(取引先マスタ!A50="","",取引先マスタ!A50)</f>
        <v/>
      </c>
      <c r="B50" s="32" t="str">
        <f aca="false">IF(A50="","",取引先マスタ!B50)</f>
        <v/>
      </c>
      <c r="C50" s="32" t="str">
        <f aca="false">IF(A50="","",取引先マスタ!J50&amp;"")</f>
        <v/>
      </c>
      <c r="D50" s="26" t="str">
        <f aca="false">IF(A50="","",SUMIFS(請求台帳!$S$5:$S$504,請求台帳!$C$5:$C$504,A50,請求台帳!$T$5:$T$504,"&lt;&gt;取消"))</f>
        <v/>
      </c>
      <c r="E50" s="26" t="str">
        <f aca="false">IF(A50="","",D50-SUM(F50:H50))</f>
        <v/>
      </c>
      <c r="F50" s="26" t="str">
        <f aca="false">IF(A50="","",SUMIFS(請求台帳!$S$5:$S$504,請求台帳!$C$5:$C$504,A50,請求台帳!$V$5:$V$504,"&gt;=1",請求台帳!$V$5:$V$504,"&lt;=30"))</f>
        <v/>
      </c>
      <c r="G50" s="26" t="str">
        <f aca="false">IF(A50="","",SUMIFS(請求台帳!$S$5:$S$504,請求台帳!$C$5:$C$504,A50,請求台帳!$V$5:$V$504,"&gt;=31",請求台帳!$V$5:$V$504,"&lt;=60"))</f>
        <v/>
      </c>
      <c r="H50" s="26" t="str">
        <f aca="false">IF(A50="","",SUMIFS(請求台帳!$S$5:$S$504,請求台帳!$C$5:$C$504,A50,請求台帳!$V$5:$V$504,"&gt;=61"))</f>
        <v/>
      </c>
      <c r="I50" s="34" t="str">
        <f aca="false">IF(A50="","",COUNTIFS(請求台帳!$C$5:$C$504,A50,請求台帳!$B$5:$B$504,"&gt;="&amp;チェック!$C$4,請求台帳!$B$5:$B$504,"&lt;="&amp;EOMONTH(チェック!$C$4,0),請求台帳!$T$5:$T$504,"&lt;&gt;取消"))</f>
        <v/>
      </c>
      <c r="J50" s="29" t="str">
        <f aca="false">IF(A50="","",IF(AND(取引先マスタ!G50="有",I50=0),"請求漏れ候補",""))</f>
        <v/>
      </c>
    </row>
    <row r="51" customFormat="false" ht="15" hidden="false" customHeight="false" outlineLevel="0" collapsed="false">
      <c r="A51" s="32" t="str">
        <f aca="false">IF(取引先マスタ!A51="","",取引先マスタ!A51)</f>
        <v/>
      </c>
      <c r="B51" s="32" t="str">
        <f aca="false">IF(A51="","",取引先マスタ!B51)</f>
        <v/>
      </c>
      <c r="C51" s="32" t="str">
        <f aca="false">IF(A51="","",取引先マスタ!J51&amp;"")</f>
        <v/>
      </c>
      <c r="D51" s="26" t="str">
        <f aca="false">IF(A51="","",SUMIFS(請求台帳!$S$5:$S$504,請求台帳!$C$5:$C$504,A51,請求台帳!$T$5:$T$504,"&lt;&gt;取消"))</f>
        <v/>
      </c>
      <c r="E51" s="26" t="str">
        <f aca="false">IF(A51="","",D51-SUM(F51:H51))</f>
        <v/>
      </c>
      <c r="F51" s="26" t="str">
        <f aca="false">IF(A51="","",SUMIFS(請求台帳!$S$5:$S$504,請求台帳!$C$5:$C$504,A51,請求台帳!$V$5:$V$504,"&gt;=1",請求台帳!$V$5:$V$504,"&lt;=30"))</f>
        <v/>
      </c>
      <c r="G51" s="26" t="str">
        <f aca="false">IF(A51="","",SUMIFS(請求台帳!$S$5:$S$504,請求台帳!$C$5:$C$504,A51,請求台帳!$V$5:$V$504,"&gt;=31",請求台帳!$V$5:$V$504,"&lt;=60"))</f>
        <v/>
      </c>
      <c r="H51" s="26" t="str">
        <f aca="false">IF(A51="","",SUMIFS(請求台帳!$S$5:$S$504,請求台帳!$C$5:$C$504,A51,請求台帳!$V$5:$V$504,"&gt;=61"))</f>
        <v/>
      </c>
      <c r="I51" s="34" t="str">
        <f aca="false">IF(A51="","",COUNTIFS(請求台帳!$C$5:$C$504,A51,請求台帳!$B$5:$B$504,"&gt;="&amp;チェック!$C$4,請求台帳!$B$5:$B$504,"&lt;="&amp;EOMONTH(チェック!$C$4,0),請求台帳!$T$5:$T$504,"&lt;&gt;取消"))</f>
        <v/>
      </c>
      <c r="J51" s="29" t="str">
        <f aca="false">IF(A51="","",IF(AND(取引先マスタ!G51="有",I51=0),"請求漏れ候補",""))</f>
        <v/>
      </c>
    </row>
    <row r="52" customFormat="false" ht="15" hidden="false" customHeight="false" outlineLevel="0" collapsed="false">
      <c r="A52" s="32" t="str">
        <f aca="false">IF(取引先マスタ!A52="","",取引先マスタ!A52)</f>
        <v/>
      </c>
      <c r="B52" s="32" t="str">
        <f aca="false">IF(A52="","",取引先マスタ!B52)</f>
        <v/>
      </c>
      <c r="C52" s="32" t="str">
        <f aca="false">IF(A52="","",取引先マスタ!J52&amp;"")</f>
        <v/>
      </c>
      <c r="D52" s="26" t="str">
        <f aca="false">IF(A52="","",SUMIFS(請求台帳!$S$5:$S$504,請求台帳!$C$5:$C$504,A52,請求台帳!$T$5:$T$504,"&lt;&gt;取消"))</f>
        <v/>
      </c>
      <c r="E52" s="26" t="str">
        <f aca="false">IF(A52="","",D52-SUM(F52:H52))</f>
        <v/>
      </c>
      <c r="F52" s="26" t="str">
        <f aca="false">IF(A52="","",SUMIFS(請求台帳!$S$5:$S$504,請求台帳!$C$5:$C$504,A52,請求台帳!$V$5:$V$504,"&gt;=1",請求台帳!$V$5:$V$504,"&lt;=30"))</f>
        <v/>
      </c>
      <c r="G52" s="26" t="str">
        <f aca="false">IF(A52="","",SUMIFS(請求台帳!$S$5:$S$504,請求台帳!$C$5:$C$504,A52,請求台帳!$V$5:$V$504,"&gt;=31",請求台帳!$V$5:$V$504,"&lt;=60"))</f>
        <v/>
      </c>
      <c r="H52" s="26" t="str">
        <f aca="false">IF(A52="","",SUMIFS(請求台帳!$S$5:$S$504,請求台帳!$C$5:$C$504,A52,請求台帳!$V$5:$V$504,"&gt;=61"))</f>
        <v/>
      </c>
      <c r="I52" s="34" t="str">
        <f aca="false">IF(A52="","",COUNTIFS(請求台帳!$C$5:$C$504,A52,請求台帳!$B$5:$B$504,"&gt;="&amp;チェック!$C$4,請求台帳!$B$5:$B$504,"&lt;="&amp;EOMONTH(チェック!$C$4,0),請求台帳!$T$5:$T$504,"&lt;&gt;取消"))</f>
        <v/>
      </c>
      <c r="J52" s="29" t="str">
        <f aca="false">IF(A52="","",IF(AND(取引先マスタ!G52="有",I52=0),"請求漏れ候補",""))</f>
        <v/>
      </c>
    </row>
    <row r="53" customFormat="false" ht="15" hidden="false" customHeight="false" outlineLevel="0" collapsed="false">
      <c r="A53" s="32" t="str">
        <f aca="false">IF(取引先マスタ!A53="","",取引先マスタ!A53)</f>
        <v/>
      </c>
      <c r="B53" s="32" t="str">
        <f aca="false">IF(A53="","",取引先マスタ!B53)</f>
        <v/>
      </c>
      <c r="C53" s="32" t="str">
        <f aca="false">IF(A53="","",取引先マスタ!J53&amp;"")</f>
        <v/>
      </c>
      <c r="D53" s="26" t="str">
        <f aca="false">IF(A53="","",SUMIFS(請求台帳!$S$5:$S$504,請求台帳!$C$5:$C$504,A53,請求台帳!$T$5:$T$504,"&lt;&gt;取消"))</f>
        <v/>
      </c>
      <c r="E53" s="26" t="str">
        <f aca="false">IF(A53="","",D53-SUM(F53:H53))</f>
        <v/>
      </c>
      <c r="F53" s="26" t="str">
        <f aca="false">IF(A53="","",SUMIFS(請求台帳!$S$5:$S$504,請求台帳!$C$5:$C$504,A53,請求台帳!$V$5:$V$504,"&gt;=1",請求台帳!$V$5:$V$504,"&lt;=30"))</f>
        <v/>
      </c>
      <c r="G53" s="26" t="str">
        <f aca="false">IF(A53="","",SUMIFS(請求台帳!$S$5:$S$504,請求台帳!$C$5:$C$504,A53,請求台帳!$V$5:$V$504,"&gt;=31",請求台帳!$V$5:$V$504,"&lt;=60"))</f>
        <v/>
      </c>
      <c r="H53" s="26" t="str">
        <f aca="false">IF(A53="","",SUMIFS(請求台帳!$S$5:$S$504,請求台帳!$C$5:$C$504,A53,請求台帳!$V$5:$V$504,"&gt;=61"))</f>
        <v/>
      </c>
      <c r="I53" s="34" t="str">
        <f aca="false">IF(A53="","",COUNTIFS(請求台帳!$C$5:$C$504,A53,請求台帳!$B$5:$B$504,"&gt;="&amp;チェック!$C$4,請求台帳!$B$5:$B$504,"&lt;="&amp;EOMONTH(チェック!$C$4,0),請求台帳!$T$5:$T$504,"&lt;&gt;取消"))</f>
        <v/>
      </c>
      <c r="J53" s="29" t="str">
        <f aca="false">IF(A53="","",IF(AND(取引先マスタ!G53="有",I53=0),"請求漏れ候補",""))</f>
        <v/>
      </c>
    </row>
    <row r="54" customFormat="false" ht="15" hidden="false" customHeight="false" outlineLevel="0" collapsed="false">
      <c r="A54" s="32" t="str">
        <f aca="false">IF(取引先マスタ!A54="","",取引先マスタ!A54)</f>
        <v/>
      </c>
      <c r="B54" s="32" t="str">
        <f aca="false">IF(A54="","",取引先マスタ!B54)</f>
        <v/>
      </c>
      <c r="C54" s="32" t="str">
        <f aca="false">IF(A54="","",取引先マスタ!J54&amp;"")</f>
        <v/>
      </c>
      <c r="D54" s="26" t="str">
        <f aca="false">IF(A54="","",SUMIFS(請求台帳!$S$5:$S$504,請求台帳!$C$5:$C$504,A54,請求台帳!$T$5:$T$504,"&lt;&gt;取消"))</f>
        <v/>
      </c>
      <c r="E54" s="26" t="str">
        <f aca="false">IF(A54="","",D54-SUM(F54:H54))</f>
        <v/>
      </c>
      <c r="F54" s="26" t="str">
        <f aca="false">IF(A54="","",SUMIFS(請求台帳!$S$5:$S$504,請求台帳!$C$5:$C$504,A54,請求台帳!$V$5:$V$504,"&gt;=1",請求台帳!$V$5:$V$504,"&lt;=30"))</f>
        <v/>
      </c>
      <c r="G54" s="26" t="str">
        <f aca="false">IF(A54="","",SUMIFS(請求台帳!$S$5:$S$504,請求台帳!$C$5:$C$504,A54,請求台帳!$V$5:$V$504,"&gt;=31",請求台帳!$V$5:$V$504,"&lt;=60"))</f>
        <v/>
      </c>
      <c r="H54" s="26" t="str">
        <f aca="false">IF(A54="","",SUMIFS(請求台帳!$S$5:$S$504,請求台帳!$C$5:$C$504,A54,請求台帳!$V$5:$V$504,"&gt;=61"))</f>
        <v/>
      </c>
      <c r="I54" s="34" t="str">
        <f aca="false">IF(A54="","",COUNTIFS(請求台帳!$C$5:$C$504,A54,請求台帳!$B$5:$B$504,"&gt;="&amp;チェック!$C$4,請求台帳!$B$5:$B$504,"&lt;="&amp;EOMONTH(チェック!$C$4,0),請求台帳!$T$5:$T$504,"&lt;&gt;取消"))</f>
        <v/>
      </c>
      <c r="J54" s="29" t="str">
        <f aca="false">IF(A54="","",IF(AND(取引先マスタ!G54="有",I54=0),"請求漏れ候補",""))</f>
        <v/>
      </c>
    </row>
    <row r="55" customFormat="false" ht="15" hidden="false" customHeight="false" outlineLevel="0" collapsed="false">
      <c r="A55" s="32" t="str">
        <f aca="false">IF(取引先マスタ!A55="","",取引先マスタ!A55)</f>
        <v/>
      </c>
      <c r="B55" s="32" t="str">
        <f aca="false">IF(A55="","",取引先マスタ!B55)</f>
        <v/>
      </c>
      <c r="C55" s="32" t="str">
        <f aca="false">IF(A55="","",取引先マスタ!J55&amp;"")</f>
        <v/>
      </c>
      <c r="D55" s="26" t="str">
        <f aca="false">IF(A55="","",SUMIFS(請求台帳!$S$5:$S$504,請求台帳!$C$5:$C$504,A55,請求台帳!$T$5:$T$504,"&lt;&gt;取消"))</f>
        <v/>
      </c>
      <c r="E55" s="26" t="str">
        <f aca="false">IF(A55="","",D55-SUM(F55:H55))</f>
        <v/>
      </c>
      <c r="F55" s="26" t="str">
        <f aca="false">IF(A55="","",SUMIFS(請求台帳!$S$5:$S$504,請求台帳!$C$5:$C$504,A55,請求台帳!$V$5:$V$504,"&gt;=1",請求台帳!$V$5:$V$504,"&lt;=30"))</f>
        <v/>
      </c>
      <c r="G55" s="26" t="str">
        <f aca="false">IF(A55="","",SUMIFS(請求台帳!$S$5:$S$504,請求台帳!$C$5:$C$504,A55,請求台帳!$V$5:$V$504,"&gt;=31",請求台帳!$V$5:$V$504,"&lt;=60"))</f>
        <v/>
      </c>
      <c r="H55" s="26" t="str">
        <f aca="false">IF(A55="","",SUMIFS(請求台帳!$S$5:$S$504,請求台帳!$C$5:$C$504,A55,請求台帳!$V$5:$V$504,"&gt;=61"))</f>
        <v/>
      </c>
      <c r="I55" s="34" t="str">
        <f aca="false">IF(A55="","",COUNTIFS(請求台帳!$C$5:$C$504,A55,請求台帳!$B$5:$B$504,"&gt;="&amp;チェック!$C$4,請求台帳!$B$5:$B$504,"&lt;="&amp;EOMONTH(チェック!$C$4,0),請求台帳!$T$5:$T$504,"&lt;&gt;取消"))</f>
        <v/>
      </c>
      <c r="J55" s="29" t="str">
        <f aca="false">IF(A55="","",IF(AND(取引先マスタ!G55="有",I55=0),"請求漏れ候補",""))</f>
        <v/>
      </c>
    </row>
    <row r="56" customFormat="false" ht="15" hidden="false" customHeight="false" outlineLevel="0" collapsed="false">
      <c r="A56" s="32" t="str">
        <f aca="false">IF(取引先マスタ!A56="","",取引先マスタ!A56)</f>
        <v/>
      </c>
      <c r="B56" s="32" t="str">
        <f aca="false">IF(A56="","",取引先マスタ!B56)</f>
        <v/>
      </c>
      <c r="C56" s="32" t="str">
        <f aca="false">IF(A56="","",取引先マスタ!J56&amp;"")</f>
        <v/>
      </c>
      <c r="D56" s="26" t="str">
        <f aca="false">IF(A56="","",SUMIFS(請求台帳!$S$5:$S$504,請求台帳!$C$5:$C$504,A56,請求台帳!$T$5:$T$504,"&lt;&gt;取消"))</f>
        <v/>
      </c>
      <c r="E56" s="26" t="str">
        <f aca="false">IF(A56="","",D56-SUM(F56:H56))</f>
        <v/>
      </c>
      <c r="F56" s="26" t="str">
        <f aca="false">IF(A56="","",SUMIFS(請求台帳!$S$5:$S$504,請求台帳!$C$5:$C$504,A56,請求台帳!$V$5:$V$504,"&gt;=1",請求台帳!$V$5:$V$504,"&lt;=30"))</f>
        <v/>
      </c>
      <c r="G56" s="26" t="str">
        <f aca="false">IF(A56="","",SUMIFS(請求台帳!$S$5:$S$504,請求台帳!$C$5:$C$504,A56,請求台帳!$V$5:$V$504,"&gt;=31",請求台帳!$V$5:$V$504,"&lt;=60"))</f>
        <v/>
      </c>
      <c r="H56" s="26" t="str">
        <f aca="false">IF(A56="","",SUMIFS(請求台帳!$S$5:$S$504,請求台帳!$C$5:$C$504,A56,請求台帳!$V$5:$V$504,"&gt;=61"))</f>
        <v/>
      </c>
      <c r="I56" s="34" t="str">
        <f aca="false">IF(A56="","",COUNTIFS(請求台帳!$C$5:$C$504,A56,請求台帳!$B$5:$B$504,"&gt;="&amp;チェック!$C$4,請求台帳!$B$5:$B$504,"&lt;="&amp;EOMONTH(チェック!$C$4,0),請求台帳!$T$5:$T$504,"&lt;&gt;取消"))</f>
        <v/>
      </c>
      <c r="J56" s="29" t="str">
        <f aca="false">IF(A56="","",IF(AND(取引先マスタ!G56="有",I56=0),"請求漏れ候補",""))</f>
        <v/>
      </c>
    </row>
    <row r="57" customFormat="false" ht="15" hidden="false" customHeight="false" outlineLevel="0" collapsed="false">
      <c r="A57" s="32" t="str">
        <f aca="false">IF(取引先マスタ!A57="","",取引先マスタ!A57)</f>
        <v/>
      </c>
      <c r="B57" s="32" t="str">
        <f aca="false">IF(A57="","",取引先マスタ!B57)</f>
        <v/>
      </c>
      <c r="C57" s="32" t="str">
        <f aca="false">IF(A57="","",取引先マスタ!J57&amp;"")</f>
        <v/>
      </c>
      <c r="D57" s="26" t="str">
        <f aca="false">IF(A57="","",SUMIFS(請求台帳!$S$5:$S$504,請求台帳!$C$5:$C$504,A57,請求台帳!$T$5:$T$504,"&lt;&gt;取消"))</f>
        <v/>
      </c>
      <c r="E57" s="26" t="str">
        <f aca="false">IF(A57="","",D57-SUM(F57:H57))</f>
        <v/>
      </c>
      <c r="F57" s="26" t="str">
        <f aca="false">IF(A57="","",SUMIFS(請求台帳!$S$5:$S$504,請求台帳!$C$5:$C$504,A57,請求台帳!$V$5:$V$504,"&gt;=1",請求台帳!$V$5:$V$504,"&lt;=30"))</f>
        <v/>
      </c>
      <c r="G57" s="26" t="str">
        <f aca="false">IF(A57="","",SUMIFS(請求台帳!$S$5:$S$504,請求台帳!$C$5:$C$504,A57,請求台帳!$V$5:$V$504,"&gt;=31",請求台帳!$V$5:$V$504,"&lt;=60"))</f>
        <v/>
      </c>
      <c r="H57" s="26" t="str">
        <f aca="false">IF(A57="","",SUMIFS(請求台帳!$S$5:$S$504,請求台帳!$C$5:$C$504,A57,請求台帳!$V$5:$V$504,"&gt;=61"))</f>
        <v/>
      </c>
      <c r="I57" s="34" t="str">
        <f aca="false">IF(A57="","",COUNTIFS(請求台帳!$C$5:$C$504,A57,請求台帳!$B$5:$B$504,"&gt;="&amp;チェック!$C$4,請求台帳!$B$5:$B$504,"&lt;="&amp;EOMONTH(チェック!$C$4,0),請求台帳!$T$5:$T$504,"&lt;&gt;取消"))</f>
        <v/>
      </c>
      <c r="J57" s="29" t="str">
        <f aca="false">IF(A57="","",IF(AND(取引先マスタ!G57="有",I57=0),"請求漏れ候補",""))</f>
        <v/>
      </c>
    </row>
    <row r="58" customFormat="false" ht="15" hidden="false" customHeight="false" outlineLevel="0" collapsed="false">
      <c r="A58" s="32" t="str">
        <f aca="false">IF(取引先マスタ!A58="","",取引先マスタ!A58)</f>
        <v/>
      </c>
      <c r="B58" s="32" t="str">
        <f aca="false">IF(A58="","",取引先マスタ!B58)</f>
        <v/>
      </c>
      <c r="C58" s="32" t="str">
        <f aca="false">IF(A58="","",取引先マスタ!J58&amp;"")</f>
        <v/>
      </c>
      <c r="D58" s="26" t="str">
        <f aca="false">IF(A58="","",SUMIFS(請求台帳!$S$5:$S$504,請求台帳!$C$5:$C$504,A58,請求台帳!$T$5:$T$504,"&lt;&gt;取消"))</f>
        <v/>
      </c>
      <c r="E58" s="26" t="str">
        <f aca="false">IF(A58="","",D58-SUM(F58:H58))</f>
        <v/>
      </c>
      <c r="F58" s="26" t="str">
        <f aca="false">IF(A58="","",SUMIFS(請求台帳!$S$5:$S$504,請求台帳!$C$5:$C$504,A58,請求台帳!$V$5:$V$504,"&gt;=1",請求台帳!$V$5:$V$504,"&lt;=30"))</f>
        <v/>
      </c>
      <c r="G58" s="26" t="str">
        <f aca="false">IF(A58="","",SUMIFS(請求台帳!$S$5:$S$504,請求台帳!$C$5:$C$504,A58,請求台帳!$V$5:$V$504,"&gt;=31",請求台帳!$V$5:$V$504,"&lt;=60"))</f>
        <v/>
      </c>
      <c r="H58" s="26" t="str">
        <f aca="false">IF(A58="","",SUMIFS(請求台帳!$S$5:$S$504,請求台帳!$C$5:$C$504,A58,請求台帳!$V$5:$V$504,"&gt;=61"))</f>
        <v/>
      </c>
      <c r="I58" s="34" t="str">
        <f aca="false">IF(A58="","",COUNTIFS(請求台帳!$C$5:$C$504,A58,請求台帳!$B$5:$B$504,"&gt;="&amp;チェック!$C$4,請求台帳!$B$5:$B$504,"&lt;="&amp;EOMONTH(チェック!$C$4,0),請求台帳!$T$5:$T$504,"&lt;&gt;取消"))</f>
        <v/>
      </c>
      <c r="J58" s="29" t="str">
        <f aca="false">IF(A58="","",IF(AND(取引先マスタ!G58="有",I58=0),"請求漏れ候補",""))</f>
        <v/>
      </c>
    </row>
    <row r="59" customFormat="false" ht="15" hidden="false" customHeight="false" outlineLevel="0" collapsed="false">
      <c r="A59" s="32" t="str">
        <f aca="false">IF(取引先マスタ!A59="","",取引先マスタ!A59)</f>
        <v/>
      </c>
      <c r="B59" s="32" t="str">
        <f aca="false">IF(A59="","",取引先マスタ!B59)</f>
        <v/>
      </c>
      <c r="C59" s="32" t="str">
        <f aca="false">IF(A59="","",取引先マスタ!J59&amp;"")</f>
        <v/>
      </c>
      <c r="D59" s="26" t="str">
        <f aca="false">IF(A59="","",SUMIFS(請求台帳!$S$5:$S$504,請求台帳!$C$5:$C$504,A59,請求台帳!$T$5:$T$504,"&lt;&gt;取消"))</f>
        <v/>
      </c>
      <c r="E59" s="26" t="str">
        <f aca="false">IF(A59="","",D59-SUM(F59:H59))</f>
        <v/>
      </c>
      <c r="F59" s="26" t="str">
        <f aca="false">IF(A59="","",SUMIFS(請求台帳!$S$5:$S$504,請求台帳!$C$5:$C$504,A59,請求台帳!$V$5:$V$504,"&gt;=1",請求台帳!$V$5:$V$504,"&lt;=30"))</f>
        <v/>
      </c>
      <c r="G59" s="26" t="str">
        <f aca="false">IF(A59="","",SUMIFS(請求台帳!$S$5:$S$504,請求台帳!$C$5:$C$504,A59,請求台帳!$V$5:$V$504,"&gt;=31",請求台帳!$V$5:$V$504,"&lt;=60"))</f>
        <v/>
      </c>
      <c r="H59" s="26" t="str">
        <f aca="false">IF(A59="","",SUMIFS(請求台帳!$S$5:$S$504,請求台帳!$C$5:$C$504,A59,請求台帳!$V$5:$V$504,"&gt;=61"))</f>
        <v/>
      </c>
      <c r="I59" s="34" t="str">
        <f aca="false">IF(A59="","",COUNTIFS(請求台帳!$C$5:$C$504,A59,請求台帳!$B$5:$B$504,"&gt;="&amp;チェック!$C$4,請求台帳!$B$5:$B$504,"&lt;="&amp;EOMONTH(チェック!$C$4,0),請求台帳!$T$5:$T$504,"&lt;&gt;取消"))</f>
        <v/>
      </c>
      <c r="J59" s="29" t="str">
        <f aca="false">IF(A59="","",IF(AND(取引先マスタ!G59="有",I59=0),"請求漏れ候補",""))</f>
        <v/>
      </c>
    </row>
    <row r="60" customFormat="false" ht="15" hidden="false" customHeight="false" outlineLevel="0" collapsed="false">
      <c r="A60" s="32" t="str">
        <f aca="false">IF(取引先マスタ!A60="","",取引先マスタ!A60)</f>
        <v/>
      </c>
      <c r="B60" s="32" t="str">
        <f aca="false">IF(A60="","",取引先マスタ!B60)</f>
        <v/>
      </c>
      <c r="C60" s="32" t="str">
        <f aca="false">IF(A60="","",取引先マスタ!J60&amp;"")</f>
        <v/>
      </c>
      <c r="D60" s="26" t="str">
        <f aca="false">IF(A60="","",SUMIFS(請求台帳!$S$5:$S$504,請求台帳!$C$5:$C$504,A60,請求台帳!$T$5:$T$504,"&lt;&gt;取消"))</f>
        <v/>
      </c>
      <c r="E60" s="26" t="str">
        <f aca="false">IF(A60="","",D60-SUM(F60:H60))</f>
        <v/>
      </c>
      <c r="F60" s="26" t="str">
        <f aca="false">IF(A60="","",SUMIFS(請求台帳!$S$5:$S$504,請求台帳!$C$5:$C$504,A60,請求台帳!$V$5:$V$504,"&gt;=1",請求台帳!$V$5:$V$504,"&lt;=30"))</f>
        <v/>
      </c>
      <c r="G60" s="26" t="str">
        <f aca="false">IF(A60="","",SUMIFS(請求台帳!$S$5:$S$504,請求台帳!$C$5:$C$504,A60,請求台帳!$V$5:$V$504,"&gt;=31",請求台帳!$V$5:$V$504,"&lt;=60"))</f>
        <v/>
      </c>
      <c r="H60" s="26" t="str">
        <f aca="false">IF(A60="","",SUMIFS(請求台帳!$S$5:$S$504,請求台帳!$C$5:$C$504,A60,請求台帳!$V$5:$V$504,"&gt;=61"))</f>
        <v/>
      </c>
      <c r="I60" s="34" t="str">
        <f aca="false">IF(A60="","",COUNTIFS(請求台帳!$C$5:$C$504,A60,請求台帳!$B$5:$B$504,"&gt;="&amp;チェック!$C$4,請求台帳!$B$5:$B$504,"&lt;="&amp;EOMONTH(チェック!$C$4,0),請求台帳!$T$5:$T$504,"&lt;&gt;取消"))</f>
        <v/>
      </c>
      <c r="J60" s="29" t="str">
        <f aca="false">IF(A60="","",IF(AND(取引先マスタ!G60="有",I60=0),"請求漏れ候補",""))</f>
        <v/>
      </c>
    </row>
    <row r="61" customFormat="false" ht="15" hidden="false" customHeight="false" outlineLevel="0" collapsed="false">
      <c r="A61" s="32" t="str">
        <f aca="false">IF(取引先マスタ!A61="","",取引先マスタ!A61)</f>
        <v/>
      </c>
      <c r="B61" s="32" t="str">
        <f aca="false">IF(A61="","",取引先マスタ!B61)</f>
        <v/>
      </c>
      <c r="C61" s="32" t="str">
        <f aca="false">IF(A61="","",取引先マスタ!J61&amp;"")</f>
        <v/>
      </c>
      <c r="D61" s="26" t="str">
        <f aca="false">IF(A61="","",SUMIFS(請求台帳!$S$5:$S$504,請求台帳!$C$5:$C$504,A61,請求台帳!$T$5:$T$504,"&lt;&gt;取消"))</f>
        <v/>
      </c>
      <c r="E61" s="26" t="str">
        <f aca="false">IF(A61="","",D61-SUM(F61:H61))</f>
        <v/>
      </c>
      <c r="F61" s="26" t="str">
        <f aca="false">IF(A61="","",SUMIFS(請求台帳!$S$5:$S$504,請求台帳!$C$5:$C$504,A61,請求台帳!$V$5:$V$504,"&gt;=1",請求台帳!$V$5:$V$504,"&lt;=30"))</f>
        <v/>
      </c>
      <c r="G61" s="26" t="str">
        <f aca="false">IF(A61="","",SUMIFS(請求台帳!$S$5:$S$504,請求台帳!$C$5:$C$504,A61,請求台帳!$V$5:$V$504,"&gt;=31",請求台帳!$V$5:$V$504,"&lt;=60"))</f>
        <v/>
      </c>
      <c r="H61" s="26" t="str">
        <f aca="false">IF(A61="","",SUMIFS(請求台帳!$S$5:$S$504,請求台帳!$C$5:$C$504,A61,請求台帳!$V$5:$V$504,"&gt;=61"))</f>
        <v/>
      </c>
      <c r="I61" s="34" t="str">
        <f aca="false">IF(A61="","",COUNTIFS(請求台帳!$C$5:$C$504,A61,請求台帳!$B$5:$B$504,"&gt;="&amp;チェック!$C$4,請求台帳!$B$5:$B$504,"&lt;="&amp;EOMONTH(チェック!$C$4,0),請求台帳!$T$5:$T$504,"&lt;&gt;取消"))</f>
        <v/>
      </c>
      <c r="J61" s="29" t="str">
        <f aca="false">IF(A61="","",IF(AND(取引先マスタ!G61="有",I61=0),"請求漏れ候補",""))</f>
        <v/>
      </c>
    </row>
    <row r="62" customFormat="false" ht="15" hidden="false" customHeight="false" outlineLevel="0" collapsed="false">
      <c r="A62" s="32" t="str">
        <f aca="false">IF(取引先マスタ!A62="","",取引先マスタ!A62)</f>
        <v/>
      </c>
      <c r="B62" s="32" t="str">
        <f aca="false">IF(A62="","",取引先マスタ!B62)</f>
        <v/>
      </c>
      <c r="C62" s="32" t="str">
        <f aca="false">IF(A62="","",取引先マスタ!J62&amp;"")</f>
        <v/>
      </c>
      <c r="D62" s="26" t="str">
        <f aca="false">IF(A62="","",SUMIFS(請求台帳!$S$5:$S$504,請求台帳!$C$5:$C$504,A62,請求台帳!$T$5:$T$504,"&lt;&gt;取消"))</f>
        <v/>
      </c>
      <c r="E62" s="26" t="str">
        <f aca="false">IF(A62="","",D62-SUM(F62:H62))</f>
        <v/>
      </c>
      <c r="F62" s="26" t="str">
        <f aca="false">IF(A62="","",SUMIFS(請求台帳!$S$5:$S$504,請求台帳!$C$5:$C$504,A62,請求台帳!$V$5:$V$504,"&gt;=1",請求台帳!$V$5:$V$504,"&lt;=30"))</f>
        <v/>
      </c>
      <c r="G62" s="26" t="str">
        <f aca="false">IF(A62="","",SUMIFS(請求台帳!$S$5:$S$504,請求台帳!$C$5:$C$504,A62,請求台帳!$V$5:$V$504,"&gt;=31",請求台帳!$V$5:$V$504,"&lt;=60"))</f>
        <v/>
      </c>
      <c r="H62" s="26" t="str">
        <f aca="false">IF(A62="","",SUMIFS(請求台帳!$S$5:$S$504,請求台帳!$C$5:$C$504,A62,請求台帳!$V$5:$V$504,"&gt;=61"))</f>
        <v/>
      </c>
      <c r="I62" s="34" t="str">
        <f aca="false">IF(A62="","",COUNTIFS(請求台帳!$C$5:$C$504,A62,請求台帳!$B$5:$B$504,"&gt;="&amp;チェック!$C$4,請求台帳!$B$5:$B$504,"&lt;="&amp;EOMONTH(チェック!$C$4,0),請求台帳!$T$5:$T$504,"&lt;&gt;取消"))</f>
        <v/>
      </c>
      <c r="J62" s="29" t="str">
        <f aca="false">IF(A62="","",IF(AND(取引先マスタ!G62="有",I62=0),"請求漏れ候補",""))</f>
        <v/>
      </c>
    </row>
    <row r="63" customFormat="false" ht="15" hidden="false" customHeight="false" outlineLevel="0" collapsed="false">
      <c r="A63" s="32" t="str">
        <f aca="false">IF(取引先マスタ!A63="","",取引先マスタ!A63)</f>
        <v/>
      </c>
      <c r="B63" s="32" t="str">
        <f aca="false">IF(A63="","",取引先マスタ!B63)</f>
        <v/>
      </c>
      <c r="C63" s="32" t="str">
        <f aca="false">IF(A63="","",取引先マスタ!J63&amp;"")</f>
        <v/>
      </c>
      <c r="D63" s="26" t="str">
        <f aca="false">IF(A63="","",SUMIFS(請求台帳!$S$5:$S$504,請求台帳!$C$5:$C$504,A63,請求台帳!$T$5:$T$504,"&lt;&gt;取消"))</f>
        <v/>
      </c>
      <c r="E63" s="26" t="str">
        <f aca="false">IF(A63="","",D63-SUM(F63:H63))</f>
        <v/>
      </c>
      <c r="F63" s="26" t="str">
        <f aca="false">IF(A63="","",SUMIFS(請求台帳!$S$5:$S$504,請求台帳!$C$5:$C$504,A63,請求台帳!$V$5:$V$504,"&gt;=1",請求台帳!$V$5:$V$504,"&lt;=30"))</f>
        <v/>
      </c>
      <c r="G63" s="26" t="str">
        <f aca="false">IF(A63="","",SUMIFS(請求台帳!$S$5:$S$504,請求台帳!$C$5:$C$504,A63,請求台帳!$V$5:$V$504,"&gt;=31",請求台帳!$V$5:$V$504,"&lt;=60"))</f>
        <v/>
      </c>
      <c r="H63" s="26" t="str">
        <f aca="false">IF(A63="","",SUMIFS(請求台帳!$S$5:$S$504,請求台帳!$C$5:$C$504,A63,請求台帳!$V$5:$V$504,"&gt;=61"))</f>
        <v/>
      </c>
      <c r="I63" s="34" t="str">
        <f aca="false">IF(A63="","",COUNTIFS(請求台帳!$C$5:$C$504,A63,請求台帳!$B$5:$B$504,"&gt;="&amp;チェック!$C$4,請求台帳!$B$5:$B$504,"&lt;="&amp;EOMONTH(チェック!$C$4,0),請求台帳!$T$5:$T$504,"&lt;&gt;取消"))</f>
        <v/>
      </c>
      <c r="J63" s="29" t="str">
        <f aca="false">IF(A63="","",IF(AND(取引先マスタ!G63="有",I63=0),"請求漏れ候補",""))</f>
        <v/>
      </c>
    </row>
    <row r="64" customFormat="false" ht="15" hidden="false" customHeight="false" outlineLevel="0" collapsed="false">
      <c r="A64" s="32" t="str">
        <f aca="false">IF(取引先マスタ!A64="","",取引先マスタ!A64)</f>
        <v/>
      </c>
      <c r="B64" s="32" t="str">
        <f aca="false">IF(A64="","",取引先マスタ!B64)</f>
        <v/>
      </c>
      <c r="C64" s="32" t="str">
        <f aca="false">IF(A64="","",取引先マスタ!J64&amp;"")</f>
        <v/>
      </c>
      <c r="D64" s="26" t="str">
        <f aca="false">IF(A64="","",SUMIFS(請求台帳!$S$5:$S$504,請求台帳!$C$5:$C$504,A64,請求台帳!$T$5:$T$504,"&lt;&gt;取消"))</f>
        <v/>
      </c>
      <c r="E64" s="26" t="str">
        <f aca="false">IF(A64="","",D64-SUM(F64:H64))</f>
        <v/>
      </c>
      <c r="F64" s="26" t="str">
        <f aca="false">IF(A64="","",SUMIFS(請求台帳!$S$5:$S$504,請求台帳!$C$5:$C$504,A64,請求台帳!$V$5:$V$504,"&gt;=1",請求台帳!$V$5:$V$504,"&lt;=30"))</f>
        <v/>
      </c>
      <c r="G64" s="26" t="str">
        <f aca="false">IF(A64="","",SUMIFS(請求台帳!$S$5:$S$504,請求台帳!$C$5:$C$504,A64,請求台帳!$V$5:$V$504,"&gt;=31",請求台帳!$V$5:$V$504,"&lt;=60"))</f>
        <v/>
      </c>
      <c r="H64" s="26" t="str">
        <f aca="false">IF(A64="","",SUMIFS(請求台帳!$S$5:$S$504,請求台帳!$C$5:$C$504,A64,請求台帳!$V$5:$V$504,"&gt;=61"))</f>
        <v/>
      </c>
      <c r="I64" s="34" t="str">
        <f aca="false">IF(A64="","",COUNTIFS(請求台帳!$C$5:$C$504,A64,請求台帳!$B$5:$B$504,"&gt;="&amp;チェック!$C$4,請求台帳!$B$5:$B$504,"&lt;="&amp;EOMONTH(チェック!$C$4,0),請求台帳!$T$5:$T$504,"&lt;&gt;取消"))</f>
        <v/>
      </c>
      <c r="J64" s="29" t="str">
        <f aca="false">IF(A64="","",IF(AND(取引先マスタ!G64="有",I64=0),"請求漏れ候補",""))</f>
        <v/>
      </c>
    </row>
    <row r="65" customFormat="false" ht="15" hidden="false" customHeight="false" outlineLevel="0" collapsed="false">
      <c r="A65" s="32" t="str">
        <f aca="false">IF(取引先マスタ!A65="","",取引先マスタ!A65)</f>
        <v/>
      </c>
      <c r="B65" s="32" t="str">
        <f aca="false">IF(A65="","",取引先マスタ!B65)</f>
        <v/>
      </c>
      <c r="C65" s="32" t="str">
        <f aca="false">IF(A65="","",取引先マスタ!J65&amp;"")</f>
        <v/>
      </c>
      <c r="D65" s="26" t="str">
        <f aca="false">IF(A65="","",SUMIFS(請求台帳!$S$5:$S$504,請求台帳!$C$5:$C$504,A65,請求台帳!$T$5:$T$504,"&lt;&gt;取消"))</f>
        <v/>
      </c>
      <c r="E65" s="26" t="str">
        <f aca="false">IF(A65="","",D65-SUM(F65:H65))</f>
        <v/>
      </c>
      <c r="F65" s="26" t="str">
        <f aca="false">IF(A65="","",SUMIFS(請求台帳!$S$5:$S$504,請求台帳!$C$5:$C$504,A65,請求台帳!$V$5:$V$504,"&gt;=1",請求台帳!$V$5:$V$504,"&lt;=30"))</f>
        <v/>
      </c>
      <c r="G65" s="26" t="str">
        <f aca="false">IF(A65="","",SUMIFS(請求台帳!$S$5:$S$504,請求台帳!$C$5:$C$504,A65,請求台帳!$V$5:$V$504,"&gt;=31",請求台帳!$V$5:$V$504,"&lt;=60"))</f>
        <v/>
      </c>
      <c r="H65" s="26" t="str">
        <f aca="false">IF(A65="","",SUMIFS(請求台帳!$S$5:$S$504,請求台帳!$C$5:$C$504,A65,請求台帳!$V$5:$V$504,"&gt;=61"))</f>
        <v/>
      </c>
      <c r="I65" s="34" t="str">
        <f aca="false">IF(A65="","",COUNTIFS(請求台帳!$C$5:$C$504,A65,請求台帳!$B$5:$B$504,"&gt;="&amp;チェック!$C$4,請求台帳!$B$5:$B$504,"&lt;="&amp;EOMONTH(チェック!$C$4,0),請求台帳!$T$5:$T$504,"&lt;&gt;取消"))</f>
        <v/>
      </c>
      <c r="J65" s="29" t="str">
        <f aca="false">IF(A65="","",IF(AND(取引先マスタ!G65="有",I65=0),"請求漏れ候補",""))</f>
        <v/>
      </c>
    </row>
    <row r="66" customFormat="false" ht="15" hidden="false" customHeight="false" outlineLevel="0" collapsed="false">
      <c r="A66" s="32" t="str">
        <f aca="false">IF(取引先マスタ!A66="","",取引先マスタ!A66)</f>
        <v/>
      </c>
      <c r="B66" s="32" t="str">
        <f aca="false">IF(A66="","",取引先マスタ!B66)</f>
        <v/>
      </c>
      <c r="C66" s="32" t="str">
        <f aca="false">IF(A66="","",取引先マスタ!J66&amp;"")</f>
        <v/>
      </c>
      <c r="D66" s="26" t="str">
        <f aca="false">IF(A66="","",SUMIFS(請求台帳!$S$5:$S$504,請求台帳!$C$5:$C$504,A66,請求台帳!$T$5:$T$504,"&lt;&gt;取消"))</f>
        <v/>
      </c>
      <c r="E66" s="26" t="str">
        <f aca="false">IF(A66="","",D66-SUM(F66:H66))</f>
        <v/>
      </c>
      <c r="F66" s="26" t="str">
        <f aca="false">IF(A66="","",SUMIFS(請求台帳!$S$5:$S$504,請求台帳!$C$5:$C$504,A66,請求台帳!$V$5:$V$504,"&gt;=1",請求台帳!$V$5:$V$504,"&lt;=30"))</f>
        <v/>
      </c>
      <c r="G66" s="26" t="str">
        <f aca="false">IF(A66="","",SUMIFS(請求台帳!$S$5:$S$504,請求台帳!$C$5:$C$504,A66,請求台帳!$V$5:$V$504,"&gt;=31",請求台帳!$V$5:$V$504,"&lt;=60"))</f>
        <v/>
      </c>
      <c r="H66" s="26" t="str">
        <f aca="false">IF(A66="","",SUMIFS(請求台帳!$S$5:$S$504,請求台帳!$C$5:$C$504,A66,請求台帳!$V$5:$V$504,"&gt;=61"))</f>
        <v/>
      </c>
      <c r="I66" s="34" t="str">
        <f aca="false">IF(A66="","",COUNTIFS(請求台帳!$C$5:$C$504,A66,請求台帳!$B$5:$B$504,"&gt;="&amp;チェック!$C$4,請求台帳!$B$5:$B$504,"&lt;="&amp;EOMONTH(チェック!$C$4,0),請求台帳!$T$5:$T$504,"&lt;&gt;取消"))</f>
        <v/>
      </c>
      <c r="J66" s="29" t="str">
        <f aca="false">IF(A66="","",IF(AND(取引先マスタ!G66="有",I66=0),"請求漏れ候補",""))</f>
        <v/>
      </c>
    </row>
    <row r="67" customFormat="false" ht="15" hidden="false" customHeight="false" outlineLevel="0" collapsed="false">
      <c r="A67" s="32" t="str">
        <f aca="false">IF(取引先マスタ!A67="","",取引先マスタ!A67)</f>
        <v/>
      </c>
      <c r="B67" s="32" t="str">
        <f aca="false">IF(A67="","",取引先マスタ!B67)</f>
        <v/>
      </c>
      <c r="C67" s="32" t="str">
        <f aca="false">IF(A67="","",取引先マスタ!J67&amp;"")</f>
        <v/>
      </c>
      <c r="D67" s="26" t="str">
        <f aca="false">IF(A67="","",SUMIFS(請求台帳!$S$5:$S$504,請求台帳!$C$5:$C$504,A67,請求台帳!$T$5:$T$504,"&lt;&gt;取消"))</f>
        <v/>
      </c>
      <c r="E67" s="26" t="str">
        <f aca="false">IF(A67="","",D67-SUM(F67:H67))</f>
        <v/>
      </c>
      <c r="F67" s="26" t="str">
        <f aca="false">IF(A67="","",SUMIFS(請求台帳!$S$5:$S$504,請求台帳!$C$5:$C$504,A67,請求台帳!$V$5:$V$504,"&gt;=1",請求台帳!$V$5:$V$504,"&lt;=30"))</f>
        <v/>
      </c>
      <c r="G67" s="26" t="str">
        <f aca="false">IF(A67="","",SUMIFS(請求台帳!$S$5:$S$504,請求台帳!$C$5:$C$504,A67,請求台帳!$V$5:$V$504,"&gt;=31",請求台帳!$V$5:$V$504,"&lt;=60"))</f>
        <v/>
      </c>
      <c r="H67" s="26" t="str">
        <f aca="false">IF(A67="","",SUMIFS(請求台帳!$S$5:$S$504,請求台帳!$C$5:$C$504,A67,請求台帳!$V$5:$V$504,"&gt;=61"))</f>
        <v/>
      </c>
      <c r="I67" s="34" t="str">
        <f aca="false">IF(A67="","",COUNTIFS(請求台帳!$C$5:$C$504,A67,請求台帳!$B$5:$B$504,"&gt;="&amp;チェック!$C$4,請求台帳!$B$5:$B$504,"&lt;="&amp;EOMONTH(チェック!$C$4,0),請求台帳!$T$5:$T$504,"&lt;&gt;取消"))</f>
        <v/>
      </c>
      <c r="J67" s="29" t="str">
        <f aca="false">IF(A67="","",IF(AND(取引先マスタ!G67="有",I67=0),"請求漏れ候補",""))</f>
        <v/>
      </c>
    </row>
    <row r="68" customFormat="false" ht="15" hidden="false" customHeight="false" outlineLevel="0" collapsed="false">
      <c r="A68" s="32" t="str">
        <f aca="false">IF(取引先マスタ!A68="","",取引先マスタ!A68)</f>
        <v/>
      </c>
      <c r="B68" s="32" t="str">
        <f aca="false">IF(A68="","",取引先マスタ!B68)</f>
        <v/>
      </c>
      <c r="C68" s="32" t="str">
        <f aca="false">IF(A68="","",取引先マスタ!J68&amp;"")</f>
        <v/>
      </c>
      <c r="D68" s="26" t="str">
        <f aca="false">IF(A68="","",SUMIFS(請求台帳!$S$5:$S$504,請求台帳!$C$5:$C$504,A68,請求台帳!$T$5:$T$504,"&lt;&gt;取消"))</f>
        <v/>
      </c>
      <c r="E68" s="26" t="str">
        <f aca="false">IF(A68="","",D68-SUM(F68:H68))</f>
        <v/>
      </c>
      <c r="F68" s="26" t="str">
        <f aca="false">IF(A68="","",SUMIFS(請求台帳!$S$5:$S$504,請求台帳!$C$5:$C$504,A68,請求台帳!$V$5:$V$504,"&gt;=1",請求台帳!$V$5:$V$504,"&lt;=30"))</f>
        <v/>
      </c>
      <c r="G68" s="26" t="str">
        <f aca="false">IF(A68="","",SUMIFS(請求台帳!$S$5:$S$504,請求台帳!$C$5:$C$504,A68,請求台帳!$V$5:$V$504,"&gt;=31",請求台帳!$V$5:$V$504,"&lt;=60"))</f>
        <v/>
      </c>
      <c r="H68" s="26" t="str">
        <f aca="false">IF(A68="","",SUMIFS(請求台帳!$S$5:$S$504,請求台帳!$C$5:$C$504,A68,請求台帳!$V$5:$V$504,"&gt;=61"))</f>
        <v/>
      </c>
      <c r="I68" s="34" t="str">
        <f aca="false">IF(A68="","",COUNTIFS(請求台帳!$C$5:$C$504,A68,請求台帳!$B$5:$B$504,"&gt;="&amp;チェック!$C$4,請求台帳!$B$5:$B$504,"&lt;="&amp;EOMONTH(チェック!$C$4,0),請求台帳!$T$5:$T$504,"&lt;&gt;取消"))</f>
        <v/>
      </c>
      <c r="J68" s="29" t="str">
        <f aca="false">IF(A68="","",IF(AND(取引先マスタ!G68="有",I68=0),"請求漏れ候補",""))</f>
        <v/>
      </c>
    </row>
    <row r="69" customFormat="false" ht="15" hidden="false" customHeight="false" outlineLevel="0" collapsed="false">
      <c r="A69" s="32" t="str">
        <f aca="false">IF(取引先マスタ!A69="","",取引先マスタ!A69)</f>
        <v/>
      </c>
      <c r="B69" s="32" t="str">
        <f aca="false">IF(A69="","",取引先マスタ!B69)</f>
        <v/>
      </c>
      <c r="C69" s="32" t="str">
        <f aca="false">IF(A69="","",取引先マスタ!J69&amp;"")</f>
        <v/>
      </c>
      <c r="D69" s="26" t="str">
        <f aca="false">IF(A69="","",SUMIFS(請求台帳!$S$5:$S$504,請求台帳!$C$5:$C$504,A69,請求台帳!$T$5:$T$504,"&lt;&gt;取消"))</f>
        <v/>
      </c>
      <c r="E69" s="26" t="str">
        <f aca="false">IF(A69="","",D69-SUM(F69:H69))</f>
        <v/>
      </c>
      <c r="F69" s="26" t="str">
        <f aca="false">IF(A69="","",SUMIFS(請求台帳!$S$5:$S$504,請求台帳!$C$5:$C$504,A69,請求台帳!$V$5:$V$504,"&gt;=1",請求台帳!$V$5:$V$504,"&lt;=30"))</f>
        <v/>
      </c>
      <c r="G69" s="26" t="str">
        <f aca="false">IF(A69="","",SUMIFS(請求台帳!$S$5:$S$504,請求台帳!$C$5:$C$504,A69,請求台帳!$V$5:$V$504,"&gt;=31",請求台帳!$V$5:$V$504,"&lt;=60"))</f>
        <v/>
      </c>
      <c r="H69" s="26" t="str">
        <f aca="false">IF(A69="","",SUMIFS(請求台帳!$S$5:$S$504,請求台帳!$C$5:$C$504,A69,請求台帳!$V$5:$V$504,"&gt;=61"))</f>
        <v/>
      </c>
      <c r="I69" s="34" t="str">
        <f aca="false">IF(A69="","",COUNTIFS(請求台帳!$C$5:$C$504,A69,請求台帳!$B$5:$B$504,"&gt;="&amp;チェック!$C$4,請求台帳!$B$5:$B$504,"&lt;="&amp;EOMONTH(チェック!$C$4,0),請求台帳!$T$5:$T$504,"&lt;&gt;取消"))</f>
        <v/>
      </c>
      <c r="J69" s="29" t="str">
        <f aca="false">IF(A69="","",IF(AND(取引先マスタ!G69="有",I69=0),"請求漏れ候補",""))</f>
        <v/>
      </c>
    </row>
    <row r="70" customFormat="false" ht="15" hidden="false" customHeight="false" outlineLevel="0" collapsed="false">
      <c r="A70" s="32" t="str">
        <f aca="false">IF(取引先マスタ!A70="","",取引先マスタ!A70)</f>
        <v/>
      </c>
      <c r="B70" s="32" t="str">
        <f aca="false">IF(A70="","",取引先マスタ!B70)</f>
        <v/>
      </c>
      <c r="C70" s="32" t="str">
        <f aca="false">IF(A70="","",取引先マスタ!J70&amp;"")</f>
        <v/>
      </c>
      <c r="D70" s="26" t="str">
        <f aca="false">IF(A70="","",SUMIFS(請求台帳!$S$5:$S$504,請求台帳!$C$5:$C$504,A70,請求台帳!$T$5:$T$504,"&lt;&gt;取消"))</f>
        <v/>
      </c>
      <c r="E70" s="26" t="str">
        <f aca="false">IF(A70="","",D70-SUM(F70:H70))</f>
        <v/>
      </c>
      <c r="F70" s="26" t="str">
        <f aca="false">IF(A70="","",SUMIFS(請求台帳!$S$5:$S$504,請求台帳!$C$5:$C$504,A70,請求台帳!$V$5:$V$504,"&gt;=1",請求台帳!$V$5:$V$504,"&lt;=30"))</f>
        <v/>
      </c>
      <c r="G70" s="26" t="str">
        <f aca="false">IF(A70="","",SUMIFS(請求台帳!$S$5:$S$504,請求台帳!$C$5:$C$504,A70,請求台帳!$V$5:$V$504,"&gt;=31",請求台帳!$V$5:$V$504,"&lt;=60"))</f>
        <v/>
      </c>
      <c r="H70" s="26" t="str">
        <f aca="false">IF(A70="","",SUMIFS(請求台帳!$S$5:$S$504,請求台帳!$C$5:$C$504,A70,請求台帳!$V$5:$V$504,"&gt;=61"))</f>
        <v/>
      </c>
      <c r="I70" s="34" t="str">
        <f aca="false">IF(A70="","",COUNTIFS(請求台帳!$C$5:$C$504,A70,請求台帳!$B$5:$B$504,"&gt;="&amp;チェック!$C$4,請求台帳!$B$5:$B$504,"&lt;="&amp;EOMONTH(チェック!$C$4,0),請求台帳!$T$5:$T$504,"&lt;&gt;取消"))</f>
        <v/>
      </c>
      <c r="J70" s="29" t="str">
        <f aca="false">IF(A70="","",IF(AND(取引先マスタ!G70="有",I70=0),"請求漏れ候補",""))</f>
        <v/>
      </c>
    </row>
    <row r="71" customFormat="false" ht="15" hidden="false" customHeight="false" outlineLevel="0" collapsed="false">
      <c r="A71" s="32" t="str">
        <f aca="false">IF(取引先マスタ!A71="","",取引先マスタ!A71)</f>
        <v/>
      </c>
      <c r="B71" s="32" t="str">
        <f aca="false">IF(A71="","",取引先マスタ!B71)</f>
        <v/>
      </c>
      <c r="C71" s="32" t="str">
        <f aca="false">IF(A71="","",取引先マスタ!J71&amp;"")</f>
        <v/>
      </c>
      <c r="D71" s="26" t="str">
        <f aca="false">IF(A71="","",SUMIFS(請求台帳!$S$5:$S$504,請求台帳!$C$5:$C$504,A71,請求台帳!$T$5:$T$504,"&lt;&gt;取消"))</f>
        <v/>
      </c>
      <c r="E71" s="26" t="str">
        <f aca="false">IF(A71="","",D71-SUM(F71:H71))</f>
        <v/>
      </c>
      <c r="F71" s="26" t="str">
        <f aca="false">IF(A71="","",SUMIFS(請求台帳!$S$5:$S$504,請求台帳!$C$5:$C$504,A71,請求台帳!$V$5:$V$504,"&gt;=1",請求台帳!$V$5:$V$504,"&lt;=30"))</f>
        <v/>
      </c>
      <c r="G71" s="26" t="str">
        <f aca="false">IF(A71="","",SUMIFS(請求台帳!$S$5:$S$504,請求台帳!$C$5:$C$504,A71,請求台帳!$V$5:$V$504,"&gt;=31",請求台帳!$V$5:$V$504,"&lt;=60"))</f>
        <v/>
      </c>
      <c r="H71" s="26" t="str">
        <f aca="false">IF(A71="","",SUMIFS(請求台帳!$S$5:$S$504,請求台帳!$C$5:$C$504,A71,請求台帳!$V$5:$V$504,"&gt;=61"))</f>
        <v/>
      </c>
      <c r="I71" s="34" t="str">
        <f aca="false">IF(A71="","",COUNTIFS(請求台帳!$C$5:$C$504,A71,請求台帳!$B$5:$B$504,"&gt;="&amp;チェック!$C$4,請求台帳!$B$5:$B$504,"&lt;="&amp;EOMONTH(チェック!$C$4,0),請求台帳!$T$5:$T$504,"&lt;&gt;取消"))</f>
        <v/>
      </c>
      <c r="J71" s="29" t="str">
        <f aca="false">IF(A71="","",IF(AND(取引先マスタ!G71="有",I71=0),"請求漏れ候補",""))</f>
        <v/>
      </c>
    </row>
    <row r="72" customFormat="false" ht="15" hidden="false" customHeight="false" outlineLevel="0" collapsed="false">
      <c r="A72" s="32" t="str">
        <f aca="false">IF(取引先マスタ!A72="","",取引先マスタ!A72)</f>
        <v/>
      </c>
      <c r="B72" s="32" t="str">
        <f aca="false">IF(A72="","",取引先マスタ!B72)</f>
        <v/>
      </c>
      <c r="C72" s="32" t="str">
        <f aca="false">IF(A72="","",取引先マスタ!J72&amp;"")</f>
        <v/>
      </c>
      <c r="D72" s="26" t="str">
        <f aca="false">IF(A72="","",SUMIFS(請求台帳!$S$5:$S$504,請求台帳!$C$5:$C$504,A72,請求台帳!$T$5:$T$504,"&lt;&gt;取消"))</f>
        <v/>
      </c>
      <c r="E72" s="26" t="str">
        <f aca="false">IF(A72="","",D72-SUM(F72:H72))</f>
        <v/>
      </c>
      <c r="F72" s="26" t="str">
        <f aca="false">IF(A72="","",SUMIFS(請求台帳!$S$5:$S$504,請求台帳!$C$5:$C$504,A72,請求台帳!$V$5:$V$504,"&gt;=1",請求台帳!$V$5:$V$504,"&lt;=30"))</f>
        <v/>
      </c>
      <c r="G72" s="26" t="str">
        <f aca="false">IF(A72="","",SUMIFS(請求台帳!$S$5:$S$504,請求台帳!$C$5:$C$504,A72,請求台帳!$V$5:$V$504,"&gt;=31",請求台帳!$V$5:$V$504,"&lt;=60"))</f>
        <v/>
      </c>
      <c r="H72" s="26" t="str">
        <f aca="false">IF(A72="","",SUMIFS(請求台帳!$S$5:$S$504,請求台帳!$C$5:$C$504,A72,請求台帳!$V$5:$V$504,"&gt;=61"))</f>
        <v/>
      </c>
      <c r="I72" s="34" t="str">
        <f aca="false">IF(A72="","",COUNTIFS(請求台帳!$C$5:$C$504,A72,請求台帳!$B$5:$B$504,"&gt;="&amp;チェック!$C$4,請求台帳!$B$5:$B$504,"&lt;="&amp;EOMONTH(チェック!$C$4,0),請求台帳!$T$5:$T$504,"&lt;&gt;取消"))</f>
        <v/>
      </c>
      <c r="J72" s="29" t="str">
        <f aca="false">IF(A72="","",IF(AND(取引先マスタ!G72="有",I72=0),"請求漏れ候補",""))</f>
        <v/>
      </c>
    </row>
    <row r="73" customFormat="false" ht="15" hidden="false" customHeight="false" outlineLevel="0" collapsed="false">
      <c r="A73" s="32" t="str">
        <f aca="false">IF(取引先マスタ!A73="","",取引先マスタ!A73)</f>
        <v/>
      </c>
      <c r="B73" s="32" t="str">
        <f aca="false">IF(A73="","",取引先マスタ!B73)</f>
        <v/>
      </c>
      <c r="C73" s="32" t="str">
        <f aca="false">IF(A73="","",取引先マスタ!J73&amp;"")</f>
        <v/>
      </c>
      <c r="D73" s="26" t="str">
        <f aca="false">IF(A73="","",SUMIFS(請求台帳!$S$5:$S$504,請求台帳!$C$5:$C$504,A73,請求台帳!$T$5:$T$504,"&lt;&gt;取消"))</f>
        <v/>
      </c>
      <c r="E73" s="26" t="str">
        <f aca="false">IF(A73="","",D73-SUM(F73:H73))</f>
        <v/>
      </c>
      <c r="F73" s="26" t="str">
        <f aca="false">IF(A73="","",SUMIFS(請求台帳!$S$5:$S$504,請求台帳!$C$5:$C$504,A73,請求台帳!$V$5:$V$504,"&gt;=1",請求台帳!$V$5:$V$504,"&lt;=30"))</f>
        <v/>
      </c>
      <c r="G73" s="26" t="str">
        <f aca="false">IF(A73="","",SUMIFS(請求台帳!$S$5:$S$504,請求台帳!$C$5:$C$504,A73,請求台帳!$V$5:$V$504,"&gt;=31",請求台帳!$V$5:$V$504,"&lt;=60"))</f>
        <v/>
      </c>
      <c r="H73" s="26" t="str">
        <f aca="false">IF(A73="","",SUMIFS(請求台帳!$S$5:$S$504,請求台帳!$C$5:$C$504,A73,請求台帳!$V$5:$V$504,"&gt;=61"))</f>
        <v/>
      </c>
      <c r="I73" s="34" t="str">
        <f aca="false">IF(A73="","",COUNTIFS(請求台帳!$C$5:$C$504,A73,請求台帳!$B$5:$B$504,"&gt;="&amp;チェック!$C$4,請求台帳!$B$5:$B$504,"&lt;="&amp;EOMONTH(チェック!$C$4,0),請求台帳!$T$5:$T$504,"&lt;&gt;取消"))</f>
        <v/>
      </c>
      <c r="J73" s="29" t="str">
        <f aca="false">IF(A73="","",IF(AND(取引先マスタ!G73="有",I73=0),"請求漏れ候補",""))</f>
        <v/>
      </c>
    </row>
    <row r="74" customFormat="false" ht="15" hidden="false" customHeight="false" outlineLevel="0" collapsed="false">
      <c r="A74" s="32" t="str">
        <f aca="false">IF(取引先マスタ!A74="","",取引先マスタ!A74)</f>
        <v/>
      </c>
      <c r="B74" s="32" t="str">
        <f aca="false">IF(A74="","",取引先マスタ!B74)</f>
        <v/>
      </c>
      <c r="C74" s="32" t="str">
        <f aca="false">IF(A74="","",取引先マスタ!J74&amp;"")</f>
        <v/>
      </c>
      <c r="D74" s="26" t="str">
        <f aca="false">IF(A74="","",SUMIFS(請求台帳!$S$5:$S$504,請求台帳!$C$5:$C$504,A74,請求台帳!$T$5:$T$504,"&lt;&gt;取消"))</f>
        <v/>
      </c>
      <c r="E74" s="26" t="str">
        <f aca="false">IF(A74="","",D74-SUM(F74:H74))</f>
        <v/>
      </c>
      <c r="F74" s="26" t="str">
        <f aca="false">IF(A74="","",SUMIFS(請求台帳!$S$5:$S$504,請求台帳!$C$5:$C$504,A74,請求台帳!$V$5:$V$504,"&gt;=1",請求台帳!$V$5:$V$504,"&lt;=30"))</f>
        <v/>
      </c>
      <c r="G74" s="26" t="str">
        <f aca="false">IF(A74="","",SUMIFS(請求台帳!$S$5:$S$504,請求台帳!$C$5:$C$504,A74,請求台帳!$V$5:$V$504,"&gt;=31",請求台帳!$V$5:$V$504,"&lt;=60"))</f>
        <v/>
      </c>
      <c r="H74" s="26" t="str">
        <f aca="false">IF(A74="","",SUMIFS(請求台帳!$S$5:$S$504,請求台帳!$C$5:$C$504,A74,請求台帳!$V$5:$V$504,"&gt;=61"))</f>
        <v/>
      </c>
      <c r="I74" s="34" t="str">
        <f aca="false">IF(A74="","",COUNTIFS(請求台帳!$C$5:$C$504,A74,請求台帳!$B$5:$B$504,"&gt;="&amp;チェック!$C$4,請求台帳!$B$5:$B$504,"&lt;="&amp;EOMONTH(チェック!$C$4,0),請求台帳!$T$5:$T$504,"&lt;&gt;取消"))</f>
        <v/>
      </c>
      <c r="J74" s="29" t="str">
        <f aca="false">IF(A74="","",IF(AND(取引先マスタ!G74="有",I74=0),"請求漏れ候補",""))</f>
        <v/>
      </c>
    </row>
    <row r="75" customFormat="false" ht="15" hidden="false" customHeight="false" outlineLevel="0" collapsed="false">
      <c r="A75" s="32" t="str">
        <f aca="false">IF(取引先マスタ!A75="","",取引先マスタ!A75)</f>
        <v/>
      </c>
      <c r="B75" s="32" t="str">
        <f aca="false">IF(A75="","",取引先マスタ!B75)</f>
        <v/>
      </c>
      <c r="C75" s="32" t="str">
        <f aca="false">IF(A75="","",取引先マスタ!J75&amp;"")</f>
        <v/>
      </c>
      <c r="D75" s="26" t="str">
        <f aca="false">IF(A75="","",SUMIFS(請求台帳!$S$5:$S$504,請求台帳!$C$5:$C$504,A75,請求台帳!$T$5:$T$504,"&lt;&gt;取消"))</f>
        <v/>
      </c>
      <c r="E75" s="26" t="str">
        <f aca="false">IF(A75="","",D75-SUM(F75:H75))</f>
        <v/>
      </c>
      <c r="F75" s="26" t="str">
        <f aca="false">IF(A75="","",SUMIFS(請求台帳!$S$5:$S$504,請求台帳!$C$5:$C$504,A75,請求台帳!$V$5:$V$504,"&gt;=1",請求台帳!$V$5:$V$504,"&lt;=30"))</f>
        <v/>
      </c>
      <c r="G75" s="26" t="str">
        <f aca="false">IF(A75="","",SUMIFS(請求台帳!$S$5:$S$504,請求台帳!$C$5:$C$504,A75,請求台帳!$V$5:$V$504,"&gt;=31",請求台帳!$V$5:$V$504,"&lt;=60"))</f>
        <v/>
      </c>
      <c r="H75" s="26" t="str">
        <f aca="false">IF(A75="","",SUMIFS(請求台帳!$S$5:$S$504,請求台帳!$C$5:$C$504,A75,請求台帳!$V$5:$V$504,"&gt;=61"))</f>
        <v/>
      </c>
      <c r="I75" s="34" t="str">
        <f aca="false">IF(A75="","",COUNTIFS(請求台帳!$C$5:$C$504,A75,請求台帳!$B$5:$B$504,"&gt;="&amp;チェック!$C$4,請求台帳!$B$5:$B$504,"&lt;="&amp;EOMONTH(チェック!$C$4,0),請求台帳!$T$5:$T$504,"&lt;&gt;取消"))</f>
        <v/>
      </c>
      <c r="J75" s="29" t="str">
        <f aca="false">IF(A75="","",IF(AND(取引先マスタ!G75="有",I75=0),"請求漏れ候補",""))</f>
        <v/>
      </c>
    </row>
    <row r="76" customFormat="false" ht="15" hidden="false" customHeight="false" outlineLevel="0" collapsed="false">
      <c r="A76" s="32" t="str">
        <f aca="false">IF(取引先マスタ!A76="","",取引先マスタ!A76)</f>
        <v/>
      </c>
      <c r="B76" s="32" t="str">
        <f aca="false">IF(A76="","",取引先マスタ!B76)</f>
        <v/>
      </c>
      <c r="C76" s="32" t="str">
        <f aca="false">IF(A76="","",取引先マスタ!J76&amp;"")</f>
        <v/>
      </c>
      <c r="D76" s="26" t="str">
        <f aca="false">IF(A76="","",SUMIFS(請求台帳!$S$5:$S$504,請求台帳!$C$5:$C$504,A76,請求台帳!$T$5:$T$504,"&lt;&gt;取消"))</f>
        <v/>
      </c>
      <c r="E76" s="26" t="str">
        <f aca="false">IF(A76="","",D76-SUM(F76:H76))</f>
        <v/>
      </c>
      <c r="F76" s="26" t="str">
        <f aca="false">IF(A76="","",SUMIFS(請求台帳!$S$5:$S$504,請求台帳!$C$5:$C$504,A76,請求台帳!$V$5:$V$504,"&gt;=1",請求台帳!$V$5:$V$504,"&lt;=30"))</f>
        <v/>
      </c>
      <c r="G76" s="26" t="str">
        <f aca="false">IF(A76="","",SUMIFS(請求台帳!$S$5:$S$504,請求台帳!$C$5:$C$504,A76,請求台帳!$V$5:$V$504,"&gt;=31",請求台帳!$V$5:$V$504,"&lt;=60"))</f>
        <v/>
      </c>
      <c r="H76" s="26" t="str">
        <f aca="false">IF(A76="","",SUMIFS(請求台帳!$S$5:$S$504,請求台帳!$C$5:$C$504,A76,請求台帳!$V$5:$V$504,"&gt;=61"))</f>
        <v/>
      </c>
      <c r="I76" s="34" t="str">
        <f aca="false">IF(A76="","",COUNTIFS(請求台帳!$C$5:$C$504,A76,請求台帳!$B$5:$B$504,"&gt;="&amp;チェック!$C$4,請求台帳!$B$5:$B$504,"&lt;="&amp;EOMONTH(チェック!$C$4,0),請求台帳!$T$5:$T$504,"&lt;&gt;取消"))</f>
        <v/>
      </c>
      <c r="J76" s="29" t="str">
        <f aca="false">IF(A76="","",IF(AND(取引先マスタ!G76="有",I76=0),"請求漏れ候補",""))</f>
        <v/>
      </c>
    </row>
    <row r="77" customFormat="false" ht="15" hidden="false" customHeight="false" outlineLevel="0" collapsed="false">
      <c r="A77" s="32" t="str">
        <f aca="false">IF(取引先マスタ!A77="","",取引先マスタ!A77)</f>
        <v/>
      </c>
      <c r="B77" s="32" t="str">
        <f aca="false">IF(A77="","",取引先マスタ!B77)</f>
        <v/>
      </c>
      <c r="C77" s="32" t="str">
        <f aca="false">IF(A77="","",取引先マスタ!J77&amp;"")</f>
        <v/>
      </c>
      <c r="D77" s="26" t="str">
        <f aca="false">IF(A77="","",SUMIFS(請求台帳!$S$5:$S$504,請求台帳!$C$5:$C$504,A77,請求台帳!$T$5:$T$504,"&lt;&gt;取消"))</f>
        <v/>
      </c>
      <c r="E77" s="26" t="str">
        <f aca="false">IF(A77="","",D77-SUM(F77:H77))</f>
        <v/>
      </c>
      <c r="F77" s="26" t="str">
        <f aca="false">IF(A77="","",SUMIFS(請求台帳!$S$5:$S$504,請求台帳!$C$5:$C$504,A77,請求台帳!$V$5:$V$504,"&gt;=1",請求台帳!$V$5:$V$504,"&lt;=30"))</f>
        <v/>
      </c>
      <c r="G77" s="26" t="str">
        <f aca="false">IF(A77="","",SUMIFS(請求台帳!$S$5:$S$504,請求台帳!$C$5:$C$504,A77,請求台帳!$V$5:$V$504,"&gt;=31",請求台帳!$V$5:$V$504,"&lt;=60"))</f>
        <v/>
      </c>
      <c r="H77" s="26" t="str">
        <f aca="false">IF(A77="","",SUMIFS(請求台帳!$S$5:$S$504,請求台帳!$C$5:$C$504,A77,請求台帳!$V$5:$V$504,"&gt;=61"))</f>
        <v/>
      </c>
      <c r="I77" s="34" t="str">
        <f aca="false">IF(A77="","",COUNTIFS(請求台帳!$C$5:$C$504,A77,請求台帳!$B$5:$B$504,"&gt;="&amp;チェック!$C$4,請求台帳!$B$5:$B$504,"&lt;="&amp;EOMONTH(チェック!$C$4,0),請求台帳!$T$5:$T$504,"&lt;&gt;取消"))</f>
        <v/>
      </c>
      <c r="J77" s="29" t="str">
        <f aca="false">IF(A77="","",IF(AND(取引先マスタ!G77="有",I77=0),"請求漏れ候補",""))</f>
        <v/>
      </c>
    </row>
    <row r="78" customFormat="false" ht="15" hidden="false" customHeight="false" outlineLevel="0" collapsed="false">
      <c r="A78" s="32" t="str">
        <f aca="false">IF(取引先マスタ!A78="","",取引先マスタ!A78)</f>
        <v/>
      </c>
      <c r="B78" s="32" t="str">
        <f aca="false">IF(A78="","",取引先マスタ!B78)</f>
        <v/>
      </c>
      <c r="C78" s="32" t="str">
        <f aca="false">IF(A78="","",取引先マスタ!J78&amp;"")</f>
        <v/>
      </c>
      <c r="D78" s="26" t="str">
        <f aca="false">IF(A78="","",SUMIFS(請求台帳!$S$5:$S$504,請求台帳!$C$5:$C$504,A78,請求台帳!$T$5:$T$504,"&lt;&gt;取消"))</f>
        <v/>
      </c>
      <c r="E78" s="26" t="str">
        <f aca="false">IF(A78="","",D78-SUM(F78:H78))</f>
        <v/>
      </c>
      <c r="F78" s="26" t="str">
        <f aca="false">IF(A78="","",SUMIFS(請求台帳!$S$5:$S$504,請求台帳!$C$5:$C$504,A78,請求台帳!$V$5:$V$504,"&gt;=1",請求台帳!$V$5:$V$504,"&lt;=30"))</f>
        <v/>
      </c>
      <c r="G78" s="26" t="str">
        <f aca="false">IF(A78="","",SUMIFS(請求台帳!$S$5:$S$504,請求台帳!$C$5:$C$504,A78,請求台帳!$V$5:$V$504,"&gt;=31",請求台帳!$V$5:$V$504,"&lt;=60"))</f>
        <v/>
      </c>
      <c r="H78" s="26" t="str">
        <f aca="false">IF(A78="","",SUMIFS(請求台帳!$S$5:$S$504,請求台帳!$C$5:$C$504,A78,請求台帳!$V$5:$V$504,"&gt;=61"))</f>
        <v/>
      </c>
      <c r="I78" s="34" t="str">
        <f aca="false">IF(A78="","",COUNTIFS(請求台帳!$C$5:$C$504,A78,請求台帳!$B$5:$B$504,"&gt;="&amp;チェック!$C$4,請求台帳!$B$5:$B$504,"&lt;="&amp;EOMONTH(チェック!$C$4,0),請求台帳!$T$5:$T$504,"&lt;&gt;取消"))</f>
        <v/>
      </c>
      <c r="J78" s="29" t="str">
        <f aca="false">IF(A78="","",IF(AND(取引先マスタ!G78="有",I78=0),"請求漏れ候補",""))</f>
        <v/>
      </c>
    </row>
    <row r="79" customFormat="false" ht="15" hidden="false" customHeight="false" outlineLevel="0" collapsed="false">
      <c r="A79" s="32" t="str">
        <f aca="false">IF(取引先マスタ!A79="","",取引先マスタ!A79)</f>
        <v/>
      </c>
      <c r="B79" s="32" t="str">
        <f aca="false">IF(A79="","",取引先マスタ!B79)</f>
        <v/>
      </c>
      <c r="C79" s="32" t="str">
        <f aca="false">IF(A79="","",取引先マスタ!J79&amp;"")</f>
        <v/>
      </c>
      <c r="D79" s="26" t="str">
        <f aca="false">IF(A79="","",SUMIFS(請求台帳!$S$5:$S$504,請求台帳!$C$5:$C$504,A79,請求台帳!$T$5:$T$504,"&lt;&gt;取消"))</f>
        <v/>
      </c>
      <c r="E79" s="26" t="str">
        <f aca="false">IF(A79="","",D79-SUM(F79:H79))</f>
        <v/>
      </c>
      <c r="F79" s="26" t="str">
        <f aca="false">IF(A79="","",SUMIFS(請求台帳!$S$5:$S$504,請求台帳!$C$5:$C$504,A79,請求台帳!$V$5:$V$504,"&gt;=1",請求台帳!$V$5:$V$504,"&lt;=30"))</f>
        <v/>
      </c>
      <c r="G79" s="26" t="str">
        <f aca="false">IF(A79="","",SUMIFS(請求台帳!$S$5:$S$504,請求台帳!$C$5:$C$504,A79,請求台帳!$V$5:$V$504,"&gt;=31",請求台帳!$V$5:$V$504,"&lt;=60"))</f>
        <v/>
      </c>
      <c r="H79" s="26" t="str">
        <f aca="false">IF(A79="","",SUMIFS(請求台帳!$S$5:$S$504,請求台帳!$C$5:$C$504,A79,請求台帳!$V$5:$V$504,"&gt;=61"))</f>
        <v/>
      </c>
      <c r="I79" s="34" t="str">
        <f aca="false">IF(A79="","",COUNTIFS(請求台帳!$C$5:$C$504,A79,請求台帳!$B$5:$B$504,"&gt;="&amp;チェック!$C$4,請求台帳!$B$5:$B$504,"&lt;="&amp;EOMONTH(チェック!$C$4,0),請求台帳!$T$5:$T$504,"&lt;&gt;取消"))</f>
        <v/>
      </c>
      <c r="J79" s="29" t="str">
        <f aca="false">IF(A79="","",IF(AND(取引先マスタ!G79="有",I79=0),"請求漏れ候補",""))</f>
        <v/>
      </c>
    </row>
    <row r="80" customFormat="false" ht="15" hidden="false" customHeight="false" outlineLevel="0" collapsed="false">
      <c r="A80" s="32" t="str">
        <f aca="false">IF(取引先マスタ!A80="","",取引先マスタ!A80)</f>
        <v/>
      </c>
      <c r="B80" s="32" t="str">
        <f aca="false">IF(A80="","",取引先マスタ!B80)</f>
        <v/>
      </c>
      <c r="C80" s="32" t="str">
        <f aca="false">IF(A80="","",取引先マスタ!J80&amp;"")</f>
        <v/>
      </c>
      <c r="D80" s="26" t="str">
        <f aca="false">IF(A80="","",SUMIFS(請求台帳!$S$5:$S$504,請求台帳!$C$5:$C$504,A80,請求台帳!$T$5:$T$504,"&lt;&gt;取消"))</f>
        <v/>
      </c>
      <c r="E80" s="26" t="str">
        <f aca="false">IF(A80="","",D80-SUM(F80:H80))</f>
        <v/>
      </c>
      <c r="F80" s="26" t="str">
        <f aca="false">IF(A80="","",SUMIFS(請求台帳!$S$5:$S$504,請求台帳!$C$5:$C$504,A80,請求台帳!$V$5:$V$504,"&gt;=1",請求台帳!$V$5:$V$504,"&lt;=30"))</f>
        <v/>
      </c>
      <c r="G80" s="26" t="str">
        <f aca="false">IF(A80="","",SUMIFS(請求台帳!$S$5:$S$504,請求台帳!$C$5:$C$504,A80,請求台帳!$V$5:$V$504,"&gt;=31",請求台帳!$V$5:$V$504,"&lt;=60"))</f>
        <v/>
      </c>
      <c r="H80" s="26" t="str">
        <f aca="false">IF(A80="","",SUMIFS(請求台帳!$S$5:$S$504,請求台帳!$C$5:$C$504,A80,請求台帳!$V$5:$V$504,"&gt;=61"))</f>
        <v/>
      </c>
      <c r="I80" s="34" t="str">
        <f aca="false">IF(A80="","",COUNTIFS(請求台帳!$C$5:$C$504,A80,請求台帳!$B$5:$B$504,"&gt;="&amp;チェック!$C$4,請求台帳!$B$5:$B$504,"&lt;="&amp;EOMONTH(チェック!$C$4,0),請求台帳!$T$5:$T$504,"&lt;&gt;取消"))</f>
        <v/>
      </c>
      <c r="J80" s="29" t="str">
        <f aca="false">IF(A80="","",IF(AND(取引先マスタ!G80="有",I80=0),"請求漏れ候補",""))</f>
        <v/>
      </c>
    </row>
    <row r="81" customFormat="false" ht="15" hidden="false" customHeight="false" outlineLevel="0" collapsed="false">
      <c r="A81" s="32" t="str">
        <f aca="false">IF(取引先マスタ!A81="","",取引先マスタ!A81)</f>
        <v/>
      </c>
      <c r="B81" s="32" t="str">
        <f aca="false">IF(A81="","",取引先マスタ!B81)</f>
        <v/>
      </c>
      <c r="C81" s="32" t="str">
        <f aca="false">IF(A81="","",取引先マスタ!J81&amp;"")</f>
        <v/>
      </c>
      <c r="D81" s="26" t="str">
        <f aca="false">IF(A81="","",SUMIFS(請求台帳!$S$5:$S$504,請求台帳!$C$5:$C$504,A81,請求台帳!$T$5:$T$504,"&lt;&gt;取消"))</f>
        <v/>
      </c>
      <c r="E81" s="26" t="str">
        <f aca="false">IF(A81="","",D81-SUM(F81:H81))</f>
        <v/>
      </c>
      <c r="F81" s="26" t="str">
        <f aca="false">IF(A81="","",SUMIFS(請求台帳!$S$5:$S$504,請求台帳!$C$5:$C$504,A81,請求台帳!$V$5:$V$504,"&gt;=1",請求台帳!$V$5:$V$504,"&lt;=30"))</f>
        <v/>
      </c>
      <c r="G81" s="26" t="str">
        <f aca="false">IF(A81="","",SUMIFS(請求台帳!$S$5:$S$504,請求台帳!$C$5:$C$504,A81,請求台帳!$V$5:$V$504,"&gt;=31",請求台帳!$V$5:$V$504,"&lt;=60"))</f>
        <v/>
      </c>
      <c r="H81" s="26" t="str">
        <f aca="false">IF(A81="","",SUMIFS(請求台帳!$S$5:$S$504,請求台帳!$C$5:$C$504,A81,請求台帳!$V$5:$V$504,"&gt;=61"))</f>
        <v/>
      </c>
      <c r="I81" s="34" t="str">
        <f aca="false">IF(A81="","",COUNTIFS(請求台帳!$C$5:$C$504,A81,請求台帳!$B$5:$B$504,"&gt;="&amp;チェック!$C$4,請求台帳!$B$5:$B$504,"&lt;="&amp;EOMONTH(チェック!$C$4,0),請求台帳!$T$5:$T$504,"&lt;&gt;取消"))</f>
        <v/>
      </c>
      <c r="J81" s="29" t="str">
        <f aca="false">IF(A81="","",IF(AND(取引先マスタ!G81="有",I81=0),"請求漏れ候補",""))</f>
        <v/>
      </c>
    </row>
    <row r="82" customFormat="false" ht="15" hidden="false" customHeight="false" outlineLevel="0" collapsed="false">
      <c r="A82" s="32" t="str">
        <f aca="false">IF(取引先マスタ!A82="","",取引先マスタ!A82)</f>
        <v/>
      </c>
      <c r="B82" s="32" t="str">
        <f aca="false">IF(A82="","",取引先マスタ!B82)</f>
        <v/>
      </c>
      <c r="C82" s="32" t="str">
        <f aca="false">IF(A82="","",取引先マスタ!J82&amp;"")</f>
        <v/>
      </c>
      <c r="D82" s="26" t="str">
        <f aca="false">IF(A82="","",SUMIFS(請求台帳!$S$5:$S$504,請求台帳!$C$5:$C$504,A82,請求台帳!$T$5:$T$504,"&lt;&gt;取消"))</f>
        <v/>
      </c>
      <c r="E82" s="26" t="str">
        <f aca="false">IF(A82="","",D82-SUM(F82:H82))</f>
        <v/>
      </c>
      <c r="F82" s="26" t="str">
        <f aca="false">IF(A82="","",SUMIFS(請求台帳!$S$5:$S$504,請求台帳!$C$5:$C$504,A82,請求台帳!$V$5:$V$504,"&gt;=1",請求台帳!$V$5:$V$504,"&lt;=30"))</f>
        <v/>
      </c>
      <c r="G82" s="26" t="str">
        <f aca="false">IF(A82="","",SUMIFS(請求台帳!$S$5:$S$504,請求台帳!$C$5:$C$504,A82,請求台帳!$V$5:$V$504,"&gt;=31",請求台帳!$V$5:$V$504,"&lt;=60"))</f>
        <v/>
      </c>
      <c r="H82" s="26" t="str">
        <f aca="false">IF(A82="","",SUMIFS(請求台帳!$S$5:$S$504,請求台帳!$C$5:$C$504,A82,請求台帳!$V$5:$V$504,"&gt;=61"))</f>
        <v/>
      </c>
      <c r="I82" s="34" t="str">
        <f aca="false">IF(A82="","",COUNTIFS(請求台帳!$C$5:$C$504,A82,請求台帳!$B$5:$B$504,"&gt;="&amp;チェック!$C$4,請求台帳!$B$5:$B$504,"&lt;="&amp;EOMONTH(チェック!$C$4,0),請求台帳!$T$5:$T$504,"&lt;&gt;取消"))</f>
        <v/>
      </c>
      <c r="J82" s="29" t="str">
        <f aca="false">IF(A82="","",IF(AND(取引先マスタ!G82="有",I82=0),"請求漏れ候補",""))</f>
        <v/>
      </c>
    </row>
    <row r="83" customFormat="false" ht="15" hidden="false" customHeight="false" outlineLevel="0" collapsed="false">
      <c r="A83" s="32" t="str">
        <f aca="false">IF(取引先マスタ!A83="","",取引先マスタ!A83)</f>
        <v/>
      </c>
      <c r="B83" s="32" t="str">
        <f aca="false">IF(A83="","",取引先マスタ!B83)</f>
        <v/>
      </c>
      <c r="C83" s="32" t="str">
        <f aca="false">IF(A83="","",取引先マスタ!J83&amp;"")</f>
        <v/>
      </c>
      <c r="D83" s="26" t="str">
        <f aca="false">IF(A83="","",SUMIFS(請求台帳!$S$5:$S$504,請求台帳!$C$5:$C$504,A83,請求台帳!$T$5:$T$504,"&lt;&gt;取消"))</f>
        <v/>
      </c>
      <c r="E83" s="26" t="str">
        <f aca="false">IF(A83="","",D83-SUM(F83:H83))</f>
        <v/>
      </c>
      <c r="F83" s="26" t="str">
        <f aca="false">IF(A83="","",SUMIFS(請求台帳!$S$5:$S$504,請求台帳!$C$5:$C$504,A83,請求台帳!$V$5:$V$504,"&gt;=1",請求台帳!$V$5:$V$504,"&lt;=30"))</f>
        <v/>
      </c>
      <c r="G83" s="26" t="str">
        <f aca="false">IF(A83="","",SUMIFS(請求台帳!$S$5:$S$504,請求台帳!$C$5:$C$504,A83,請求台帳!$V$5:$V$504,"&gt;=31",請求台帳!$V$5:$V$504,"&lt;=60"))</f>
        <v/>
      </c>
      <c r="H83" s="26" t="str">
        <f aca="false">IF(A83="","",SUMIFS(請求台帳!$S$5:$S$504,請求台帳!$C$5:$C$504,A83,請求台帳!$V$5:$V$504,"&gt;=61"))</f>
        <v/>
      </c>
      <c r="I83" s="34" t="str">
        <f aca="false">IF(A83="","",COUNTIFS(請求台帳!$C$5:$C$504,A83,請求台帳!$B$5:$B$504,"&gt;="&amp;チェック!$C$4,請求台帳!$B$5:$B$504,"&lt;="&amp;EOMONTH(チェック!$C$4,0),請求台帳!$T$5:$T$504,"&lt;&gt;取消"))</f>
        <v/>
      </c>
      <c r="J83" s="29" t="str">
        <f aca="false">IF(A83="","",IF(AND(取引先マスタ!G83="有",I83=0),"請求漏れ候補",""))</f>
        <v/>
      </c>
    </row>
    <row r="84" customFormat="false" ht="15" hidden="false" customHeight="false" outlineLevel="0" collapsed="false">
      <c r="A84" s="32" t="str">
        <f aca="false">IF(取引先マスタ!A84="","",取引先マスタ!A84)</f>
        <v/>
      </c>
      <c r="B84" s="32" t="str">
        <f aca="false">IF(A84="","",取引先マスタ!B84)</f>
        <v/>
      </c>
      <c r="C84" s="32" t="str">
        <f aca="false">IF(A84="","",取引先マスタ!J84&amp;"")</f>
        <v/>
      </c>
      <c r="D84" s="26" t="str">
        <f aca="false">IF(A84="","",SUMIFS(請求台帳!$S$5:$S$504,請求台帳!$C$5:$C$504,A84,請求台帳!$T$5:$T$504,"&lt;&gt;取消"))</f>
        <v/>
      </c>
      <c r="E84" s="26" t="str">
        <f aca="false">IF(A84="","",D84-SUM(F84:H84))</f>
        <v/>
      </c>
      <c r="F84" s="26" t="str">
        <f aca="false">IF(A84="","",SUMIFS(請求台帳!$S$5:$S$504,請求台帳!$C$5:$C$504,A84,請求台帳!$V$5:$V$504,"&gt;=1",請求台帳!$V$5:$V$504,"&lt;=30"))</f>
        <v/>
      </c>
      <c r="G84" s="26" t="str">
        <f aca="false">IF(A84="","",SUMIFS(請求台帳!$S$5:$S$504,請求台帳!$C$5:$C$504,A84,請求台帳!$V$5:$V$504,"&gt;=31",請求台帳!$V$5:$V$504,"&lt;=60"))</f>
        <v/>
      </c>
      <c r="H84" s="26" t="str">
        <f aca="false">IF(A84="","",SUMIFS(請求台帳!$S$5:$S$504,請求台帳!$C$5:$C$504,A84,請求台帳!$V$5:$V$504,"&gt;=61"))</f>
        <v/>
      </c>
      <c r="I84" s="34" t="str">
        <f aca="false">IF(A84="","",COUNTIFS(請求台帳!$C$5:$C$504,A84,請求台帳!$B$5:$B$504,"&gt;="&amp;チェック!$C$4,請求台帳!$B$5:$B$504,"&lt;="&amp;EOMONTH(チェック!$C$4,0),請求台帳!$T$5:$T$504,"&lt;&gt;取消"))</f>
        <v/>
      </c>
      <c r="J84" s="29" t="str">
        <f aca="false">IF(A84="","",IF(AND(取引先マスタ!G84="有",I84=0),"請求漏れ候補",""))</f>
        <v/>
      </c>
    </row>
    <row r="85" customFormat="false" ht="15" hidden="false" customHeight="false" outlineLevel="0" collapsed="false">
      <c r="A85" s="32" t="str">
        <f aca="false">IF(取引先マスタ!A85="","",取引先マスタ!A85)</f>
        <v/>
      </c>
      <c r="B85" s="32" t="str">
        <f aca="false">IF(A85="","",取引先マスタ!B85)</f>
        <v/>
      </c>
      <c r="C85" s="32" t="str">
        <f aca="false">IF(A85="","",取引先マスタ!J85&amp;"")</f>
        <v/>
      </c>
      <c r="D85" s="26" t="str">
        <f aca="false">IF(A85="","",SUMIFS(請求台帳!$S$5:$S$504,請求台帳!$C$5:$C$504,A85,請求台帳!$T$5:$T$504,"&lt;&gt;取消"))</f>
        <v/>
      </c>
      <c r="E85" s="26" t="str">
        <f aca="false">IF(A85="","",D85-SUM(F85:H85))</f>
        <v/>
      </c>
      <c r="F85" s="26" t="str">
        <f aca="false">IF(A85="","",SUMIFS(請求台帳!$S$5:$S$504,請求台帳!$C$5:$C$504,A85,請求台帳!$V$5:$V$504,"&gt;=1",請求台帳!$V$5:$V$504,"&lt;=30"))</f>
        <v/>
      </c>
      <c r="G85" s="26" t="str">
        <f aca="false">IF(A85="","",SUMIFS(請求台帳!$S$5:$S$504,請求台帳!$C$5:$C$504,A85,請求台帳!$V$5:$V$504,"&gt;=31",請求台帳!$V$5:$V$504,"&lt;=60"))</f>
        <v/>
      </c>
      <c r="H85" s="26" t="str">
        <f aca="false">IF(A85="","",SUMIFS(請求台帳!$S$5:$S$504,請求台帳!$C$5:$C$504,A85,請求台帳!$V$5:$V$504,"&gt;=61"))</f>
        <v/>
      </c>
      <c r="I85" s="34" t="str">
        <f aca="false">IF(A85="","",COUNTIFS(請求台帳!$C$5:$C$504,A85,請求台帳!$B$5:$B$504,"&gt;="&amp;チェック!$C$4,請求台帳!$B$5:$B$504,"&lt;="&amp;EOMONTH(チェック!$C$4,0),請求台帳!$T$5:$T$504,"&lt;&gt;取消"))</f>
        <v/>
      </c>
      <c r="J85" s="29" t="str">
        <f aca="false">IF(A85="","",IF(AND(取引先マスタ!G85="有",I85=0),"請求漏れ候補",""))</f>
        <v/>
      </c>
    </row>
    <row r="86" customFormat="false" ht="15" hidden="false" customHeight="false" outlineLevel="0" collapsed="false">
      <c r="A86" s="32" t="str">
        <f aca="false">IF(取引先マスタ!A86="","",取引先マスタ!A86)</f>
        <v/>
      </c>
      <c r="B86" s="32" t="str">
        <f aca="false">IF(A86="","",取引先マスタ!B86)</f>
        <v/>
      </c>
      <c r="C86" s="32" t="str">
        <f aca="false">IF(A86="","",取引先マスタ!J86&amp;"")</f>
        <v/>
      </c>
      <c r="D86" s="26" t="str">
        <f aca="false">IF(A86="","",SUMIFS(請求台帳!$S$5:$S$504,請求台帳!$C$5:$C$504,A86,請求台帳!$T$5:$T$504,"&lt;&gt;取消"))</f>
        <v/>
      </c>
      <c r="E86" s="26" t="str">
        <f aca="false">IF(A86="","",D86-SUM(F86:H86))</f>
        <v/>
      </c>
      <c r="F86" s="26" t="str">
        <f aca="false">IF(A86="","",SUMIFS(請求台帳!$S$5:$S$504,請求台帳!$C$5:$C$504,A86,請求台帳!$V$5:$V$504,"&gt;=1",請求台帳!$V$5:$V$504,"&lt;=30"))</f>
        <v/>
      </c>
      <c r="G86" s="26" t="str">
        <f aca="false">IF(A86="","",SUMIFS(請求台帳!$S$5:$S$504,請求台帳!$C$5:$C$504,A86,請求台帳!$V$5:$V$504,"&gt;=31",請求台帳!$V$5:$V$504,"&lt;=60"))</f>
        <v/>
      </c>
      <c r="H86" s="26" t="str">
        <f aca="false">IF(A86="","",SUMIFS(請求台帳!$S$5:$S$504,請求台帳!$C$5:$C$504,A86,請求台帳!$V$5:$V$504,"&gt;=61"))</f>
        <v/>
      </c>
      <c r="I86" s="34" t="str">
        <f aca="false">IF(A86="","",COUNTIFS(請求台帳!$C$5:$C$504,A86,請求台帳!$B$5:$B$504,"&gt;="&amp;チェック!$C$4,請求台帳!$B$5:$B$504,"&lt;="&amp;EOMONTH(チェック!$C$4,0),請求台帳!$T$5:$T$504,"&lt;&gt;取消"))</f>
        <v/>
      </c>
      <c r="J86" s="29" t="str">
        <f aca="false">IF(A86="","",IF(AND(取引先マスタ!G86="有",I86=0),"請求漏れ候補",""))</f>
        <v/>
      </c>
    </row>
    <row r="87" customFormat="false" ht="15" hidden="false" customHeight="false" outlineLevel="0" collapsed="false">
      <c r="A87" s="32" t="str">
        <f aca="false">IF(取引先マスタ!A87="","",取引先マスタ!A87)</f>
        <v/>
      </c>
      <c r="B87" s="32" t="str">
        <f aca="false">IF(A87="","",取引先マスタ!B87)</f>
        <v/>
      </c>
      <c r="C87" s="32" t="str">
        <f aca="false">IF(A87="","",取引先マスタ!J87&amp;"")</f>
        <v/>
      </c>
      <c r="D87" s="26" t="str">
        <f aca="false">IF(A87="","",SUMIFS(請求台帳!$S$5:$S$504,請求台帳!$C$5:$C$504,A87,請求台帳!$T$5:$T$504,"&lt;&gt;取消"))</f>
        <v/>
      </c>
      <c r="E87" s="26" t="str">
        <f aca="false">IF(A87="","",D87-SUM(F87:H87))</f>
        <v/>
      </c>
      <c r="F87" s="26" t="str">
        <f aca="false">IF(A87="","",SUMIFS(請求台帳!$S$5:$S$504,請求台帳!$C$5:$C$504,A87,請求台帳!$V$5:$V$504,"&gt;=1",請求台帳!$V$5:$V$504,"&lt;=30"))</f>
        <v/>
      </c>
      <c r="G87" s="26" t="str">
        <f aca="false">IF(A87="","",SUMIFS(請求台帳!$S$5:$S$504,請求台帳!$C$5:$C$504,A87,請求台帳!$V$5:$V$504,"&gt;=31",請求台帳!$V$5:$V$504,"&lt;=60"))</f>
        <v/>
      </c>
      <c r="H87" s="26" t="str">
        <f aca="false">IF(A87="","",SUMIFS(請求台帳!$S$5:$S$504,請求台帳!$C$5:$C$504,A87,請求台帳!$V$5:$V$504,"&gt;=61"))</f>
        <v/>
      </c>
      <c r="I87" s="34" t="str">
        <f aca="false">IF(A87="","",COUNTIFS(請求台帳!$C$5:$C$504,A87,請求台帳!$B$5:$B$504,"&gt;="&amp;チェック!$C$4,請求台帳!$B$5:$B$504,"&lt;="&amp;EOMONTH(チェック!$C$4,0),請求台帳!$T$5:$T$504,"&lt;&gt;取消"))</f>
        <v/>
      </c>
      <c r="J87" s="29" t="str">
        <f aca="false">IF(A87="","",IF(AND(取引先マスタ!G87="有",I87=0),"請求漏れ候補",""))</f>
        <v/>
      </c>
    </row>
    <row r="88" customFormat="false" ht="15" hidden="false" customHeight="false" outlineLevel="0" collapsed="false">
      <c r="A88" s="32" t="str">
        <f aca="false">IF(取引先マスタ!A88="","",取引先マスタ!A88)</f>
        <v/>
      </c>
      <c r="B88" s="32" t="str">
        <f aca="false">IF(A88="","",取引先マスタ!B88)</f>
        <v/>
      </c>
      <c r="C88" s="32" t="str">
        <f aca="false">IF(A88="","",取引先マスタ!J88&amp;"")</f>
        <v/>
      </c>
      <c r="D88" s="26" t="str">
        <f aca="false">IF(A88="","",SUMIFS(請求台帳!$S$5:$S$504,請求台帳!$C$5:$C$504,A88,請求台帳!$T$5:$T$504,"&lt;&gt;取消"))</f>
        <v/>
      </c>
      <c r="E88" s="26" t="str">
        <f aca="false">IF(A88="","",D88-SUM(F88:H88))</f>
        <v/>
      </c>
      <c r="F88" s="26" t="str">
        <f aca="false">IF(A88="","",SUMIFS(請求台帳!$S$5:$S$504,請求台帳!$C$5:$C$504,A88,請求台帳!$V$5:$V$504,"&gt;=1",請求台帳!$V$5:$V$504,"&lt;=30"))</f>
        <v/>
      </c>
      <c r="G88" s="26" t="str">
        <f aca="false">IF(A88="","",SUMIFS(請求台帳!$S$5:$S$504,請求台帳!$C$5:$C$504,A88,請求台帳!$V$5:$V$504,"&gt;=31",請求台帳!$V$5:$V$504,"&lt;=60"))</f>
        <v/>
      </c>
      <c r="H88" s="26" t="str">
        <f aca="false">IF(A88="","",SUMIFS(請求台帳!$S$5:$S$504,請求台帳!$C$5:$C$504,A88,請求台帳!$V$5:$V$504,"&gt;=61"))</f>
        <v/>
      </c>
      <c r="I88" s="34" t="str">
        <f aca="false">IF(A88="","",COUNTIFS(請求台帳!$C$5:$C$504,A88,請求台帳!$B$5:$B$504,"&gt;="&amp;チェック!$C$4,請求台帳!$B$5:$B$504,"&lt;="&amp;EOMONTH(チェック!$C$4,0),請求台帳!$T$5:$T$504,"&lt;&gt;取消"))</f>
        <v/>
      </c>
      <c r="J88" s="29" t="str">
        <f aca="false">IF(A88="","",IF(AND(取引先マスタ!G88="有",I88=0),"請求漏れ候補",""))</f>
        <v/>
      </c>
    </row>
    <row r="89" customFormat="false" ht="15" hidden="false" customHeight="false" outlineLevel="0" collapsed="false">
      <c r="A89" s="32" t="str">
        <f aca="false">IF(取引先マスタ!A89="","",取引先マスタ!A89)</f>
        <v/>
      </c>
      <c r="B89" s="32" t="str">
        <f aca="false">IF(A89="","",取引先マスタ!B89)</f>
        <v/>
      </c>
      <c r="C89" s="32" t="str">
        <f aca="false">IF(A89="","",取引先マスタ!J89&amp;"")</f>
        <v/>
      </c>
      <c r="D89" s="26" t="str">
        <f aca="false">IF(A89="","",SUMIFS(請求台帳!$S$5:$S$504,請求台帳!$C$5:$C$504,A89,請求台帳!$T$5:$T$504,"&lt;&gt;取消"))</f>
        <v/>
      </c>
      <c r="E89" s="26" t="str">
        <f aca="false">IF(A89="","",D89-SUM(F89:H89))</f>
        <v/>
      </c>
      <c r="F89" s="26" t="str">
        <f aca="false">IF(A89="","",SUMIFS(請求台帳!$S$5:$S$504,請求台帳!$C$5:$C$504,A89,請求台帳!$V$5:$V$504,"&gt;=1",請求台帳!$V$5:$V$504,"&lt;=30"))</f>
        <v/>
      </c>
      <c r="G89" s="26" t="str">
        <f aca="false">IF(A89="","",SUMIFS(請求台帳!$S$5:$S$504,請求台帳!$C$5:$C$504,A89,請求台帳!$V$5:$V$504,"&gt;=31",請求台帳!$V$5:$V$504,"&lt;=60"))</f>
        <v/>
      </c>
      <c r="H89" s="26" t="str">
        <f aca="false">IF(A89="","",SUMIFS(請求台帳!$S$5:$S$504,請求台帳!$C$5:$C$504,A89,請求台帳!$V$5:$V$504,"&gt;=61"))</f>
        <v/>
      </c>
      <c r="I89" s="34" t="str">
        <f aca="false">IF(A89="","",COUNTIFS(請求台帳!$C$5:$C$504,A89,請求台帳!$B$5:$B$504,"&gt;="&amp;チェック!$C$4,請求台帳!$B$5:$B$504,"&lt;="&amp;EOMONTH(チェック!$C$4,0),請求台帳!$T$5:$T$504,"&lt;&gt;取消"))</f>
        <v/>
      </c>
      <c r="J89" s="29" t="str">
        <f aca="false">IF(A89="","",IF(AND(取引先マスタ!G89="有",I89=0),"請求漏れ候補",""))</f>
        <v/>
      </c>
    </row>
    <row r="90" customFormat="false" ht="15" hidden="false" customHeight="false" outlineLevel="0" collapsed="false">
      <c r="A90" s="32" t="str">
        <f aca="false">IF(取引先マスタ!A90="","",取引先マスタ!A90)</f>
        <v/>
      </c>
      <c r="B90" s="32" t="str">
        <f aca="false">IF(A90="","",取引先マスタ!B90)</f>
        <v/>
      </c>
      <c r="C90" s="32" t="str">
        <f aca="false">IF(A90="","",取引先マスタ!J90&amp;"")</f>
        <v/>
      </c>
      <c r="D90" s="26" t="str">
        <f aca="false">IF(A90="","",SUMIFS(請求台帳!$S$5:$S$504,請求台帳!$C$5:$C$504,A90,請求台帳!$T$5:$T$504,"&lt;&gt;取消"))</f>
        <v/>
      </c>
      <c r="E90" s="26" t="str">
        <f aca="false">IF(A90="","",D90-SUM(F90:H90))</f>
        <v/>
      </c>
      <c r="F90" s="26" t="str">
        <f aca="false">IF(A90="","",SUMIFS(請求台帳!$S$5:$S$504,請求台帳!$C$5:$C$504,A90,請求台帳!$V$5:$V$504,"&gt;=1",請求台帳!$V$5:$V$504,"&lt;=30"))</f>
        <v/>
      </c>
      <c r="G90" s="26" t="str">
        <f aca="false">IF(A90="","",SUMIFS(請求台帳!$S$5:$S$504,請求台帳!$C$5:$C$504,A90,請求台帳!$V$5:$V$504,"&gt;=31",請求台帳!$V$5:$V$504,"&lt;=60"))</f>
        <v/>
      </c>
      <c r="H90" s="26" t="str">
        <f aca="false">IF(A90="","",SUMIFS(請求台帳!$S$5:$S$504,請求台帳!$C$5:$C$504,A90,請求台帳!$V$5:$V$504,"&gt;=61"))</f>
        <v/>
      </c>
      <c r="I90" s="34" t="str">
        <f aca="false">IF(A90="","",COUNTIFS(請求台帳!$C$5:$C$504,A90,請求台帳!$B$5:$B$504,"&gt;="&amp;チェック!$C$4,請求台帳!$B$5:$B$504,"&lt;="&amp;EOMONTH(チェック!$C$4,0),請求台帳!$T$5:$T$504,"&lt;&gt;取消"))</f>
        <v/>
      </c>
      <c r="J90" s="29" t="str">
        <f aca="false">IF(A90="","",IF(AND(取引先マスタ!G90="有",I90=0),"請求漏れ候補",""))</f>
        <v/>
      </c>
    </row>
    <row r="91" customFormat="false" ht="15" hidden="false" customHeight="false" outlineLevel="0" collapsed="false">
      <c r="A91" s="32" t="str">
        <f aca="false">IF(取引先マスタ!A91="","",取引先マスタ!A91)</f>
        <v/>
      </c>
      <c r="B91" s="32" t="str">
        <f aca="false">IF(A91="","",取引先マスタ!B91)</f>
        <v/>
      </c>
      <c r="C91" s="32" t="str">
        <f aca="false">IF(A91="","",取引先マスタ!J91&amp;"")</f>
        <v/>
      </c>
      <c r="D91" s="26" t="str">
        <f aca="false">IF(A91="","",SUMIFS(請求台帳!$S$5:$S$504,請求台帳!$C$5:$C$504,A91,請求台帳!$T$5:$T$504,"&lt;&gt;取消"))</f>
        <v/>
      </c>
      <c r="E91" s="26" t="str">
        <f aca="false">IF(A91="","",D91-SUM(F91:H91))</f>
        <v/>
      </c>
      <c r="F91" s="26" t="str">
        <f aca="false">IF(A91="","",SUMIFS(請求台帳!$S$5:$S$504,請求台帳!$C$5:$C$504,A91,請求台帳!$V$5:$V$504,"&gt;=1",請求台帳!$V$5:$V$504,"&lt;=30"))</f>
        <v/>
      </c>
      <c r="G91" s="26" t="str">
        <f aca="false">IF(A91="","",SUMIFS(請求台帳!$S$5:$S$504,請求台帳!$C$5:$C$504,A91,請求台帳!$V$5:$V$504,"&gt;=31",請求台帳!$V$5:$V$504,"&lt;=60"))</f>
        <v/>
      </c>
      <c r="H91" s="26" t="str">
        <f aca="false">IF(A91="","",SUMIFS(請求台帳!$S$5:$S$504,請求台帳!$C$5:$C$504,A91,請求台帳!$V$5:$V$504,"&gt;=61"))</f>
        <v/>
      </c>
      <c r="I91" s="34" t="str">
        <f aca="false">IF(A91="","",COUNTIFS(請求台帳!$C$5:$C$504,A91,請求台帳!$B$5:$B$504,"&gt;="&amp;チェック!$C$4,請求台帳!$B$5:$B$504,"&lt;="&amp;EOMONTH(チェック!$C$4,0),請求台帳!$T$5:$T$504,"&lt;&gt;取消"))</f>
        <v/>
      </c>
      <c r="J91" s="29" t="str">
        <f aca="false">IF(A91="","",IF(AND(取引先マスタ!G91="有",I91=0),"請求漏れ候補",""))</f>
        <v/>
      </c>
    </row>
    <row r="92" customFormat="false" ht="15" hidden="false" customHeight="false" outlineLevel="0" collapsed="false">
      <c r="A92" s="32" t="str">
        <f aca="false">IF(取引先マスタ!A92="","",取引先マスタ!A92)</f>
        <v/>
      </c>
      <c r="B92" s="32" t="str">
        <f aca="false">IF(A92="","",取引先マスタ!B92)</f>
        <v/>
      </c>
      <c r="C92" s="32" t="str">
        <f aca="false">IF(A92="","",取引先マスタ!J92&amp;"")</f>
        <v/>
      </c>
      <c r="D92" s="26" t="str">
        <f aca="false">IF(A92="","",SUMIFS(請求台帳!$S$5:$S$504,請求台帳!$C$5:$C$504,A92,請求台帳!$T$5:$T$504,"&lt;&gt;取消"))</f>
        <v/>
      </c>
      <c r="E92" s="26" t="str">
        <f aca="false">IF(A92="","",D92-SUM(F92:H92))</f>
        <v/>
      </c>
      <c r="F92" s="26" t="str">
        <f aca="false">IF(A92="","",SUMIFS(請求台帳!$S$5:$S$504,請求台帳!$C$5:$C$504,A92,請求台帳!$V$5:$V$504,"&gt;=1",請求台帳!$V$5:$V$504,"&lt;=30"))</f>
        <v/>
      </c>
      <c r="G92" s="26" t="str">
        <f aca="false">IF(A92="","",SUMIFS(請求台帳!$S$5:$S$504,請求台帳!$C$5:$C$504,A92,請求台帳!$V$5:$V$504,"&gt;=31",請求台帳!$V$5:$V$504,"&lt;=60"))</f>
        <v/>
      </c>
      <c r="H92" s="26" t="str">
        <f aca="false">IF(A92="","",SUMIFS(請求台帳!$S$5:$S$504,請求台帳!$C$5:$C$504,A92,請求台帳!$V$5:$V$504,"&gt;=61"))</f>
        <v/>
      </c>
      <c r="I92" s="34" t="str">
        <f aca="false">IF(A92="","",COUNTIFS(請求台帳!$C$5:$C$504,A92,請求台帳!$B$5:$B$504,"&gt;="&amp;チェック!$C$4,請求台帳!$B$5:$B$504,"&lt;="&amp;EOMONTH(チェック!$C$4,0),請求台帳!$T$5:$T$504,"&lt;&gt;取消"))</f>
        <v/>
      </c>
      <c r="J92" s="29" t="str">
        <f aca="false">IF(A92="","",IF(AND(取引先マスタ!G92="有",I92=0),"請求漏れ候補",""))</f>
        <v/>
      </c>
    </row>
    <row r="93" customFormat="false" ht="15" hidden="false" customHeight="false" outlineLevel="0" collapsed="false">
      <c r="A93" s="32" t="str">
        <f aca="false">IF(取引先マスタ!A93="","",取引先マスタ!A93)</f>
        <v/>
      </c>
      <c r="B93" s="32" t="str">
        <f aca="false">IF(A93="","",取引先マスタ!B93)</f>
        <v/>
      </c>
      <c r="C93" s="32" t="str">
        <f aca="false">IF(A93="","",取引先マスタ!J93&amp;"")</f>
        <v/>
      </c>
      <c r="D93" s="26" t="str">
        <f aca="false">IF(A93="","",SUMIFS(請求台帳!$S$5:$S$504,請求台帳!$C$5:$C$504,A93,請求台帳!$T$5:$T$504,"&lt;&gt;取消"))</f>
        <v/>
      </c>
      <c r="E93" s="26" t="str">
        <f aca="false">IF(A93="","",D93-SUM(F93:H93))</f>
        <v/>
      </c>
      <c r="F93" s="26" t="str">
        <f aca="false">IF(A93="","",SUMIFS(請求台帳!$S$5:$S$504,請求台帳!$C$5:$C$504,A93,請求台帳!$V$5:$V$504,"&gt;=1",請求台帳!$V$5:$V$504,"&lt;=30"))</f>
        <v/>
      </c>
      <c r="G93" s="26" t="str">
        <f aca="false">IF(A93="","",SUMIFS(請求台帳!$S$5:$S$504,請求台帳!$C$5:$C$504,A93,請求台帳!$V$5:$V$504,"&gt;=31",請求台帳!$V$5:$V$504,"&lt;=60"))</f>
        <v/>
      </c>
      <c r="H93" s="26" t="str">
        <f aca="false">IF(A93="","",SUMIFS(請求台帳!$S$5:$S$504,請求台帳!$C$5:$C$504,A93,請求台帳!$V$5:$V$504,"&gt;=61"))</f>
        <v/>
      </c>
      <c r="I93" s="34" t="str">
        <f aca="false">IF(A93="","",COUNTIFS(請求台帳!$C$5:$C$504,A93,請求台帳!$B$5:$B$504,"&gt;="&amp;チェック!$C$4,請求台帳!$B$5:$B$504,"&lt;="&amp;EOMONTH(チェック!$C$4,0),請求台帳!$T$5:$T$504,"&lt;&gt;取消"))</f>
        <v/>
      </c>
      <c r="J93" s="29" t="str">
        <f aca="false">IF(A93="","",IF(AND(取引先マスタ!G93="有",I93=0),"請求漏れ候補",""))</f>
        <v/>
      </c>
    </row>
    <row r="94" customFormat="false" ht="15" hidden="false" customHeight="false" outlineLevel="0" collapsed="false">
      <c r="A94" s="32" t="str">
        <f aca="false">IF(取引先マスタ!A94="","",取引先マスタ!A94)</f>
        <v/>
      </c>
      <c r="B94" s="32" t="str">
        <f aca="false">IF(A94="","",取引先マスタ!B94)</f>
        <v/>
      </c>
      <c r="C94" s="32" t="str">
        <f aca="false">IF(A94="","",取引先マスタ!J94&amp;"")</f>
        <v/>
      </c>
      <c r="D94" s="26" t="str">
        <f aca="false">IF(A94="","",SUMIFS(請求台帳!$S$5:$S$504,請求台帳!$C$5:$C$504,A94,請求台帳!$T$5:$T$504,"&lt;&gt;取消"))</f>
        <v/>
      </c>
      <c r="E94" s="26" t="str">
        <f aca="false">IF(A94="","",D94-SUM(F94:H94))</f>
        <v/>
      </c>
      <c r="F94" s="26" t="str">
        <f aca="false">IF(A94="","",SUMIFS(請求台帳!$S$5:$S$504,請求台帳!$C$5:$C$504,A94,請求台帳!$V$5:$V$504,"&gt;=1",請求台帳!$V$5:$V$504,"&lt;=30"))</f>
        <v/>
      </c>
      <c r="G94" s="26" t="str">
        <f aca="false">IF(A94="","",SUMIFS(請求台帳!$S$5:$S$504,請求台帳!$C$5:$C$504,A94,請求台帳!$V$5:$V$504,"&gt;=31",請求台帳!$V$5:$V$504,"&lt;=60"))</f>
        <v/>
      </c>
      <c r="H94" s="26" t="str">
        <f aca="false">IF(A94="","",SUMIFS(請求台帳!$S$5:$S$504,請求台帳!$C$5:$C$504,A94,請求台帳!$V$5:$V$504,"&gt;=61"))</f>
        <v/>
      </c>
      <c r="I94" s="34" t="str">
        <f aca="false">IF(A94="","",COUNTIFS(請求台帳!$C$5:$C$504,A94,請求台帳!$B$5:$B$504,"&gt;="&amp;チェック!$C$4,請求台帳!$B$5:$B$504,"&lt;="&amp;EOMONTH(チェック!$C$4,0),請求台帳!$T$5:$T$504,"&lt;&gt;取消"))</f>
        <v/>
      </c>
      <c r="J94" s="29" t="str">
        <f aca="false">IF(A94="","",IF(AND(取引先マスタ!G94="有",I94=0),"請求漏れ候補",""))</f>
        <v/>
      </c>
    </row>
    <row r="95" customFormat="false" ht="15" hidden="false" customHeight="false" outlineLevel="0" collapsed="false">
      <c r="A95" s="32" t="str">
        <f aca="false">IF(取引先マスタ!A95="","",取引先マスタ!A95)</f>
        <v/>
      </c>
      <c r="B95" s="32" t="str">
        <f aca="false">IF(A95="","",取引先マスタ!B95)</f>
        <v/>
      </c>
      <c r="C95" s="32" t="str">
        <f aca="false">IF(A95="","",取引先マスタ!J95&amp;"")</f>
        <v/>
      </c>
      <c r="D95" s="26" t="str">
        <f aca="false">IF(A95="","",SUMIFS(請求台帳!$S$5:$S$504,請求台帳!$C$5:$C$504,A95,請求台帳!$T$5:$T$504,"&lt;&gt;取消"))</f>
        <v/>
      </c>
      <c r="E95" s="26" t="str">
        <f aca="false">IF(A95="","",D95-SUM(F95:H95))</f>
        <v/>
      </c>
      <c r="F95" s="26" t="str">
        <f aca="false">IF(A95="","",SUMIFS(請求台帳!$S$5:$S$504,請求台帳!$C$5:$C$504,A95,請求台帳!$V$5:$V$504,"&gt;=1",請求台帳!$V$5:$V$504,"&lt;=30"))</f>
        <v/>
      </c>
      <c r="G95" s="26" t="str">
        <f aca="false">IF(A95="","",SUMIFS(請求台帳!$S$5:$S$504,請求台帳!$C$5:$C$504,A95,請求台帳!$V$5:$V$504,"&gt;=31",請求台帳!$V$5:$V$504,"&lt;=60"))</f>
        <v/>
      </c>
      <c r="H95" s="26" t="str">
        <f aca="false">IF(A95="","",SUMIFS(請求台帳!$S$5:$S$504,請求台帳!$C$5:$C$504,A95,請求台帳!$V$5:$V$504,"&gt;=61"))</f>
        <v/>
      </c>
      <c r="I95" s="34" t="str">
        <f aca="false">IF(A95="","",COUNTIFS(請求台帳!$C$5:$C$504,A95,請求台帳!$B$5:$B$504,"&gt;="&amp;チェック!$C$4,請求台帳!$B$5:$B$504,"&lt;="&amp;EOMONTH(チェック!$C$4,0),請求台帳!$T$5:$T$504,"&lt;&gt;取消"))</f>
        <v/>
      </c>
      <c r="J95" s="29" t="str">
        <f aca="false">IF(A95="","",IF(AND(取引先マスタ!G95="有",I95=0),"請求漏れ候補",""))</f>
        <v/>
      </c>
    </row>
    <row r="96" customFormat="false" ht="15" hidden="false" customHeight="false" outlineLevel="0" collapsed="false">
      <c r="A96" s="32" t="str">
        <f aca="false">IF(取引先マスタ!A96="","",取引先マスタ!A96)</f>
        <v/>
      </c>
      <c r="B96" s="32" t="str">
        <f aca="false">IF(A96="","",取引先マスタ!B96)</f>
        <v/>
      </c>
      <c r="C96" s="32" t="str">
        <f aca="false">IF(A96="","",取引先マスタ!J96&amp;"")</f>
        <v/>
      </c>
      <c r="D96" s="26" t="str">
        <f aca="false">IF(A96="","",SUMIFS(請求台帳!$S$5:$S$504,請求台帳!$C$5:$C$504,A96,請求台帳!$T$5:$T$504,"&lt;&gt;取消"))</f>
        <v/>
      </c>
      <c r="E96" s="26" t="str">
        <f aca="false">IF(A96="","",D96-SUM(F96:H96))</f>
        <v/>
      </c>
      <c r="F96" s="26" t="str">
        <f aca="false">IF(A96="","",SUMIFS(請求台帳!$S$5:$S$504,請求台帳!$C$5:$C$504,A96,請求台帳!$V$5:$V$504,"&gt;=1",請求台帳!$V$5:$V$504,"&lt;=30"))</f>
        <v/>
      </c>
      <c r="G96" s="26" t="str">
        <f aca="false">IF(A96="","",SUMIFS(請求台帳!$S$5:$S$504,請求台帳!$C$5:$C$504,A96,請求台帳!$V$5:$V$504,"&gt;=31",請求台帳!$V$5:$V$504,"&lt;=60"))</f>
        <v/>
      </c>
      <c r="H96" s="26" t="str">
        <f aca="false">IF(A96="","",SUMIFS(請求台帳!$S$5:$S$504,請求台帳!$C$5:$C$504,A96,請求台帳!$V$5:$V$504,"&gt;=61"))</f>
        <v/>
      </c>
      <c r="I96" s="34" t="str">
        <f aca="false">IF(A96="","",COUNTIFS(請求台帳!$C$5:$C$504,A96,請求台帳!$B$5:$B$504,"&gt;="&amp;チェック!$C$4,請求台帳!$B$5:$B$504,"&lt;="&amp;EOMONTH(チェック!$C$4,0),請求台帳!$T$5:$T$504,"&lt;&gt;取消"))</f>
        <v/>
      </c>
      <c r="J96" s="29" t="str">
        <f aca="false">IF(A96="","",IF(AND(取引先マスタ!G96="有",I96=0),"請求漏れ候補",""))</f>
        <v/>
      </c>
    </row>
    <row r="97" customFormat="false" ht="15" hidden="false" customHeight="false" outlineLevel="0" collapsed="false">
      <c r="A97" s="32" t="str">
        <f aca="false">IF(取引先マスタ!A97="","",取引先マスタ!A97)</f>
        <v/>
      </c>
      <c r="B97" s="32" t="str">
        <f aca="false">IF(A97="","",取引先マスタ!B97)</f>
        <v/>
      </c>
      <c r="C97" s="32" t="str">
        <f aca="false">IF(A97="","",取引先マスタ!J97&amp;"")</f>
        <v/>
      </c>
      <c r="D97" s="26" t="str">
        <f aca="false">IF(A97="","",SUMIFS(請求台帳!$S$5:$S$504,請求台帳!$C$5:$C$504,A97,請求台帳!$T$5:$T$504,"&lt;&gt;取消"))</f>
        <v/>
      </c>
      <c r="E97" s="26" t="str">
        <f aca="false">IF(A97="","",D97-SUM(F97:H97))</f>
        <v/>
      </c>
      <c r="F97" s="26" t="str">
        <f aca="false">IF(A97="","",SUMIFS(請求台帳!$S$5:$S$504,請求台帳!$C$5:$C$504,A97,請求台帳!$V$5:$V$504,"&gt;=1",請求台帳!$V$5:$V$504,"&lt;=30"))</f>
        <v/>
      </c>
      <c r="G97" s="26" t="str">
        <f aca="false">IF(A97="","",SUMIFS(請求台帳!$S$5:$S$504,請求台帳!$C$5:$C$504,A97,請求台帳!$V$5:$V$504,"&gt;=31",請求台帳!$V$5:$V$504,"&lt;=60"))</f>
        <v/>
      </c>
      <c r="H97" s="26" t="str">
        <f aca="false">IF(A97="","",SUMIFS(請求台帳!$S$5:$S$504,請求台帳!$C$5:$C$504,A97,請求台帳!$V$5:$V$504,"&gt;=61"))</f>
        <v/>
      </c>
      <c r="I97" s="34" t="str">
        <f aca="false">IF(A97="","",COUNTIFS(請求台帳!$C$5:$C$504,A97,請求台帳!$B$5:$B$504,"&gt;="&amp;チェック!$C$4,請求台帳!$B$5:$B$504,"&lt;="&amp;EOMONTH(チェック!$C$4,0),請求台帳!$T$5:$T$504,"&lt;&gt;取消"))</f>
        <v/>
      </c>
      <c r="J97" s="29" t="str">
        <f aca="false">IF(A97="","",IF(AND(取引先マスタ!G97="有",I97=0),"請求漏れ候補",""))</f>
        <v/>
      </c>
    </row>
    <row r="98" customFormat="false" ht="15" hidden="false" customHeight="false" outlineLevel="0" collapsed="false">
      <c r="A98" s="32" t="str">
        <f aca="false">IF(取引先マスタ!A98="","",取引先マスタ!A98)</f>
        <v/>
      </c>
      <c r="B98" s="32" t="str">
        <f aca="false">IF(A98="","",取引先マスタ!B98)</f>
        <v/>
      </c>
      <c r="C98" s="32" t="str">
        <f aca="false">IF(A98="","",取引先マスタ!J98&amp;"")</f>
        <v/>
      </c>
      <c r="D98" s="26" t="str">
        <f aca="false">IF(A98="","",SUMIFS(請求台帳!$S$5:$S$504,請求台帳!$C$5:$C$504,A98,請求台帳!$T$5:$T$504,"&lt;&gt;取消"))</f>
        <v/>
      </c>
      <c r="E98" s="26" t="str">
        <f aca="false">IF(A98="","",D98-SUM(F98:H98))</f>
        <v/>
      </c>
      <c r="F98" s="26" t="str">
        <f aca="false">IF(A98="","",SUMIFS(請求台帳!$S$5:$S$504,請求台帳!$C$5:$C$504,A98,請求台帳!$V$5:$V$504,"&gt;=1",請求台帳!$V$5:$V$504,"&lt;=30"))</f>
        <v/>
      </c>
      <c r="G98" s="26" t="str">
        <f aca="false">IF(A98="","",SUMIFS(請求台帳!$S$5:$S$504,請求台帳!$C$5:$C$504,A98,請求台帳!$V$5:$V$504,"&gt;=31",請求台帳!$V$5:$V$504,"&lt;=60"))</f>
        <v/>
      </c>
      <c r="H98" s="26" t="str">
        <f aca="false">IF(A98="","",SUMIFS(請求台帳!$S$5:$S$504,請求台帳!$C$5:$C$504,A98,請求台帳!$V$5:$V$504,"&gt;=61"))</f>
        <v/>
      </c>
      <c r="I98" s="34" t="str">
        <f aca="false">IF(A98="","",COUNTIFS(請求台帳!$C$5:$C$504,A98,請求台帳!$B$5:$B$504,"&gt;="&amp;チェック!$C$4,請求台帳!$B$5:$B$504,"&lt;="&amp;EOMONTH(チェック!$C$4,0),請求台帳!$T$5:$T$504,"&lt;&gt;取消"))</f>
        <v/>
      </c>
      <c r="J98" s="29" t="str">
        <f aca="false">IF(A98="","",IF(AND(取引先マスタ!G98="有",I98=0),"請求漏れ候補",""))</f>
        <v/>
      </c>
    </row>
    <row r="99" customFormat="false" ht="15" hidden="false" customHeight="false" outlineLevel="0" collapsed="false">
      <c r="A99" s="32" t="str">
        <f aca="false">IF(取引先マスタ!A99="","",取引先マスタ!A99)</f>
        <v/>
      </c>
      <c r="B99" s="32" t="str">
        <f aca="false">IF(A99="","",取引先マスタ!B99)</f>
        <v/>
      </c>
      <c r="C99" s="32" t="str">
        <f aca="false">IF(A99="","",取引先マスタ!J99&amp;"")</f>
        <v/>
      </c>
      <c r="D99" s="26" t="str">
        <f aca="false">IF(A99="","",SUMIFS(請求台帳!$S$5:$S$504,請求台帳!$C$5:$C$504,A99,請求台帳!$T$5:$T$504,"&lt;&gt;取消"))</f>
        <v/>
      </c>
      <c r="E99" s="26" t="str">
        <f aca="false">IF(A99="","",D99-SUM(F99:H99))</f>
        <v/>
      </c>
      <c r="F99" s="26" t="str">
        <f aca="false">IF(A99="","",SUMIFS(請求台帳!$S$5:$S$504,請求台帳!$C$5:$C$504,A99,請求台帳!$V$5:$V$504,"&gt;=1",請求台帳!$V$5:$V$504,"&lt;=30"))</f>
        <v/>
      </c>
      <c r="G99" s="26" t="str">
        <f aca="false">IF(A99="","",SUMIFS(請求台帳!$S$5:$S$504,請求台帳!$C$5:$C$504,A99,請求台帳!$V$5:$V$504,"&gt;=31",請求台帳!$V$5:$V$504,"&lt;=60"))</f>
        <v/>
      </c>
      <c r="H99" s="26" t="str">
        <f aca="false">IF(A99="","",SUMIFS(請求台帳!$S$5:$S$504,請求台帳!$C$5:$C$504,A99,請求台帳!$V$5:$V$504,"&gt;=61"))</f>
        <v/>
      </c>
      <c r="I99" s="34" t="str">
        <f aca="false">IF(A99="","",COUNTIFS(請求台帳!$C$5:$C$504,A99,請求台帳!$B$5:$B$504,"&gt;="&amp;チェック!$C$4,請求台帳!$B$5:$B$504,"&lt;="&amp;EOMONTH(チェック!$C$4,0),請求台帳!$T$5:$T$504,"&lt;&gt;取消"))</f>
        <v/>
      </c>
      <c r="J99" s="29" t="str">
        <f aca="false">IF(A99="","",IF(AND(取引先マスタ!G99="有",I99=0),"請求漏れ候補",""))</f>
        <v/>
      </c>
    </row>
    <row r="100" customFormat="false" ht="15" hidden="false" customHeight="false" outlineLevel="0" collapsed="false">
      <c r="A100" s="32" t="str">
        <f aca="false">IF(取引先マスタ!A100="","",取引先マスタ!A100)</f>
        <v/>
      </c>
      <c r="B100" s="32" t="str">
        <f aca="false">IF(A100="","",取引先マスタ!B100)</f>
        <v/>
      </c>
      <c r="C100" s="32" t="str">
        <f aca="false">IF(A100="","",取引先マスタ!J100&amp;"")</f>
        <v/>
      </c>
      <c r="D100" s="26" t="str">
        <f aca="false">IF(A100="","",SUMIFS(請求台帳!$S$5:$S$504,請求台帳!$C$5:$C$504,A100,請求台帳!$T$5:$T$504,"&lt;&gt;取消"))</f>
        <v/>
      </c>
      <c r="E100" s="26" t="str">
        <f aca="false">IF(A100="","",D100-SUM(F100:H100))</f>
        <v/>
      </c>
      <c r="F100" s="26" t="str">
        <f aca="false">IF(A100="","",SUMIFS(請求台帳!$S$5:$S$504,請求台帳!$C$5:$C$504,A100,請求台帳!$V$5:$V$504,"&gt;=1",請求台帳!$V$5:$V$504,"&lt;=30"))</f>
        <v/>
      </c>
      <c r="G100" s="26" t="str">
        <f aca="false">IF(A100="","",SUMIFS(請求台帳!$S$5:$S$504,請求台帳!$C$5:$C$504,A100,請求台帳!$V$5:$V$504,"&gt;=31",請求台帳!$V$5:$V$504,"&lt;=60"))</f>
        <v/>
      </c>
      <c r="H100" s="26" t="str">
        <f aca="false">IF(A100="","",SUMIFS(請求台帳!$S$5:$S$504,請求台帳!$C$5:$C$504,A100,請求台帳!$V$5:$V$504,"&gt;=61"))</f>
        <v/>
      </c>
      <c r="I100" s="34" t="str">
        <f aca="false">IF(A100="","",COUNTIFS(請求台帳!$C$5:$C$504,A100,請求台帳!$B$5:$B$504,"&gt;="&amp;チェック!$C$4,請求台帳!$B$5:$B$504,"&lt;="&amp;EOMONTH(チェック!$C$4,0),請求台帳!$T$5:$T$504,"&lt;&gt;取消"))</f>
        <v/>
      </c>
      <c r="J100" s="29" t="str">
        <f aca="false">IF(A100="","",IF(AND(取引先マスタ!G100="有",I100=0),"請求漏れ候補",""))</f>
        <v/>
      </c>
    </row>
    <row r="101" customFormat="false" ht="15" hidden="false" customHeight="false" outlineLevel="0" collapsed="false">
      <c r="A101" s="32" t="str">
        <f aca="false">IF(取引先マスタ!A101="","",取引先マスタ!A101)</f>
        <v/>
      </c>
      <c r="B101" s="32" t="str">
        <f aca="false">IF(A101="","",取引先マスタ!B101)</f>
        <v/>
      </c>
      <c r="C101" s="32" t="str">
        <f aca="false">IF(A101="","",取引先マスタ!J101&amp;"")</f>
        <v/>
      </c>
      <c r="D101" s="26" t="str">
        <f aca="false">IF(A101="","",SUMIFS(請求台帳!$S$5:$S$504,請求台帳!$C$5:$C$504,A101,請求台帳!$T$5:$T$504,"&lt;&gt;取消"))</f>
        <v/>
      </c>
      <c r="E101" s="26" t="str">
        <f aca="false">IF(A101="","",D101-SUM(F101:H101))</f>
        <v/>
      </c>
      <c r="F101" s="26" t="str">
        <f aca="false">IF(A101="","",SUMIFS(請求台帳!$S$5:$S$504,請求台帳!$C$5:$C$504,A101,請求台帳!$V$5:$V$504,"&gt;=1",請求台帳!$V$5:$V$504,"&lt;=30"))</f>
        <v/>
      </c>
      <c r="G101" s="26" t="str">
        <f aca="false">IF(A101="","",SUMIFS(請求台帳!$S$5:$S$504,請求台帳!$C$5:$C$504,A101,請求台帳!$V$5:$V$504,"&gt;=31",請求台帳!$V$5:$V$504,"&lt;=60"))</f>
        <v/>
      </c>
      <c r="H101" s="26" t="str">
        <f aca="false">IF(A101="","",SUMIFS(請求台帳!$S$5:$S$504,請求台帳!$C$5:$C$504,A101,請求台帳!$V$5:$V$504,"&gt;=61"))</f>
        <v/>
      </c>
      <c r="I101" s="34" t="str">
        <f aca="false">IF(A101="","",COUNTIFS(請求台帳!$C$5:$C$504,A101,請求台帳!$B$5:$B$504,"&gt;="&amp;チェック!$C$4,請求台帳!$B$5:$B$504,"&lt;="&amp;EOMONTH(チェック!$C$4,0),請求台帳!$T$5:$T$504,"&lt;&gt;取消"))</f>
        <v/>
      </c>
      <c r="J101" s="29" t="str">
        <f aca="false">IF(A101="","",IF(AND(取引先マスタ!G101="有",I101=0),"請求漏れ候補",""))</f>
        <v/>
      </c>
    </row>
    <row r="102" customFormat="false" ht="15" hidden="false" customHeight="false" outlineLevel="0" collapsed="false">
      <c r="A102" s="32" t="str">
        <f aca="false">IF(取引先マスタ!A102="","",取引先マスタ!A102)</f>
        <v/>
      </c>
      <c r="B102" s="32" t="str">
        <f aca="false">IF(A102="","",取引先マスタ!B102)</f>
        <v/>
      </c>
      <c r="C102" s="32" t="str">
        <f aca="false">IF(A102="","",取引先マスタ!J102&amp;"")</f>
        <v/>
      </c>
      <c r="D102" s="26" t="str">
        <f aca="false">IF(A102="","",SUMIFS(請求台帳!$S$5:$S$504,請求台帳!$C$5:$C$504,A102,請求台帳!$T$5:$T$504,"&lt;&gt;取消"))</f>
        <v/>
      </c>
      <c r="E102" s="26" t="str">
        <f aca="false">IF(A102="","",D102-SUM(F102:H102))</f>
        <v/>
      </c>
      <c r="F102" s="26" t="str">
        <f aca="false">IF(A102="","",SUMIFS(請求台帳!$S$5:$S$504,請求台帳!$C$5:$C$504,A102,請求台帳!$V$5:$V$504,"&gt;=1",請求台帳!$V$5:$V$504,"&lt;=30"))</f>
        <v/>
      </c>
      <c r="G102" s="26" t="str">
        <f aca="false">IF(A102="","",SUMIFS(請求台帳!$S$5:$S$504,請求台帳!$C$5:$C$504,A102,請求台帳!$V$5:$V$504,"&gt;=31",請求台帳!$V$5:$V$504,"&lt;=60"))</f>
        <v/>
      </c>
      <c r="H102" s="26" t="str">
        <f aca="false">IF(A102="","",SUMIFS(請求台帳!$S$5:$S$504,請求台帳!$C$5:$C$504,A102,請求台帳!$V$5:$V$504,"&gt;=61"))</f>
        <v/>
      </c>
      <c r="I102" s="34" t="str">
        <f aca="false">IF(A102="","",COUNTIFS(請求台帳!$C$5:$C$504,A102,請求台帳!$B$5:$B$504,"&gt;="&amp;チェック!$C$4,請求台帳!$B$5:$B$504,"&lt;="&amp;EOMONTH(チェック!$C$4,0),請求台帳!$T$5:$T$504,"&lt;&gt;取消"))</f>
        <v/>
      </c>
      <c r="J102" s="29" t="str">
        <f aca="false">IF(A102="","",IF(AND(取引先マスタ!G102="有",I102=0),"請求漏れ候補",""))</f>
        <v/>
      </c>
    </row>
    <row r="103" customFormat="false" ht="15" hidden="false" customHeight="false" outlineLevel="0" collapsed="false">
      <c r="A103" s="32" t="str">
        <f aca="false">IF(取引先マスタ!A103="","",取引先マスタ!A103)</f>
        <v/>
      </c>
      <c r="B103" s="32" t="str">
        <f aca="false">IF(A103="","",取引先マスタ!B103)</f>
        <v/>
      </c>
      <c r="C103" s="32" t="str">
        <f aca="false">IF(A103="","",取引先マスタ!J103&amp;"")</f>
        <v/>
      </c>
      <c r="D103" s="26" t="str">
        <f aca="false">IF(A103="","",SUMIFS(請求台帳!$S$5:$S$504,請求台帳!$C$5:$C$504,A103,請求台帳!$T$5:$T$504,"&lt;&gt;取消"))</f>
        <v/>
      </c>
      <c r="E103" s="26" t="str">
        <f aca="false">IF(A103="","",D103-SUM(F103:H103))</f>
        <v/>
      </c>
      <c r="F103" s="26" t="str">
        <f aca="false">IF(A103="","",SUMIFS(請求台帳!$S$5:$S$504,請求台帳!$C$5:$C$504,A103,請求台帳!$V$5:$V$504,"&gt;=1",請求台帳!$V$5:$V$504,"&lt;=30"))</f>
        <v/>
      </c>
      <c r="G103" s="26" t="str">
        <f aca="false">IF(A103="","",SUMIFS(請求台帳!$S$5:$S$504,請求台帳!$C$5:$C$504,A103,請求台帳!$V$5:$V$504,"&gt;=31",請求台帳!$V$5:$V$504,"&lt;=60"))</f>
        <v/>
      </c>
      <c r="H103" s="26" t="str">
        <f aca="false">IF(A103="","",SUMIFS(請求台帳!$S$5:$S$504,請求台帳!$C$5:$C$504,A103,請求台帳!$V$5:$V$504,"&gt;=61"))</f>
        <v/>
      </c>
      <c r="I103" s="34" t="str">
        <f aca="false">IF(A103="","",COUNTIFS(請求台帳!$C$5:$C$504,A103,請求台帳!$B$5:$B$504,"&gt;="&amp;チェック!$C$4,請求台帳!$B$5:$B$504,"&lt;="&amp;EOMONTH(チェック!$C$4,0),請求台帳!$T$5:$T$504,"&lt;&gt;取消"))</f>
        <v/>
      </c>
      <c r="J103" s="29" t="str">
        <f aca="false">IF(A103="","",IF(AND(取引先マスタ!G103="有",I103=0),"請求漏れ候補",""))</f>
        <v/>
      </c>
    </row>
    <row r="104" customFormat="false" ht="15" hidden="false" customHeight="false" outlineLevel="0" collapsed="false">
      <c r="A104" s="32" t="str">
        <f aca="false">IF(取引先マスタ!A104="","",取引先マスタ!A104)</f>
        <v/>
      </c>
      <c r="B104" s="32" t="str">
        <f aca="false">IF(A104="","",取引先マスタ!B104)</f>
        <v/>
      </c>
      <c r="C104" s="32" t="str">
        <f aca="false">IF(A104="","",取引先マスタ!J104&amp;"")</f>
        <v/>
      </c>
      <c r="D104" s="26" t="str">
        <f aca="false">IF(A104="","",SUMIFS(請求台帳!$S$5:$S$504,請求台帳!$C$5:$C$504,A104,請求台帳!$T$5:$T$504,"&lt;&gt;取消"))</f>
        <v/>
      </c>
      <c r="E104" s="26" t="str">
        <f aca="false">IF(A104="","",D104-SUM(F104:H104))</f>
        <v/>
      </c>
      <c r="F104" s="26" t="str">
        <f aca="false">IF(A104="","",SUMIFS(請求台帳!$S$5:$S$504,請求台帳!$C$5:$C$504,A104,請求台帳!$V$5:$V$504,"&gt;=1",請求台帳!$V$5:$V$504,"&lt;=30"))</f>
        <v/>
      </c>
      <c r="G104" s="26" t="str">
        <f aca="false">IF(A104="","",SUMIFS(請求台帳!$S$5:$S$504,請求台帳!$C$5:$C$504,A104,請求台帳!$V$5:$V$504,"&gt;=31",請求台帳!$V$5:$V$504,"&lt;=60"))</f>
        <v/>
      </c>
      <c r="H104" s="26" t="str">
        <f aca="false">IF(A104="","",SUMIFS(請求台帳!$S$5:$S$504,請求台帳!$C$5:$C$504,A104,請求台帳!$V$5:$V$504,"&gt;=61"))</f>
        <v/>
      </c>
      <c r="I104" s="34" t="str">
        <f aca="false">IF(A104="","",COUNTIFS(請求台帳!$C$5:$C$504,A104,請求台帳!$B$5:$B$504,"&gt;="&amp;チェック!$C$4,請求台帳!$B$5:$B$504,"&lt;="&amp;EOMONTH(チェック!$C$4,0),請求台帳!$T$5:$T$504,"&lt;&gt;取消"))</f>
        <v/>
      </c>
      <c r="J104" s="29" t="str">
        <f aca="false">IF(A104="","",IF(AND(取引先マスタ!G104="有",I104=0),"請求漏れ候補",""))</f>
        <v/>
      </c>
    </row>
    <row r="105" customFormat="false" ht="15" hidden="false" customHeight="false" outlineLevel="0" collapsed="false">
      <c r="A105" s="32" t="str">
        <f aca="false">IF(取引先マスタ!A105="","",取引先マスタ!A105)</f>
        <v/>
      </c>
      <c r="B105" s="32" t="str">
        <f aca="false">IF(A105="","",取引先マスタ!B105)</f>
        <v/>
      </c>
      <c r="C105" s="32" t="str">
        <f aca="false">IF(A105="","",取引先マスタ!J105&amp;"")</f>
        <v/>
      </c>
      <c r="D105" s="26" t="str">
        <f aca="false">IF(A105="","",SUMIFS(請求台帳!$S$5:$S$504,請求台帳!$C$5:$C$504,A105,請求台帳!$T$5:$T$504,"&lt;&gt;取消"))</f>
        <v/>
      </c>
      <c r="E105" s="26" t="str">
        <f aca="false">IF(A105="","",D105-SUM(F105:H105))</f>
        <v/>
      </c>
      <c r="F105" s="26" t="str">
        <f aca="false">IF(A105="","",SUMIFS(請求台帳!$S$5:$S$504,請求台帳!$C$5:$C$504,A105,請求台帳!$V$5:$V$504,"&gt;=1",請求台帳!$V$5:$V$504,"&lt;=30"))</f>
        <v/>
      </c>
      <c r="G105" s="26" t="str">
        <f aca="false">IF(A105="","",SUMIFS(請求台帳!$S$5:$S$504,請求台帳!$C$5:$C$504,A105,請求台帳!$V$5:$V$504,"&gt;=31",請求台帳!$V$5:$V$504,"&lt;=60"))</f>
        <v/>
      </c>
      <c r="H105" s="26" t="str">
        <f aca="false">IF(A105="","",SUMIFS(請求台帳!$S$5:$S$504,請求台帳!$C$5:$C$504,A105,請求台帳!$V$5:$V$504,"&gt;=61"))</f>
        <v/>
      </c>
      <c r="I105" s="34" t="str">
        <f aca="false">IF(A105="","",COUNTIFS(請求台帳!$C$5:$C$504,A105,請求台帳!$B$5:$B$504,"&gt;="&amp;チェック!$C$4,請求台帳!$B$5:$B$504,"&lt;="&amp;EOMONTH(チェック!$C$4,0),請求台帳!$T$5:$T$504,"&lt;&gt;取消"))</f>
        <v/>
      </c>
      <c r="J105" s="29" t="str">
        <f aca="false">IF(A105="","",IF(AND(取引先マスタ!G105="有",I105=0),"請求漏れ候補",""))</f>
        <v/>
      </c>
    </row>
    <row r="106" customFormat="false" ht="15" hidden="false" customHeight="false" outlineLevel="0" collapsed="false">
      <c r="A106" s="32" t="str">
        <f aca="false">IF(取引先マスタ!A106="","",取引先マスタ!A106)</f>
        <v/>
      </c>
      <c r="B106" s="32" t="str">
        <f aca="false">IF(A106="","",取引先マスタ!B106)</f>
        <v/>
      </c>
      <c r="C106" s="32" t="str">
        <f aca="false">IF(A106="","",取引先マスタ!J106&amp;"")</f>
        <v/>
      </c>
      <c r="D106" s="26" t="str">
        <f aca="false">IF(A106="","",SUMIFS(請求台帳!$S$5:$S$504,請求台帳!$C$5:$C$504,A106,請求台帳!$T$5:$T$504,"&lt;&gt;取消"))</f>
        <v/>
      </c>
      <c r="E106" s="26" t="str">
        <f aca="false">IF(A106="","",D106-SUM(F106:H106))</f>
        <v/>
      </c>
      <c r="F106" s="26" t="str">
        <f aca="false">IF(A106="","",SUMIFS(請求台帳!$S$5:$S$504,請求台帳!$C$5:$C$504,A106,請求台帳!$V$5:$V$504,"&gt;=1",請求台帳!$V$5:$V$504,"&lt;=30"))</f>
        <v/>
      </c>
      <c r="G106" s="26" t="str">
        <f aca="false">IF(A106="","",SUMIFS(請求台帳!$S$5:$S$504,請求台帳!$C$5:$C$504,A106,請求台帳!$V$5:$V$504,"&gt;=31",請求台帳!$V$5:$V$504,"&lt;=60"))</f>
        <v/>
      </c>
      <c r="H106" s="26" t="str">
        <f aca="false">IF(A106="","",SUMIFS(請求台帳!$S$5:$S$504,請求台帳!$C$5:$C$504,A106,請求台帳!$V$5:$V$504,"&gt;=61"))</f>
        <v/>
      </c>
      <c r="I106" s="34" t="str">
        <f aca="false">IF(A106="","",COUNTIFS(請求台帳!$C$5:$C$504,A106,請求台帳!$B$5:$B$504,"&gt;="&amp;チェック!$C$4,請求台帳!$B$5:$B$504,"&lt;="&amp;EOMONTH(チェック!$C$4,0),請求台帳!$T$5:$T$504,"&lt;&gt;取消"))</f>
        <v/>
      </c>
      <c r="J106" s="29" t="str">
        <f aca="false">IF(A106="","",IF(AND(取引先マスタ!G106="有",I106=0),"請求漏れ候補",""))</f>
        <v/>
      </c>
    </row>
    <row r="107" customFormat="false" ht="15" hidden="false" customHeight="false" outlineLevel="0" collapsed="false">
      <c r="A107" s="32" t="str">
        <f aca="false">IF(取引先マスタ!A107="","",取引先マスタ!A107)</f>
        <v/>
      </c>
      <c r="B107" s="32" t="str">
        <f aca="false">IF(A107="","",取引先マスタ!B107)</f>
        <v/>
      </c>
      <c r="C107" s="32" t="str">
        <f aca="false">IF(A107="","",取引先マスタ!J107&amp;"")</f>
        <v/>
      </c>
      <c r="D107" s="26" t="str">
        <f aca="false">IF(A107="","",SUMIFS(請求台帳!$S$5:$S$504,請求台帳!$C$5:$C$504,A107,請求台帳!$T$5:$T$504,"&lt;&gt;取消"))</f>
        <v/>
      </c>
      <c r="E107" s="26" t="str">
        <f aca="false">IF(A107="","",D107-SUM(F107:H107))</f>
        <v/>
      </c>
      <c r="F107" s="26" t="str">
        <f aca="false">IF(A107="","",SUMIFS(請求台帳!$S$5:$S$504,請求台帳!$C$5:$C$504,A107,請求台帳!$V$5:$V$504,"&gt;=1",請求台帳!$V$5:$V$504,"&lt;=30"))</f>
        <v/>
      </c>
      <c r="G107" s="26" t="str">
        <f aca="false">IF(A107="","",SUMIFS(請求台帳!$S$5:$S$504,請求台帳!$C$5:$C$504,A107,請求台帳!$V$5:$V$504,"&gt;=31",請求台帳!$V$5:$V$504,"&lt;=60"))</f>
        <v/>
      </c>
      <c r="H107" s="26" t="str">
        <f aca="false">IF(A107="","",SUMIFS(請求台帳!$S$5:$S$504,請求台帳!$C$5:$C$504,A107,請求台帳!$V$5:$V$504,"&gt;=61"))</f>
        <v/>
      </c>
      <c r="I107" s="34" t="str">
        <f aca="false">IF(A107="","",COUNTIFS(請求台帳!$C$5:$C$504,A107,請求台帳!$B$5:$B$504,"&gt;="&amp;チェック!$C$4,請求台帳!$B$5:$B$504,"&lt;="&amp;EOMONTH(チェック!$C$4,0),請求台帳!$T$5:$T$504,"&lt;&gt;取消"))</f>
        <v/>
      </c>
      <c r="J107" s="29" t="str">
        <f aca="false">IF(A107="","",IF(AND(取引先マスタ!G107="有",I107=0),"請求漏れ候補",""))</f>
        <v/>
      </c>
    </row>
    <row r="108" customFormat="false" ht="15" hidden="false" customHeight="false" outlineLevel="0" collapsed="false">
      <c r="A108" s="32" t="str">
        <f aca="false">IF(取引先マスタ!A108="","",取引先マスタ!A108)</f>
        <v/>
      </c>
      <c r="B108" s="32" t="str">
        <f aca="false">IF(A108="","",取引先マスタ!B108)</f>
        <v/>
      </c>
      <c r="C108" s="32" t="str">
        <f aca="false">IF(A108="","",取引先マスタ!J108&amp;"")</f>
        <v/>
      </c>
      <c r="D108" s="26" t="str">
        <f aca="false">IF(A108="","",SUMIFS(請求台帳!$S$5:$S$504,請求台帳!$C$5:$C$504,A108,請求台帳!$T$5:$T$504,"&lt;&gt;取消"))</f>
        <v/>
      </c>
      <c r="E108" s="26" t="str">
        <f aca="false">IF(A108="","",D108-SUM(F108:H108))</f>
        <v/>
      </c>
      <c r="F108" s="26" t="str">
        <f aca="false">IF(A108="","",SUMIFS(請求台帳!$S$5:$S$504,請求台帳!$C$5:$C$504,A108,請求台帳!$V$5:$V$504,"&gt;=1",請求台帳!$V$5:$V$504,"&lt;=30"))</f>
        <v/>
      </c>
      <c r="G108" s="26" t="str">
        <f aca="false">IF(A108="","",SUMIFS(請求台帳!$S$5:$S$504,請求台帳!$C$5:$C$504,A108,請求台帳!$V$5:$V$504,"&gt;=31",請求台帳!$V$5:$V$504,"&lt;=60"))</f>
        <v/>
      </c>
      <c r="H108" s="26" t="str">
        <f aca="false">IF(A108="","",SUMIFS(請求台帳!$S$5:$S$504,請求台帳!$C$5:$C$504,A108,請求台帳!$V$5:$V$504,"&gt;=61"))</f>
        <v/>
      </c>
      <c r="I108" s="34" t="str">
        <f aca="false">IF(A108="","",COUNTIFS(請求台帳!$C$5:$C$504,A108,請求台帳!$B$5:$B$504,"&gt;="&amp;チェック!$C$4,請求台帳!$B$5:$B$504,"&lt;="&amp;EOMONTH(チェック!$C$4,0),請求台帳!$T$5:$T$504,"&lt;&gt;取消"))</f>
        <v/>
      </c>
      <c r="J108" s="29" t="str">
        <f aca="false">IF(A108="","",IF(AND(取引先マスタ!G108="有",I108=0),"請求漏れ候補",""))</f>
        <v/>
      </c>
    </row>
    <row r="109" customFormat="false" ht="15" hidden="false" customHeight="false" outlineLevel="0" collapsed="false">
      <c r="A109" s="32" t="str">
        <f aca="false">IF(取引先マスタ!A109="","",取引先マスタ!A109)</f>
        <v/>
      </c>
      <c r="B109" s="32" t="str">
        <f aca="false">IF(A109="","",取引先マスタ!B109)</f>
        <v/>
      </c>
      <c r="C109" s="32" t="str">
        <f aca="false">IF(A109="","",取引先マスタ!J109&amp;"")</f>
        <v/>
      </c>
      <c r="D109" s="26" t="str">
        <f aca="false">IF(A109="","",SUMIFS(請求台帳!$S$5:$S$504,請求台帳!$C$5:$C$504,A109,請求台帳!$T$5:$T$504,"&lt;&gt;取消"))</f>
        <v/>
      </c>
      <c r="E109" s="26" t="str">
        <f aca="false">IF(A109="","",D109-SUM(F109:H109))</f>
        <v/>
      </c>
      <c r="F109" s="26" t="str">
        <f aca="false">IF(A109="","",SUMIFS(請求台帳!$S$5:$S$504,請求台帳!$C$5:$C$504,A109,請求台帳!$V$5:$V$504,"&gt;=1",請求台帳!$V$5:$V$504,"&lt;=30"))</f>
        <v/>
      </c>
      <c r="G109" s="26" t="str">
        <f aca="false">IF(A109="","",SUMIFS(請求台帳!$S$5:$S$504,請求台帳!$C$5:$C$504,A109,請求台帳!$V$5:$V$504,"&gt;=31",請求台帳!$V$5:$V$504,"&lt;=60"))</f>
        <v/>
      </c>
      <c r="H109" s="26" t="str">
        <f aca="false">IF(A109="","",SUMIFS(請求台帳!$S$5:$S$504,請求台帳!$C$5:$C$504,A109,請求台帳!$V$5:$V$504,"&gt;=61"))</f>
        <v/>
      </c>
      <c r="I109" s="34" t="str">
        <f aca="false">IF(A109="","",COUNTIFS(請求台帳!$C$5:$C$504,A109,請求台帳!$B$5:$B$504,"&gt;="&amp;チェック!$C$4,請求台帳!$B$5:$B$504,"&lt;="&amp;EOMONTH(チェック!$C$4,0),請求台帳!$T$5:$T$504,"&lt;&gt;取消"))</f>
        <v/>
      </c>
      <c r="J109" s="29" t="str">
        <f aca="false">IF(A109="","",IF(AND(取引先マスタ!G109="有",I109=0),"請求漏れ候補",""))</f>
        <v/>
      </c>
    </row>
    <row r="110" customFormat="false" ht="15" hidden="false" customHeight="false" outlineLevel="0" collapsed="false">
      <c r="A110" s="32" t="str">
        <f aca="false">IF(取引先マスタ!A110="","",取引先マスタ!A110)</f>
        <v/>
      </c>
      <c r="B110" s="32" t="str">
        <f aca="false">IF(A110="","",取引先マスタ!B110)</f>
        <v/>
      </c>
      <c r="C110" s="32" t="str">
        <f aca="false">IF(A110="","",取引先マスタ!J110&amp;"")</f>
        <v/>
      </c>
      <c r="D110" s="26" t="str">
        <f aca="false">IF(A110="","",SUMIFS(請求台帳!$S$5:$S$504,請求台帳!$C$5:$C$504,A110,請求台帳!$T$5:$T$504,"&lt;&gt;取消"))</f>
        <v/>
      </c>
      <c r="E110" s="26" t="str">
        <f aca="false">IF(A110="","",D110-SUM(F110:H110))</f>
        <v/>
      </c>
      <c r="F110" s="26" t="str">
        <f aca="false">IF(A110="","",SUMIFS(請求台帳!$S$5:$S$504,請求台帳!$C$5:$C$504,A110,請求台帳!$V$5:$V$504,"&gt;=1",請求台帳!$V$5:$V$504,"&lt;=30"))</f>
        <v/>
      </c>
      <c r="G110" s="26" t="str">
        <f aca="false">IF(A110="","",SUMIFS(請求台帳!$S$5:$S$504,請求台帳!$C$5:$C$504,A110,請求台帳!$V$5:$V$504,"&gt;=31",請求台帳!$V$5:$V$504,"&lt;=60"))</f>
        <v/>
      </c>
      <c r="H110" s="26" t="str">
        <f aca="false">IF(A110="","",SUMIFS(請求台帳!$S$5:$S$504,請求台帳!$C$5:$C$504,A110,請求台帳!$V$5:$V$504,"&gt;=61"))</f>
        <v/>
      </c>
      <c r="I110" s="34" t="str">
        <f aca="false">IF(A110="","",COUNTIFS(請求台帳!$C$5:$C$504,A110,請求台帳!$B$5:$B$504,"&gt;="&amp;チェック!$C$4,請求台帳!$B$5:$B$504,"&lt;="&amp;EOMONTH(チェック!$C$4,0),請求台帳!$T$5:$T$504,"&lt;&gt;取消"))</f>
        <v/>
      </c>
      <c r="J110" s="29" t="str">
        <f aca="false">IF(A110="","",IF(AND(取引先マスタ!G110="有",I110=0),"請求漏れ候補",""))</f>
        <v/>
      </c>
    </row>
    <row r="111" customFormat="false" ht="15" hidden="false" customHeight="false" outlineLevel="0" collapsed="false">
      <c r="A111" s="32" t="str">
        <f aca="false">IF(取引先マスタ!A111="","",取引先マスタ!A111)</f>
        <v/>
      </c>
      <c r="B111" s="32" t="str">
        <f aca="false">IF(A111="","",取引先マスタ!B111)</f>
        <v/>
      </c>
      <c r="C111" s="32" t="str">
        <f aca="false">IF(A111="","",取引先マスタ!J111&amp;"")</f>
        <v/>
      </c>
      <c r="D111" s="26" t="str">
        <f aca="false">IF(A111="","",SUMIFS(請求台帳!$S$5:$S$504,請求台帳!$C$5:$C$504,A111,請求台帳!$T$5:$T$504,"&lt;&gt;取消"))</f>
        <v/>
      </c>
      <c r="E111" s="26" t="str">
        <f aca="false">IF(A111="","",D111-SUM(F111:H111))</f>
        <v/>
      </c>
      <c r="F111" s="26" t="str">
        <f aca="false">IF(A111="","",SUMIFS(請求台帳!$S$5:$S$504,請求台帳!$C$5:$C$504,A111,請求台帳!$V$5:$V$504,"&gt;=1",請求台帳!$V$5:$V$504,"&lt;=30"))</f>
        <v/>
      </c>
      <c r="G111" s="26" t="str">
        <f aca="false">IF(A111="","",SUMIFS(請求台帳!$S$5:$S$504,請求台帳!$C$5:$C$504,A111,請求台帳!$V$5:$V$504,"&gt;=31",請求台帳!$V$5:$V$504,"&lt;=60"))</f>
        <v/>
      </c>
      <c r="H111" s="26" t="str">
        <f aca="false">IF(A111="","",SUMIFS(請求台帳!$S$5:$S$504,請求台帳!$C$5:$C$504,A111,請求台帳!$V$5:$V$504,"&gt;=61"))</f>
        <v/>
      </c>
      <c r="I111" s="34" t="str">
        <f aca="false">IF(A111="","",COUNTIFS(請求台帳!$C$5:$C$504,A111,請求台帳!$B$5:$B$504,"&gt;="&amp;チェック!$C$4,請求台帳!$B$5:$B$504,"&lt;="&amp;EOMONTH(チェック!$C$4,0),請求台帳!$T$5:$T$504,"&lt;&gt;取消"))</f>
        <v/>
      </c>
      <c r="J111" s="29" t="str">
        <f aca="false">IF(A111="","",IF(AND(取引先マスタ!G111="有",I111=0),"請求漏れ候補",""))</f>
        <v/>
      </c>
    </row>
    <row r="112" customFormat="false" ht="15" hidden="false" customHeight="false" outlineLevel="0" collapsed="false">
      <c r="A112" s="32" t="str">
        <f aca="false">IF(取引先マスタ!A112="","",取引先マスタ!A112)</f>
        <v/>
      </c>
      <c r="B112" s="32" t="str">
        <f aca="false">IF(A112="","",取引先マスタ!B112)</f>
        <v/>
      </c>
      <c r="C112" s="32" t="str">
        <f aca="false">IF(A112="","",取引先マスタ!J112&amp;"")</f>
        <v/>
      </c>
      <c r="D112" s="26" t="str">
        <f aca="false">IF(A112="","",SUMIFS(請求台帳!$S$5:$S$504,請求台帳!$C$5:$C$504,A112,請求台帳!$T$5:$T$504,"&lt;&gt;取消"))</f>
        <v/>
      </c>
      <c r="E112" s="26" t="str">
        <f aca="false">IF(A112="","",D112-SUM(F112:H112))</f>
        <v/>
      </c>
      <c r="F112" s="26" t="str">
        <f aca="false">IF(A112="","",SUMIFS(請求台帳!$S$5:$S$504,請求台帳!$C$5:$C$504,A112,請求台帳!$V$5:$V$504,"&gt;=1",請求台帳!$V$5:$V$504,"&lt;=30"))</f>
        <v/>
      </c>
      <c r="G112" s="26" t="str">
        <f aca="false">IF(A112="","",SUMIFS(請求台帳!$S$5:$S$504,請求台帳!$C$5:$C$504,A112,請求台帳!$V$5:$V$504,"&gt;=31",請求台帳!$V$5:$V$504,"&lt;=60"))</f>
        <v/>
      </c>
      <c r="H112" s="26" t="str">
        <f aca="false">IF(A112="","",SUMIFS(請求台帳!$S$5:$S$504,請求台帳!$C$5:$C$504,A112,請求台帳!$V$5:$V$504,"&gt;=61"))</f>
        <v/>
      </c>
      <c r="I112" s="34" t="str">
        <f aca="false">IF(A112="","",COUNTIFS(請求台帳!$C$5:$C$504,A112,請求台帳!$B$5:$B$504,"&gt;="&amp;チェック!$C$4,請求台帳!$B$5:$B$504,"&lt;="&amp;EOMONTH(チェック!$C$4,0),請求台帳!$T$5:$T$504,"&lt;&gt;取消"))</f>
        <v/>
      </c>
      <c r="J112" s="29" t="str">
        <f aca="false">IF(A112="","",IF(AND(取引先マスタ!G112="有",I112=0),"請求漏れ候補",""))</f>
        <v/>
      </c>
    </row>
    <row r="113" customFormat="false" ht="15" hidden="false" customHeight="false" outlineLevel="0" collapsed="false">
      <c r="A113" s="32" t="str">
        <f aca="false">IF(取引先マスタ!A113="","",取引先マスタ!A113)</f>
        <v/>
      </c>
      <c r="B113" s="32" t="str">
        <f aca="false">IF(A113="","",取引先マスタ!B113)</f>
        <v/>
      </c>
      <c r="C113" s="32" t="str">
        <f aca="false">IF(A113="","",取引先マスタ!J113&amp;"")</f>
        <v/>
      </c>
      <c r="D113" s="26" t="str">
        <f aca="false">IF(A113="","",SUMIFS(請求台帳!$S$5:$S$504,請求台帳!$C$5:$C$504,A113,請求台帳!$T$5:$T$504,"&lt;&gt;取消"))</f>
        <v/>
      </c>
      <c r="E113" s="26" t="str">
        <f aca="false">IF(A113="","",D113-SUM(F113:H113))</f>
        <v/>
      </c>
      <c r="F113" s="26" t="str">
        <f aca="false">IF(A113="","",SUMIFS(請求台帳!$S$5:$S$504,請求台帳!$C$5:$C$504,A113,請求台帳!$V$5:$V$504,"&gt;=1",請求台帳!$V$5:$V$504,"&lt;=30"))</f>
        <v/>
      </c>
      <c r="G113" s="26" t="str">
        <f aca="false">IF(A113="","",SUMIFS(請求台帳!$S$5:$S$504,請求台帳!$C$5:$C$504,A113,請求台帳!$V$5:$V$504,"&gt;=31",請求台帳!$V$5:$V$504,"&lt;=60"))</f>
        <v/>
      </c>
      <c r="H113" s="26" t="str">
        <f aca="false">IF(A113="","",SUMIFS(請求台帳!$S$5:$S$504,請求台帳!$C$5:$C$504,A113,請求台帳!$V$5:$V$504,"&gt;=61"))</f>
        <v/>
      </c>
      <c r="I113" s="34" t="str">
        <f aca="false">IF(A113="","",COUNTIFS(請求台帳!$C$5:$C$504,A113,請求台帳!$B$5:$B$504,"&gt;="&amp;チェック!$C$4,請求台帳!$B$5:$B$504,"&lt;="&amp;EOMONTH(チェック!$C$4,0),請求台帳!$T$5:$T$504,"&lt;&gt;取消"))</f>
        <v/>
      </c>
      <c r="J113" s="29" t="str">
        <f aca="false">IF(A113="","",IF(AND(取引先マスタ!G113="有",I113=0),"請求漏れ候補",""))</f>
        <v/>
      </c>
    </row>
    <row r="114" customFormat="false" ht="15" hidden="false" customHeight="false" outlineLevel="0" collapsed="false">
      <c r="A114" s="32" t="str">
        <f aca="false">IF(取引先マスタ!A114="","",取引先マスタ!A114)</f>
        <v/>
      </c>
      <c r="B114" s="32" t="str">
        <f aca="false">IF(A114="","",取引先マスタ!B114)</f>
        <v/>
      </c>
      <c r="C114" s="32" t="str">
        <f aca="false">IF(A114="","",取引先マスタ!J114&amp;"")</f>
        <v/>
      </c>
      <c r="D114" s="26" t="str">
        <f aca="false">IF(A114="","",SUMIFS(請求台帳!$S$5:$S$504,請求台帳!$C$5:$C$504,A114,請求台帳!$T$5:$T$504,"&lt;&gt;取消"))</f>
        <v/>
      </c>
      <c r="E114" s="26" t="str">
        <f aca="false">IF(A114="","",D114-SUM(F114:H114))</f>
        <v/>
      </c>
      <c r="F114" s="26" t="str">
        <f aca="false">IF(A114="","",SUMIFS(請求台帳!$S$5:$S$504,請求台帳!$C$5:$C$504,A114,請求台帳!$V$5:$V$504,"&gt;=1",請求台帳!$V$5:$V$504,"&lt;=30"))</f>
        <v/>
      </c>
      <c r="G114" s="26" t="str">
        <f aca="false">IF(A114="","",SUMIFS(請求台帳!$S$5:$S$504,請求台帳!$C$5:$C$504,A114,請求台帳!$V$5:$V$504,"&gt;=31",請求台帳!$V$5:$V$504,"&lt;=60"))</f>
        <v/>
      </c>
      <c r="H114" s="26" t="str">
        <f aca="false">IF(A114="","",SUMIFS(請求台帳!$S$5:$S$504,請求台帳!$C$5:$C$504,A114,請求台帳!$V$5:$V$504,"&gt;=61"))</f>
        <v/>
      </c>
      <c r="I114" s="34" t="str">
        <f aca="false">IF(A114="","",COUNTIFS(請求台帳!$C$5:$C$504,A114,請求台帳!$B$5:$B$504,"&gt;="&amp;チェック!$C$4,請求台帳!$B$5:$B$504,"&lt;="&amp;EOMONTH(チェック!$C$4,0),請求台帳!$T$5:$T$504,"&lt;&gt;取消"))</f>
        <v/>
      </c>
      <c r="J114" s="29" t="str">
        <f aca="false">IF(A114="","",IF(AND(取引先マスタ!G114="有",I114=0),"請求漏れ候補",""))</f>
        <v/>
      </c>
    </row>
    <row r="115" customFormat="false" ht="15" hidden="false" customHeight="false" outlineLevel="0" collapsed="false">
      <c r="A115" s="32" t="str">
        <f aca="false">IF(取引先マスタ!A115="","",取引先マスタ!A115)</f>
        <v/>
      </c>
      <c r="B115" s="32" t="str">
        <f aca="false">IF(A115="","",取引先マスタ!B115)</f>
        <v/>
      </c>
      <c r="C115" s="32" t="str">
        <f aca="false">IF(A115="","",取引先マスタ!J115&amp;"")</f>
        <v/>
      </c>
      <c r="D115" s="26" t="str">
        <f aca="false">IF(A115="","",SUMIFS(請求台帳!$S$5:$S$504,請求台帳!$C$5:$C$504,A115,請求台帳!$T$5:$T$504,"&lt;&gt;取消"))</f>
        <v/>
      </c>
      <c r="E115" s="26" t="str">
        <f aca="false">IF(A115="","",D115-SUM(F115:H115))</f>
        <v/>
      </c>
      <c r="F115" s="26" t="str">
        <f aca="false">IF(A115="","",SUMIFS(請求台帳!$S$5:$S$504,請求台帳!$C$5:$C$504,A115,請求台帳!$V$5:$V$504,"&gt;=1",請求台帳!$V$5:$V$504,"&lt;=30"))</f>
        <v/>
      </c>
      <c r="G115" s="26" t="str">
        <f aca="false">IF(A115="","",SUMIFS(請求台帳!$S$5:$S$504,請求台帳!$C$5:$C$504,A115,請求台帳!$V$5:$V$504,"&gt;=31",請求台帳!$V$5:$V$504,"&lt;=60"))</f>
        <v/>
      </c>
      <c r="H115" s="26" t="str">
        <f aca="false">IF(A115="","",SUMIFS(請求台帳!$S$5:$S$504,請求台帳!$C$5:$C$504,A115,請求台帳!$V$5:$V$504,"&gt;=61"))</f>
        <v/>
      </c>
      <c r="I115" s="34" t="str">
        <f aca="false">IF(A115="","",COUNTIFS(請求台帳!$C$5:$C$504,A115,請求台帳!$B$5:$B$504,"&gt;="&amp;チェック!$C$4,請求台帳!$B$5:$B$504,"&lt;="&amp;EOMONTH(チェック!$C$4,0),請求台帳!$T$5:$T$504,"&lt;&gt;取消"))</f>
        <v/>
      </c>
      <c r="J115" s="29" t="str">
        <f aca="false">IF(A115="","",IF(AND(取引先マスタ!G115="有",I115=0),"請求漏れ候補",""))</f>
        <v/>
      </c>
    </row>
    <row r="116" customFormat="false" ht="15" hidden="false" customHeight="false" outlineLevel="0" collapsed="false">
      <c r="A116" s="32" t="str">
        <f aca="false">IF(取引先マスタ!A116="","",取引先マスタ!A116)</f>
        <v/>
      </c>
      <c r="B116" s="32" t="str">
        <f aca="false">IF(A116="","",取引先マスタ!B116)</f>
        <v/>
      </c>
      <c r="C116" s="32" t="str">
        <f aca="false">IF(A116="","",取引先マスタ!J116&amp;"")</f>
        <v/>
      </c>
      <c r="D116" s="26" t="str">
        <f aca="false">IF(A116="","",SUMIFS(請求台帳!$S$5:$S$504,請求台帳!$C$5:$C$504,A116,請求台帳!$T$5:$T$504,"&lt;&gt;取消"))</f>
        <v/>
      </c>
      <c r="E116" s="26" t="str">
        <f aca="false">IF(A116="","",D116-SUM(F116:H116))</f>
        <v/>
      </c>
      <c r="F116" s="26" t="str">
        <f aca="false">IF(A116="","",SUMIFS(請求台帳!$S$5:$S$504,請求台帳!$C$5:$C$504,A116,請求台帳!$V$5:$V$504,"&gt;=1",請求台帳!$V$5:$V$504,"&lt;=30"))</f>
        <v/>
      </c>
      <c r="G116" s="26" t="str">
        <f aca="false">IF(A116="","",SUMIFS(請求台帳!$S$5:$S$504,請求台帳!$C$5:$C$504,A116,請求台帳!$V$5:$V$504,"&gt;=31",請求台帳!$V$5:$V$504,"&lt;=60"))</f>
        <v/>
      </c>
      <c r="H116" s="26" t="str">
        <f aca="false">IF(A116="","",SUMIFS(請求台帳!$S$5:$S$504,請求台帳!$C$5:$C$504,A116,請求台帳!$V$5:$V$504,"&gt;=61"))</f>
        <v/>
      </c>
      <c r="I116" s="34" t="str">
        <f aca="false">IF(A116="","",COUNTIFS(請求台帳!$C$5:$C$504,A116,請求台帳!$B$5:$B$504,"&gt;="&amp;チェック!$C$4,請求台帳!$B$5:$B$504,"&lt;="&amp;EOMONTH(チェック!$C$4,0),請求台帳!$T$5:$T$504,"&lt;&gt;取消"))</f>
        <v/>
      </c>
      <c r="J116" s="29" t="str">
        <f aca="false">IF(A116="","",IF(AND(取引先マスタ!G116="有",I116=0),"請求漏れ候補",""))</f>
        <v/>
      </c>
    </row>
    <row r="117" customFormat="false" ht="15" hidden="false" customHeight="false" outlineLevel="0" collapsed="false">
      <c r="A117" s="32" t="str">
        <f aca="false">IF(取引先マスタ!A117="","",取引先マスタ!A117)</f>
        <v/>
      </c>
      <c r="B117" s="32" t="str">
        <f aca="false">IF(A117="","",取引先マスタ!B117)</f>
        <v/>
      </c>
      <c r="C117" s="32" t="str">
        <f aca="false">IF(A117="","",取引先マスタ!J117&amp;"")</f>
        <v/>
      </c>
      <c r="D117" s="26" t="str">
        <f aca="false">IF(A117="","",SUMIFS(請求台帳!$S$5:$S$504,請求台帳!$C$5:$C$504,A117,請求台帳!$T$5:$T$504,"&lt;&gt;取消"))</f>
        <v/>
      </c>
      <c r="E117" s="26" t="str">
        <f aca="false">IF(A117="","",D117-SUM(F117:H117))</f>
        <v/>
      </c>
      <c r="F117" s="26" t="str">
        <f aca="false">IF(A117="","",SUMIFS(請求台帳!$S$5:$S$504,請求台帳!$C$5:$C$504,A117,請求台帳!$V$5:$V$504,"&gt;=1",請求台帳!$V$5:$V$504,"&lt;=30"))</f>
        <v/>
      </c>
      <c r="G117" s="26" t="str">
        <f aca="false">IF(A117="","",SUMIFS(請求台帳!$S$5:$S$504,請求台帳!$C$5:$C$504,A117,請求台帳!$V$5:$V$504,"&gt;=31",請求台帳!$V$5:$V$504,"&lt;=60"))</f>
        <v/>
      </c>
      <c r="H117" s="26" t="str">
        <f aca="false">IF(A117="","",SUMIFS(請求台帳!$S$5:$S$504,請求台帳!$C$5:$C$504,A117,請求台帳!$V$5:$V$504,"&gt;=61"))</f>
        <v/>
      </c>
      <c r="I117" s="34" t="str">
        <f aca="false">IF(A117="","",COUNTIFS(請求台帳!$C$5:$C$504,A117,請求台帳!$B$5:$B$504,"&gt;="&amp;チェック!$C$4,請求台帳!$B$5:$B$504,"&lt;="&amp;EOMONTH(チェック!$C$4,0),請求台帳!$T$5:$T$504,"&lt;&gt;取消"))</f>
        <v/>
      </c>
      <c r="J117" s="29" t="str">
        <f aca="false">IF(A117="","",IF(AND(取引先マスタ!G117="有",I117=0),"請求漏れ候補",""))</f>
        <v/>
      </c>
    </row>
    <row r="118" customFormat="false" ht="15" hidden="false" customHeight="false" outlineLevel="0" collapsed="false">
      <c r="A118" s="32" t="str">
        <f aca="false">IF(取引先マスタ!A118="","",取引先マスタ!A118)</f>
        <v/>
      </c>
      <c r="B118" s="32" t="str">
        <f aca="false">IF(A118="","",取引先マスタ!B118)</f>
        <v/>
      </c>
      <c r="C118" s="32" t="str">
        <f aca="false">IF(A118="","",取引先マスタ!J118&amp;"")</f>
        <v/>
      </c>
      <c r="D118" s="26" t="str">
        <f aca="false">IF(A118="","",SUMIFS(請求台帳!$S$5:$S$504,請求台帳!$C$5:$C$504,A118,請求台帳!$T$5:$T$504,"&lt;&gt;取消"))</f>
        <v/>
      </c>
      <c r="E118" s="26" t="str">
        <f aca="false">IF(A118="","",D118-SUM(F118:H118))</f>
        <v/>
      </c>
      <c r="F118" s="26" t="str">
        <f aca="false">IF(A118="","",SUMIFS(請求台帳!$S$5:$S$504,請求台帳!$C$5:$C$504,A118,請求台帳!$V$5:$V$504,"&gt;=1",請求台帳!$V$5:$V$504,"&lt;=30"))</f>
        <v/>
      </c>
      <c r="G118" s="26" t="str">
        <f aca="false">IF(A118="","",SUMIFS(請求台帳!$S$5:$S$504,請求台帳!$C$5:$C$504,A118,請求台帳!$V$5:$V$504,"&gt;=31",請求台帳!$V$5:$V$504,"&lt;=60"))</f>
        <v/>
      </c>
      <c r="H118" s="26" t="str">
        <f aca="false">IF(A118="","",SUMIFS(請求台帳!$S$5:$S$504,請求台帳!$C$5:$C$504,A118,請求台帳!$V$5:$V$504,"&gt;=61"))</f>
        <v/>
      </c>
      <c r="I118" s="34" t="str">
        <f aca="false">IF(A118="","",COUNTIFS(請求台帳!$C$5:$C$504,A118,請求台帳!$B$5:$B$504,"&gt;="&amp;チェック!$C$4,請求台帳!$B$5:$B$504,"&lt;="&amp;EOMONTH(チェック!$C$4,0),請求台帳!$T$5:$T$504,"&lt;&gt;取消"))</f>
        <v/>
      </c>
      <c r="J118" s="29" t="str">
        <f aca="false">IF(A118="","",IF(AND(取引先マスタ!G118="有",I118=0),"請求漏れ候補",""))</f>
        <v/>
      </c>
    </row>
    <row r="119" customFormat="false" ht="15" hidden="false" customHeight="false" outlineLevel="0" collapsed="false">
      <c r="A119" s="32" t="str">
        <f aca="false">IF(取引先マスタ!A119="","",取引先マスタ!A119)</f>
        <v/>
      </c>
      <c r="B119" s="32" t="str">
        <f aca="false">IF(A119="","",取引先マスタ!B119)</f>
        <v/>
      </c>
      <c r="C119" s="32" t="str">
        <f aca="false">IF(A119="","",取引先マスタ!J119&amp;"")</f>
        <v/>
      </c>
      <c r="D119" s="26" t="str">
        <f aca="false">IF(A119="","",SUMIFS(請求台帳!$S$5:$S$504,請求台帳!$C$5:$C$504,A119,請求台帳!$T$5:$T$504,"&lt;&gt;取消"))</f>
        <v/>
      </c>
      <c r="E119" s="26" t="str">
        <f aca="false">IF(A119="","",D119-SUM(F119:H119))</f>
        <v/>
      </c>
      <c r="F119" s="26" t="str">
        <f aca="false">IF(A119="","",SUMIFS(請求台帳!$S$5:$S$504,請求台帳!$C$5:$C$504,A119,請求台帳!$V$5:$V$504,"&gt;=1",請求台帳!$V$5:$V$504,"&lt;=30"))</f>
        <v/>
      </c>
      <c r="G119" s="26" t="str">
        <f aca="false">IF(A119="","",SUMIFS(請求台帳!$S$5:$S$504,請求台帳!$C$5:$C$504,A119,請求台帳!$V$5:$V$504,"&gt;=31",請求台帳!$V$5:$V$504,"&lt;=60"))</f>
        <v/>
      </c>
      <c r="H119" s="26" t="str">
        <f aca="false">IF(A119="","",SUMIFS(請求台帳!$S$5:$S$504,請求台帳!$C$5:$C$504,A119,請求台帳!$V$5:$V$504,"&gt;=61"))</f>
        <v/>
      </c>
      <c r="I119" s="34" t="str">
        <f aca="false">IF(A119="","",COUNTIFS(請求台帳!$C$5:$C$504,A119,請求台帳!$B$5:$B$504,"&gt;="&amp;チェック!$C$4,請求台帳!$B$5:$B$504,"&lt;="&amp;EOMONTH(チェック!$C$4,0),請求台帳!$T$5:$T$504,"&lt;&gt;取消"))</f>
        <v/>
      </c>
      <c r="J119" s="29" t="str">
        <f aca="false">IF(A119="","",IF(AND(取引先マスタ!G119="有",I119=0),"請求漏れ候補",""))</f>
        <v/>
      </c>
    </row>
    <row r="120" customFormat="false" ht="15" hidden="false" customHeight="false" outlineLevel="0" collapsed="false">
      <c r="A120" s="32" t="str">
        <f aca="false">IF(取引先マスタ!A120="","",取引先マスタ!A120)</f>
        <v/>
      </c>
      <c r="B120" s="32" t="str">
        <f aca="false">IF(A120="","",取引先マスタ!B120)</f>
        <v/>
      </c>
      <c r="C120" s="32" t="str">
        <f aca="false">IF(A120="","",取引先マスタ!J120&amp;"")</f>
        <v/>
      </c>
      <c r="D120" s="26" t="str">
        <f aca="false">IF(A120="","",SUMIFS(請求台帳!$S$5:$S$504,請求台帳!$C$5:$C$504,A120,請求台帳!$T$5:$T$504,"&lt;&gt;取消"))</f>
        <v/>
      </c>
      <c r="E120" s="26" t="str">
        <f aca="false">IF(A120="","",D120-SUM(F120:H120))</f>
        <v/>
      </c>
      <c r="F120" s="26" t="str">
        <f aca="false">IF(A120="","",SUMIFS(請求台帳!$S$5:$S$504,請求台帳!$C$5:$C$504,A120,請求台帳!$V$5:$V$504,"&gt;=1",請求台帳!$V$5:$V$504,"&lt;=30"))</f>
        <v/>
      </c>
      <c r="G120" s="26" t="str">
        <f aca="false">IF(A120="","",SUMIFS(請求台帳!$S$5:$S$504,請求台帳!$C$5:$C$504,A120,請求台帳!$V$5:$V$504,"&gt;=31",請求台帳!$V$5:$V$504,"&lt;=60"))</f>
        <v/>
      </c>
      <c r="H120" s="26" t="str">
        <f aca="false">IF(A120="","",SUMIFS(請求台帳!$S$5:$S$504,請求台帳!$C$5:$C$504,A120,請求台帳!$V$5:$V$504,"&gt;=61"))</f>
        <v/>
      </c>
      <c r="I120" s="34" t="str">
        <f aca="false">IF(A120="","",COUNTIFS(請求台帳!$C$5:$C$504,A120,請求台帳!$B$5:$B$504,"&gt;="&amp;チェック!$C$4,請求台帳!$B$5:$B$504,"&lt;="&amp;EOMONTH(チェック!$C$4,0),請求台帳!$T$5:$T$504,"&lt;&gt;取消"))</f>
        <v/>
      </c>
      <c r="J120" s="29" t="str">
        <f aca="false">IF(A120="","",IF(AND(取引先マスタ!G120="有",I120=0),"請求漏れ候補",""))</f>
        <v/>
      </c>
    </row>
    <row r="121" customFormat="false" ht="15" hidden="false" customHeight="false" outlineLevel="0" collapsed="false">
      <c r="A121" s="32" t="str">
        <f aca="false">IF(取引先マスタ!A121="","",取引先マスタ!A121)</f>
        <v/>
      </c>
      <c r="B121" s="32" t="str">
        <f aca="false">IF(A121="","",取引先マスタ!B121)</f>
        <v/>
      </c>
      <c r="C121" s="32" t="str">
        <f aca="false">IF(A121="","",取引先マスタ!J121&amp;"")</f>
        <v/>
      </c>
      <c r="D121" s="26" t="str">
        <f aca="false">IF(A121="","",SUMIFS(請求台帳!$S$5:$S$504,請求台帳!$C$5:$C$504,A121,請求台帳!$T$5:$T$504,"&lt;&gt;取消"))</f>
        <v/>
      </c>
      <c r="E121" s="26" t="str">
        <f aca="false">IF(A121="","",D121-SUM(F121:H121))</f>
        <v/>
      </c>
      <c r="F121" s="26" t="str">
        <f aca="false">IF(A121="","",SUMIFS(請求台帳!$S$5:$S$504,請求台帳!$C$5:$C$504,A121,請求台帳!$V$5:$V$504,"&gt;=1",請求台帳!$V$5:$V$504,"&lt;=30"))</f>
        <v/>
      </c>
      <c r="G121" s="26" t="str">
        <f aca="false">IF(A121="","",SUMIFS(請求台帳!$S$5:$S$504,請求台帳!$C$5:$C$504,A121,請求台帳!$V$5:$V$504,"&gt;=31",請求台帳!$V$5:$V$504,"&lt;=60"))</f>
        <v/>
      </c>
      <c r="H121" s="26" t="str">
        <f aca="false">IF(A121="","",SUMIFS(請求台帳!$S$5:$S$504,請求台帳!$C$5:$C$504,A121,請求台帳!$V$5:$V$504,"&gt;=61"))</f>
        <v/>
      </c>
      <c r="I121" s="34" t="str">
        <f aca="false">IF(A121="","",COUNTIFS(請求台帳!$C$5:$C$504,A121,請求台帳!$B$5:$B$504,"&gt;="&amp;チェック!$C$4,請求台帳!$B$5:$B$504,"&lt;="&amp;EOMONTH(チェック!$C$4,0),請求台帳!$T$5:$T$504,"&lt;&gt;取消"))</f>
        <v/>
      </c>
      <c r="J121" s="29" t="str">
        <f aca="false">IF(A121="","",IF(AND(取引先マスタ!G121="有",I121=0),"請求漏れ候補",""))</f>
        <v/>
      </c>
    </row>
    <row r="122" customFormat="false" ht="15" hidden="false" customHeight="false" outlineLevel="0" collapsed="false">
      <c r="A122" s="32" t="str">
        <f aca="false">IF(取引先マスタ!A122="","",取引先マスタ!A122)</f>
        <v/>
      </c>
      <c r="B122" s="32" t="str">
        <f aca="false">IF(A122="","",取引先マスタ!B122)</f>
        <v/>
      </c>
      <c r="C122" s="32" t="str">
        <f aca="false">IF(A122="","",取引先マスタ!J122&amp;"")</f>
        <v/>
      </c>
      <c r="D122" s="26" t="str">
        <f aca="false">IF(A122="","",SUMIFS(請求台帳!$S$5:$S$504,請求台帳!$C$5:$C$504,A122,請求台帳!$T$5:$T$504,"&lt;&gt;取消"))</f>
        <v/>
      </c>
      <c r="E122" s="26" t="str">
        <f aca="false">IF(A122="","",D122-SUM(F122:H122))</f>
        <v/>
      </c>
      <c r="F122" s="26" t="str">
        <f aca="false">IF(A122="","",SUMIFS(請求台帳!$S$5:$S$504,請求台帳!$C$5:$C$504,A122,請求台帳!$V$5:$V$504,"&gt;=1",請求台帳!$V$5:$V$504,"&lt;=30"))</f>
        <v/>
      </c>
      <c r="G122" s="26" t="str">
        <f aca="false">IF(A122="","",SUMIFS(請求台帳!$S$5:$S$504,請求台帳!$C$5:$C$504,A122,請求台帳!$V$5:$V$504,"&gt;=31",請求台帳!$V$5:$V$504,"&lt;=60"))</f>
        <v/>
      </c>
      <c r="H122" s="26" t="str">
        <f aca="false">IF(A122="","",SUMIFS(請求台帳!$S$5:$S$504,請求台帳!$C$5:$C$504,A122,請求台帳!$V$5:$V$504,"&gt;=61"))</f>
        <v/>
      </c>
      <c r="I122" s="34" t="str">
        <f aca="false">IF(A122="","",COUNTIFS(請求台帳!$C$5:$C$504,A122,請求台帳!$B$5:$B$504,"&gt;="&amp;チェック!$C$4,請求台帳!$B$5:$B$504,"&lt;="&amp;EOMONTH(チェック!$C$4,0),請求台帳!$T$5:$T$504,"&lt;&gt;取消"))</f>
        <v/>
      </c>
      <c r="J122" s="29" t="str">
        <f aca="false">IF(A122="","",IF(AND(取引先マスタ!G122="有",I122=0),"請求漏れ候補",""))</f>
        <v/>
      </c>
    </row>
    <row r="123" customFormat="false" ht="15" hidden="false" customHeight="false" outlineLevel="0" collapsed="false">
      <c r="A123" s="32" t="str">
        <f aca="false">IF(取引先マスタ!A123="","",取引先マスタ!A123)</f>
        <v/>
      </c>
      <c r="B123" s="32" t="str">
        <f aca="false">IF(A123="","",取引先マスタ!B123)</f>
        <v/>
      </c>
      <c r="C123" s="32" t="str">
        <f aca="false">IF(A123="","",取引先マスタ!J123&amp;"")</f>
        <v/>
      </c>
      <c r="D123" s="26" t="str">
        <f aca="false">IF(A123="","",SUMIFS(請求台帳!$S$5:$S$504,請求台帳!$C$5:$C$504,A123,請求台帳!$T$5:$T$504,"&lt;&gt;取消"))</f>
        <v/>
      </c>
      <c r="E123" s="26" t="str">
        <f aca="false">IF(A123="","",D123-SUM(F123:H123))</f>
        <v/>
      </c>
      <c r="F123" s="26" t="str">
        <f aca="false">IF(A123="","",SUMIFS(請求台帳!$S$5:$S$504,請求台帳!$C$5:$C$504,A123,請求台帳!$V$5:$V$504,"&gt;=1",請求台帳!$V$5:$V$504,"&lt;=30"))</f>
        <v/>
      </c>
      <c r="G123" s="26" t="str">
        <f aca="false">IF(A123="","",SUMIFS(請求台帳!$S$5:$S$504,請求台帳!$C$5:$C$504,A123,請求台帳!$V$5:$V$504,"&gt;=31",請求台帳!$V$5:$V$504,"&lt;=60"))</f>
        <v/>
      </c>
      <c r="H123" s="26" t="str">
        <f aca="false">IF(A123="","",SUMIFS(請求台帳!$S$5:$S$504,請求台帳!$C$5:$C$504,A123,請求台帳!$V$5:$V$504,"&gt;=61"))</f>
        <v/>
      </c>
      <c r="I123" s="34" t="str">
        <f aca="false">IF(A123="","",COUNTIFS(請求台帳!$C$5:$C$504,A123,請求台帳!$B$5:$B$504,"&gt;="&amp;チェック!$C$4,請求台帳!$B$5:$B$504,"&lt;="&amp;EOMONTH(チェック!$C$4,0),請求台帳!$T$5:$T$504,"&lt;&gt;取消"))</f>
        <v/>
      </c>
      <c r="J123" s="29" t="str">
        <f aca="false">IF(A123="","",IF(AND(取引先マスタ!G123="有",I123=0),"請求漏れ候補",""))</f>
        <v/>
      </c>
    </row>
    <row r="124" customFormat="false" ht="15" hidden="false" customHeight="false" outlineLevel="0" collapsed="false">
      <c r="A124" s="32" t="str">
        <f aca="false">IF(取引先マスタ!A124="","",取引先マスタ!A124)</f>
        <v/>
      </c>
      <c r="B124" s="32" t="str">
        <f aca="false">IF(A124="","",取引先マスタ!B124)</f>
        <v/>
      </c>
      <c r="C124" s="32" t="str">
        <f aca="false">IF(A124="","",取引先マスタ!J124&amp;"")</f>
        <v/>
      </c>
      <c r="D124" s="26" t="str">
        <f aca="false">IF(A124="","",SUMIFS(請求台帳!$S$5:$S$504,請求台帳!$C$5:$C$504,A124,請求台帳!$T$5:$T$504,"&lt;&gt;取消"))</f>
        <v/>
      </c>
      <c r="E124" s="26" t="str">
        <f aca="false">IF(A124="","",D124-SUM(F124:H124))</f>
        <v/>
      </c>
      <c r="F124" s="26" t="str">
        <f aca="false">IF(A124="","",SUMIFS(請求台帳!$S$5:$S$504,請求台帳!$C$5:$C$504,A124,請求台帳!$V$5:$V$504,"&gt;=1",請求台帳!$V$5:$V$504,"&lt;=30"))</f>
        <v/>
      </c>
      <c r="G124" s="26" t="str">
        <f aca="false">IF(A124="","",SUMIFS(請求台帳!$S$5:$S$504,請求台帳!$C$5:$C$504,A124,請求台帳!$V$5:$V$504,"&gt;=31",請求台帳!$V$5:$V$504,"&lt;=60"))</f>
        <v/>
      </c>
      <c r="H124" s="26" t="str">
        <f aca="false">IF(A124="","",SUMIFS(請求台帳!$S$5:$S$504,請求台帳!$C$5:$C$504,A124,請求台帳!$V$5:$V$504,"&gt;=61"))</f>
        <v/>
      </c>
      <c r="I124" s="34" t="str">
        <f aca="false">IF(A124="","",COUNTIFS(請求台帳!$C$5:$C$504,A124,請求台帳!$B$5:$B$504,"&gt;="&amp;チェック!$C$4,請求台帳!$B$5:$B$504,"&lt;="&amp;EOMONTH(チェック!$C$4,0),請求台帳!$T$5:$T$504,"&lt;&gt;取消"))</f>
        <v/>
      </c>
      <c r="J124" s="29" t="str">
        <f aca="false">IF(A124="","",IF(AND(取引先マスタ!G124="有",I124=0),"請求漏れ候補",""))</f>
        <v/>
      </c>
    </row>
    <row r="125" customFormat="false" ht="15" hidden="false" customHeight="false" outlineLevel="0" collapsed="false">
      <c r="A125" s="32" t="str">
        <f aca="false">IF(取引先マスタ!A125="","",取引先マスタ!A125)</f>
        <v/>
      </c>
      <c r="B125" s="32" t="str">
        <f aca="false">IF(A125="","",取引先マスタ!B125)</f>
        <v/>
      </c>
      <c r="C125" s="32" t="str">
        <f aca="false">IF(A125="","",取引先マスタ!J125&amp;"")</f>
        <v/>
      </c>
      <c r="D125" s="26" t="str">
        <f aca="false">IF(A125="","",SUMIFS(請求台帳!$S$5:$S$504,請求台帳!$C$5:$C$504,A125,請求台帳!$T$5:$T$504,"&lt;&gt;取消"))</f>
        <v/>
      </c>
      <c r="E125" s="26" t="str">
        <f aca="false">IF(A125="","",D125-SUM(F125:H125))</f>
        <v/>
      </c>
      <c r="F125" s="26" t="str">
        <f aca="false">IF(A125="","",SUMIFS(請求台帳!$S$5:$S$504,請求台帳!$C$5:$C$504,A125,請求台帳!$V$5:$V$504,"&gt;=1",請求台帳!$V$5:$V$504,"&lt;=30"))</f>
        <v/>
      </c>
      <c r="G125" s="26" t="str">
        <f aca="false">IF(A125="","",SUMIFS(請求台帳!$S$5:$S$504,請求台帳!$C$5:$C$504,A125,請求台帳!$V$5:$V$504,"&gt;=31",請求台帳!$V$5:$V$504,"&lt;=60"))</f>
        <v/>
      </c>
      <c r="H125" s="26" t="str">
        <f aca="false">IF(A125="","",SUMIFS(請求台帳!$S$5:$S$504,請求台帳!$C$5:$C$504,A125,請求台帳!$V$5:$V$504,"&gt;=61"))</f>
        <v/>
      </c>
      <c r="I125" s="34" t="str">
        <f aca="false">IF(A125="","",COUNTIFS(請求台帳!$C$5:$C$504,A125,請求台帳!$B$5:$B$504,"&gt;="&amp;チェック!$C$4,請求台帳!$B$5:$B$504,"&lt;="&amp;EOMONTH(チェック!$C$4,0),請求台帳!$T$5:$T$504,"&lt;&gt;取消"))</f>
        <v/>
      </c>
      <c r="J125" s="29" t="str">
        <f aca="false">IF(A125="","",IF(AND(取引先マスタ!G125="有",I125=0),"請求漏れ候補",""))</f>
        <v/>
      </c>
    </row>
    <row r="126" customFormat="false" ht="15" hidden="false" customHeight="false" outlineLevel="0" collapsed="false">
      <c r="A126" s="32" t="str">
        <f aca="false">IF(取引先マスタ!A126="","",取引先マスタ!A126)</f>
        <v/>
      </c>
      <c r="B126" s="32" t="str">
        <f aca="false">IF(A126="","",取引先マスタ!B126)</f>
        <v/>
      </c>
      <c r="C126" s="32" t="str">
        <f aca="false">IF(A126="","",取引先マスタ!J126&amp;"")</f>
        <v/>
      </c>
      <c r="D126" s="26" t="str">
        <f aca="false">IF(A126="","",SUMIFS(請求台帳!$S$5:$S$504,請求台帳!$C$5:$C$504,A126,請求台帳!$T$5:$T$504,"&lt;&gt;取消"))</f>
        <v/>
      </c>
      <c r="E126" s="26" t="str">
        <f aca="false">IF(A126="","",D126-SUM(F126:H126))</f>
        <v/>
      </c>
      <c r="F126" s="26" t="str">
        <f aca="false">IF(A126="","",SUMIFS(請求台帳!$S$5:$S$504,請求台帳!$C$5:$C$504,A126,請求台帳!$V$5:$V$504,"&gt;=1",請求台帳!$V$5:$V$504,"&lt;=30"))</f>
        <v/>
      </c>
      <c r="G126" s="26" t="str">
        <f aca="false">IF(A126="","",SUMIFS(請求台帳!$S$5:$S$504,請求台帳!$C$5:$C$504,A126,請求台帳!$V$5:$V$504,"&gt;=31",請求台帳!$V$5:$V$504,"&lt;=60"))</f>
        <v/>
      </c>
      <c r="H126" s="26" t="str">
        <f aca="false">IF(A126="","",SUMIFS(請求台帳!$S$5:$S$504,請求台帳!$C$5:$C$504,A126,請求台帳!$V$5:$V$504,"&gt;=61"))</f>
        <v/>
      </c>
      <c r="I126" s="34" t="str">
        <f aca="false">IF(A126="","",COUNTIFS(請求台帳!$C$5:$C$504,A126,請求台帳!$B$5:$B$504,"&gt;="&amp;チェック!$C$4,請求台帳!$B$5:$B$504,"&lt;="&amp;EOMONTH(チェック!$C$4,0),請求台帳!$T$5:$T$504,"&lt;&gt;取消"))</f>
        <v/>
      </c>
      <c r="J126" s="29" t="str">
        <f aca="false">IF(A126="","",IF(AND(取引先マスタ!G126="有",I126=0),"請求漏れ候補",""))</f>
        <v/>
      </c>
    </row>
    <row r="127" customFormat="false" ht="15" hidden="false" customHeight="false" outlineLevel="0" collapsed="false">
      <c r="A127" s="32" t="str">
        <f aca="false">IF(取引先マスタ!A127="","",取引先マスタ!A127)</f>
        <v/>
      </c>
      <c r="B127" s="32" t="str">
        <f aca="false">IF(A127="","",取引先マスタ!B127)</f>
        <v/>
      </c>
      <c r="C127" s="32" t="str">
        <f aca="false">IF(A127="","",取引先マスタ!J127&amp;"")</f>
        <v/>
      </c>
      <c r="D127" s="26" t="str">
        <f aca="false">IF(A127="","",SUMIFS(請求台帳!$S$5:$S$504,請求台帳!$C$5:$C$504,A127,請求台帳!$T$5:$T$504,"&lt;&gt;取消"))</f>
        <v/>
      </c>
      <c r="E127" s="26" t="str">
        <f aca="false">IF(A127="","",D127-SUM(F127:H127))</f>
        <v/>
      </c>
      <c r="F127" s="26" t="str">
        <f aca="false">IF(A127="","",SUMIFS(請求台帳!$S$5:$S$504,請求台帳!$C$5:$C$504,A127,請求台帳!$V$5:$V$504,"&gt;=1",請求台帳!$V$5:$V$504,"&lt;=30"))</f>
        <v/>
      </c>
      <c r="G127" s="26" t="str">
        <f aca="false">IF(A127="","",SUMIFS(請求台帳!$S$5:$S$504,請求台帳!$C$5:$C$504,A127,請求台帳!$V$5:$V$504,"&gt;=31",請求台帳!$V$5:$V$504,"&lt;=60"))</f>
        <v/>
      </c>
      <c r="H127" s="26" t="str">
        <f aca="false">IF(A127="","",SUMIFS(請求台帳!$S$5:$S$504,請求台帳!$C$5:$C$504,A127,請求台帳!$V$5:$V$504,"&gt;=61"))</f>
        <v/>
      </c>
      <c r="I127" s="34" t="str">
        <f aca="false">IF(A127="","",COUNTIFS(請求台帳!$C$5:$C$504,A127,請求台帳!$B$5:$B$504,"&gt;="&amp;チェック!$C$4,請求台帳!$B$5:$B$504,"&lt;="&amp;EOMONTH(チェック!$C$4,0),請求台帳!$T$5:$T$504,"&lt;&gt;取消"))</f>
        <v/>
      </c>
      <c r="J127" s="29" t="str">
        <f aca="false">IF(A127="","",IF(AND(取引先マスタ!G127="有",I127=0),"請求漏れ候補",""))</f>
        <v/>
      </c>
    </row>
    <row r="128" customFormat="false" ht="15" hidden="false" customHeight="false" outlineLevel="0" collapsed="false">
      <c r="A128" s="32" t="str">
        <f aca="false">IF(取引先マスタ!A128="","",取引先マスタ!A128)</f>
        <v/>
      </c>
      <c r="B128" s="32" t="str">
        <f aca="false">IF(A128="","",取引先マスタ!B128)</f>
        <v/>
      </c>
      <c r="C128" s="32" t="str">
        <f aca="false">IF(A128="","",取引先マスタ!J128&amp;"")</f>
        <v/>
      </c>
      <c r="D128" s="26" t="str">
        <f aca="false">IF(A128="","",SUMIFS(請求台帳!$S$5:$S$504,請求台帳!$C$5:$C$504,A128,請求台帳!$T$5:$T$504,"&lt;&gt;取消"))</f>
        <v/>
      </c>
      <c r="E128" s="26" t="str">
        <f aca="false">IF(A128="","",D128-SUM(F128:H128))</f>
        <v/>
      </c>
      <c r="F128" s="26" t="str">
        <f aca="false">IF(A128="","",SUMIFS(請求台帳!$S$5:$S$504,請求台帳!$C$5:$C$504,A128,請求台帳!$V$5:$V$504,"&gt;=1",請求台帳!$V$5:$V$504,"&lt;=30"))</f>
        <v/>
      </c>
      <c r="G128" s="26" t="str">
        <f aca="false">IF(A128="","",SUMIFS(請求台帳!$S$5:$S$504,請求台帳!$C$5:$C$504,A128,請求台帳!$V$5:$V$504,"&gt;=31",請求台帳!$V$5:$V$504,"&lt;=60"))</f>
        <v/>
      </c>
      <c r="H128" s="26" t="str">
        <f aca="false">IF(A128="","",SUMIFS(請求台帳!$S$5:$S$504,請求台帳!$C$5:$C$504,A128,請求台帳!$V$5:$V$504,"&gt;=61"))</f>
        <v/>
      </c>
      <c r="I128" s="34" t="str">
        <f aca="false">IF(A128="","",COUNTIFS(請求台帳!$C$5:$C$504,A128,請求台帳!$B$5:$B$504,"&gt;="&amp;チェック!$C$4,請求台帳!$B$5:$B$504,"&lt;="&amp;EOMONTH(チェック!$C$4,0),請求台帳!$T$5:$T$504,"&lt;&gt;取消"))</f>
        <v/>
      </c>
      <c r="J128" s="29" t="str">
        <f aca="false">IF(A128="","",IF(AND(取引先マスタ!G128="有",I128=0),"請求漏れ候補",""))</f>
        <v/>
      </c>
    </row>
    <row r="129" customFormat="false" ht="15" hidden="false" customHeight="false" outlineLevel="0" collapsed="false">
      <c r="A129" s="32" t="str">
        <f aca="false">IF(取引先マスタ!A129="","",取引先マスタ!A129)</f>
        <v/>
      </c>
      <c r="B129" s="32" t="str">
        <f aca="false">IF(A129="","",取引先マスタ!B129)</f>
        <v/>
      </c>
      <c r="C129" s="32" t="str">
        <f aca="false">IF(A129="","",取引先マスタ!J129&amp;"")</f>
        <v/>
      </c>
      <c r="D129" s="26" t="str">
        <f aca="false">IF(A129="","",SUMIFS(請求台帳!$S$5:$S$504,請求台帳!$C$5:$C$504,A129,請求台帳!$T$5:$T$504,"&lt;&gt;取消"))</f>
        <v/>
      </c>
      <c r="E129" s="26" t="str">
        <f aca="false">IF(A129="","",D129-SUM(F129:H129))</f>
        <v/>
      </c>
      <c r="F129" s="26" t="str">
        <f aca="false">IF(A129="","",SUMIFS(請求台帳!$S$5:$S$504,請求台帳!$C$5:$C$504,A129,請求台帳!$V$5:$V$504,"&gt;=1",請求台帳!$V$5:$V$504,"&lt;=30"))</f>
        <v/>
      </c>
      <c r="G129" s="26" t="str">
        <f aca="false">IF(A129="","",SUMIFS(請求台帳!$S$5:$S$504,請求台帳!$C$5:$C$504,A129,請求台帳!$V$5:$V$504,"&gt;=31",請求台帳!$V$5:$V$504,"&lt;=60"))</f>
        <v/>
      </c>
      <c r="H129" s="26" t="str">
        <f aca="false">IF(A129="","",SUMIFS(請求台帳!$S$5:$S$504,請求台帳!$C$5:$C$504,A129,請求台帳!$V$5:$V$504,"&gt;=61"))</f>
        <v/>
      </c>
      <c r="I129" s="34" t="str">
        <f aca="false">IF(A129="","",COUNTIFS(請求台帳!$C$5:$C$504,A129,請求台帳!$B$5:$B$504,"&gt;="&amp;チェック!$C$4,請求台帳!$B$5:$B$504,"&lt;="&amp;EOMONTH(チェック!$C$4,0),請求台帳!$T$5:$T$504,"&lt;&gt;取消"))</f>
        <v/>
      </c>
      <c r="J129" s="29" t="str">
        <f aca="false">IF(A129="","",IF(AND(取引先マスタ!G129="有",I129=0),"請求漏れ候補",""))</f>
        <v/>
      </c>
    </row>
    <row r="130" customFormat="false" ht="15" hidden="false" customHeight="false" outlineLevel="0" collapsed="false">
      <c r="A130" s="32" t="str">
        <f aca="false">IF(取引先マスタ!A130="","",取引先マスタ!A130)</f>
        <v/>
      </c>
      <c r="B130" s="32" t="str">
        <f aca="false">IF(A130="","",取引先マスタ!B130)</f>
        <v/>
      </c>
      <c r="C130" s="32" t="str">
        <f aca="false">IF(A130="","",取引先マスタ!J130&amp;"")</f>
        <v/>
      </c>
      <c r="D130" s="26" t="str">
        <f aca="false">IF(A130="","",SUMIFS(請求台帳!$S$5:$S$504,請求台帳!$C$5:$C$504,A130,請求台帳!$T$5:$T$504,"&lt;&gt;取消"))</f>
        <v/>
      </c>
      <c r="E130" s="26" t="str">
        <f aca="false">IF(A130="","",D130-SUM(F130:H130))</f>
        <v/>
      </c>
      <c r="F130" s="26" t="str">
        <f aca="false">IF(A130="","",SUMIFS(請求台帳!$S$5:$S$504,請求台帳!$C$5:$C$504,A130,請求台帳!$V$5:$V$504,"&gt;=1",請求台帳!$V$5:$V$504,"&lt;=30"))</f>
        <v/>
      </c>
      <c r="G130" s="26" t="str">
        <f aca="false">IF(A130="","",SUMIFS(請求台帳!$S$5:$S$504,請求台帳!$C$5:$C$504,A130,請求台帳!$V$5:$V$504,"&gt;=31",請求台帳!$V$5:$V$504,"&lt;=60"))</f>
        <v/>
      </c>
      <c r="H130" s="26" t="str">
        <f aca="false">IF(A130="","",SUMIFS(請求台帳!$S$5:$S$504,請求台帳!$C$5:$C$504,A130,請求台帳!$V$5:$V$504,"&gt;=61"))</f>
        <v/>
      </c>
      <c r="I130" s="34" t="str">
        <f aca="false">IF(A130="","",COUNTIFS(請求台帳!$C$5:$C$504,A130,請求台帳!$B$5:$B$504,"&gt;="&amp;チェック!$C$4,請求台帳!$B$5:$B$504,"&lt;="&amp;EOMONTH(チェック!$C$4,0),請求台帳!$T$5:$T$504,"&lt;&gt;取消"))</f>
        <v/>
      </c>
      <c r="J130" s="29" t="str">
        <f aca="false">IF(A130="","",IF(AND(取引先マスタ!G130="有",I130=0),"請求漏れ候補",""))</f>
        <v/>
      </c>
    </row>
    <row r="131" customFormat="false" ht="15" hidden="false" customHeight="false" outlineLevel="0" collapsed="false">
      <c r="A131" s="32" t="str">
        <f aca="false">IF(取引先マスタ!A131="","",取引先マスタ!A131)</f>
        <v/>
      </c>
      <c r="B131" s="32" t="str">
        <f aca="false">IF(A131="","",取引先マスタ!B131)</f>
        <v/>
      </c>
      <c r="C131" s="32" t="str">
        <f aca="false">IF(A131="","",取引先マスタ!J131&amp;"")</f>
        <v/>
      </c>
      <c r="D131" s="26" t="str">
        <f aca="false">IF(A131="","",SUMIFS(請求台帳!$S$5:$S$504,請求台帳!$C$5:$C$504,A131,請求台帳!$T$5:$T$504,"&lt;&gt;取消"))</f>
        <v/>
      </c>
      <c r="E131" s="26" t="str">
        <f aca="false">IF(A131="","",D131-SUM(F131:H131))</f>
        <v/>
      </c>
      <c r="F131" s="26" t="str">
        <f aca="false">IF(A131="","",SUMIFS(請求台帳!$S$5:$S$504,請求台帳!$C$5:$C$504,A131,請求台帳!$V$5:$V$504,"&gt;=1",請求台帳!$V$5:$V$504,"&lt;=30"))</f>
        <v/>
      </c>
      <c r="G131" s="26" t="str">
        <f aca="false">IF(A131="","",SUMIFS(請求台帳!$S$5:$S$504,請求台帳!$C$5:$C$504,A131,請求台帳!$V$5:$V$504,"&gt;=31",請求台帳!$V$5:$V$504,"&lt;=60"))</f>
        <v/>
      </c>
      <c r="H131" s="26" t="str">
        <f aca="false">IF(A131="","",SUMIFS(請求台帳!$S$5:$S$504,請求台帳!$C$5:$C$504,A131,請求台帳!$V$5:$V$504,"&gt;=61"))</f>
        <v/>
      </c>
      <c r="I131" s="34" t="str">
        <f aca="false">IF(A131="","",COUNTIFS(請求台帳!$C$5:$C$504,A131,請求台帳!$B$5:$B$504,"&gt;="&amp;チェック!$C$4,請求台帳!$B$5:$B$504,"&lt;="&amp;EOMONTH(チェック!$C$4,0),請求台帳!$T$5:$T$504,"&lt;&gt;取消"))</f>
        <v/>
      </c>
      <c r="J131" s="29" t="str">
        <f aca="false">IF(A131="","",IF(AND(取引先マスタ!G131="有",I131=0),"請求漏れ候補",""))</f>
        <v/>
      </c>
    </row>
    <row r="132" customFormat="false" ht="15" hidden="false" customHeight="false" outlineLevel="0" collapsed="false">
      <c r="A132" s="32" t="str">
        <f aca="false">IF(取引先マスタ!A132="","",取引先マスタ!A132)</f>
        <v/>
      </c>
      <c r="B132" s="32" t="str">
        <f aca="false">IF(A132="","",取引先マスタ!B132)</f>
        <v/>
      </c>
      <c r="C132" s="32" t="str">
        <f aca="false">IF(A132="","",取引先マスタ!J132&amp;"")</f>
        <v/>
      </c>
      <c r="D132" s="26" t="str">
        <f aca="false">IF(A132="","",SUMIFS(請求台帳!$S$5:$S$504,請求台帳!$C$5:$C$504,A132,請求台帳!$T$5:$T$504,"&lt;&gt;取消"))</f>
        <v/>
      </c>
      <c r="E132" s="26" t="str">
        <f aca="false">IF(A132="","",D132-SUM(F132:H132))</f>
        <v/>
      </c>
      <c r="F132" s="26" t="str">
        <f aca="false">IF(A132="","",SUMIFS(請求台帳!$S$5:$S$504,請求台帳!$C$5:$C$504,A132,請求台帳!$V$5:$V$504,"&gt;=1",請求台帳!$V$5:$V$504,"&lt;=30"))</f>
        <v/>
      </c>
      <c r="G132" s="26" t="str">
        <f aca="false">IF(A132="","",SUMIFS(請求台帳!$S$5:$S$504,請求台帳!$C$5:$C$504,A132,請求台帳!$V$5:$V$504,"&gt;=31",請求台帳!$V$5:$V$504,"&lt;=60"))</f>
        <v/>
      </c>
      <c r="H132" s="26" t="str">
        <f aca="false">IF(A132="","",SUMIFS(請求台帳!$S$5:$S$504,請求台帳!$C$5:$C$504,A132,請求台帳!$V$5:$V$504,"&gt;=61"))</f>
        <v/>
      </c>
      <c r="I132" s="34" t="str">
        <f aca="false">IF(A132="","",COUNTIFS(請求台帳!$C$5:$C$504,A132,請求台帳!$B$5:$B$504,"&gt;="&amp;チェック!$C$4,請求台帳!$B$5:$B$504,"&lt;="&amp;EOMONTH(チェック!$C$4,0),請求台帳!$T$5:$T$504,"&lt;&gt;取消"))</f>
        <v/>
      </c>
      <c r="J132" s="29" t="str">
        <f aca="false">IF(A132="","",IF(AND(取引先マスタ!G132="有",I132=0),"請求漏れ候補",""))</f>
        <v/>
      </c>
    </row>
    <row r="133" customFormat="false" ht="15" hidden="false" customHeight="false" outlineLevel="0" collapsed="false">
      <c r="A133" s="32" t="str">
        <f aca="false">IF(取引先マスタ!A133="","",取引先マスタ!A133)</f>
        <v/>
      </c>
      <c r="B133" s="32" t="str">
        <f aca="false">IF(A133="","",取引先マスタ!B133)</f>
        <v/>
      </c>
      <c r="C133" s="32" t="str">
        <f aca="false">IF(A133="","",取引先マスタ!J133&amp;"")</f>
        <v/>
      </c>
      <c r="D133" s="26" t="str">
        <f aca="false">IF(A133="","",SUMIFS(請求台帳!$S$5:$S$504,請求台帳!$C$5:$C$504,A133,請求台帳!$T$5:$T$504,"&lt;&gt;取消"))</f>
        <v/>
      </c>
      <c r="E133" s="26" t="str">
        <f aca="false">IF(A133="","",D133-SUM(F133:H133))</f>
        <v/>
      </c>
      <c r="F133" s="26" t="str">
        <f aca="false">IF(A133="","",SUMIFS(請求台帳!$S$5:$S$504,請求台帳!$C$5:$C$504,A133,請求台帳!$V$5:$V$504,"&gt;=1",請求台帳!$V$5:$V$504,"&lt;=30"))</f>
        <v/>
      </c>
      <c r="G133" s="26" t="str">
        <f aca="false">IF(A133="","",SUMIFS(請求台帳!$S$5:$S$504,請求台帳!$C$5:$C$504,A133,請求台帳!$V$5:$V$504,"&gt;=31",請求台帳!$V$5:$V$504,"&lt;=60"))</f>
        <v/>
      </c>
      <c r="H133" s="26" t="str">
        <f aca="false">IF(A133="","",SUMIFS(請求台帳!$S$5:$S$504,請求台帳!$C$5:$C$504,A133,請求台帳!$V$5:$V$504,"&gt;=61"))</f>
        <v/>
      </c>
      <c r="I133" s="34" t="str">
        <f aca="false">IF(A133="","",COUNTIFS(請求台帳!$C$5:$C$504,A133,請求台帳!$B$5:$B$504,"&gt;="&amp;チェック!$C$4,請求台帳!$B$5:$B$504,"&lt;="&amp;EOMONTH(チェック!$C$4,0),請求台帳!$T$5:$T$504,"&lt;&gt;取消"))</f>
        <v/>
      </c>
      <c r="J133" s="29" t="str">
        <f aca="false">IF(A133="","",IF(AND(取引先マスタ!G133="有",I133=0),"請求漏れ候補",""))</f>
        <v/>
      </c>
    </row>
    <row r="134" customFormat="false" ht="15" hidden="false" customHeight="false" outlineLevel="0" collapsed="false">
      <c r="A134" s="32" t="str">
        <f aca="false">IF(取引先マスタ!A134="","",取引先マスタ!A134)</f>
        <v/>
      </c>
      <c r="B134" s="32" t="str">
        <f aca="false">IF(A134="","",取引先マスタ!B134)</f>
        <v/>
      </c>
      <c r="C134" s="32" t="str">
        <f aca="false">IF(A134="","",取引先マスタ!J134&amp;"")</f>
        <v/>
      </c>
      <c r="D134" s="26" t="str">
        <f aca="false">IF(A134="","",SUMIFS(請求台帳!$S$5:$S$504,請求台帳!$C$5:$C$504,A134,請求台帳!$T$5:$T$504,"&lt;&gt;取消"))</f>
        <v/>
      </c>
      <c r="E134" s="26" t="str">
        <f aca="false">IF(A134="","",D134-SUM(F134:H134))</f>
        <v/>
      </c>
      <c r="F134" s="26" t="str">
        <f aca="false">IF(A134="","",SUMIFS(請求台帳!$S$5:$S$504,請求台帳!$C$5:$C$504,A134,請求台帳!$V$5:$V$504,"&gt;=1",請求台帳!$V$5:$V$504,"&lt;=30"))</f>
        <v/>
      </c>
      <c r="G134" s="26" t="str">
        <f aca="false">IF(A134="","",SUMIFS(請求台帳!$S$5:$S$504,請求台帳!$C$5:$C$504,A134,請求台帳!$V$5:$V$504,"&gt;=31",請求台帳!$V$5:$V$504,"&lt;=60"))</f>
        <v/>
      </c>
      <c r="H134" s="26" t="str">
        <f aca="false">IF(A134="","",SUMIFS(請求台帳!$S$5:$S$504,請求台帳!$C$5:$C$504,A134,請求台帳!$V$5:$V$504,"&gt;=61"))</f>
        <v/>
      </c>
      <c r="I134" s="34" t="str">
        <f aca="false">IF(A134="","",COUNTIFS(請求台帳!$C$5:$C$504,A134,請求台帳!$B$5:$B$504,"&gt;="&amp;チェック!$C$4,請求台帳!$B$5:$B$504,"&lt;="&amp;EOMONTH(チェック!$C$4,0),請求台帳!$T$5:$T$504,"&lt;&gt;取消"))</f>
        <v/>
      </c>
      <c r="J134" s="29" t="str">
        <f aca="false">IF(A134="","",IF(AND(取引先マスタ!G134="有",I134=0),"請求漏れ候補",""))</f>
        <v/>
      </c>
    </row>
    <row r="135" customFormat="false" ht="15" hidden="false" customHeight="false" outlineLevel="0" collapsed="false">
      <c r="A135" s="32" t="str">
        <f aca="false">IF(取引先マスタ!A135="","",取引先マスタ!A135)</f>
        <v/>
      </c>
      <c r="B135" s="32" t="str">
        <f aca="false">IF(A135="","",取引先マスタ!B135)</f>
        <v/>
      </c>
      <c r="C135" s="32" t="str">
        <f aca="false">IF(A135="","",取引先マスタ!J135&amp;"")</f>
        <v/>
      </c>
      <c r="D135" s="26" t="str">
        <f aca="false">IF(A135="","",SUMIFS(請求台帳!$S$5:$S$504,請求台帳!$C$5:$C$504,A135,請求台帳!$T$5:$T$504,"&lt;&gt;取消"))</f>
        <v/>
      </c>
      <c r="E135" s="26" t="str">
        <f aca="false">IF(A135="","",D135-SUM(F135:H135))</f>
        <v/>
      </c>
      <c r="F135" s="26" t="str">
        <f aca="false">IF(A135="","",SUMIFS(請求台帳!$S$5:$S$504,請求台帳!$C$5:$C$504,A135,請求台帳!$V$5:$V$504,"&gt;=1",請求台帳!$V$5:$V$504,"&lt;=30"))</f>
        <v/>
      </c>
      <c r="G135" s="26" t="str">
        <f aca="false">IF(A135="","",SUMIFS(請求台帳!$S$5:$S$504,請求台帳!$C$5:$C$504,A135,請求台帳!$V$5:$V$504,"&gt;=31",請求台帳!$V$5:$V$504,"&lt;=60"))</f>
        <v/>
      </c>
      <c r="H135" s="26" t="str">
        <f aca="false">IF(A135="","",SUMIFS(請求台帳!$S$5:$S$504,請求台帳!$C$5:$C$504,A135,請求台帳!$V$5:$V$504,"&gt;=61"))</f>
        <v/>
      </c>
      <c r="I135" s="34" t="str">
        <f aca="false">IF(A135="","",COUNTIFS(請求台帳!$C$5:$C$504,A135,請求台帳!$B$5:$B$504,"&gt;="&amp;チェック!$C$4,請求台帳!$B$5:$B$504,"&lt;="&amp;EOMONTH(チェック!$C$4,0),請求台帳!$T$5:$T$504,"&lt;&gt;取消"))</f>
        <v/>
      </c>
      <c r="J135" s="29" t="str">
        <f aca="false">IF(A135="","",IF(AND(取引先マスタ!G135="有",I135=0),"請求漏れ候補",""))</f>
        <v/>
      </c>
    </row>
    <row r="136" customFormat="false" ht="15" hidden="false" customHeight="false" outlineLevel="0" collapsed="false">
      <c r="A136" s="32" t="str">
        <f aca="false">IF(取引先マスタ!A136="","",取引先マスタ!A136)</f>
        <v/>
      </c>
      <c r="B136" s="32" t="str">
        <f aca="false">IF(A136="","",取引先マスタ!B136)</f>
        <v/>
      </c>
      <c r="C136" s="32" t="str">
        <f aca="false">IF(A136="","",取引先マスタ!J136&amp;"")</f>
        <v/>
      </c>
      <c r="D136" s="26" t="str">
        <f aca="false">IF(A136="","",SUMIFS(請求台帳!$S$5:$S$504,請求台帳!$C$5:$C$504,A136,請求台帳!$T$5:$T$504,"&lt;&gt;取消"))</f>
        <v/>
      </c>
      <c r="E136" s="26" t="str">
        <f aca="false">IF(A136="","",D136-SUM(F136:H136))</f>
        <v/>
      </c>
      <c r="F136" s="26" t="str">
        <f aca="false">IF(A136="","",SUMIFS(請求台帳!$S$5:$S$504,請求台帳!$C$5:$C$504,A136,請求台帳!$V$5:$V$504,"&gt;=1",請求台帳!$V$5:$V$504,"&lt;=30"))</f>
        <v/>
      </c>
      <c r="G136" s="26" t="str">
        <f aca="false">IF(A136="","",SUMIFS(請求台帳!$S$5:$S$504,請求台帳!$C$5:$C$504,A136,請求台帳!$V$5:$V$504,"&gt;=31",請求台帳!$V$5:$V$504,"&lt;=60"))</f>
        <v/>
      </c>
      <c r="H136" s="26" t="str">
        <f aca="false">IF(A136="","",SUMIFS(請求台帳!$S$5:$S$504,請求台帳!$C$5:$C$504,A136,請求台帳!$V$5:$V$504,"&gt;=61"))</f>
        <v/>
      </c>
      <c r="I136" s="34" t="str">
        <f aca="false">IF(A136="","",COUNTIFS(請求台帳!$C$5:$C$504,A136,請求台帳!$B$5:$B$504,"&gt;="&amp;チェック!$C$4,請求台帳!$B$5:$B$504,"&lt;="&amp;EOMONTH(チェック!$C$4,0),請求台帳!$T$5:$T$504,"&lt;&gt;取消"))</f>
        <v/>
      </c>
      <c r="J136" s="29" t="str">
        <f aca="false">IF(A136="","",IF(AND(取引先マスタ!G136="有",I136=0),"請求漏れ候補",""))</f>
        <v/>
      </c>
    </row>
    <row r="137" customFormat="false" ht="15" hidden="false" customHeight="false" outlineLevel="0" collapsed="false">
      <c r="A137" s="32" t="str">
        <f aca="false">IF(取引先マスタ!A137="","",取引先マスタ!A137)</f>
        <v/>
      </c>
      <c r="B137" s="32" t="str">
        <f aca="false">IF(A137="","",取引先マスタ!B137)</f>
        <v/>
      </c>
      <c r="C137" s="32" t="str">
        <f aca="false">IF(A137="","",取引先マスタ!J137&amp;"")</f>
        <v/>
      </c>
      <c r="D137" s="26" t="str">
        <f aca="false">IF(A137="","",SUMIFS(請求台帳!$S$5:$S$504,請求台帳!$C$5:$C$504,A137,請求台帳!$T$5:$T$504,"&lt;&gt;取消"))</f>
        <v/>
      </c>
      <c r="E137" s="26" t="str">
        <f aca="false">IF(A137="","",D137-SUM(F137:H137))</f>
        <v/>
      </c>
      <c r="F137" s="26" t="str">
        <f aca="false">IF(A137="","",SUMIFS(請求台帳!$S$5:$S$504,請求台帳!$C$5:$C$504,A137,請求台帳!$V$5:$V$504,"&gt;=1",請求台帳!$V$5:$V$504,"&lt;=30"))</f>
        <v/>
      </c>
      <c r="G137" s="26" t="str">
        <f aca="false">IF(A137="","",SUMIFS(請求台帳!$S$5:$S$504,請求台帳!$C$5:$C$504,A137,請求台帳!$V$5:$V$504,"&gt;=31",請求台帳!$V$5:$V$504,"&lt;=60"))</f>
        <v/>
      </c>
      <c r="H137" s="26" t="str">
        <f aca="false">IF(A137="","",SUMIFS(請求台帳!$S$5:$S$504,請求台帳!$C$5:$C$504,A137,請求台帳!$V$5:$V$504,"&gt;=61"))</f>
        <v/>
      </c>
      <c r="I137" s="34" t="str">
        <f aca="false">IF(A137="","",COUNTIFS(請求台帳!$C$5:$C$504,A137,請求台帳!$B$5:$B$504,"&gt;="&amp;チェック!$C$4,請求台帳!$B$5:$B$504,"&lt;="&amp;EOMONTH(チェック!$C$4,0),請求台帳!$T$5:$T$504,"&lt;&gt;取消"))</f>
        <v/>
      </c>
      <c r="J137" s="29" t="str">
        <f aca="false">IF(A137="","",IF(AND(取引先マスタ!G137="有",I137=0),"請求漏れ候補",""))</f>
        <v/>
      </c>
    </row>
    <row r="138" customFormat="false" ht="15" hidden="false" customHeight="false" outlineLevel="0" collapsed="false">
      <c r="A138" s="32" t="str">
        <f aca="false">IF(取引先マスタ!A138="","",取引先マスタ!A138)</f>
        <v/>
      </c>
      <c r="B138" s="32" t="str">
        <f aca="false">IF(A138="","",取引先マスタ!B138)</f>
        <v/>
      </c>
      <c r="C138" s="32" t="str">
        <f aca="false">IF(A138="","",取引先マスタ!J138&amp;"")</f>
        <v/>
      </c>
      <c r="D138" s="26" t="str">
        <f aca="false">IF(A138="","",SUMIFS(請求台帳!$S$5:$S$504,請求台帳!$C$5:$C$504,A138,請求台帳!$T$5:$T$504,"&lt;&gt;取消"))</f>
        <v/>
      </c>
      <c r="E138" s="26" t="str">
        <f aca="false">IF(A138="","",D138-SUM(F138:H138))</f>
        <v/>
      </c>
      <c r="F138" s="26" t="str">
        <f aca="false">IF(A138="","",SUMIFS(請求台帳!$S$5:$S$504,請求台帳!$C$5:$C$504,A138,請求台帳!$V$5:$V$504,"&gt;=1",請求台帳!$V$5:$V$504,"&lt;=30"))</f>
        <v/>
      </c>
      <c r="G138" s="26" t="str">
        <f aca="false">IF(A138="","",SUMIFS(請求台帳!$S$5:$S$504,請求台帳!$C$5:$C$504,A138,請求台帳!$V$5:$V$504,"&gt;=31",請求台帳!$V$5:$V$504,"&lt;=60"))</f>
        <v/>
      </c>
      <c r="H138" s="26" t="str">
        <f aca="false">IF(A138="","",SUMIFS(請求台帳!$S$5:$S$504,請求台帳!$C$5:$C$504,A138,請求台帳!$V$5:$V$504,"&gt;=61"))</f>
        <v/>
      </c>
      <c r="I138" s="34" t="str">
        <f aca="false">IF(A138="","",COUNTIFS(請求台帳!$C$5:$C$504,A138,請求台帳!$B$5:$B$504,"&gt;="&amp;チェック!$C$4,請求台帳!$B$5:$B$504,"&lt;="&amp;EOMONTH(チェック!$C$4,0),請求台帳!$T$5:$T$504,"&lt;&gt;取消"))</f>
        <v/>
      </c>
      <c r="J138" s="29" t="str">
        <f aca="false">IF(A138="","",IF(AND(取引先マスタ!G138="有",I138=0),"請求漏れ候補",""))</f>
        <v/>
      </c>
    </row>
    <row r="139" customFormat="false" ht="15" hidden="false" customHeight="false" outlineLevel="0" collapsed="false">
      <c r="A139" s="32" t="str">
        <f aca="false">IF(取引先マスタ!A139="","",取引先マスタ!A139)</f>
        <v/>
      </c>
      <c r="B139" s="32" t="str">
        <f aca="false">IF(A139="","",取引先マスタ!B139)</f>
        <v/>
      </c>
      <c r="C139" s="32" t="str">
        <f aca="false">IF(A139="","",取引先マスタ!J139&amp;"")</f>
        <v/>
      </c>
      <c r="D139" s="26" t="str">
        <f aca="false">IF(A139="","",SUMIFS(請求台帳!$S$5:$S$504,請求台帳!$C$5:$C$504,A139,請求台帳!$T$5:$T$504,"&lt;&gt;取消"))</f>
        <v/>
      </c>
      <c r="E139" s="26" t="str">
        <f aca="false">IF(A139="","",D139-SUM(F139:H139))</f>
        <v/>
      </c>
      <c r="F139" s="26" t="str">
        <f aca="false">IF(A139="","",SUMIFS(請求台帳!$S$5:$S$504,請求台帳!$C$5:$C$504,A139,請求台帳!$V$5:$V$504,"&gt;=1",請求台帳!$V$5:$V$504,"&lt;=30"))</f>
        <v/>
      </c>
      <c r="G139" s="26" t="str">
        <f aca="false">IF(A139="","",SUMIFS(請求台帳!$S$5:$S$504,請求台帳!$C$5:$C$504,A139,請求台帳!$V$5:$V$504,"&gt;=31",請求台帳!$V$5:$V$504,"&lt;=60"))</f>
        <v/>
      </c>
      <c r="H139" s="26" t="str">
        <f aca="false">IF(A139="","",SUMIFS(請求台帳!$S$5:$S$504,請求台帳!$C$5:$C$504,A139,請求台帳!$V$5:$V$504,"&gt;=61"))</f>
        <v/>
      </c>
      <c r="I139" s="34" t="str">
        <f aca="false">IF(A139="","",COUNTIFS(請求台帳!$C$5:$C$504,A139,請求台帳!$B$5:$B$504,"&gt;="&amp;チェック!$C$4,請求台帳!$B$5:$B$504,"&lt;="&amp;EOMONTH(チェック!$C$4,0),請求台帳!$T$5:$T$504,"&lt;&gt;取消"))</f>
        <v/>
      </c>
      <c r="J139" s="29" t="str">
        <f aca="false">IF(A139="","",IF(AND(取引先マスタ!G139="有",I139=0),"請求漏れ候補",""))</f>
        <v/>
      </c>
    </row>
    <row r="140" customFormat="false" ht="15" hidden="false" customHeight="false" outlineLevel="0" collapsed="false">
      <c r="A140" s="32" t="str">
        <f aca="false">IF(取引先マスタ!A140="","",取引先マスタ!A140)</f>
        <v/>
      </c>
      <c r="B140" s="32" t="str">
        <f aca="false">IF(A140="","",取引先マスタ!B140)</f>
        <v/>
      </c>
      <c r="C140" s="32" t="str">
        <f aca="false">IF(A140="","",取引先マスタ!J140&amp;"")</f>
        <v/>
      </c>
      <c r="D140" s="26" t="str">
        <f aca="false">IF(A140="","",SUMIFS(請求台帳!$S$5:$S$504,請求台帳!$C$5:$C$504,A140,請求台帳!$T$5:$T$504,"&lt;&gt;取消"))</f>
        <v/>
      </c>
      <c r="E140" s="26" t="str">
        <f aca="false">IF(A140="","",D140-SUM(F140:H140))</f>
        <v/>
      </c>
      <c r="F140" s="26" t="str">
        <f aca="false">IF(A140="","",SUMIFS(請求台帳!$S$5:$S$504,請求台帳!$C$5:$C$504,A140,請求台帳!$V$5:$V$504,"&gt;=1",請求台帳!$V$5:$V$504,"&lt;=30"))</f>
        <v/>
      </c>
      <c r="G140" s="26" t="str">
        <f aca="false">IF(A140="","",SUMIFS(請求台帳!$S$5:$S$504,請求台帳!$C$5:$C$504,A140,請求台帳!$V$5:$V$504,"&gt;=31",請求台帳!$V$5:$V$504,"&lt;=60"))</f>
        <v/>
      </c>
      <c r="H140" s="26" t="str">
        <f aca="false">IF(A140="","",SUMIFS(請求台帳!$S$5:$S$504,請求台帳!$C$5:$C$504,A140,請求台帳!$V$5:$V$504,"&gt;=61"))</f>
        <v/>
      </c>
      <c r="I140" s="34" t="str">
        <f aca="false">IF(A140="","",COUNTIFS(請求台帳!$C$5:$C$504,A140,請求台帳!$B$5:$B$504,"&gt;="&amp;チェック!$C$4,請求台帳!$B$5:$B$504,"&lt;="&amp;EOMONTH(チェック!$C$4,0),請求台帳!$T$5:$T$504,"&lt;&gt;取消"))</f>
        <v/>
      </c>
      <c r="J140" s="29" t="str">
        <f aca="false">IF(A140="","",IF(AND(取引先マスタ!G140="有",I140=0),"請求漏れ候補",""))</f>
        <v/>
      </c>
    </row>
    <row r="141" customFormat="false" ht="15" hidden="false" customHeight="false" outlineLevel="0" collapsed="false">
      <c r="A141" s="32" t="str">
        <f aca="false">IF(取引先マスタ!A141="","",取引先マスタ!A141)</f>
        <v/>
      </c>
      <c r="B141" s="32" t="str">
        <f aca="false">IF(A141="","",取引先マスタ!B141)</f>
        <v/>
      </c>
      <c r="C141" s="32" t="str">
        <f aca="false">IF(A141="","",取引先マスタ!J141&amp;"")</f>
        <v/>
      </c>
      <c r="D141" s="26" t="str">
        <f aca="false">IF(A141="","",SUMIFS(請求台帳!$S$5:$S$504,請求台帳!$C$5:$C$504,A141,請求台帳!$T$5:$T$504,"&lt;&gt;取消"))</f>
        <v/>
      </c>
      <c r="E141" s="26" t="str">
        <f aca="false">IF(A141="","",D141-SUM(F141:H141))</f>
        <v/>
      </c>
      <c r="F141" s="26" t="str">
        <f aca="false">IF(A141="","",SUMIFS(請求台帳!$S$5:$S$504,請求台帳!$C$5:$C$504,A141,請求台帳!$V$5:$V$504,"&gt;=1",請求台帳!$V$5:$V$504,"&lt;=30"))</f>
        <v/>
      </c>
      <c r="G141" s="26" t="str">
        <f aca="false">IF(A141="","",SUMIFS(請求台帳!$S$5:$S$504,請求台帳!$C$5:$C$504,A141,請求台帳!$V$5:$V$504,"&gt;=31",請求台帳!$V$5:$V$504,"&lt;=60"))</f>
        <v/>
      </c>
      <c r="H141" s="26" t="str">
        <f aca="false">IF(A141="","",SUMIFS(請求台帳!$S$5:$S$504,請求台帳!$C$5:$C$504,A141,請求台帳!$V$5:$V$504,"&gt;=61"))</f>
        <v/>
      </c>
      <c r="I141" s="34" t="str">
        <f aca="false">IF(A141="","",COUNTIFS(請求台帳!$C$5:$C$504,A141,請求台帳!$B$5:$B$504,"&gt;="&amp;チェック!$C$4,請求台帳!$B$5:$B$504,"&lt;="&amp;EOMONTH(チェック!$C$4,0),請求台帳!$T$5:$T$504,"&lt;&gt;取消"))</f>
        <v/>
      </c>
      <c r="J141" s="29" t="str">
        <f aca="false">IF(A141="","",IF(AND(取引先マスタ!G141="有",I141=0),"請求漏れ候補",""))</f>
        <v/>
      </c>
    </row>
    <row r="142" customFormat="false" ht="15" hidden="false" customHeight="false" outlineLevel="0" collapsed="false">
      <c r="A142" s="32" t="str">
        <f aca="false">IF(取引先マスタ!A142="","",取引先マスタ!A142)</f>
        <v/>
      </c>
      <c r="B142" s="32" t="str">
        <f aca="false">IF(A142="","",取引先マスタ!B142)</f>
        <v/>
      </c>
      <c r="C142" s="32" t="str">
        <f aca="false">IF(A142="","",取引先マスタ!J142&amp;"")</f>
        <v/>
      </c>
      <c r="D142" s="26" t="str">
        <f aca="false">IF(A142="","",SUMIFS(請求台帳!$S$5:$S$504,請求台帳!$C$5:$C$504,A142,請求台帳!$T$5:$T$504,"&lt;&gt;取消"))</f>
        <v/>
      </c>
      <c r="E142" s="26" t="str">
        <f aca="false">IF(A142="","",D142-SUM(F142:H142))</f>
        <v/>
      </c>
      <c r="F142" s="26" t="str">
        <f aca="false">IF(A142="","",SUMIFS(請求台帳!$S$5:$S$504,請求台帳!$C$5:$C$504,A142,請求台帳!$V$5:$V$504,"&gt;=1",請求台帳!$V$5:$V$504,"&lt;=30"))</f>
        <v/>
      </c>
      <c r="G142" s="26" t="str">
        <f aca="false">IF(A142="","",SUMIFS(請求台帳!$S$5:$S$504,請求台帳!$C$5:$C$504,A142,請求台帳!$V$5:$V$504,"&gt;=31",請求台帳!$V$5:$V$504,"&lt;=60"))</f>
        <v/>
      </c>
      <c r="H142" s="26" t="str">
        <f aca="false">IF(A142="","",SUMIFS(請求台帳!$S$5:$S$504,請求台帳!$C$5:$C$504,A142,請求台帳!$V$5:$V$504,"&gt;=61"))</f>
        <v/>
      </c>
      <c r="I142" s="34" t="str">
        <f aca="false">IF(A142="","",COUNTIFS(請求台帳!$C$5:$C$504,A142,請求台帳!$B$5:$B$504,"&gt;="&amp;チェック!$C$4,請求台帳!$B$5:$B$504,"&lt;="&amp;EOMONTH(チェック!$C$4,0),請求台帳!$T$5:$T$504,"&lt;&gt;取消"))</f>
        <v/>
      </c>
      <c r="J142" s="29" t="str">
        <f aca="false">IF(A142="","",IF(AND(取引先マスタ!G142="有",I142=0),"請求漏れ候補",""))</f>
        <v/>
      </c>
    </row>
    <row r="143" customFormat="false" ht="15" hidden="false" customHeight="false" outlineLevel="0" collapsed="false">
      <c r="A143" s="32" t="str">
        <f aca="false">IF(取引先マスタ!A143="","",取引先マスタ!A143)</f>
        <v/>
      </c>
      <c r="B143" s="32" t="str">
        <f aca="false">IF(A143="","",取引先マスタ!B143)</f>
        <v/>
      </c>
      <c r="C143" s="32" t="str">
        <f aca="false">IF(A143="","",取引先マスタ!J143&amp;"")</f>
        <v/>
      </c>
      <c r="D143" s="26" t="str">
        <f aca="false">IF(A143="","",SUMIFS(請求台帳!$S$5:$S$504,請求台帳!$C$5:$C$504,A143,請求台帳!$T$5:$T$504,"&lt;&gt;取消"))</f>
        <v/>
      </c>
      <c r="E143" s="26" t="str">
        <f aca="false">IF(A143="","",D143-SUM(F143:H143))</f>
        <v/>
      </c>
      <c r="F143" s="26" t="str">
        <f aca="false">IF(A143="","",SUMIFS(請求台帳!$S$5:$S$504,請求台帳!$C$5:$C$504,A143,請求台帳!$V$5:$V$504,"&gt;=1",請求台帳!$V$5:$V$504,"&lt;=30"))</f>
        <v/>
      </c>
      <c r="G143" s="26" t="str">
        <f aca="false">IF(A143="","",SUMIFS(請求台帳!$S$5:$S$504,請求台帳!$C$5:$C$504,A143,請求台帳!$V$5:$V$504,"&gt;=31",請求台帳!$V$5:$V$504,"&lt;=60"))</f>
        <v/>
      </c>
      <c r="H143" s="26" t="str">
        <f aca="false">IF(A143="","",SUMIFS(請求台帳!$S$5:$S$504,請求台帳!$C$5:$C$504,A143,請求台帳!$V$5:$V$504,"&gt;=61"))</f>
        <v/>
      </c>
      <c r="I143" s="34" t="str">
        <f aca="false">IF(A143="","",COUNTIFS(請求台帳!$C$5:$C$504,A143,請求台帳!$B$5:$B$504,"&gt;="&amp;チェック!$C$4,請求台帳!$B$5:$B$504,"&lt;="&amp;EOMONTH(チェック!$C$4,0),請求台帳!$T$5:$T$504,"&lt;&gt;取消"))</f>
        <v/>
      </c>
      <c r="J143" s="29" t="str">
        <f aca="false">IF(A143="","",IF(AND(取引先マスタ!G143="有",I143=0),"請求漏れ候補",""))</f>
        <v/>
      </c>
    </row>
    <row r="144" customFormat="false" ht="15" hidden="false" customHeight="false" outlineLevel="0" collapsed="false">
      <c r="A144" s="32" t="str">
        <f aca="false">IF(取引先マスタ!A144="","",取引先マスタ!A144)</f>
        <v/>
      </c>
      <c r="B144" s="32" t="str">
        <f aca="false">IF(A144="","",取引先マスタ!B144)</f>
        <v/>
      </c>
      <c r="C144" s="32" t="str">
        <f aca="false">IF(A144="","",取引先マスタ!J144&amp;"")</f>
        <v/>
      </c>
      <c r="D144" s="26" t="str">
        <f aca="false">IF(A144="","",SUMIFS(請求台帳!$S$5:$S$504,請求台帳!$C$5:$C$504,A144,請求台帳!$T$5:$T$504,"&lt;&gt;取消"))</f>
        <v/>
      </c>
      <c r="E144" s="26" t="str">
        <f aca="false">IF(A144="","",D144-SUM(F144:H144))</f>
        <v/>
      </c>
      <c r="F144" s="26" t="str">
        <f aca="false">IF(A144="","",SUMIFS(請求台帳!$S$5:$S$504,請求台帳!$C$5:$C$504,A144,請求台帳!$V$5:$V$504,"&gt;=1",請求台帳!$V$5:$V$504,"&lt;=30"))</f>
        <v/>
      </c>
      <c r="G144" s="26" t="str">
        <f aca="false">IF(A144="","",SUMIFS(請求台帳!$S$5:$S$504,請求台帳!$C$5:$C$504,A144,請求台帳!$V$5:$V$504,"&gt;=31",請求台帳!$V$5:$V$504,"&lt;=60"))</f>
        <v/>
      </c>
      <c r="H144" s="26" t="str">
        <f aca="false">IF(A144="","",SUMIFS(請求台帳!$S$5:$S$504,請求台帳!$C$5:$C$504,A144,請求台帳!$V$5:$V$504,"&gt;=61"))</f>
        <v/>
      </c>
      <c r="I144" s="34" t="str">
        <f aca="false">IF(A144="","",COUNTIFS(請求台帳!$C$5:$C$504,A144,請求台帳!$B$5:$B$504,"&gt;="&amp;チェック!$C$4,請求台帳!$B$5:$B$504,"&lt;="&amp;EOMONTH(チェック!$C$4,0),請求台帳!$T$5:$T$504,"&lt;&gt;取消"))</f>
        <v/>
      </c>
      <c r="J144" s="29" t="str">
        <f aca="false">IF(A144="","",IF(AND(取引先マスタ!G144="有",I144=0),"請求漏れ候補",""))</f>
        <v/>
      </c>
    </row>
    <row r="145" customFormat="false" ht="15" hidden="false" customHeight="false" outlineLevel="0" collapsed="false">
      <c r="A145" s="32" t="str">
        <f aca="false">IF(取引先マスタ!A145="","",取引先マスタ!A145)</f>
        <v/>
      </c>
      <c r="B145" s="32" t="str">
        <f aca="false">IF(A145="","",取引先マスタ!B145)</f>
        <v/>
      </c>
      <c r="C145" s="32" t="str">
        <f aca="false">IF(A145="","",取引先マスタ!J145&amp;"")</f>
        <v/>
      </c>
      <c r="D145" s="26" t="str">
        <f aca="false">IF(A145="","",SUMIFS(請求台帳!$S$5:$S$504,請求台帳!$C$5:$C$504,A145,請求台帳!$T$5:$T$504,"&lt;&gt;取消"))</f>
        <v/>
      </c>
      <c r="E145" s="26" t="str">
        <f aca="false">IF(A145="","",D145-SUM(F145:H145))</f>
        <v/>
      </c>
      <c r="F145" s="26" t="str">
        <f aca="false">IF(A145="","",SUMIFS(請求台帳!$S$5:$S$504,請求台帳!$C$5:$C$504,A145,請求台帳!$V$5:$V$504,"&gt;=1",請求台帳!$V$5:$V$504,"&lt;=30"))</f>
        <v/>
      </c>
      <c r="G145" s="26" t="str">
        <f aca="false">IF(A145="","",SUMIFS(請求台帳!$S$5:$S$504,請求台帳!$C$5:$C$504,A145,請求台帳!$V$5:$V$504,"&gt;=31",請求台帳!$V$5:$V$504,"&lt;=60"))</f>
        <v/>
      </c>
      <c r="H145" s="26" t="str">
        <f aca="false">IF(A145="","",SUMIFS(請求台帳!$S$5:$S$504,請求台帳!$C$5:$C$504,A145,請求台帳!$V$5:$V$504,"&gt;=61"))</f>
        <v/>
      </c>
      <c r="I145" s="34" t="str">
        <f aca="false">IF(A145="","",COUNTIFS(請求台帳!$C$5:$C$504,A145,請求台帳!$B$5:$B$504,"&gt;="&amp;チェック!$C$4,請求台帳!$B$5:$B$504,"&lt;="&amp;EOMONTH(チェック!$C$4,0),請求台帳!$T$5:$T$504,"&lt;&gt;取消"))</f>
        <v/>
      </c>
      <c r="J145" s="29" t="str">
        <f aca="false">IF(A145="","",IF(AND(取引先マスタ!G145="有",I145=0),"請求漏れ候補",""))</f>
        <v/>
      </c>
    </row>
    <row r="146" customFormat="false" ht="15" hidden="false" customHeight="false" outlineLevel="0" collapsed="false">
      <c r="A146" s="32" t="str">
        <f aca="false">IF(取引先マスタ!A146="","",取引先マスタ!A146)</f>
        <v/>
      </c>
      <c r="B146" s="32" t="str">
        <f aca="false">IF(A146="","",取引先マスタ!B146)</f>
        <v/>
      </c>
      <c r="C146" s="32" t="str">
        <f aca="false">IF(A146="","",取引先マスタ!J146&amp;"")</f>
        <v/>
      </c>
      <c r="D146" s="26" t="str">
        <f aca="false">IF(A146="","",SUMIFS(請求台帳!$S$5:$S$504,請求台帳!$C$5:$C$504,A146,請求台帳!$T$5:$T$504,"&lt;&gt;取消"))</f>
        <v/>
      </c>
      <c r="E146" s="26" t="str">
        <f aca="false">IF(A146="","",D146-SUM(F146:H146))</f>
        <v/>
      </c>
      <c r="F146" s="26" t="str">
        <f aca="false">IF(A146="","",SUMIFS(請求台帳!$S$5:$S$504,請求台帳!$C$5:$C$504,A146,請求台帳!$V$5:$V$504,"&gt;=1",請求台帳!$V$5:$V$504,"&lt;=30"))</f>
        <v/>
      </c>
      <c r="G146" s="26" t="str">
        <f aca="false">IF(A146="","",SUMIFS(請求台帳!$S$5:$S$504,請求台帳!$C$5:$C$504,A146,請求台帳!$V$5:$V$504,"&gt;=31",請求台帳!$V$5:$V$504,"&lt;=60"))</f>
        <v/>
      </c>
      <c r="H146" s="26" t="str">
        <f aca="false">IF(A146="","",SUMIFS(請求台帳!$S$5:$S$504,請求台帳!$C$5:$C$504,A146,請求台帳!$V$5:$V$504,"&gt;=61"))</f>
        <v/>
      </c>
      <c r="I146" s="34" t="str">
        <f aca="false">IF(A146="","",COUNTIFS(請求台帳!$C$5:$C$504,A146,請求台帳!$B$5:$B$504,"&gt;="&amp;チェック!$C$4,請求台帳!$B$5:$B$504,"&lt;="&amp;EOMONTH(チェック!$C$4,0),請求台帳!$T$5:$T$504,"&lt;&gt;取消"))</f>
        <v/>
      </c>
      <c r="J146" s="29" t="str">
        <f aca="false">IF(A146="","",IF(AND(取引先マスタ!G146="有",I146=0),"請求漏れ候補",""))</f>
        <v/>
      </c>
    </row>
    <row r="147" customFormat="false" ht="15" hidden="false" customHeight="false" outlineLevel="0" collapsed="false">
      <c r="A147" s="32" t="str">
        <f aca="false">IF(取引先マスタ!A147="","",取引先マスタ!A147)</f>
        <v/>
      </c>
      <c r="B147" s="32" t="str">
        <f aca="false">IF(A147="","",取引先マスタ!B147)</f>
        <v/>
      </c>
      <c r="C147" s="32" t="str">
        <f aca="false">IF(A147="","",取引先マスタ!J147&amp;"")</f>
        <v/>
      </c>
      <c r="D147" s="26" t="str">
        <f aca="false">IF(A147="","",SUMIFS(請求台帳!$S$5:$S$504,請求台帳!$C$5:$C$504,A147,請求台帳!$T$5:$T$504,"&lt;&gt;取消"))</f>
        <v/>
      </c>
      <c r="E147" s="26" t="str">
        <f aca="false">IF(A147="","",D147-SUM(F147:H147))</f>
        <v/>
      </c>
      <c r="F147" s="26" t="str">
        <f aca="false">IF(A147="","",SUMIFS(請求台帳!$S$5:$S$504,請求台帳!$C$5:$C$504,A147,請求台帳!$V$5:$V$504,"&gt;=1",請求台帳!$V$5:$V$504,"&lt;=30"))</f>
        <v/>
      </c>
      <c r="G147" s="26" t="str">
        <f aca="false">IF(A147="","",SUMIFS(請求台帳!$S$5:$S$504,請求台帳!$C$5:$C$504,A147,請求台帳!$V$5:$V$504,"&gt;=31",請求台帳!$V$5:$V$504,"&lt;=60"))</f>
        <v/>
      </c>
      <c r="H147" s="26" t="str">
        <f aca="false">IF(A147="","",SUMIFS(請求台帳!$S$5:$S$504,請求台帳!$C$5:$C$504,A147,請求台帳!$V$5:$V$504,"&gt;=61"))</f>
        <v/>
      </c>
      <c r="I147" s="34" t="str">
        <f aca="false">IF(A147="","",COUNTIFS(請求台帳!$C$5:$C$504,A147,請求台帳!$B$5:$B$504,"&gt;="&amp;チェック!$C$4,請求台帳!$B$5:$B$504,"&lt;="&amp;EOMONTH(チェック!$C$4,0),請求台帳!$T$5:$T$504,"&lt;&gt;取消"))</f>
        <v/>
      </c>
      <c r="J147" s="29" t="str">
        <f aca="false">IF(A147="","",IF(AND(取引先マスタ!G147="有",I147=0),"請求漏れ候補",""))</f>
        <v/>
      </c>
    </row>
    <row r="148" customFormat="false" ht="15" hidden="false" customHeight="false" outlineLevel="0" collapsed="false">
      <c r="A148" s="32" t="str">
        <f aca="false">IF(取引先マスタ!A148="","",取引先マスタ!A148)</f>
        <v/>
      </c>
      <c r="B148" s="32" t="str">
        <f aca="false">IF(A148="","",取引先マスタ!B148)</f>
        <v/>
      </c>
      <c r="C148" s="32" t="str">
        <f aca="false">IF(A148="","",取引先マスタ!J148&amp;"")</f>
        <v/>
      </c>
      <c r="D148" s="26" t="str">
        <f aca="false">IF(A148="","",SUMIFS(請求台帳!$S$5:$S$504,請求台帳!$C$5:$C$504,A148,請求台帳!$T$5:$T$504,"&lt;&gt;取消"))</f>
        <v/>
      </c>
      <c r="E148" s="26" t="str">
        <f aca="false">IF(A148="","",D148-SUM(F148:H148))</f>
        <v/>
      </c>
      <c r="F148" s="26" t="str">
        <f aca="false">IF(A148="","",SUMIFS(請求台帳!$S$5:$S$504,請求台帳!$C$5:$C$504,A148,請求台帳!$V$5:$V$504,"&gt;=1",請求台帳!$V$5:$V$504,"&lt;=30"))</f>
        <v/>
      </c>
      <c r="G148" s="26" t="str">
        <f aca="false">IF(A148="","",SUMIFS(請求台帳!$S$5:$S$504,請求台帳!$C$5:$C$504,A148,請求台帳!$V$5:$V$504,"&gt;=31",請求台帳!$V$5:$V$504,"&lt;=60"))</f>
        <v/>
      </c>
      <c r="H148" s="26" t="str">
        <f aca="false">IF(A148="","",SUMIFS(請求台帳!$S$5:$S$504,請求台帳!$C$5:$C$504,A148,請求台帳!$V$5:$V$504,"&gt;=61"))</f>
        <v/>
      </c>
      <c r="I148" s="34" t="str">
        <f aca="false">IF(A148="","",COUNTIFS(請求台帳!$C$5:$C$504,A148,請求台帳!$B$5:$B$504,"&gt;="&amp;チェック!$C$4,請求台帳!$B$5:$B$504,"&lt;="&amp;EOMONTH(チェック!$C$4,0),請求台帳!$T$5:$T$504,"&lt;&gt;取消"))</f>
        <v/>
      </c>
      <c r="J148" s="29" t="str">
        <f aca="false">IF(A148="","",IF(AND(取引先マスタ!G148="有",I148=0),"請求漏れ候補",""))</f>
        <v/>
      </c>
    </row>
    <row r="149" customFormat="false" ht="15" hidden="false" customHeight="false" outlineLevel="0" collapsed="false">
      <c r="A149" s="32" t="str">
        <f aca="false">IF(取引先マスタ!A149="","",取引先マスタ!A149)</f>
        <v/>
      </c>
      <c r="B149" s="32" t="str">
        <f aca="false">IF(A149="","",取引先マスタ!B149)</f>
        <v/>
      </c>
      <c r="C149" s="32" t="str">
        <f aca="false">IF(A149="","",取引先マスタ!J149&amp;"")</f>
        <v/>
      </c>
      <c r="D149" s="26" t="str">
        <f aca="false">IF(A149="","",SUMIFS(請求台帳!$S$5:$S$504,請求台帳!$C$5:$C$504,A149,請求台帳!$T$5:$T$504,"&lt;&gt;取消"))</f>
        <v/>
      </c>
      <c r="E149" s="26" t="str">
        <f aca="false">IF(A149="","",D149-SUM(F149:H149))</f>
        <v/>
      </c>
      <c r="F149" s="26" t="str">
        <f aca="false">IF(A149="","",SUMIFS(請求台帳!$S$5:$S$504,請求台帳!$C$5:$C$504,A149,請求台帳!$V$5:$V$504,"&gt;=1",請求台帳!$V$5:$V$504,"&lt;=30"))</f>
        <v/>
      </c>
      <c r="G149" s="26" t="str">
        <f aca="false">IF(A149="","",SUMIFS(請求台帳!$S$5:$S$504,請求台帳!$C$5:$C$504,A149,請求台帳!$V$5:$V$504,"&gt;=31",請求台帳!$V$5:$V$504,"&lt;=60"))</f>
        <v/>
      </c>
      <c r="H149" s="26" t="str">
        <f aca="false">IF(A149="","",SUMIFS(請求台帳!$S$5:$S$504,請求台帳!$C$5:$C$504,A149,請求台帳!$V$5:$V$504,"&gt;=61"))</f>
        <v/>
      </c>
      <c r="I149" s="34" t="str">
        <f aca="false">IF(A149="","",COUNTIFS(請求台帳!$C$5:$C$504,A149,請求台帳!$B$5:$B$504,"&gt;="&amp;チェック!$C$4,請求台帳!$B$5:$B$504,"&lt;="&amp;EOMONTH(チェック!$C$4,0),請求台帳!$T$5:$T$504,"&lt;&gt;取消"))</f>
        <v/>
      </c>
      <c r="J149" s="29" t="str">
        <f aca="false">IF(A149="","",IF(AND(取引先マスタ!G149="有",I149=0),"請求漏れ候補",""))</f>
        <v/>
      </c>
    </row>
    <row r="150" customFormat="false" ht="15" hidden="false" customHeight="false" outlineLevel="0" collapsed="false">
      <c r="A150" s="32" t="str">
        <f aca="false">IF(取引先マスタ!A150="","",取引先マスタ!A150)</f>
        <v/>
      </c>
      <c r="B150" s="32" t="str">
        <f aca="false">IF(A150="","",取引先マスタ!B150)</f>
        <v/>
      </c>
      <c r="C150" s="32" t="str">
        <f aca="false">IF(A150="","",取引先マスタ!J150&amp;"")</f>
        <v/>
      </c>
      <c r="D150" s="26" t="str">
        <f aca="false">IF(A150="","",SUMIFS(請求台帳!$S$5:$S$504,請求台帳!$C$5:$C$504,A150,請求台帳!$T$5:$T$504,"&lt;&gt;取消"))</f>
        <v/>
      </c>
      <c r="E150" s="26" t="str">
        <f aca="false">IF(A150="","",D150-SUM(F150:H150))</f>
        <v/>
      </c>
      <c r="F150" s="26" t="str">
        <f aca="false">IF(A150="","",SUMIFS(請求台帳!$S$5:$S$504,請求台帳!$C$5:$C$504,A150,請求台帳!$V$5:$V$504,"&gt;=1",請求台帳!$V$5:$V$504,"&lt;=30"))</f>
        <v/>
      </c>
      <c r="G150" s="26" t="str">
        <f aca="false">IF(A150="","",SUMIFS(請求台帳!$S$5:$S$504,請求台帳!$C$5:$C$504,A150,請求台帳!$V$5:$V$504,"&gt;=31",請求台帳!$V$5:$V$504,"&lt;=60"))</f>
        <v/>
      </c>
      <c r="H150" s="26" t="str">
        <f aca="false">IF(A150="","",SUMIFS(請求台帳!$S$5:$S$504,請求台帳!$C$5:$C$504,A150,請求台帳!$V$5:$V$504,"&gt;=61"))</f>
        <v/>
      </c>
      <c r="I150" s="34" t="str">
        <f aca="false">IF(A150="","",COUNTIFS(請求台帳!$C$5:$C$504,A150,請求台帳!$B$5:$B$504,"&gt;="&amp;チェック!$C$4,請求台帳!$B$5:$B$504,"&lt;="&amp;EOMONTH(チェック!$C$4,0),請求台帳!$T$5:$T$504,"&lt;&gt;取消"))</f>
        <v/>
      </c>
      <c r="J150" s="29" t="str">
        <f aca="false">IF(A150="","",IF(AND(取引先マスタ!G150="有",I150=0),"請求漏れ候補",""))</f>
        <v/>
      </c>
    </row>
    <row r="151" customFormat="false" ht="15" hidden="false" customHeight="false" outlineLevel="0" collapsed="false">
      <c r="A151" s="32" t="str">
        <f aca="false">IF(取引先マスタ!A151="","",取引先マスタ!A151)</f>
        <v/>
      </c>
      <c r="B151" s="32" t="str">
        <f aca="false">IF(A151="","",取引先マスタ!B151)</f>
        <v/>
      </c>
      <c r="C151" s="32" t="str">
        <f aca="false">IF(A151="","",取引先マスタ!J151&amp;"")</f>
        <v/>
      </c>
      <c r="D151" s="26" t="str">
        <f aca="false">IF(A151="","",SUMIFS(請求台帳!$S$5:$S$504,請求台帳!$C$5:$C$504,A151,請求台帳!$T$5:$T$504,"&lt;&gt;取消"))</f>
        <v/>
      </c>
      <c r="E151" s="26" t="str">
        <f aca="false">IF(A151="","",D151-SUM(F151:H151))</f>
        <v/>
      </c>
      <c r="F151" s="26" t="str">
        <f aca="false">IF(A151="","",SUMIFS(請求台帳!$S$5:$S$504,請求台帳!$C$5:$C$504,A151,請求台帳!$V$5:$V$504,"&gt;=1",請求台帳!$V$5:$V$504,"&lt;=30"))</f>
        <v/>
      </c>
      <c r="G151" s="26" t="str">
        <f aca="false">IF(A151="","",SUMIFS(請求台帳!$S$5:$S$504,請求台帳!$C$5:$C$504,A151,請求台帳!$V$5:$V$504,"&gt;=31",請求台帳!$V$5:$V$504,"&lt;=60"))</f>
        <v/>
      </c>
      <c r="H151" s="26" t="str">
        <f aca="false">IF(A151="","",SUMIFS(請求台帳!$S$5:$S$504,請求台帳!$C$5:$C$504,A151,請求台帳!$V$5:$V$504,"&gt;=61"))</f>
        <v/>
      </c>
      <c r="I151" s="34" t="str">
        <f aca="false">IF(A151="","",COUNTIFS(請求台帳!$C$5:$C$504,A151,請求台帳!$B$5:$B$504,"&gt;="&amp;チェック!$C$4,請求台帳!$B$5:$B$504,"&lt;="&amp;EOMONTH(チェック!$C$4,0),請求台帳!$T$5:$T$504,"&lt;&gt;取消"))</f>
        <v/>
      </c>
      <c r="J151" s="29" t="str">
        <f aca="false">IF(A151="","",IF(AND(取引先マスタ!G151="有",I151=0),"請求漏れ候補",""))</f>
        <v/>
      </c>
    </row>
    <row r="152" customFormat="false" ht="15" hidden="false" customHeight="false" outlineLevel="0" collapsed="false">
      <c r="A152" s="32" t="str">
        <f aca="false">IF(取引先マスタ!A152="","",取引先マスタ!A152)</f>
        <v/>
      </c>
      <c r="B152" s="32" t="str">
        <f aca="false">IF(A152="","",取引先マスタ!B152)</f>
        <v/>
      </c>
      <c r="C152" s="32" t="str">
        <f aca="false">IF(A152="","",取引先マスタ!J152&amp;"")</f>
        <v/>
      </c>
      <c r="D152" s="26" t="str">
        <f aca="false">IF(A152="","",SUMIFS(請求台帳!$S$5:$S$504,請求台帳!$C$5:$C$504,A152,請求台帳!$T$5:$T$504,"&lt;&gt;取消"))</f>
        <v/>
      </c>
      <c r="E152" s="26" t="str">
        <f aca="false">IF(A152="","",D152-SUM(F152:H152))</f>
        <v/>
      </c>
      <c r="F152" s="26" t="str">
        <f aca="false">IF(A152="","",SUMIFS(請求台帳!$S$5:$S$504,請求台帳!$C$5:$C$504,A152,請求台帳!$V$5:$V$504,"&gt;=1",請求台帳!$V$5:$V$504,"&lt;=30"))</f>
        <v/>
      </c>
      <c r="G152" s="26" t="str">
        <f aca="false">IF(A152="","",SUMIFS(請求台帳!$S$5:$S$504,請求台帳!$C$5:$C$504,A152,請求台帳!$V$5:$V$504,"&gt;=31",請求台帳!$V$5:$V$504,"&lt;=60"))</f>
        <v/>
      </c>
      <c r="H152" s="26" t="str">
        <f aca="false">IF(A152="","",SUMIFS(請求台帳!$S$5:$S$504,請求台帳!$C$5:$C$504,A152,請求台帳!$V$5:$V$504,"&gt;=61"))</f>
        <v/>
      </c>
      <c r="I152" s="34" t="str">
        <f aca="false">IF(A152="","",COUNTIFS(請求台帳!$C$5:$C$504,A152,請求台帳!$B$5:$B$504,"&gt;="&amp;チェック!$C$4,請求台帳!$B$5:$B$504,"&lt;="&amp;EOMONTH(チェック!$C$4,0),請求台帳!$T$5:$T$504,"&lt;&gt;取消"))</f>
        <v/>
      </c>
      <c r="J152" s="29" t="str">
        <f aca="false">IF(A152="","",IF(AND(取引先マスタ!G152="有",I152=0),"請求漏れ候補",""))</f>
        <v/>
      </c>
    </row>
    <row r="153" customFormat="false" ht="15" hidden="false" customHeight="false" outlineLevel="0" collapsed="false">
      <c r="A153" s="32" t="str">
        <f aca="false">IF(取引先マスタ!A153="","",取引先マスタ!A153)</f>
        <v/>
      </c>
      <c r="B153" s="32" t="str">
        <f aca="false">IF(A153="","",取引先マスタ!B153)</f>
        <v/>
      </c>
      <c r="C153" s="32" t="str">
        <f aca="false">IF(A153="","",取引先マスタ!J153&amp;"")</f>
        <v/>
      </c>
      <c r="D153" s="26" t="str">
        <f aca="false">IF(A153="","",SUMIFS(請求台帳!$S$5:$S$504,請求台帳!$C$5:$C$504,A153,請求台帳!$T$5:$T$504,"&lt;&gt;取消"))</f>
        <v/>
      </c>
      <c r="E153" s="26" t="str">
        <f aca="false">IF(A153="","",D153-SUM(F153:H153))</f>
        <v/>
      </c>
      <c r="F153" s="26" t="str">
        <f aca="false">IF(A153="","",SUMIFS(請求台帳!$S$5:$S$504,請求台帳!$C$5:$C$504,A153,請求台帳!$V$5:$V$504,"&gt;=1",請求台帳!$V$5:$V$504,"&lt;=30"))</f>
        <v/>
      </c>
      <c r="G153" s="26" t="str">
        <f aca="false">IF(A153="","",SUMIFS(請求台帳!$S$5:$S$504,請求台帳!$C$5:$C$504,A153,請求台帳!$V$5:$V$504,"&gt;=31",請求台帳!$V$5:$V$504,"&lt;=60"))</f>
        <v/>
      </c>
      <c r="H153" s="26" t="str">
        <f aca="false">IF(A153="","",SUMIFS(請求台帳!$S$5:$S$504,請求台帳!$C$5:$C$504,A153,請求台帳!$V$5:$V$504,"&gt;=61"))</f>
        <v/>
      </c>
      <c r="I153" s="34" t="str">
        <f aca="false">IF(A153="","",COUNTIFS(請求台帳!$C$5:$C$504,A153,請求台帳!$B$5:$B$504,"&gt;="&amp;チェック!$C$4,請求台帳!$B$5:$B$504,"&lt;="&amp;EOMONTH(チェック!$C$4,0),請求台帳!$T$5:$T$504,"&lt;&gt;取消"))</f>
        <v/>
      </c>
      <c r="J153" s="29" t="str">
        <f aca="false">IF(A153="","",IF(AND(取引先マスタ!G153="有",I153=0),"請求漏れ候補",""))</f>
        <v/>
      </c>
    </row>
    <row r="154" customFormat="false" ht="15" hidden="false" customHeight="false" outlineLevel="0" collapsed="false">
      <c r="A154" s="32" t="str">
        <f aca="false">IF(取引先マスタ!A154="","",取引先マスタ!A154)</f>
        <v/>
      </c>
      <c r="B154" s="32" t="str">
        <f aca="false">IF(A154="","",取引先マスタ!B154)</f>
        <v/>
      </c>
      <c r="C154" s="32" t="str">
        <f aca="false">IF(A154="","",取引先マスタ!J154&amp;"")</f>
        <v/>
      </c>
      <c r="D154" s="26" t="str">
        <f aca="false">IF(A154="","",SUMIFS(請求台帳!$S$5:$S$504,請求台帳!$C$5:$C$504,A154,請求台帳!$T$5:$T$504,"&lt;&gt;取消"))</f>
        <v/>
      </c>
      <c r="E154" s="26" t="str">
        <f aca="false">IF(A154="","",D154-SUM(F154:H154))</f>
        <v/>
      </c>
      <c r="F154" s="26" t="str">
        <f aca="false">IF(A154="","",SUMIFS(請求台帳!$S$5:$S$504,請求台帳!$C$5:$C$504,A154,請求台帳!$V$5:$V$504,"&gt;=1",請求台帳!$V$5:$V$504,"&lt;=30"))</f>
        <v/>
      </c>
      <c r="G154" s="26" t="str">
        <f aca="false">IF(A154="","",SUMIFS(請求台帳!$S$5:$S$504,請求台帳!$C$5:$C$504,A154,請求台帳!$V$5:$V$504,"&gt;=31",請求台帳!$V$5:$V$504,"&lt;=60"))</f>
        <v/>
      </c>
      <c r="H154" s="26" t="str">
        <f aca="false">IF(A154="","",SUMIFS(請求台帳!$S$5:$S$504,請求台帳!$C$5:$C$504,A154,請求台帳!$V$5:$V$504,"&gt;=61"))</f>
        <v/>
      </c>
      <c r="I154" s="34" t="str">
        <f aca="false">IF(A154="","",COUNTIFS(請求台帳!$C$5:$C$504,A154,請求台帳!$B$5:$B$504,"&gt;="&amp;チェック!$C$4,請求台帳!$B$5:$B$504,"&lt;="&amp;EOMONTH(チェック!$C$4,0),請求台帳!$T$5:$T$504,"&lt;&gt;取消"))</f>
        <v/>
      </c>
      <c r="J154" s="29" t="str">
        <f aca="false">IF(A154="","",IF(AND(取引先マスタ!G154="有",I154=0),"請求漏れ候補",""))</f>
        <v/>
      </c>
    </row>
    <row r="155" customFormat="false" ht="15" hidden="false" customHeight="false" outlineLevel="0" collapsed="false">
      <c r="A155" s="32" t="str">
        <f aca="false">IF(取引先マスタ!A155="","",取引先マスタ!A155)</f>
        <v/>
      </c>
      <c r="B155" s="32" t="str">
        <f aca="false">IF(A155="","",取引先マスタ!B155)</f>
        <v/>
      </c>
      <c r="C155" s="32" t="str">
        <f aca="false">IF(A155="","",取引先マスタ!J155&amp;"")</f>
        <v/>
      </c>
      <c r="D155" s="26" t="str">
        <f aca="false">IF(A155="","",SUMIFS(請求台帳!$S$5:$S$504,請求台帳!$C$5:$C$504,A155,請求台帳!$T$5:$T$504,"&lt;&gt;取消"))</f>
        <v/>
      </c>
      <c r="E155" s="26" t="str">
        <f aca="false">IF(A155="","",D155-SUM(F155:H155))</f>
        <v/>
      </c>
      <c r="F155" s="26" t="str">
        <f aca="false">IF(A155="","",SUMIFS(請求台帳!$S$5:$S$504,請求台帳!$C$5:$C$504,A155,請求台帳!$V$5:$V$504,"&gt;=1",請求台帳!$V$5:$V$504,"&lt;=30"))</f>
        <v/>
      </c>
      <c r="G155" s="26" t="str">
        <f aca="false">IF(A155="","",SUMIFS(請求台帳!$S$5:$S$504,請求台帳!$C$5:$C$504,A155,請求台帳!$V$5:$V$504,"&gt;=31",請求台帳!$V$5:$V$504,"&lt;=60"))</f>
        <v/>
      </c>
      <c r="H155" s="26" t="str">
        <f aca="false">IF(A155="","",SUMIFS(請求台帳!$S$5:$S$504,請求台帳!$C$5:$C$504,A155,請求台帳!$V$5:$V$504,"&gt;=61"))</f>
        <v/>
      </c>
      <c r="I155" s="34" t="str">
        <f aca="false">IF(A155="","",COUNTIFS(請求台帳!$C$5:$C$504,A155,請求台帳!$B$5:$B$504,"&gt;="&amp;チェック!$C$4,請求台帳!$B$5:$B$504,"&lt;="&amp;EOMONTH(チェック!$C$4,0),請求台帳!$T$5:$T$504,"&lt;&gt;取消"))</f>
        <v/>
      </c>
      <c r="J155" s="29" t="str">
        <f aca="false">IF(A155="","",IF(AND(取引先マスタ!G155="有",I155=0),"請求漏れ候補",""))</f>
        <v/>
      </c>
    </row>
    <row r="156" customFormat="false" ht="15" hidden="false" customHeight="false" outlineLevel="0" collapsed="false">
      <c r="A156" s="32" t="str">
        <f aca="false">IF(取引先マスタ!A156="","",取引先マスタ!A156)</f>
        <v/>
      </c>
      <c r="B156" s="32" t="str">
        <f aca="false">IF(A156="","",取引先マスタ!B156)</f>
        <v/>
      </c>
      <c r="C156" s="32" t="str">
        <f aca="false">IF(A156="","",取引先マスタ!J156&amp;"")</f>
        <v/>
      </c>
      <c r="D156" s="26" t="str">
        <f aca="false">IF(A156="","",SUMIFS(請求台帳!$S$5:$S$504,請求台帳!$C$5:$C$504,A156,請求台帳!$T$5:$T$504,"&lt;&gt;取消"))</f>
        <v/>
      </c>
      <c r="E156" s="26" t="str">
        <f aca="false">IF(A156="","",D156-SUM(F156:H156))</f>
        <v/>
      </c>
      <c r="F156" s="26" t="str">
        <f aca="false">IF(A156="","",SUMIFS(請求台帳!$S$5:$S$504,請求台帳!$C$5:$C$504,A156,請求台帳!$V$5:$V$504,"&gt;=1",請求台帳!$V$5:$V$504,"&lt;=30"))</f>
        <v/>
      </c>
      <c r="G156" s="26" t="str">
        <f aca="false">IF(A156="","",SUMIFS(請求台帳!$S$5:$S$504,請求台帳!$C$5:$C$504,A156,請求台帳!$V$5:$V$504,"&gt;=31",請求台帳!$V$5:$V$504,"&lt;=60"))</f>
        <v/>
      </c>
      <c r="H156" s="26" t="str">
        <f aca="false">IF(A156="","",SUMIFS(請求台帳!$S$5:$S$504,請求台帳!$C$5:$C$504,A156,請求台帳!$V$5:$V$504,"&gt;=61"))</f>
        <v/>
      </c>
      <c r="I156" s="34" t="str">
        <f aca="false">IF(A156="","",COUNTIFS(請求台帳!$C$5:$C$504,A156,請求台帳!$B$5:$B$504,"&gt;="&amp;チェック!$C$4,請求台帳!$B$5:$B$504,"&lt;="&amp;EOMONTH(チェック!$C$4,0),請求台帳!$T$5:$T$504,"&lt;&gt;取消"))</f>
        <v/>
      </c>
      <c r="J156" s="29" t="str">
        <f aca="false">IF(A156="","",IF(AND(取引先マスタ!G156="有",I156=0),"請求漏れ候補",""))</f>
        <v/>
      </c>
    </row>
    <row r="157" customFormat="false" ht="15" hidden="false" customHeight="false" outlineLevel="0" collapsed="false">
      <c r="A157" s="32" t="str">
        <f aca="false">IF(取引先マスタ!A157="","",取引先マスタ!A157)</f>
        <v/>
      </c>
      <c r="B157" s="32" t="str">
        <f aca="false">IF(A157="","",取引先マスタ!B157)</f>
        <v/>
      </c>
      <c r="C157" s="32" t="str">
        <f aca="false">IF(A157="","",取引先マスタ!J157&amp;"")</f>
        <v/>
      </c>
      <c r="D157" s="26" t="str">
        <f aca="false">IF(A157="","",SUMIFS(請求台帳!$S$5:$S$504,請求台帳!$C$5:$C$504,A157,請求台帳!$T$5:$T$504,"&lt;&gt;取消"))</f>
        <v/>
      </c>
      <c r="E157" s="26" t="str">
        <f aca="false">IF(A157="","",D157-SUM(F157:H157))</f>
        <v/>
      </c>
      <c r="F157" s="26" t="str">
        <f aca="false">IF(A157="","",SUMIFS(請求台帳!$S$5:$S$504,請求台帳!$C$5:$C$504,A157,請求台帳!$V$5:$V$504,"&gt;=1",請求台帳!$V$5:$V$504,"&lt;=30"))</f>
        <v/>
      </c>
      <c r="G157" s="26" t="str">
        <f aca="false">IF(A157="","",SUMIFS(請求台帳!$S$5:$S$504,請求台帳!$C$5:$C$504,A157,請求台帳!$V$5:$V$504,"&gt;=31",請求台帳!$V$5:$V$504,"&lt;=60"))</f>
        <v/>
      </c>
      <c r="H157" s="26" t="str">
        <f aca="false">IF(A157="","",SUMIFS(請求台帳!$S$5:$S$504,請求台帳!$C$5:$C$504,A157,請求台帳!$V$5:$V$504,"&gt;=61"))</f>
        <v/>
      </c>
      <c r="I157" s="34" t="str">
        <f aca="false">IF(A157="","",COUNTIFS(請求台帳!$C$5:$C$504,A157,請求台帳!$B$5:$B$504,"&gt;="&amp;チェック!$C$4,請求台帳!$B$5:$B$504,"&lt;="&amp;EOMONTH(チェック!$C$4,0),請求台帳!$T$5:$T$504,"&lt;&gt;取消"))</f>
        <v/>
      </c>
      <c r="J157" s="29" t="str">
        <f aca="false">IF(A157="","",IF(AND(取引先マスタ!G157="有",I157=0),"請求漏れ候補",""))</f>
        <v/>
      </c>
    </row>
    <row r="158" customFormat="false" ht="15" hidden="false" customHeight="false" outlineLevel="0" collapsed="false">
      <c r="A158" s="32" t="str">
        <f aca="false">IF(取引先マスタ!A158="","",取引先マスタ!A158)</f>
        <v/>
      </c>
      <c r="B158" s="32" t="str">
        <f aca="false">IF(A158="","",取引先マスタ!B158)</f>
        <v/>
      </c>
      <c r="C158" s="32" t="str">
        <f aca="false">IF(A158="","",取引先マスタ!J158&amp;"")</f>
        <v/>
      </c>
      <c r="D158" s="26" t="str">
        <f aca="false">IF(A158="","",SUMIFS(請求台帳!$S$5:$S$504,請求台帳!$C$5:$C$504,A158,請求台帳!$T$5:$T$504,"&lt;&gt;取消"))</f>
        <v/>
      </c>
      <c r="E158" s="26" t="str">
        <f aca="false">IF(A158="","",D158-SUM(F158:H158))</f>
        <v/>
      </c>
      <c r="F158" s="26" t="str">
        <f aca="false">IF(A158="","",SUMIFS(請求台帳!$S$5:$S$504,請求台帳!$C$5:$C$504,A158,請求台帳!$V$5:$V$504,"&gt;=1",請求台帳!$V$5:$V$504,"&lt;=30"))</f>
        <v/>
      </c>
      <c r="G158" s="26" t="str">
        <f aca="false">IF(A158="","",SUMIFS(請求台帳!$S$5:$S$504,請求台帳!$C$5:$C$504,A158,請求台帳!$V$5:$V$504,"&gt;=31",請求台帳!$V$5:$V$504,"&lt;=60"))</f>
        <v/>
      </c>
      <c r="H158" s="26" t="str">
        <f aca="false">IF(A158="","",SUMIFS(請求台帳!$S$5:$S$504,請求台帳!$C$5:$C$504,A158,請求台帳!$V$5:$V$504,"&gt;=61"))</f>
        <v/>
      </c>
      <c r="I158" s="34" t="str">
        <f aca="false">IF(A158="","",COUNTIFS(請求台帳!$C$5:$C$504,A158,請求台帳!$B$5:$B$504,"&gt;="&amp;チェック!$C$4,請求台帳!$B$5:$B$504,"&lt;="&amp;EOMONTH(チェック!$C$4,0),請求台帳!$T$5:$T$504,"&lt;&gt;取消"))</f>
        <v/>
      </c>
      <c r="J158" s="29" t="str">
        <f aca="false">IF(A158="","",IF(AND(取引先マスタ!G158="有",I158=0),"請求漏れ候補",""))</f>
        <v/>
      </c>
    </row>
    <row r="159" customFormat="false" ht="15" hidden="false" customHeight="false" outlineLevel="0" collapsed="false">
      <c r="A159" s="32" t="str">
        <f aca="false">IF(取引先マスタ!A159="","",取引先マスタ!A159)</f>
        <v/>
      </c>
      <c r="B159" s="32" t="str">
        <f aca="false">IF(A159="","",取引先マスタ!B159)</f>
        <v/>
      </c>
      <c r="C159" s="32" t="str">
        <f aca="false">IF(A159="","",取引先マスタ!J159&amp;"")</f>
        <v/>
      </c>
      <c r="D159" s="26" t="str">
        <f aca="false">IF(A159="","",SUMIFS(請求台帳!$S$5:$S$504,請求台帳!$C$5:$C$504,A159,請求台帳!$T$5:$T$504,"&lt;&gt;取消"))</f>
        <v/>
      </c>
      <c r="E159" s="26" t="str">
        <f aca="false">IF(A159="","",D159-SUM(F159:H159))</f>
        <v/>
      </c>
      <c r="F159" s="26" t="str">
        <f aca="false">IF(A159="","",SUMIFS(請求台帳!$S$5:$S$504,請求台帳!$C$5:$C$504,A159,請求台帳!$V$5:$V$504,"&gt;=1",請求台帳!$V$5:$V$504,"&lt;=30"))</f>
        <v/>
      </c>
      <c r="G159" s="26" t="str">
        <f aca="false">IF(A159="","",SUMIFS(請求台帳!$S$5:$S$504,請求台帳!$C$5:$C$504,A159,請求台帳!$V$5:$V$504,"&gt;=31",請求台帳!$V$5:$V$504,"&lt;=60"))</f>
        <v/>
      </c>
      <c r="H159" s="26" t="str">
        <f aca="false">IF(A159="","",SUMIFS(請求台帳!$S$5:$S$504,請求台帳!$C$5:$C$504,A159,請求台帳!$V$5:$V$504,"&gt;=61"))</f>
        <v/>
      </c>
      <c r="I159" s="34" t="str">
        <f aca="false">IF(A159="","",COUNTIFS(請求台帳!$C$5:$C$504,A159,請求台帳!$B$5:$B$504,"&gt;="&amp;チェック!$C$4,請求台帳!$B$5:$B$504,"&lt;="&amp;EOMONTH(チェック!$C$4,0),請求台帳!$T$5:$T$504,"&lt;&gt;取消"))</f>
        <v/>
      </c>
      <c r="J159" s="29" t="str">
        <f aca="false">IF(A159="","",IF(AND(取引先マスタ!G159="有",I159=0),"請求漏れ候補",""))</f>
        <v/>
      </c>
    </row>
    <row r="160" customFormat="false" ht="15" hidden="false" customHeight="false" outlineLevel="0" collapsed="false">
      <c r="A160" s="32" t="str">
        <f aca="false">IF(取引先マスタ!A160="","",取引先マスタ!A160)</f>
        <v/>
      </c>
      <c r="B160" s="32" t="str">
        <f aca="false">IF(A160="","",取引先マスタ!B160)</f>
        <v/>
      </c>
      <c r="C160" s="32" t="str">
        <f aca="false">IF(A160="","",取引先マスタ!J160&amp;"")</f>
        <v/>
      </c>
      <c r="D160" s="26" t="str">
        <f aca="false">IF(A160="","",SUMIFS(請求台帳!$S$5:$S$504,請求台帳!$C$5:$C$504,A160,請求台帳!$T$5:$T$504,"&lt;&gt;取消"))</f>
        <v/>
      </c>
      <c r="E160" s="26" t="str">
        <f aca="false">IF(A160="","",D160-SUM(F160:H160))</f>
        <v/>
      </c>
      <c r="F160" s="26" t="str">
        <f aca="false">IF(A160="","",SUMIFS(請求台帳!$S$5:$S$504,請求台帳!$C$5:$C$504,A160,請求台帳!$V$5:$V$504,"&gt;=1",請求台帳!$V$5:$V$504,"&lt;=30"))</f>
        <v/>
      </c>
      <c r="G160" s="26" t="str">
        <f aca="false">IF(A160="","",SUMIFS(請求台帳!$S$5:$S$504,請求台帳!$C$5:$C$504,A160,請求台帳!$V$5:$V$504,"&gt;=31",請求台帳!$V$5:$V$504,"&lt;=60"))</f>
        <v/>
      </c>
      <c r="H160" s="26" t="str">
        <f aca="false">IF(A160="","",SUMIFS(請求台帳!$S$5:$S$504,請求台帳!$C$5:$C$504,A160,請求台帳!$V$5:$V$504,"&gt;=61"))</f>
        <v/>
      </c>
      <c r="I160" s="34" t="str">
        <f aca="false">IF(A160="","",COUNTIFS(請求台帳!$C$5:$C$504,A160,請求台帳!$B$5:$B$504,"&gt;="&amp;チェック!$C$4,請求台帳!$B$5:$B$504,"&lt;="&amp;EOMONTH(チェック!$C$4,0),請求台帳!$T$5:$T$504,"&lt;&gt;取消"))</f>
        <v/>
      </c>
      <c r="J160" s="29" t="str">
        <f aca="false">IF(A160="","",IF(AND(取引先マスタ!G160="有",I160=0),"請求漏れ候補",""))</f>
        <v/>
      </c>
    </row>
    <row r="161" customFormat="false" ht="15" hidden="false" customHeight="false" outlineLevel="0" collapsed="false">
      <c r="A161" s="32" t="str">
        <f aca="false">IF(取引先マスタ!A161="","",取引先マスタ!A161)</f>
        <v/>
      </c>
      <c r="B161" s="32" t="str">
        <f aca="false">IF(A161="","",取引先マスタ!B161)</f>
        <v/>
      </c>
      <c r="C161" s="32" t="str">
        <f aca="false">IF(A161="","",取引先マスタ!J161&amp;"")</f>
        <v/>
      </c>
      <c r="D161" s="26" t="str">
        <f aca="false">IF(A161="","",SUMIFS(請求台帳!$S$5:$S$504,請求台帳!$C$5:$C$504,A161,請求台帳!$T$5:$T$504,"&lt;&gt;取消"))</f>
        <v/>
      </c>
      <c r="E161" s="26" t="str">
        <f aca="false">IF(A161="","",D161-SUM(F161:H161))</f>
        <v/>
      </c>
      <c r="F161" s="26" t="str">
        <f aca="false">IF(A161="","",SUMIFS(請求台帳!$S$5:$S$504,請求台帳!$C$5:$C$504,A161,請求台帳!$V$5:$V$504,"&gt;=1",請求台帳!$V$5:$V$504,"&lt;=30"))</f>
        <v/>
      </c>
      <c r="G161" s="26" t="str">
        <f aca="false">IF(A161="","",SUMIFS(請求台帳!$S$5:$S$504,請求台帳!$C$5:$C$504,A161,請求台帳!$V$5:$V$504,"&gt;=31",請求台帳!$V$5:$V$504,"&lt;=60"))</f>
        <v/>
      </c>
      <c r="H161" s="26" t="str">
        <f aca="false">IF(A161="","",SUMIFS(請求台帳!$S$5:$S$504,請求台帳!$C$5:$C$504,A161,請求台帳!$V$5:$V$504,"&gt;=61"))</f>
        <v/>
      </c>
      <c r="I161" s="34" t="str">
        <f aca="false">IF(A161="","",COUNTIFS(請求台帳!$C$5:$C$504,A161,請求台帳!$B$5:$B$504,"&gt;="&amp;チェック!$C$4,請求台帳!$B$5:$B$504,"&lt;="&amp;EOMONTH(チェック!$C$4,0),請求台帳!$T$5:$T$504,"&lt;&gt;取消"))</f>
        <v/>
      </c>
      <c r="J161" s="29" t="str">
        <f aca="false">IF(A161="","",IF(AND(取引先マスタ!G161="有",I161=0),"請求漏れ候補",""))</f>
        <v/>
      </c>
    </row>
    <row r="162" customFormat="false" ht="15" hidden="false" customHeight="false" outlineLevel="0" collapsed="false">
      <c r="A162" s="32" t="str">
        <f aca="false">IF(取引先マスタ!A162="","",取引先マスタ!A162)</f>
        <v/>
      </c>
      <c r="B162" s="32" t="str">
        <f aca="false">IF(A162="","",取引先マスタ!B162)</f>
        <v/>
      </c>
      <c r="C162" s="32" t="str">
        <f aca="false">IF(A162="","",取引先マスタ!J162&amp;"")</f>
        <v/>
      </c>
      <c r="D162" s="26" t="str">
        <f aca="false">IF(A162="","",SUMIFS(請求台帳!$S$5:$S$504,請求台帳!$C$5:$C$504,A162,請求台帳!$T$5:$T$504,"&lt;&gt;取消"))</f>
        <v/>
      </c>
      <c r="E162" s="26" t="str">
        <f aca="false">IF(A162="","",D162-SUM(F162:H162))</f>
        <v/>
      </c>
      <c r="F162" s="26" t="str">
        <f aca="false">IF(A162="","",SUMIFS(請求台帳!$S$5:$S$504,請求台帳!$C$5:$C$504,A162,請求台帳!$V$5:$V$504,"&gt;=1",請求台帳!$V$5:$V$504,"&lt;=30"))</f>
        <v/>
      </c>
      <c r="G162" s="26" t="str">
        <f aca="false">IF(A162="","",SUMIFS(請求台帳!$S$5:$S$504,請求台帳!$C$5:$C$504,A162,請求台帳!$V$5:$V$504,"&gt;=31",請求台帳!$V$5:$V$504,"&lt;=60"))</f>
        <v/>
      </c>
      <c r="H162" s="26" t="str">
        <f aca="false">IF(A162="","",SUMIFS(請求台帳!$S$5:$S$504,請求台帳!$C$5:$C$504,A162,請求台帳!$V$5:$V$504,"&gt;=61"))</f>
        <v/>
      </c>
      <c r="I162" s="34" t="str">
        <f aca="false">IF(A162="","",COUNTIFS(請求台帳!$C$5:$C$504,A162,請求台帳!$B$5:$B$504,"&gt;="&amp;チェック!$C$4,請求台帳!$B$5:$B$504,"&lt;="&amp;EOMONTH(チェック!$C$4,0),請求台帳!$T$5:$T$504,"&lt;&gt;取消"))</f>
        <v/>
      </c>
      <c r="J162" s="29" t="str">
        <f aca="false">IF(A162="","",IF(AND(取引先マスタ!G162="有",I162=0),"請求漏れ候補",""))</f>
        <v/>
      </c>
    </row>
    <row r="163" customFormat="false" ht="15" hidden="false" customHeight="false" outlineLevel="0" collapsed="false">
      <c r="A163" s="32" t="str">
        <f aca="false">IF(取引先マスタ!A163="","",取引先マスタ!A163)</f>
        <v/>
      </c>
      <c r="B163" s="32" t="str">
        <f aca="false">IF(A163="","",取引先マスタ!B163)</f>
        <v/>
      </c>
      <c r="C163" s="32" t="str">
        <f aca="false">IF(A163="","",取引先マスタ!J163&amp;"")</f>
        <v/>
      </c>
      <c r="D163" s="26" t="str">
        <f aca="false">IF(A163="","",SUMIFS(請求台帳!$S$5:$S$504,請求台帳!$C$5:$C$504,A163,請求台帳!$T$5:$T$504,"&lt;&gt;取消"))</f>
        <v/>
      </c>
      <c r="E163" s="26" t="str">
        <f aca="false">IF(A163="","",D163-SUM(F163:H163))</f>
        <v/>
      </c>
      <c r="F163" s="26" t="str">
        <f aca="false">IF(A163="","",SUMIFS(請求台帳!$S$5:$S$504,請求台帳!$C$5:$C$504,A163,請求台帳!$V$5:$V$504,"&gt;=1",請求台帳!$V$5:$V$504,"&lt;=30"))</f>
        <v/>
      </c>
      <c r="G163" s="26" t="str">
        <f aca="false">IF(A163="","",SUMIFS(請求台帳!$S$5:$S$504,請求台帳!$C$5:$C$504,A163,請求台帳!$V$5:$V$504,"&gt;=31",請求台帳!$V$5:$V$504,"&lt;=60"))</f>
        <v/>
      </c>
      <c r="H163" s="26" t="str">
        <f aca="false">IF(A163="","",SUMIFS(請求台帳!$S$5:$S$504,請求台帳!$C$5:$C$504,A163,請求台帳!$V$5:$V$504,"&gt;=61"))</f>
        <v/>
      </c>
      <c r="I163" s="34" t="str">
        <f aca="false">IF(A163="","",COUNTIFS(請求台帳!$C$5:$C$504,A163,請求台帳!$B$5:$B$504,"&gt;="&amp;チェック!$C$4,請求台帳!$B$5:$B$504,"&lt;="&amp;EOMONTH(チェック!$C$4,0),請求台帳!$T$5:$T$504,"&lt;&gt;取消"))</f>
        <v/>
      </c>
      <c r="J163" s="29" t="str">
        <f aca="false">IF(A163="","",IF(AND(取引先マスタ!G163="有",I163=0),"請求漏れ候補",""))</f>
        <v/>
      </c>
    </row>
    <row r="164" customFormat="false" ht="15" hidden="false" customHeight="false" outlineLevel="0" collapsed="false">
      <c r="A164" s="32" t="str">
        <f aca="false">IF(取引先マスタ!A164="","",取引先マスタ!A164)</f>
        <v/>
      </c>
      <c r="B164" s="32" t="str">
        <f aca="false">IF(A164="","",取引先マスタ!B164)</f>
        <v/>
      </c>
      <c r="C164" s="32" t="str">
        <f aca="false">IF(A164="","",取引先マスタ!J164&amp;"")</f>
        <v/>
      </c>
      <c r="D164" s="26" t="str">
        <f aca="false">IF(A164="","",SUMIFS(請求台帳!$S$5:$S$504,請求台帳!$C$5:$C$504,A164,請求台帳!$T$5:$T$504,"&lt;&gt;取消"))</f>
        <v/>
      </c>
      <c r="E164" s="26" t="str">
        <f aca="false">IF(A164="","",D164-SUM(F164:H164))</f>
        <v/>
      </c>
      <c r="F164" s="26" t="str">
        <f aca="false">IF(A164="","",SUMIFS(請求台帳!$S$5:$S$504,請求台帳!$C$5:$C$504,A164,請求台帳!$V$5:$V$504,"&gt;=1",請求台帳!$V$5:$V$504,"&lt;=30"))</f>
        <v/>
      </c>
      <c r="G164" s="26" t="str">
        <f aca="false">IF(A164="","",SUMIFS(請求台帳!$S$5:$S$504,請求台帳!$C$5:$C$504,A164,請求台帳!$V$5:$V$504,"&gt;=31",請求台帳!$V$5:$V$504,"&lt;=60"))</f>
        <v/>
      </c>
      <c r="H164" s="26" t="str">
        <f aca="false">IF(A164="","",SUMIFS(請求台帳!$S$5:$S$504,請求台帳!$C$5:$C$504,A164,請求台帳!$V$5:$V$504,"&gt;=61"))</f>
        <v/>
      </c>
      <c r="I164" s="34" t="str">
        <f aca="false">IF(A164="","",COUNTIFS(請求台帳!$C$5:$C$504,A164,請求台帳!$B$5:$B$504,"&gt;="&amp;チェック!$C$4,請求台帳!$B$5:$B$504,"&lt;="&amp;EOMONTH(チェック!$C$4,0),請求台帳!$T$5:$T$504,"&lt;&gt;取消"))</f>
        <v/>
      </c>
      <c r="J164" s="29" t="str">
        <f aca="false">IF(A164="","",IF(AND(取引先マスタ!G164="有",I164=0),"請求漏れ候補",""))</f>
        <v/>
      </c>
    </row>
    <row r="165" customFormat="false" ht="15" hidden="false" customHeight="false" outlineLevel="0" collapsed="false">
      <c r="A165" s="32" t="str">
        <f aca="false">IF(取引先マスタ!A165="","",取引先マスタ!A165)</f>
        <v/>
      </c>
      <c r="B165" s="32" t="str">
        <f aca="false">IF(A165="","",取引先マスタ!B165)</f>
        <v/>
      </c>
      <c r="C165" s="32" t="str">
        <f aca="false">IF(A165="","",取引先マスタ!J165&amp;"")</f>
        <v/>
      </c>
      <c r="D165" s="26" t="str">
        <f aca="false">IF(A165="","",SUMIFS(請求台帳!$S$5:$S$504,請求台帳!$C$5:$C$504,A165,請求台帳!$T$5:$T$504,"&lt;&gt;取消"))</f>
        <v/>
      </c>
      <c r="E165" s="26" t="str">
        <f aca="false">IF(A165="","",D165-SUM(F165:H165))</f>
        <v/>
      </c>
      <c r="F165" s="26" t="str">
        <f aca="false">IF(A165="","",SUMIFS(請求台帳!$S$5:$S$504,請求台帳!$C$5:$C$504,A165,請求台帳!$V$5:$V$504,"&gt;=1",請求台帳!$V$5:$V$504,"&lt;=30"))</f>
        <v/>
      </c>
      <c r="G165" s="26" t="str">
        <f aca="false">IF(A165="","",SUMIFS(請求台帳!$S$5:$S$504,請求台帳!$C$5:$C$504,A165,請求台帳!$V$5:$V$504,"&gt;=31",請求台帳!$V$5:$V$504,"&lt;=60"))</f>
        <v/>
      </c>
      <c r="H165" s="26" t="str">
        <f aca="false">IF(A165="","",SUMIFS(請求台帳!$S$5:$S$504,請求台帳!$C$5:$C$504,A165,請求台帳!$V$5:$V$504,"&gt;=61"))</f>
        <v/>
      </c>
      <c r="I165" s="34" t="str">
        <f aca="false">IF(A165="","",COUNTIFS(請求台帳!$C$5:$C$504,A165,請求台帳!$B$5:$B$504,"&gt;="&amp;チェック!$C$4,請求台帳!$B$5:$B$504,"&lt;="&amp;EOMONTH(チェック!$C$4,0),請求台帳!$T$5:$T$504,"&lt;&gt;取消"))</f>
        <v/>
      </c>
      <c r="J165" s="29" t="str">
        <f aca="false">IF(A165="","",IF(AND(取引先マスタ!G165="有",I165=0),"請求漏れ候補",""))</f>
        <v/>
      </c>
    </row>
    <row r="166" customFormat="false" ht="15" hidden="false" customHeight="false" outlineLevel="0" collapsed="false">
      <c r="A166" s="32" t="str">
        <f aca="false">IF(取引先マスタ!A166="","",取引先マスタ!A166)</f>
        <v/>
      </c>
      <c r="B166" s="32" t="str">
        <f aca="false">IF(A166="","",取引先マスタ!B166)</f>
        <v/>
      </c>
      <c r="C166" s="32" t="str">
        <f aca="false">IF(A166="","",取引先マスタ!J166&amp;"")</f>
        <v/>
      </c>
      <c r="D166" s="26" t="str">
        <f aca="false">IF(A166="","",SUMIFS(請求台帳!$S$5:$S$504,請求台帳!$C$5:$C$504,A166,請求台帳!$T$5:$T$504,"&lt;&gt;取消"))</f>
        <v/>
      </c>
      <c r="E166" s="26" t="str">
        <f aca="false">IF(A166="","",D166-SUM(F166:H166))</f>
        <v/>
      </c>
      <c r="F166" s="26" t="str">
        <f aca="false">IF(A166="","",SUMIFS(請求台帳!$S$5:$S$504,請求台帳!$C$5:$C$504,A166,請求台帳!$V$5:$V$504,"&gt;=1",請求台帳!$V$5:$V$504,"&lt;=30"))</f>
        <v/>
      </c>
      <c r="G166" s="26" t="str">
        <f aca="false">IF(A166="","",SUMIFS(請求台帳!$S$5:$S$504,請求台帳!$C$5:$C$504,A166,請求台帳!$V$5:$V$504,"&gt;=31",請求台帳!$V$5:$V$504,"&lt;=60"))</f>
        <v/>
      </c>
      <c r="H166" s="26" t="str">
        <f aca="false">IF(A166="","",SUMIFS(請求台帳!$S$5:$S$504,請求台帳!$C$5:$C$504,A166,請求台帳!$V$5:$V$504,"&gt;=61"))</f>
        <v/>
      </c>
      <c r="I166" s="34" t="str">
        <f aca="false">IF(A166="","",COUNTIFS(請求台帳!$C$5:$C$504,A166,請求台帳!$B$5:$B$504,"&gt;="&amp;チェック!$C$4,請求台帳!$B$5:$B$504,"&lt;="&amp;EOMONTH(チェック!$C$4,0),請求台帳!$T$5:$T$504,"&lt;&gt;取消"))</f>
        <v/>
      </c>
      <c r="J166" s="29" t="str">
        <f aca="false">IF(A166="","",IF(AND(取引先マスタ!G166="有",I166=0),"請求漏れ候補",""))</f>
        <v/>
      </c>
    </row>
    <row r="167" customFormat="false" ht="15" hidden="false" customHeight="false" outlineLevel="0" collapsed="false">
      <c r="A167" s="32" t="str">
        <f aca="false">IF(取引先マスタ!A167="","",取引先マスタ!A167)</f>
        <v/>
      </c>
      <c r="B167" s="32" t="str">
        <f aca="false">IF(A167="","",取引先マスタ!B167)</f>
        <v/>
      </c>
      <c r="C167" s="32" t="str">
        <f aca="false">IF(A167="","",取引先マスタ!J167&amp;"")</f>
        <v/>
      </c>
      <c r="D167" s="26" t="str">
        <f aca="false">IF(A167="","",SUMIFS(請求台帳!$S$5:$S$504,請求台帳!$C$5:$C$504,A167,請求台帳!$T$5:$T$504,"&lt;&gt;取消"))</f>
        <v/>
      </c>
      <c r="E167" s="26" t="str">
        <f aca="false">IF(A167="","",D167-SUM(F167:H167))</f>
        <v/>
      </c>
      <c r="F167" s="26" t="str">
        <f aca="false">IF(A167="","",SUMIFS(請求台帳!$S$5:$S$504,請求台帳!$C$5:$C$504,A167,請求台帳!$V$5:$V$504,"&gt;=1",請求台帳!$V$5:$V$504,"&lt;=30"))</f>
        <v/>
      </c>
      <c r="G167" s="26" t="str">
        <f aca="false">IF(A167="","",SUMIFS(請求台帳!$S$5:$S$504,請求台帳!$C$5:$C$504,A167,請求台帳!$V$5:$V$504,"&gt;=31",請求台帳!$V$5:$V$504,"&lt;=60"))</f>
        <v/>
      </c>
      <c r="H167" s="26" t="str">
        <f aca="false">IF(A167="","",SUMIFS(請求台帳!$S$5:$S$504,請求台帳!$C$5:$C$504,A167,請求台帳!$V$5:$V$504,"&gt;=61"))</f>
        <v/>
      </c>
      <c r="I167" s="34" t="str">
        <f aca="false">IF(A167="","",COUNTIFS(請求台帳!$C$5:$C$504,A167,請求台帳!$B$5:$B$504,"&gt;="&amp;チェック!$C$4,請求台帳!$B$5:$B$504,"&lt;="&amp;EOMONTH(チェック!$C$4,0),請求台帳!$T$5:$T$504,"&lt;&gt;取消"))</f>
        <v/>
      </c>
      <c r="J167" s="29" t="str">
        <f aca="false">IF(A167="","",IF(AND(取引先マスタ!G167="有",I167=0),"請求漏れ候補",""))</f>
        <v/>
      </c>
    </row>
    <row r="168" customFormat="false" ht="15" hidden="false" customHeight="false" outlineLevel="0" collapsed="false">
      <c r="A168" s="32" t="str">
        <f aca="false">IF(取引先マスタ!A168="","",取引先マスタ!A168)</f>
        <v/>
      </c>
      <c r="B168" s="32" t="str">
        <f aca="false">IF(A168="","",取引先マスタ!B168)</f>
        <v/>
      </c>
      <c r="C168" s="32" t="str">
        <f aca="false">IF(A168="","",取引先マスタ!J168&amp;"")</f>
        <v/>
      </c>
      <c r="D168" s="26" t="str">
        <f aca="false">IF(A168="","",SUMIFS(請求台帳!$S$5:$S$504,請求台帳!$C$5:$C$504,A168,請求台帳!$T$5:$T$504,"&lt;&gt;取消"))</f>
        <v/>
      </c>
      <c r="E168" s="26" t="str">
        <f aca="false">IF(A168="","",D168-SUM(F168:H168))</f>
        <v/>
      </c>
      <c r="F168" s="26" t="str">
        <f aca="false">IF(A168="","",SUMIFS(請求台帳!$S$5:$S$504,請求台帳!$C$5:$C$504,A168,請求台帳!$V$5:$V$504,"&gt;=1",請求台帳!$V$5:$V$504,"&lt;=30"))</f>
        <v/>
      </c>
      <c r="G168" s="26" t="str">
        <f aca="false">IF(A168="","",SUMIFS(請求台帳!$S$5:$S$504,請求台帳!$C$5:$C$504,A168,請求台帳!$V$5:$V$504,"&gt;=31",請求台帳!$V$5:$V$504,"&lt;=60"))</f>
        <v/>
      </c>
      <c r="H168" s="26" t="str">
        <f aca="false">IF(A168="","",SUMIFS(請求台帳!$S$5:$S$504,請求台帳!$C$5:$C$504,A168,請求台帳!$V$5:$V$504,"&gt;=61"))</f>
        <v/>
      </c>
      <c r="I168" s="34" t="str">
        <f aca="false">IF(A168="","",COUNTIFS(請求台帳!$C$5:$C$504,A168,請求台帳!$B$5:$B$504,"&gt;="&amp;チェック!$C$4,請求台帳!$B$5:$B$504,"&lt;="&amp;EOMONTH(チェック!$C$4,0),請求台帳!$T$5:$T$504,"&lt;&gt;取消"))</f>
        <v/>
      </c>
      <c r="J168" s="29" t="str">
        <f aca="false">IF(A168="","",IF(AND(取引先マスタ!G168="有",I168=0),"請求漏れ候補",""))</f>
        <v/>
      </c>
    </row>
    <row r="169" customFormat="false" ht="15" hidden="false" customHeight="false" outlineLevel="0" collapsed="false">
      <c r="A169" s="32" t="str">
        <f aca="false">IF(取引先マスタ!A169="","",取引先マスタ!A169)</f>
        <v/>
      </c>
      <c r="B169" s="32" t="str">
        <f aca="false">IF(A169="","",取引先マスタ!B169)</f>
        <v/>
      </c>
      <c r="C169" s="32" t="str">
        <f aca="false">IF(A169="","",取引先マスタ!J169&amp;"")</f>
        <v/>
      </c>
      <c r="D169" s="26" t="str">
        <f aca="false">IF(A169="","",SUMIFS(請求台帳!$S$5:$S$504,請求台帳!$C$5:$C$504,A169,請求台帳!$T$5:$T$504,"&lt;&gt;取消"))</f>
        <v/>
      </c>
      <c r="E169" s="26" t="str">
        <f aca="false">IF(A169="","",D169-SUM(F169:H169))</f>
        <v/>
      </c>
      <c r="F169" s="26" t="str">
        <f aca="false">IF(A169="","",SUMIFS(請求台帳!$S$5:$S$504,請求台帳!$C$5:$C$504,A169,請求台帳!$V$5:$V$504,"&gt;=1",請求台帳!$V$5:$V$504,"&lt;=30"))</f>
        <v/>
      </c>
      <c r="G169" s="26" t="str">
        <f aca="false">IF(A169="","",SUMIFS(請求台帳!$S$5:$S$504,請求台帳!$C$5:$C$504,A169,請求台帳!$V$5:$V$504,"&gt;=31",請求台帳!$V$5:$V$504,"&lt;=60"))</f>
        <v/>
      </c>
      <c r="H169" s="26" t="str">
        <f aca="false">IF(A169="","",SUMIFS(請求台帳!$S$5:$S$504,請求台帳!$C$5:$C$504,A169,請求台帳!$V$5:$V$504,"&gt;=61"))</f>
        <v/>
      </c>
      <c r="I169" s="34" t="str">
        <f aca="false">IF(A169="","",COUNTIFS(請求台帳!$C$5:$C$504,A169,請求台帳!$B$5:$B$504,"&gt;="&amp;チェック!$C$4,請求台帳!$B$5:$B$504,"&lt;="&amp;EOMONTH(チェック!$C$4,0),請求台帳!$T$5:$T$504,"&lt;&gt;取消"))</f>
        <v/>
      </c>
      <c r="J169" s="29" t="str">
        <f aca="false">IF(A169="","",IF(AND(取引先マスタ!G169="有",I169=0),"請求漏れ候補",""))</f>
        <v/>
      </c>
    </row>
    <row r="170" customFormat="false" ht="15" hidden="false" customHeight="false" outlineLevel="0" collapsed="false">
      <c r="A170" s="32" t="str">
        <f aca="false">IF(取引先マスタ!A170="","",取引先マスタ!A170)</f>
        <v/>
      </c>
      <c r="B170" s="32" t="str">
        <f aca="false">IF(A170="","",取引先マスタ!B170)</f>
        <v/>
      </c>
      <c r="C170" s="32" t="str">
        <f aca="false">IF(A170="","",取引先マスタ!J170&amp;"")</f>
        <v/>
      </c>
      <c r="D170" s="26" t="str">
        <f aca="false">IF(A170="","",SUMIFS(請求台帳!$S$5:$S$504,請求台帳!$C$5:$C$504,A170,請求台帳!$T$5:$T$504,"&lt;&gt;取消"))</f>
        <v/>
      </c>
      <c r="E170" s="26" t="str">
        <f aca="false">IF(A170="","",D170-SUM(F170:H170))</f>
        <v/>
      </c>
      <c r="F170" s="26" t="str">
        <f aca="false">IF(A170="","",SUMIFS(請求台帳!$S$5:$S$504,請求台帳!$C$5:$C$504,A170,請求台帳!$V$5:$V$504,"&gt;=1",請求台帳!$V$5:$V$504,"&lt;=30"))</f>
        <v/>
      </c>
      <c r="G170" s="26" t="str">
        <f aca="false">IF(A170="","",SUMIFS(請求台帳!$S$5:$S$504,請求台帳!$C$5:$C$504,A170,請求台帳!$V$5:$V$504,"&gt;=31",請求台帳!$V$5:$V$504,"&lt;=60"))</f>
        <v/>
      </c>
      <c r="H170" s="26" t="str">
        <f aca="false">IF(A170="","",SUMIFS(請求台帳!$S$5:$S$504,請求台帳!$C$5:$C$504,A170,請求台帳!$V$5:$V$504,"&gt;=61"))</f>
        <v/>
      </c>
      <c r="I170" s="34" t="str">
        <f aca="false">IF(A170="","",COUNTIFS(請求台帳!$C$5:$C$504,A170,請求台帳!$B$5:$B$504,"&gt;="&amp;チェック!$C$4,請求台帳!$B$5:$B$504,"&lt;="&amp;EOMONTH(チェック!$C$4,0),請求台帳!$T$5:$T$504,"&lt;&gt;取消"))</f>
        <v/>
      </c>
      <c r="J170" s="29" t="str">
        <f aca="false">IF(A170="","",IF(AND(取引先マスタ!G170="有",I170=0),"請求漏れ候補",""))</f>
        <v/>
      </c>
    </row>
    <row r="171" customFormat="false" ht="15" hidden="false" customHeight="false" outlineLevel="0" collapsed="false">
      <c r="A171" s="32" t="str">
        <f aca="false">IF(取引先マスタ!A171="","",取引先マスタ!A171)</f>
        <v/>
      </c>
      <c r="B171" s="32" t="str">
        <f aca="false">IF(A171="","",取引先マスタ!B171)</f>
        <v/>
      </c>
      <c r="C171" s="32" t="str">
        <f aca="false">IF(A171="","",取引先マスタ!J171&amp;"")</f>
        <v/>
      </c>
      <c r="D171" s="26" t="str">
        <f aca="false">IF(A171="","",SUMIFS(請求台帳!$S$5:$S$504,請求台帳!$C$5:$C$504,A171,請求台帳!$T$5:$T$504,"&lt;&gt;取消"))</f>
        <v/>
      </c>
      <c r="E171" s="26" t="str">
        <f aca="false">IF(A171="","",D171-SUM(F171:H171))</f>
        <v/>
      </c>
      <c r="F171" s="26" t="str">
        <f aca="false">IF(A171="","",SUMIFS(請求台帳!$S$5:$S$504,請求台帳!$C$5:$C$504,A171,請求台帳!$V$5:$V$504,"&gt;=1",請求台帳!$V$5:$V$504,"&lt;=30"))</f>
        <v/>
      </c>
      <c r="G171" s="26" t="str">
        <f aca="false">IF(A171="","",SUMIFS(請求台帳!$S$5:$S$504,請求台帳!$C$5:$C$504,A171,請求台帳!$V$5:$V$504,"&gt;=31",請求台帳!$V$5:$V$504,"&lt;=60"))</f>
        <v/>
      </c>
      <c r="H171" s="26" t="str">
        <f aca="false">IF(A171="","",SUMIFS(請求台帳!$S$5:$S$504,請求台帳!$C$5:$C$504,A171,請求台帳!$V$5:$V$504,"&gt;=61"))</f>
        <v/>
      </c>
      <c r="I171" s="34" t="str">
        <f aca="false">IF(A171="","",COUNTIFS(請求台帳!$C$5:$C$504,A171,請求台帳!$B$5:$B$504,"&gt;="&amp;チェック!$C$4,請求台帳!$B$5:$B$504,"&lt;="&amp;EOMONTH(チェック!$C$4,0),請求台帳!$T$5:$T$504,"&lt;&gt;取消"))</f>
        <v/>
      </c>
      <c r="J171" s="29" t="str">
        <f aca="false">IF(A171="","",IF(AND(取引先マスタ!G171="有",I171=0),"請求漏れ候補",""))</f>
        <v/>
      </c>
    </row>
    <row r="172" customFormat="false" ht="15" hidden="false" customHeight="false" outlineLevel="0" collapsed="false">
      <c r="A172" s="32" t="str">
        <f aca="false">IF(取引先マスタ!A172="","",取引先マスタ!A172)</f>
        <v/>
      </c>
      <c r="B172" s="32" t="str">
        <f aca="false">IF(A172="","",取引先マスタ!B172)</f>
        <v/>
      </c>
      <c r="C172" s="32" t="str">
        <f aca="false">IF(A172="","",取引先マスタ!J172&amp;"")</f>
        <v/>
      </c>
      <c r="D172" s="26" t="str">
        <f aca="false">IF(A172="","",SUMIFS(請求台帳!$S$5:$S$504,請求台帳!$C$5:$C$504,A172,請求台帳!$T$5:$T$504,"&lt;&gt;取消"))</f>
        <v/>
      </c>
      <c r="E172" s="26" t="str">
        <f aca="false">IF(A172="","",D172-SUM(F172:H172))</f>
        <v/>
      </c>
      <c r="F172" s="26" t="str">
        <f aca="false">IF(A172="","",SUMIFS(請求台帳!$S$5:$S$504,請求台帳!$C$5:$C$504,A172,請求台帳!$V$5:$V$504,"&gt;=1",請求台帳!$V$5:$V$504,"&lt;=30"))</f>
        <v/>
      </c>
      <c r="G172" s="26" t="str">
        <f aca="false">IF(A172="","",SUMIFS(請求台帳!$S$5:$S$504,請求台帳!$C$5:$C$504,A172,請求台帳!$V$5:$V$504,"&gt;=31",請求台帳!$V$5:$V$504,"&lt;=60"))</f>
        <v/>
      </c>
      <c r="H172" s="26" t="str">
        <f aca="false">IF(A172="","",SUMIFS(請求台帳!$S$5:$S$504,請求台帳!$C$5:$C$504,A172,請求台帳!$V$5:$V$504,"&gt;=61"))</f>
        <v/>
      </c>
      <c r="I172" s="34" t="str">
        <f aca="false">IF(A172="","",COUNTIFS(請求台帳!$C$5:$C$504,A172,請求台帳!$B$5:$B$504,"&gt;="&amp;チェック!$C$4,請求台帳!$B$5:$B$504,"&lt;="&amp;EOMONTH(チェック!$C$4,0),請求台帳!$T$5:$T$504,"&lt;&gt;取消"))</f>
        <v/>
      </c>
      <c r="J172" s="29" t="str">
        <f aca="false">IF(A172="","",IF(AND(取引先マスタ!G172="有",I172=0),"請求漏れ候補",""))</f>
        <v/>
      </c>
    </row>
    <row r="173" customFormat="false" ht="15" hidden="false" customHeight="false" outlineLevel="0" collapsed="false">
      <c r="A173" s="32" t="str">
        <f aca="false">IF(取引先マスタ!A173="","",取引先マスタ!A173)</f>
        <v/>
      </c>
      <c r="B173" s="32" t="str">
        <f aca="false">IF(A173="","",取引先マスタ!B173)</f>
        <v/>
      </c>
      <c r="C173" s="32" t="str">
        <f aca="false">IF(A173="","",取引先マスタ!J173&amp;"")</f>
        <v/>
      </c>
      <c r="D173" s="26" t="str">
        <f aca="false">IF(A173="","",SUMIFS(請求台帳!$S$5:$S$504,請求台帳!$C$5:$C$504,A173,請求台帳!$T$5:$T$504,"&lt;&gt;取消"))</f>
        <v/>
      </c>
      <c r="E173" s="26" t="str">
        <f aca="false">IF(A173="","",D173-SUM(F173:H173))</f>
        <v/>
      </c>
      <c r="F173" s="26" t="str">
        <f aca="false">IF(A173="","",SUMIFS(請求台帳!$S$5:$S$504,請求台帳!$C$5:$C$504,A173,請求台帳!$V$5:$V$504,"&gt;=1",請求台帳!$V$5:$V$504,"&lt;=30"))</f>
        <v/>
      </c>
      <c r="G173" s="26" t="str">
        <f aca="false">IF(A173="","",SUMIFS(請求台帳!$S$5:$S$504,請求台帳!$C$5:$C$504,A173,請求台帳!$V$5:$V$504,"&gt;=31",請求台帳!$V$5:$V$504,"&lt;=60"))</f>
        <v/>
      </c>
      <c r="H173" s="26" t="str">
        <f aca="false">IF(A173="","",SUMIFS(請求台帳!$S$5:$S$504,請求台帳!$C$5:$C$504,A173,請求台帳!$V$5:$V$504,"&gt;=61"))</f>
        <v/>
      </c>
      <c r="I173" s="34" t="str">
        <f aca="false">IF(A173="","",COUNTIFS(請求台帳!$C$5:$C$504,A173,請求台帳!$B$5:$B$504,"&gt;="&amp;チェック!$C$4,請求台帳!$B$5:$B$504,"&lt;="&amp;EOMONTH(チェック!$C$4,0),請求台帳!$T$5:$T$504,"&lt;&gt;取消"))</f>
        <v/>
      </c>
      <c r="J173" s="29" t="str">
        <f aca="false">IF(A173="","",IF(AND(取引先マスタ!G173="有",I173=0),"請求漏れ候補",""))</f>
        <v/>
      </c>
    </row>
    <row r="174" customFormat="false" ht="15" hidden="false" customHeight="false" outlineLevel="0" collapsed="false">
      <c r="A174" s="32" t="str">
        <f aca="false">IF(取引先マスタ!A174="","",取引先マスタ!A174)</f>
        <v/>
      </c>
      <c r="B174" s="32" t="str">
        <f aca="false">IF(A174="","",取引先マスタ!B174)</f>
        <v/>
      </c>
      <c r="C174" s="32" t="str">
        <f aca="false">IF(A174="","",取引先マスタ!J174&amp;"")</f>
        <v/>
      </c>
      <c r="D174" s="26" t="str">
        <f aca="false">IF(A174="","",SUMIFS(請求台帳!$S$5:$S$504,請求台帳!$C$5:$C$504,A174,請求台帳!$T$5:$T$504,"&lt;&gt;取消"))</f>
        <v/>
      </c>
      <c r="E174" s="26" t="str">
        <f aca="false">IF(A174="","",D174-SUM(F174:H174))</f>
        <v/>
      </c>
      <c r="F174" s="26" t="str">
        <f aca="false">IF(A174="","",SUMIFS(請求台帳!$S$5:$S$504,請求台帳!$C$5:$C$504,A174,請求台帳!$V$5:$V$504,"&gt;=1",請求台帳!$V$5:$V$504,"&lt;=30"))</f>
        <v/>
      </c>
      <c r="G174" s="26" t="str">
        <f aca="false">IF(A174="","",SUMIFS(請求台帳!$S$5:$S$504,請求台帳!$C$5:$C$504,A174,請求台帳!$V$5:$V$504,"&gt;=31",請求台帳!$V$5:$V$504,"&lt;=60"))</f>
        <v/>
      </c>
      <c r="H174" s="26" t="str">
        <f aca="false">IF(A174="","",SUMIFS(請求台帳!$S$5:$S$504,請求台帳!$C$5:$C$504,A174,請求台帳!$V$5:$V$504,"&gt;=61"))</f>
        <v/>
      </c>
      <c r="I174" s="34" t="str">
        <f aca="false">IF(A174="","",COUNTIFS(請求台帳!$C$5:$C$504,A174,請求台帳!$B$5:$B$504,"&gt;="&amp;チェック!$C$4,請求台帳!$B$5:$B$504,"&lt;="&amp;EOMONTH(チェック!$C$4,0),請求台帳!$T$5:$T$504,"&lt;&gt;取消"))</f>
        <v/>
      </c>
      <c r="J174" s="29" t="str">
        <f aca="false">IF(A174="","",IF(AND(取引先マスタ!G174="有",I174=0),"請求漏れ候補",""))</f>
        <v/>
      </c>
    </row>
    <row r="175" customFormat="false" ht="15" hidden="false" customHeight="false" outlineLevel="0" collapsed="false">
      <c r="A175" s="32" t="str">
        <f aca="false">IF(取引先マスタ!A175="","",取引先マスタ!A175)</f>
        <v/>
      </c>
      <c r="B175" s="32" t="str">
        <f aca="false">IF(A175="","",取引先マスタ!B175)</f>
        <v/>
      </c>
      <c r="C175" s="32" t="str">
        <f aca="false">IF(A175="","",取引先マスタ!J175&amp;"")</f>
        <v/>
      </c>
      <c r="D175" s="26" t="str">
        <f aca="false">IF(A175="","",SUMIFS(請求台帳!$S$5:$S$504,請求台帳!$C$5:$C$504,A175,請求台帳!$T$5:$T$504,"&lt;&gt;取消"))</f>
        <v/>
      </c>
      <c r="E175" s="26" t="str">
        <f aca="false">IF(A175="","",D175-SUM(F175:H175))</f>
        <v/>
      </c>
      <c r="F175" s="26" t="str">
        <f aca="false">IF(A175="","",SUMIFS(請求台帳!$S$5:$S$504,請求台帳!$C$5:$C$504,A175,請求台帳!$V$5:$V$504,"&gt;=1",請求台帳!$V$5:$V$504,"&lt;=30"))</f>
        <v/>
      </c>
      <c r="G175" s="26" t="str">
        <f aca="false">IF(A175="","",SUMIFS(請求台帳!$S$5:$S$504,請求台帳!$C$5:$C$504,A175,請求台帳!$V$5:$V$504,"&gt;=31",請求台帳!$V$5:$V$504,"&lt;=60"))</f>
        <v/>
      </c>
      <c r="H175" s="26" t="str">
        <f aca="false">IF(A175="","",SUMIFS(請求台帳!$S$5:$S$504,請求台帳!$C$5:$C$504,A175,請求台帳!$V$5:$V$504,"&gt;=61"))</f>
        <v/>
      </c>
      <c r="I175" s="34" t="str">
        <f aca="false">IF(A175="","",COUNTIFS(請求台帳!$C$5:$C$504,A175,請求台帳!$B$5:$B$504,"&gt;="&amp;チェック!$C$4,請求台帳!$B$5:$B$504,"&lt;="&amp;EOMONTH(チェック!$C$4,0),請求台帳!$T$5:$T$504,"&lt;&gt;取消"))</f>
        <v/>
      </c>
      <c r="J175" s="29" t="str">
        <f aca="false">IF(A175="","",IF(AND(取引先マスタ!G175="有",I175=0),"請求漏れ候補",""))</f>
        <v/>
      </c>
    </row>
    <row r="176" customFormat="false" ht="15" hidden="false" customHeight="false" outlineLevel="0" collapsed="false">
      <c r="A176" s="32" t="str">
        <f aca="false">IF(取引先マスタ!A176="","",取引先マスタ!A176)</f>
        <v/>
      </c>
      <c r="B176" s="32" t="str">
        <f aca="false">IF(A176="","",取引先マスタ!B176)</f>
        <v/>
      </c>
      <c r="C176" s="32" t="str">
        <f aca="false">IF(A176="","",取引先マスタ!J176&amp;"")</f>
        <v/>
      </c>
      <c r="D176" s="26" t="str">
        <f aca="false">IF(A176="","",SUMIFS(請求台帳!$S$5:$S$504,請求台帳!$C$5:$C$504,A176,請求台帳!$T$5:$T$504,"&lt;&gt;取消"))</f>
        <v/>
      </c>
      <c r="E176" s="26" t="str">
        <f aca="false">IF(A176="","",D176-SUM(F176:H176))</f>
        <v/>
      </c>
      <c r="F176" s="26" t="str">
        <f aca="false">IF(A176="","",SUMIFS(請求台帳!$S$5:$S$504,請求台帳!$C$5:$C$504,A176,請求台帳!$V$5:$V$504,"&gt;=1",請求台帳!$V$5:$V$504,"&lt;=30"))</f>
        <v/>
      </c>
      <c r="G176" s="26" t="str">
        <f aca="false">IF(A176="","",SUMIFS(請求台帳!$S$5:$S$504,請求台帳!$C$5:$C$504,A176,請求台帳!$V$5:$V$504,"&gt;=31",請求台帳!$V$5:$V$504,"&lt;=60"))</f>
        <v/>
      </c>
      <c r="H176" s="26" t="str">
        <f aca="false">IF(A176="","",SUMIFS(請求台帳!$S$5:$S$504,請求台帳!$C$5:$C$504,A176,請求台帳!$V$5:$V$504,"&gt;=61"))</f>
        <v/>
      </c>
      <c r="I176" s="34" t="str">
        <f aca="false">IF(A176="","",COUNTIFS(請求台帳!$C$5:$C$504,A176,請求台帳!$B$5:$B$504,"&gt;="&amp;チェック!$C$4,請求台帳!$B$5:$B$504,"&lt;="&amp;EOMONTH(チェック!$C$4,0),請求台帳!$T$5:$T$504,"&lt;&gt;取消"))</f>
        <v/>
      </c>
      <c r="J176" s="29" t="str">
        <f aca="false">IF(A176="","",IF(AND(取引先マスタ!G176="有",I176=0),"請求漏れ候補",""))</f>
        <v/>
      </c>
    </row>
    <row r="177" customFormat="false" ht="15" hidden="false" customHeight="false" outlineLevel="0" collapsed="false">
      <c r="A177" s="32" t="str">
        <f aca="false">IF(取引先マスタ!A177="","",取引先マスタ!A177)</f>
        <v/>
      </c>
      <c r="B177" s="32" t="str">
        <f aca="false">IF(A177="","",取引先マスタ!B177)</f>
        <v/>
      </c>
      <c r="C177" s="32" t="str">
        <f aca="false">IF(A177="","",取引先マスタ!J177&amp;"")</f>
        <v/>
      </c>
      <c r="D177" s="26" t="str">
        <f aca="false">IF(A177="","",SUMIFS(請求台帳!$S$5:$S$504,請求台帳!$C$5:$C$504,A177,請求台帳!$T$5:$T$504,"&lt;&gt;取消"))</f>
        <v/>
      </c>
      <c r="E177" s="26" t="str">
        <f aca="false">IF(A177="","",D177-SUM(F177:H177))</f>
        <v/>
      </c>
      <c r="F177" s="26" t="str">
        <f aca="false">IF(A177="","",SUMIFS(請求台帳!$S$5:$S$504,請求台帳!$C$5:$C$504,A177,請求台帳!$V$5:$V$504,"&gt;=1",請求台帳!$V$5:$V$504,"&lt;=30"))</f>
        <v/>
      </c>
      <c r="G177" s="26" t="str">
        <f aca="false">IF(A177="","",SUMIFS(請求台帳!$S$5:$S$504,請求台帳!$C$5:$C$504,A177,請求台帳!$V$5:$V$504,"&gt;=31",請求台帳!$V$5:$V$504,"&lt;=60"))</f>
        <v/>
      </c>
      <c r="H177" s="26" t="str">
        <f aca="false">IF(A177="","",SUMIFS(請求台帳!$S$5:$S$504,請求台帳!$C$5:$C$504,A177,請求台帳!$V$5:$V$504,"&gt;=61"))</f>
        <v/>
      </c>
      <c r="I177" s="34" t="str">
        <f aca="false">IF(A177="","",COUNTIFS(請求台帳!$C$5:$C$504,A177,請求台帳!$B$5:$B$504,"&gt;="&amp;チェック!$C$4,請求台帳!$B$5:$B$504,"&lt;="&amp;EOMONTH(チェック!$C$4,0),請求台帳!$T$5:$T$504,"&lt;&gt;取消"))</f>
        <v/>
      </c>
      <c r="J177" s="29" t="str">
        <f aca="false">IF(A177="","",IF(AND(取引先マスタ!G177="有",I177=0),"請求漏れ候補",""))</f>
        <v/>
      </c>
    </row>
    <row r="178" customFormat="false" ht="15" hidden="false" customHeight="false" outlineLevel="0" collapsed="false">
      <c r="A178" s="32" t="str">
        <f aca="false">IF(取引先マスタ!A178="","",取引先マスタ!A178)</f>
        <v/>
      </c>
      <c r="B178" s="32" t="str">
        <f aca="false">IF(A178="","",取引先マスタ!B178)</f>
        <v/>
      </c>
      <c r="C178" s="32" t="str">
        <f aca="false">IF(A178="","",取引先マスタ!J178&amp;"")</f>
        <v/>
      </c>
      <c r="D178" s="26" t="str">
        <f aca="false">IF(A178="","",SUMIFS(請求台帳!$S$5:$S$504,請求台帳!$C$5:$C$504,A178,請求台帳!$T$5:$T$504,"&lt;&gt;取消"))</f>
        <v/>
      </c>
      <c r="E178" s="26" t="str">
        <f aca="false">IF(A178="","",D178-SUM(F178:H178))</f>
        <v/>
      </c>
      <c r="F178" s="26" t="str">
        <f aca="false">IF(A178="","",SUMIFS(請求台帳!$S$5:$S$504,請求台帳!$C$5:$C$504,A178,請求台帳!$V$5:$V$504,"&gt;=1",請求台帳!$V$5:$V$504,"&lt;=30"))</f>
        <v/>
      </c>
      <c r="G178" s="26" t="str">
        <f aca="false">IF(A178="","",SUMIFS(請求台帳!$S$5:$S$504,請求台帳!$C$5:$C$504,A178,請求台帳!$V$5:$V$504,"&gt;=31",請求台帳!$V$5:$V$504,"&lt;=60"))</f>
        <v/>
      </c>
      <c r="H178" s="26" t="str">
        <f aca="false">IF(A178="","",SUMIFS(請求台帳!$S$5:$S$504,請求台帳!$C$5:$C$504,A178,請求台帳!$V$5:$V$504,"&gt;=61"))</f>
        <v/>
      </c>
      <c r="I178" s="34" t="str">
        <f aca="false">IF(A178="","",COUNTIFS(請求台帳!$C$5:$C$504,A178,請求台帳!$B$5:$B$504,"&gt;="&amp;チェック!$C$4,請求台帳!$B$5:$B$504,"&lt;="&amp;EOMONTH(チェック!$C$4,0),請求台帳!$T$5:$T$504,"&lt;&gt;取消"))</f>
        <v/>
      </c>
      <c r="J178" s="29" t="str">
        <f aca="false">IF(A178="","",IF(AND(取引先マスタ!G178="有",I178=0),"請求漏れ候補",""))</f>
        <v/>
      </c>
    </row>
    <row r="179" customFormat="false" ht="15" hidden="false" customHeight="false" outlineLevel="0" collapsed="false">
      <c r="A179" s="32" t="str">
        <f aca="false">IF(取引先マスタ!A179="","",取引先マスタ!A179)</f>
        <v/>
      </c>
      <c r="B179" s="32" t="str">
        <f aca="false">IF(A179="","",取引先マスタ!B179)</f>
        <v/>
      </c>
      <c r="C179" s="32" t="str">
        <f aca="false">IF(A179="","",取引先マスタ!J179&amp;"")</f>
        <v/>
      </c>
      <c r="D179" s="26" t="str">
        <f aca="false">IF(A179="","",SUMIFS(請求台帳!$S$5:$S$504,請求台帳!$C$5:$C$504,A179,請求台帳!$T$5:$T$504,"&lt;&gt;取消"))</f>
        <v/>
      </c>
      <c r="E179" s="26" t="str">
        <f aca="false">IF(A179="","",D179-SUM(F179:H179))</f>
        <v/>
      </c>
      <c r="F179" s="26" t="str">
        <f aca="false">IF(A179="","",SUMIFS(請求台帳!$S$5:$S$504,請求台帳!$C$5:$C$504,A179,請求台帳!$V$5:$V$504,"&gt;=1",請求台帳!$V$5:$V$504,"&lt;=30"))</f>
        <v/>
      </c>
      <c r="G179" s="26" t="str">
        <f aca="false">IF(A179="","",SUMIFS(請求台帳!$S$5:$S$504,請求台帳!$C$5:$C$504,A179,請求台帳!$V$5:$V$504,"&gt;=31",請求台帳!$V$5:$V$504,"&lt;=60"))</f>
        <v/>
      </c>
      <c r="H179" s="26" t="str">
        <f aca="false">IF(A179="","",SUMIFS(請求台帳!$S$5:$S$504,請求台帳!$C$5:$C$504,A179,請求台帳!$V$5:$V$504,"&gt;=61"))</f>
        <v/>
      </c>
      <c r="I179" s="34" t="str">
        <f aca="false">IF(A179="","",COUNTIFS(請求台帳!$C$5:$C$504,A179,請求台帳!$B$5:$B$504,"&gt;="&amp;チェック!$C$4,請求台帳!$B$5:$B$504,"&lt;="&amp;EOMONTH(チェック!$C$4,0),請求台帳!$T$5:$T$504,"&lt;&gt;取消"))</f>
        <v/>
      </c>
      <c r="J179" s="29" t="str">
        <f aca="false">IF(A179="","",IF(AND(取引先マスタ!G179="有",I179=0),"請求漏れ候補",""))</f>
        <v/>
      </c>
    </row>
    <row r="180" customFormat="false" ht="15" hidden="false" customHeight="false" outlineLevel="0" collapsed="false">
      <c r="A180" s="32" t="str">
        <f aca="false">IF(取引先マスタ!A180="","",取引先マスタ!A180)</f>
        <v/>
      </c>
      <c r="B180" s="32" t="str">
        <f aca="false">IF(A180="","",取引先マスタ!B180)</f>
        <v/>
      </c>
      <c r="C180" s="32" t="str">
        <f aca="false">IF(A180="","",取引先マスタ!J180&amp;"")</f>
        <v/>
      </c>
      <c r="D180" s="26" t="str">
        <f aca="false">IF(A180="","",SUMIFS(請求台帳!$S$5:$S$504,請求台帳!$C$5:$C$504,A180,請求台帳!$T$5:$T$504,"&lt;&gt;取消"))</f>
        <v/>
      </c>
      <c r="E180" s="26" t="str">
        <f aca="false">IF(A180="","",D180-SUM(F180:H180))</f>
        <v/>
      </c>
      <c r="F180" s="26" t="str">
        <f aca="false">IF(A180="","",SUMIFS(請求台帳!$S$5:$S$504,請求台帳!$C$5:$C$504,A180,請求台帳!$V$5:$V$504,"&gt;=1",請求台帳!$V$5:$V$504,"&lt;=30"))</f>
        <v/>
      </c>
      <c r="G180" s="26" t="str">
        <f aca="false">IF(A180="","",SUMIFS(請求台帳!$S$5:$S$504,請求台帳!$C$5:$C$504,A180,請求台帳!$V$5:$V$504,"&gt;=31",請求台帳!$V$5:$V$504,"&lt;=60"))</f>
        <v/>
      </c>
      <c r="H180" s="26" t="str">
        <f aca="false">IF(A180="","",SUMIFS(請求台帳!$S$5:$S$504,請求台帳!$C$5:$C$504,A180,請求台帳!$V$5:$V$504,"&gt;=61"))</f>
        <v/>
      </c>
      <c r="I180" s="34" t="str">
        <f aca="false">IF(A180="","",COUNTIFS(請求台帳!$C$5:$C$504,A180,請求台帳!$B$5:$B$504,"&gt;="&amp;チェック!$C$4,請求台帳!$B$5:$B$504,"&lt;="&amp;EOMONTH(チェック!$C$4,0),請求台帳!$T$5:$T$504,"&lt;&gt;取消"))</f>
        <v/>
      </c>
      <c r="J180" s="29" t="str">
        <f aca="false">IF(A180="","",IF(AND(取引先マスタ!G180="有",I180=0),"請求漏れ候補",""))</f>
        <v/>
      </c>
    </row>
    <row r="181" customFormat="false" ht="15" hidden="false" customHeight="false" outlineLevel="0" collapsed="false">
      <c r="A181" s="32" t="str">
        <f aca="false">IF(取引先マスタ!A181="","",取引先マスタ!A181)</f>
        <v/>
      </c>
      <c r="B181" s="32" t="str">
        <f aca="false">IF(A181="","",取引先マスタ!B181)</f>
        <v/>
      </c>
      <c r="C181" s="32" t="str">
        <f aca="false">IF(A181="","",取引先マスタ!J181&amp;"")</f>
        <v/>
      </c>
      <c r="D181" s="26" t="str">
        <f aca="false">IF(A181="","",SUMIFS(請求台帳!$S$5:$S$504,請求台帳!$C$5:$C$504,A181,請求台帳!$T$5:$T$504,"&lt;&gt;取消"))</f>
        <v/>
      </c>
      <c r="E181" s="26" t="str">
        <f aca="false">IF(A181="","",D181-SUM(F181:H181))</f>
        <v/>
      </c>
      <c r="F181" s="26" t="str">
        <f aca="false">IF(A181="","",SUMIFS(請求台帳!$S$5:$S$504,請求台帳!$C$5:$C$504,A181,請求台帳!$V$5:$V$504,"&gt;=1",請求台帳!$V$5:$V$504,"&lt;=30"))</f>
        <v/>
      </c>
      <c r="G181" s="26" t="str">
        <f aca="false">IF(A181="","",SUMIFS(請求台帳!$S$5:$S$504,請求台帳!$C$5:$C$504,A181,請求台帳!$V$5:$V$504,"&gt;=31",請求台帳!$V$5:$V$504,"&lt;=60"))</f>
        <v/>
      </c>
      <c r="H181" s="26" t="str">
        <f aca="false">IF(A181="","",SUMIFS(請求台帳!$S$5:$S$504,請求台帳!$C$5:$C$504,A181,請求台帳!$V$5:$V$504,"&gt;=61"))</f>
        <v/>
      </c>
      <c r="I181" s="34" t="str">
        <f aca="false">IF(A181="","",COUNTIFS(請求台帳!$C$5:$C$504,A181,請求台帳!$B$5:$B$504,"&gt;="&amp;チェック!$C$4,請求台帳!$B$5:$B$504,"&lt;="&amp;EOMONTH(チェック!$C$4,0),請求台帳!$T$5:$T$504,"&lt;&gt;取消"))</f>
        <v/>
      </c>
      <c r="J181" s="29" t="str">
        <f aca="false">IF(A181="","",IF(AND(取引先マスタ!G181="有",I181=0),"請求漏れ候補",""))</f>
        <v/>
      </c>
    </row>
    <row r="182" customFormat="false" ht="15" hidden="false" customHeight="false" outlineLevel="0" collapsed="false">
      <c r="A182" s="32" t="str">
        <f aca="false">IF(取引先マスタ!A182="","",取引先マスタ!A182)</f>
        <v/>
      </c>
      <c r="B182" s="32" t="str">
        <f aca="false">IF(A182="","",取引先マスタ!B182)</f>
        <v/>
      </c>
      <c r="C182" s="32" t="str">
        <f aca="false">IF(A182="","",取引先マスタ!J182&amp;"")</f>
        <v/>
      </c>
      <c r="D182" s="26" t="str">
        <f aca="false">IF(A182="","",SUMIFS(請求台帳!$S$5:$S$504,請求台帳!$C$5:$C$504,A182,請求台帳!$T$5:$T$504,"&lt;&gt;取消"))</f>
        <v/>
      </c>
      <c r="E182" s="26" t="str">
        <f aca="false">IF(A182="","",D182-SUM(F182:H182))</f>
        <v/>
      </c>
      <c r="F182" s="26" t="str">
        <f aca="false">IF(A182="","",SUMIFS(請求台帳!$S$5:$S$504,請求台帳!$C$5:$C$504,A182,請求台帳!$V$5:$V$504,"&gt;=1",請求台帳!$V$5:$V$504,"&lt;=30"))</f>
        <v/>
      </c>
      <c r="G182" s="26" t="str">
        <f aca="false">IF(A182="","",SUMIFS(請求台帳!$S$5:$S$504,請求台帳!$C$5:$C$504,A182,請求台帳!$V$5:$V$504,"&gt;=31",請求台帳!$V$5:$V$504,"&lt;=60"))</f>
        <v/>
      </c>
      <c r="H182" s="26" t="str">
        <f aca="false">IF(A182="","",SUMIFS(請求台帳!$S$5:$S$504,請求台帳!$C$5:$C$504,A182,請求台帳!$V$5:$V$504,"&gt;=61"))</f>
        <v/>
      </c>
      <c r="I182" s="34" t="str">
        <f aca="false">IF(A182="","",COUNTIFS(請求台帳!$C$5:$C$504,A182,請求台帳!$B$5:$B$504,"&gt;="&amp;チェック!$C$4,請求台帳!$B$5:$B$504,"&lt;="&amp;EOMONTH(チェック!$C$4,0),請求台帳!$T$5:$T$504,"&lt;&gt;取消"))</f>
        <v/>
      </c>
      <c r="J182" s="29" t="str">
        <f aca="false">IF(A182="","",IF(AND(取引先マスタ!G182="有",I182=0),"請求漏れ候補",""))</f>
        <v/>
      </c>
    </row>
    <row r="183" customFormat="false" ht="15" hidden="false" customHeight="false" outlineLevel="0" collapsed="false">
      <c r="A183" s="32" t="str">
        <f aca="false">IF(取引先マスタ!A183="","",取引先マスタ!A183)</f>
        <v/>
      </c>
      <c r="B183" s="32" t="str">
        <f aca="false">IF(A183="","",取引先マスタ!B183)</f>
        <v/>
      </c>
      <c r="C183" s="32" t="str">
        <f aca="false">IF(A183="","",取引先マスタ!J183&amp;"")</f>
        <v/>
      </c>
      <c r="D183" s="26" t="str">
        <f aca="false">IF(A183="","",SUMIFS(請求台帳!$S$5:$S$504,請求台帳!$C$5:$C$504,A183,請求台帳!$T$5:$T$504,"&lt;&gt;取消"))</f>
        <v/>
      </c>
      <c r="E183" s="26" t="str">
        <f aca="false">IF(A183="","",D183-SUM(F183:H183))</f>
        <v/>
      </c>
      <c r="F183" s="26" t="str">
        <f aca="false">IF(A183="","",SUMIFS(請求台帳!$S$5:$S$504,請求台帳!$C$5:$C$504,A183,請求台帳!$V$5:$V$504,"&gt;=1",請求台帳!$V$5:$V$504,"&lt;=30"))</f>
        <v/>
      </c>
      <c r="G183" s="26" t="str">
        <f aca="false">IF(A183="","",SUMIFS(請求台帳!$S$5:$S$504,請求台帳!$C$5:$C$504,A183,請求台帳!$V$5:$V$504,"&gt;=31",請求台帳!$V$5:$V$504,"&lt;=60"))</f>
        <v/>
      </c>
      <c r="H183" s="26" t="str">
        <f aca="false">IF(A183="","",SUMIFS(請求台帳!$S$5:$S$504,請求台帳!$C$5:$C$504,A183,請求台帳!$V$5:$V$504,"&gt;=61"))</f>
        <v/>
      </c>
      <c r="I183" s="34" t="str">
        <f aca="false">IF(A183="","",COUNTIFS(請求台帳!$C$5:$C$504,A183,請求台帳!$B$5:$B$504,"&gt;="&amp;チェック!$C$4,請求台帳!$B$5:$B$504,"&lt;="&amp;EOMONTH(チェック!$C$4,0),請求台帳!$T$5:$T$504,"&lt;&gt;取消"))</f>
        <v/>
      </c>
      <c r="J183" s="29" t="str">
        <f aca="false">IF(A183="","",IF(AND(取引先マスタ!G183="有",I183=0),"請求漏れ候補",""))</f>
        <v/>
      </c>
    </row>
    <row r="184" customFormat="false" ht="15" hidden="false" customHeight="false" outlineLevel="0" collapsed="false">
      <c r="A184" s="32" t="str">
        <f aca="false">IF(取引先マスタ!A184="","",取引先マスタ!A184)</f>
        <v/>
      </c>
      <c r="B184" s="32" t="str">
        <f aca="false">IF(A184="","",取引先マスタ!B184)</f>
        <v/>
      </c>
      <c r="C184" s="32" t="str">
        <f aca="false">IF(A184="","",取引先マスタ!J184&amp;"")</f>
        <v/>
      </c>
      <c r="D184" s="26" t="str">
        <f aca="false">IF(A184="","",SUMIFS(請求台帳!$S$5:$S$504,請求台帳!$C$5:$C$504,A184,請求台帳!$T$5:$T$504,"&lt;&gt;取消"))</f>
        <v/>
      </c>
      <c r="E184" s="26" t="str">
        <f aca="false">IF(A184="","",D184-SUM(F184:H184))</f>
        <v/>
      </c>
      <c r="F184" s="26" t="str">
        <f aca="false">IF(A184="","",SUMIFS(請求台帳!$S$5:$S$504,請求台帳!$C$5:$C$504,A184,請求台帳!$V$5:$V$504,"&gt;=1",請求台帳!$V$5:$V$504,"&lt;=30"))</f>
        <v/>
      </c>
      <c r="G184" s="26" t="str">
        <f aca="false">IF(A184="","",SUMIFS(請求台帳!$S$5:$S$504,請求台帳!$C$5:$C$504,A184,請求台帳!$V$5:$V$504,"&gt;=31",請求台帳!$V$5:$V$504,"&lt;=60"))</f>
        <v/>
      </c>
      <c r="H184" s="26" t="str">
        <f aca="false">IF(A184="","",SUMIFS(請求台帳!$S$5:$S$504,請求台帳!$C$5:$C$504,A184,請求台帳!$V$5:$V$504,"&gt;=61"))</f>
        <v/>
      </c>
      <c r="I184" s="34" t="str">
        <f aca="false">IF(A184="","",COUNTIFS(請求台帳!$C$5:$C$504,A184,請求台帳!$B$5:$B$504,"&gt;="&amp;チェック!$C$4,請求台帳!$B$5:$B$504,"&lt;="&amp;EOMONTH(チェック!$C$4,0),請求台帳!$T$5:$T$504,"&lt;&gt;取消"))</f>
        <v/>
      </c>
      <c r="J184" s="29" t="str">
        <f aca="false">IF(A184="","",IF(AND(取引先マスタ!G184="有",I184=0),"請求漏れ候補",""))</f>
        <v/>
      </c>
    </row>
    <row r="185" customFormat="false" ht="15" hidden="false" customHeight="false" outlineLevel="0" collapsed="false">
      <c r="A185" s="32" t="str">
        <f aca="false">IF(取引先マスタ!A185="","",取引先マスタ!A185)</f>
        <v/>
      </c>
      <c r="B185" s="32" t="str">
        <f aca="false">IF(A185="","",取引先マスタ!B185)</f>
        <v/>
      </c>
      <c r="C185" s="32" t="str">
        <f aca="false">IF(A185="","",取引先マスタ!J185&amp;"")</f>
        <v/>
      </c>
      <c r="D185" s="26" t="str">
        <f aca="false">IF(A185="","",SUMIFS(請求台帳!$S$5:$S$504,請求台帳!$C$5:$C$504,A185,請求台帳!$T$5:$T$504,"&lt;&gt;取消"))</f>
        <v/>
      </c>
      <c r="E185" s="26" t="str">
        <f aca="false">IF(A185="","",D185-SUM(F185:H185))</f>
        <v/>
      </c>
      <c r="F185" s="26" t="str">
        <f aca="false">IF(A185="","",SUMIFS(請求台帳!$S$5:$S$504,請求台帳!$C$5:$C$504,A185,請求台帳!$V$5:$V$504,"&gt;=1",請求台帳!$V$5:$V$504,"&lt;=30"))</f>
        <v/>
      </c>
      <c r="G185" s="26" t="str">
        <f aca="false">IF(A185="","",SUMIFS(請求台帳!$S$5:$S$504,請求台帳!$C$5:$C$504,A185,請求台帳!$V$5:$V$504,"&gt;=31",請求台帳!$V$5:$V$504,"&lt;=60"))</f>
        <v/>
      </c>
      <c r="H185" s="26" t="str">
        <f aca="false">IF(A185="","",SUMIFS(請求台帳!$S$5:$S$504,請求台帳!$C$5:$C$504,A185,請求台帳!$V$5:$V$504,"&gt;=61"))</f>
        <v/>
      </c>
      <c r="I185" s="34" t="str">
        <f aca="false">IF(A185="","",COUNTIFS(請求台帳!$C$5:$C$504,A185,請求台帳!$B$5:$B$504,"&gt;="&amp;チェック!$C$4,請求台帳!$B$5:$B$504,"&lt;="&amp;EOMONTH(チェック!$C$4,0),請求台帳!$T$5:$T$504,"&lt;&gt;取消"))</f>
        <v/>
      </c>
      <c r="J185" s="29" t="str">
        <f aca="false">IF(A185="","",IF(AND(取引先マスタ!G185="有",I185=0),"請求漏れ候補",""))</f>
        <v/>
      </c>
    </row>
    <row r="186" customFormat="false" ht="15" hidden="false" customHeight="false" outlineLevel="0" collapsed="false">
      <c r="A186" s="32" t="str">
        <f aca="false">IF(取引先マスタ!A186="","",取引先マスタ!A186)</f>
        <v/>
      </c>
      <c r="B186" s="32" t="str">
        <f aca="false">IF(A186="","",取引先マスタ!B186)</f>
        <v/>
      </c>
      <c r="C186" s="32" t="str">
        <f aca="false">IF(A186="","",取引先マスタ!J186&amp;"")</f>
        <v/>
      </c>
      <c r="D186" s="26" t="str">
        <f aca="false">IF(A186="","",SUMIFS(請求台帳!$S$5:$S$504,請求台帳!$C$5:$C$504,A186,請求台帳!$T$5:$T$504,"&lt;&gt;取消"))</f>
        <v/>
      </c>
      <c r="E186" s="26" t="str">
        <f aca="false">IF(A186="","",D186-SUM(F186:H186))</f>
        <v/>
      </c>
      <c r="F186" s="26" t="str">
        <f aca="false">IF(A186="","",SUMIFS(請求台帳!$S$5:$S$504,請求台帳!$C$5:$C$504,A186,請求台帳!$V$5:$V$504,"&gt;=1",請求台帳!$V$5:$V$504,"&lt;=30"))</f>
        <v/>
      </c>
      <c r="G186" s="26" t="str">
        <f aca="false">IF(A186="","",SUMIFS(請求台帳!$S$5:$S$504,請求台帳!$C$5:$C$504,A186,請求台帳!$V$5:$V$504,"&gt;=31",請求台帳!$V$5:$V$504,"&lt;=60"))</f>
        <v/>
      </c>
      <c r="H186" s="26" t="str">
        <f aca="false">IF(A186="","",SUMIFS(請求台帳!$S$5:$S$504,請求台帳!$C$5:$C$504,A186,請求台帳!$V$5:$V$504,"&gt;=61"))</f>
        <v/>
      </c>
      <c r="I186" s="34" t="str">
        <f aca="false">IF(A186="","",COUNTIFS(請求台帳!$C$5:$C$504,A186,請求台帳!$B$5:$B$504,"&gt;="&amp;チェック!$C$4,請求台帳!$B$5:$B$504,"&lt;="&amp;EOMONTH(チェック!$C$4,0),請求台帳!$T$5:$T$504,"&lt;&gt;取消"))</f>
        <v/>
      </c>
      <c r="J186" s="29" t="str">
        <f aca="false">IF(A186="","",IF(AND(取引先マスタ!G186="有",I186=0),"請求漏れ候補",""))</f>
        <v/>
      </c>
    </row>
    <row r="187" customFormat="false" ht="15" hidden="false" customHeight="false" outlineLevel="0" collapsed="false">
      <c r="A187" s="32" t="str">
        <f aca="false">IF(取引先マスタ!A187="","",取引先マスタ!A187)</f>
        <v/>
      </c>
      <c r="B187" s="32" t="str">
        <f aca="false">IF(A187="","",取引先マスタ!B187)</f>
        <v/>
      </c>
      <c r="C187" s="32" t="str">
        <f aca="false">IF(A187="","",取引先マスタ!J187&amp;"")</f>
        <v/>
      </c>
      <c r="D187" s="26" t="str">
        <f aca="false">IF(A187="","",SUMIFS(請求台帳!$S$5:$S$504,請求台帳!$C$5:$C$504,A187,請求台帳!$T$5:$T$504,"&lt;&gt;取消"))</f>
        <v/>
      </c>
      <c r="E187" s="26" t="str">
        <f aca="false">IF(A187="","",D187-SUM(F187:H187))</f>
        <v/>
      </c>
      <c r="F187" s="26" t="str">
        <f aca="false">IF(A187="","",SUMIFS(請求台帳!$S$5:$S$504,請求台帳!$C$5:$C$504,A187,請求台帳!$V$5:$V$504,"&gt;=1",請求台帳!$V$5:$V$504,"&lt;=30"))</f>
        <v/>
      </c>
      <c r="G187" s="26" t="str">
        <f aca="false">IF(A187="","",SUMIFS(請求台帳!$S$5:$S$504,請求台帳!$C$5:$C$504,A187,請求台帳!$V$5:$V$504,"&gt;=31",請求台帳!$V$5:$V$504,"&lt;=60"))</f>
        <v/>
      </c>
      <c r="H187" s="26" t="str">
        <f aca="false">IF(A187="","",SUMIFS(請求台帳!$S$5:$S$504,請求台帳!$C$5:$C$504,A187,請求台帳!$V$5:$V$504,"&gt;=61"))</f>
        <v/>
      </c>
      <c r="I187" s="34" t="str">
        <f aca="false">IF(A187="","",COUNTIFS(請求台帳!$C$5:$C$504,A187,請求台帳!$B$5:$B$504,"&gt;="&amp;チェック!$C$4,請求台帳!$B$5:$B$504,"&lt;="&amp;EOMONTH(チェック!$C$4,0),請求台帳!$T$5:$T$504,"&lt;&gt;取消"))</f>
        <v/>
      </c>
      <c r="J187" s="29" t="str">
        <f aca="false">IF(A187="","",IF(AND(取引先マスタ!G187="有",I187=0),"請求漏れ候補",""))</f>
        <v/>
      </c>
    </row>
    <row r="188" customFormat="false" ht="15" hidden="false" customHeight="false" outlineLevel="0" collapsed="false">
      <c r="A188" s="32" t="str">
        <f aca="false">IF(取引先マスタ!A188="","",取引先マスタ!A188)</f>
        <v/>
      </c>
      <c r="B188" s="32" t="str">
        <f aca="false">IF(A188="","",取引先マスタ!B188)</f>
        <v/>
      </c>
      <c r="C188" s="32" t="str">
        <f aca="false">IF(A188="","",取引先マスタ!J188&amp;"")</f>
        <v/>
      </c>
      <c r="D188" s="26" t="str">
        <f aca="false">IF(A188="","",SUMIFS(請求台帳!$S$5:$S$504,請求台帳!$C$5:$C$504,A188,請求台帳!$T$5:$T$504,"&lt;&gt;取消"))</f>
        <v/>
      </c>
      <c r="E188" s="26" t="str">
        <f aca="false">IF(A188="","",D188-SUM(F188:H188))</f>
        <v/>
      </c>
      <c r="F188" s="26" t="str">
        <f aca="false">IF(A188="","",SUMIFS(請求台帳!$S$5:$S$504,請求台帳!$C$5:$C$504,A188,請求台帳!$V$5:$V$504,"&gt;=1",請求台帳!$V$5:$V$504,"&lt;=30"))</f>
        <v/>
      </c>
      <c r="G188" s="26" t="str">
        <f aca="false">IF(A188="","",SUMIFS(請求台帳!$S$5:$S$504,請求台帳!$C$5:$C$504,A188,請求台帳!$V$5:$V$504,"&gt;=31",請求台帳!$V$5:$V$504,"&lt;=60"))</f>
        <v/>
      </c>
      <c r="H188" s="26" t="str">
        <f aca="false">IF(A188="","",SUMIFS(請求台帳!$S$5:$S$504,請求台帳!$C$5:$C$504,A188,請求台帳!$V$5:$V$504,"&gt;=61"))</f>
        <v/>
      </c>
      <c r="I188" s="34" t="str">
        <f aca="false">IF(A188="","",COUNTIFS(請求台帳!$C$5:$C$504,A188,請求台帳!$B$5:$B$504,"&gt;="&amp;チェック!$C$4,請求台帳!$B$5:$B$504,"&lt;="&amp;EOMONTH(チェック!$C$4,0),請求台帳!$T$5:$T$504,"&lt;&gt;取消"))</f>
        <v/>
      </c>
      <c r="J188" s="29" t="str">
        <f aca="false">IF(A188="","",IF(AND(取引先マスタ!G188="有",I188=0),"請求漏れ候補",""))</f>
        <v/>
      </c>
    </row>
    <row r="189" customFormat="false" ht="15" hidden="false" customHeight="false" outlineLevel="0" collapsed="false">
      <c r="A189" s="32" t="str">
        <f aca="false">IF(取引先マスタ!A189="","",取引先マスタ!A189)</f>
        <v/>
      </c>
      <c r="B189" s="32" t="str">
        <f aca="false">IF(A189="","",取引先マスタ!B189)</f>
        <v/>
      </c>
      <c r="C189" s="32" t="str">
        <f aca="false">IF(A189="","",取引先マスタ!J189&amp;"")</f>
        <v/>
      </c>
      <c r="D189" s="26" t="str">
        <f aca="false">IF(A189="","",SUMIFS(請求台帳!$S$5:$S$504,請求台帳!$C$5:$C$504,A189,請求台帳!$T$5:$T$504,"&lt;&gt;取消"))</f>
        <v/>
      </c>
      <c r="E189" s="26" t="str">
        <f aca="false">IF(A189="","",D189-SUM(F189:H189))</f>
        <v/>
      </c>
      <c r="F189" s="26" t="str">
        <f aca="false">IF(A189="","",SUMIFS(請求台帳!$S$5:$S$504,請求台帳!$C$5:$C$504,A189,請求台帳!$V$5:$V$504,"&gt;=1",請求台帳!$V$5:$V$504,"&lt;=30"))</f>
        <v/>
      </c>
      <c r="G189" s="26" t="str">
        <f aca="false">IF(A189="","",SUMIFS(請求台帳!$S$5:$S$504,請求台帳!$C$5:$C$504,A189,請求台帳!$V$5:$V$504,"&gt;=31",請求台帳!$V$5:$V$504,"&lt;=60"))</f>
        <v/>
      </c>
      <c r="H189" s="26" t="str">
        <f aca="false">IF(A189="","",SUMIFS(請求台帳!$S$5:$S$504,請求台帳!$C$5:$C$504,A189,請求台帳!$V$5:$V$504,"&gt;=61"))</f>
        <v/>
      </c>
      <c r="I189" s="34" t="str">
        <f aca="false">IF(A189="","",COUNTIFS(請求台帳!$C$5:$C$504,A189,請求台帳!$B$5:$B$504,"&gt;="&amp;チェック!$C$4,請求台帳!$B$5:$B$504,"&lt;="&amp;EOMONTH(チェック!$C$4,0),請求台帳!$T$5:$T$504,"&lt;&gt;取消"))</f>
        <v/>
      </c>
      <c r="J189" s="29" t="str">
        <f aca="false">IF(A189="","",IF(AND(取引先マスタ!G189="有",I189=0),"請求漏れ候補",""))</f>
        <v/>
      </c>
    </row>
    <row r="190" customFormat="false" ht="15" hidden="false" customHeight="false" outlineLevel="0" collapsed="false">
      <c r="A190" s="32" t="str">
        <f aca="false">IF(取引先マスタ!A190="","",取引先マスタ!A190)</f>
        <v/>
      </c>
      <c r="B190" s="32" t="str">
        <f aca="false">IF(A190="","",取引先マスタ!B190)</f>
        <v/>
      </c>
      <c r="C190" s="32" t="str">
        <f aca="false">IF(A190="","",取引先マスタ!J190&amp;"")</f>
        <v/>
      </c>
      <c r="D190" s="26" t="str">
        <f aca="false">IF(A190="","",SUMIFS(請求台帳!$S$5:$S$504,請求台帳!$C$5:$C$504,A190,請求台帳!$T$5:$T$504,"&lt;&gt;取消"))</f>
        <v/>
      </c>
      <c r="E190" s="26" t="str">
        <f aca="false">IF(A190="","",D190-SUM(F190:H190))</f>
        <v/>
      </c>
      <c r="F190" s="26" t="str">
        <f aca="false">IF(A190="","",SUMIFS(請求台帳!$S$5:$S$504,請求台帳!$C$5:$C$504,A190,請求台帳!$V$5:$V$504,"&gt;=1",請求台帳!$V$5:$V$504,"&lt;=30"))</f>
        <v/>
      </c>
      <c r="G190" s="26" t="str">
        <f aca="false">IF(A190="","",SUMIFS(請求台帳!$S$5:$S$504,請求台帳!$C$5:$C$504,A190,請求台帳!$V$5:$V$504,"&gt;=31",請求台帳!$V$5:$V$504,"&lt;=60"))</f>
        <v/>
      </c>
      <c r="H190" s="26" t="str">
        <f aca="false">IF(A190="","",SUMIFS(請求台帳!$S$5:$S$504,請求台帳!$C$5:$C$504,A190,請求台帳!$V$5:$V$504,"&gt;=61"))</f>
        <v/>
      </c>
      <c r="I190" s="34" t="str">
        <f aca="false">IF(A190="","",COUNTIFS(請求台帳!$C$5:$C$504,A190,請求台帳!$B$5:$B$504,"&gt;="&amp;チェック!$C$4,請求台帳!$B$5:$B$504,"&lt;="&amp;EOMONTH(チェック!$C$4,0),請求台帳!$T$5:$T$504,"&lt;&gt;取消"))</f>
        <v/>
      </c>
      <c r="J190" s="29" t="str">
        <f aca="false">IF(A190="","",IF(AND(取引先マスタ!G190="有",I190=0),"請求漏れ候補",""))</f>
        <v/>
      </c>
    </row>
    <row r="191" customFormat="false" ht="15" hidden="false" customHeight="false" outlineLevel="0" collapsed="false">
      <c r="A191" s="32" t="str">
        <f aca="false">IF(取引先マスタ!A191="","",取引先マスタ!A191)</f>
        <v/>
      </c>
      <c r="B191" s="32" t="str">
        <f aca="false">IF(A191="","",取引先マスタ!B191)</f>
        <v/>
      </c>
      <c r="C191" s="32" t="str">
        <f aca="false">IF(A191="","",取引先マスタ!J191&amp;"")</f>
        <v/>
      </c>
      <c r="D191" s="26" t="str">
        <f aca="false">IF(A191="","",SUMIFS(請求台帳!$S$5:$S$504,請求台帳!$C$5:$C$504,A191,請求台帳!$T$5:$T$504,"&lt;&gt;取消"))</f>
        <v/>
      </c>
      <c r="E191" s="26" t="str">
        <f aca="false">IF(A191="","",D191-SUM(F191:H191))</f>
        <v/>
      </c>
      <c r="F191" s="26" t="str">
        <f aca="false">IF(A191="","",SUMIFS(請求台帳!$S$5:$S$504,請求台帳!$C$5:$C$504,A191,請求台帳!$V$5:$V$504,"&gt;=1",請求台帳!$V$5:$V$504,"&lt;=30"))</f>
        <v/>
      </c>
      <c r="G191" s="26" t="str">
        <f aca="false">IF(A191="","",SUMIFS(請求台帳!$S$5:$S$504,請求台帳!$C$5:$C$504,A191,請求台帳!$V$5:$V$504,"&gt;=31",請求台帳!$V$5:$V$504,"&lt;=60"))</f>
        <v/>
      </c>
      <c r="H191" s="26" t="str">
        <f aca="false">IF(A191="","",SUMIFS(請求台帳!$S$5:$S$504,請求台帳!$C$5:$C$504,A191,請求台帳!$V$5:$V$504,"&gt;=61"))</f>
        <v/>
      </c>
      <c r="I191" s="34" t="str">
        <f aca="false">IF(A191="","",COUNTIFS(請求台帳!$C$5:$C$504,A191,請求台帳!$B$5:$B$504,"&gt;="&amp;チェック!$C$4,請求台帳!$B$5:$B$504,"&lt;="&amp;EOMONTH(チェック!$C$4,0),請求台帳!$T$5:$T$504,"&lt;&gt;取消"))</f>
        <v/>
      </c>
      <c r="J191" s="29" t="str">
        <f aca="false">IF(A191="","",IF(AND(取引先マスタ!G191="有",I191=0),"請求漏れ候補",""))</f>
        <v/>
      </c>
    </row>
    <row r="192" customFormat="false" ht="15" hidden="false" customHeight="false" outlineLevel="0" collapsed="false">
      <c r="A192" s="32" t="str">
        <f aca="false">IF(取引先マスタ!A192="","",取引先マスタ!A192)</f>
        <v/>
      </c>
      <c r="B192" s="32" t="str">
        <f aca="false">IF(A192="","",取引先マスタ!B192)</f>
        <v/>
      </c>
      <c r="C192" s="32" t="str">
        <f aca="false">IF(A192="","",取引先マスタ!J192&amp;"")</f>
        <v/>
      </c>
      <c r="D192" s="26" t="str">
        <f aca="false">IF(A192="","",SUMIFS(請求台帳!$S$5:$S$504,請求台帳!$C$5:$C$504,A192,請求台帳!$T$5:$T$504,"&lt;&gt;取消"))</f>
        <v/>
      </c>
      <c r="E192" s="26" t="str">
        <f aca="false">IF(A192="","",D192-SUM(F192:H192))</f>
        <v/>
      </c>
      <c r="F192" s="26" t="str">
        <f aca="false">IF(A192="","",SUMIFS(請求台帳!$S$5:$S$504,請求台帳!$C$5:$C$504,A192,請求台帳!$V$5:$V$504,"&gt;=1",請求台帳!$V$5:$V$504,"&lt;=30"))</f>
        <v/>
      </c>
      <c r="G192" s="26" t="str">
        <f aca="false">IF(A192="","",SUMIFS(請求台帳!$S$5:$S$504,請求台帳!$C$5:$C$504,A192,請求台帳!$V$5:$V$504,"&gt;=31",請求台帳!$V$5:$V$504,"&lt;=60"))</f>
        <v/>
      </c>
      <c r="H192" s="26" t="str">
        <f aca="false">IF(A192="","",SUMIFS(請求台帳!$S$5:$S$504,請求台帳!$C$5:$C$504,A192,請求台帳!$V$5:$V$504,"&gt;=61"))</f>
        <v/>
      </c>
      <c r="I192" s="34" t="str">
        <f aca="false">IF(A192="","",COUNTIFS(請求台帳!$C$5:$C$504,A192,請求台帳!$B$5:$B$504,"&gt;="&amp;チェック!$C$4,請求台帳!$B$5:$B$504,"&lt;="&amp;EOMONTH(チェック!$C$4,0),請求台帳!$T$5:$T$504,"&lt;&gt;取消"))</f>
        <v/>
      </c>
      <c r="J192" s="29" t="str">
        <f aca="false">IF(A192="","",IF(AND(取引先マスタ!G192="有",I192=0),"請求漏れ候補",""))</f>
        <v/>
      </c>
    </row>
    <row r="193" customFormat="false" ht="15" hidden="false" customHeight="false" outlineLevel="0" collapsed="false">
      <c r="A193" s="32" t="str">
        <f aca="false">IF(取引先マスタ!A193="","",取引先マスタ!A193)</f>
        <v/>
      </c>
      <c r="B193" s="32" t="str">
        <f aca="false">IF(A193="","",取引先マスタ!B193)</f>
        <v/>
      </c>
      <c r="C193" s="32" t="str">
        <f aca="false">IF(A193="","",取引先マスタ!J193&amp;"")</f>
        <v/>
      </c>
      <c r="D193" s="26" t="str">
        <f aca="false">IF(A193="","",SUMIFS(請求台帳!$S$5:$S$504,請求台帳!$C$5:$C$504,A193,請求台帳!$T$5:$T$504,"&lt;&gt;取消"))</f>
        <v/>
      </c>
      <c r="E193" s="26" t="str">
        <f aca="false">IF(A193="","",D193-SUM(F193:H193))</f>
        <v/>
      </c>
      <c r="F193" s="26" t="str">
        <f aca="false">IF(A193="","",SUMIFS(請求台帳!$S$5:$S$504,請求台帳!$C$5:$C$504,A193,請求台帳!$V$5:$V$504,"&gt;=1",請求台帳!$V$5:$V$504,"&lt;=30"))</f>
        <v/>
      </c>
      <c r="G193" s="26" t="str">
        <f aca="false">IF(A193="","",SUMIFS(請求台帳!$S$5:$S$504,請求台帳!$C$5:$C$504,A193,請求台帳!$V$5:$V$504,"&gt;=31",請求台帳!$V$5:$V$504,"&lt;=60"))</f>
        <v/>
      </c>
      <c r="H193" s="26" t="str">
        <f aca="false">IF(A193="","",SUMIFS(請求台帳!$S$5:$S$504,請求台帳!$C$5:$C$504,A193,請求台帳!$V$5:$V$504,"&gt;=61"))</f>
        <v/>
      </c>
      <c r="I193" s="34" t="str">
        <f aca="false">IF(A193="","",COUNTIFS(請求台帳!$C$5:$C$504,A193,請求台帳!$B$5:$B$504,"&gt;="&amp;チェック!$C$4,請求台帳!$B$5:$B$504,"&lt;="&amp;EOMONTH(チェック!$C$4,0),請求台帳!$T$5:$T$504,"&lt;&gt;取消"))</f>
        <v/>
      </c>
      <c r="J193" s="29" t="str">
        <f aca="false">IF(A193="","",IF(AND(取引先マスタ!G193="有",I193=0),"請求漏れ候補",""))</f>
        <v/>
      </c>
    </row>
    <row r="194" customFormat="false" ht="15" hidden="false" customHeight="false" outlineLevel="0" collapsed="false">
      <c r="A194" s="32" t="str">
        <f aca="false">IF(取引先マスタ!A194="","",取引先マスタ!A194)</f>
        <v/>
      </c>
      <c r="B194" s="32" t="str">
        <f aca="false">IF(A194="","",取引先マスタ!B194)</f>
        <v/>
      </c>
      <c r="C194" s="32" t="str">
        <f aca="false">IF(A194="","",取引先マスタ!J194&amp;"")</f>
        <v/>
      </c>
      <c r="D194" s="26" t="str">
        <f aca="false">IF(A194="","",SUMIFS(請求台帳!$S$5:$S$504,請求台帳!$C$5:$C$504,A194,請求台帳!$T$5:$T$504,"&lt;&gt;取消"))</f>
        <v/>
      </c>
      <c r="E194" s="26" t="str">
        <f aca="false">IF(A194="","",D194-SUM(F194:H194))</f>
        <v/>
      </c>
      <c r="F194" s="26" t="str">
        <f aca="false">IF(A194="","",SUMIFS(請求台帳!$S$5:$S$504,請求台帳!$C$5:$C$504,A194,請求台帳!$V$5:$V$504,"&gt;=1",請求台帳!$V$5:$V$504,"&lt;=30"))</f>
        <v/>
      </c>
      <c r="G194" s="26" t="str">
        <f aca="false">IF(A194="","",SUMIFS(請求台帳!$S$5:$S$504,請求台帳!$C$5:$C$504,A194,請求台帳!$V$5:$V$504,"&gt;=31",請求台帳!$V$5:$V$504,"&lt;=60"))</f>
        <v/>
      </c>
      <c r="H194" s="26" t="str">
        <f aca="false">IF(A194="","",SUMIFS(請求台帳!$S$5:$S$504,請求台帳!$C$5:$C$504,A194,請求台帳!$V$5:$V$504,"&gt;=61"))</f>
        <v/>
      </c>
      <c r="I194" s="34" t="str">
        <f aca="false">IF(A194="","",COUNTIFS(請求台帳!$C$5:$C$504,A194,請求台帳!$B$5:$B$504,"&gt;="&amp;チェック!$C$4,請求台帳!$B$5:$B$504,"&lt;="&amp;EOMONTH(チェック!$C$4,0),請求台帳!$T$5:$T$504,"&lt;&gt;取消"))</f>
        <v/>
      </c>
      <c r="J194" s="29" t="str">
        <f aca="false">IF(A194="","",IF(AND(取引先マスタ!G194="有",I194=0),"請求漏れ候補",""))</f>
        <v/>
      </c>
    </row>
    <row r="195" customFormat="false" ht="15" hidden="false" customHeight="false" outlineLevel="0" collapsed="false">
      <c r="A195" s="32" t="str">
        <f aca="false">IF(取引先マスタ!A195="","",取引先マスタ!A195)</f>
        <v/>
      </c>
      <c r="B195" s="32" t="str">
        <f aca="false">IF(A195="","",取引先マスタ!B195)</f>
        <v/>
      </c>
      <c r="C195" s="32" t="str">
        <f aca="false">IF(A195="","",取引先マスタ!J195&amp;"")</f>
        <v/>
      </c>
      <c r="D195" s="26" t="str">
        <f aca="false">IF(A195="","",SUMIFS(請求台帳!$S$5:$S$504,請求台帳!$C$5:$C$504,A195,請求台帳!$T$5:$T$504,"&lt;&gt;取消"))</f>
        <v/>
      </c>
      <c r="E195" s="26" t="str">
        <f aca="false">IF(A195="","",D195-SUM(F195:H195))</f>
        <v/>
      </c>
      <c r="F195" s="26" t="str">
        <f aca="false">IF(A195="","",SUMIFS(請求台帳!$S$5:$S$504,請求台帳!$C$5:$C$504,A195,請求台帳!$V$5:$V$504,"&gt;=1",請求台帳!$V$5:$V$504,"&lt;=30"))</f>
        <v/>
      </c>
      <c r="G195" s="26" t="str">
        <f aca="false">IF(A195="","",SUMIFS(請求台帳!$S$5:$S$504,請求台帳!$C$5:$C$504,A195,請求台帳!$V$5:$V$504,"&gt;=31",請求台帳!$V$5:$V$504,"&lt;=60"))</f>
        <v/>
      </c>
      <c r="H195" s="26" t="str">
        <f aca="false">IF(A195="","",SUMIFS(請求台帳!$S$5:$S$504,請求台帳!$C$5:$C$504,A195,請求台帳!$V$5:$V$504,"&gt;=61"))</f>
        <v/>
      </c>
      <c r="I195" s="34" t="str">
        <f aca="false">IF(A195="","",COUNTIFS(請求台帳!$C$5:$C$504,A195,請求台帳!$B$5:$B$504,"&gt;="&amp;チェック!$C$4,請求台帳!$B$5:$B$504,"&lt;="&amp;EOMONTH(チェック!$C$4,0),請求台帳!$T$5:$T$504,"&lt;&gt;取消"))</f>
        <v/>
      </c>
      <c r="J195" s="29" t="str">
        <f aca="false">IF(A195="","",IF(AND(取引先マスタ!G195="有",I195=0),"請求漏れ候補",""))</f>
        <v/>
      </c>
    </row>
    <row r="196" customFormat="false" ht="15" hidden="false" customHeight="false" outlineLevel="0" collapsed="false">
      <c r="A196" s="32" t="str">
        <f aca="false">IF(取引先マスタ!A196="","",取引先マスタ!A196)</f>
        <v/>
      </c>
      <c r="B196" s="32" t="str">
        <f aca="false">IF(A196="","",取引先マスタ!B196)</f>
        <v/>
      </c>
      <c r="C196" s="32" t="str">
        <f aca="false">IF(A196="","",取引先マスタ!J196&amp;"")</f>
        <v/>
      </c>
      <c r="D196" s="26" t="str">
        <f aca="false">IF(A196="","",SUMIFS(請求台帳!$S$5:$S$504,請求台帳!$C$5:$C$504,A196,請求台帳!$T$5:$T$504,"&lt;&gt;取消"))</f>
        <v/>
      </c>
      <c r="E196" s="26" t="str">
        <f aca="false">IF(A196="","",D196-SUM(F196:H196))</f>
        <v/>
      </c>
      <c r="F196" s="26" t="str">
        <f aca="false">IF(A196="","",SUMIFS(請求台帳!$S$5:$S$504,請求台帳!$C$5:$C$504,A196,請求台帳!$V$5:$V$504,"&gt;=1",請求台帳!$V$5:$V$504,"&lt;=30"))</f>
        <v/>
      </c>
      <c r="G196" s="26" t="str">
        <f aca="false">IF(A196="","",SUMIFS(請求台帳!$S$5:$S$504,請求台帳!$C$5:$C$504,A196,請求台帳!$V$5:$V$504,"&gt;=31",請求台帳!$V$5:$V$504,"&lt;=60"))</f>
        <v/>
      </c>
      <c r="H196" s="26" t="str">
        <f aca="false">IF(A196="","",SUMIFS(請求台帳!$S$5:$S$504,請求台帳!$C$5:$C$504,A196,請求台帳!$V$5:$V$504,"&gt;=61"))</f>
        <v/>
      </c>
      <c r="I196" s="34" t="str">
        <f aca="false">IF(A196="","",COUNTIFS(請求台帳!$C$5:$C$504,A196,請求台帳!$B$5:$B$504,"&gt;="&amp;チェック!$C$4,請求台帳!$B$5:$B$504,"&lt;="&amp;EOMONTH(チェック!$C$4,0),請求台帳!$T$5:$T$504,"&lt;&gt;取消"))</f>
        <v/>
      </c>
      <c r="J196" s="29" t="str">
        <f aca="false">IF(A196="","",IF(AND(取引先マスタ!G196="有",I196=0),"請求漏れ候補",""))</f>
        <v/>
      </c>
    </row>
    <row r="197" customFormat="false" ht="15" hidden="false" customHeight="false" outlineLevel="0" collapsed="false">
      <c r="A197" s="32" t="str">
        <f aca="false">IF(取引先マスタ!A197="","",取引先マスタ!A197)</f>
        <v/>
      </c>
      <c r="B197" s="32" t="str">
        <f aca="false">IF(A197="","",取引先マスタ!B197)</f>
        <v/>
      </c>
      <c r="C197" s="32" t="str">
        <f aca="false">IF(A197="","",取引先マスタ!J197&amp;"")</f>
        <v/>
      </c>
      <c r="D197" s="26" t="str">
        <f aca="false">IF(A197="","",SUMIFS(請求台帳!$S$5:$S$504,請求台帳!$C$5:$C$504,A197,請求台帳!$T$5:$T$504,"&lt;&gt;取消"))</f>
        <v/>
      </c>
      <c r="E197" s="26" t="str">
        <f aca="false">IF(A197="","",D197-SUM(F197:H197))</f>
        <v/>
      </c>
      <c r="F197" s="26" t="str">
        <f aca="false">IF(A197="","",SUMIFS(請求台帳!$S$5:$S$504,請求台帳!$C$5:$C$504,A197,請求台帳!$V$5:$V$504,"&gt;=1",請求台帳!$V$5:$V$504,"&lt;=30"))</f>
        <v/>
      </c>
      <c r="G197" s="26" t="str">
        <f aca="false">IF(A197="","",SUMIFS(請求台帳!$S$5:$S$504,請求台帳!$C$5:$C$504,A197,請求台帳!$V$5:$V$504,"&gt;=31",請求台帳!$V$5:$V$504,"&lt;=60"))</f>
        <v/>
      </c>
      <c r="H197" s="26" t="str">
        <f aca="false">IF(A197="","",SUMIFS(請求台帳!$S$5:$S$504,請求台帳!$C$5:$C$504,A197,請求台帳!$V$5:$V$504,"&gt;=61"))</f>
        <v/>
      </c>
      <c r="I197" s="34" t="str">
        <f aca="false">IF(A197="","",COUNTIFS(請求台帳!$C$5:$C$504,A197,請求台帳!$B$5:$B$504,"&gt;="&amp;チェック!$C$4,請求台帳!$B$5:$B$504,"&lt;="&amp;EOMONTH(チェック!$C$4,0),請求台帳!$T$5:$T$504,"&lt;&gt;取消"))</f>
        <v/>
      </c>
      <c r="J197" s="29" t="str">
        <f aca="false">IF(A197="","",IF(AND(取引先マスタ!G197="有",I197=0),"請求漏れ候補",""))</f>
        <v/>
      </c>
    </row>
    <row r="198" customFormat="false" ht="15" hidden="false" customHeight="false" outlineLevel="0" collapsed="false">
      <c r="A198" s="32" t="str">
        <f aca="false">IF(取引先マスタ!A198="","",取引先マスタ!A198)</f>
        <v/>
      </c>
      <c r="B198" s="32" t="str">
        <f aca="false">IF(A198="","",取引先マスタ!B198)</f>
        <v/>
      </c>
      <c r="C198" s="32" t="str">
        <f aca="false">IF(A198="","",取引先マスタ!J198&amp;"")</f>
        <v/>
      </c>
      <c r="D198" s="26" t="str">
        <f aca="false">IF(A198="","",SUMIFS(請求台帳!$S$5:$S$504,請求台帳!$C$5:$C$504,A198,請求台帳!$T$5:$T$504,"&lt;&gt;取消"))</f>
        <v/>
      </c>
      <c r="E198" s="26" t="str">
        <f aca="false">IF(A198="","",D198-SUM(F198:H198))</f>
        <v/>
      </c>
      <c r="F198" s="26" t="str">
        <f aca="false">IF(A198="","",SUMIFS(請求台帳!$S$5:$S$504,請求台帳!$C$5:$C$504,A198,請求台帳!$V$5:$V$504,"&gt;=1",請求台帳!$V$5:$V$504,"&lt;=30"))</f>
        <v/>
      </c>
      <c r="G198" s="26" t="str">
        <f aca="false">IF(A198="","",SUMIFS(請求台帳!$S$5:$S$504,請求台帳!$C$5:$C$504,A198,請求台帳!$V$5:$V$504,"&gt;=31",請求台帳!$V$5:$V$504,"&lt;=60"))</f>
        <v/>
      </c>
      <c r="H198" s="26" t="str">
        <f aca="false">IF(A198="","",SUMIFS(請求台帳!$S$5:$S$504,請求台帳!$C$5:$C$504,A198,請求台帳!$V$5:$V$504,"&gt;=61"))</f>
        <v/>
      </c>
      <c r="I198" s="34" t="str">
        <f aca="false">IF(A198="","",COUNTIFS(請求台帳!$C$5:$C$504,A198,請求台帳!$B$5:$B$504,"&gt;="&amp;チェック!$C$4,請求台帳!$B$5:$B$504,"&lt;="&amp;EOMONTH(チェック!$C$4,0),請求台帳!$T$5:$T$504,"&lt;&gt;取消"))</f>
        <v/>
      </c>
      <c r="J198" s="29" t="str">
        <f aca="false">IF(A198="","",IF(AND(取引先マスタ!G198="有",I198=0),"請求漏れ候補",""))</f>
        <v/>
      </c>
    </row>
    <row r="199" customFormat="false" ht="15" hidden="false" customHeight="false" outlineLevel="0" collapsed="false">
      <c r="A199" s="32" t="str">
        <f aca="false">IF(取引先マスタ!A199="","",取引先マスタ!A199)</f>
        <v/>
      </c>
      <c r="B199" s="32" t="str">
        <f aca="false">IF(A199="","",取引先マスタ!B199)</f>
        <v/>
      </c>
      <c r="C199" s="32" t="str">
        <f aca="false">IF(A199="","",取引先マスタ!J199&amp;"")</f>
        <v/>
      </c>
      <c r="D199" s="26" t="str">
        <f aca="false">IF(A199="","",SUMIFS(請求台帳!$S$5:$S$504,請求台帳!$C$5:$C$504,A199,請求台帳!$T$5:$T$504,"&lt;&gt;取消"))</f>
        <v/>
      </c>
      <c r="E199" s="26" t="str">
        <f aca="false">IF(A199="","",D199-SUM(F199:H199))</f>
        <v/>
      </c>
      <c r="F199" s="26" t="str">
        <f aca="false">IF(A199="","",SUMIFS(請求台帳!$S$5:$S$504,請求台帳!$C$5:$C$504,A199,請求台帳!$V$5:$V$504,"&gt;=1",請求台帳!$V$5:$V$504,"&lt;=30"))</f>
        <v/>
      </c>
      <c r="G199" s="26" t="str">
        <f aca="false">IF(A199="","",SUMIFS(請求台帳!$S$5:$S$504,請求台帳!$C$5:$C$504,A199,請求台帳!$V$5:$V$504,"&gt;=31",請求台帳!$V$5:$V$504,"&lt;=60"))</f>
        <v/>
      </c>
      <c r="H199" s="26" t="str">
        <f aca="false">IF(A199="","",SUMIFS(請求台帳!$S$5:$S$504,請求台帳!$C$5:$C$504,A199,請求台帳!$V$5:$V$504,"&gt;=61"))</f>
        <v/>
      </c>
      <c r="I199" s="34" t="str">
        <f aca="false">IF(A199="","",COUNTIFS(請求台帳!$C$5:$C$504,A199,請求台帳!$B$5:$B$504,"&gt;="&amp;チェック!$C$4,請求台帳!$B$5:$B$504,"&lt;="&amp;EOMONTH(チェック!$C$4,0),請求台帳!$T$5:$T$504,"&lt;&gt;取消"))</f>
        <v/>
      </c>
      <c r="J199" s="29" t="str">
        <f aca="false">IF(A199="","",IF(AND(取引先マスタ!G199="有",I199=0),"請求漏れ候補",""))</f>
        <v/>
      </c>
    </row>
    <row r="200" customFormat="false" ht="15" hidden="false" customHeight="false" outlineLevel="0" collapsed="false">
      <c r="A200" s="32" t="str">
        <f aca="false">IF(取引先マスタ!A200="","",取引先マスタ!A200)</f>
        <v/>
      </c>
      <c r="B200" s="32" t="str">
        <f aca="false">IF(A200="","",取引先マスタ!B200)</f>
        <v/>
      </c>
      <c r="C200" s="32" t="str">
        <f aca="false">IF(A200="","",取引先マスタ!J200&amp;"")</f>
        <v/>
      </c>
      <c r="D200" s="26" t="str">
        <f aca="false">IF(A200="","",SUMIFS(請求台帳!$S$5:$S$504,請求台帳!$C$5:$C$504,A200,請求台帳!$T$5:$T$504,"&lt;&gt;取消"))</f>
        <v/>
      </c>
      <c r="E200" s="26" t="str">
        <f aca="false">IF(A200="","",D200-SUM(F200:H200))</f>
        <v/>
      </c>
      <c r="F200" s="26" t="str">
        <f aca="false">IF(A200="","",SUMIFS(請求台帳!$S$5:$S$504,請求台帳!$C$5:$C$504,A200,請求台帳!$V$5:$V$504,"&gt;=1",請求台帳!$V$5:$V$504,"&lt;=30"))</f>
        <v/>
      </c>
      <c r="G200" s="26" t="str">
        <f aca="false">IF(A200="","",SUMIFS(請求台帳!$S$5:$S$504,請求台帳!$C$5:$C$504,A200,請求台帳!$V$5:$V$504,"&gt;=31",請求台帳!$V$5:$V$504,"&lt;=60"))</f>
        <v/>
      </c>
      <c r="H200" s="26" t="str">
        <f aca="false">IF(A200="","",SUMIFS(請求台帳!$S$5:$S$504,請求台帳!$C$5:$C$504,A200,請求台帳!$V$5:$V$504,"&gt;=61"))</f>
        <v/>
      </c>
      <c r="I200" s="34" t="str">
        <f aca="false">IF(A200="","",COUNTIFS(請求台帳!$C$5:$C$504,A200,請求台帳!$B$5:$B$504,"&gt;="&amp;チェック!$C$4,請求台帳!$B$5:$B$504,"&lt;="&amp;EOMONTH(チェック!$C$4,0),請求台帳!$T$5:$T$504,"&lt;&gt;取消"))</f>
        <v/>
      </c>
      <c r="J200" s="29" t="str">
        <f aca="false">IF(A200="","",IF(AND(取引先マスタ!G200="有",I200=0),"請求漏れ候補",""))</f>
        <v/>
      </c>
    </row>
    <row r="201" customFormat="false" ht="15" hidden="false" customHeight="false" outlineLevel="0" collapsed="false">
      <c r="A201" s="32" t="str">
        <f aca="false">IF(取引先マスタ!A201="","",取引先マスタ!A201)</f>
        <v/>
      </c>
      <c r="B201" s="32" t="str">
        <f aca="false">IF(A201="","",取引先マスタ!B201)</f>
        <v/>
      </c>
      <c r="C201" s="32" t="str">
        <f aca="false">IF(A201="","",取引先マスタ!J201&amp;"")</f>
        <v/>
      </c>
      <c r="D201" s="26" t="str">
        <f aca="false">IF(A201="","",SUMIFS(請求台帳!$S$5:$S$504,請求台帳!$C$5:$C$504,A201,請求台帳!$T$5:$T$504,"&lt;&gt;取消"))</f>
        <v/>
      </c>
      <c r="E201" s="26" t="str">
        <f aca="false">IF(A201="","",D201-SUM(F201:H201))</f>
        <v/>
      </c>
      <c r="F201" s="26" t="str">
        <f aca="false">IF(A201="","",SUMIFS(請求台帳!$S$5:$S$504,請求台帳!$C$5:$C$504,A201,請求台帳!$V$5:$V$504,"&gt;=1",請求台帳!$V$5:$V$504,"&lt;=30"))</f>
        <v/>
      </c>
      <c r="G201" s="26" t="str">
        <f aca="false">IF(A201="","",SUMIFS(請求台帳!$S$5:$S$504,請求台帳!$C$5:$C$504,A201,請求台帳!$V$5:$V$504,"&gt;=31",請求台帳!$V$5:$V$504,"&lt;=60"))</f>
        <v/>
      </c>
      <c r="H201" s="26" t="str">
        <f aca="false">IF(A201="","",SUMIFS(請求台帳!$S$5:$S$504,請求台帳!$C$5:$C$504,A201,請求台帳!$V$5:$V$504,"&gt;=61"))</f>
        <v/>
      </c>
      <c r="I201" s="34" t="str">
        <f aca="false">IF(A201="","",COUNTIFS(請求台帳!$C$5:$C$504,A201,請求台帳!$B$5:$B$504,"&gt;="&amp;チェック!$C$4,請求台帳!$B$5:$B$504,"&lt;="&amp;EOMONTH(チェック!$C$4,0),請求台帳!$T$5:$T$504,"&lt;&gt;取消"))</f>
        <v/>
      </c>
      <c r="J201" s="29" t="str">
        <f aca="false">IF(A201="","",IF(AND(取引先マスタ!G201="有",I201=0),"請求漏れ候補",""))</f>
        <v/>
      </c>
    </row>
    <row r="202" customFormat="false" ht="15" hidden="false" customHeight="false" outlineLevel="0" collapsed="false">
      <c r="A202" s="32" t="str">
        <f aca="false">IF(取引先マスタ!A202="","",取引先マスタ!A202)</f>
        <v/>
      </c>
      <c r="B202" s="32" t="str">
        <f aca="false">IF(A202="","",取引先マスタ!B202)</f>
        <v/>
      </c>
      <c r="C202" s="32" t="str">
        <f aca="false">IF(A202="","",取引先マスタ!J202&amp;"")</f>
        <v/>
      </c>
      <c r="D202" s="26" t="str">
        <f aca="false">IF(A202="","",SUMIFS(請求台帳!$S$5:$S$504,請求台帳!$C$5:$C$504,A202,請求台帳!$T$5:$T$504,"&lt;&gt;取消"))</f>
        <v/>
      </c>
      <c r="E202" s="26" t="str">
        <f aca="false">IF(A202="","",D202-SUM(F202:H202))</f>
        <v/>
      </c>
      <c r="F202" s="26" t="str">
        <f aca="false">IF(A202="","",SUMIFS(請求台帳!$S$5:$S$504,請求台帳!$C$5:$C$504,A202,請求台帳!$V$5:$V$504,"&gt;=1",請求台帳!$V$5:$V$504,"&lt;=30"))</f>
        <v/>
      </c>
      <c r="G202" s="26" t="str">
        <f aca="false">IF(A202="","",SUMIFS(請求台帳!$S$5:$S$504,請求台帳!$C$5:$C$504,A202,請求台帳!$V$5:$V$504,"&gt;=31",請求台帳!$V$5:$V$504,"&lt;=60"))</f>
        <v/>
      </c>
      <c r="H202" s="26" t="str">
        <f aca="false">IF(A202="","",SUMIFS(請求台帳!$S$5:$S$504,請求台帳!$C$5:$C$504,A202,請求台帳!$V$5:$V$504,"&gt;=61"))</f>
        <v/>
      </c>
      <c r="I202" s="34" t="str">
        <f aca="false">IF(A202="","",COUNTIFS(請求台帳!$C$5:$C$504,A202,請求台帳!$B$5:$B$504,"&gt;="&amp;チェック!$C$4,請求台帳!$B$5:$B$504,"&lt;="&amp;EOMONTH(チェック!$C$4,0),請求台帳!$T$5:$T$504,"&lt;&gt;取消"))</f>
        <v/>
      </c>
      <c r="J202" s="29" t="str">
        <f aca="false">IF(A202="","",IF(AND(取引先マスタ!G202="有",I202=0),"請求漏れ候補",""))</f>
        <v/>
      </c>
    </row>
    <row r="203" customFormat="false" ht="15" hidden="false" customHeight="false" outlineLevel="0" collapsed="false">
      <c r="A203" s="32" t="str">
        <f aca="false">IF(取引先マスタ!A203="","",取引先マスタ!A203)</f>
        <v/>
      </c>
      <c r="B203" s="32" t="str">
        <f aca="false">IF(A203="","",取引先マスタ!B203)</f>
        <v/>
      </c>
      <c r="C203" s="32" t="str">
        <f aca="false">IF(A203="","",取引先マスタ!J203&amp;"")</f>
        <v/>
      </c>
      <c r="D203" s="26" t="str">
        <f aca="false">IF(A203="","",SUMIFS(請求台帳!$S$5:$S$504,請求台帳!$C$5:$C$504,A203,請求台帳!$T$5:$T$504,"&lt;&gt;取消"))</f>
        <v/>
      </c>
      <c r="E203" s="26" t="str">
        <f aca="false">IF(A203="","",D203-SUM(F203:H203))</f>
        <v/>
      </c>
      <c r="F203" s="26" t="str">
        <f aca="false">IF(A203="","",SUMIFS(請求台帳!$S$5:$S$504,請求台帳!$C$5:$C$504,A203,請求台帳!$V$5:$V$504,"&gt;=1",請求台帳!$V$5:$V$504,"&lt;=30"))</f>
        <v/>
      </c>
      <c r="G203" s="26" t="str">
        <f aca="false">IF(A203="","",SUMIFS(請求台帳!$S$5:$S$504,請求台帳!$C$5:$C$504,A203,請求台帳!$V$5:$V$504,"&gt;=31",請求台帳!$V$5:$V$504,"&lt;=60"))</f>
        <v/>
      </c>
      <c r="H203" s="26" t="str">
        <f aca="false">IF(A203="","",SUMIFS(請求台帳!$S$5:$S$504,請求台帳!$C$5:$C$504,A203,請求台帳!$V$5:$V$504,"&gt;=61"))</f>
        <v/>
      </c>
      <c r="I203" s="34" t="str">
        <f aca="false">IF(A203="","",COUNTIFS(請求台帳!$C$5:$C$504,A203,請求台帳!$B$5:$B$504,"&gt;="&amp;チェック!$C$4,請求台帳!$B$5:$B$504,"&lt;="&amp;EOMONTH(チェック!$C$4,0),請求台帳!$T$5:$T$504,"&lt;&gt;取消"))</f>
        <v/>
      </c>
      <c r="J203" s="29" t="str">
        <f aca="false">IF(A203="","",IF(AND(取引先マスタ!G203="有",I203=0),"請求漏れ候補",""))</f>
        <v/>
      </c>
    </row>
    <row r="204" customFormat="false" ht="15" hidden="false" customHeight="false" outlineLevel="0" collapsed="false">
      <c r="A204" s="32" t="str">
        <f aca="false">IF(取引先マスタ!A204="","",取引先マスタ!A204)</f>
        <v/>
      </c>
      <c r="B204" s="32" t="str">
        <f aca="false">IF(A204="","",取引先マスタ!B204)</f>
        <v/>
      </c>
      <c r="C204" s="32" t="str">
        <f aca="false">IF(A204="","",取引先マスタ!J204&amp;"")</f>
        <v/>
      </c>
      <c r="D204" s="26" t="str">
        <f aca="false">IF(A204="","",SUMIFS(請求台帳!$S$5:$S$504,請求台帳!$C$5:$C$504,A204,請求台帳!$T$5:$T$504,"&lt;&gt;取消"))</f>
        <v/>
      </c>
      <c r="E204" s="26" t="str">
        <f aca="false">IF(A204="","",D204-SUM(F204:H204))</f>
        <v/>
      </c>
      <c r="F204" s="26" t="str">
        <f aca="false">IF(A204="","",SUMIFS(請求台帳!$S$5:$S$504,請求台帳!$C$5:$C$504,A204,請求台帳!$V$5:$V$504,"&gt;=1",請求台帳!$V$5:$V$504,"&lt;=30"))</f>
        <v/>
      </c>
      <c r="G204" s="26" t="str">
        <f aca="false">IF(A204="","",SUMIFS(請求台帳!$S$5:$S$504,請求台帳!$C$5:$C$504,A204,請求台帳!$V$5:$V$504,"&gt;=31",請求台帳!$V$5:$V$504,"&lt;=60"))</f>
        <v/>
      </c>
      <c r="H204" s="26" t="str">
        <f aca="false">IF(A204="","",SUMIFS(請求台帳!$S$5:$S$504,請求台帳!$C$5:$C$504,A204,請求台帳!$V$5:$V$504,"&gt;=61"))</f>
        <v/>
      </c>
      <c r="I204" s="34" t="str">
        <f aca="false">IF(A204="","",COUNTIFS(請求台帳!$C$5:$C$504,A204,請求台帳!$B$5:$B$504,"&gt;="&amp;チェック!$C$4,請求台帳!$B$5:$B$504,"&lt;="&amp;EOMONTH(チェック!$C$4,0),請求台帳!$T$5:$T$504,"&lt;&gt;取消"))</f>
        <v/>
      </c>
      <c r="J204" s="29" t="str">
        <f aca="false">IF(A204="","",IF(AND(取引先マスタ!G204="有",I204=0),"請求漏れ候補",""))</f>
        <v/>
      </c>
    </row>
    <row r="205" customFormat="false" ht="15" hidden="false" customHeight="false" outlineLevel="0" collapsed="false">
      <c r="B205" s="10" t="s">
        <v>187</v>
      </c>
      <c r="D205" s="33" t="n">
        <f aca="false">SUM(D5:D204)</f>
        <v>349300</v>
      </c>
      <c r="E205" s="33" t="n">
        <f aca="false">SUM(E5:E204)</f>
        <v>184300</v>
      </c>
      <c r="F205" s="33" t="n">
        <f aca="false">SUM(F5:F204)</f>
        <v>0</v>
      </c>
      <c r="G205" s="33" t="n">
        <f aca="false">SUM(G5:G204)</f>
        <v>165000</v>
      </c>
      <c r="H205" s="33" t="n">
        <f aca="false">SUM(H5:H204)</f>
        <v>0</v>
      </c>
    </row>
  </sheetData>
  <sheetProtection sheet="true" formatCells="false" formatColumns="false" formatRows="false" autoFilter="false"/>
  <conditionalFormatting sqref="J5:J204">
    <cfRule type="expression" priority="2" aboveAverage="0" equalAverage="0" bottom="0" percent="0" rank="0" text="" dxfId="0">
      <formula>$J5="請求漏れ候補"</formula>
    </cfRule>
  </conditionalFormatting>
  <conditionalFormatting sqref="F5:F204">
    <cfRule type="expression" priority="3" aboveAverage="0" equalAverage="0" bottom="0" percent="0" rank="0" text="" dxfId="25">
      <formula>N($F5)&gt;0</formula>
    </cfRule>
  </conditionalFormatting>
  <conditionalFormatting sqref="G5:G204">
    <cfRule type="expression" priority="4" aboveAverage="0" equalAverage="0" bottom="0" percent="0" rank="0" text="" dxfId="25">
      <formula>N($G5)&gt;0</formula>
    </cfRule>
  </conditionalFormatting>
  <conditionalFormatting sqref="H5:H204">
    <cfRule type="expression" priority="5" aboveAverage="0" equalAverage="0" bottom="0" percent="0" rank="0" text="" dxfId="25">
      <formula>N($H5)&gt;0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195</v>
      </c>
    </row>
    <row r="4" customFormat="false" ht="31.5" hidden="false" customHeight="true" outlineLevel="0" collapsed="false">
      <c r="A4" s="13" t="s">
        <v>120</v>
      </c>
      <c r="B4" s="13" t="s">
        <v>121</v>
      </c>
      <c r="C4" s="13" t="s">
        <v>196</v>
      </c>
      <c r="D4" s="13" t="s">
        <v>197</v>
      </c>
      <c r="E4" s="13" t="s">
        <v>198</v>
      </c>
      <c r="F4" s="13" t="s">
        <v>199</v>
      </c>
      <c r="G4" s="13" t="s">
        <v>200</v>
      </c>
      <c r="H4" s="13" t="s">
        <v>201</v>
      </c>
      <c r="I4" s="13" t="s">
        <v>202</v>
      </c>
      <c r="J4" s="13" t="s">
        <v>188</v>
      </c>
      <c r="K4" s="13" t="s">
        <v>141</v>
      </c>
      <c r="L4" s="20" t="s">
        <v>203</v>
      </c>
    </row>
    <row r="5" customFormat="false" ht="15" hidden="false" customHeight="false" outlineLevel="0" collapsed="false">
      <c r="A5" s="23" t="s">
        <v>142</v>
      </c>
      <c r="B5" s="28" t="s">
        <v>204</v>
      </c>
      <c r="C5" s="28" t="s">
        <v>174</v>
      </c>
      <c r="D5" s="28" t="s">
        <v>205</v>
      </c>
      <c r="E5" s="35" t="n">
        <v>1</v>
      </c>
      <c r="F5" s="35" t="n">
        <v>31</v>
      </c>
      <c r="G5" s="28" t="s">
        <v>206</v>
      </c>
      <c r="H5" s="28" t="s">
        <v>144</v>
      </c>
      <c r="I5" s="24" t="s">
        <v>207</v>
      </c>
      <c r="J5" s="28" t="s">
        <v>208</v>
      </c>
      <c r="K5" s="28" t="s">
        <v>209</v>
      </c>
      <c r="L5" s="29" t="str">
        <f aca="false">IF(A5="","",IF(COUNTIF($A$5:$A$204,A5)&gt;1,"コード重複",""))</f>
        <v/>
      </c>
    </row>
    <row r="6" customFormat="false" ht="15" hidden="false" customHeight="false" outlineLevel="0" collapsed="false">
      <c r="A6" s="23" t="s">
        <v>148</v>
      </c>
      <c r="B6" s="28" t="s">
        <v>210</v>
      </c>
      <c r="C6" s="28" t="s">
        <v>178</v>
      </c>
      <c r="D6" s="28" t="s">
        <v>205</v>
      </c>
      <c r="E6" s="35" t="n">
        <v>2</v>
      </c>
      <c r="F6" s="35" t="n">
        <v>10</v>
      </c>
      <c r="G6" s="28" t="s">
        <v>211</v>
      </c>
      <c r="H6" s="28" t="s">
        <v>150</v>
      </c>
      <c r="I6" s="28" t="s">
        <v>212</v>
      </c>
      <c r="J6" s="28" t="s">
        <v>213</v>
      </c>
      <c r="K6" s="28" t="s">
        <v>209</v>
      </c>
      <c r="L6" s="29" t="str">
        <f aca="false">IF(A6="","",IF(COUNTIF($A$5:$A$204,A6)&gt;1,"コード重複",""))</f>
        <v/>
      </c>
    </row>
    <row r="7" customFormat="false" ht="15" hidden="false" customHeight="false" outlineLevel="0" collapsed="false">
      <c r="A7" s="23" t="s">
        <v>154</v>
      </c>
      <c r="B7" s="28" t="s">
        <v>214</v>
      </c>
      <c r="C7" s="28" t="s">
        <v>181</v>
      </c>
      <c r="D7" s="24" t="s">
        <v>215</v>
      </c>
      <c r="E7" s="35" t="n">
        <v>1</v>
      </c>
      <c r="F7" s="35" t="n">
        <v>31</v>
      </c>
      <c r="G7" s="28" t="s">
        <v>206</v>
      </c>
      <c r="H7" s="28" t="s">
        <v>156</v>
      </c>
      <c r="I7" s="28"/>
      <c r="J7" s="28" t="s">
        <v>208</v>
      </c>
      <c r="K7" s="28" t="s">
        <v>209</v>
      </c>
      <c r="L7" s="29" t="str">
        <f aca="false">IF(A7="","",IF(COUNTIF($A$5:$A$204,A7)&gt;1,"コード重複",""))</f>
        <v/>
      </c>
    </row>
    <row r="8" customFormat="false" ht="15" hidden="false" customHeight="false" outlineLevel="0" collapsed="false">
      <c r="A8" s="23"/>
      <c r="B8" s="28"/>
      <c r="C8" s="28"/>
      <c r="D8" s="28"/>
      <c r="E8" s="35"/>
      <c r="F8" s="35"/>
      <c r="G8" s="28"/>
      <c r="H8" s="28"/>
      <c r="I8" s="28"/>
      <c r="J8" s="28"/>
      <c r="K8" s="28"/>
      <c r="L8" s="29" t="str">
        <f aca="false">IF(A8="","",IF(COUNTIF($A$5:$A$204,A8)&gt;1,"コード重複",""))</f>
        <v/>
      </c>
    </row>
    <row r="9" customFormat="false" ht="15" hidden="false" customHeight="false" outlineLevel="0" collapsed="false">
      <c r="A9" s="23"/>
      <c r="B9" s="28"/>
      <c r="C9" s="28"/>
      <c r="D9" s="28"/>
      <c r="E9" s="35"/>
      <c r="F9" s="35"/>
      <c r="G9" s="28"/>
      <c r="H9" s="28"/>
      <c r="I9" s="28"/>
      <c r="J9" s="28"/>
      <c r="K9" s="28"/>
      <c r="L9" s="29" t="str">
        <f aca="false">IF(A9="","",IF(COUNTIF($A$5:$A$204,A9)&gt;1,"コード重複",""))</f>
        <v/>
      </c>
    </row>
    <row r="10" customFormat="false" ht="15" hidden="false" customHeight="false" outlineLevel="0" collapsed="false">
      <c r="A10" s="23"/>
      <c r="B10" s="28"/>
      <c r="C10" s="28"/>
      <c r="D10" s="28"/>
      <c r="E10" s="35"/>
      <c r="F10" s="35"/>
      <c r="G10" s="28"/>
      <c r="H10" s="28"/>
      <c r="I10" s="28"/>
      <c r="J10" s="28"/>
      <c r="K10" s="28"/>
      <c r="L10" s="29" t="str">
        <f aca="false">IF(A10="","",IF(COUNTIF($A$5:$A$204,A10)&gt;1,"コード重複",""))</f>
        <v/>
      </c>
    </row>
    <row r="11" customFormat="false" ht="15" hidden="false" customHeight="false" outlineLevel="0" collapsed="false">
      <c r="A11" s="23"/>
      <c r="B11" s="28"/>
      <c r="C11" s="28"/>
      <c r="D11" s="28"/>
      <c r="E11" s="35"/>
      <c r="F11" s="35"/>
      <c r="G11" s="28"/>
      <c r="H11" s="28"/>
      <c r="I11" s="28"/>
      <c r="J11" s="28"/>
      <c r="K11" s="28"/>
      <c r="L11" s="29" t="str">
        <f aca="false">IF(A11="","",IF(COUNTIF($A$5:$A$204,A11)&gt;1,"コード重複",""))</f>
        <v/>
      </c>
    </row>
    <row r="12" customFormat="false" ht="15" hidden="false" customHeight="false" outlineLevel="0" collapsed="false">
      <c r="A12" s="23"/>
      <c r="B12" s="28"/>
      <c r="C12" s="28"/>
      <c r="D12" s="28"/>
      <c r="E12" s="35"/>
      <c r="F12" s="35"/>
      <c r="G12" s="28"/>
      <c r="H12" s="28"/>
      <c r="I12" s="28"/>
      <c r="J12" s="28"/>
      <c r="K12" s="28"/>
      <c r="L12" s="29" t="str">
        <f aca="false">IF(A12="","",IF(COUNTIF($A$5:$A$204,A12)&gt;1,"コード重複",""))</f>
        <v/>
      </c>
    </row>
    <row r="13" customFormat="false" ht="15" hidden="false" customHeight="false" outlineLevel="0" collapsed="false">
      <c r="A13" s="23"/>
      <c r="B13" s="28"/>
      <c r="C13" s="28"/>
      <c r="D13" s="28"/>
      <c r="E13" s="35"/>
      <c r="F13" s="35"/>
      <c r="G13" s="28"/>
      <c r="H13" s="28"/>
      <c r="I13" s="28"/>
      <c r="J13" s="28"/>
      <c r="K13" s="28"/>
      <c r="L13" s="29" t="str">
        <f aca="false">IF(A13="","",IF(COUNTIF($A$5:$A$204,A13)&gt;1,"コード重複",""))</f>
        <v/>
      </c>
    </row>
    <row r="14" customFormat="false" ht="15" hidden="false" customHeight="false" outlineLevel="0" collapsed="false">
      <c r="A14" s="23"/>
      <c r="B14" s="28"/>
      <c r="C14" s="28"/>
      <c r="D14" s="28"/>
      <c r="E14" s="35"/>
      <c r="F14" s="35"/>
      <c r="G14" s="28"/>
      <c r="H14" s="28"/>
      <c r="I14" s="28"/>
      <c r="J14" s="28"/>
      <c r="K14" s="28"/>
      <c r="L14" s="29" t="str">
        <f aca="false">IF(A14="","",IF(COUNTIF($A$5:$A$204,A14)&gt;1,"コード重複",""))</f>
        <v/>
      </c>
    </row>
    <row r="15" customFormat="false" ht="15" hidden="false" customHeight="false" outlineLevel="0" collapsed="false">
      <c r="A15" s="23"/>
      <c r="B15" s="28"/>
      <c r="C15" s="28"/>
      <c r="D15" s="28"/>
      <c r="E15" s="35"/>
      <c r="F15" s="35"/>
      <c r="G15" s="28"/>
      <c r="H15" s="28"/>
      <c r="I15" s="28"/>
      <c r="J15" s="28"/>
      <c r="K15" s="28"/>
      <c r="L15" s="29" t="str">
        <f aca="false">IF(A15="","",IF(COUNTIF($A$5:$A$204,A15)&gt;1,"コード重複",""))</f>
        <v/>
      </c>
    </row>
    <row r="16" customFormat="false" ht="15" hidden="false" customHeight="false" outlineLevel="0" collapsed="false">
      <c r="A16" s="23"/>
      <c r="B16" s="28"/>
      <c r="C16" s="28"/>
      <c r="D16" s="28"/>
      <c r="E16" s="35"/>
      <c r="F16" s="35"/>
      <c r="G16" s="28"/>
      <c r="H16" s="28"/>
      <c r="I16" s="28"/>
      <c r="J16" s="28"/>
      <c r="K16" s="28"/>
      <c r="L16" s="29" t="str">
        <f aca="false">IF(A16="","",IF(COUNTIF($A$5:$A$204,A16)&gt;1,"コード重複",""))</f>
        <v/>
      </c>
    </row>
    <row r="17" customFormat="false" ht="15" hidden="false" customHeight="false" outlineLevel="0" collapsed="false">
      <c r="A17" s="23"/>
      <c r="B17" s="28"/>
      <c r="C17" s="28"/>
      <c r="D17" s="28"/>
      <c r="E17" s="35"/>
      <c r="F17" s="35"/>
      <c r="G17" s="28"/>
      <c r="H17" s="28"/>
      <c r="I17" s="28"/>
      <c r="J17" s="28"/>
      <c r="K17" s="28"/>
      <c r="L17" s="29" t="str">
        <f aca="false">IF(A17="","",IF(COUNTIF($A$5:$A$204,A17)&gt;1,"コード重複",""))</f>
        <v/>
      </c>
    </row>
    <row r="18" customFormat="false" ht="15" hidden="false" customHeight="false" outlineLevel="0" collapsed="false">
      <c r="A18" s="23"/>
      <c r="B18" s="28"/>
      <c r="C18" s="28"/>
      <c r="D18" s="28"/>
      <c r="E18" s="35"/>
      <c r="F18" s="35"/>
      <c r="G18" s="28"/>
      <c r="H18" s="28"/>
      <c r="I18" s="28"/>
      <c r="J18" s="28"/>
      <c r="K18" s="28"/>
      <c r="L18" s="29" t="str">
        <f aca="false">IF(A18="","",IF(COUNTIF($A$5:$A$204,A18)&gt;1,"コード重複",""))</f>
        <v/>
      </c>
    </row>
    <row r="19" customFormat="false" ht="15" hidden="false" customHeight="false" outlineLevel="0" collapsed="false">
      <c r="A19" s="23"/>
      <c r="B19" s="28"/>
      <c r="C19" s="28"/>
      <c r="D19" s="28"/>
      <c r="E19" s="35"/>
      <c r="F19" s="35"/>
      <c r="G19" s="28"/>
      <c r="H19" s="28"/>
      <c r="I19" s="28"/>
      <c r="J19" s="28"/>
      <c r="K19" s="28"/>
      <c r="L19" s="29" t="str">
        <f aca="false">IF(A19="","",IF(COUNTIF($A$5:$A$204,A19)&gt;1,"コード重複",""))</f>
        <v/>
      </c>
    </row>
    <row r="20" customFormat="false" ht="15" hidden="false" customHeight="false" outlineLevel="0" collapsed="false">
      <c r="A20" s="23"/>
      <c r="B20" s="28"/>
      <c r="C20" s="28"/>
      <c r="D20" s="28"/>
      <c r="E20" s="35"/>
      <c r="F20" s="35"/>
      <c r="G20" s="28"/>
      <c r="H20" s="28"/>
      <c r="I20" s="28"/>
      <c r="J20" s="28"/>
      <c r="K20" s="28"/>
      <c r="L20" s="29" t="str">
        <f aca="false">IF(A20="","",IF(COUNTIF($A$5:$A$204,A20)&gt;1,"コード重複",""))</f>
        <v/>
      </c>
    </row>
    <row r="21" customFormat="false" ht="15" hidden="false" customHeight="false" outlineLevel="0" collapsed="false">
      <c r="A21" s="23"/>
      <c r="B21" s="28"/>
      <c r="C21" s="28"/>
      <c r="D21" s="28"/>
      <c r="E21" s="35"/>
      <c r="F21" s="35"/>
      <c r="G21" s="28"/>
      <c r="H21" s="28"/>
      <c r="I21" s="28"/>
      <c r="J21" s="28"/>
      <c r="K21" s="28"/>
      <c r="L21" s="29" t="str">
        <f aca="false">IF(A21="","",IF(COUNTIF($A$5:$A$204,A21)&gt;1,"コード重複",""))</f>
        <v/>
      </c>
    </row>
    <row r="22" customFormat="false" ht="15" hidden="false" customHeight="false" outlineLevel="0" collapsed="false">
      <c r="A22" s="23"/>
      <c r="B22" s="28"/>
      <c r="C22" s="28"/>
      <c r="D22" s="28"/>
      <c r="E22" s="35"/>
      <c r="F22" s="35"/>
      <c r="G22" s="28"/>
      <c r="H22" s="28"/>
      <c r="I22" s="28"/>
      <c r="J22" s="28"/>
      <c r="K22" s="28"/>
      <c r="L22" s="29" t="str">
        <f aca="false">IF(A22="","",IF(COUNTIF($A$5:$A$204,A22)&gt;1,"コード重複",""))</f>
        <v/>
      </c>
    </row>
    <row r="23" customFormat="false" ht="15" hidden="false" customHeight="false" outlineLevel="0" collapsed="false">
      <c r="A23" s="23"/>
      <c r="B23" s="28"/>
      <c r="C23" s="28"/>
      <c r="D23" s="28"/>
      <c r="E23" s="35"/>
      <c r="F23" s="35"/>
      <c r="G23" s="28"/>
      <c r="H23" s="28"/>
      <c r="I23" s="28"/>
      <c r="J23" s="28"/>
      <c r="K23" s="28"/>
      <c r="L23" s="29" t="str">
        <f aca="false">IF(A23="","",IF(COUNTIF($A$5:$A$204,A23)&gt;1,"コード重複",""))</f>
        <v/>
      </c>
    </row>
    <row r="24" customFormat="false" ht="15" hidden="false" customHeight="false" outlineLevel="0" collapsed="false">
      <c r="A24" s="23"/>
      <c r="B24" s="28"/>
      <c r="C24" s="28"/>
      <c r="D24" s="28"/>
      <c r="E24" s="35"/>
      <c r="F24" s="35"/>
      <c r="G24" s="28"/>
      <c r="H24" s="28"/>
      <c r="I24" s="28"/>
      <c r="J24" s="28"/>
      <c r="K24" s="28"/>
      <c r="L24" s="29" t="str">
        <f aca="false">IF(A24="","",IF(COUNTIF($A$5:$A$204,A24)&gt;1,"コード重複",""))</f>
        <v/>
      </c>
    </row>
    <row r="25" customFormat="false" ht="15" hidden="false" customHeight="false" outlineLevel="0" collapsed="false">
      <c r="A25" s="23"/>
      <c r="B25" s="28"/>
      <c r="C25" s="28"/>
      <c r="D25" s="28"/>
      <c r="E25" s="35"/>
      <c r="F25" s="35"/>
      <c r="G25" s="28"/>
      <c r="H25" s="28"/>
      <c r="I25" s="28"/>
      <c r="J25" s="28"/>
      <c r="K25" s="28"/>
      <c r="L25" s="29" t="str">
        <f aca="false">IF(A25="","",IF(COUNTIF($A$5:$A$204,A25)&gt;1,"コード重複",""))</f>
        <v/>
      </c>
    </row>
    <row r="26" customFormat="false" ht="15" hidden="false" customHeight="false" outlineLevel="0" collapsed="false">
      <c r="A26" s="23"/>
      <c r="B26" s="28"/>
      <c r="C26" s="28"/>
      <c r="D26" s="28"/>
      <c r="E26" s="35"/>
      <c r="F26" s="35"/>
      <c r="G26" s="28"/>
      <c r="H26" s="28"/>
      <c r="I26" s="28"/>
      <c r="J26" s="28"/>
      <c r="K26" s="28"/>
      <c r="L26" s="29" t="str">
        <f aca="false">IF(A26="","",IF(COUNTIF($A$5:$A$204,A26)&gt;1,"コード重複",""))</f>
        <v/>
      </c>
    </row>
    <row r="27" customFormat="false" ht="15" hidden="false" customHeight="false" outlineLevel="0" collapsed="false">
      <c r="A27" s="23"/>
      <c r="B27" s="28"/>
      <c r="C27" s="28"/>
      <c r="D27" s="28"/>
      <c r="E27" s="35"/>
      <c r="F27" s="35"/>
      <c r="G27" s="28"/>
      <c r="H27" s="28"/>
      <c r="I27" s="28"/>
      <c r="J27" s="28"/>
      <c r="K27" s="28"/>
      <c r="L27" s="29" t="str">
        <f aca="false">IF(A27="","",IF(COUNTIF($A$5:$A$204,A27)&gt;1,"コード重複",""))</f>
        <v/>
      </c>
    </row>
    <row r="28" customFormat="false" ht="15" hidden="false" customHeight="false" outlineLevel="0" collapsed="false">
      <c r="A28" s="23"/>
      <c r="B28" s="28"/>
      <c r="C28" s="28"/>
      <c r="D28" s="28"/>
      <c r="E28" s="35"/>
      <c r="F28" s="35"/>
      <c r="G28" s="28"/>
      <c r="H28" s="28"/>
      <c r="I28" s="28"/>
      <c r="J28" s="28"/>
      <c r="K28" s="28"/>
      <c r="L28" s="29" t="str">
        <f aca="false">IF(A28="","",IF(COUNTIF($A$5:$A$204,A28)&gt;1,"コード重複",""))</f>
        <v/>
      </c>
    </row>
    <row r="29" customFormat="false" ht="15" hidden="false" customHeight="false" outlineLevel="0" collapsed="false">
      <c r="A29" s="23"/>
      <c r="B29" s="28"/>
      <c r="C29" s="28"/>
      <c r="D29" s="28"/>
      <c r="E29" s="35"/>
      <c r="F29" s="35"/>
      <c r="G29" s="28"/>
      <c r="H29" s="28"/>
      <c r="I29" s="28"/>
      <c r="J29" s="28"/>
      <c r="K29" s="28"/>
      <c r="L29" s="29" t="str">
        <f aca="false">IF(A29="","",IF(COUNTIF($A$5:$A$204,A29)&gt;1,"コード重複",""))</f>
        <v/>
      </c>
    </row>
    <row r="30" customFormat="false" ht="15" hidden="false" customHeight="false" outlineLevel="0" collapsed="false">
      <c r="A30" s="23"/>
      <c r="B30" s="28"/>
      <c r="C30" s="28"/>
      <c r="D30" s="28"/>
      <c r="E30" s="35"/>
      <c r="F30" s="35"/>
      <c r="G30" s="28"/>
      <c r="H30" s="28"/>
      <c r="I30" s="28"/>
      <c r="J30" s="28"/>
      <c r="K30" s="28"/>
      <c r="L30" s="29" t="str">
        <f aca="false">IF(A30="","",IF(COUNTIF($A$5:$A$204,A30)&gt;1,"コード重複",""))</f>
        <v/>
      </c>
    </row>
    <row r="31" customFormat="false" ht="15" hidden="false" customHeight="false" outlineLevel="0" collapsed="false">
      <c r="A31" s="23"/>
      <c r="B31" s="28"/>
      <c r="C31" s="28"/>
      <c r="D31" s="28"/>
      <c r="E31" s="35"/>
      <c r="F31" s="35"/>
      <c r="G31" s="28"/>
      <c r="H31" s="28"/>
      <c r="I31" s="28"/>
      <c r="J31" s="28"/>
      <c r="K31" s="28"/>
      <c r="L31" s="29" t="str">
        <f aca="false">IF(A31="","",IF(COUNTIF($A$5:$A$204,A31)&gt;1,"コード重複",""))</f>
        <v/>
      </c>
    </row>
    <row r="32" customFormat="false" ht="15" hidden="false" customHeight="false" outlineLevel="0" collapsed="false">
      <c r="A32" s="23"/>
      <c r="B32" s="28"/>
      <c r="C32" s="28"/>
      <c r="D32" s="28"/>
      <c r="E32" s="35"/>
      <c r="F32" s="35"/>
      <c r="G32" s="28"/>
      <c r="H32" s="28"/>
      <c r="I32" s="28"/>
      <c r="J32" s="28"/>
      <c r="K32" s="28"/>
      <c r="L32" s="29" t="str">
        <f aca="false">IF(A32="","",IF(COUNTIF($A$5:$A$204,A32)&gt;1,"コード重複",""))</f>
        <v/>
      </c>
    </row>
    <row r="33" customFormat="false" ht="15" hidden="false" customHeight="false" outlineLevel="0" collapsed="false">
      <c r="A33" s="23"/>
      <c r="B33" s="28"/>
      <c r="C33" s="28"/>
      <c r="D33" s="28"/>
      <c r="E33" s="35"/>
      <c r="F33" s="35"/>
      <c r="G33" s="28"/>
      <c r="H33" s="28"/>
      <c r="I33" s="28"/>
      <c r="J33" s="28"/>
      <c r="K33" s="28"/>
      <c r="L33" s="29" t="str">
        <f aca="false">IF(A33="","",IF(COUNTIF($A$5:$A$204,A33)&gt;1,"コード重複",""))</f>
        <v/>
      </c>
    </row>
    <row r="34" customFormat="false" ht="15" hidden="false" customHeight="false" outlineLevel="0" collapsed="false">
      <c r="A34" s="23"/>
      <c r="B34" s="28"/>
      <c r="C34" s="28"/>
      <c r="D34" s="28"/>
      <c r="E34" s="35"/>
      <c r="F34" s="35"/>
      <c r="G34" s="28"/>
      <c r="H34" s="28"/>
      <c r="I34" s="28"/>
      <c r="J34" s="28"/>
      <c r="K34" s="28"/>
      <c r="L34" s="29" t="str">
        <f aca="false">IF(A34="","",IF(COUNTIF($A$5:$A$204,A34)&gt;1,"コード重複",""))</f>
        <v/>
      </c>
    </row>
    <row r="35" customFormat="false" ht="15" hidden="false" customHeight="false" outlineLevel="0" collapsed="false">
      <c r="A35" s="23"/>
      <c r="B35" s="28"/>
      <c r="C35" s="28"/>
      <c r="D35" s="28"/>
      <c r="E35" s="35"/>
      <c r="F35" s="35"/>
      <c r="G35" s="28"/>
      <c r="H35" s="28"/>
      <c r="I35" s="28"/>
      <c r="J35" s="28"/>
      <c r="K35" s="28"/>
      <c r="L35" s="29" t="str">
        <f aca="false">IF(A35="","",IF(COUNTIF($A$5:$A$204,A35)&gt;1,"コード重複",""))</f>
        <v/>
      </c>
    </row>
    <row r="36" customFormat="false" ht="15" hidden="false" customHeight="false" outlineLevel="0" collapsed="false">
      <c r="A36" s="23"/>
      <c r="B36" s="28"/>
      <c r="C36" s="28"/>
      <c r="D36" s="28"/>
      <c r="E36" s="35"/>
      <c r="F36" s="35"/>
      <c r="G36" s="28"/>
      <c r="H36" s="28"/>
      <c r="I36" s="28"/>
      <c r="J36" s="28"/>
      <c r="K36" s="28"/>
      <c r="L36" s="29" t="str">
        <f aca="false">IF(A36="","",IF(COUNTIF($A$5:$A$204,A36)&gt;1,"コード重複",""))</f>
        <v/>
      </c>
    </row>
    <row r="37" customFormat="false" ht="15" hidden="false" customHeight="false" outlineLevel="0" collapsed="false">
      <c r="A37" s="23"/>
      <c r="B37" s="28"/>
      <c r="C37" s="28"/>
      <c r="D37" s="28"/>
      <c r="E37" s="35"/>
      <c r="F37" s="35"/>
      <c r="G37" s="28"/>
      <c r="H37" s="28"/>
      <c r="I37" s="28"/>
      <c r="J37" s="28"/>
      <c r="K37" s="28"/>
      <c r="L37" s="29" t="str">
        <f aca="false">IF(A37="","",IF(COUNTIF($A$5:$A$204,A37)&gt;1,"コード重複",""))</f>
        <v/>
      </c>
    </row>
    <row r="38" customFormat="false" ht="15" hidden="false" customHeight="false" outlineLevel="0" collapsed="false">
      <c r="A38" s="23"/>
      <c r="B38" s="28"/>
      <c r="C38" s="28"/>
      <c r="D38" s="28"/>
      <c r="E38" s="35"/>
      <c r="F38" s="35"/>
      <c r="G38" s="28"/>
      <c r="H38" s="28"/>
      <c r="I38" s="28"/>
      <c r="J38" s="28"/>
      <c r="K38" s="28"/>
      <c r="L38" s="29" t="str">
        <f aca="false">IF(A38="","",IF(COUNTIF($A$5:$A$204,A38)&gt;1,"コード重複",""))</f>
        <v/>
      </c>
    </row>
    <row r="39" customFormat="false" ht="15" hidden="false" customHeight="false" outlineLevel="0" collapsed="false">
      <c r="A39" s="23"/>
      <c r="B39" s="28"/>
      <c r="C39" s="28"/>
      <c r="D39" s="28"/>
      <c r="E39" s="35"/>
      <c r="F39" s="35"/>
      <c r="G39" s="28"/>
      <c r="H39" s="28"/>
      <c r="I39" s="28"/>
      <c r="J39" s="28"/>
      <c r="K39" s="28"/>
      <c r="L39" s="29" t="str">
        <f aca="false">IF(A39="","",IF(COUNTIF($A$5:$A$204,A39)&gt;1,"コード重複",""))</f>
        <v/>
      </c>
    </row>
    <row r="40" customFormat="false" ht="15" hidden="false" customHeight="false" outlineLevel="0" collapsed="false">
      <c r="A40" s="23"/>
      <c r="B40" s="28"/>
      <c r="C40" s="28"/>
      <c r="D40" s="28"/>
      <c r="E40" s="35"/>
      <c r="F40" s="35"/>
      <c r="G40" s="28"/>
      <c r="H40" s="28"/>
      <c r="I40" s="28"/>
      <c r="J40" s="28"/>
      <c r="K40" s="28"/>
      <c r="L40" s="29" t="str">
        <f aca="false">IF(A40="","",IF(COUNTIF($A$5:$A$204,A40)&gt;1,"コード重複",""))</f>
        <v/>
      </c>
    </row>
    <row r="41" customFormat="false" ht="15" hidden="false" customHeight="false" outlineLevel="0" collapsed="false">
      <c r="A41" s="23"/>
      <c r="B41" s="28"/>
      <c r="C41" s="28"/>
      <c r="D41" s="28"/>
      <c r="E41" s="35"/>
      <c r="F41" s="35"/>
      <c r="G41" s="28"/>
      <c r="H41" s="28"/>
      <c r="I41" s="28"/>
      <c r="J41" s="28"/>
      <c r="K41" s="28"/>
      <c r="L41" s="29" t="str">
        <f aca="false">IF(A41="","",IF(COUNTIF($A$5:$A$204,A41)&gt;1,"コード重複",""))</f>
        <v/>
      </c>
    </row>
    <row r="42" customFormat="false" ht="15" hidden="false" customHeight="false" outlineLevel="0" collapsed="false">
      <c r="A42" s="23"/>
      <c r="B42" s="28"/>
      <c r="C42" s="28"/>
      <c r="D42" s="28"/>
      <c r="E42" s="35"/>
      <c r="F42" s="35"/>
      <c r="G42" s="28"/>
      <c r="H42" s="28"/>
      <c r="I42" s="28"/>
      <c r="J42" s="28"/>
      <c r="K42" s="28"/>
      <c r="L42" s="29" t="str">
        <f aca="false">IF(A42="","",IF(COUNTIF($A$5:$A$204,A42)&gt;1,"コード重複",""))</f>
        <v/>
      </c>
    </row>
    <row r="43" customFormat="false" ht="15" hidden="false" customHeight="false" outlineLevel="0" collapsed="false">
      <c r="A43" s="23"/>
      <c r="B43" s="28"/>
      <c r="C43" s="28"/>
      <c r="D43" s="28"/>
      <c r="E43" s="35"/>
      <c r="F43" s="35"/>
      <c r="G43" s="28"/>
      <c r="H43" s="28"/>
      <c r="I43" s="28"/>
      <c r="J43" s="28"/>
      <c r="K43" s="28"/>
      <c r="L43" s="29" t="str">
        <f aca="false">IF(A43="","",IF(COUNTIF($A$5:$A$204,A43)&gt;1,"コード重複",""))</f>
        <v/>
      </c>
    </row>
    <row r="44" customFormat="false" ht="15" hidden="false" customHeight="false" outlineLevel="0" collapsed="false">
      <c r="A44" s="23"/>
      <c r="B44" s="28"/>
      <c r="C44" s="28"/>
      <c r="D44" s="28"/>
      <c r="E44" s="35"/>
      <c r="F44" s="35"/>
      <c r="G44" s="28"/>
      <c r="H44" s="28"/>
      <c r="I44" s="28"/>
      <c r="J44" s="28"/>
      <c r="K44" s="28"/>
      <c r="L44" s="29" t="str">
        <f aca="false">IF(A44="","",IF(COUNTIF($A$5:$A$204,A44)&gt;1,"コード重複",""))</f>
        <v/>
      </c>
    </row>
    <row r="45" customFormat="false" ht="15" hidden="false" customHeight="false" outlineLevel="0" collapsed="false">
      <c r="A45" s="23"/>
      <c r="B45" s="28"/>
      <c r="C45" s="28"/>
      <c r="D45" s="28"/>
      <c r="E45" s="35"/>
      <c r="F45" s="35"/>
      <c r="G45" s="28"/>
      <c r="H45" s="28"/>
      <c r="I45" s="28"/>
      <c r="J45" s="28"/>
      <c r="K45" s="28"/>
      <c r="L45" s="29" t="str">
        <f aca="false">IF(A45="","",IF(COUNTIF($A$5:$A$204,A45)&gt;1,"コード重複",""))</f>
        <v/>
      </c>
    </row>
    <row r="46" customFormat="false" ht="15" hidden="false" customHeight="false" outlineLevel="0" collapsed="false">
      <c r="A46" s="23"/>
      <c r="B46" s="28"/>
      <c r="C46" s="28"/>
      <c r="D46" s="28"/>
      <c r="E46" s="35"/>
      <c r="F46" s="35"/>
      <c r="G46" s="28"/>
      <c r="H46" s="28"/>
      <c r="I46" s="28"/>
      <c r="J46" s="28"/>
      <c r="K46" s="28"/>
      <c r="L46" s="29" t="str">
        <f aca="false">IF(A46="","",IF(COUNTIF($A$5:$A$204,A46)&gt;1,"コード重複",""))</f>
        <v/>
      </c>
    </row>
    <row r="47" customFormat="false" ht="15" hidden="false" customHeight="false" outlineLevel="0" collapsed="false">
      <c r="A47" s="23"/>
      <c r="B47" s="28"/>
      <c r="C47" s="28"/>
      <c r="D47" s="28"/>
      <c r="E47" s="35"/>
      <c r="F47" s="35"/>
      <c r="G47" s="28"/>
      <c r="H47" s="28"/>
      <c r="I47" s="28"/>
      <c r="J47" s="28"/>
      <c r="K47" s="28"/>
      <c r="L47" s="29" t="str">
        <f aca="false">IF(A47="","",IF(COUNTIF($A$5:$A$204,A47)&gt;1,"コード重複",""))</f>
        <v/>
      </c>
    </row>
    <row r="48" customFormat="false" ht="15" hidden="false" customHeight="false" outlineLevel="0" collapsed="false">
      <c r="A48" s="23"/>
      <c r="B48" s="28"/>
      <c r="C48" s="28"/>
      <c r="D48" s="28"/>
      <c r="E48" s="35"/>
      <c r="F48" s="35"/>
      <c r="G48" s="28"/>
      <c r="H48" s="28"/>
      <c r="I48" s="28"/>
      <c r="J48" s="28"/>
      <c r="K48" s="28"/>
      <c r="L48" s="29" t="str">
        <f aca="false">IF(A48="","",IF(COUNTIF($A$5:$A$204,A48)&gt;1,"コード重複",""))</f>
        <v/>
      </c>
    </row>
    <row r="49" customFormat="false" ht="15" hidden="false" customHeight="false" outlineLevel="0" collapsed="false">
      <c r="A49" s="23"/>
      <c r="B49" s="28"/>
      <c r="C49" s="28"/>
      <c r="D49" s="28"/>
      <c r="E49" s="35"/>
      <c r="F49" s="35"/>
      <c r="G49" s="28"/>
      <c r="H49" s="28"/>
      <c r="I49" s="28"/>
      <c r="J49" s="28"/>
      <c r="K49" s="28"/>
      <c r="L49" s="29" t="str">
        <f aca="false">IF(A49="","",IF(COUNTIF($A$5:$A$204,A49)&gt;1,"コード重複",""))</f>
        <v/>
      </c>
    </row>
    <row r="50" customFormat="false" ht="15" hidden="false" customHeight="false" outlineLevel="0" collapsed="false">
      <c r="A50" s="23"/>
      <c r="B50" s="28"/>
      <c r="C50" s="28"/>
      <c r="D50" s="28"/>
      <c r="E50" s="35"/>
      <c r="F50" s="35"/>
      <c r="G50" s="28"/>
      <c r="H50" s="28"/>
      <c r="I50" s="28"/>
      <c r="J50" s="28"/>
      <c r="K50" s="28"/>
      <c r="L50" s="29" t="str">
        <f aca="false">IF(A50="","",IF(COUNTIF($A$5:$A$204,A50)&gt;1,"コード重複",""))</f>
        <v/>
      </c>
    </row>
    <row r="51" customFormat="false" ht="15" hidden="false" customHeight="false" outlineLevel="0" collapsed="false">
      <c r="A51" s="23"/>
      <c r="B51" s="28"/>
      <c r="C51" s="28"/>
      <c r="D51" s="28"/>
      <c r="E51" s="35"/>
      <c r="F51" s="35"/>
      <c r="G51" s="28"/>
      <c r="H51" s="28"/>
      <c r="I51" s="28"/>
      <c r="J51" s="28"/>
      <c r="K51" s="28"/>
      <c r="L51" s="29" t="str">
        <f aca="false">IF(A51="","",IF(COUNTIF($A$5:$A$204,A51)&gt;1,"コード重複",""))</f>
        <v/>
      </c>
    </row>
    <row r="52" customFormat="false" ht="15" hidden="false" customHeight="false" outlineLevel="0" collapsed="false">
      <c r="A52" s="23"/>
      <c r="B52" s="28"/>
      <c r="C52" s="28"/>
      <c r="D52" s="28"/>
      <c r="E52" s="35"/>
      <c r="F52" s="35"/>
      <c r="G52" s="28"/>
      <c r="H52" s="28"/>
      <c r="I52" s="28"/>
      <c r="J52" s="28"/>
      <c r="K52" s="28"/>
      <c r="L52" s="29" t="str">
        <f aca="false">IF(A52="","",IF(COUNTIF($A$5:$A$204,A52)&gt;1,"コード重複",""))</f>
        <v/>
      </c>
    </row>
    <row r="53" customFormat="false" ht="15" hidden="false" customHeight="false" outlineLevel="0" collapsed="false">
      <c r="A53" s="23"/>
      <c r="B53" s="28"/>
      <c r="C53" s="28"/>
      <c r="D53" s="28"/>
      <c r="E53" s="35"/>
      <c r="F53" s="35"/>
      <c r="G53" s="28"/>
      <c r="H53" s="28"/>
      <c r="I53" s="28"/>
      <c r="J53" s="28"/>
      <c r="K53" s="28"/>
      <c r="L53" s="29" t="str">
        <f aca="false">IF(A53="","",IF(COUNTIF($A$5:$A$204,A53)&gt;1,"コード重複",""))</f>
        <v/>
      </c>
    </row>
    <row r="54" customFormat="false" ht="15" hidden="false" customHeight="false" outlineLevel="0" collapsed="false">
      <c r="A54" s="23"/>
      <c r="B54" s="28"/>
      <c r="C54" s="28"/>
      <c r="D54" s="28"/>
      <c r="E54" s="35"/>
      <c r="F54" s="35"/>
      <c r="G54" s="28"/>
      <c r="H54" s="28"/>
      <c r="I54" s="28"/>
      <c r="J54" s="28"/>
      <c r="K54" s="28"/>
      <c r="L54" s="29" t="str">
        <f aca="false">IF(A54="","",IF(COUNTIF($A$5:$A$204,A54)&gt;1,"コード重複",""))</f>
        <v/>
      </c>
    </row>
    <row r="55" customFormat="false" ht="15" hidden="false" customHeight="false" outlineLevel="0" collapsed="false">
      <c r="A55" s="23"/>
      <c r="B55" s="28"/>
      <c r="C55" s="28"/>
      <c r="D55" s="28"/>
      <c r="E55" s="35"/>
      <c r="F55" s="35"/>
      <c r="G55" s="28"/>
      <c r="H55" s="28"/>
      <c r="I55" s="28"/>
      <c r="J55" s="28"/>
      <c r="K55" s="28"/>
      <c r="L55" s="29" t="str">
        <f aca="false">IF(A55="","",IF(COUNTIF($A$5:$A$204,A55)&gt;1,"コード重複",""))</f>
        <v/>
      </c>
    </row>
    <row r="56" customFormat="false" ht="15" hidden="false" customHeight="false" outlineLevel="0" collapsed="false">
      <c r="A56" s="23"/>
      <c r="B56" s="28"/>
      <c r="C56" s="28"/>
      <c r="D56" s="28"/>
      <c r="E56" s="35"/>
      <c r="F56" s="35"/>
      <c r="G56" s="28"/>
      <c r="H56" s="28"/>
      <c r="I56" s="28"/>
      <c r="J56" s="28"/>
      <c r="K56" s="28"/>
      <c r="L56" s="29" t="str">
        <f aca="false">IF(A56="","",IF(COUNTIF($A$5:$A$204,A56)&gt;1,"コード重複",""))</f>
        <v/>
      </c>
    </row>
    <row r="57" customFormat="false" ht="15" hidden="false" customHeight="false" outlineLevel="0" collapsed="false">
      <c r="A57" s="23"/>
      <c r="B57" s="28"/>
      <c r="C57" s="28"/>
      <c r="D57" s="28"/>
      <c r="E57" s="35"/>
      <c r="F57" s="35"/>
      <c r="G57" s="28"/>
      <c r="H57" s="28"/>
      <c r="I57" s="28"/>
      <c r="J57" s="28"/>
      <c r="K57" s="28"/>
      <c r="L57" s="29" t="str">
        <f aca="false">IF(A57="","",IF(COUNTIF($A$5:$A$204,A57)&gt;1,"コード重複",""))</f>
        <v/>
      </c>
    </row>
    <row r="58" customFormat="false" ht="15" hidden="false" customHeight="false" outlineLevel="0" collapsed="false">
      <c r="A58" s="23"/>
      <c r="B58" s="28"/>
      <c r="C58" s="28"/>
      <c r="D58" s="28"/>
      <c r="E58" s="35"/>
      <c r="F58" s="35"/>
      <c r="G58" s="28"/>
      <c r="H58" s="28"/>
      <c r="I58" s="28"/>
      <c r="J58" s="28"/>
      <c r="K58" s="28"/>
      <c r="L58" s="29" t="str">
        <f aca="false">IF(A58="","",IF(COUNTIF($A$5:$A$204,A58)&gt;1,"コード重複",""))</f>
        <v/>
      </c>
    </row>
    <row r="59" customFormat="false" ht="15" hidden="false" customHeight="false" outlineLevel="0" collapsed="false">
      <c r="A59" s="23"/>
      <c r="B59" s="28"/>
      <c r="C59" s="28"/>
      <c r="D59" s="28"/>
      <c r="E59" s="35"/>
      <c r="F59" s="35"/>
      <c r="G59" s="28"/>
      <c r="H59" s="28"/>
      <c r="I59" s="28"/>
      <c r="J59" s="28"/>
      <c r="K59" s="28"/>
      <c r="L59" s="29" t="str">
        <f aca="false">IF(A59="","",IF(COUNTIF($A$5:$A$204,A59)&gt;1,"コード重複",""))</f>
        <v/>
      </c>
    </row>
    <row r="60" customFormat="false" ht="15" hidden="false" customHeight="false" outlineLevel="0" collapsed="false">
      <c r="A60" s="23"/>
      <c r="B60" s="28"/>
      <c r="C60" s="28"/>
      <c r="D60" s="28"/>
      <c r="E60" s="35"/>
      <c r="F60" s="35"/>
      <c r="G60" s="28"/>
      <c r="H60" s="28"/>
      <c r="I60" s="28"/>
      <c r="J60" s="28"/>
      <c r="K60" s="28"/>
      <c r="L60" s="29" t="str">
        <f aca="false">IF(A60="","",IF(COUNTIF($A$5:$A$204,A60)&gt;1,"コード重複",""))</f>
        <v/>
      </c>
    </row>
    <row r="61" customFormat="false" ht="15" hidden="false" customHeight="false" outlineLevel="0" collapsed="false">
      <c r="A61" s="23"/>
      <c r="B61" s="28"/>
      <c r="C61" s="28"/>
      <c r="D61" s="28"/>
      <c r="E61" s="35"/>
      <c r="F61" s="35"/>
      <c r="G61" s="28"/>
      <c r="H61" s="28"/>
      <c r="I61" s="28"/>
      <c r="J61" s="28"/>
      <c r="K61" s="28"/>
      <c r="L61" s="29" t="str">
        <f aca="false">IF(A61="","",IF(COUNTIF($A$5:$A$204,A61)&gt;1,"コード重複",""))</f>
        <v/>
      </c>
    </row>
    <row r="62" customFormat="false" ht="15" hidden="false" customHeight="false" outlineLevel="0" collapsed="false">
      <c r="A62" s="23"/>
      <c r="B62" s="28"/>
      <c r="C62" s="28"/>
      <c r="D62" s="28"/>
      <c r="E62" s="35"/>
      <c r="F62" s="35"/>
      <c r="G62" s="28"/>
      <c r="H62" s="28"/>
      <c r="I62" s="28"/>
      <c r="J62" s="28"/>
      <c r="K62" s="28"/>
      <c r="L62" s="29" t="str">
        <f aca="false">IF(A62="","",IF(COUNTIF($A$5:$A$204,A62)&gt;1,"コード重複",""))</f>
        <v/>
      </c>
    </row>
    <row r="63" customFormat="false" ht="15" hidden="false" customHeight="false" outlineLevel="0" collapsed="false">
      <c r="A63" s="23"/>
      <c r="B63" s="28"/>
      <c r="C63" s="28"/>
      <c r="D63" s="28"/>
      <c r="E63" s="35"/>
      <c r="F63" s="35"/>
      <c r="G63" s="28"/>
      <c r="H63" s="28"/>
      <c r="I63" s="28"/>
      <c r="J63" s="28"/>
      <c r="K63" s="28"/>
      <c r="L63" s="29" t="str">
        <f aca="false">IF(A63="","",IF(COUNTIF($A$5:$A$204,A63)&gt;1,"コード重複",""))</f>
        <v/>
      </c>
    </row>
    <row r="64" customFormat="false" ht="15" hidden="false" customHeight="false" outlineLevel="0" collapsed="false">
      <c r="A64" s="23"/>
      <c r="B64" s="28"/>
      <c r="C64" s="28"/>
      <c r="D64" s="28"/>
      <c r="E64" s="35"/>
      <c r="F64" s="35"/>
      <c r="G64" s="28"/>
      <c r="H64" s="28"/>
      <c r="I64" s="28"/>
      <c r="J64" s="28"/>
      <c r="K64" s="28"/>
      <c r="L64" s="29" t="str">
        <f aca="false">IF(A64="","",IF(COUNTIF($A$5:$A$204,A64)&gt;1,"コード重複",""))</f>
        <v/>
      </c>
    </row>
    <row r="65" customFormat="false" ht="15" hidden="false" customHeight="false" outlineLevel="0" collapsed="false">
      <c r="A65" s="23"/>
      <c r="B65" s="28"/>
      <c r="C65" s="28"/>
      <c r="D65" s="28"/>
      <c r="E65" s="35"/>
      <c r="F65" s="35"/>
      <c r="G65" s="28"/>
      <c r="H65" s="28"/>
      <c r="I65" s="28"/>
      <c r="J65" s="28"/>
      <c r="K65" s="28"/>
      <c r="L65" s="29" t="str">
        <f aca="false">IF(A65="","",IF(COUNTIF($A$5:$A$204,A65)&gt;1,"コード重複",""))</f>
        <v/>
      </c>
    </row>
    <row r="66" customFormat="false" ht="15" hidden="false" customHeight="false" outlineLevel="0" collapsed="false">
      <c r="A66" s="23"/>
      <c r="B66" s="28"/>
      <c r="C66" s="28"/>
      <c r="D66" s="28"/>
      <c r="E66" s="35"/>
      <c r="F66" s="35"/>
      <c r="G66" s="28"/>
      <c r="H66" s="28"/>
      <c r="I66" s="28"/>
      <c r="J66" s="28"/>
      <c r="K66" s="28"/>
      <c r="L66" s="29" t="str">
        <f aca="false">IF(A66="","",IF(COUNTIF($A$5:$A$204,A66)&gt;1,"コード重複",""))</f>
        <v/>
      </c>
    </row>
    <row r="67" customFormat="false" ht="15" hidden="false" customHeight="false" outlineLevel="0" collapsed="false">
      <c r="A67" s="23"/>
      <c r="B67" s="28"/>
      <c r="C67" s="28"/>
      <c r="D67" s="28"/>
      <c r="E67" s="35"/>
      <c r="F67" s="35"/>
      <c r="G67" s="28"/>
      <c r="H67" s="28"/>
      <c r="I67" s="28"/>
      <c r="J67" s="28"/>
      <c r="K67" s="28"/>
      <c r="L67" s="29" t="str">
        <f aca="false">IF(A67="","",IF(COUNTIF($A$5:$A$204,A67)&gt;1,"コード重複",""))</f>
        <v/>
      </c>
    </row>
    <row r="68" customFormat="false" ht="15" hidden="false" customHeight="false" outlineLevel="0" collapsed="false">
      <c r="A68" s="23"/>
      <c r="B68" s="28"/>
      <c r="C68" s="28"/>
      <c r="D68" s="28"/>
      <c r="E68" s="35"/>
      <c r="F68" s="35"/>
      <c r="G68" s="28"/>
      <c r="H68" s="28"/>
      <c r="I68" s="28"/>
      <c r="J68" s="28"/>
      <c r="K68" s="28"/>
      <c r="L68" s="29" t="str">
        <f aca="false">IF(A68="","",IF(COUNTIF($A$5:$A$204,A68)&gt;1,"コード重複",""))</f>
        <v/>
      </c>
    </row>
    <row r="69" customFormat="false" ht="15" hidden="false" customHeight="false" outlineLevel="0" collapsed="false">
      <c r="A69" s="23"/>
      <c r="B69" s="28"/>
      <c r="C69" s="28"/>
      <c r="D69" s="28"/>
      <c r="E69" s="35"/>
      <c r="F69" s="35"/>
      <c r="G69" s="28"/>
      <c r="H69" s="28"/>
      <c r="I69" s="28"/>
      <c r="J69" s="28"/>
      <c r="K69" s="28"/>
      <c r="L69" s="29" t="str">
        <f aca="false">IF(A69="","",IF(COUNTIF($A$5:$A$204,A69)&gt;1,"コード重複",""))</f>
        <v/>
      </c>
    </row>
    <row r="70" customFormat="false" ht="15" hidden="false" customHeight="false" outlineLevel="0" collapsed="false">
      <c r="A70" s="23"/>
      <c r="B70" s="28"/>
      <c r="C70" s="28"/>
      <c r="D70" s="28"/>
      <c r="E70" s="35"/>
      <c r="F70" s="35"/>
      <c r="G70" s="28"/>
      <c r="H70" s="28"/>
      <c r="I70" s="28"/>
      <c r="J70" s="28"/>
      <c r="K70" s="28"/>
      <c r="L70" s="29" t="str">
        <f aca="false">IF(A70="","",IF(COUNTIF($A$5:$A$204,A70)&gt;1,"コード重複",""))</f>
        <v/>
      </c>
    </row>
    <row r="71" customFormat="false" ht="15" hidden="false" customHeight="false" outlineLevel="0" collapsed="false">
      <c r="A71" s="23"/>
      <c r="B71" s="28"/>
      <c r="C71" s="28"/>
      <c r="D71" s="28"/>
      <c r="E71" s="35"/>
      <c r="F71" s="35"/>
      <c r="G71" s="28"/>
      <c r="H71" s="28"/>
      <c r="I71" s="28"/>
      <c r="J71" s="28"/>
      <c r="K71" s="28"/>
      <c r="L71" s="29" t="str">
        <f aca="false">IF(A71="","",IF(COUNTIF($A$5:$A$204,A71)&gt;1,"コード重複",""))</f>
        <v/>
      </c>
    </row>
    <row r="72" customFormat="false" ht="15" hidden="false" customHeight="false" outlineLevel="0" collapsed="false">
      <c r="A72" s="23"/>
      <c r="B72" s="28"/>
      <c r="C72" s="28"/>
      <c r="D72" s="28"/>
      <c r="E72" s="35"/>
      <c r="F72" s="35"/>
      <c r="G72" s="28"/>
      <c r="H72" s="28"/>
      <c r="I72" s="28"/>
      <c r="J72" s="28"/>
      <c r="K72" s="28"/>
      <c r="L72" s="29" t="str">
        <f aca="false">IF(A72="","",IF(COUNTIF($A$5:$A$204,A72)&gt;1,"コード重複",""))</f>
        <v/>
      </c>
    </row>
    <row r="73" customFormat="false" ht="15" hidden="false" customHeight="false" outlineLevel="0" collapsed="false">
      <c r="A73" s="23"/>
      <c r="B73" s="28"/>
      <c r="C73" s="28"/>
      <c r="D73" s="28"/>
      <c r="E73" s="35"/>
      <c r="F73" s="35"/>
      <c r="G73" s="28"/>
      <c r="H73" s="28"/>
      <c r="I73" s="28"/>
      <c r="J73" s="28"/>
      <c r="K73" s="28"/>
      <c r="L73" s="29" t="str">
        <f aca="false">IF(A73="","",IF(COUNTIF($A$5:$A$204,A73)&gt;1,"コード重複",""))</f>
        <v/>
      </c>
    </row>
    <row r="74" customFormat="false" ht="15" hidden="false" customHeight="false" outlineLevel="0" collapsed="false">
      <c r="A74" s="23"/>
      <c r="B74" s="28"/>
      <c r="C74" s="28"/>
      <c r="D74" s="28"/>
      <c r="E74" s="35"/>
      <c r="F74" s="35"/>
      <c r="G74" s="28"/>
      <c r="H74" s="28"/>
      <c r="I74" s="28"/>
      <c r="J74" s="28"/>
      <c r="K74" s="28"/>
      <c r="L74" s="29" t="str">
        <f aca="false">IF(A74="","",IF(COUNTIF($A$5:$A$204,A74)&gt;1,"コード重複",""))</f>
        <v/>
      </c>
    </row>
    <row r="75" customFormat="false" ht="15" hidden="false" customHeight="false" outlineLevel="0" collapsed="false">
      <c r="A75" s="23"/>
      <c r="B75" s="28"/>
      <c r="C75" s="28"/>
      <c r="D75" s="28"/>
      <c r="E75" s="35"/>
      <c r="F75" s="35"/>
      <c r="G75" s="28"/>
      <c r="H75" s="28"/>
      <c r="I75" s="28"/>
      <c r="J75" s="28"/>
      <c r="K75" s="28"/>
      <c r="L75" s="29" t="str">
        <f aca="false">IF(A75="","",IF(COUNTIF($A$5:$A$204,A75)&gt;1,"コード重複",""))</f>
        <v/>
      </c>
    </row>
    <row r="76" customFormat="false" ht="15" hidden="false" customHeight="false" outlineLevel="0" collapsed="false">
      <c r="A76" s="23"/>
      <c r="B76" s="28"/>
      <c r="C76" s="28"/>
      <c r="D76" s="28"/>
      <c r="E76" s="35"/>
      <c r="F76" s="35"/>
      <c r="G76" s="28"/>
      <c r="H76" s="28"/>
      <c r="I76" s="28"/>
      <c r="J76" s="28"/>
      <c r="K76" s="28"/>
      <c r="L76" s="29" t="str">
        <f aca="false">IF(A76="","",IF(COUNTIF($A$5:$A$204,A76)&gt;1,"コード重複",""))</f>
        <v/>
      </c>
    </row>
    <row r="77" customFormat="false" ht="15" hidden="false" customHeight="false" outlineLevel="0" collapsed="false">
      <c r="A77" s="23"/>
      <c r="B77" s="28"/>
      <c r="C77" s="28"/>
      <c r="D77" s="28"/>
      <c r="E77" s="35"/>
      <c r="F77" s="35"/>
      <c r="G77" s="28"/>
      <c r="H77" s="28"/>
      <c r="I77" s="28"/>
      <c r="J77" s="28"/>
      <c r="K77" s="28"/>
      <c r="L77" s="29" t="str">
        <f aca="false">IF(A77="","",IF(COUNTIF($A$5:$A$204,A77)&gt;1,"コード重複",""))</f>
        <v/>
      </c>
    </row>
    <row r="78" customFormat="false" ht="15" hidden="false" customHeight="false" outlineLevel="0" collapsed="false">
      <c r="A78" s="23"/>
      <c r="B78" s="28"/>
      <c r="C78" s="28"/>
      <c r="D78" s="28"/>
      <c r="E78" s="35"/>
      <c r="F78" s="35"/>
      <c r="G78" s="28"/>
      <c r="H78" s="28"/>
      <c r="I78" s="28"/>
      <c r="J78" s="28"/>
      <c r="K78" s="28"/>
      <c r="L78" s="29" t="str">
        <f aca="false">IF(A78="","",IF(COUNTIF($A$5:$A$204,A78)&gt;1,"コード重複",""))</f>
        <v/>
      </c>
    </row>
    <row r="79" customFormat="false" ht="15" hidden="false" customHeight="false" outlineLevel="0" collapsed="false">
      <c r="A79" s="23"/>
      <c r="B79" s="28"/>
      <c r="C79" s="28"/>
      <c r="D79" s="28"/>
      <c r="E79" s="35"/>
      <c r="F79" s="35"/>
      <c r="G79" s="28"/>
      <c r="H79" s="28"/>
      <c r="I79" s="28"/>
      <c r="J79" s="28"/>
      <c r="K79" s="28"/>
      <c r="L79" s="29" t="str">
        <f aca="false">IF(A79="","",IF(COUNTIF($A$5:$A$204,A79)&gt;1,"コード重複",""))</f>
        <v/>
      </c>
    </row>
    <row r="80" customFormat="false" ht="15" hidden="false" customHeight="false" outlineLevel="0" collapsed="false">
      <c r="A80" s="23"/>
      <c r="B80" s="28"/>
      <c r="C80" s="28"/>
      <c r="D80" s="28"/>
      <c r="E80" s="35"/>
      <c r="F80" s="35"/>
      <c r="G80" s="28"/>
      <c r="H80" s="28"/>
      <c r="I80" s="28"/>
      <c r="J80" s="28"/>
      <c r="K80" s="28"/>
      <c r="L80" s="29" t="str">
        <f aca="false">IF(A80="","",IF(COUNTIF($A$5:$A$204,A80)&gt;1,"コード重複",""))</f>
        <v/>
      </c>
    </row>
    <row r="81" customFormat="false" ht="15" hidden="false" customHeight="false" outlineLevel="0" collapsed="false">
      <c r="A81" s="23"/>
      <c r="B81" s="28"/>
      <c r="C81" s="28"/>
      <c r="D81" s="28"/>
      <c r="E81" s="35"/>
      <c r="F81" s="35"/>
      <c r="G81" s="28"/>
      <c r="H81" s="28"/>
      <c r="I81" s="28"/>
      <c r="J81" s="28"/>
      <c r="K81" s="28"/>
      <c r="L81" s="29" t="str">
        <f aca="false">IF(A81="","",IF(COUNTIF($A$5:$A$204,A81)&gt;1,"コード重複",""))</f>
        <v/>
      </c>
    </row>
    <row r="82" customFormat="false" ht="15" hidden="false" customHeight="false" outlineLevel="0" collapsed="false">
      <c r="A82" s="23"/>
      <c r="B82" s="28"/>
      <c r="C82" s="28"/>
      <c r="D82" s="28"/>
      <c r="E82" s="35"/>
      <c r="F82" s="35"/>
      <c r="G82" s="28"/>
      <c r="H82" s="28"/>
      <c r="I82" s="28"/>
      <c r="J82" s="28"/>
      <c r="K82" s="28"/>
      <c r="L82" s="29" t="str">
        <f aca="false">IF(A82="","",IF(COUNTIF($A$5:$A$204,A82)&gt;1,"コード重複",""))</f>
        <v/>
      </c>
    </row>
    <row r="83" customFormat="false" ht="15" hidden="false" customHeight="false" outlineLevel="0" collapsed="false">
      <c r="A83" s="23"/>
      <c r="B83" s="28"/>
      <c r="C83" s="28"/>
      <c r="D83" s="28"/>
      <c r="E83" s="35"/>
      <c r="F83" s="35"/>
      <c r="G83" s="28"/>
      <c r="H83" s="28"/>
      <c r="I83" s="28"/>
      <c r="J83" s="28"/>
      <c r="K83" s="28"/>
      <c r="L83" s="29" t="str">
        <f aca="false">IF(A83="","",IF(COUNTIF($A$5:$A$204,A83)&gt;1,"コード重複",""))</f>
        <v/>
      </c>
    </row>
    <row r="84" customFormat="false" ht="15" hidden="false" customHeight="false" outlineLevel="0" collapsed="false">
      <c r="A84" s="23"/>
      <c r="B84" s="28"/>
      <c r="C84" s="28"/>
      <c r="D84" s="28"/>
      <c r="E84" s="35"/>
      <c r="F84" s="35"/>
      <c r="G84" s="28"/>
      <c r="H84" s="28"/>
      <c r="I84" s="28"/>
      <c r="J84" s="28"/>
      <c r="K84" s="28"/>
      <c r="L84" s="29" t="str">
        <f aca="false">IF(A84="","",IF(COUNTIF($A$5:$A$204,A84)&gt;1,"コード重複",""))</f>
        <v/>
      </c>
    </row>
    <row r="85" customFormat="false" ht="15" hidden="false" customHeight="false" outlineLevel="0" collapsed="false">
      <c r="A85" s="23"/>
      <c r="B85" s="28"/>
      <c r="C85" s="28"/>
      <c r="D85" s="28"/>
      <c r="E85" s="35"/>
      <c r="F85" s="35"/>
      <c r="G85" s="28"/>
      <c r="H85" s="28"/>
      <c r="I85" s="28"/>
      <c r="J85" s="28"/>
      <c r="K85" s="28"/>
      <c r="L85" s="29" t="str">
        <f aca="false">IF(A85="","",IF(COUNTIF($A$5:$A$204,A85)&gt;1,"コード重複",""))</f>
        <v/>
      </c>
    </row>
    <row r="86" customFormat="false" ht="15" hidden="false" customHeight="false" outlineLevel="0" collapsed="false">
      <c r="A86" s="23"/>
      <c r="B86" s="28"/>
      <c r="C86" s="28"/>
      <c r="D86" s="28"/>
      <c r="E86" s="35"/>
      <c r="F86" s="35"/>
      <c r="G86" s="28"/>
      <c r="H86" s="28"/>
      <c r="I86" s="28"/>
      <c r="J86" s="28"/>
      <c r="K86" s="28"/>
      <c r="L86" s="29" t="str">
        <f aca="false">IF(A86="","",IF(COUNTIF($A$5:$A$204,A86)&gt;1,"コード重複",""))</f>
        <v/>
      </c>
    </row>
    <row r="87" customFormat="false" ht="15" hidden="false" customHeight="false" outlineLevel="0" collapsed="false">
      <c r="A87" s="23"/>
      <c r="B87" s="28"/>
      <c r="C87" s="28"/>
      <c r="D87" s="28"/>
      <c r="E87" s="35"/>
      <c r="F87" s="35"/>
      <c r="G87" s="28"/>
      <c r="H87" s="28"/>
      <c r="I87" s="28"/>
      <c r="J87" s="28"/>
      <c r="K87" s="28"/>
      <c r="L87" s="29" t="str">
        <f aca="false">IF(A87="","",IF(COUNTIF($A$5:$A$204,A87)&gt;1,"コード重複",""))</f>
        <v/>
      </c>
    </row>
    <row r="88" customFormat="false" ht="15" hidden="false" customHeight="false" outlineLevel="0" collapsed="false">
      <c r="A88" s="23"/>
      <c r="B88" s="28"/>
      <c r="C88" s="28"/>
      <c r="D88" s="28"/>
      <c r="E88" s="35"/>
      <c r="F88" s="35"/>
      <c r="G88" s="28"/>
      <c r="H88" s="28"/>
      <c r="I88" s="28"/>
      <c r="J88" s="28"/>
      <c r="K88" s="28"/>
      <c r="L88" s="29" t="str">
        <f aca="false">IF(A88="","",IF(COUNTIF($A$5:$A$204,A88)&gt;1,"コード重複",""))</f>
        <v/>
      </c>
    </row>
    <row r="89" customFormat="false" ht="15" hidden="false" customHeight="false" outlineLevel="0" collapsed="false">
      <c r="A89" s="23"/>
      <c r="B89" s="28"/>
      <c r="C89" s="28"/>
      <c r="D89" s="28"/>
      <c r="E89" s="35"/>
      <c r="F89" s="35"/>
      <c r="G89" s="28"/>
      <c r="H89" s="28"/>
      <c r="I89" s="28"/>
      <c r="J89" s="28"/>
      <c r="K89" s="28"/>
      <c r="L89" s="29" t="str">
        <f aca="false">IF(A89="","",IF(COUNTIF($A$5:$A$204,A89)&gt;1,"コード重複",""))</f>
        <v/>
      </c>
    </row>
    <row r="90" customFormat="false" ht="15" hidden="false" customHeight="false" outlineLevel="0" collapsed="false">
      <c r="A90" s="23"/>
      <c r="B90" s="28"/>
      <c r="C90" s="28"/>
      <c r="D90" s="28"/>
      <c r="E90" s="35"/>
      <c r="F90" s="35"/>
      <c r="G90" s="28"/>
      <c r="H90" s="28"/>
      <c r="I90" s="28"/>
      <c r="J90" s="28"/>
      <c r="K90" s="28"/>
      <c r="L90" s="29" t="str">
        <f aca="false">IF(A90="","",IF(COUNTIF($A$5:$A$204,A90)&gt;1,"コード重複",""))</f>
        <v/>
      </c>
    </row>
    <row r="91" customFormat="false" ht="15" hidden="false" customHeight="false" outlineLevel="0" collapsed="false">
      <c r="A91" s="23"/>
      <c r="B91" s="28"/>
      <c r="C91" s="28"/>
      <c r="D91" s="28"/>
      <c r="E91" s="35"/>
      <c r="F91" s="35"/>
      <c r="G91" s="28"/>
      <c r="H91" s="28"/>
      <c r="I91" s="28"/>
      <c r="J91" s="28"/>
      <c r="K91" s="28"/>
      <c r="L91" s="29" t="str">
        <f aca="false">IF(A91="","",IF(COUNTIF($A$5:$A$204,A91)&gt;1,"コード重複",""))</f>
        <v/>
      </c>
    </row>
    <row r="92" customFormat="false" ht="15" hidden="false" customHeight="false" outlineLevel="0" collapsed="false">
      <c r="A92" s="23"/>
      <c r="B92" s="28"/>
      <c r="C92" s="28"/>
      <c r="D92" s="28"/>
      <c r="E92" s="35"/>
      <c r="F92" s="35"/>
      <c r="G92" s="28"/>
      <c r="H92" s="28"/>
      <c r="I92" s="28"/>
      <c r="J92" s="28"/>
      <c r="K92" s="28"/>
      <c r="L92" s="29" t="str">
        <f aca="false">IF(A92="","",IF(COUNTIF($A$5:$A$204,A92)&gt;1,"コード重複",""))</f>
        <v/>
      </c>
    </row>
    <row r="93" customFormat="false" ht="15" hidden="false" customHeight="false" outlineLevel="0" collapsed="false">
      <c r="A93" s="23"/>
      <c r="B93" s="28"/>
      <c r="C93" s="28"/>
      <c r="D93" s="28"/>
      <c r="E93" s="35"/>
      <c r="F93" s="35"/>
      <c r="G93" s="28"/>
      <c r="H93" s="28"/>
      <c r="I93" s="28"/>
      <c r="J93" s="28"/>
      <c r="K93" s="28"/>
      <c r="L93" s="29" t="str">
        <f aca="false">IF(A93="","",IF(COUNTIF($A$5:$A$204,A93)&gt;1,"コード重複",""))</f>
        <v/>
      </c>
    </row>
    <row r="94" customFormat="false" ht="15" hidden="false" customHeight="false" outlineLevel="0" collapsed="false">
      <c r="A94" s="23"/>
      <c r="B94" s="28"/>
      <c r="C94" s="28"/>
      <c r="D94" s="28"/>
      <c r="E94" s="35"/>
      <c r="F94" s="35"/>
      <c r="G94" s="28"/>
      <c r="H94" s="28"/>
      <c r="I94" s="28"/>
      <c r="J94" s="28"/>
      <c r="K94" s="28"/>
      <c r="L94" s="29" t="str">
        <f aca="false">IF(A94="","",IF(COUNTIF($A$5:$A$204,A94)&gt;1,"コード重複",""))</f>
        <v/>
      </c>
    </row>
    <row r="95" customFormat="false" ht="15" hidden="false" customHeight="false" outlineLevel="0" collapsed="false">
      <c r="A95" s="23"/>
      <c r="B95" s="28"/>
      <c r="C95" s="28"/>
      <c r="D95" s="28"/>
      <c r="E95" s="35"/>
      <c r="F95" s="35"/>
      <c r="G95" s="28"/>
      <c r="H95" s="28"/>
      <c r="I95" s="28"/>
      <c r="J95" s="28"/>
      <c r="K95" s="28"/>
      <c r="L95" s="29" t="str">
        <f aca="false">IF(A95="","",IF(COUNTIF($A$5:$A$204,A95)&gt;1,"コード重複",""))</f>
        <v/>
      </c>
    </row>
    <row r="96" customFormat="false" ht="15" hidden="false" customHeight="false" outlineLevel="0" collapsed="false">
      <c r="A96" s="23"/>
      <c r="B96" s="28"/>
      <c r="C96" s="28"/>
      <c r="D96" s="28"/>
      <c r="E96" s="35"/>
      <c r="F96" s="35"/>
      <c r="G96" s="28"/>
      <c r="H96" s="28"/>
      <c r="I96" s="28"/>
      <c r="J96" s="28"/>
      <c r="K96" s="28"/>
      <c r="L96" s="29" t="str">
        <f aca="false">IF(A96="","",IF(COUNTIF($A$5:$A$204,A96)&gt;1,"コード重複",""))</f>
        <v/>
      </c>
    </row>
    <row r="97" customFormat="false" ht="15" hidden="false" customHeight="false" outlineLevel="0" collapsed="false">
      <c r="A97" s="23"/>
      <c r="B97" s="28"/>
      <c r="C97" s="28"/>
      <c r="D97" s="28"/>
      <c r="E97" s="35"/>
      <c r="F97" s="35"/>
      <c r="G97" s="28"/>
      <c r="H97" s="28"/>
      <c r="I97" s="28"/>
      <c r="J97" s="28"/>
      <c r="K97" s="28"/>
      <c r="L97" s="29" t="str">
        <f aca="false">IF(A97="","",IF(COUNTIF($A$5:$A$204,A97)&gt;1,"コード重複",""))</f>
        <v/>
      </c>
    </row>
    <row r="98" customFormat="false" ht="15" hidden="false" customHeight="false" outlineLevel="0" collapsed="false">
      <c r="A98" s="23"/>
      <c r="B98" s="28"/>
      <c r="C98" s="28"/>
      <c r="D98" s="28"/>
      <c r="E98" s="35"/>
      <c r="F98" s="35"/>
      <c r="G98" s="28"/>
      <c r="H98" s="28"/>
      <c r="I98" s="28"/>
      <c r="J98" s="28"/>
      <c r="K98" s="28"/>
      <c r="L98" s="29" t="str">
        <f aca="false">IF(A98="","",IF(COUNTIF($A$5:$A$204,A98)&gt;1,"コード重複",""))</f>
        <v/>
      </c>
    </row>
    <row r="99" customFormat="false" ht="15" hidden="false" customHeight="false" outlineLevel="0" collapsed="false">
      <c r="A99" s="23"/>
      <c r="B99" s="28"/>
      <c r="C99" s="28"/>
      <c r="D99" s="28"/>
      <c r="E99" s="35"/>
      <c r="F99" s="35"/>
      <c r="G99" s="28"/>
      <c r="H99" s="28"/>
      <c r="I99" s="28"/>
      <c r="J99" s="28"/>
      <c r="K99" s="28"/>
      <c r="L99" s="29" t="str">
        <f aca="false">IF(A99="","",IF(COUNTIF($A$5:$A$204,A99)&gt;1,"コード重複",""))</f>
        <v/>
      </c>
    </row>
    <row r="100" customFormat="false" ht="15" hidden="false" customHeight="false" outlineLevel="0" collapsed="false">
      <c r="A100" s="23"/>
      <c r="B100" s="28"/>
      <c r="C100" s="28"/>
      <c r="D100" s="28"/>
      <c r="E100" s="35"/>
      <c r="F100" s="35"/>
      <c r="G100" s="28"/>
      <c r="H100" s="28"/>
      <c r="I100" s="28"/>
      <c r="J100" s="28"/>
      <c r="K100" s="28"/>
      <c r="L100" s="29" t="str">
        <f aca="false">IF(A100="","",IF(COUNTIF($A$5:$A$204,A100)&gt;1,"コード重複",""))</f>
        <v/>
      </c>
    </row>
    <row r="101" customFormat="false" ht="15" hidden="false" customHeight="false" outlineLevel="0" collapsed="false">
      <c r="A101" s="23"/>
      <c r="B101" s="28"/>
      <c r="C101" s="28"/>
      <c r="D101" s="28"/>
      <c r="E101" s="35"/>
      <c r="F101" s="35"/>
      <c r="G101" s="28"/>
      <c r="H101" s="28"/>
      <c r="I101" s="28"/>
      <c r="J101" s="28"/>
      <c r="K101" s="28"/>
      <c r="L101" s="29" t="str">
        <f aca="false">IF(A101="","",IF(COUNTIF($A$5:$A$204,A101)&gt;1,"コード重複",""))</f>
        <v/>
      </c>
    </row>
    <row r="102" customFormat="false" ht="15" hidden="false" customHeight="false" outlineLevel="0" collapsed="false">
      <c r="A102" s="23"/>
      <c r="B102" s="28"/>
      <c r="C102" s="28"/>
      <c r="D102" s="28"/>
      <c r="E102" s="35"/>
      <c r="F102" s="35"/>
      <c r="G102" s="28"/>
      <c r="H102" s="28"/>
      <c r="I102" s="28"/>
      <c r="J102" s="28"/>
      <c r="K102" s="28"/>
      <c r="L102" s="29" t="str">
        <f aca="false">IF(A102="","",IF(COUNTIF($A$5:$A$204,A102)&gt;1,"コード重複",""))</f>
        <v/>
      </c>
    </row>
    <row r="103" customFormat="false" ht="15" hidden="false" customHeight="false" outlineLevel="0" collapsed="false">
      <c r="A103" s="23"/>
      <c r="B103" s="28"/>
      <c r="C103" s="28"/>
      <c r="D103" s="28"/>
      <c r="E103" s="35"/>
      <c r="F103" s="35"/>
      <c r="G103" s="28"/>
      <c r="H103" s="28"/>
      <c r="I103" s="28"/>
      <c r="J103" s="28"/>
      <c r="K103" s="28"/>
      <c r="L103" s="29" t="str">
        <f aca="false">IF(A103="","",IF(COUNTIF($A$5:$A$204,A103)&gt;1,"コード重複",""))</f>
        <v/>
      </c>
    </row>
    <row r="104" customFormat="false" ht="15" hidden="false" customHeight="false" outlineLevel="0" collapsed="false">
      <c r="A104" s="23"/>
      <c r="B104" s="28"/>
      <c r="C104" s="28"/>
      <c r="D104" s="28"/>
      <c r="E104" s="35"/>
      <c r="F104" s="35"/>
      <c r="G104" s="28"/>
      <c r="H104" s="28"/>
      <c r="I104" s="28"/>
      <c r="J104" s="28"/>
      <c r="K104" s="28"/>
      <c r="L104" s="29" t="str">
        <f aca="false">IF(A104="","",IF(COUNTIF($A$5:$A$204,A104)&gt;1,"コード重複",""))</f>
        <v/>
      </c>
    </row>
    <row r="105" customFormat="false" ht="15" hidden="false" customHeight="false" outlineLevel="0" collapsed="false">
      <c r="A105" s="23"/>
      <c r="B105" s="28"/>
      <c r="C105" s="28"/>
      <c r="D105" s="28"/>
      <c r="E105" s="35"/>
      <c r="F105" s="35"/>
      <c r="G105" s="28"/>
      <c r="H105" s="28"/>
      <c r="I105" s="28"/>
      <c r="J105" s="28"/>
      <c r="K105" s="28"/>
      <c r="L105" s="29" t="str">
        <f aca="false">IF(A105="","",IF(COUNTIF($A$5:$A$204,A105)&gt;1,"コード重複",""))</f>
        <v/>
      </c>
    </row>
    <row r="106" customFormat="false" ht="15" hidden="false" customHeight="false" outlineLevel="0" collapsed="false">
      <c r="A106" s="23"/>
      <c r="B106" s="28"/>
      <c r="C106" s="28"/>
      <c r="D106" s="28"/>
      <c r="E106" s="35"/>
      <c r="F106" s="35"/>
      <c r="G106" s="28"/>
      <c r="H106" s="28"/>
      <c r="I106" s="28"/>
      <c r="J106" s="28"/>
      <c r="K106" s="28"/>
      <c r="L106" s="29" t="str">
        <f aca="false">IF(A106="","",IF(COUNTIF($A$5:$A$204,A106)&gt;1,"コード重複",""))</f>
        <v/>
      </c>
    </row>
    <row r="107" customFormat="false" ht="15" hidden="false" customHeight="false" outlineLevel="0" collapsed="false">
      <c r="A107" s="23"/>
      <c r="B107" s="28"/>
      <c r="C107" s="28"/>
      <c r="D107" s="28"/>
      <c r="E107" s="35"/>
      <c r="F107" s="35"/>
      <c r="G107" s="28"/>
      <c r="H107" s="28"/>
      <c r="I107" s="28"/>
      <c r="J107" s="28"/>
      <c r="K107" s="28"/>
      <c r="L107" s="29" t="str">
        <f aca="false">IF(A107="","",IF(COUNTIF($A$5:$A$204,A107)&gt;1,"コード重複",""))</f>
        <v/>
      </c>
    </row>
    <row r="108" customFormat="false" ht="15" hidden="false" customHeight="false" outlineLevel="0" collapsed="false">
      <c r="A108" s="23"/>
      <c r="B108" s="28"/>
      <c r="C108" s="28"/>
      <c r="D108" s="28"/>
      <c r="E108" s="35"/>
      <c r="F108" s="35"/>
      <c r="G108" s="28"/>
      <c r="H108" s="28"/>
      <c r="I108" s="28"/>
      <c r="J108" s="28"/>
      <c r="K108" s="28"/>
      <c r="L108" s="29" t="str">
        <f aca="false">IF(A108="","",IF(COUNTIF($A$5:$A$204,A108)&gt;1,"コード重複",""))</f>
        <v/>
      </c>
    </row>
    <row r="109" customFormat="false" ht="15" hidden="false" customHeight="false" outlineLevel="0" collapsed="false">
      <c r="A109" s="23"/>
      <c r="B109" s="28"/>
      <c r="C109" s="28"/>
      <c r="D109" s="28"/>
      <c r="E109" s="35"/>
      <c r="F109" s="35"/>
      <c r="G109" s="28"/>
      <c r="H109" s="28"/>
      <c r="I109" s="28"/>
      <c r="J109" s="28"/>
      <c r="K109" s="28"/>
      <c r="L109" s="29" t="str">
        <f aca="false">IF(A109="","",IF(COUNTIF($A$5:$A$204,A109)&gt;1,"コード重複",""))</f>
        <v/>
      </c>
    </row>
    <row r="110" customFormat="false" ht="15" hidden="false" customHeight="false" outlineLevel="0" collapsed="false">
      <c r="A110" s="23"/>
      <c r="B110" s="28"/>
      <c r="C110" s="28"/>
      <c r="D110" s="28"/>
      <c r="E110" s="35"/>
      <c r="F110" s="35"/>
      <c r="G110" s="28"/>
      <c r="H110" s="28"/>
      <c r="I110" s="28"/>
      <c r="J110" s="28"/>
      <c r="K110" s="28"/>
      <c r="L110" s="29" t="str">
        <f aca="false">IF(A110="","",IF(COUNTIF($A$5:$A$204,A110)&gt;1,"コード重複",""))</f>
        <v/>
      </c>
    </row>
    <row r="111" customFormat="false" ht="15" hidden="false" customHeight="false" outlineLevel="0" collapsed="false">
      <c r="A111" s="23"/>
      <c r="B111" s="28"/>
      <c r="C111" s="28"/>
      <c r="D111" s="28"/>
      <c r="E111" s="35"/>
      <c r="F111" s="35"/>
      <c r="G111" s="28"/>
      <c r="H111" s="28"/>
      <c r="I111" s="28"/>
      <c r="J111" s="28"/>
      <c r="K111" s="28"/>
      <c r="L111" s="29" t="str">
        <f aca="false">IF(A111="","",IF(COUNTIF($A$5:$A$204,A111)&gt;1,"コード重複",""))</f>
        <v/>
      </c>
    </row>
    <row r="112" customFormat="false" ht="15" hidden="false" customHeight="false" outlineLevel="0" collapsed="false">
      <c r="A112" s="23"/>
      <c r="B112" s="28"/>
      <c r="C112" s="28"/>
      <c r="D112" s="28"/>
      <c r="E112" s="35"/>
      <c r="F112" s="35"/>
      <c r="G112" s="28"/>
      <c r="H112" s="28"/>
      <c r="I112" s="28"/>
      <c r="J112" s="28"/>
      <c r="K112" s="28"/>
      <c r="L112" s="29" t="str">
        <f aca="false">IF(A112="","",IF(COUNTIF($A$5:$A$204,A112)&gt;1,"コード重複",""))</f>
        <v/>
      </c>
    </row>
    <row r="113" customFormat="false" ht="15" hidden="false" customHeight="false" outlineLevel="0" collapsed="false">
      <c r="A113" s="23"/>
      <c r="B113" s="28"/>
      <c r="C113" s="28"/>
      <c r="D113" s="28"/>
      <c r="E113" s="35"/>
      <c r="F113" s="35"/>
      <c r="G113" s="28"/>
      <c r="H113" s="28"/>
      <c r="I113" s="28"/>
      <c r="J113" s="28"/>
      <c r="K113" s="28"/>
      <c r="L113" s="29" t="str">
        <f aca="false">IF(A113="","",IF(COUNTIF($A$5:$A$204,A113)&gt;1,"コード重複",""))</f>
        <v/>
      </c>
    </row>
    <row r="114" customFormat="false" ht="15" hidden="false" customHeight="false" outlineLevel="0" collapsed="false">
      <c r="A114" s="23"/>
      <c r="B114" s="28"/>
      <c r="C114" s="28"/>
      <c r="D114" s="28"/>
      <c r="E114" s="35"/>
      <c r="F114" s="35"/>
      <c r="G114" s="28"/>
      <c r="H114" s="28"/>
      <c r="I114" s="28"/>
      <c r="J114" s="28"/>
      <c r="K114" s="28"/>
      <c r="L114" s="29" t="str">
        <f aca="false">IF(A114="","",IF(COUNTIF($A$5:$A$204,A114)&gt;1,"コード重複",""))</f>
        <v/>
      </c>
    </row>
    <row r="115" customFormat="false" ht="15" hidden="false" customHeight="false" outlineLevel="0" collapsed="false">
      <c r="A115" s="23"/>
      <c r="B115" s="28"/>
      <c r="C115" s="28"/>
      <c r="D115" s="28"/>
      <c r="E115" s="35"/>
      <c r="F115" s="35"/>
      <c r="G115" s="28"/>
      <c r="H115" s="28"/>
      <c r="I115" s="28"/>
      <c r="J115" s="28"/>
      <c r="K115" s="28"/>
      <c r="L115" s="29" t="str">
        <f aca="false">IF(A115="","",IF(COUNTIF($A$5:$A$204,A115)&gt;1,"コード重複",""))</f>
        <v/>
      </c>
    </row>
    <row r="116" customFormat="false" ht="15" hidden="false" customHeight="false" outlineLevel="0" collapsed="false">
      <c r="A116" s="23"/>
      <c r="B116" s="28"/>
      <c r="C116" s="28"/>
      <c r="D116" s="28"/>
      <c r="E116" s="35"/>
      <c r="F116" s="35"/>
      <c r="G116" s="28"/>
      <c r="H116" s="28"/>
      <c r="I116" s="28"/>
      <c r="J116" s="28"/>
      <c r="K116" s="28"/>
      <c r="L116" s="29" t="str">
        <f aca="false">IF(A116="","",IF(COUNTIF($A$5:$A$204,A116)&gt;1,"コード重複",""))</f>
        <v/>
      </c>
    </row>
    <row r="117" customFormat="false" ht="15" hidden="false" customHeight="false" outlineLevel="0" collapsed="false">
      <c r="A117" s="23"/>
      <c r="B117" s="28"/>
      <c r="C117" s="28"/>
      <c r="D117" s="28"/>
      <c r="E117" s="35"/>
      <c r="F117" s="35"/>
      <c r="G117" s="28"/>
      <c r="H117" s="28"/>
      <c r="I117" s="28"/>
      <c r="J117" s="28"/>
      <c r="K117" s="28"/>
      <c r="L117" s="29" t="str">
        <f aca="false">IF(A117="","",IF(COUNTIF($A$5:$A$204,A117)&gt;1,"コード重複",""))</f>
        <v/>
      </c>
    </row>
    <row r="118" customFormat="false" ht="15" hidden="false" customHeight="false" outlineLevel="0" collapsed="false">
      <c r="A118" s="23"/>
      <c r="B118" s="28"/>
      <c r="C118" s="28"/>
      <c r="D118" s="28"/>
      <c r="E118" s="35"/>
      <c r="F118" s="35"/>
      <c r="G118" s="28"/>
      <c r="H118" s="28"/>
      <c r="I118" s="28"/>
      <c r="J118" s="28"/>
      <c r="K118" s="28"/>
      <c r="L118" s="29" t="str">
        <f aca="false">IF(A118="","",IF(COUNTIF($A$5:$A$204,A118)&gt;1,"コード重複",""))</f>
        <v/>
      </c>
    </row>
    <row r="119" customFormat="false" ht="15" hidden="false" customHeight="false" outlineLevel="0" collapsed="false">
      <c r="A119" s="23"/>
      <c r="B119" s="28"/>
      <c r="C119" s="28"/>
      <c r="D119" s="28"/>
      <c r="E119" s="35"/>
      <c r="F119" s="35"/>
      <c r="G119" s="28"/>
      <c r="H119" s="28"/>
      <c r="I119" s="28"/>
      <c r="J119" s="28"/>
      <c r="K119" s="28"/>
      <c r="L119" s="29" t="str">
        <f aca="false">IF(A119="","",IF(COUNTIF($A$5:$A$204,A119)&gt;1,"コード重複",""))</f>
        <v/>
      </c>
    </row>
    <row r="120" customFormat="false" ht="15" hidden="false" customHeight="false" outlineLevel="0" collapsed="false">
      <c r="A120" s="23"/>
      <c r="B120" s="28"/>
      <c r="C120" s="28"/>
      <c r="D120" s="28"/>
      <c r="E120" s="35"/>
      <c r="F120" s="35"/>
      <c r="G120" s="28"/>
      <c r="H120" s="28"/>
      <c r="I120" s="28"/>
      <c r="J120" s="28"/>
      <c r="K120" s="28"/>
      <c r="L120" s="29" t="str">
        <f aca="false">IF(A120="","",IF(COUNTIF($A$5:$A$204,A120)&gt;1,"コード重複",""))</f>
        <v/>
      </c>
    </row>
    <row r="121" customFormat="false" ht="15" hidden="false" customHeight="false" outlineLevel="0" collapsed="false">
      <c r="A121" s="23"/>
      <c r="B121" s="28"/>
      <c r="C121" s="28"/>
      <c r="D121" s="28"/>
      <c r="E121" s="35"/>
      <c r="F121" s="35"/>
      <c r="G121" s="28"/>
      <c r="H121" s="28"/>
      <c r="I121" s="28"/>
      <c r="J121" s="28"/>
      <c r="K121" s="28"/>
      <c r="L121" s="29" t="str">
        <f aca="false">IF(A121="","",IF(COUNTIF($A$5:$A$204,A121)&gt;1,"コード重複",""))</f>
        <v/>
      </c>
    </row>
    <row r="122" customFormat="false" ht="15" hidden="false" customHeight="false" outlineLevel="0" collapsed="false">
      <c r="A122" s="23"/>
      <c r="B122" s="28"/>
      <c r="C122" s="28"/>
      <c r="D122" s="28"/>
      <c r="E122" s="35"/>
      <c r="F122" s="35"/>
      <c r="G122" s="28"/>
      <c r="H122" s="28"/>
      <c r="I122" s="28"/>
      <c r="J122" s="28"/>
      <c r="K122" s="28"/>
      <c r="L122" s="29" t="str">
        <f aca="false">IF(A122="","",IF(COUNTIF($A$5:$A$204,A122)&gt;1,"コード重複",""))</f>
        <v/>
      </c>
    </row>
    <row r="123" customFormat="false" ht="15" hidden="false" customHeight="false" outlineLevel="0" collapsed="false">
      <c r="A123" s="23"/>
      <c r="B123" s="28"/>
      <c r="C123" s="28"/>
      <c r="D123" s="28"/>
      <c r="E123" s="35"/>
      <c r="F123" s="35"/>
      <c r="G123" s="28"/>
      <c r="H123" s="28"/>
      <c r="I123" s="28"/>
      <c r="J123" s="28"/>
      <c r="K123" s="28"/>
      <c r="L123" s="29" t="str">
        <f aca="false">IF(A123="","",IF(COUNTIF($A$5:$A$204,A123)&gt;1,"コード重複",""))</f>
        <v/>
      </c>
    </row>
    <row r="124" customFormat="false" ht="15" hidden="false" customHeight="false" outlineLevel="0" collapsed="false">
      <c r="A124" s="23"/>
      <c r="B124" s="28"/>
      <c r="C124" s="28"/>
      <c r="D124" s="28"/>
      <c r="E124" s="35"/>
      <c r="F124" s="35"/>
      <c r="G124" s="28"/>
      <c r="H124" s="28"/>
      <c r="I124" s="28"/>
      <c r="J124" s="28"/>
      <c r="K124" s="28"/>
      <c r="L124" s="29" t="str">
        <f aca="false">IF(A124="","",IF(COUNTIF($A$5:$A$204,A124)&gt;1,"コード重複",""))</f>
        <v/>
      </c>
    </row>
    <row r="125" customFormat="false" ht="15" hidden="false" customHeight="false" outlineLevel="0" collapsed="false">
      <c r="A125" s="23"/>
      <c r="B125" s="28"/>
      <c r="C125" s="28"/>
      <c r="D125" s="28"/>
      <c r="E125" s="35"/>
      <c r="F125" s="35"/>
      <c r="G125" s="28"/>
      <c r="H125" s="28"/>
      <c r="I125" s="28"/>
      <c r="J125" s="28"/>
      <c r="K125" s="28"/>
      <c r="L125" s="29" t="str">
        <f aca="false">IF(A125="","",IF(COUNTIF($A$5:$A$204,A125)&gt;1,"コード重複",""))</f>
        <v/>
      </c>
    </row>
    <row r="126" customFormat="false" ht="15" hidden="false" customHeight="false" outlineLevel="0" collapsed="false">
      <c r="A126" s="23"/>
      <c r="B126" s="28"/>
      <c r="C126" s="28"/>
      <c r="D126" s="28"/>
      <c r="E126" s="35"/>
      <c r="F126" s="35"/>
      <c r="G126" s="28"/>
      <c r="H126" s="28"/>
      <c r="I126" s="28"/>
      <c r="J126" s="28"/>
      <c r="K126" s="28"/>
      <c r="L126" s="29" t="str">
        <f aca="false">IF(A126="","",IF(COUNTIF($A$5:$A$204,A126)&gt;1,"コード重複",""))</f>
        <v/>
      </c>
    </row>
    <row r="127" customFormat="false" ht="15" hidden="false" customHeight="false" outlineLevel="0" collapsed="false">
      <c r="A127" s="23"/>
      <c r="B127" s="28"/>
      <c r="C127" s="28"/>
      <c r="D127" s="28"/>
      <c r="E127" s="35"/>
      <c r="F127" s="35"/>
      <c r="G127" s="28"/>
      <c r="H127" s="28"/>
      <c r="I127" s="28"/>
      <c r="J127" s="28"/>
      <c r="K127" s="28"/>
      <c r="L127" s="29" t="str">
        <f aca="false">IF(A127="","",IF(COUNTIF($A$5:$A$204,A127)&gt;1,"コード重複",""))</f>
        <v/>
      </c>
    </row>
    <row r="128" customFormat="false" ht="15" hidden="false" customHeight="false" outlineLevel="0" collapsed="false">
      <c r="A128" s="23"/>
      <c r="B128" s="28"/>
      <c r="C128" s="28"/>
      <c r="D128" s="28"/>
      <c r="E128" s="35"/>
      <c r="F128" s="35"/>
      <c r="G128" s="28"/>
      <c r="H128" s="28"/>
      <c r="I128" s="28"/>
      <c r="J128" s="28"/>
      <c r="K128" s="28"/>
      <c r="L128" s="29" t="str">
        <f aca="false">IF(A128="","",IF(COUNTIF($A$5:$A$204,A128)&gt;1,"コード重複",""))</f>
        <v/>
      </c>
    </row>
    <row r="129" customFormat="false" ht="15" hidden="false" customHeight="false" outlineLevel="0" collapsed="false">
      <c r="A129" s="23"/>
      <c r="B129" s="28"/>
      <c r="C129" s="28"/>
      <c r="D129" s="28"/>
      <c r="E129" s="35"/>
      <c r="F129" s="35"/>
      <c r="G129" s="28"/>
      <c r="H129" s="28"/>
      <c r="I129" s="28"/>
      <c r="J129" s="28"/>
      <c r="K129" s="28"/>
      <c r="L129" s="29" t="str">
        <f aca="false">IF(A129="","",IF(COUNTIF($A$5:$A$204,A129)&gt;1,"コード重複",""))</f>
        <v/>
      </c>
    </row>
    <row r="130" customFormat="false" ht="15" hidden="false" customHeight="false" outlineLevel="0" collapsed="false">
      <c r="A130" s="23"/>
      <c r="B130" s="28"/>
      <c r="C130" s="28"/>
      <c r="D130" s="28"/>
      <c r="E130" s="35"/>
      <c r="F130" s="35"/>
      <c r="G130" s="28"/>
      <c r="H130" s="28"/>
      <c r="I130" s="28"/>
      <c r="J130" s="28"/>
      <c r="K130" s="28"/>
      <c r="L130" s="29" t="str">
        <f aca="false">IF(A130="","",IF(COUNTIF($A$5:$A$204,A130)&gt;1,"コード重複",""))</f>
        <v/>
      </c>
    </row>
    <row r="131" customFormat="false" ht="15" hidden="false" customHeight="false" outlineLevel="0" collapsed="false">
      <c r="A131" s="23"/>
      <c r="B131" s="28"/>
      <c r="C131" s="28"/>
      <c r="D131" s="28"/>
      <c r="E131" s="35"/>
      <c r="F131" s="35"/>
      <c r="G131" s="28"/>
      <c r="H131" s="28"/>
      <c r="I131" s="28"/>
      <c r="J131" s="28"/>
      <c r="K131" s="28"/>
      <c r="L131" s="29" t="str">
        <f aca="false">IF(A131="","",IF(COUNTIF($A$5:$A$204,A131)&gt;1,"コード重複",""))</f>
        <v/>
      </c>
    </row>
    <row r="132" customFormat="false" ht="15" hidden="false" customHeight="false" outlineLevel="0" collapsed="false">
      <c r="A132" s="23"/>
      <c r="B132" s="28"/>
      <c r="C132" s="28"/>
      <c r="D132" s="28"/>
      <c r="E132" s="35"/>
      <c r="F132" s="35"/>
      <c r="G132" s="28"/>
      <c r="H132" s="28"/>
      <c r="I132" s="28"/>
      <c r="J132" s="28"/>
      <c r="K132" s="28"/>
      <c r="L132" s="29" t="str">
        <f aca="false">IF(A132="","",IF(COUNTIF($A$5:$A$204,A132)&gt;1,"コード重複",""))</f>
        <v/>
      </c>
    </row>
    <row r="133" customFormat="false" ht="15" hidden="false" customHeight="false" outlineLevel="0" collapsed="false">
      <c r="A133" s="23"/>
      <c r="B133" s="28"/>
      <c r="C133" s="28"/>
      <c r="D133" s="28"/>
      <c r="E133" s="35"/>
      <c r="F133" s="35"/>
      <c r="G133" s="28"/>
      <c r="H133" s="28"/>
      <c r="I133" s="28"/>
      <c r="J133" s="28"/>
      <c r="K133" s="28"/>
      <c r="L133" s="29" t="str">
        <f aca="false">IF(A133="","",IF(COUNTIF($A$5:$A$204,A133)&gt;1,"コード重複",""))</f>
        <v/>
      </c>
    </row>
    <row r="134" customFormat="false" ht="15" hidden="false" customHeight="false" outlineLevel="0" collapsed="false">
      <c r="A134" s="23"/>
      <c r="B134" s="28"/>
      <c r="C134" s="28"/>
      <c r="D134" s="28"/>
      <c r="E134" s="35"/>
      <c r="F134" s="35"/>
      <c r="G134" s="28"/>
      <c r="H134" s="28"/>
      <c r="I134" s="28"/>
      <c r="J134" s="28"/>
      <c r="K134" s="28"/>
      <c r="L134" s="29" t="str">
        <f aca="false">IF(A134="","",IF(COUNTIF($A$5:$A$204,A134)&gt;1,"コード重複",""))</f>
        <v/>
      </c>
    </row>
    <row r="135" customFormat="false" ht="15" hidden="false" customHeight="false" outlineLevel="0" collapsed="false">
      <c r="A135" s="23"/>
      <c r="B135" s="28"/>
      <c r="C135" s="28"/>
      <c r="D135" s="28"/>
      <c r="E135" s="35"/>
      <c r="F135" s="35"/>
      <c r="G135" s="28"/>
      <c r="H135" s="28"/>
      <c r="I135" s="28"/>
      <c r="J135" s="28"/>
      <c r="K135" s="28"/>
      <c r="L135" s="29" t="str">
        <f aca="false">IF(A135="","",IF(COUNTIF($A$5:$A$204,A135)&gt;1,"コード重複",""))</f>
        <v/>
      </c>
    </row>
    <row r="136" customFormat="false" ht="15" hidden="false" customHeight="false" outlineLevel="0" collapsed="false">
      <c r="A136" s="23"/>
      <c r="B136" s="28"/>
      <c r="C136" s="28"/>
      <c r="D136" s="28"/>
      <c r="E136" s="35"/>
      <c r="F136" s="35"/>
      <c r="G136" s="28"/>
      <c r="H136" s="28"/>
      <c r="I136" s="28"/>
      <c r="J136" s="28"/>
      <c r="K136" s="28"/>
      <c r="L136" s="29" t="str">
        <f aca="false">IF(A136="","",IF(COUNTIF($A$5:$A$204,A136)&gt;1,"コード重複",""))</f>
        <v/>
      </c>
    </row>
    <row r="137" customFormat="false" ht="15" hidden="false" customHeight="false" outlineLevel="0" collapsed="false">
      <c r="A137" s="23"/>
      <c r="B137" s="28"/>
      <c r="C137" s="28"/>
      <c r="D137" s="28"/>
      <c r="E137" s="35"/>
      <c r="F137" s="35"/>
      <c r="G137" s="28"/>
      <c r="H137" s="28"/>
      <c r="I137" s="28"/>
      <c r="J137" s="28"/>
      <c r="K137" s="28"/>
      <c r="L137" s="29" t="str">
        <f aca="false">IF(A137="","",IF(COUNTIF($A$5:$A$204,A137)&gt;1,"コード重複",""))</f>
        <v/>
      </c>
    </row>
    <row r="138" customFormat="false" ht="15" hidden="false" customHeight="false" outlineLevel="0" collapsed="false">
      <c r="A138" s="23"/>
      <c r="B138" s="28"/>
      <c r="C138" s="28"/>
      <c r="D138" s="28"/>
      <c r="E138" s="35"/>
      <c r="F138" s="35"/>
      <c r="G138" s="28"/>
      <c r="H138" s="28"/>
      <c r="I138" s="28"/>
      <c r="J138" s="28"/>
      <c r="K138" s="28"/>
      <c r="L138" s="29" t="str">
        <f aca="false">IF(A138="","",IF(COUNTIF($A$5:$A$204,A138)&gt;1,"コード重複",""))</f>
        <v/>
      </c>
    </row>
    <row r="139" customFormat="false" ht="15" hidden="false" customHeight="false" outlineLevel="0" collapsed="false">
      <c r="A139" s="23"/>
      <c r="B139" s="28"/>
      <c r="C139" s="28"/>
      <c r="D139" s="28"/>
      <c r="E139" s="35"/>
      <c r="F139" s="35"/>
      <c r="G139" s="28"/>
      <c r="H139" s="28"/>
      <c r="I139" s="28"/>
      <c r="J139" s="28"/>
      <c r="K139" s="28"/>
      <c r="L139" s="29" t="str">
        <f aca="false">IF(A139="","",IF(COUNTIF($A$5:$A$204,A139)&gt;1,"コード重複",""))</f>
        <v/>
      </c>
    </row>
    <row r="140" customFormat="false" ht="15" hidden="false" customHeight="false" outlineLevel="0" collapsed="false">
      <c r="A140" s="23"/>
      <c r="B140" s="28"/>
      <c r="C140" s="28"/>
      <c r="D140" s="28"/>
      <c r="E140" s="35"/>
      <c r="F140" s="35"/>
      <c r="G140" s="28"/>
      <c r="H140" s="28"/>
      <c r="I140" s="28"/>
      <c r="J140" s="28"/>
      <c r="K140" s="28"/>
      <c r="L140" s="29" t="str">
        <f aca="false">IF(A140="","",IF(COUNTIF($A$5:$A$204,A140)&gt;1,"コード重複",""))</f>
        <v/>
      </c>
    </row>
    <row r="141" customFormat="false" ht="15" hidden="false" customHeight="false" outlineLevel="0" collapsed="false">
      <c r="A141" s="23"/>
      <c r="B141" s="28"/>
      <c r="C141" s="28"/>
      <c r="D141" s="28"/>
      <c r="E141" s="35"/>
      <c r="F141" s="35"/>
      <c r="G141" s="28"/>
      <c r="H141" s="28"/>
      <c r="I141" s="28"/>
      <c r="J141" s="28"/>
      <c r="K141" s="28"/>
      <c r="L141" s="29" t="str">
        <f aca="false">IF(A141="","",IF(COUNTIF($A$5:$A$204,A141)&gt;1,"コード重複",""))</f>
        <v/>
      </c>
    </row>
    <row r="142" customFormat="false" ht="15" hidden="false" customHeight="false" outlineLevel="0" collapsed="false">
      <c r="A142" s="23"/>
      <c r="B142" s="28"/>
      <c r="C142" s="28"/>
      <c r="D142" s="28"/>
      <c r="E142" s="35"/>
      <c r="F142" s="35"/>
      <c r="G142" s="28"/>
      <c r="H142" s="28"/>
      <c r="I142" s="28"/>
      <c r="J142" s="28"/>
      <c r="K142" s="28"/>
      <c r="L142" s="29" t="str">
        <f aca="false">IF(A142="","",IF(COUNTIF($A$5:$A$204,A142)&gt;1,"コード重複",""))</f>
        <v/>
      </c>
    </row>
    <row r="143" customFormat="false" ht="15" hidden="false" customHeight="false" outlineLevel="0" collapsed="false">
      <c r="A143" s="23"/>
      <c r="B143" s="28"/>
      <c r="C143" s="28"/>
      <c r="D143" s="28"/>
      <c r="E143" s="35"/>
      <c r="F143" s="35"/>
      <c r="G143" s="28"/>
      <c r="H143" s="28"/>
      <c r="I143" s="28"/>
      <c r="J143" s="28"/>
      <c r="K143" s="28"/>
      <c r="L143" s="29" t="str">
        <f aca="false">IF(A143="","",IF(COUNTIF($A$5:$A$204,A143)&gt;1,"コード重複",""))</f>
        <v/>
      </c>
    </row>
    <row r="144" customFormat="false" ht="15" hidden="false" customHeight="false" outlineLevel="0" collapsed="false">
      <c r="A144" s="23"/>
      <c r="B144" s="28"/>
      <c r="C144" s="28"/>
      <c r="D144" s="28"/>
      <c r="E144" s="35"/>
      <c r="F144" s="35"/>
      <c r="G144" s="28"/>
      <c r="H144" s="28"/>
      <c r="I144" s="28"/>
      <c r="J144" s="28"/>
      <c r="K144" s="28"/>
      <c r="L144" s="29" t="str">
        <f aca="false">IF(A144="","",IF(COUNTIF($A$5:$A$204,A144)&gt;1,"コード重複",""))</f>
        <v/>
      </c>
    </row>
    <row r="145" customFormat="false" ht="15" hidden="false" customHeight="false" outlineLevel="0" collapsed="false">
      <c r="A145" s="23"/>
      <c r="B145" s="28"/>
      <c r="C145" s="28"/>
      <c r="D145" s="28"/>
      <c r="E145" s="35"/>
      <c r="F145" s="35"/>
      <c r="G145" s="28"/>
      <c r="H145" s="28"/>
      <c r="I145" s="28"/>
      <c r="J145" s="28"/>
      <c r="K145" s="28"/>
      <c r="L145" s="29" t="str">
        <f aca="false">IF(A145="","",IF(COUNTIF($A$5:$A$204,A145)&gt;1,"コード重複",""))</f>
        <v/>
      </c>
    </row>
    <row r="146" customFormat="false" ht="15" hidden="false" customHeight="false" outlineLevel="0" collapsed="false">
      <c r="A146" s="23"/>
      <c r="B146" s="28"/>
      <c r="C146" s="28"/>
      <c r="D146" s="28"/>
      <c r="E146" s="35"/>
      <c r="F146" s="35"/>
      <c r="G146" s="28"/>
      <c r="H146" s="28"/>
      <c r="I146" s="28"/>
      <c r="J146" s="28"/>
      <c r="K146" s="28"/>
      <c r="L146" s="29" t="str">
        <f aca="false">IF(A146="","",IF(COUNTIF($A$5:$A$204,A146)&gt;1,"コード重複",""))</f>
        <v/>
      </c>
    </row>
    <row r="147" customFormat="false" ht="15" hidden="false" customHeight="false" outlineLevel="0" collapsed="false">
      <c r="A147" s="23"/>
      <c r="B147" s="28"/>
      <c r="C147" s="28"/>
      <c r="D147" s="28"/>
      <c r="E147" s="35"/>
      <c r="F147" s="35"/>
      <c r="G147" s="28"/>
      <c r="H147" s="28"/>
      <c r="I147" s="28"/>
      <c r="J147" s="28"/>
      <c r="K147" s="28"/>
      <c r="L147" s="29" t="str">
        <f aca="false">IF(A147="","",IF(COUNTIF($A$5:$A$204,A147)&gt;1,"コード重複",""))</f>
        <v/>
      </c>
    </row>
    <row r="148" customFormat="false" ht="15" hidden="false" customHeight="false" outlineLevel="0" collapsed="false">
      <c r="A148" s="23"/>
      <c r="B148" s="28"/>
      <c r="C148" s="28"/>
      <c r="D148" s="28"/>
      <c r="E148" s="35"/>
      <c r="F148" s="35"/>
      <c r="G148" s="28"/>
      <c r="H148" s="28"/>
      <c r="I148" s="28"/>
      <c r="J148" s="28"/>
      <c r="K148" s="28"/>
      <c r="L148" s="29" t="str">
        <f aca="false">IF(A148="","",IF(COUNTIF($A$5:$A$204,A148)&gt;1,"コード重複",""))</f>
        <v/>
      </c>
    </row>
    <row r="149" customFormat="false" ht="15" hidden="false" customHeight="false" outlineLevel="0" collapsed="false">
      <c r="A149" s="23"/>
      <c r="B149" s="28"/>
      <c r="C149" s="28"/>
      <c r="D149" s="28"/>
      <c r="E149" s="35"/>
      <c r="F149" s="35"/>
      <c r="G149" s="28"/>
      <c r="H149" s="28"/>
      <c r="I149" s="28"/>
      <c r="J149" s="28"/>
      <c r="K149" s="28"/>
      <c r="L149" s="29" t="str">
        <f aca="false">IF(A149="","",IF(COUNTIF($A$5:$A$204,A149)&gt;1,"コード重複",""))</f>
        <v/>
      </c>
    </row>
    <row r="150" customFormat="false" ht="15" hidden="false" customHeight="false" outlineLevel="0" collapsed="false">
      <c r="A150" s="23"/>
      <c r="B150" s="28"/>
      <c r="C150" s="28"/>
      <c r="D150" s="28"/>
      <c r="E150" s="35"/>
      <c r="F150" s="35"/>
      <c r="G150" s="28"/>
      <c r="H150" s="28"/>
      <c r="I150" s="28"/>
      <c r="J150" s="28"/>
      <c r="K150" s="28"/>
      <c r="L150" s="29" t="str">
        <f aca="false">IF(A150="","",IF(COUNTIF($A$5:$A$204,A150)&gt;1,"コード重複",""))</f>
        <v/>
      </c>
    </row>
    <row r="151" customFormat="false" ht="15" hidden="false" customHeight="false" outlineLevel="0" collapsed="false">
      <c r="A151" s="23"/>
      <c r="B151" s="28"/>
      <c r="C151" s="28"/>
      <c r="D151" s="28"/>
      <c r="E151" s="35"/>
      <c r="F151" s="35"/>
      <c r="G151" s="28"/>
      <c r="H151" s="28"/>
      <c r="I151" s="28"/>
      <c r="J151" s="28"/>
      <c r="K151" s="28"/>
      <c r="L151" s="29" t="str">
        <f aca="false">IF(A151="","",IF(COUNTIF($A$5:$A$204,A151)&gt;1,"コード重複",""))</f>
        <v/>
      </c>
    </row>
    <row r="152" customFormat="false" ht="15" hidden="false" customHeight="false" outlineLevel="0" collapsed="false">
      <c r="A152" s="23"/>
      <c r="B152" s="28"/>
      <c r="C152" s="28"/>
      <c r="D152" s="28"/>
      <c r="E152" s="35"/>
      <c r="F152" s="35"/>
      <c r="G152" s="28"/>
      <c r="H152" s="28"/>
      <c r="I152" s="28"/>
      <c r="J152" s="28"/>
      <c r="K152" s="28"/>
      <c r="L152" s="29" t="str">
        <f aca="false">IF(A152="","",IF(COUNTIF($A$5:$A$204,A152)&gt;1,"コード重複",""))</f>
        <v/>
      </c>
    </row>
    <row r="153" customFormat="false" ht="15" hidden="false" customHeight="false" outlineLevel="0" collapsed="false">
      <c r="A153" s="23"/>
      <c r="B153" s="28"/>
      <c r="C153" s="28"/>
      <c r="D153" s="28"/>
      <c r="E153" s="35"/>
      <c r="F153" s="35"/>
      <c r="G153" s="28"/>
      <c r="H153" s="28"/>
      <c r="I153" s="28"/>
      <c r="J153" s="28"/>
      <c r="K153" s="28"/>
      <c r="L153" s="29" t="str">
        <f aca="false">IF(A153="","",IF(COUNTIF($A$5:$A$204,A153)&gt;1,"コード重複",""))</f>
        <v/>
      </c>
    </row>
    <row r="154" customFormat="false" ht="15" hidden="false" customHeight="false" outlineLevel="0" collapsed="false">
      <c r="A154" s="23"/>
      <c r="B154" s="28"/>
      <c r="C154" s="28"/>
      <c r="D154" s="28"/>
      <c r="E154" s="35"/>
      <c r="F154" s="35"/>
      <c r="G154" s="28"/>
      <c r="H154" s="28"/>
      <c r="I154" s="28"/>
      <c r="J154" s="28"/>
      <c r="K154" s="28"/>
      <c r="L154" s="29" t="str">
        <f aca="false">IF(A154="","",IF(COUNTIF($A$5:$A$204,A154)&gt;1,"コード重複",""))</f>
        <v/>
      </c>
    </row>
    <row r="155" customFormat="false" ht="15" hidden="false" customHeight="false" outlineLevel="0" collapsed="false">
      <c r="A155" s="23"/>
      <c r="B155" s="28"/>
      <c r="C155" s="28"/>
      <c r="D155" s="28"/>
      <c r="E155" s="35"/>
      <c r="F155" s="35"/>
      <c r="G155" s="28"/>
      <c r="H155" s="28"/>
      <c r="I155" s="28"/>
      <c r="J155" s="28"/>
      <c r="K155" s="28"/>
      <c r="L155" s="29" t="str">
        <f aca="false">IF(A155="","",IF(COUNTIF($A$5:$A$204,A155)&gt;1,"コード重複",""))</f>
        <v/>
      </c>
    </row>
    <row r="156" customFormat="false" ht="15" hidden="false" customHeight="false" outlineLevel="0" collapsed="false">
      <c r="A156" s="23"/>
      <c r="B156" s="28"/>
      <c r="C156" s="28"/>
      <c r="D156" s="28"/>
      <c r="E156" s="35"/>
      <c r="F156" s="35"/>
      <c r="G156" s="28"/>
      <c r="H156" s="28"/>
      <c r="I156" s="28"/>
      <c r="J156" s="28"/>
      <c r="K156" s="28"/>
      <c r="L156" s="29" t="str">
        <f aca="false">IF(A156="","",IF(COUNTIF($A$5:$A$204,A156)&gt;1,"コード重複",""))</f>
        <v/>
      </c>
    </row>
    <row r="157" customFormat="false" ht="15" hidden="false" customHeight="false" outlineLevel="0" collapsed="false">
      <c r="A157" s="23"/>
      <c r="B157" s="28"/>
      <c r="C157" s="28"/>
      <c r="D157" s="28"/>
      <c r="E157" s="35"/>
      <c r="F157" s="35"/>
      <c r="G157" s="28"/>
      <c r="H157" s="28"/>
      <c r="I157" s="28"/>
      <c r="J157" s="28"/>
      <c r="K157" s="28"/>
      <c r="L157" s="29" t="str">
        <f aca="false">IF(A157="","",IF(COUNTIF($A$5:$A$204,A157)&gt;1,"コード重複",""))</f>
        <v/>
      </c>
    </row>
    <row r="158" customFormat="false" ht="15" hidden="false" customHeight="false" outlineLevel="0" collapsed="false">
      <c r="A158" s="23"/>
      <c r="B158" s="28"/>
      <c r="C158" s="28"/>
      <c r="D158" s="28"/>
      <c r="E158" s="35"/>
      <c r="F158" s="35"/>
      <c r="G158" s="28"/>
      <c r="H158" s="28"/>
      <c r="I158" s="28"/>
      <c r="J158" s="28"/>
      <c r="K158" s="28"/>
      <c r="L158" s="29" t="str">
        <f aca="false">IF(A158="","",IF(COUNTIF($A$5:$A$204,A158)&gt;1,"コード重複",""))</f>
        <v/>
      </c>
    </row>
    <row r="159" customFormat="false" ht="15" hidden="false" customHeight="false" outlineLevel="0" collapsed="false">
      <c r="A159" s="23"/>
      <c r="B159" s="28"/>
      <c r="C159" s="28"/>
      <c r="D159" s="28"/>
      <c r="E159" s="35"/>
      <c r="F159" s="35"/>
      <c r="G159" s="28"/>
      <c r="H159" s="28"/>
      <c r="I159" s="28"/>
      <c r="J159" s="28"/>
      <c r="K159" s="28"/>
      <c r="L159" s="29" t="str">
        <f aca="false">IF(A159="","",IF(COUNTIF($A$5:$A$204,A159)&gt;1,"コード重複",""))</f>
        <v/>
      </c>
    </row>
    <row r="160" customFormat="false" ht="15" hidden="false" customHeight="false" outlineLevel="0" collapsed="false">
      <c r="A160" s="23"/>
      <c r="B160" s="28"/>
      <c r="C160" s="28"/>
      <c r="D160" s="28"/>
      <c r="E160" s="35"/>
      <c r="F160" s="35"/>
      <c r="G160" s="28"/>
      <c r="H160" s="28"/>
      <c r="I160" s="28"/>
      <c r="J160" s="28"/>
      <c r="K160" s="28"/>
      <c r="L160" s="29" t="str">
        <f aca="false">IF(A160="","",IF(COUNTIF($A$5:$A$204,A160)&gt;1,"コード重複",""))</f>
        <v/>
      </c>
    </row>
    <row r="161" customFormat="false" ht="15" hidden="false" customHeight="false" outlineLevel="0" collapsed="false">
      <c r="A161" s="23"/>
      <c r="B161" s="28"/>
      <c r="C161" s="28"/>
      <c r="D161" s="28"/>
      <c r="E161" s="35"/>
      <c r="F161" s="35"/>
      <c r="G161" s="28"/>
      <c r="H161" s="28"/>
      <c r="I161" s="28"/>
      <c r="J161" s="28"/>
      <c r="K161" s="28"/>
      <c r="L161" s="29" t="str">
        <f aca="false">IF(A161="","",IF(COUNTIF($A$5:$A$204,A161)&gt;1,"コード重複",""))</f>
        <v/>
      </c>
    </row>
    <row r="162" customFormat="false" ht="15" hidden="false" customHeight="false" outlineLevel="0" collapsed="false">
      <c r="A162" s="23"/>
      <c r="B162" s="28"/>
      <c r="C162" s="28"/>
      <c r="D162" s="28"/>
      <c r="E162" s="35"/>
      <c r="F162" s="35"/>
      <c r="G162" s="28"/>
      <c r="H162" s="28"/>
      <c r="I162" s="28"/>
      <c r="J162" s="28"/>
      <c r="K162" s="28"/>
      <c r="L162" s="29" t="str">
        <f aca="false">IF(A162="","",IF(COUNTIF($A$5:$A$204,A162)&gt;1,"コード重複",""))</f>
        <v/>
      </c>
    </row>
    <row r="163" customFormat="false" ht="15" hidden="false" customHeight="false" outlineLevel="0" collapsed="false">
      <c r="A163" s="23"/>
      <c r="B163" s="28"/>
      <c r="C163" s="28"/>
      <c r="D163" s="28"/>
      <c r="E163" s="35"/>
      <c r="F163" s="35"/>
      <c r="G163" s="28"/>
      <c r="H163" s="28"/>
      <c r="I163" s="28"/>
      <c r="J163" s="28"/>
      <c r="K163" s="28"/>
      <c r="L163" s="29" t="str">
        <f aca="false">IF(A163="","",IF(COUNTIF($A$5:$A$204,A163)&gt;1,"コード重複",""))</f>
        <v/>
      </c>
    </row>
    <row r="164" customFormat="false" ht="15" hidden="false" customHeight="false" outlineLevel="0" collapsed="false">
      <c r="A164" s="23"/>
      <c r="B164" s="28"/>
      <c r="C164" s="28"/>
      <c r="D164" s="28"/>
      <c r="E164" s="35"/>
      <c r="F164" s="35"/>
      <c r="G164" s="28"/>
      <c r="H164" s="28"/>
      <c r="I164" s="28"/>
      <c r="J164" s="28"/>
      <c r="K164" s="28"/>
      <c r="L164" s="29" t="str">
        <f aca="false">IF(A164="","",IF(COUNTIF($A$5:$A$204,A164)&gt;1,"コード重複",""))</f>
        <v/>
      </c>
    </row>
    <row r="165" customFormat="false" ht="15" hidden="false" customHeight="false" outlineLevel="0" collapsed="false">
      <c r="A165" s="23"/>
      <c r="B165" s="28"/>
      <c r="C165" s="28"/>
      <c r="D165" s="28"/>
      <c r="E165" s="35"/>
      <c r="F165" s="35"/>
      <c r="G165" s="28"/>
      <c r="H165" s="28"/>
      <c r="I165" s="28"/>
      <c r="J165" s="28"/>
      <c r="K165" s="28"/>
      <c r="L165" s="29" t="str">
        <f aca="false">IF(A165="","",IF(COUNTIF($A$5:$A$204,A165)&gt;1,"コード重複",""))</f>
        <v/>
      </c>
    </row>
    <row r="166" customFormat="false" ht="15" hidden="false" customHeight="false" outlineLevel="0" collapsed="false">
      <c r="A166" s="23"/>
      <c r="B166" s="28"/>
      <c r="C166" s="28"/>
      <c r="D166" s="28"/>
      <c r="E166" s="35"/>
      <c r="F166" s="35"/>
      <c r="G166" s="28"/>
      <c r="H166" s="28"/>
      <c r="I166" s="28"/>
      <c r="J166" s="28"/>
      <c r="K166" s="28"/>
      <c r="L166" s="29" t="str">
        <f aca="false">IF(A166="","",IF(COUNTIF($A$5:$A$204,A166)&gt;1,"コード重複",""))</f>
        <v/>
      </c>
    </row>
    <row r="167" customFormat="false" ht="15" hidden="false" customHeight="false" outlineLevel="0" collapsed="false">
      <c r="A167" s="23"/>
      <c r="B167" s="28"/>
      <c r="C167" s="28"/>
      <c r="D167" s="28"/>
      <c r="E167" s="35"/>
      <c r="F167" s="35"/>
      <c r="G167" s="28"/>
      <c r="H167" s="28"/>
      <c r="I167" s="28"/>
      <c r="J167" s="28"/>
      <c r="K167" s="28"/>
      <c r="L167" s="29" t="str">
        <f aca="false">IF(A167="","",IF(COUNTIF($A$5:$A$204,A167)&gt;1,"コード重複",""))</f>
        <v/>
      </c>
    </row>
    <row r="168" customFormat="false" ht="15" hidden="false" customHeight="false" outlineLevel="0" collapsed="false">
      <c r="A168" s="23"/>
      <c r="B168" s="28"/>
      <c r="C168" s="28"/>
      <c r="D168" s="28"/>
      <c r="E168" s="35"/>
      <c r="F168" s="35"/>
      <c r="G168" s="28"/>
      <c r="H168" s="28"/>
      <c r="I168" s="28"/>
      <c r="J168" s="28"/>
      <c r="K168" s="28"/>
      <c r="L168" s="29" t="str">
        <f aca="false">IF(A168="","",IF(COUNTIF($A$5:$A$204,A168)&gt;1,"コード重複",""))</f>
        <v/>
      </c>
    </row>
    <row r="169" customFormat="false" ht="15" hidden="false" customHeight="false" outlineLevel="0" collapsed="false">
      <c r="A169" s="23"/>
      <c r="B169" s="28"/>
      <c r="C169" s="28"/>
      <c r="D169" s="28"/>
      <c r="E169" s="35"/>
      <c r="F169" s="35"/>
      <c r="G169" s="28"/>
      <c r="H169" s="28"/>
      <c r="I169" s="28"/>
      <c r="J169" s="28"/>
      <c r="K169" s="28"/>
      <c r="L169" s="29" t="str">
        <f aca="false">IF(A169="","",IF(COUNTIF($A$5:$A$204,A169)&gt;1,"コード重複",""))</f>
        <v/>
      </c>
    </row>
    <row r="170" customFormat="false" ht="15" hidden="false" customHeight="false" outlineLevel="0" collapsed="false">
      <c r="A170" s="23"/>
      <c r="B170" s="28"/>
      <c r="C170" s="28"/>
      <c r="D170" s="28"/>
      <c r="E170" s="35"/>
      <c r="F170" s="35"/>
      <c r="G170" s="28"/>
      <c r="H170" s="28"/>
      <c r="I170" s="28"/>
      <c r="J170" s="28"/>
      <c r="K170" s="28"/>
      <c r="L170" s="29" t="str">
        <f aca="false">IF(A170="","",IF(COUNTIF($A$5:$A$204,A170)&gt;1,"コード重複",""))</f>
        <v/>
      </c>
    </row>
    <row r="171" customFormat="false" ht="15" hidden="false" customHeight="false" outlineLevel="0" collapsed="false">
      <c r="A171" s="23"/>
      <c r="B171" s="28"/>
      <c r="C171" s="28"/>
      <c r="D171" s="28"/>
      <c r="E171" s="35"/>
      <c r="F171" s="35"/>
      <c r="G171" s="28"/>
      <c r="H171" s="28"/>
      <c r="I171" s="28"/>
      <c r="J171" s="28"/>
      <c r="K171" s="28"/>
      <c r="L171" s="29" t="str">
        <f aca="false">IF(A171="","",IF(COUNTIF($A$5:$A$204,A171)&gt;1,"コード重複",""))</f>
        <v/>
      </c>
    </row>
    <row r="172" customFormat="false" ht="15" hidden="false" customHeight="false" outlineLevel="0" collapsed="false">
      <c r="A172" s="23"/>
      <c r="B172" s="28"/>
      <c r="C172" s="28"/>
      <c r="D172" s="28"/>
      <c r="E172" s="35"/>
      <c r="F172" s="35"/>
      <c r="G172" s="28"/>
      <c r="H172" s="28"/>
      <c r="I172" s="28"/>
      <c r="J172" s="28"/>
      <c r="K172" s="28"/>
      <c r="L172" s="29" t="str">
        <f aca="false">IF(A172="","",IF(COUNTIF($A$5:$A$204,A172)&gt;1,"コード重複",""))</f>
        <v/>
      </c>
    </row>
    <row r="173" customFormat="false" ht="15" hidden="false" customHeight="false" outlineLevel="0" collapsed="false">
      <c r="A173" s="23"/>
      <c r="B173" s="28"/>
      <c r="C173" s="28"/>
      <c r="D173" s="28"/>
      <c r="E173" s="35"/>
      <c r="F173" s="35"/>
      <c r="G173" s="28"/>
      <c r="H173" s="28"/>
      <c r="I173" s="28"/>
      <c r="J173" s="28"/>
      <c r="K173" s="28"/>
      <c r="L173" s="29" t="str">
        <f aca="false">IF(A173="","",IF(COUNTIF($A$5:$A$204,A173)&gt;1,"コード重複",""))</f>
        <v/>
      </c>
    </row>
    <row r="174" customFormat="false" ht="15" hidden="false" customHeight="false" outlineLevel="0" collapsed="false">
      <c r="A174" s="23"/>
      <c r="B174" s="28"/>
      <c r="C174" s="28"/>
      <c r="D174" s="28"/>
      <c r="E174" s="35"/>
      <c r="F174" s="35"/>
      <c r="G174" s="28"/>
      <c r="H174" s="28"/>
      <c r="I174" s="28"/>
      <c r="J174" s="28"/>
      <c r="K174" s="28"/>
      <c r="L174" s="29" t="str">
        <f aca="false">IF(A174="","",IF(COUNTIF($A$5:$A$204,A174)&gt;1,"コード重複",""))</f>
        <v/>
      </c>
    </row>
    <row r="175" customFormat="false" ht="15" hidden="false" customHeight="false" outlineLevel="0" collapsed="false">
      <c r="A175" s="23"/>
      <c r="B175" s="28"/>
      <c r="C175" s="28"/>
      <c r="D175" s="28"/>
      <c r="E175" s="35"/>
      <c r="F175" s="35"/>
      <c r="G175" s="28"/>
      <c r="H175" s="28"/>
      <c r="I175" s="28"/>
      <c r="J175" s="28"/>
      <c r="K175" s="28"/>
      <c r="L175" s="29" t="str">
        <f aca="false">IF(A175="","",IF(COUNTIF($A$5:$A$204,A175)&gt;1,"コード重複",""))</f>
        <v/>
      </c>
    </row>
    <row r="176" customFormat="false" ht="15" hidden="false" customHeight="false" outlineLevel="0" collapsed="false">
      <c r="A176" s="23"/>
      <c r="B176" s="28"/>
      <c r="C176" s="28"/>
      <c r="D176" s="28"/>
      <c r="E176" s="35"/>
      <c r="F176" s="35"/>
      <c r="G176" s="28"/>
      <c r="H176" s="28"/>
      <c r="I176" s="28"/>
      <c r="J176" s="28"/>
      <c r="K176" s="28"/>
      <c r="L176" s="29" t="str">
        <f aca="false">IF(A176="","",IF(COUNTIF($A$5:$A$204,A176)&gt;1,"コード重複",""))</f>
        <v/>
      </c>
    </row>
    <row r="177" customFormat="false" ht="15" hidden="false" customHeight="false" outlineLevel="0" collapsed="false">
      <c r="A177" s="23"/>
      <c r="B177" s="28"/>
      <c r="C177" s="28"/>
      <c r="D177" s="28"/>
      <c r="E177" s="35"/>
      <c r="F177" s="35"/>
      <c r="G177" s="28"/>
      <c r="H177" s="28"/>
      <c r="I177" s="28"/>
      <c r="J177" s="28"/>
      <c r="K177" s="28"/>
      <c r="L177" s="29" t="str">
        <f aca="false">IF(A177="","",IF(COUNTIF($A$5:$A$204,A177)&gt;1,"コード重複",""))</f>
        <v/>
      </c>
    </row>
    <row r="178" customFormat="false" ht="15" hidden="false" customHeight="false" outlineLevel="0" collapsed="false">
      <c r="A178" s="23"/>
      <c r="B178" s="28"/>
      <c r="C178" s="28"/>
      <c r="D178" s="28"/>
      <c r="E178" s="35"/>
      <c r="F178" s="35"/>
      <c r="G178" s="28"/>
      <c r="H178" s="28"/>
      <c r="I178" s="28"/>
      <c r="J178" s="28"/>
      <c r="K178" s="28"/>
      <c r="L178" s="29" t="str">
        <f aca="false">IF(A178="","",IF(COUNTIF($A$5:$A$204,A178)&gt;1,"コード重複",""))</f>
        <v/>
      </c>
    </row>
    <row r="179" customFormat="false" ht="15" hidden="false" customHeight="false" outlineLevel="0" collapsed="false">
      <c r="A179" s="23"/>
      <c r="B179" s="28"/>
      <c r="C179" s="28"/>
      <c r="D179" s="28"/>
      <c r="E179" s="35"/>
      <c r="F179" s="35"/>
      <c r="G179" s="28"/>
      <c r="H179" s="28"/>
      <c r="I179" s="28"/>
      <c r="J179" s="28"/>
      <c r="K179" s="28"/>
      <c r="L179" s="29" t="str">
        <f aca="false">IF(A179="","",IF(COUNTIF($A$5:$A$204,A179)&gt;1,"コード重複",""))</f>
        <v/>
      </c>
    </row>
    <row r="180" customFormat="false" ht="15" hidden="false" customHeight="false" outlineLevel="0" collapsed="false">
      <c r="A180" s="23"/>
      <c r="B180" s="28"/>
      <c r="C180" s="28"/>
      <c r="D180" s="28"/>
      <c r="E180" s="35"/>
      <c r="F180" s="35"/>
      <c r="G180" s="28"/>
      <c r="H180" s="28"/>
      <c r="I180" s="28"/>
      <c r="J180" s="28"/>
      <c r="K180" s="28"/>
      <c r="L180" s="29" t="str">
        <f aca="false">IF(A180="","",IF(COUNTIF($A$5:$A$204,A180)&gt;1,"コード重複",""))</f>
        <v/>
      </c>
    </row>
    <row r="181" customFormat="false" ht="15" hidden="false" customHeight="false" outlineLevel="0" collapsed="false">
      <c r="A181" s="23"/>
      <c r="B181" s="28"/>
      <c r="C181" s="28"/>
      <c r="D181" s="28"/>
      <c r="E181" s="35"/>
      <c r="F181" s="35"/>
      <c r="G181" s="28"/>
      <c r="H181" s="28"/>
      <c r="I181" s="28"/>
      <c r="J181" s="28"/>
      <c r="K181" s="28"/>
      <c r="L181" s="29" t="str">
        <f aca="false">IF(A181="","",IF(COUNTIF($A$5:$A$204,A181)&gt;1,"コード重複",""))</f>
        <v/>
      </c>
    </row>
    <row r="182" customFormat="false" ht="15" hidden="false" customHeight="false" outlineLevel="0" collapsed="false">
      <c r="A182" s="23"/>
      <c r="B182" s="28"/>
      <c r="C182" s="28"/>
      <c r="D182" s="28"/>
      <c r="E182" s="35"/>
      <c r="F182" s="35"/>
      <c r="G182" s="28"/>
      <c r="H182" s="28"/>
      <c r="I182" s="28"/>
      <c r="J182" s="28"/>
      <c r="K182" s="28"/>
      <c r="L182" s="29" t="str">
        <f aca="false">IF(A182="","",IF(COUNTIF($A$5:$A$204,A182)&gt;1,"コード重複",""))</f>
        <v/>
      </c>
    </row>
    <row r="183" customFormat="false" ht="15" hidden="false" customHeight="false" outlineLevel="0" collapsed="false">
      <c r="A183" s="23"/>
      <c r="B183" s="28"/>
      <c r="C183" s="28"/>
      <c r="D183" s="28"/>
      <c r="E183" s="35"/>
      <c r="F183" s="35"/>
      <c r="G183" s="28"/>
      <c r="H183" s="28"/>
      <c r="I183" s="28"/>
      <c r="J183" s="28"/>
      <c r="K183" s="28"/>
      <c r="L183" s="29" t="str">
        <f aca="false">IF(A183="","",IF(COUNTIF($A$5:$A$204,A183)&gt;1,"コード重複",""))</f>
        <v/>
      </c>
    </row>
    <row r="184" customFormat="false" ht="15" hidden="false" customHeight="false" outlineLevel="0" collapsed="false">
      <c r="A184" s="23"/>
      <c r="B184" s="28"/>
      <c r="C184" s="28"/>
      <c r="D184" s="28"/>
      <c r="E184" s="35"/>
      <c r="F184" s="35"/>
      <c r="G184" s="28"/>
      <c r="H184" s="28"/>
      <c r="I184" s="28"/>
      <c r="J184" s="28"/>
      <c r="K184" s="28"/>
      <c r="L184" s="29" t="str">
        <f aca="false">IF(A184="","",IF(COUNTIF($A$5:$A$204,A184)&gt;1,"コード重複",""))</f>
        <v/>
      </c>
    </row>
    <row r="185" customFormat="false" ht="15" hidden="false" customHeight="false" outlineLevel="0" collapsed="false">
      <c r="A185" s="23"/>
      <c r="B185" s="28"/>
      <c r="C185" s="28"/>
      <c r="D185" s="28"/>
      <c r="E185" s="35"/>
      <c r="F185" s="35"/>
      <c r="G185" s="28"/>
      <c r="H185" s="28"/>
      <c r="I185" s="28"/>
      <c r="J185" s="28"/>
      <c r="K185" s="28"/>
      <c r="L185" s="29" t="str">
        <f aca="false">IF(A185="","",IF(COUNTIF($A$5:$A$204,A185)&gt;1,"コード重複",""))</f>
        <v/>
      </c>
    </row>
    <row r="186" customFormat="false" ht="15" hidden="false" customHeight="false" outlineLevel="0" collapsed="false">
      <c r="A186" s="23"/>
      <c r="B186" s="28"/>
      <c r="C186" s="28"/>
      <c r="D186" s="28"/>
      <c r="E186" s="35"/>
      <c r="F186" s="35"/>
      <c r="G186" s="28"/>
      <c r="H186" s="28"/>
      <c r="I186" s="28"/>
      <c r="J186" s="28"/>
      <c r="K186" s="28"/>
      <c r="L186" s="29" t="str">
        <f aca="false">IF(A186="","",IF(COUNTIF($A$5:$A$204,A186)&gt;1,"コード重複",""))</f>
        <v/>
      </c>
    </row>
    <row r="187" customFormat="false" ht="15" hidden="false" customHeight="false" outlineLevel="0" collapsed="false">
      <c r="A187" s="23"/>
      <c r="B187" s="28"/>
      <c r="C187" s="28"/>
      <c r="D187" s="28"/>
      <c r="E187" s="35"/>
      <c r="F187" s="35"/>
      <c r="G187" s="28"/>
      <c r="H187" s="28"/>
      <c r="I187" s="28"/>
      <c r="J187" s="28"/>
      <c r="K187" s="28"/>
      <c r="L187" s="29" t="str">
        <f aca="false">IF(A187="","",IF(COUNTIF($A$5:$A$204,A187)&gt;1,"コード重複",""))</f>
        <v/>
      </c>
    </row>
    <row r="188" customFormat="false" ht="15" hidden="false" customHeight="false" outlineLevel="0" collapsed="false">
      <c r="A188" s="23"/>
      <c r="B188" s="28"/>
      <c r="C188" s="28"/>
      <c r="D188" s="28"/>
      <c r="E188" s="35"/>
      <c r="F188" s="35"/>
      <c r="G188" s="28"/>
      <c r="H188" s="28"/>
      <c r="I188" s="28"/>
      <c r="J188" s="28"/>
      <c r="K188" s="28"/>
      <c r="L188" s="29" t="str">
        <f aca="false">IF(A188="","",IF(COUNTIF($A$5:$A$204,A188)&gt;1,"コード重複",""))</f>
        <v/>
      </c>
    </row>
    <row r="189" customFormat="false" ht="15" hidden="false" customHeight="false" outlineLevel="0" collapsed="false">
      <c r="A189" s="23"/>
      <c r="B189" s="28"/>
      <c r="C189" s="28"/>
      <c r="D189" s="28"/>
      <c r="E189" s="35"/>
      <c r="F189" s="35"/>
      <c r="G189" s="28"/>
      <c r="H189" s="28"/>
      <c r="I189" s="28"/>
      <c r="J189" s="28"/>
      <c r="K189" s="28"/>
      <c r="L189" s="29" t="str">
        <f aca="false">IF(A189="","",IF(COUNTIF($A$5:$A$204,A189)&gt;1,"コード重複",""))</f>
        <v/>
      </c>
    </row>
    <row r="190" customFormat="false" ht="15" hidden="false" customHeight="false" outlineLevel="0" collapsed="false">
      <c r="A190" s="23"/>
      <c r="B190" s="28"/>
      <c r="C190" s="28"/>
      <c r="D190" s="28"/>
      <c r="E190" s="35"/>
      <c r="F190" s="35"/>
      <c r="G190" s="28"/>
      <c r="H190" s="28"/>
      <c r="I190" s="28"/>
      <c r="J190" s="28"/>
      <c r="K190" s="28"/>
      <c r="L190" s="29" t="str">
        <f aca="false">IF(A190="","",IF(COUNTIF($A$5:$A$204,A190)&gt;1,"コード重複",""))</f>
        <v/>
      </c>
    </row>
    <row r="191" customFormat="false" ht="15" hidden="false" customHeight="false" outlineLevel="0" collapsed="false">
      <c r="A191" s="23"/>
      <c r="B191" s="28"/>
      <c r="C191" s="28"/>
      <c r="D191" s="28"/>
      <c r="E191" s="35"/>
      <c r="F191" s="35"/>
      <c r="G191" s="28"/>
      <c r="H191" s="28"/>
      <c r="I191" s="28"/>
      <c r="J191" s="28"/>
      <c r="K191" s="28"/>
      <c r="L191" s="29" t="str">
        <f aca="false">IF(A191="","",IF(COUNTIF($A$5:$A$204,A191)&gt;1,"コード重複",""))</f>
        <v/>
      </c>
    </row>
    <row r="192" customFormat="false" ht="15" hidden="false" customHeight="false" outlineLevel="0" collapsed="false">
      <c r="A192" s="23"/>
      <c r="B192" s="28"/>
      <c r="C192" s="28"/>
      <c r="D192" s="28"/>
      <c r="E192" s="35"/>
      <c r="F192" s="35"/>
      <c r="G192" s="28"/>
      <c r="H192" s="28"/>
      <c r="I192" s="28"/>
      <c r="J192" s="28"/>
      <c r="K192" s="28"/>
      <c r="L192" s="29" t="str">
        <f aca="false">IF(A192="","",IF(COUNTIF($A$5:$A$204,A192)&gt;1,"コード重複",""))</f>
        <v/>
      </c>
    </row>
    <row r="193" customFormat="false" ht="15" hidden="false" customHeight="false" outlineLevel="0" collapsed="false">
      <c r="A193" s="23"/>
      <c r="B193" s="28"/>
      <c r="C193" s="28"/>
      <c r="D193" s="28"/>
      <c r="E193" s="35"/>
      <c r="F193" s="35"/>
      <c r="G193" s="28"/>
      <c r="H193" s="28"/>
      <c r="I193" s="28"/>
      <c r="J193" s="28"/>
      <c r="K193" s="28"/>
      <c r="L193" s="29" t="str">
        <f aca="false">IF(A193="","",IF(COUNTIF($A$5:$A$204,A193)&gt;1,"コード重複",""))</f>
        <v/>
      </c>
    </row>
    <row r="194" customFormat="false" ht="15" hidden="false" customHeight="false" outlineLevel="0" collapsed="false">
      <c r="A194" s="23"/>
      <c r="B194" s="28"/>
      <c r="C194" s="28"/>
      <c r="D194" s="28"/>
      <c r="E194" s="35"/>
      <c r="F194" s="35"/>
      <c r="G194" s="28"/>
      <c r="H194" s="28"/>
      <c r="I194" s="28"/>
      <c r="J194" s="28"/>
      <c r="K194" s="28"/>
      <c r="L194" s="29" t="str">
        <f aca="false">IF(A194="","",IF(COUNTIF($A$5:$A$204,A194)&gt;1,"コード重複",""))</f>
        <v/>
      </c>
    </row>
    <row r="195" customFormat="false" ht="15" hidden="false" customHeight="false" outlineLevel="0" collapsed="false">
      <c r="A195" s="23"/>
      <c r="B195" s="28"/>
      <c r="C195" s="28"/>
      <c r="D195" s="28"/>
      <c r="E195" s="35"/>
      <c r="F195" s="35"/>
      <c r="G195" s="28"/>
      <c r="H195" s="28"/>
      <c r="I195" s="28"/>
      <c r="J195" s="28"/>
      <c r="K195" s="28"/>
      <c r="L195" s="29" t="str">
        <f aca="false">IF(A195="","",IF(COUNTIF($A$5:$A$204,A195)&gt;1,"コード重複",""))</f>
        <v/>
      </c>
    </row>
    <row r="196" customFormat="false" ht="15" hidden="false" customHeight="false" outlineLevel="0" collapsed="false">
      <c r="A196" s="23"/>
      <c r="B196" s="28"/>
      <c r="C196" s="28"/>
      <c r="D196" s="28"/>
      <c r="E196" s="35"/>
      <c r="F196" s="35"/>
      <c r="G196" s="28"/>
      <c r="H196" s="28"/>
      <c r="I196" s="28"/>
      <c r="J196" s="28"/>
      <c r="K196" s="28"/>
      <c r="L196" s="29" t="str">
        <f aca="false">IF(A196="","",IF(COUNTIF($A$5:$A$204,A196)&gt;1,"コード重複",""))</f>
        <v/>
      </c>
    </row>
    <row r="197" customFormat="false" ht="15" hidden="false" customHeight="false" outlineLevel="0" collapsed="false">
      <c r="A197" s="23"/>
      <c r="B197" s="28"/>
      <c r="C197" s="28"/>
      <c r="D197" s="28"/>
      <c r="E197" s="35"/>
      <c r="F197" s="35"/>
      <c r="G197" s="28"/>
      <c r="H197" s="28"/>
      <c r="I197" s="28"/>
      <c r="J197" s="28"/>
      <c r="K197" s="28"/>
      <c r="L197" s="29" t="str">
        <f aca="false">IF(A197="","",IF(COUNTIF($A$5:$A$204,A197)&gt;1,"コード重複",""))</f>
        <v/>
      </c>
    </row>
    <row r="198" customFormat="false" ht="15" hidden="false" customHeight="false" outlineLevel="0" collapsed="false">
      <c r="A198" s="23"/>
      <c r="B198" s="28"/>
      <c r="C198" s="28"/>
      <c r="D198" s="28"/>
      <c r="E198" s="35"/>
      <c r="F198" s="35"/>
      <c r="G198" s="28"/>
      <c r="H198" s="28"/>
      <c r="I198" s="28"/>
      <c r="J198" s="28"/>
      <c r="K198" s="28"/>
      <c r="L198" s="29" t="str">
        <f aca="false">IF(A198="","",IF(COUNTIF($A$5:$A$204,A198)&gt;1,"コード重複",""))</f>
        <v/>
      </c>
    </row>
    <row r="199" customFormat="false" ht="15" hidden="false" customHeight="false" outlineLevel="0" collapsed="false">
      <c r="A199" s="23"/>
      <c r="B199" s="28"/>
      <c r="C199" s="28"/>
      <c r="D199" s="28"/>
      <c r="E199" s="35"/>
      <c r="F199" s="35"/>
      <c r="G199" s="28"/>
      <c r="H199" s="28"/>
      <c r="I199" s="28"/>
      <c r="J199" s="28"/>
      <c r="K199" s="28"/>
      <c r="L199" s="29" t="str">
        <f aca="false">IF(A199="","",IF(COUNTIF($A$5:$A$204,A199)&gt;1,"コード重複",""))</f>
        <v/>
      </c>
    </row>
    <row r="200" customFormat="false" ht="15" hidden="false" customHeight="false" outlineLevel="0" collapsed="false">
      <c r="A200" s="23"/>
      <c r="B200" s="28"/>
      <c r="C200" s="28"/>
      <c r="D200" s="28"/>
      <c r="E200" s="35"/>
      <c r="F200" s="35"/>
      <c r="G200" s="28"/>
      <c r="H200" s="28"/>
      <c r="I200" s="28"/>
      <c r="J200" s="28"/>
      <c r="K200" s="28"/>
      <c r="L200" s="29" t="str">
        <f aca="false">IF(A200="","",IF(COUNTIF($A$5:$A$204,A200)&gt;1,"コード重複",""))</f>
        <v/>
      </c>
    </row>
    <row r="201" customFormat="false" ht="15" hidden="false" customHeight="false" outlineLevel="0" collapsed="false">
      <c r="A201" s="23"/>
      <c r="B201" s="28"/>
      <c r="C201" s="28"/>
      <c r="D201" s="28"/>
      <c r="E201" s="35"/>
      <c r="F201" s="35"/>
      <c r="G201" s="28"/>
      <c r="H201" s="28"/>
      <c r="I201" s="28"/>
      <c r="J201" s="28"/>
      <c r="K201" s="28"/>
      <c r="L201" s="29" t="str">
        <f aca="false">IF(A201="","",IF(COUNTIF($A$5:$A$204,A201)&gt;1,"コード重複",""))</f>
        <v/>
      </c>
    </row>
    <row r="202" customFormat="false" ht="15" hidden="false" customHeight="false" outlineLevel="0" collapsed="false">
      <c r="A202" s="23"/>
      <c r="B202" s="28"/>
      <c r="C202" s="28"/>
      <c r="D202" s="28"/>
      <c r="E202" s="35"/>
      <c r="F202" s="35"/>
      <c r="G202" s="28"/>
      <c r="H202" s="28"/>
      <c r="I202" s="28"/>
      <c r="J202" s="28"/>
      <c r="K202" s="28"/>
      <c r="L202" s="29" t="str">
        <f aca="false">IF(A202="","",IF(COUNTIF($A$5:$A$204,A202)&gt;1,"コード重複",""))</f>
        <v/>
      </c>
    </row>
    <row r="203" customFormat="false" ht="15" hidden="false" customHeight="false" outlineLevel="0" collapsed="false">
      <c r="A203" s="23"/>
      <c r="B203" s="28"/>
      <c r="C203" s="28"/>
      <c r="D203" s="28"/>
      <c r="E203" s="35"/>
      <c r="F203" s="35"/>
      <c r="G203" s="28"/>
      <c r="H203" s="28"/>
      <c r="I203" s="28"/>
      <c r="J203" s="28"/>
      <c r="K203" s="28"/>
      <c r="L203" s="29" t="str">
        <f aca="false">IF(A203="","",IF(COUNTIF($A$5:$A$204,A203)&gt;1,"コード重複",""))</f>
        <v/>
      </c>
    </row>
    <row r="204" customFormat="false" ht="15" hidden="false" customHeight="false" outlineLevel="0" collapsed="false">
      <c r="A204" s="23"/>
      <c r="B204" s="28"/>
      <c r="C204" s="28"/>
      <c r="D204" s="28"/>
      <c r="E204" s="35"/>
      <c r="F204" s="35"/>
      <c r="G204" s="28"/>
      <c r="H204" s="28"/>
      <c r="I204" s="28"/>
      <c r="J204" s="28"/>
      <c r="K204" s="28"/>
      <c r="L204" s="29" t="str">
        <f aca="false">IF(A204="","",IF(COUNTIF($A$5:$A$204,A204)&gt;1,"コード重複",""))</f>
        <v/>
      </c>
    </row>
  </sheetData>
  <sheetProtection sheet="true" formatCells="false" formatColumns="false" formatRows="false" autoFilter="false"/>
  <autoFilter ref="A4:L204"/>
  <conditionalFormatting sqref="L5:L204">
    <cfRule type="expression" priority="2" aboveAverage="0" equalAverage="0" bottom="0" percent="0" rank="0" text="" dxfId="2">
      <formula>$L5&lt;&gt;""</formula>
    </cfRule>
  </conditionalFormatting>
  <dataValidations count="4">
    <dataValidation allowBlank="true" error="一覧から選択してください" errorStyle="stop" errorTitle="入力エラー" operator="between" showDropDown="false" showErrorMessage="true" showInputMessage="false" sqref="G5:G204" type="list">
      <formula1>設定!$J$5:$J$24</formula1>
      <formula2>0</formula2>
    </dataValidation>
    <dataValidation allowBlank="true" error="一覧から選択してください" errorStyle="stop" errorTitle="入力エラー" operator="between" showDropDown="false" showErrorMessage="true" showInputMessage="false" sqref="H5:H204" type="list">
      <formula1>設定!$G$5:$G$24</formula1>
      <formula2>0</formula2>
    </dataValidation>
    <dataValidation allowBlank="true" error="0〜12の整数を入力してください" errorStyle="stop" operator="between" showDropDown="false" showErrorMessage="true" showInputMessage="false" sqref="E5:E204" type="whole">
      <formula1>0</formula1>
      <formula2>12</formula2>
    </dataValidation>
    <dataValidation allowBlank="true" error="1〜31の整数を入力してください(末日=31)" errorStyle="stop" operator="between" showDropDown="false" showErrorMessage="true" showInputMessage="false" sqref="F5:F204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216</v>
      </c>
    </row>
    <row r="4" customFormat="false" ht="45.75" hidden="false" customHeight="true" outlineLevel="0" collapsed="false">
      <c r="A4" s="13" t="s">
        <v>217</v>
      </c>
      <c r="B4" s="13" t="s">
        <v>218</v>
      </c>
      <c r="C4" s="13" t="s">
        <v>219</v>
      </c>
      <c r="D4" s="13" t="s">
        <v>220</v>
      </c>
      <c r="E4" s="13" t="s">
        <v>221</v>
      </c>
      <c r="F4" s="13" t="s">
        <v>222</v>
      </c>
      <c r="G4" s="13" t="s">
        <v>223</v>
      </c>
      <c r="H4" s="13" t="s">
        <v>224</v>
      </c>
      <c r="I4" s="13" t="s">
        <v>225</v>
      </c>
      <c r="J4" s="13" t="s">
        <v>226</v>
      </c>
      <c r="K4" s="13" t="s">
        <v>227</v>
      </c>
      <c r="L4" s="13" t="s">
        <v>228</v>
      </c>
      <c r="M4" s="13" t="s">
        <v>229</v>
      </c>
      <c r="N4" s="2" t="s">
        <v>230</v>
      </c>
    </row>
    <row r="5" customFormat="false" ht="15" hidden="false" customHeight="false" outlineLevel="0" collapsed="false">
      <c r="A5" s="36" t="n">
        <v>46266</v>
      </c>
      <c r="B5" s="37"/>
      <c r="C5" s="37"/>
      <c r="D5" s="37"/>
      <c r="E5" s="37"/>
      <c r="F5" s="37"/>
      <c r="G5" s="37"/>
      <c r="H5" s="37"/>
      <c r="I5" s="24"/>
      <c r="J5" s="22"/>
      <c r="K5" s="24"/>
      <c r="L5" s="22"/>
      <c r="M5" s="24"/>
    </row>
    <row r="6" customFormat="false" ht="15" hidden="false" customHeight="false" outlineLevel="0" collapsed="false">
      <c r="A6" s="36" t="n">
        <v>46296</v>
      </c>
      <c r="B6" s="37"/>
      <c r="C6" s="37"/>
      <c r="D6" s="37"/>
      <c r="E6" s="37"/>
      <c r="F6" s="37"/>
      <c r="G6" s="37"/>
      <c r="H6" s="37"/>
      <c r="I6" s="24"/>
      <c r="J6" s="22"/>
      <c r="K6" s="24"/>
      <c r="L6" s="22"/>
      <c r="M6" s="24"/>
    </row>
    <row r="7" customFormat="false" ht="15" hidden="false" customHeight="false" outlineLevel="0" collapsed="false">
      <c r="A7" s="36" t="n">
        <v>46327</v>
      </c>
      <c r="B7" s="37"/>
      <c r="C7" s="37"/>
      <c r="D7" s="37"/>
      <c r="E7" s="37"/>
      <c r="F7" s="37"/>
      <c r="G7" s="37"/>
      <c r="H7" s="37"/>
      <c r="I7" s="24"/>
      <c r="J7" s="22"/>
      <c r="K7" s="24"/>
      <c r="L7" s="22"/>
      <c r="M7" s="24"/>
    </row>
    <row r="8" customFormat="false" ht="15" hidden="false" customHeight="false" outlineLevel="0" collapsed="false">
      <c r="A8" s="36" t="n">
        <v>46357</v>
      </c>
      <c r="B8" s="37"/>
      <c r="C8" s="37"/>
      <c r="D8" s="37"/>
      <c r="E8" s="37"/>
      <c r="F8" s="37"/>
      <c r="G8" s="37"/>
      <c r="H8" s="37"/>
      <c r="I8" s="24"/>
      <c r="J8" s="22"/>
      <c r="K8" s="24"/>
      <c r="L8" s="22"/>
      <c r="M8" s="24"/>
    </row>
    <row r="9" customFormat="false" ht="15" hidden="false" customHeight="false" outlineLevel="0" collapsed="false">
      <c r="A9" s="36" t="n">
        <v>46388</v>
      </c>
      <c r="B9" s="37"/>
      <c r="C9" s="37"/>
      <c r="D9" s="37"/>
      <c r="E9" s="37"/>
      <c r="F9" s="37"/>
      <c r="G9" s="37"/>
      <c r="H9" s="37"/>
      <c r="I9" s="24"/>
      <c r="J9" s="22"/>
      <c r="K9" s="24"/>
      <c r="L9" s="22"/>
      <c r="M9" s="24"/>
    </row>
    <row r="10" customFormat="false" ht="15" hidden="false" customHeight="false" outlineLevel="0" collapsed="false">
      <c r="A10" s="36" t="n">
        <v>46419</v>
      </c>
      <c r="B10" s="37"/>
      <c r="C10" s="37"/>
      <c r="D10" s="37"/>
      <c r="E10" s="37"/>
      <c r="F10" s="37"/>
      <c r="G10" s="37"/>
      <c r="H10" s="37"/>
      <c r="I10" s="24"/>
      <c r="J10" s="22"/>
      <c r="K10" s="24"/>
      <c r="L10" s="22"/>
      <c r="M10" s="24"/>
    </row>
    <row r="11" customFormat="false" ht="15" hidden="false" customHeight="false" outlineLevel="0" collapsed="false">
      <c r="A11" s="36" t="n">
        <v>46447</v>
      </c>
      <c r="B11" s="37"/>
      <c r="C11" s="37"/>
      <c r="D11" s="37"/>
      <c r="E11" s="37"/>
      <c r="F11" s="37"/>
      <c r="G11" s="37"/>
      <c r="H11" s="37"/>
      <c r="I11" s="24"/>
      <c r="J11" s="22"/>
      <c r="K11" s="24"/>
      <c r="L11" s="22"/>
      <c r="M11" s="24"/>
    </row>
    <row r="12" customFormat="false" ht="15" hidden="false" customHeight="false" outlineLevel="0" collapsed="false">
      <c r="A12" s="36" t="n">
        <v>46478</v>
      </c>
      <c r="B12" s="37"/>
      <c r="C12" s="37"/>
      <c r="D12" s="37"/>
      <c r="E12" s="37"/>
      <c r="F12" s="37"/>
      <c r="G12" s="37"/>
      <c r="H12" s="37"/>
      <c r="I12" s="24"/>
      <c r="J12" s="22"/>
      <c r="K12" s="24"/>
      <c r="L12" s="22"/>
      <c r="M12" s="24"/>
    </row>
    <row r="13" customFormat="false" ht="15" hidden="false" customHeight="false" outlineLevel="0" collapsed="false">
      <c r="A13" s="36" t="n">
        <v>46508</v>
      </c>
      <c r="B13" s="37"/>
      <c r="C13" s="37"/>
      <c r="D13" s="37"/>
      <c r="E13" s="37"/>
      <c r="F13" s="37"/>
      <c r="G13" s="37"/>
      <c r="H13" s="37"/>
      <c r="I13" s="24"/>
      <c r="J13" s="22"/>
      <c r="K13" s="24"/>
      <c r="L13" s="22"/>
      <c r="M13" s="24"/>
    </row>
    <row r="14" customFormat="false" ht="15" hidden="false" customHeight="false" outlineLevel="0" collapsed="false">
      <c r="A14" s="36" t="n">
        <v>46539</v>
      </c>
      <c r="B14" s="37"/>
      <c r="C14" s="37"/>
      <c r="D14" s="37"/>
      <c r="E14" s="37"/>
      <c r="F14" s="37"/>
      <c r="G14" s="37"/>
      <c r="H14" s="37"/>
      <c r="I14" s="24"/>
      <c r="J14" s="22"/>
      <c r="K14" s="24"/>
      <c r="L14" s="22"/>
      <c r="M14" s="24"/>
    </row>
    <row r="15" customFormat="false" ht="15" hidden="false" customHeight="false" outlineLevel="0" collapsed="false">
      <c r="A15" s="36" t="n">
        <v>46569</v>
      </c>
      <c r="B15" s="37"/>
      <c r="C15" s="37"/>
      <c r="D15" s="37"/>
      <c r="E15" s="37"/>
      <c r="F15" s="37"/>
      <c r="G15" s="37"/>
      <c r="H15" s="37"/>
      <c r="I15" s="24"/>
      <c r="J15" s="22"/>
      <c r="K15" s="24"/>
      <c r="L15" s="22"/>
      <c r="M15" s="24"/>
    </row>
    <row r="16" customFormat="false" ht="15" hidden="false" customHeight="false" outlineLevel="0" collapsed="false">
      <c r="A16" s="36" t="n">
        <v>46600</v>
      </c>
      <c r="B16" s="37"/>
      <c r="C16" s="37"/>
      <c r="D16" s="37"/>
      <c r="E16" s="37"/>
      <c r="F16" s="37"/>
      <c r="G16" s="37"/>
      <c r="H16" s="37"/>
      <c r="I16" s="24"/>
      <c r="J16" s="22"/>
      <c r="K16" s="24"/>
      <c r="L16" s="22"/>
      <c r="M16" s="24"/>
    </row>
    <row r="17" customFormat="false" ht="15" hidden="false" customHeight="false" outlineLevel="0" collapsed="false">
      <c r="A17" s="36" t="n">
        <v>46631</v>
      </c>
      <c r="B17" s="37"/>
      <c r="C17" s="37"/>
      <c r="D17" s="37"/>
      <c r="E17" s="37"/>
      <c r="F17" s="37"/>
      <c r="G17" s="37"/>
      <c r="H17" s="37"/>
      <c r="I17" s="24"/>
      <c r="J17" s="22"/>
      <c r="K17" s="24"/>
      <c r="L17" s="22"/>
      <c r="M17" s="24"/>
    </row>
    <row r="18" customFormat="false" ht="15" hidden="false" customHeight="false" outlineLevel="0" collapsed="false">
      <c r="A18" s="36" t="n">
        <v>46661</v>
      </c>
      <c r="B18" s="37"/>
      <c r="C18" s="37"/>
      <c r="D18" s="37"/>
      <c r="E18" s="37"/>
      <c r="F18" s="37"/>
      <c r="G18" s="37"/>
      <c r="H18" s="37"/>
      <c r="I18" s="24"/>
      <c r="J18" s="22"/>
      <c r="K18" s="24"/>
      <c r="L18" s="22"/>
      <c r="M18" s="24"/>
    </row>
    <row r="19" customFormat="false" ht="15" hidden="false" customHeight="false" outlineLevel="0" collapsed="false">
      <c r="A19" s="36" t="n">
        <v>46692</v>
      </c>
      <c r="B19" s="37"/>
      <c r="C19" s="37"/>
      <c r="D19" s="37"/>
      <c r="E19" s="37"/>
      <c r="F19" s="37"/>
      <c r="G19" s="37"/>
      <c r="H19" s="37"/>
      <c r="I19" s="24"/>
      <c r="J19" s="22"/>
      <c r="K19" s="24"/>
      <c r="L19" s="22"/>
      <c r="M19" s="24"/>
    </row>
    <row r="20" customFormat="false" ht="15" hidden="false" customHeight="false" outlineLevel="0" collapsed="false">
      <c r="A20" s="36" t="n">
        <v>46722</v>
      </c>
      <c r="B20" s="37"/>
      <c r="C20" s="37"/>
      <c r="D20" s="37"/>
      <c r="E20" s="37"/>
      <c r="F20" s="37"/>
      <c r="G20" s="37"/>
      <c r="H20" s="37"/>
      <c r="I20" s="24"/>
      <c r="J20" s="22"/>
      <c r="K20" s="24"/>
      <c r="L20" s="22"/>
      <c r="M20" s="24"/>
    </row>
    <row r="21" customFormat="false" ht="15" hidden="false" customHeight="false" outlineLevel="0" collapsed="false">
      <c r="A21" s="36" t="n">
        <v>46753</v>
      </c>
      <c r="B21" s="37"/>
      <c r="C21" s="37"/>
      <c r="D21" s="37"/>
      <c r="E21" s="37"/>
      <c r="F21" s="37"/>
      <c r="G21" s="37"/>
      <c r="H21" s="37"/>
      <c r="I21" s="24"/>
      <c r="J21" s="22"/>
      <c r="K21" s="24"/>
      <c r="L21" s="22"/>
      <c r="M21" s="24"/>
    </row>
    <row r="22" customFormat="false" ht="15" hidden="false" customHeight="false" outlineLevel="0" collapsed="false">
      <c r="A22" s="36" t="n">
        <v>46784</v>
      </c>
      <c r="B22" s="37"/>
      <c r="C22" s="37"/>
      <c r="D22" s="37"/>
      <c r="E22" s="37"/>
      <c r="F22" s="37"/>
      <c r="G22" s="37"/>
      <c r="H22" s="37"/>
      <c r="I22" s="24"/>
      <c r="J22" s="22"/>
      <c r="K22" s="24"/>
      <c r="L22" s="22"/>
      <c r="M22" s="24"/>
    </row>
    <row r="23" customFormat="false" ht="15" hidden="false" customHeight="false" outlineLevel="0" collapsed="false">
      <c r="A23" s="36" t="n">
        <v>46813</v>
      </c>
      <c r="B23" s="37"/>
      <c r="C23" s="37"/>
      <c r="D23" s="37"/>
      <c r="E23" s="37"/>
      <c r="F23" s="37"/>
      <c r="G23" s="37"/>
      <c r="H23" s="37"/>
      <c r="I23" s="24"/>
      <c r="J23" s="22"/>
      <c r="K23" s="24"/>
      <c r="L23" s="22"/>
      <c r="M23" s="24"/>
    </row>
    <row r="24" customFormat="false" ht="15" hidden="false" customHeight="false" outlineLevel="0" collapsed="false">
      <c r="A24" s="36" t="n">
        <v>46844</v>
      </c>
      <c r="B24" s="37"/>
      <c r="C24" s="37"/>
      <c r="D24" s="37"/>
      <c r="E24" s="37"/>
      <c r="F24" s="37"/>
      <c r="G24" s="37"/>
      <c r="H24" s="37"/>
      <c r="I24" s="24"/>
      <c r="J24" s="22"/>
      <c r="K24" s="24"/>
      <c r="L24" s="22"/>
      <c r="M24" s="24"/>
    </row>
    <row r="25" customFormat="false" ht="15" hidden="false" customHeight="false" outlineLevel="0" collapsed="false">
      <c r="A25" s="36" t="n">
        <v>46874</v>
      </c>
      <c r="B25" s="37"/>
      <c r="C25" s="37"/>
      <c r="D25" s="37"/>
      <c r="E25" s="37"/>
      <c r="F25" s="37"/>
      <c r="G25" s="37"/>
      <c r="H25" s="37"/>
      <c r="I25" s="24"/>
      <c r="J25" s="22"/>
      <c r="K25" s="24"/>
      <c r="L25" s="22"/>
      <c r="M25" s="24"/>
    </row>
    <row r="26" customFormat="false" ht="15" hidden="false" customHeight="false" outlineLevel="0" collapsed="false">
      <c r="A26" s="36" t="n">
        <v>46905</v>
      </c>
      <c r="B26" s="37"/>
      <c r="C26" s="37"/>
      <c r="D26" s="37"/>
      <c r="E26" s="37"/>
      <c r="F26" s="37"/>
      <c r="G26" s="37"/>
      <c r="H26" s="37"/>
      <c r="I26" s="24"/>
      <c r="J26" s="22"/>
      <c r="K26" s="24"/>
      <c r="L26" s="22"/>
      <c r="M26" s="24"/>
    </row>
    <row r="27" customFormat="false" ht="15" hidden="false" customHeight="false" outlineLevel="0" collapsed="false">
      <c r="A27" s="36" t="n">
        <v>46935</v>
      </c>
      <c r="B27" s="37"/>
      <c r="C27" s="37"/>
      <c r="D27" s="37"/>
      <c r="E27" s="37"/>
      <c r="F27" s="37"/>
      <c r="G27" s="37"/>
      <c r="H27" s="37"/>
      <c r="I27" s="24"/>
      <c r="J27" s="22"/>
      <c r="K27" s="24"/>
      <c r="L27" s="22"/>
      <c r="M27" s="24"/>
    </row>
    <row r="28" customFormat="false" ht="15" hidden="false" customHeight="false" outlineLevel="0" collapsed="false">
      <c r="A28" s="36" t="n">
        <v>46966</v>
      </c>
      <c r="B28" s="37"/>
      <c r="C28" s="37"/>
      <c r="D28" s="37"/>
      <c r="E28" s="37"/>
      <c r="F28" s="37"/>
      <c r="G28" s="37"/>
      <c r="H28" s="37"/>
      <c r="I28" s="24"/>
      <c r="J28" s="22"/>
      <c r="K28" s="24"/>
      <c r="L28" s="22"/>
      <c r="M28" s="24"/>
    </row>
    <row r="29" customFormat="false" ht="15" hidden="false" customHeight="false" outlineLevel="0" collapsed="false">
      <c r="A29" s="36" t="n">
        <v>46997</v>
      </c>
      <c r="B29" s="37"/>
      <c r="C29" s="37"/>
      <c r="D29" s="37"/>
      <c r="E29" s="37"/>
      <c r="F29" s="37"/>
      <c r="G29" s="37"/>
      <c r="H29" s="37"/>
      <c r="I29" s="24"/>
      <c r="J29" s="22"/>
      <c r="K29" s="24"/>
      <c r="L29" s="22"/>
      <c r="M29" s="24"/>
    </row>
    <row r="30" customFormat="false" ht="15" hidden="false" customHeight="false" outlineLevel="0" collapsed="false">
      <c r="A30" s="36" t="n">
        <v>47027</v>
      </c>
      <c r="B30" s="37"/>
      <c r="C30" s="37"/>
      <c r="D30" s="37"/>
      <c r="E30" s="37"/>
      <c r="F30" s="37"/>
      <c r="G30" s="37"/>
      <c r="H30" s="37"/>
      <c r="I30" s="24"/>
      <c r="J30" s="22"/>
      <c r="K30" s="24"/>
      <c r="L30" s="22"/>
      <c r="M30" s="24"/>
    </row>
    <row r="31" customFormat="false" ht="15" hidden="false" customHeight="false" outlineLevel="0" collapsed="false">
      <c r="A31" s="36" t="n">
        <v>47058</v>
      </c>
      <c r="B31" s="37"/>
      <c r="C31" s="37"/>
      <c r="D31" s="37"/>
      <c r="E31" s="37"/>
      <c r="F31" s="37"/>
      <c r="G31" s="37"/>
      <c r="H31" s="37"/>
      <c r="I31" s="24"/>
      <c r="J31" s="22"/>
      <c r="K31" s="24"/>
      <c r="L31" s="22"/>
      <c r="M31" s="24"/>
    </row>
    <row r="32" customFormat="false" ht="15" hidden="false" customHeight="false" outlineLevel="0" collapsed="false">
      <c r="A32" s="36" t="n">
        <v>47088</v>
      </c>
      <c r="B32" s="37"/>
      <c r="C32" s="37"/>
      <c r="D32" s="37"/>
      <c r="E32" s="37"/>
      <c r="F32" s="37"/>
      <c r="G32" s="37"/>
      <c r="H32" s="37"/>
      <c r="I32" s="24"/>
      <c r="J32" s="22"/>
      <c r="K32" s="24"/>
      <c r="L32" s="22"/>
      <c r="M32" s="24"/>
    </row>
    <row r="33" customFormat="false" ht="15" hidden="false" customHeight="false" outlineLevel="0" collapsed="false">
      <c r="A33" s="36" t="n">
        <v>47119</v>
      </c>
      <c r="B33" s="37"/>
      <c r="C33" s="37"/>
      <c r="D33" s="37"/>
      <c r="E33" s="37"/>
      <c r="F33" s="37"/>
      <c r="G33" s="37"/>
      <c r="H33" s="37"/>
      <c r="I33" s="24"/>
      <c r="J33" s="22"/>
      <c r="K33" s="24"/>
      <c r="L33" s="22"/>
      <c r="M33" s="24"/>
    </row>
    <row r="34" customFormat="false" ht="15" hidden="false" customHeight="false" outlineLevel="0" collapsed="false">
      <c r="A34" s="36" t="n">
        <v>47150</v>
      </c>
      <c r="B34" s="37"/>
      <c r="C34" s="37"/>
      <c r="D34" s="37"/>
      <c r="E34" s="37"/>
      <c r="F34" s="37"/>
      <c r="G34" s="37"/>
      <c r="H34" s="37"/>
      <c r="I34" s="24"/>
      <c r="J34" s="22"/>
      <c r="K34" s="24"/>
      <c r="L34" s="22"/>
      <c r="M34" s="24"/>
    </row>
    <row r="35" customFormat="false" ht="15" hidden="false" customHeight="false" outlineLevel="0" collapsed="false">
      <c r="A35" s="36" t="n">
        <v>47178</v>
      </c>
      <c r="B35" s="37"/>
      <c r="C35" s="37"/>
      <c r="D35" s="37"/>
      <c r="E35" s="37"/>
      <c r="F35" s="37"/>
      <c r="G35" s="37"/>
      <c r="H35" s="37"/>
      <c r="I35" s="24"/>
      <c r="J35" s="22"/>
      <c r="K35" s="24"/>
      <c r="L35" s="22"/>
      <c r="M35" s="24"/>
    </row>
    <row r="36" customFormat="false" ht="15" hidden="false" customHeight="false" outlineLevel="0" collapsed="false">
      <c r="A36" s="36" t="n">
        <v>47209</v>
      </c>
      <c r="B36" s="37"/>
      <c r="C36" s="37"/>
      <c r="D36" s="37"/>
      <c r="E36" s="37"/>
      <c r="F36" s="37"/>
      <c r="G36" s="37"/>
      <c r="H36" s="37"/>
      <c r="I36" s="24"/>
      <c r="J36" s="22"/>
      <c r="K36" s="24"/>
      <c r="L36" s="22"/>
      <c r="M36" s="24"/>
    </row>
    <row r="37" customFormat="false" ht="15" hidden="false" customHeight="false" outlineLevel="0" collapsed="false">
      <c r="A37" s="36" t="n">
        <v>47239</v>
      </c>
      <c r="B37" s="37"/>
      <c r="C37" s="37"/>
      <c r="D37" s="37"/>
      <c r="E37" s="37"/>
      <c r="F37" s="37"/>
      <c r="G37" s="37"/>
      <c r="H37" s="37"/>
      <c r="I37" s="24"/>
      <c r="J37" s="22"/>
      <c r="K37" s="24"/>
      <c r="L37" s="22"/>
      <c r="M37" s="24"/>
    </row>
    <row r="38" customFormat="false" ht="15" hidden="false" customHeight="false" outlineLevel="0" collapsed="false">
      <c r="A38" s="36" t="n">
        <v>47270</v>
      </c>
      <c r="B38" s="37"/>
      <c r="C38" s="37"/>
      <c r="D38" s="37"/>
      <c r="E38" s="37"/>
      <c r="F38" s="37"/>
      <c r="G38" s="37"/>
      <c r="H38" s="37"/>
      <c r="I38" s="24"/>
      <c r="J38" s="22"/>
      <c r="K38" s="24"/>
      <c r="L38" s="22"/>
      <c r="M38" s="24"/>
    </row>
    <row r="39" customFormat="false" ht="15" hidden="false" customHeight="false" outlineLevel="0" collapsed="false">
      <c r="A39" s="36" t="n">
        <v>47300</v>
      </c>
      <c r="B39" s="37"/>
      <c r="C39" s="37"/>
      <c r="D39" s="37"/>
      <c r="E39" s="37"/>
      <c r="F39" s="37"/>
      <c r="G39" s="37"/>
      <c r="H39" s="37"/>
      <c r="I39" s="24"/>
      <c r="J39" s="22"/>
      <c r="K39" s="24"/>
      <c r="L39" s="22"/>
      <c r="M39" s="24"/>
    </row>
    <row r="40" customFormat="false" ht="15" hidden="false" customHeight="false" outlineLevel="0" collapsed="false">
      <c r="A40" s="36" t="n">
        <v>47331</v>
      </c>
      <c r="B40" s="37"/>
      <c r="C40" s="37"/>
      <c r="D40" s="37"/>
      <c r="E40" s="37"/>
      <c r="F40" s="37"/>
      <c r="G40" s="37"/>
      <c r="H40" s="37"/>
      <c r="I40" s="24"/>
      <c r="J40" s="22"/>
      <c r="K40" s="24"/>
      <c r="L40" s="22"/>
      <c r="M40" s="24"/>
    </row>
  </sheetData>
  <sheetProtection sheet="true" formatCells="false" formatColumns="false" formatRows="false" autoFilter="false"/>
  <conditionalFormatting sqref="A5:M40">
    <cfRule type="expression" priority="2" aboveAverage="0" equalAverage="0" bottom="0" percent="0" rank="0" text="" dxfId="26">
      <formula>AND($A5&lt;&gt;"",$A5&lt;チェック!$C$4,$l{first}="")</formula>
    </cfRule>
  </conditionalFormatting>
  <dataValidations count="3">
    <dataValidation allowBlank="true" error="一覧から選択してください" errorStyle="stop" errorTitle="入力エラー" operator="between" showDropDown="false" showErrorMessage="true" showInputMessage="false" sqref="B5:H40" type="list">
      <formula1>設定!$K$5:$K$24</formula1>
      <formula2>0</formula2>
    </dataValidation>
    <dataValidation allowBlank="true" error="日付を入力してください(例: 2026/9/30)" errorStyle="stop" errorTitle="入力エラー" operator="between" showDropDown="false" showErrorMessage="true" showInputMessage="false" sqref="J5:J40" type="date">
      <formula1>DATE(2000,1,1)</formula1>
      <formula2>DATE(2100,12,31)</formula2>
    </dataValidation>
    <dataValidation allowBlank="true" error="日付を入力してください(例: 2026/9/30)" errorStyle="stop" errorTitle="入力エラー" operator="between" showDropDown="false" showErrorMessage="true" showInputMessage="false" sqref="L5:L40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11" min="6" style="0" width="2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231</v>
      </c>
      <c r="F2" s="2" t="s">
        <v>232</v>
      </c>
    </row>
    <row r="4" customFormat="false" ht="15" hidden="false" customHeight="false" outlineLevel="0" collapsed="false">
      <c r="B4" s="10" t="s">
        <v>233</v>
      </c>
      <c r="C4" s="38" t="s">
        <v>234</v>
      </c>
      <c r="D4" s="2" t="s">
        <v>235</v>
      </c>
      <c r="F4" s="39" t="s">
        <v>124</v>
      </c>
      <c r="G4" s="39" t="s">
        <v>130</v>
      </c>
      <c r="H4" s="39" t="s">
        <v>167</v>
      </c>
      <c r="I4" s="39" t="s">
        <v>50</v>
      </c>
      <c r="J4" s="39" t="s">
        <v>236</v>
      </c>
      <c r="K4" s="39" t="s">
        <v>237</v>
      </c>
    </row>
    <row r="5" customFormat="false" ht="15" hidden="false" customHeight="false" outlineLevel="0" collapsed="false">
      <c r="B5" s="10" t="s">
        <v>71</v>
      </c>
      <c r="C5" s="40" t="n">
        <f aca="true">TODAY()</f>
        <v>46294</v>
      </c>
      <c r="D5" s="2" t="s">
        <v>238</v>
      </c>
      <c r="F5" s="41" t="n">
        <v>0.1</v>
      </c>
      <c r="G5" s="42" t="s">
        <v>144</v>
      </c>
      <c r="H5" s="42" t="s">
        <v>173</v>
      </c>
      <c r="I5" s="42" t="s">
        <v>50</v>
      </c>
      <c r="J5" s="42" t="s">
        <v>206</v>
      </c>
      <c r="K5" s="42" t="s">
        <v>239</v>
      </c>
    </row>
    <row r="6" customFormat="false" ht="15" hidden="false" customHeight="false" outlineLevel="0" collapsed="false">
      <c r="B6" s="10" t="s">
        <v>240</v>
      </c>
      <c r="C6" s="43" t="n">
        <v>7</v>
      </c>
      <c r="D6" s="2" t="s">
        <v>241</v>
      </c>
      <c r="F6" s="41" t="n">
        <v>0.08</v>
      </c>
      <c r="G6" s="42" t="s">
        <v>150</v>
      </c>
      <c r="H6" s="42" t="s">
        <v>183</v>
      </c>
      <c r="I6" s="42"/>
      <c r="J6" s="42" t="s">
        <v>211</v>
      </c>
      <c r="K6" s="42" t="s">
        <v>242</v>
      </c>
    </row>
    <row r="7" customFormat="false" ht="15" hidden="false" customHeight="false" outlineLevel="0" collapsed="false">
      <c r="F7" s="41" t="n">
        <v>0</v>
      </c>
      <c r="G7" s="42" t="s">
        <v>156</v>
      </c>
      <c r="H7" s="42"/>
      <c r="I7" s="42"/>
      <c r="J7" s="42"/>
      <c r="K7" s="42"/>
    </row>
    <row r="8" customFormat="false" ht="15" hidden="false" customHeight="false" outlineLevel="0" collapsed="false">
      <c r="F8" s="41"/>
      <c r="G8" s="42" t="s">
        <v>243</v>
      </c>
      <c r="H8" s="42"/>
      <c r="I8" s="42"/>
      <c r="J8" s="42"/>
      <c r="K8" s="42"/>
    </row>
    <row r="9" customFormat="false" ht="15" hidden="false" customHeight="false" outlineLevel="0" collapsed="false">
      <c r="F9" s="41"/>
      <c r="G9" s="42" t="s">
        <v>244</v>
      </c>
      <c r="H9" s="42"/>
      <c r="I9" s="42"/>
      <c r="J9" s="42"/>
      <c r="K9" s="42"/>
    </row>
    <row r="10" customFormat="false" ht="15" hidden="false" customHeight="false" outlineLevel="0" collapsed="false">
      <c r="F10" s="41"/>
      <c r="G10" s="42"/>
      <c r="H10" s="42"/>
      <c r="I10" s="42"/>
      <c r="J10" s="42"/>
      <c r="K10" s="42"/>
    </row>
    <row r="11" customFormat="false" ht="15" hidden="false" customHeight="false" outlineLevel="0" collapsed="false">
      <c r="F11" s="41"/>
      <c r="G11" s="42"/>
      <c r="H11" s="42"/>
      <c r="I11" s="42"/>
      <c r="J11" s="42"/>
      <c r="K11" s="42"/>
    </row>
    <row r="12" customFormat="false" ht="15" hidden="false" customHeight="false" outlineLevel="0" collapsed="false">
      <c r="F12" s="41"/>
      <c r="G12" s="42"/>
      <c r="H12" s="42"/>
      <c r="I12" s="42"/>
      <c r="J12" s="42"/>
      <c r="K12" s="42"/>
    </row>
    <row r="13" customFormat="false" ht="15" hidden="false" customHeight="false" outlineLevel="0" collapsed="false">
      <c r="F13" s="41"/>
      <c r="G13" s="42"/>
      <c r="H13" s="42"/>
      <c r="I13" s="42"/>
      <c r="J13" s="42"/>
      <c r="K13" s="42"/>
    </row>
    <row r="14" customFormat="false" ht="15" hidden="false" customHeight="false" outlineLevel="0" collapsed="false">
      <c r="F14" s="41"/>
      <c r="G14" s="42"/>
      <c r="H14" s="42"/>
      <c r="I14" s="42"/>
      <c r="J14" s="42"/>
      <c r="K14" s="42"/>
    </row>
    <row r="15" customFormat="false" ht="15" hidden="false" customHeight="false" outlineLevel="0" collapsed="false">
      <c r="F15" s="41"/>
      <c r="G15" s="42"/>
      <c r="H15" s="42"/>
      <c r="I15" s="42"/>
      <c r="J15" s="42"/>
      <c r="K15" s="42"/>
    </row>
    <row r="16" customFormat="false" ht="15" hidden="false" customHeight="false" outlineLevel="0" collapsed="false">
      <c r="F16" s="41"/>
      <c r="G16" s="42"/>
      <c r="H16" s="42"/>
      <c r="I16" s="42"/>
      <c r="J16" s="42"/>
      <c r="K16" s="42"/>
    </row>
    <row r="17" customFormat="false" ht="15" hidden="false" customHeight="false" outlineLevel="0" collapsed="false">
      <c r="F17" s="41"/>
      <c r="G17" s="42"/>
      <c r="H17" s="42"/>
      <c r="I17" s="42"/>
      <c r="J17" s="42"/>
      <c r="K17" s="42"/>
    </row>
    <row r="18" customFormat="false" ht="15" hidden="false" customHeight="false" outlineLevel="0" collapsed="false">
      <c r="F18" s="41"/>
      <c r="G18" s="42"/>
      <c r="H18" s="42"/>
      <c r="I18" s="42"/>
      <c r="J18" s="42"/>
      <c r="K18" s="42"/>
    </row>
    <row r="19" customFormat="false" ht="15" hidden="false" customHeight="false" outlineLevel="0" collapsed="false">
      <c r="F19" s="41"/>
      <c r="G19" s="42"/>
      <c r="H19" s="42"/>
      <c r="I19" s="42"/>
      <c r="J19" s="42"/>
      <c r="K19" s="42"/>
    </row>
    <row r="20" customFormat="false" ht="15" hidden="false" customHeight="false" outlineLevel="0" collapsed="false">
      <c r="F20" s="41"/>
      <c r="G20" s="42"/>
      <c r="H20" s="42"/>
      <c r="I20" s="42"/>
      <c r="J20" s="42"/>
      <c r="K20" s="42"/>
    </row>
    <row r="21" customFormat="false" ht="15" hidden="false" customHeight="false" outlineLevel="0" collapsed="false">
      <c r="F21" s="41"/>
      <c r="G21" s="42"/>
      <c r="H21" s="42"/>
      <c r="I21" s="42"/>
      <c r="J21" s="42"/>
      <c r="K21" s="42"/>
    </row>
    <row r="22" customFormat="false" ht="15" hidden="false" customHeight="false" outlineLevel="0" collapsed="false">
      <c r="F22" s="41"/>
      <c r="G22" s="42"/>
      <c r="H22" s="42"/>
      <c r="I22" s="42"/>
      <c r="J22" s="42"/>
      <c r="K22" s="42"/>
    </row>
    <row r="23" customFormat="false" ht="15" hidden="false" customHeight="false" outlineLevel="0" collapsed="false">
      <c r="F23" s="41"/>
      <c r="G23" s="42"/>
      <c r="H23" s="42"/>
      <c r="I23" s="42"/>
      <c r="J23" s="42"/>
      <c r="K23" s="42"/>
    </row>
    <row r="24" customFormat="false" ht="15" hidden="false" customHeight="false" outlineLevel="0" collapsed="false">
      <c r="F24" s="41"/>
      <c r="G24" s="42"/>
      <c r="H24" s="42"/>
      <c r="I24" s="42"/>
      <c r="J24" s="42"/>
      <c r="K24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2026-09-29T03:14:30Z</dcterms:created>
  <dc:creator>openpyxl</dc:creator>
  <dc:description/>
  <dc:language>en-US</dc:language>
  <cp:lastModifiedBy/>
  <dcterms:modified xsi:type="dcterms:W3CDTF">2026-09-29T03:14:30Z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