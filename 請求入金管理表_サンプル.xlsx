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チェック" sheetId="2" state="visible" r:id="rId4"/>
    <sheet name="請求台帳" sheetId="3" state="visible" r:id="rId5"/>
    <sheet name="入金明細" sheetId="4" state="visible" r:id="rId6"/>
    <sheet name="取引先別残高" sheetId="5" state="visible" r:id="rId7"/>
    <sheet name="月別集計" sheetId="6" state="visible" r:id="rId8"/>
    <sheet name="取引先マスタ" sheetId="7" state="visible" r:id="rId9"/>
    <sheet name="月次チェック記録" sheetId="8" state="visible" r:id="rId10"/>
    <sheet name="設定" sheetId="9" state="visible" r:id="rId11"/>
  </sheets>
  <definedNames>
    <definedName function="false" hidden="true" localSheetId="3" name="_xlnm._FilterDatabase" vbProcedure="false">入金明細!$A$4:$L$1004</definedName>
    <definedName function="false" hidden="true" localSheetId="6" name="_xlnm._FilterDatabase" vbProcedure="false">取引先マスタ!$A$4:$L$204</definedName>
    <definedName function="false" hidden="true" localSheetId="2" name="_xlnm._FilterDatabase" vbProcedure="false">請求台帳!$A$4:$V$504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請求日・取引先・件名・請求額のいずれかを入力すると自動採番。この番号を請求書に記載します</t>
        </r>
      </text>
    </comment>
    <comment ref="B4" authorId="0">
      <text>
        <r>
          <rPr>
            <sz val="10"/>
            <rFont val="WenQuanYi Zen Hei"/>
            <family val="2"/>
          </rPr>
          <t xml:space="preserve">請求書の日付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締日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。入金期日の起算月になります。年から入力</t>
        </r>
      </text>
    </comment>
    <comment ref="C4" authorId="0">
      <text>
        <r>
          <rPr>
            <sz val="10"/>
            <rFont val="WenQuanYi Zen Hei"/>
            <family val="2"/>
          </rPr>
          <t xml:space="preserve">取引先マスタのコードから選択</t>
        </r>
      </text>
    </comment>
    <comment ref="E4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月分 検査費 </t>
        </r>
        <r>
          <rPr>
            <sz val="10"/>
            <rFont val="Arial"/>
            <family val="2"/>
          </rPr>
          <t xml:space="preserve">/ ○○</t>
        </r>
        <r>
          <rPr>
            <sz val="10"/>
            <rFont val="WenQuanYi Zen Hei"/>
            <family val="2"/>
          </rPr>
          <t xml:space="preserve">邸 外部付帯工事</t>
        </r>
      </text>
    </comment>
    <comment ref="F4" authorId="0">
      <text>
        <r>
          <rPr>
            <sz val="10"/>
            <rFont val="WenQuanYi Zen Hei"/>
            <family val="2"/>
          </rPr>
          <t xml:space="preserve">請求書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枚の税込金額。複数の請求書を合算しない</t>
        </r>
      </text>
    </comment>
    <comment ref="G4" authorId="0">
      <text>
        <r>
          <rPr>
            <sz val="10"/>
            <rFont val="WenQuanYi Zen Hei"/>
            <family val="2"/>
          </rPr>
          <t xml:space="preserve">請求日と取引先マスタの支払条件から自動計算</t>
        </r>
      </text>
    </comment>
    <comment ref="H4" authorId="0">
      <text>
        <r>
          <rPr>
            <sz val="10"/>
            <rFont val="WenQuanYi Zen Hei"/>
            <family val="2"/>
          </rPr>
          <t xml:space="preserve">個別に期日が決まっている場合のみ入力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自動より優先</t>
        </r>
        <r>
          <rPr>
            <sz val="10"/>
            <rFont val="Arial"/>
            <family val="2"/>
          </rPr>
          <t xml:space="preserve">)</t>
        </r>
      </text>
    </comment>
    <comment ref="I4" authorId="0">
      <text>
        <r>
          <rPr>
            <sz val="10"/>
            <rFont val="WenQuanYi Zen Hei"/>
            <family val="2"/>
          </rPr>
          <t xml:space="preserve">この期日でステータスを判定</t>
        </r>
      </text>
    </comment>
    <comment ref="K4" authorId="0">
      <text>
        <r>
          <rPr>
            <sz val="10"/>
            <rFont val="WenQuanYi Zen Hei"/>
            <family val="2"/>
          </rPr>
          <t xml:space="preserve">送付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先方システム登録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したら必ず入力。空欄の間は「未送付」</t>
        </r>
      </text>
    </comment>
    <comment ref="M4" authorId="0">
      <text>
        <r>
          <rPr>
            <sz val="10"/>
            <rFont val="WenQuanYi Zen Hei"/>
            <family val="2"/>
          </rPr>
          <t xml:space="preserve">入金明細で、この請求番号に消込した金額の合計</t>
        </r>
      </text>
    </comment>
    <comment ref="O4" authorId="0">
      <text>
        <r>
          <rPr>
            <sz val="10"/>
            <rFont val="WenQuanYi Zen Hei"/>
            <family val="2"/>
          </rPr>
          <t xml:space="preserve">先方が振込手数料を差し引いた場合などの差額。入れると残高から控除</t>
        </r>
      </text>
    </comment>
    <comment ref="Q4" authorId="0">
      <text>
        <r>
          <rPr>
            <sz val="10"/>
            <rFont val="WenQuanYi Zen Hei"/>
            <family val="2"/>
          </rPr>
          <t xml:space="preserve">誤発行・再発行などで無効にする請求は「取消」を選び、備考に理由を記入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行は削除しない</t>
        </r>
        <r>
          <rPr>
            <sz val="10"/>
            <rFont val="Arial"/>
            <family val="2"/>
          </rPr>
          <t xml:space="preserve">)</t>
        </r>
      </text>
    </comment>
    <comment ref="R4" authorId="0">
      <text>
        <r>
          <rPr>
            <sz val="10"/>
            <rFont val="WenQuanYi Zen Hei"/>
            <family val="2"/>
          </rPr>
          <t xml:space="preserve">「はじめに」シートの</t>
        </r>
        <r>
          <rPr>
            <sz val="10"/>
            <rFont val="Arial"/>
            <family val="2"/>
          </rPr>
          <t xml:space="preserve">4.</t>
        </r>
        <r>
          <rPr>
            <sz val="10"/>
            <rFont val="WenQuanYi Zen Hei"/>
            <family val="2"/>
          </rPr>
          <t xml:space="preserve">を参照</t>
        </r>
      </text>
    </comment>
    <comment ref="T4" authorId="0">
      <text>
        <r>
          <rPr>
            <sz val="10"/>
            <rFont val="WenQuanYi Zen Hei"/>
            <family val="2"/>
          </rPr>
          <t xml:space="preserve">未入力・誤りの項目名を表示。空欄になれば</t>
        </r>
        <r>
          <rPr>
            <sz val="10"/>
            <rFont val="Arial"/>
            <family val="2"/>
          </rPr>
          <t xml:space="preserve">OK</t>
        </r>
      </text>
    </comment>
    <comment ref="U4" authorId="0">
      <text>
        <r>
          <rPr>
            <sz val="10"/>
            <rFont val="WenQuanYi Zen Hei"/>
            <family val="2"/>
          </rPr>
          <t xml:space="preserve">入金済になった請求を確認した人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入金明細の記帳者とは別の人が望ましい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通帳の日付。年から入力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未来の日付は「日付誤り」</t>
        </r>
        <r>
          <rPr>
            <sz val="10"/>
            <rFont val="Arial"/>
            <family val="2"/>
          </rPr>
          <t xml:space="preserve">)</t>
        </r>
      </text>
    </comment>
    <comment ref="D4" authorId="0">
      <text>
        <r>
          <rPr>
            <sz val="10"/>
            <rFont val="WenQuanYi Zen Hei"/>
            <family val="2"/>
          </rPr>
          <t xml:space="preserve">通帳の表示どおりに入力</t>
        </r>
      </text>
    </comment>
    <comment ref="E4" authorId="0">
      <text>
        <r>
          <rPr>
            <sz val="10"/>
            <rFont val="WenQuanYi Zen Hei"/>
            <family val="2"/>
          </rPr>
          <t xml:space="preserve">通帳の実額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請求額を写さない</t>
        </r>
        <r>
          <rPr>
            <sz val="10"/>
            <rFont val="Arial"/>
            <family val="2"/>
          </rPr>
          <t xml:space="preserve">)</t>
        </r>
      </text>
    </comment>
    <comment ref="F4" authorId="0">
      <text>
        <r>
          <rPr>
            <sz val="10"/>
            <rFont val="WenQuanYi Zen Hei"/>
            <family val="2"/>
          </rPr>
          <t xml:space="preserve">対応する請求台帳の請求番号。不明なら空欄のまま</t>
        </r>
        <r>
          <rPr>
            <sz val="10"/>
            <rFont val="Arial"/>
            <family val="2"/>
          </rPr>
          <t xml:space="preserve">(=</t>
        </r>
        <r>
          <rPr>
            <sz val="10"/>
            <rFont val="WenQuanYi Zen Hei"/>
            <family val="2"/>
          </rPr>
          <t xml:space="preserve">未消込として残る</t>
        </r>
        <r>
          <rPr>
            <sz val="10"/>
            <rFont val="Arial"/>
            <family val="2"/>
          </rPr>
          <t xml:space="preserve">)</t>
        </r>
      </text>
    </comment>
    <comment ref="H4" authorId="0">
      <text>
        <r>
          <rPr>
            <sz val="10"/>
            <rFont val="WenQuanYi Zen Hei"/>
            <family val="2"/>
          </rPr>
          <t xml:space="preserve">消込先請求の取引先。振込名義と一致しているか目視で確認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WenQuanYi Zen Hei"/>
            <family val="2"/>
          </rPr>
          <t xml:space="preserve">「チェック」シートの対象月に請求日がある請求の件数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取消除く</t>
        </r>
        <r>
          <rPr>
            <sz val="10"/>
            <rFont val="Arial"/>
            <family val="2"/>
          </rPr>
          <t xml:space="preserve">)</t>
        </r>
      </text>
    </comment>
    <comment ref="J4" authorId="0">
      <text>
        <r>
          <rPr>
            <sz val="10"/>
            <rFont val="WenQuanYi Zen Hei"/>
            <family val="2"/>
          </rPr>
          <t xml:space="preserve">取引先マスタで毎月請求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有 なのに対象月の請求がない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重複不可。請求台帳ではこのコードで選択します</t>
        </r>
      </text>
    </comment>
    <comment ref="B4" authorId="0">
      <text>
        <r>
          <rPr>
            <sz val="10"/>
            <rFont val="WenQuanYi Zen Hei"/>
            <family val="2"/>
          </rPr>
          <t xml:space="preserve">支店・工事区分ごとに請求書を分けている場合は、それぞれ別の取引先として登録</t>
        </r>
      </text>
    </comment>
    <comment ref="C4" authorId="0">
      <text>
        <r>
          <rPr>
            <sz val="10"/>
            <rFont val="WenQuanYi Zen Hei"/>
            <family val="2"/>
          </rPr>
          <t xml:space="preserve">通帳に表示される名義。入金明細での照合に使います</t>
        </r>
      </text>
    </comment>
    <comment ref="D4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末日 </t>
        </r>
        <r>
          <rPr>
            <sz val="10"/>
            <rFont val="Arial"/>
            <family val="2"/>
          </rPr>
          <t xml:space="preserve">/ 20</t>
        </r>
        <r>
          <rPr>
            <sz val="10"/>
            <rFont val="WenQuanYi Zen Hei"/>
            <family val="2"/>
          </rPr>
          <t xml:space="preserve">日</t>
        </r>
      </text>
    </comment>
    <comment ref="E4" authorId="0">
      <text>
        <r>
          <rPr>
            <sz val="10"/>
            <rFont val="WenQuanYi Zen Hei"/>
            <family val="2"/>
          </rPr>
          <t xml:space="preserve">請求月の何か月後に支払われるか。当月</t>
        </r>
        <r>
          <rPr>
            <sz val="10"/>
            <rFont val="Arial"/>
            <family val="2"/>
          </rPr>
          <t xml:space="preserve">=0</t>
        </r>
        <r>
          <rPr>
            <sz val="10"/>
            <rFont val="WenQuanYi Zen Hei"/>
            <family val="2"/>
          </rPr>
          <t xml:space="preserve">、翌月</t>
        </r>
        <r>
          <rPr>
            <sz val="10"/>
            <rFont val="Arial"/>
            <family val="2"/>
          </rPr>
          <t xml:space="preserve">=1</t>
        </r>
        <r>
          <rPr>
            <sz val="10"/>
            <rFont val="WenQuanYi Zen Hei"/>
            <family val="2"/>
          </rPr>
          <t xml:space="preserve">、翌々月</t>
        </r>
        <r>
          <rPr>
            <sz val="10"/>
            <rFont val="Arial"/>
            <family val="2"/>
          </rPr>
          <t xml:space="preserve">=2</t>
        </r>
      </text>
    </comment>
    <comment ref="F4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31</t>
        </r>
        <r>
          <rPr>
            <sz val="10"/>
            <rFont val="WenQuanYi Zen Hei"/>
            <family val="2"/>
          </rPr>
          <t xml:space="preserve">。末日払いは</t>
        </r>
        <r>
          <rPr>
            <sz val="10"/>
            <rFont val="Arial"/>
            <family val="2"/>
          </rPr>
          <t xml:space="preserve">31(</t>
        </r>
        <r>
          <rPr>
            <sz val="10"/>
            <rFont val="WenQuanYi Zen Hei"/>
            <family val="2"/>
          </rPr>
          <t xml:space="preserve">月の日数に合わせて自動調整</t>
        </r>
        <r>
          <rPr>
            <sz val="10"/>
            <rFont val="Arial"/>
            <family val="2"/>
          </rPr>
          <t xml:space="preserve">)</t>
        </r>
      </text>
    </comment>
    <comment ref="G4" authorId="0">
      <text>
        <r>
          <rPr>
            <sz val="10"/>
            <rFont val="WenQuanYi Zen Hei"/>
            <family val="2"/>
          </rPr>
          <t xml:space="preserve">毎月必ず請求する取引先は「有」。対象月の請求が未登録だと「請求漏れ候補」</t>
        </r>
      </text>
    </comment>
    <comment ref="J4" authorId="0">
      <text>
        <r>
          <rPr>
            <sz val="10"/>
            <rFont val="WenQuanYi Zen Hei"/>
            <family val="2"/>
          </rPr>
          <t xml:space="preserve">督促・状況確認の担当者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工事完了・検査実施・作業報告の一覧と、対象月の請求台帳を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件ずつ突合</t>
        </r>
      </text>
    </comment>
    <comment ref="F4" authorId="0">
      <text>
        <r>
          <rPr>
            <sz val="10"/>
            <rFont val="WenQuanYi Zen Hei"/>
            <family val="2"/>
          </rPr>
          <t xml:space="preserve">期日超過の全件について、担当者が先方に確認し備考に結果を記録</t>
        </r>
      </text>
    </comment>
    <comment ref="K4" authorId="0">
      <text>
        <r>
          <rPr>
            <sz val="10"/>
            <rFont val="WenQuanYi Zen Hei"/>
            <family val="2"/>
          </rPr>
          <t xml:space="preserve">実施者とは別の人が、チェックシートの画面を見て承認</t>
        </r>
      </text>
    </comment>
  </commentList>
</comments>
</file>

<file path=xl/sharedStrings.xml><?xml version="1.0" encoding="utf-8"?>
<sst xmlns="http://schemas.openxmlformats.org/spreadsheetml/2006/main" count="354" uniqueCount="258">
  <si>
    <t xml:space="preserve">請求・入金管理表  ― 使い方</t>
  </si>
  <si>
    <t xml:space="preserve">請求書の「発行漏れ」「送付漏れ」「入金確認漏れ」「記入漏れ」を仕組みで防ぐための管理表です。金額はすべて税込。</t>
  </si>
  <si>
    <r>
      <rPr>
        <b val="true"/>
        <sz val="10"/>
        <rFont val="Meiryo UI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色の見方</t>
    </r>
  </si>
  <si>
    <t xml:space="preserve">黄色のセル</t>
  </si>
  <si>
    <r>
      <rPr>
        <sz val="10"/>
        <rFont val="WenQuanYi Zen Hei"/>
        <family val="2"/>
      </rPr>
      <t xml:space="preserve">入力するセル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ここだけ入力します</t>
    </r>
    <r>
      <rPr>
        <sz val="10"/>
        <rFont val="Meiryo UI"/>
        <family val="0"/>
        <charset val="1"/>
      </rPr>
      <t xml:space="preserve">)</t>
    </r>
  </si>
  <si>
    <t xml:space="preserve">灰色のセル</t>
  </si>
  <si>
    <r>
      <rPr>
        <sz val="10"/>
        <rFont val="WenQuanYi Zen Hei"/>
        <family val="2"/>
      </rPr>
      <t xml:space="preserve">自動計算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入力不要。シート保護で上書きできないようにしています</t>
    </r>
    <r>
      <rPr>
        <sz val="10"/>
        <rFont val="Meiryo UI"/>
        <family val="0"/>
        <charset val="1"/>
      </rPr>
      <t xml:space="preserve">)</t>
    </r>
  </si>
  <si>
    <r>
      <rPr>
        <b val="true"/>
        <sz val="10"/>
        <rFont val="Meiryo UI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シート構成</t>
    </r>
  </si>
  <si>
    <t xml:space="preserve">チェック</t>
  </si>
  <si>
    <r>
      <rPr>
        <sz val="10"/>
        <rFont val="WenQuanYi Zen Hei"/>
        <family val="2"/>
      </rPr>
      <t xml:space="preserve">要入力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未送付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期日超過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未消込などの件数。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件でない項目が「要対応」。まずここを開きます。</t>
    </r>
  </si>
  <si>
    <t xml:space="preserve">請求台帳</t>
  </si>
  <si>
    <r>
      <rPr>
        <sz val="10"/>
        <rFont val="WenQuanYi Zen Hei"/>
        <family val="2"/>
      </rPr>
      <t xml:space="preserve">請求書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枚</t>
    </r>
    <r>
      <rPr>
        <sz val="10"/>
        <rFont val="Meiryo UI"/>
        <family val="0"/>
        <charset val="1"/>
      </rPr>
      <t xml:space="preserve">=1</t>
    </r>
    <r>
      <rPr>
        <sz val="10"/>
        <rFont val="WenQuanYi Zen Hei"/>
        <family val="2"/>
      </rPr>
      <t xml:space="preserve">行。請求番号は台帳が自動採番。入金期日・残高・ステータス・入力漏れを自動判定。</t>
    </r>
  </si>
  <si>
    <t xml:space="preserve">入金明細</t>
  </si>
  <si>
    <r>
      <rPr>
        <sz val="10"/>
        <rFont val="WenQuanYi Zen Hei"/>
        <family val="2"/>
      </rPr>
      <t xml:space="preserve">通帳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ネットバンキングの入金を【全件】転記し、消込先の請求番号を入れます。</t>
    </r>
  </si>
  <si>
    <t xml:space="preserve">取引先別残高</t>
  </si>
  <si>
    <r>
      <rPr>
        <sz val="10"/>
        <rFont val="WenQuanYi Zen Hei"/>
        <family val="2"/>
      </rPr>
      <t xml:space="preserve">取引先ごとの未回収残高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超過日数別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、毎月請求先の請求漏れ候補。</t>
    </r>
  </si>
  <si>
    <t xml:space="preserve">月別集計</t>
  </si>
  <si>
    <r>
      <rPr>
        <sz val="10"/>
        <rFont val="WenQuanYi Zen Hei"/>
        <family val="2"/>
      </rPr>
      <t xml:space="preserve">取引先</t>
    </r>
    <r>
      <rPr>
        <sz val="10"/>
        <rFont val="Meiryo UI"/>
        <family val="0"/>
        <charset val="1"/>
      </rPr>
      <t xml:space="preserve">×</t>
    </r>
    <r>
      <rPr>
        <sz val="10"/>
        <rFont val="WenQuanYi Zen Hei"/>
        <family val="2"/>
      </rPr>
      <t xml:space="preserve">月の請求額・入金額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収支一覧表の収入欄と同じ形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。収支一覧表への転記・報告用。</t>
    </r>
  </si>
  <si>
    <t xml:space="preserve">取引先マスタ</t>
  </si>
  <si>
    <r>
      <rPr>
        <sz val="10"/>
        <rFont val="WenQuanYi Zen Hei"/>
        <family val="2"/>
      </rPr>
      <t xml:space="preserve">取引先コード・支払条件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サイト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支払日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・毎月請求の有無を登録。</t>
    </r>
  </si>
  <si>
    <t xml:space="preserve">月次チェック記録</t>
  </si>
  <si>
    <r>
      <rPr>
        <sz val="10"/>
        <rFont val="WenQuanYi Zen Hei"/>
        <family val="2"/>
      </rPr>
      <t xml:space="preserve">月次締めのチェック結果と承認を記録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誰がいつ確認したかを残す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</si>
  <si>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設定</t>
  </si>
  <si>
    <t xml:space="preserve">請求番号の接頭辞、基準日、期日間近の日数、月別集計の期首、プルダウンの選択肢。</t>
  </si>
  <si>
    <r>
      <rPr>
        <b val="true"/>
        <sz val="10"/>
        <rFont val="Meiryo UI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基本の流れ</t>
    </r>
  </si>
  <si>
    <t xml:space="preserve">① 請求書を作る前</t>
  </si>
  <si>
    <r>
      <rPr>
        <sz val="10"/>
        <rFont val="WenQuanYi Zen Hei"/>
        <family val="2"/>
      </rPr>
      <t xml:space="preserve">請求台帳に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行追加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請求日・取引先・件名・請求額・送付方法</t>
    </r>
    <r>
      <rPr>
        <sz val="10"/>
        <rFont val="Meiryo UI"/>
        <family val="0"/>
        <charset val="1"/>
      </rPr>
      <t xml:space="preserve">)→ </t>
    </r>
    <r>
      <rPr>
        <sz val="10"/>
        <rFont val="WenQuanYi Zen Hei"/>
        <family val="2"/>
      </rPr>
      <t xml:space="preserve">採番された請求番号を請求書に記載。</t>
    </r>
  </si>
  <si>
    <t xml:space="preserve">② 請求書を送ったら</t>
  </si>
  <si>
    <t xml:space="preserve">送付日・送付者を入力。未入力の間はステータスが「未送付」のまま残ります。</t>
  </si>
  <si>
    <t xml:space="preserve">③ 入金があったら</t>
  </si>
  <si>
    <t xml:space="preserve">入金明細に入金日・名義・金額を転記し、消込先の請求番号を入力。台帳の入金額・残高が自動更新。</t>
  </si>
  <si>
    <t xml:space="preserve">④ 消込を確認したら</t>
  </si>
  <si>
    <r>
      <rPr>
        <sz val="10"/>
        <rFont val="WenQuanYi Zen Hei"/>
        <family val="2"/>
      </rPr>
      <t xml:space="preserve">残高が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になった請求を別の人が確認し「消込確認者」に記名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未記名だと「要入力」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</si>
  <si>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⑤ 毎週</t>
  </si>
  <si>
    <t xml:space="preserve">チェックシートで「期日超過」「期日間近」を確認し、担当者から督促・状況確認。</t>
  </si>
  <si>
    <r>
      <rPr>
        <b val="true"/>
        <sz val="10"/>
        <rFont val="WenQuanYi Zen Hei"/>
        <family val="2"/>
      </rPr>
      <t xml:space="preserve">⑥ 毎月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締め後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</si>
  <si>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チェックシートの全項目が「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」になることを確認し、月次チェック記録に実施者・承認者を記入。</t>
    </r>
  </si>
  <si>
    <r>
      <rPr>
        <b val="true"/>
        <sz val="10"/>
        <rFont val="Meiryo UI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ステータスの意味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請求台帳</t>
    </r>
    <r>
      <rPr>
        <b val="true"/>
        <sz val="10"/>
        <rFont val="Meiryo UI"/>
        <family val="0"/>
        <charset val="1"/>
      </rPr>
      <t xml:space="preserve">)</t>
    </r>
  </si>
  <si>
    <t xml:space="preserve">要入力</t>
  </si>
  <si>
    <t xml:space="preserve">必須項目の漏れ、取引先コード誤り、支払条件未登録、未来の送付日、送付者・消込確認者の未記入。「入力漏れ」列に内容を表示。</t>
  </si>
  <si>
    <t xml:space="preserve">未送付</t>
  </si>
  <si>
    <t xml:space="preserve">台帳登録済みだが送付日が空欄。請求書の出し忘れ・送り忘れの可能性。</t>
  </si>
  <si>
    <r>
      <rPr>
        <b val="true"/>
        <sz val="10"/>
        <rFont val="WenQuanYi Zen Hei"/>
        <family val="2"/>
      </rPr>
      <t xml:space="preserve">入金待ち </t>
    </r>
    <r>
      <rPr>
        <b val="true"/>
        <sz val="10"/>
        <rFont val="Meiryo UI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期日間近</t>
    </r>
  </si>
  <si>
    <t xml:space="preserve">送付済みで期日前。期日まで「設定」の日数以内なら期日間近。</t>
  </si>
  <si>
    <t xml:space="preserve">期日超過</t>
  </si>
  <si>
    <t xml:space="preserve">入金期日を過ぎても未回収残高がある。督促が必要。</t>
  </si>
  <si>
    <r>
      <rPr>
        <b val="true"/>
        <sz val="10"/>
        <rFont val="WenQuanYi Zen Hei"/>
        <family val="2"/>
      </rPr>
      <t xml:space="preserve">一部入金 </t>
    </r>
    <r>
      <rPr>
        <b val="true"/>
        <sz val="10"/>
        <rFont val="Meiryo UI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一部入金・超過</t>
    </r>
  </si>
  <si>
    <r>
      <rPr>
        <sz val="10"/>
        <rFont val="WenQuanYi Zen Hei"/>
        <family val="2"/>
      </rPr>
      <t xml:space="preserve">入金額が請求額に足りない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振込手数料の差引なら「手数料・値引等」に入力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</si>
  <si>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過入金</t>
  </si>
  <si>
    <r>
      <rPr>
        <sz val="10"/>
        <rFont val="WenQuanYi Zen Hei"/>
        <family val="2"/>
      </rPr>
      <t xml:space="preserve">請求額より多く入金されている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二重振込・消込先誤りの可能性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</si>
  <si>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入金済</t>
  </si>
  <si>
    <r>
      <rPr>
        <sz val="10"/>
        <rFont val="WenQuanYi Zen Hei"/>
        <family val="2"/>
      </rPr>
      <t xml:space="preserve">未回収残高が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</si>
  <si>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取消</t>
  </si>
  <si>
    <r>
      <rPr>
        <sz val="10"/>
        <rFont val="WenQuanYi Zen Hei"/>
        <family val="2"/>
      </rPr>
      <t xml:space="preserve">「取消」列で取消した請求。行は削除せず残します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番号の欠番を作らないため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</si>
  <si>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Meiryo UI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守るルール</t>
    </r>
  </si>
  <si>
    <r>
      <rPr>
        <b val="true"/>
        <sz val="10"/>
        <rFont val="WenQuanYi Zen Hei"/>
        <family val="2"/>
      </rPr>
      <t xml:space="preserve">請求書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枚</t>
    </r>
    <r>
      <rPr>
        <b val="true"/>
        <sz val="10"/>
        <rFont val="Meiryo UI"/>
        <family val="0"/>
        <charset val="1"/>
      </rPr>
      <t xml:space="preserve">=1</t>
    </r>
    <r>
      <rPr>
        <b val="true"/>
        <sz val="10"/>
        <rFont val="WenQuanYi Zen Hei"/>
        <family val="2"/>
      </rPr>
      <t xml:space="preserve">行</t>
    </r>
  </si>
  <si>
    <r>
      <rPr>
        <sz val="10"/>
        <rFont val="WenQuanYi Zen Hei"/>
        <family val="2"/>
      </rPr>
      <t xml:space="preserve">同じ取引先・同じ月でも請求書が別なら行を分ける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金額を「</t>
    </r>
    <r>
      <rPr>
        <sz val="10"/>
        <rFont val="Meiryo UI"/>
        <family val="0"/>
        <charset val="1"/>
      </rPr>
      <t xml:space="preserve">=A+B</t>
    </r>
    <r>
      <rPr>
        <sz val="10"/>
        <rFont val="WenQuanYi Zen Hei"/>
        <family val="2"/>
      </rPr>
      <t xml:space="preserve">」で合算しない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。入金確認は請求書単位。</t>
    </r>
  </si>
  <si>
    <t xml:space="preserve">日付は年から入力</t>
  </si>
  <si>
    <r>
      <rPr>
        <sz val="10"/>
        <rFont val="WenQuanYi Zen Hei"/>
        <family val="2"/>
      </rPr>
      <t xml:space="preserve">「</t>
    </r>
    <r>
      <rPr>
        <sz val="10"/>
        <rFont val="Meiryo UI"/>
        <family val="0"/>
        <charset val="1"/>
      </rPr>
      <t xml:space="preserve">12/30</t>
    </r>
    <r>
      <rPr>
        <sz val="10"/>
        <rFont val="WenQuanYi Zen Hei"/>
        <family val="2"/>
      </rPr>
      <t xml:space="preserve">」だけだと入力した日の年が補われ、年をまたぐと誤る。「</t>
    </r>
    <r>
      <rPr>
        <sz val="10"/>
        <rFont val="Meiryo UI"/>
        <family val="0"/>
        <charset val="1"/>
      </rPr>
      <t xml:space="preserve">2026/12/30</t>
    </r>
    <r>
      <rPr>
        <sz val="10"/>
        <rFont val="WenQuanYi Zen Hei"/>
        <family val="2"/>
      </rPr>
      <t xml:space="preserve">」のように年から入力。未来日付はエラー表示。</t>
    </r>
  </si>
  <si>
    <t xml:space="preserve">入金は通帳の実額</t>
  </si>
  <si>
    <r>
      <rPr>
        <sz val="10"/>
        <rFont val="WenQuanYi Zen Hei"/>
        <family val="2"/>
      </rPr>
      <t xml:space="preserve">入金額は通帳の金額を入力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請求額をそのまま写さない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回の入金ごとに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行。</t>
    </r>
  </si>
  <si>
    <t xml:space="preserve">入金は全件転記</t>
  </si>
  <si>
    <t xml:space="preserve">請求に対応しない入金も含めて全件入力。「未消込」が残れば消込漏れか不明入金。</t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</si>
  <si>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入金で複数請求</t>
    </r>
  </si>
  <si>
    <t xml:space="preserve">入金明細を請求の数だけ行に分け、金額を按分して各請求番号を入力。</t>
  </si>
  <si>
    <t xml:space="preserve">振込手数料の差引</t>
  </si>
  <si>
    <t xml:space="preserve">先方負担の手数料が差し引かれた場合、請求台帳の「手数料・値引等」に差額を入力。</t>
  </si>
  <si>
    <t xml:space="preserve">行を削除しない</t>
  </si>
  <si>
    <t xml:space="preserve">間違えた請求は「取消」を選び、備考に理由。正しい請求は新しい行で再発行。</t>
  </si>
  <si>
    <t xml:space="preserve">並べ替えをしない</t>
  </si>
  <si>
    <r>
      <rPr>
        <sz val="10"/>
        <rFont val="WenQuanYi Zen Hei"/>
        <family val="2"/>
      </rPr>
      <t xml:space="preserve">請求番号は行位置から採番されるため並べ替え不可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シート保護で制限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。絞り込みはフィルタで。</t>
    </r>
  </si>
  <si>
    <t xml:space="preserve">シート保護</t>
  </si>
  <si>
    <r>
      <rPr>
        <sz val="10"/>
        <rFont val="WenQuanYi Zen Hei"/>
        <family val="2"/>
      </rPr>
      <t xml:space="preserve">パスワードなしで保護。列の追加などが必要な場合は</t>
    </r>
    <r>
      <rPr>
        <sz val="10"/>
        <rFont val="Meiryo UI"/>
        <family val="0"/>
        <charset val="1"/>
      </rPr>
      <t xml:space="preserve">[</t>
    </r>
    <r>
      <rPr>
        <sz val="10"/>
        <rFont val="WenQuanYi Zen Hei"/>
        <family val="2"/>
      </rPr>
      <t xml:space="preserve">校閲</t>
    </r>
    <r>
      <rPr>
        <sz val="10"/>
        <rFont val="Meiryo UI"/>
        <family val="0"/>
        <charset val="1"/>
      </rPr>
      <t xml:space="preserve">]→[</t>
    </r>
    <r>
      <rPr>
        <sz val="10"/>
        <rFont val="WenQuanYi Zen Hei"/>
        <family val="2"/>
      </rPr>
      <t xml:space="preserve">シート保護の解除</t>
    </r>
    <r>
      <rPr>
        <sz val="10"/>
        <rFont val="Meiryo UI"/>
        <family val="0"/>
        <charset val="1"/>
      </rPr>
      <t xml:space="preserve">]</t>
    </r>
    <r>
      <rPr>
        <sz val="10"/>
        <rFont val="WenQuanYi Zen Hei"/>
        <family val="2"/>
      </rPr>
      <t xml:space="preserve">。</t>
    </r>
  </si>
  <si>
    <r>
      <rPr>
        <b val="true"/>
        <sz val="14"/>
        <rFont val="WenQuanYi Zen Hei"/>
        <family val="2"/>
      </rPr>
      <t xml:space="preserve">チェック</t>
    </r>
    <r>
      <rPr>
        <b val="true"/>
        <sz val="14"/>
        <rFont val="Meiryo UI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ダッシュボード</t>
    </r>
    <r>
      <rPr>
        <b val="true"/>
        <sz val="14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</si>
  <si>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判定が「要対応」の項目を解消してください。月次締めでは全項目「</t>
    </r>
    <r>
      <rPr>
        <sz val="9"/>
        <color rgb="FF595959"/>
        <rFont val="Meiryo UI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」を確認して「月次チェック記録」に記入します。</t>
    </r>
  </si>
  <si>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月次チェック用</t>
    </r>
    <r>
      <rPr>
        <b val="true"/>
        <sz val="10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</si>
  <si>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既定は基準日の前月。確認したい月の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日を入力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2026/10/1)</t>
    </r>
  </si>
  <si>
    <t xml:space="preserve">基準日</t>
  </si>
  <si>
    <t xml:space="preserve">「設定」シートで変更</t>
  </si>
  <si>
    <t xml:space="preserve">チェック項目</t>
  </si>
  <si>
    <t xml:space="preserve">件数</t>
  </si>
  <si>
    <t xml:space="preserve">金額</t>
  </si>
  <si>
    <t xml:space="preserve">判定</t>
  </si>
  <si>
    <t xml:space="preserve">対応方法</t>
  </si>
  <si>
    <r>
      <rPr>
        <b val="true"/>
        <sz val="10"/>
        <rFont val="WenQuanYi Zen Hei"/>
        <family val="2"/>
      </rPr>
      <t xml:space="preserve">■ 請求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請求台帳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</si>
  <si>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要入力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入力漏れ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</si>
  <si>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請求台帳を「ステータス</t>
    </r>
    <r>
      <rPr>
        <sz val="10"/>
        <rFont val="Meiryo UI"/>
        <family val="0"/>
        <charset val="1"/>
      </rPr>
      <t xml:space="preserve">=</t>
    </r>
    <r>
      <rPr>
        <sz val="10"/>
        <rFont val="WenQuanYi Zen Hei"/>
        <family val="2"/>
      </rPr>
      <t xml:space="preserve">要入力」で絞り込み、「入力漏れ」列の項目を入力</t>
    </r>
  </si>
  <si>
    <t xml:space="preserve">請求書を送付し送付日・送付者を入力。不要な請求なら「取消」</t>
  </si>
  <si>
    <r>
      <rPr>
        <sz val="10"/>
        <rFont val="WenQuanYi Zen Hei"/>
        <family val="2"/>
      </rPr>
      <t xml:space="preserve">期日超過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一部入金含む</t>
    </r>
    <r>
      <rPr>
        <sz val="10"/>
        <rFont val="Meiryo UI"/>
        <family val="0"/>
        <charset val="1"/>
      </rPr>
      <t xml:space="preserve">)</t>
    </r>
  </si>
  <si>
    <t xml:space="preserve">担当者から先方へ確認・督促。入金済なら入金明細の転記・消込漏れを確認</t>
  </si>
  <si>
    <t xml:space="preserve">二重振込・消込先の誤りを確認。返金または次回請求と相殺し備考に記録</t>
  </si>
  <si>
    <r>
      <rPr>
        <sz val="10"/>
        <rFont val="WenQuanYi Zen Hei"/>
        <family val="2"/>
      </rPr>
      <t xml:space="preserve">期日間近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参考</t>
    </r>
    <r>
      <rPr>
        <sz val="10"/>
        <rFont val="Meiryo UI"/>
        <family val="0"/>
        <charset val="1"/>
      </rPr>
      <t xml:space="preserve">)</t>
    </r>
  </si>
  <si>
    <t xml:space="preserve">参考</t>
  </si>
  <si>
    <r>
      <rPr>
        <sz val="10"/>
        <rFont val="WenQuanYi Zen Hei"/>
        <family val="2"/>
      </rPr>
      <t xml:space="preserve">期日前の確認・リマインド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任意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</si>
  <si>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入金待ち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参考</t>
    </r>
    <r>
      <rPr>
        <sz val="10"/>
        <rFont val="Meiryo UI"/>
        <family val="0"/>
        <charset val="1"/>
      </rPr>
      <t xml:space="preserve">)</t>
    </r>
  </si>
  <si>
    <t xml:space="preserve">対応不要</t>
  </si>
  <si>
    <r>
      <rPr>
        <b val="true"/>
        <sz val="10"/>
        <rFont val="WenQuanYi Zen Hei"/>
        <family val="2"/>
      </rPr>
      <t xml:space="preserve">■ 入金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入金明細</t>
    </r>
    <r>
      <rPr>
        <b val="true"/>
        <sz val="10"/>
        <rFont val="Meiryo UI"/>
        <family val="0"/>
        <charset val="1"/>
      </rPr>
      <t xml:space="preserve">)</t>
    </r>
  </si>
  <si>
    <t xml:space="preserve">未消込の入金</t>
  </si>
  <si>
    <t xml:space="preserve">振込名義・金額から該当請求を探して請求番号を入力。不明なら先方・担当者に確認</t>
  </si>
  <si>
    <t xml:space="preserve">消込先の請求番号誤り</t>
  </si>
  <si>
    <t xml:space="preserve">請求番号を正しく入力し直す</t>
  </si>
  <si>
    <t xml:space="preserve">取消した請求への消込</t>
  </si>
  <si>
    <t xml:space="preserve">再発行後の請求番号へ付け替える</t>
  </si>
  <si>
    <r>
      <rPr>
        <sz val="10"/>
        <rFont val="WenQuanYi Zen Hei"/>
        <family val="2"/>
      </rPr>
      <t xml:space="preserve">入金日の誤り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未来の日付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</si>
  <si>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入金日を年から入力し直す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「</t>
    </r>
    <r>
      <rPr>
        <sz val="10"/>
        <rFont val="Meiryo UI"/>
        <family val="0"/>
        <charset val="1"/>
      </rPr>
      <t xml:space="preserve">12/30</t>
    </r>
    <r>
      <rPr>
        <sz val="10"/>
        <rFont val="WenQuanYi Zen Hei"/>
        <family val="2"/>
      </rPr>
      <t xml:space="preserve">」だけの入力は年がずれる</t>
    </r>
    <r>
      <rPr>
        <sz val="10"/>
        <rFont val="Meiryo UI"/>
        <family val="0"/>
        <charset val="1"/>
      </rPr>
      <t xml:space="preserve">)</t>
    </r>
  </si>
  <si>
    <t xml:space="preserve">入金明細の入力漏れ</t>
  </si>
  <si>
    <t xml:space="preserve">入金日・入金額を入力</t>
  </si>
  <si>
    <r>
      <rPr>
        <b val="true"/>
        <sz val="10"/>
        <rFont val="WenQuanYi Zen Hei"/>
        <family val="2"/>
      </rPr>
      <t xml:space="preserve">■ 請求漏れ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)</t>
    </r>
  </si>
  <si>
    <t xml:space="preserve">毎月請求先で対象月の請求が未登録</t>
  </si>
  <si>
    <t xml:space="preserve">「取引先別残高」の請求漏れ候補を確認し、請求するか理由を記録</t>
  </si>
  <si>
    <t xml:space="preserve">マスタの取引先コード重複</t>
  </si>
  <si>
    <t xml:space="preserve">取引先マスタを修正</t>
  </si>
  <si>
    <r>
      <rPr>
        <b val="true"/>
        <sz val="10"/>
        <rFont val="WenQuanYi Zen Hei"/>
        <family val="2"/>
      </rPr>
      <t xml:space="preserve">■ 月次の数字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</si>
  <si>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対象月の請求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取消除く</t>
    </r>
    <r>
      <rPr>
        <sz val="10"/>
        <rFont val="Meiryo UI"/>
        <family val="0"/>
        <charset val="1"/>
      </rPr>
      <t xml:space="preserve">)</t>
    </r>
  </si>
  <si>
    <t xml:space="preserve">工事・検査の完了一覧、作業報告と件数を突合し、請求漏れがないか確認</t>
  </si>
  <si>
    <t xml:space="preserve">対象月の入金</t>
  </si>
  <si>
    <r>
      <rPr>
        <sz val="10"/>
        <rFont val="WenQuanYi Zen Hei"/>
        <family val="2"/>
      </rPr>
      <t xml:space="preserve">通帳の対象月の入金合計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売上入金分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と一致するか確認</t>
    </r>
  </si>
  <si>
    <r>
      <rPr>
        <sz val="10"/>
        <rFont val="WenQuanYi Zen Hei"/>
        <family val="2"/>
      </rPr>
      <t xml:space="preserve">未回収残高 合計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基準日時点</t>
    </r>
    <r>
      <rPr>
        <sz val="10"/>
        <rFont val="Meiryo UI"/>
        <family val="0"/>
        <charset val="1"/>
      </rPr>
      <t xml:space="preserve">)</t>
    </r>
  </si>
  <si>
    <t xml:space="preserve">下の会計ソフトの売掛金残高と照合</t>
  </si>
  <si>
    <r>
      <rPr>
        <b val="true"/>
        <sz val="10"/>
        <rFont val="WenQuanYi Zen Hei"/>
        <family val="2"/>
      </rPr>
      <t xml:space="preserve">■ 会計ソフトとの残高照合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月次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</si>
  <si>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会計ソフトの売掛金残高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基準日時点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</si>
  <si>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会計ソフト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または税理士への資料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の売掛金残高を入力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基準日と同じ日付時点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</si>
  <si>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差額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台帳 − 会計ソフト</t>
    </r>
    <r>
      <rPr>
        <sz val="10"/>
        <rFont val="Meiryo UI"/>
        <family val="0"/>
        <charset val="1"/>
      </rPr>
      <t xml:space="preserve">)</t>
    </r>
  </si>
  <si>
    <t xml:space="preserve">差額があれば、台帳への登録漏れ・会計側の計上漏れ・消込漏れのいずれかを調査</t>
  </si>
  <si>
    <t xml:space="preserve">総合判定</t>
  </si>
  <si>
    <r>
      <rPr>
        <sz val="9"/>
        <color rgb="FF595959"/>
        <rFont val="WenQuanYi Zen Hei"/>
        <family val="2"/>
      </rPr>
      <t xml:space="preserve">請求書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枚</t>
    </r>
    <r>
      <rPr>
        <sz val="9"/>
        <color rgb="FF595959"/>
        <rFont val="Meiryo UI"/>
        <family val="0"/>
        <charset val="1"/>
      </rPr>
      <t xml:space="preserve">=1</t>
    </r>
    <r>
      <rPr>
        <sz val="9"/>
        <color rgb="FF595959"/>
        <rFont val="WenQuanYi Zen Hei"/>
        <family val="2"/>
      </rPr>
      <t xml:space="preserve">行。請求書を作る前に登録し、採番された請求番号を請求書に記載。黄色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入力 </t>
    </r>
    <r>
      <rPr>
        <sz val="9"/>
        <color rgb="FF595959"/>
        <rFont val="Meiryo UI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灰色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自動。行は削除せず、誤りは「取消」を選択。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</si>
  <si>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</si>
  <si>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</si>
  <si>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</si>
  <si>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</si>
  <si>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件名</t>
  </si>
  <si>
    <r>
      <rPr>
        <b val="true"/>
        <sz val="10"/>
        <color rgb="FFFFFFFF"/>
        <rFont val="WenQuanYi Zen Hei"/>
        <family val="2"/>
      </rPr>
      <t xml:space="preserve">請求額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税込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</si>
  <si>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入金期日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</si>
  <si>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入金期日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個別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</si>
  <si>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入金期日</t>
  </si>
  <si>
    <t xml:space="preserve">送付方法</t>
  </si>
  <si>
    <t xml:space="preserve">送付日</t>
  </si>
  <si>
    <t xml:space="preserve">送付者</t>
  </si>
  <si>
    <t xml:space="preserve">入金額</t>
  </si>
  <si>
    <t xml:space="preserve">最終入金日</t>
  </si>
  <si>
    <t xml:space="preserve">手数料・値引等</t>
  </si>
  <si>
    <t xml:space="preserve">未回収残高</t>
  </si>
  <si>
    <t xml:space="preserve">ステータス</t>
  </si>
  <si>
    <t xml:space="preserve">超過日数</t>
  </si>
  <si>
    <t xml:space="preserve">入力漏れ</t>
  </si>
  <si>
    <t xml:space="preserve">消込確認者</t>
  </si>
  <si>
    <t xml:space="preserve">備考</t>
  </si>
  <si>
    <t xml:space="preserve">C001</t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</si>
  <si>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7</t>
    </r>
    <r>
      <rPr>
        <sz val="10"/>
        <rFont val="WenQuanYi Zen Hei"/>
        <family val="2"/>
      </rPr>
      <t xml:space="preserve">月分 保守料</t>
    </r>
  </si>
  <si>
    <r>
      <rPr>
        <sz val="10"/>
        <rFont val="WenQuanYi Zen Hei"/>
        <family val="2"/>
      </rPr>
      <t xml:space="preserve">メール</t>
    </r>
    <r>
      <rPr>
        <sz val="10"/>
        <rFont val="Meiryo UI"/>
        <family val="0"/>
        <charset val="1"/>
      </rPr>
      <t xml:space="preserve">(PDF)</t>
    </r>
  </si>
  <si>
    <t xml:space="preserve">鈴木</t>
  </si>
  <si>
    <t xml:space="preserve">田中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</si>
  <si>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入金済</t>
    </r>
  </si>
  <si>
    <t xml:space="preserve">C002</t>
  </si>
  <si>
    <t xml:space="preserve">○○部品 納品分</t>
  </si>
  <si>
    <t xml:space="preserve">郵送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</si>
  <si>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手数料差引で入金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確認者未記入→要入力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</si>
  <si>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○○部品 </t>
    </r>
    <r>
      <rPr>
        <sz val="10"/>
        <rFont val="Meiryo UI"/>
        <family val="0"/>
        <charset val="1"/>
      </rPr>
      <t xml:space="preserve">6</t>
    </r>
    <r>
      <rPr>
        <sz val="10"/>
        <rFont val="WenQuanYi Zen Hei"/>
        <family val="2"/>
      </rPr>
      <t xml:space="preserve">月納品分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</si>
  <si>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期日超過</t>
    </r>
  </si>
  <si>
    <t xml:space="preserve">C003</t>
  </si>
  <si>
    <r>
      <rPr>
        <sz val="10"/>
        <rFont val="Meiryo UI"/>
        <family val="0"/>
        <charset val="1"/>
      </rPr>
      <t xml:space="preserve">8</t>
    </r>
    <r>
      <rPr>
        <sz val="10"/>
        <rFont val="WenQuanYi Zen Hei"/>
        <family val="2"/>
      </rPr>
      <t xml:space="preserve">月分 業務委託料</t>
    </r>
  </si>
  <si>
    <t xml:space="preserve">請求書発行システム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</si>
  <si>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一部入金</t>
    </r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</si>
  <si>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9</t>
    </r>
    <r>
      <rPr>
        <sz val="10"/>
        <rFont val="WenQuanYi Zen Hei"/>
        <family val="2"/>
      </rPr>
      <t xml:space="preserve">月分 保守料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</si>
  <si>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未送付</t>
    </r>
  </si>
  <si>
    <t xml:space="preserve">追加作業費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</si>
  <si>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金額誤りのため取消→次行で再発行</t>
    </r>
  </si>
  <si>
    <r>
      <rPr>
        <sz val="10"/>
        <rFont val="WenQuanYi Zen Hei"/>
        <family val="2"/>
      </rPr>
      <t xml:space="preserve">追加作業費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再発行</t>
    </r>
    <r>
      <rPr>
        <sz val="10"/>
        <rFont val="Meiryo UI"/>
        <family val="0"/>
        <charset val="1"/>
      </rPr>
      <t xml:space="preserve">)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</si>
  <si>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個別期日・期日間近</t>
    </r>
  </si>
  <si>
    <r>
      <rPr>
        <sz val="9"/>
        <color rgb="FF595959"/>
        <rFont val="WenQuanYi Zen Hei"/>
        <family val="2"/>
      </rPr>
      <t xml:space="preserve">通帳・ネットバンキングの入金を全件、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入金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行で転記し「消込先請求番号」を入力。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つの入金で複数の請求分が払われた場合は行を分けて金額を按分。</t>
    </r>
  </si>
  <si>
    <t xml:space="preserve">No</t>
  </si>
  <si>
    <t xml:space="preserve">入金日</t>
  </si>
  <si>
    <t xml:space="preserve">入金口座</t>
  </si>
  <si>
    <t xml:space="preserve">振込名義</t>
  </si>
  <si>
    <t xml:space="preserve">消込先請求番号</t>
  </si>
  <si>
    <r>
      <rPr>
        <b val="true"/>
        <sz val="10"/>
        <color rgb="FFFFFFFF"/>
        <rFont val="WenQuanYi Zen Hei"/>
        <family val="2"/>
      </rPr>
      <t xml:space="preserve">取引先名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請求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</si>
  <si>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請求額</t>
  </si>
  <si>
    <t xml:space="preserve">消込状態</t>
  </si>
  <si>
    <t xml:space="preserve">記帳者</t>
  </si>
  <si>
    <t xml:space="preserve">平塚信用金庫</t>
  </si>
  <si>
    <r>
      <rPr>
        <sz val="10"/>
        <rFont val="WenQuanYi Zen Hei"/>
        <family val="2"/>
      </rPr>
      <t xml:space="preserve">カ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サンプルシヨウジ</t>
    </r>
  </si>
  <si>
    <t xml:space="preserve">INV-00001</t>
  </si>
  <si>
    <t xml:space="preserve">佐々木</t>
  </si>
  <si>
    <t xml:space="preserve">SAMPLE</t>
  </si>
  <si>
    <r>
      <rPr>
        <sz val="10"/>
        <rFont val="WenQuanYi Zen Hei"/>
        <family val="2"/>
      </rPr>
      <t xml:space="preserve">ユ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テストコウギヨウ</t>
    </r>
  </si>
  <si>
    <t xml:space="preserve">INV-00002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</si>
  <si>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振込手数料</t>
    </r>
    <r>
      <rPr>
        <sz val="10"/>
        <rFont val="Meiryo UI"/>
        <family val="0"/>
        <charset val="1"/>
      </rPr>
      <t xml:space="preserve">440</t>
    </r>
    <r>
      <rPr>
        <sz val="10"/>
        <rFont val="WenQuanYi Zen Hei"/>
        <family val="2"/>
      </rPr>
      <t xml:space="preserve">円差引</t>
    </r>
  </si>
  <si>
    <r>
      <rPr>
        <sz val="10"/>
        <rFont val="WenQuanYi Zen Hei"/>
        <family val="2"/>
      </rPr>
      <t xml:space="preserve">ド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デモ</t>
    </r>
  </si>
  <si>
    <t xml:space="preserve">INV-00004</t>
  </si>
  <si>
    <t xml:space="preserve">ヤマダ タロウ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</si>
  <si>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不明入金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未消込</t>
    </r>
    <r>
      <rPr>
        <sz val="10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</si>
  <si>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取引先マスタの順に自動表示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入力不要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。超過日数別の残高と、毎月請求先の対象月請求漏れ候補を表示します。</t>
    </r>
  </si>
  <si>
    <t xml:space="preserve">合計</t>
  </si>
  <si>
    <t xml:space="preserve">担当者</t>
  </si>
  <si>
    <t xml:space="preserve">期日内</t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</si>
  <si>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日</t>
    </r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</si>
  <si>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31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60</t>
    </r>
    <r>
      <rPr>
        <b val="true"/>
        <sz val="10"/>
        <color rgb="FFFFFFFF"/>
        <rFont val="WenQuanYi Zen Hei"/>
        <family val="2"/>
      </rPr>
      <t xml:space="preserve">日</t>
    </r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</si>
  <si>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61</t>
    </r>
    <r>
      <rPr>
        <b val="true"/>
        <sz val="10"/>
        <color rgb="FFFFFFFF"/>
        <rFont val="WenQuanYi Zen Hei"/>
        <family val="2"/>
      </rPr>
      <t xml:space="preserve">日以上</t>
    </r>
  </si>
  <si>
    <t xml:space="preserve">対象月の請求件数</t>
  </si>
  <si>
    <t xml:space="preserve">請求漏れ判定</t>
  </si>
  <si>
    <r>
      <rPr>
        <b val="true"/>
        <sz val="14"/>
        <rFont val="WenQuanYi Zen Hei"/>
        <family val="2"/>
      </rPr>
      <t xml:space="preserve">月別集計</t>
    </r>
    <r>
      <rPr>
        <b val="true"/>
        <sz val="14"/>
        <rFont val="Meiryo UI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取引先</t>
    </r>
    <r>
      <rPr>
        <b val="true"/>
        <sz val="14"/>
        <rFont val="Meiryo UI"/>
        <family val="0"/>
        <charset val="1"/>
      </rPr>
      <t xml:space="preserve">×</t>
    </r>
    <r>
      <rPr>
        <b val="true"/>
        <sz val="14"/>
        <rFont val="WenQuanYi Zen Hei"/>
        <family val="2"/>
      </rPr>
      <t xml:space="preserve">月</t>
    </r>
    <r>
      <rPr>
        <b val="true"/>
        <sz val="14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</si>
  <si>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請求額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請求日の月で集計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取消除く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、入金額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入金日の月で集計。収支一覧表の収入欄と同じ形です。期首は「設定」で変更。</t>
    </r>
  </si>
  <si>
    <t xml:space="preserve">年間合計</t>
  </si>
  <si>
    <t xml:space="preserve">未消込・番号誤りの入金</t>
  </si>
  <si>
    <t xml:space="preserve">取引先ごとの支払条件を登録します。請求台帳の入金期日は「支払サイト」「支払日」から自動計算。未登録だと請求が「要入力」になります。</t>
  </si>
  <si>
    <r>
      <rPr>
        <b val="true"/>
        <sz val="10"/>
        <color rgb="FFFFFFFF"/>
        <rFont val="WenQuanYi Zen Hei"/>
        <family val="2"/>
      </rPr>
      <t xml:space="preserve">振込名義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カナ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</si>
  <si>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締日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</si>
  <si>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支払サイト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</si>
  <si>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支払日</t>
  </si>
  <si>
    <t xml:space="preserve">毎月請求</t>
  </si>
  <si>
    <t xml:space="preserve">既定の送付方法</t>
  </si>
  <si>
    <r>
      <rPr>
        <b val="true"/>
        <sz val="10"/>
        <color rgb="FFFFFFFF"/>
        <rFont val="WenQuanYi Zen Hei"/>
        <family val="2"/>
      </rPr>
      <t xml:space="preserve">送付先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メール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住所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システム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</si>
  <si>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重複チェック</t>
  </si>
  <si>
    <t xml:space="preserve">株式会社サンプル商事</t>
  </si>
  <si>
    <t xml:space="preserve">末日</t>
  </si>
  <si>
    <t xml:space="preserve">有</t>
  </si>
  <si>
    <t xml:space="preserve">keiri@sample.example</t>
  </si>
  <si>
    <t xml:space="preserve">山田</t>
  </si>
  <si>
    <r>
      <rPr>
        <sz val="10"/>
        <rFont val="WenQuanYi Zen Hei"/>
        <family val="2"/>
      </rPr>
      <t xml:space="preserve">サンプル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運用前に削除</t>
    </r>
    <r>
      <rPr>
        <sz val="10"/>
        <rFont val="Meiryo UI"/>
        <family val="0"/>
        <charset val="1"/>
      </rPr>
      <t xml:space="preserve">)</t>
    </r>
  </si>
  <si>
    <t xml:space="preserve">有限会社テスト工業</t>
  </si>
  <si>
    <t xml:space="preserve">無</t>
  </si>
  <si>
    <t xml:space="preserve">東京都○○区…</t>
  </si>
  <si>
    <t xml:space="preserve">佐藤</t>
  </si>
  <si>
    <t xml:space="preserve">合同会社デモ</t>
  </si>
  <si>
    <r>
      <rPr>
        <sz val="10"/>
        <rFont val="Meiryo UI"/>
        <family val="0"/>
        <charset val="1"/>
      </rPr>
      <t xml:space="preserve">20</t>
    </r>
    <r>
      <rPr>
        <sz val="10"/>
        <rFont val="WenQuanYi Zen Hei"/>
        <family val="2"/>
      </rPr>
      <t xml:space="preserve">日</t>
    </r>
  </si>
  <si>
    <r>
      <rPr>
        <sz val="9"/>
        <color rgb="FF595959"/>
        <rFont val="WenQuanYi Zen Hei"/>
        <family val="2"/>
      </rPr>
      <t xml:space="preserve">毎月、締め後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翌月</t>
    </r>
    <r>
      <rPr>
        <sz val="9"/>
        <color rgb="FF595959"/>
        <rFont val="Meiryo UI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営業日以内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に実施。各項目を確認したら「済」を選択し、実施者・承認者を記入します。</t>
    </r>
  </si>
  <si>
    <t xml:space="preserve">対象月</t>
  </si>
  <si>
    <r>
      <rPr>
        <b val="true"/>
        <sz val="10"/>
        <color rgb="FFFFFFFF"/>
        <rFont val="WenQuanYi Zen Hei"/>
        <family val="2"/>
      </rPr>
      <t xml:space="preserve">①請求漏れ突合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工事・検査の完了と台帳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</si>
  <si>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②未送付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</si>
  <si>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r>
      <rPr>
        <b val="true"/>
        <sz val="10"/>
        <color rgb="FFFFFFFF"/>
        <rFont val="WenQuanYi Zen Hei"/>
        <family val="2"/>
      </rPr>
      <t xml:space="preserve">③要入力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</si>
  <si>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r>
      <rPr>
        <b val="true"/>
        <sz val="10"/>
        <color rgb="FFFFFFFF"/>
        <rFont val="WenQuanYi Zen Hei"/>
        <family val="2"/>
      </rPr>
      <t xml:space="preserve">④未消込入金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番号誤り含む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</si>
  <si>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⑤期日超過の督促・
状況確認</t>
  </si>
  <si>
    <r>
      <rPr>
        <b val="true"/>
        <sz val="10"/>
        <color rgb="FFFFFFFF"/>
        <rFont val="WenQuanYi Zen Hei"/>
        <family val="2"/>
      </rPr>
      <t xml:space="preserve">⑥会計ソフト残高
との照合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差額</t>
    </r>
    <r>
      <rPr>
        <b val="true"/>
        <sz val="10"/>
        <color rgb="FFFFFFFF"/>
        <rFont val="Meiryo UI"/>
        <family val="0"/>
        <charset val="1"/>
      </rPr>
      <t xml:space="preserve">0)</t>
    </r>
  </si>
  <si>
    <r>
      <rPr>
        <b val="true"/>
        <sz val="10"/>
        <color rgb="FFFFFFFF"/>
        <rFont val="WenQuanYi Zen Hei"/>
        <family val="2"/>
      </rPr>
      <t xml:space="preserve">⑦毎月請求先の
請求漏れ候補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</si>
  <si>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t xml:space="preserve">実施者</t>
  </si>
  <si>
    <t xml:space="preserve">実施日</t>
  </si>
  <si>
    <r>
      <rPr>
        <b val="true"/>
        <sz val="10"/>
        <color rgb="FFFFFFFF"/>
        <rFont val="WenQuanYi Zen Hei"/>
        <family val="2"/>
      </rPr>
      <t xml:space="preserve">承認者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責任者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</si>
  <si>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承認日</t>
  </si>
  <si>
    <r>
      <rPr>
        <b val="true"/>
        <sz val="10"/>
        <color rgb="FFFFFFFF"/>
        <rFont val="WenQuanYi Zen Hei"/>
        <family val="2"/>
      </rPr>
      <t xml:space="preserve">期日超過の件数・金額
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特記事項</t>
    </r>
  </si>
  <si>
    <t xml:space="preserve">※ 対象月までの行で承認日が空欄の行はオレンジ表示</t>
  </si>
  <si>
    <t xml:space="preserve">黄色のセルを必要に応じて変更してください。プルダウンの選択肢は各リストの空欄に追記できます。</t>
  </si>
  <si>
    <r>
      <rPr>
        <sz val="9"/>
        <color rgb="FF595959"/>
        <rFont val="WenQuanYi Zen Hei"/>
        <family val="2"/>
      </rPr>
      <t xml:space="preserve">▼ プルダウンの選択肢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空欄に追記すると選択肢に増えます</t>
    </r>
    <r>
      <rPr>
        <sz val="9"/>
        <color rgb="FF595959"/>
        <rFont val="Meiryo UI"/>
        <family val="0"/>
        <charset val="1"/>
      </rPr>
      <t xml:space="preserve">)</t>
    </r>
  </si>
  <si>
    <t xml:space="preserve">請求番号の接頭辞</t>
  </si>
  <si>
    <t xml:space="preserve">INV-</t>
  </si>
  <si>
    <r>
      <rPr>
        <sz val="9"/>
        <color rgb="FF595959"/>
        <rFont val="WenQuanYi Zen Hei"/>
        <family val="2"/>
      </rPr>
      <t xml:space="preserve">請求番号 </t>
    </r>
    <r>
      <rPr>
        <sz val="9"/>
        <color rgb="FF595959"/>
        <rFont val="Meiryo UI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接頭辞 </t>
    </r>
    <r>
      <rPr>
        <sz val="9"/>
        <color rgb="FF595959"/>
        <rFont val="Meiryo UI"/>
        <family val="0"/>
        <charset val="1"/>
      </rPr>
      <t xml:space="preserve">+ 5</t>
    </r>
    <r>
      <rPr>
        <sz val="9"/>
        <color rgb="FF595959"/>
        <rFont val="WenQuanYi Zen Hei"/>
        <family val="2"/>
      </rPr>
      <t xml:space="preserve">桁の連番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INV-00001)</t>
    </r>
  </si>
  <si>
    <t xml:space="preserve">有無</t>
  </si>
  <si>
    <t xml:space="preserve">実施</t>
  </si>
  <si>
    <r>
      <rPr>
        <sz val="9"/>
        <color rgb="FF595959"/>
        <rFont val="WenQuanYi Zen Hei"/>
        <family val="2"/>
      </rPr>
      <t xml:space="preserve">通常は </t>
    </r>
    <r>
      <rPr>
        <sz val="9"/>
        <color rgb="FF595959"/>
        <rFont val="Meiryo UI"/>
        <family val="0"/>
        <charset val="1"/>
      </rPr>
      <t xml:space="preserve">=TODAY() </t>
    </r>
    <r>
      <rPr>
        <sz val="9"/>
        <color rgb="FF595959"/>
        <rFont val="WenQuanYi Zen Hei"/>
        <family val="2"/>
      </rPr>
      <t xml:space="preserve">のまま。過去時点で確認したい場合のみ日付を直接入力</t>
    </r>
  </si>
  <si>
    <t xml:space="preserve">済</t>
  </si>
  <si>
    <t xml:space="preserve">期日間近とする日数</t>
  </si>
  <si>
    <t xml:space="preserve">入金期日まで何日以内を「期日間近」とするか</t>
  </si>
  <si>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口座名を入力</t>
    </r>
    <r>
      <rPr>
        <sz val="10"/>
        <rFont val="Meiryo UI"/>
        <family val="0"/>
        <charset val="1"/>
      </rPr>
      <t xml:space="preserve">)</t>
    </r>
  </si>
  <si>
    <t xml:space="preserve">該当なし</t>
  </si>
  <si>
    <t xml:space="preserve">月別集計の期首</t>
  </si>
  <si>
    <r>
      <rPr>
        <sz val="9"/>
        <color rgb="FF595959"/>
        <rFont val="WenQuanYi Zen Hei"/>
        <family val="2"/>
      </rPr>
      <t xml:space="preserve">月別集計シートの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か月目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2026/10/1 = 3</t>
    </r>
    <r>
      <rPr>
        <sz val="9"/>
        <color rgb="FF595959"/>
        <rFont val="WenQuanYi Zen Hei"/>
        <family val="2"/>
      </rPr>
      <t xml:space="preserve">期</t>
    </r>
    <r>
      <rPr>
        <sz val="9"/>
        <color rgb="FF595959"/>
        <rFont val="Meiryo UI"/>
        <family val="0"/>
        <charset val="1"/>
      </rPr>
      <t xml:space="preserve">)</t>
    </r>
  </si>
  <si>
    <t xml:space="preserve">先方システムへ登録</t>
  </si>
  <si>
    <t xml:space="preserve">手渡し</t>
  </si>
  <si>
    <t xml:space="preserve">その他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</si>
</sst>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年m\月"/>
    <numFmt numFmtId="166" formatCode="yyyy/mm/dd"/>
    <numFmt numFmtId="167" formatCode="#,##0\件"/>
    <numFmt numFmtId="168" formatCode="#,##0;[RED]\-#,##0"/>
    <numFmt numFmtId="169" formatCode="@"/>
    <numFmt numFmtId="170" formatCode="0"/>
    <numFmt numFmtId="171" formatCode="General"/>
    <numFmt numFmtId="172" formatCode="0\件"/>
    <numFmt numFmtId="173" formatCode="yyyy\年m\月"/>
    <numFmt numFmtId="174" formatCode="0\日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9"/>
      <color rgb="FF595959"/>
      <name val="WenQuanYi Zen Hei"/>
      <family val="2"/>
    </font>
    <font>
      <b val="true"/>
      <sz val="10"/>
      <name val="Meiryo UI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 UI"/>
      <family val="0"/>
      <charset val="1"/>
    </font>
    <font>
      <b val="true"/>
      <sz val="14"/>
      <name val="Meiryo UI"/>
      <family val="0"/>
      <charset val="1"/>
    </font>
    <font>
      <sz val="9"/>
      <color rgb="FF595959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37562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Meiryo UI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Meiryo UI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Meiryo UI"/>
        <charset val="1"/>
        <family val="0"/>
        <b val="1"/>
        <color rgb="FF9C0006"/>
      </font>
      <fill>
        <patternFill>
          <bgColor rgb="FFFFFF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ont>
        <name val="Meiryo UI"/>
        <charset val="1"/>
        <family val="0"/>
        <b val="1"/>
        <color rgb="FFC65911"/>
      </font>
      <fill>
        <patternFill>
          <bgColor rgb="FFFCE4D6"/>
        </patternFill>
      </fill>
    </dxf>
    <dxf>
      <font>
        <name val="Meiryo UI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Meiryo UI"/>
        <charset val="1"/>
        <family val="0"/>
        <b val="1"/>
        <color rgb="FF5B2C6F"/>
      </font>
      <fill>
        <patternFill>
          <bgColor rgb="FFE4DFEC"/>
        </patternFill>
      </fill>
    </dxf>
    <dxf>
      <font>
        <name val="Meiryo UI"/>
        <charset val="1"/>
        <family val="0"/>
        <b val="1"/>
        <color rgb="FF7F7F7F"/>
      </font>
      <fill>
        <patternFill>
          <bgColor rgb="FFD9D9D9"/>
        </patternFill>
      </fill>
    </dxf>
    <dxf>
      <font>
        <name val="Meiryo UI"/>
        <charset val="1"/>
        <family val="0"/>
        <strike val="1"/>
        <color rgb="FF7F7F7F"/>
      </font>
    </dxf>
    <dxf>
      <font>
        <name val="Meiryo UI"/>
        <charset val="1"/>
        <family val="0"/>
        <b val="1"/>
        <color rgb="FFC00000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E4DFE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7" t="s">
        <v>5</v>
      </c>
      <c r="C6" s="6" t="s">
        <v>6</v>
      </c>
    </row>
    <row r="8" customFormat="false" ht="15" hidden="false" customHeight="false" outlineLevel="0" collapsed="false">
      <c r="B8" s="3" t="s">
        <v>7</v>
      </c>
      <c r="C8" s="4"/>
    </row>
    <row r="9" customFormat="false" ht="15" hidden="false" customHeight="false" outlineLevel="0" collapsed="false">
      <c r="B9" s="8" t="s">
        <v>8</v>
      </c>
      <c r="C9" s="6" t="s">
        <v>9</v>
      </c>
    </row>
    <row r="10" customFormat="false" ht="15" hidden="false" customHeight="false" outlineLevel="0" collapsed="false">
      <c r="B10" s="8" t="s">
        <v>10</v>
      </c>
      <c r="C10" s="6" t="s">
        <v>11</v>
      </c>
    </row>
    <row r="11" customFormat="false" ht="15" hidden="false" customHeight="false" outlineLevel="0" collapsed="false">
      <c r="B11" s="8" t="s">
        <v>12</v>
      </c>
      <c r="C11" s="6" t="s">
        <v>13</v>
      </c>
    </row>
    <row r="12" customFormat="false" ht="15" hidden="false" customHeight="false" outlineLevel="0" collapsed="false">
      <c r="B12" s="8" t="s">
        <v>14</v>
      </c>
      <c r="C12" s="6" t="s">
        <v>15</v>
      </c>
    </row>
    <row r="13" customFormat="false" ht="15" hidden="false" customHeight="false" outlineLevel="0" collapsed="false">
      <c r="B13" s="8" t="s">
        <v>16</v>
      </c>
      <c r="C13" s="6" t="s">
        <v>17</v>
      </c>
    </row>
    <row r="14" customFormat="false" ht="15" hidden="false" customHeight="false" outlineLevel="0" collapsed="false">
      <c r="B14" s="8" t="s">
        <v>18</v>
      </c>
      <c r="C14" s="6" t="s">
        <v>19</v>
      </c>
    </row>
    <row r="15" customFormat="false" ht="15" hidden="false" customHeight="false" outlineLevel="0" collapsed="false">
      <c r="B15" s="8" t="s">
        <v>20</v>
      </c>
      <c r="C15" s="6" t="s">
        <v>21</v>
      </c>
    </row>
    <row r="16" customFormat="false" ht="15" hidden="false" customHeight="false" outlineLevel="0" collapsed="false">
      <c r="B16" s="8" t="s">
        <v>22</v>
      </c>
      <c r="C16" s="6" t="s">
        <v>23</v>
      </c>
    </row>
    <row r="18" customFormat="false" ht="15" hidden="false" customHeight="false" outlineLevel="0" collapsed="false">
      <c r="B18" s="3" t="s">
        <v>24</v>
      </c>
      <c r="C18" s="4"/>
    </row>
    <row r="19" customFormat="false" ht="15" hidden="false" customHeight="false" outlineLevel="0" collapsed="false">
      <c r="B19" s="8" t="s">
        <v>25</v>
      </c>
      <c r="C19" s="6" t="s">
        <v>26</v>
      </c>
    </row>
    <row r="20" customFormat="false" ht="15" hidden="false" customHeight="false" outlineLevel="0" collapsed="false">
      <c r="B20" s="8" t="s">
        <v>27</v>
      </c>
      <c r="C20" s="6" t="s">
        <v>28</v>
      </c>
    </row>
    <row r="21" customFormat="false" ht="15" hidden="false" customHeight="false" outlineLevel="0" collapsed="false">
      <c r="B21" s="8" t="s">
        <v>29</v>
      </c>
      <c r="C21" s="6" t="s">
        <v>30</v>
      </c>
    </row>
    <row r="22" customFormat="false" ht="15" hidden="false" customHeight="false" outlineLevel="0" collapsed="false">
      <c r="B22" s="8" t="s">
        <v>31</v>
      </c>
      <c r="C22" s="6" t="s">
        <v>32</v>
      </c>
    </row>
    <row r="23" customFormat="false" ht="15" hidden="false" customHeight="false" outlineLevel="0" collapsed="false">
      <c r="B23" s="8" t="s">
        <v>33</v>
      </c>
      <c r="C23" s="6" t="s">
        <v>34</v>
      </c>
    </row>
    <row r="24" customFormat="false" ht="15" hidden="false" customHeight="false" outlineLevel="0" collapsed="false">
      <c r="B24" s="8" t="s">
        <v>35</v>
      </c>
      <c r="C24" s="6" t="s">
        <v>36</v>
      </c>
    </row>
    <row r="26" customFormat="false" ht="15" hidden="false" customHeight="false" outlineLevel="0" collapsed="false">
      <c r="B26" s="3" t="s">
        <v>37</v>
      </c>
      <c r="C26" s="4"/>
    </row>
    <row r="27" customFormat="false" ht="15" hidden="false" customHeight="false" outlineLevel="0" collapsed="false">
      <c r="B27" s="8" t="s">
        <v>38</v>
      </c>
      <c r="C27" s="6" t="s">
        <v>39</v>
      </c>
    </row>
    <row r="28" customFormat="false" ht="15" hidden="false" customHeight="false" outlineLevel="0" collapsed="false">
      <c r="B28" s="8" t="s">
        <v>40</v>
      </c>
      <c r="C28" s="6" t="s">
        <v>41</v>
      </c>
    </row>
    <row r="29" customFormat="false" ht="15" hidden="false" customHeight="false" outlineLevel="0" collapsed="false">
      <c r="B29" s="8" t="s">
        <v>42</v>
      </c>
      <c r="C29" s="6" t="s">
        <v>43</v>
      </c>
    </row>
    <row r="30" customFormat="false" ht="15" hidden="false" customHeight="false" outlineLevel="0" collapsed="false">
      <c r="B30" s="8" t="s">
        <v>44</v>
      </c>
      <c r="C30" s="6" t="s">
        <v>45</v>
      </c>
    </row>
    <row r="31" customFormat="false" ht="15" hidden="false" customHeight="false" outlineLevel="0" collapsed="false">
      <c r="B31" s="8" t="s">
        <v>46</v>
      </c>
      <c r="C31" s="6" t="s">
        <v>47</v>
      </c>
    </row>
    <row r="32" customFormat="false" ht="15" hidden="false" customHeight="false" outlineLevel="0" collapsed="false">
      <c r="B32" s="8" t="s">
        <v>48</v>
      </c>
      <c r="C32" s="6" t="s">
        <v>49</v>
      </c>
    </row>
    <row r="33" customFormat="false" ht="15" hidden="false" customHeight="false" outlineLevel="0" collapsed="false">
      <c r="B33" s="8" t="s">
        <v>50</v>
      </c>
      <c r="C33" s="6" t="s">
        <v>51</v>
      </c>
    </row>
    <row r="34" customFormat="false" ht="15" hidden="false" customHeight="false" outlineLevel="0" collapsed="false">
      <c r="B34" s="8" t="s">
        <v>52</v>
      </c>
      <c r="C34" s="6" t="s">
        <v>53</v>
      </c>
    </row>
    <row r="36" customFormat="false" ht="15" hidden="false" customHeight="false" outlineLevel="0" collapsed="false">
      <c r="B36" s="3" t="s">
        <v>54</v>
      </c>
      <c r="C36" s="4"/>
    </row>
    <row r="37" customFormat="false" ht="15" hidden="false" customHeight="false" outlineLevel="0" collapsed="false">
      <c r="B37" s="8" t="s">
        <v>55</v>
      </c>
      <c r="C37" s="6" t="s">
        <v>56</v>
      </c>
    </row>
    <row r="38" customFormat="false" ht="15" hidden="false" customHeight="false" outlineLevel="0" collapsed="false">
      <c r="B38" s="8" t="s">
        <v>57</v>
      </c>
      <c r="C38" s="6" t="s">
        <v>58</v>
      </c>
    </row>
    <row r="39" customFormat="false" ht="15" hidden="false" customHeight="false" outlineLevel="0" collapsed="false">
      <c r="B39" s="8" t="s">
        <v>59</v>
      </c>
      <c r="C39" s="6" t="s">
        <v>60</v>
      </c>
    </row>
    <row r="40" customFormat="false" ht="15" hidden="false" customHeight="false" outlineLevel="0" collapsed="false">
      <c r="B40" s="8" t="s">
        <v>61</v>
      </c>
      <c r="C40" s="6" t="s">
        <v>62</v>
      </c>
    </row>
    <row r="41" customFormat="false" ht="15" hidden="false" customHeight="false" outlineLevel="0" collapsed="false">
      <c r="B41" s="9" t="s">
        <v>63</v>
      </c>
      <c r="C41" s="6" t="s">
        <v>64</v>
      </c>
    </row>
    <row r="42" customFormat="false" ht="15" hidden="false" customHeight="false" outlineLevel="0" collapsed="false">
      <c r="B42" s="8" t="s">
        <v>65</v>
      </c>
      <c r="C42" s="6" t="s">
        <v>66</v>
      </c>
    </row>
    <row r="43" customFormat="false" ht="15" hidden="false" customHeight="false" outlineLevel="0" collapsed="false">
      <c r="B43" s="8" t="s">
        <v>67</v>
      </c>
      <c r="C43" s="6" t="s">
        <v>68</v>
      </c>
    </row>
    <row r="44" customFormat="false" ht="15" hidden="false" customHeight="false" outlineLevel="0" collapsed="false">
      <c r="B44" s="8" t="s">
        <v>69</v>
      </c>
      <c r="C44" s="6" t="s">
        <v>70</v>
      </c>
    </row>
    <row r="45" customFormat="false" ht="15" hidden="false" customHeight="false" outlineLevel="0" collapsed="false">
      <c r="B45" s="8" t="s">
        <v>71</v>
      </c>
      <c r="C45" s="6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64"/>
  </cols>
  <sheetData>
    <row r="1" customFormat="false" ht="19.4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B4" s="10" t="s">
        <v>75</v>
      </c>
      <c r="C4" s="11" t="n">
        <f aca="false">DATE(YEAR(設定!$C$5),MONTH(設定!$C$5)-1,1)</f>
        <v>46235</v>
      </c>
      <c r="D4" s="2" t="s">
        <v>76</v>
      </c>
    </row>
    <row r="5" customFormat="false" ht="15" hidden="false" customHeight="false" outlineLevel="0" collapsed="false">
      <c r="B5" s="10" t="s">
        <v>77</v>
      </c>
      <c r="C5" s="12" t="n">
        <f aca="false">設定!$C$5</f>
        <v>46294</v>
      </c>
      <c r="D5" s="2" t="s">
        <v>78</v>
      </c>
    </row>
    <row r="7" customFormat="false" ht="15" hidden="false" customHeight="false" outlineLevel="0" collapsed="false">
      <c r="B7" s="13" t="s">
        <v>79</v>
      </c>
      <c r="C7" s="13" t="s">
        <v>80</v>
      </c>
      <c r="D7" s="13" t="s">
        <v>81</v>
      </c>
      <c r="E7" s="13" t="s">
        <v>82</v>
      </c>
      <c r="F7" s="13" t="s">
        <v>83</v>
      </c>
    </row>
    <row r="8" customFormat="false" ht="15" hidden="false" customHeight="false" outlineLevel="0" collapsed="false">
      <c r="B8" s="14" t="s">
        <v>84</v>
      </c>
      <c r="C8" s="4"/>
      <c r="D8" s="4"/>
      <c r="E8" s="4"/>
      <c r="F8" s="4"/>
    </row>
    <row r="9" customFormat="false" ht="15" hidden="false" customHeight="false" outlineLevel="0" collapsed="false">
      <c r="B9" s="15" t="s">
        <v>85</v>
      </c>
      <c r="C9" s="16" t="n">
        <f aca="false">COUNTIF(請求台帳!$R$5:$R$504,"要入力")</f>
        <v>1</v>
      </c>
      <c r="D9" s="15"/>
      <c r="E9" s="15" t="str">
        <f aca="false">IF(C9=0,"OK","要対応")</f>
        <v>要対応</v>
      </c>
      <c r="F9" s="6" t="s">
        <v>86</v>
      </c>
    </row>
    <row r="10" customFormat="false" ht="15" hidden="false" customHeight="false" outlineLevel="0" collapsed="false">
      <c r="B10" s="15" t="s">
        <v>40</v>
      </c>
      <c r="C10" s="16" t="n">
        <f aca="false">COUNTIF(請求台帳!$R$5:$R$504,"未送付")</f>
        <v>1</v>
      </c>
      <c r="D10" s="17" t="n">
        <f aca="false">SUMIF(請求台帳!$R$5:$R$504,"未送付",請求台帳!$F$5:$F$504)</f>
        <v>110000</v>
      </c>
      <c r="E10" s="15" t="str">
        <f aca="false">IF(C10=0,"OK","要対応")</f>
        <v>要対応</v>
      </c>
      <c r="F10" s="6" t="s">
        <v>87</v>
      </c>
    </row>
    <row r="11" customFormat="false" ht="15" hidden="false" customHeight="false" outlineLevel="0" collapsed="false">
      <c r="B11" s="15" t="s">
        <v>88</v>
      </c>
      <c r="C11" s="16" t="n">
        <f aca="false">COUNTIF(請求台帳!$R$5:$R$504,"期日超過")+COUNTIF(請求台帳!$R$5:$R$504,"一部入金・超過")</f>
        <v>1</v>
      </c>
      <c r="D11" s="17" t="n">
        <f aca="false">SUMIF(請求台帳!$R$5:$R$504,"期日超過",請求台帳!$P$5:$P$504)+SUMIF(請求台帳!$R$5:$R$504,"一部入金・超過",請求台帳!$P$5:$P$504)</f>
        <v>165000</v>
      </c>
      <c r="E11" s="15" t="str">
        <f aca="false">IF(C11=0,"OK","要対応")</f>
        <v>要対応</v>
      </c>
      <c r="F11" s="6" t="s">
        <v>89</v>
      </c>
    </row>
    <row r="12" customFormat="false" ht="15" hidden="false" customHeight="false" outlineLevel="0" collapsed="false">
      <c r="B12" s="15" t="s">
        <v>48</v>
      </c>
      <c r="C12" s="16" t="n">
        <f aca="false">COUNTIF(請求台帳!$R$5:$R$504,"過入金")</f>
        <v>0</v>
      </c>
      <c r="D12" s="17" t="n">
        <f aca="false">SUMIF(請求台帳!$R$5:$R$504,"過入金",請求台帳!$P$5:$P$504)</f>
        <v>0</v>
      </c>
      <c r="E12" s="15" t="str">
        <f aca="false">IF(C12=0,"OK","要対応")</f>
        <v>OK</v>
      </c>
      <c r="F12" s="6" t="s">
        <v>90</v>
      </c>
    </row>
    <row r="13" customFormat="false" ht="15" hidden="false" customHeight="false" outlineLevel="0" collapsed="false">
      <c r="B13" s="15" t="s">
        <v>91</v>
      </c>
      <c r="C13" s="16" t="n">
        <f aca="false">COUNTIF(請求台帳!$R$5:$R$504,"期日間近")</f>
        <v>1</v>
      </c>
      <c r="D13" s="17" t="n">
        <f aca="false">SUMIF(請求台帳!$R$5:$R$504,"期日間近",請求台帳!$P$5:$P$504)</f>
        <v>36300</v>
      </c>
      <c r="E13" s="15" t="s">
        <v>92</v>
      </c>
      <c r="F13" s="6" t="s">
        <v>93</v>
      </c>
    </row>
    <row r="14" customFormat="false" ht="15" hidden="false" customHeight="false" outlineLevel="0" collapsed="false">
      <c r="B14" s="15" t="s">
        <v>94</v>
      </c>
      <c r="C14" s="16" t="n">
        <f aca="false">COUNTIF(請求台帳!$R$5:$R$504,"入金待ち")+COUNTIF(請求台帳!$R$5:$R$504,"一部入金")</f>
        <v>1</v>
      </c>
      <c r="D14" s="17" t="n">
        <f aca="false">SUMIF(請求台帳!$R$5:$R$504,"入金待ち",請求台帳!$P$5:$P$504)+SUMIF(請求台帳!$R$5:$R$504,"一部入金",請求台帳!$P$5:$P$504)</f>
        <v>38000</v>
      </c>
      <c r="E14" s="15" t="s">
        <v>92</v>
      </c>
      <c r="F14" s="6" t="s">
        <v>95</v>
      </c>
    </row>
    <row r="15" customFormat="false" ht="15" hidden="false" customHeight="false" outlineLevel="0" collapsed="false">
      <c r="B15" s="14" t="s">
        <v>96</v>
      </c>
      <c r="C15" s="4"/>
      <c r="D15" s="4"/>
      <c r="E15" s="4"/>
      <c r="F15" s="4"/>
    </row>
    <row r="16" customFormat="false" ht="15" hidden="false" customHeight="false" outlineLevel="0" collapsed="false">
      <c r="B16" s="15" t="s">
        <v>97</v>
      </c>
      <c r="C16" s="16" t="n">
        <f aca="false">COUNTIF(入金明細!$J$5:$J$1004,"未消込")</f>
        <v>1</v>
      </c>
      <c r="D16" s="17" t="n">
        <f aca="false">SUMIF(入金明細!$J$5:$J$1004,"未消込",入金明細!$E$5:$E$1004)</f>
        <v>5500</v>
      </c>
      <c r="E16" s="15" t="str">
        <f aca="false">IF(C16=0,"OK","要対応")</f>
        <v>要対応</v>
      </c>
      <c r="F16" s="6" t="s">
        <v>98</v>
      </c>
    </row>
    <row r="17" customFormat="false" ht="15" hidden="false" customHeight="false" outlineLevel="0" collapsed="false">
      <c r="B17" s="15" t="s">
        <v>99</v>
      </c>
      <c r="C17" s="16" t="n">
        <f aca="false">COUNTIF(入金明細!$J$5:$J$1004,"番号誤り")</f>
        <v>0</v>
      </c>
      <c r="D17" s="17" t="n">
        <f aca="false">SUMIF(入金明細!$J$5:$J$1004,"番号誤り",入金明細!$E$5:$E$1004)</f>
        <v>0</v>
      </c>
      <c r="E17" s="15" t="str">
        <f aca="false">IF(C17=0,"OK","要対応")</f>
        <v>OK</v>
      </c>
      <c r="F17" s="6" t="s">
        <v>100</v>
      </c>
    </row>
    <row r="18" customFormat="false" ht="15" hidden="false" customHeight="false" outlineLevel="0" collapsed="false">
      <c r="B18" s="15" t="s">
        <v>101</v>
      </c>
      <c r="C18" s="16" t="n">
        <f aca="false">COUNTIF(入金明細!$J$5:$J$1004,"取消請求へ消込")</f>
        <v>0</v>
      </c>
      <c r="D18" s="17" t="n">
        <f aca="false">SUMIF(入金明細!$J$5:$J$1004,"取消請求へ消込",入金明細!$E$5:$E$1004)</f>
        <v>0</v>
      </c>
      <c r="E18" s="15" t="str">
        <f aca="false">IF(C18=0,"OK","要対応")</f>
        <v>OK</v>
      </c>
      <c r="F18" s="6" t="s">
        <v>102</v>
      </c>
    </row>
    <row r="19" customFormat="false" ht="15" hidden="false" customHeight="false" outlineLevel="0" collapsed="false">
      <c r="B19" s="15" t="s">
        <v>103</v>
      </c>
      <c r="C19" s="16" t="n">
        <f aca="false">COUNTIF(入金明細!$J$5:$J$1004,"日付誤り")</f>
        <v>0</v>
      </c>
      <c r="D19" s="17" t="n">
        <f aca="false">SUMIF(入金明細!$J$5:$J$1004,"日付誤り",入金明細!$E$5:$E$1004)</f>
        <v>0</v>
      </c>
      <c r="E19" s="15" t="str">
        <f aca="false">IF(C19=0,"OK","要対応")</f>
        <v>OK</v>
      </c>
      <c r="F19" s="6" t="s">
        <v>104</v>
      </c>
    </row>
    <row r="20" customFormat="false" ht="15" hidden="false" customHeight="false" outlineLevel="0" collapsed="false">
      <c r="B20" s="15" t="s">
        <v>105</v>
      </c>
      <c r="C20" s="16" t="n">
        <f aca="false">COUNTIF(入金明細!$J$5:$J$1004,"要入力")</f>
        <v>0</v>
      </c>
      <c r="D20" s="15"/>
      <c r="E20" s="15" t="str">
        <f aca="false">IF(C20=0,"OK","要対応")</f>
        <v>OK</v>
      </c>
      <c r="F20" s="6" t="s">
        <v>106</v>
      </c>
    </row>
    <row r="21" customFormat="false" ht="15" hidden="false" customHeight="false" outlineLevel="0" collapsed="false">
      <c r="B21" s="14" t="s">
        <v>107</v>
      </c>
      <c r="C21" s="4"/>
      <c r="D21" s="4"/>
      <c r="E21" s="4"/>
      <c r="F21" s="4"/>
    </row>
    <row r="22" customFormat="false" ht="15" hidden="false" customHeight="false" outlineLevel="0" collapsed="false">
      <c r="B22" s="15" t="s">
        <v>108</v>
      </c>
      <c r="C22" s="16" t="n">
        <f aca="false">COUNTIF(取引先別残高!$J$5:$J$204,"請求漏れ候補")</f>
        <v>1</v>
      </c>
      <c r="D22" s="15"/>
      <c r="E22" s="15" t="str">
        <f aca="false">IF(C22=0,"OK","要対応")</f>
        <v>要対応</v>
      </c>
      <c r="F22" s="6" t="s">
        <v>109</v>
      </c>
    </row>
    <row r="23" customFormat="false" ht="15" hidden="false" customHeight="false" outlineLevel="0" collapsed="false">
      <c r="B23" s="15" t="s">
        <v>110</v>
      </c>
      <c r="C23" s="16" t="n">
        <f aca="false">COUNTIF(取引先マスタ!$L$5:$L$204,"コード重複")</f>
        <v>0</v>
      </c>
      <c r="D23" s="15"/>
      <c r="E23" s="15" t="str">
        <f aca="false">IF(C23=0,"OK","要対応")</f>
        <v>OK</v>
      </c>
      <c r="F23" s="6" t="s">
        <v>111</v>
      </c>
    </row>
    <row r="24" customFormat="false" ht="15" hidden="false" customHeight="false" outlineLevel="0" collapsed="false">
      <c r="B24" s="14" t="s">
        <v>112</v>
      </c>
      <c r="C24" s="4"/>
      <c r="D24" s="4"/>
      <c r="E24" s="4"/>
      <c r="F24" s="4"/>
    </row>
    <row r="25" customFormat="false" ht="15" hidden="false" customHeight="false" outlineLevel="0" collapsed="false">
      <c r="B25" s="15" t="s">
        <v>113</v>
      </c>
      <c r="C25" s="16" t="n">
        <f aca="false">COUNTIFS(請求台帳!$B$5:$B$504,"&gt;="&amp;チェック!$C$4,請求台帳!$B$5:$B$504,"&lt;="&amp;EOMONTH(チェック!$C$4,0),請求台帳!$Q$5:$Q$504,"&lt;&gt;取消")</f>
        <v>1</v>
      </c>
      <c r="D25" s="17" t="n">
        <f aca="false">SUMIFS(請求台帳!$F$5:$F$504,請求台帳!$B$5:$B$504,"&gt;="&amp;チェック!$C$4,請求台帳!$B$5:$B$504,"&lt;="&amp;EOMONTH(チェック!$C$4,0),請求台帳!$Q$5:$Q$504,"&lt;&gt;取消")</f>
        <v>88000</v>
      </c>
      <c r="E25" s="15"/>
      <c r="F25" s="6" t="s">
        <v>114</v>
      </c>
    </row>
    <row r="26" customFormat="false" ht="15" hidden="false" customHeight="false" outlineLevel="0" collapsed="false">
      <c r="B26" s="15" t="s">
        <v>115</v>
      </c>
      <c r="C26" s="16" t="n">
        <f aca="false">COUNTIFS(入金明細!$B$5:$B$1004,"&gt;="&amp;チェック!$C$4,入金明細!$B$5:$B$1004,"&lt;="&amp;EOMONTH(チェック!$C$4,0))</f>
        <v>1</v>
      </c>
      <c r="D26" s="17" t="n">
        <f aca="false">SUMIFS(入金明細!$E$5:$E$1004,入金明細!$B$5:$B$1004,"&gt;="&amp;チェック!$C$4,入金明細!$B$5:$B$1004,"&lt;="&amp;EOMONTH(チェック!$C$4,0))</f>
        <v>110000</v>
      </c>
      <c r="E26" s="15"/>
      <c r="F26" s="6" t="s">
        <v>116</v>
      </c>
    </row>
    <row r="27" customFormat="false" ht="15" hidden="false" customHeight="false" outlineLevel="0" collapsed="false">
      <c r="B27" s="15" t="s">
        <v>117</v>
      </c>
      <c r="C27" s="16" t="n">
        <f aca="false">COUNTIFS(請求台帳!$P$5:$P$504,"&gt;0",請求台帳!$Q$5:$Q$504,"&lt;&gt;取消")+COUNTIFS(請求台帳!$P$5:$P$504,"&lt;0",請求台帳!$Q$5:$Q$504,"&lt;&gt;取消")</f>
        <v>4</v>
      </c>
      <c r="D27" s="17" t="n">
        <f aca="false">SUMIF(請求台帳!$Q$5:$Q$504,"&lt;&gt;取消",請求台帳!$P$5:$P$504)</f>
        <v>349300</v>
      </c>
      <c r="E27" s="15"/>
      <c r="F27" s="6" t="s">
        <v>118</v>
      </c>
    </row>
    <row r="29" customFormat="false" ht="15" hidden="false" customHeight="false" outlineLevel="0" collapsed="false">
      <c r="B29" s="14" t="s">
        <v>119</v>
      </c>
      <c r="C29" s="4"/>
      <c r="D29" s="4"/>
      <c r="E29" s="4"/>
      <c r="F29" s="4"/>
    </row>
    <row r="30" customFormat="false" ht="15" hidden="false" customHeight="false" outlineLevel="0" collapsed="false">
      <c r="B30" s="15" t="s">
        <v>120</v>
      </c>
      <c r="C30" s="15"/>
      <c r="D30" s="18"/>
      <c r="E30" s="15"/>
      <c r="F30" s="15" t="s">
        <v>121</v>
      </c>
    </row>
    <row r="31" customFormat="false" ht="15" hidden="false" customHeight="false" outlineLevel="0" collapsed="false">
      <c r="B31" s="15" t="s">
        <v>122</v>
      </c>
      <c r="C31" s="15"/>
      <c r="D31" s="17" t="str">
        <f aca="false">IF(D30="","",D27-D30)</f>
        <v/>
      </c>
      <c r="E31" s="15" t="str">
        <f aca="false">IF(D30="","未入力",IF(D31=0,"OK","要対応"))</f>
        <v>未入力</v>
      </c>
      <c r="F31" s="15" t="s">
        <v>123</v>
      </c>
    </row>
    <row r="33" customFormat="false" ht="15" hidden="false" customHeight="false" outlineLevel="0" collapsed="false">
      <c r="B33" s="10" t="s">
        <v>124</v>
      </c>
      <c r="C33" s="19" t="str">
        <f aca="false">IF(COUNTIF(E8:E31,"要対応")+COUNTIF(E8:E31,"未入力")=0,"すべてOK","要対応あり")</f>
        <v>要対応あり</v>
      </c>
    </row>
  </sheetData>
  <sheetProtection sheet="true" formatCells="false" formatColumns="false" formatRows="false" autoFilter="false"/>
  <conditionalFormatting sqref="E8:E31">
    <cfRule type="expression" priority="2" aboveAverage="0" equalAverage="0" bottom="0" percent="0" rank="0" text="" dxfId="0">
      <formula>$E8="要対応"</formula>
    </cfRule>
    <cfRule type="expression" priority="3" aboveAverage="0" equalAverage="0" bottom="0" percent="0" rank="0" text="" dxfId="1">
      <formula>$E8="OK"</formula>
    </cfRule>
    <cfRule type="expression" priority="4" aboveAverage="0" equalAverage="0" bottom="0" percent="0" rank="0" text="" dxfId="2">
      <formula>$E8="未入力"</formula>
    </cfRule>
  </conditionalFormatting>
  <conditionalFormatting sqref="C33">
    <cfRule type="expression" priority="5" aboveAverage="0" equalAverage="0" bottom="0" percent="0" rank="0" text="" dxfId="0">
      <formula>$C$33="要対応あり"</formula>
    </cfRule>
    <cfRule type="expression" priority="6" aboveAverage="0" equalAverage="0" bottom="0" percent="0" rank="0" text="" dxfId="1">
      <formula>$C$33="すべてOK"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3"/>
    <col collapsed="false" customWidth="true" hidden="false" outlineLevel="0" max="19" min="19" style="0" width="8"/>
    <col collapsed="false" customWidth="true" hidden="false" outlineLevel="0" max="20" min="20" style="0" width="26"/>
    <col collapsed="false" customWidth="true" hidden="false" outlineLevel="0" max="21" min="21" style="0" width="10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125</v>
      </c>
    </row>
    <row r="4" customFormat="false" ht="31.5" hidden="false" customHeight="true" outlineLevel="0" collapsed="false">
      <c r="A4" s="20" t="s">
        <v>126</v>
      </c>
      <c r="B4" s="13" t="s">
        <v>127</v>
      </c>
      <c r="C4" s="13" t="s">
        <v>128</v>
      </c>
      <c r="D4" s="20" t="s">
        <v>129</v>
      </c>
      <c r="E4" s="13" t="s">
        <v>130</v>
      </c>
      <c r="F4" s="13" t="s">
        <v>131</v>
      </c>
      <c r="G4" s="20" t="s">
        <v>132</v>
      </c>
      <c r="H4" s="13" t="s">
        <v>133</v>
      </c>
      <c r="I4" s="20" t="s">
        <v>134</v>
      </c>
      <c r="J4" s="13" t="s">
        <v>135</v>
      </c>
      <c r="K4" s="13" t="s">
        <v>136</v>
      </c>
      <c r="L4" s="13" t="s">
        <v>137</v>
      </c>
      <c r="M4" s="20" t="s">
        <v>138</v>
      </c>
      <c r="N4" s="20" t="s">
        <v>139</v>
      </c>
      <c r="O4" s="13" t="s">
        <v>140</v>
      </c>
      <c r="P4" s="20" t="s">
        <v>141</v>
      </c>
      <c r="Q4" s="13" t="s">
        <v>52</v>
      </c>
      <c r="R4" s="20" t="s">
        <v>142</v>
      </c>
      <c r="S4" s="20" t="s">
        <v>143</v>
      </c>
      <c r="T4" s="20" t="s">
        <v>144</v>
      </c>
      <c r="U4" s="13" t="s">
        <v>145</v>
      </c>
      <c r="V4" s="13" t="s">
        <v>146</v>
      </c>
    </row>
    <row r="5" customFormat="false" ht="15" hidden="false" customHeight="false" outlineLevel="0" collapsed="false">
      <c r="A5" s="21" t="str">
        <f aca="false">IF(COUNTA(B5,C5,E5,F5)=0,"",設定!$C$4&amp;TEXT(ROW()-4,"00000"))</f>
        <v>INV-00001</v>
      </c>
      <c r="B5" s="22" t="n">
        <v>46234</v>
      </c>
      <c r="C5" s="23" t="s">
        <v>147</v>
      </c>
      <c r="D5" s="21" t="str">
        <f aca="false">IF(C5="","",IFERROR(INDEX(取引先マスタ!$B$5:$B$204,MATCH(C5,取引先マスタ!$A$5:$A$204,0)),"コード誤り"))</f>
        <v>株式会社サンプル商事</v>
      </c>
      <c r="E5" s="24" t="s">
        <v>148</v>
      </c>
      <c r="F5" s="18" t="n">
        <v>110000</v>
      </c>
      <c r="G5" s="25" t="n">
        <f aca="false">IF(OR(B5="",C5="",D5="コード誤り"),"",IFERROR(IF(OR(INDEX(取引先マスタ!$E$5:$E$204,MATCH(C5,取引先マスタ!$A$5:$A$204,0))="",INDEX(取引先マスタ!$F$5:$F$204,MATCH(C5,取引先マスタ!$A$5:$A$204,0))=""),"",DATE(YEAR(B5),MONTH(B5)+INDEX(取引先マスタ!$E$5:$E$204,MATCH(C5,取引先マスタ!$A$5:$A$204,0)),MIN(INDEX(取引先マスタ!$F$5:$F$204,MATCH(C5,取引先マスタ!$A$5:$A$204,0)),DAY(EOMONTH(B5,INDEX(取引先マスタ!$E$5:$E$204,MATCH(C5,取引先マスタ!$A$5:$A$204,0))))))),""))</f>
        <v>46265</v>
      </c>
      <c r="H5" s="22"/>
      <c r="I5" s="25" t="n">
        <f aca="false">IF(H5&lt;&gt;"",H5,G5)</f>
        <v>46265</v>
      </c>
      <c r="J5" s="26" t="s">
        <v>149</v>
      </c>
      <c r="K5" s="22" t="n">
        <v>46234</v>
      </c>
      <c r="L5" s="26" t="s">
        <v>150</v>
      </c>
      <c r="M5" s="27" t="n">
        <f aca="false">IF(A5="","",SUMIF(入金明細!$F$5:$F$1004,A5,入金明細!$E$5:$E$1004))</f>
        <v>110000</v>
      </c>
      <c r="N5" s="25" t="n">
        <f aca="false">IF(OR(A5="",N(M5)=0),"",SUMPRODUCT(MAX((入金明細!$F$5:$F$1004=A5)*入金明細!$B$5:$B$1004)))</f>
        <v>46265</v>
      </c>
      <c r="O5" s="18"/>
      <c r="P5" s="27" t="n">
        <f aca="false">IF(OR(A5="",F5=""),"",F5-N(M5)-N(O5))</f>
        <v>0</v>
      </c>
      <c r="Q5" s="24"/>
      <c r="R5" s="28" t="str">
        <f aca="false">IF(A5="","",IF(Q5="取消","取消",IF(T5&lt;&gt;"","要入力",IF(K5="","未送付",IF(P5=0,"入金済",IF(P5&lt;0,"過入金",IF(設定!$C$5&gt;I5,IF(N(M5)&gt;0,"一部入金・超過","期日超過"),IF(N(M5)&gt;0,"一部入金",IF(I5-設定!$C$5&lt;=設定!$C$6,"期日間近","入金待ち")))))))))</f>
        <v>入金済</v>
      </c>
      <c r="S5" s="29" t="str">
        <f aca="false">IF(OR(R5="期日超過",R5="一部入金・超過"),設定!$C$5-I5,"")</f>
        <v/>
      </c>
      <c r="T5" s="21" t="str">
        <f aca="false">IF(A5="","",TRIM(IF(B5="","請求日 ","")&amp;IF(C5="","取引先 ",IF(D5="コード誤り","取引先コード誤り ",""))&amp;IF(E5="","件名 ","")&amp;IF(F5="","請求額 ","")&amp;IF(AND(F5&lt;&gt;"",I5=""),"入金期日(マスタの支払条件が未登録) ","")&amp;IF(J5="","送付方法 ","")&amp;IF(AND(K5&lt;&gt;"",L5=""),"送付者 ","")&amp;IF(AND(K5&lt;&gt;"",N(K5)&gt;設定!$C$5),"送付日が未来の日付 ","")&amp;IF(AND(K5&lt;&gt;"",N(M5)&gt;0,N(P5)&lt;=0,U5=""),"消込確認者 ","")))</f>
        <v/>
      </c>
      <c r="U5" s="26" t="s">
        <v>151</v>
      </c>
      <c r="V5" s="24" t="s">
        <v>152</v>
      </c>
    </row>
    <row r="6" customFormat="false" ht="15" hidden="false" customHeight="false" outlineLevel="0" collapsed="false">
      <c r="A6" s="21" t="str">
        <f aca="false">IF(COUNTA(B6,C6,E6,F6)=0,"",設定!$C$4&amp;TEXT(ROW()-4,"00000"))</f>
        <v>INV-00002</v>
      </c>
      <c r="B6" s="22" t="n">
        <v>46234</v>
      </c>
      <c r="C6" s="23" t="s">
        <v>153</v>
      </c>
      <c r="D6" s="21" t="str">
        <f aca="false">IF(C6="","",IFERROR(INDEX(取引先マスタ!$B$5:$B$204,MATCH(C6,取引先マスタ!$A$5:$A$204,0)),"コード誤り"))</f>
        <v>有限会社テスト工業</v>
      </c>
      <c r="E6" s="26" t="s">
        <v>154</v>
      </c>
      <c r="F6" s="18" t="n">
        <v>275000</v>
      </c>
      <c r="G6" s="25" t="n">
        <f aca="false">IF(OR(B6="",C6="",D6="コード誤り"),"",IFERROR(IF(OR(INDEX(取引先マスタ!$E$5:$E$204,MATCH(C6,取引先マスタ!$A$5:$A$204,0))="",INDEX(取引先マスタ!$F$5:$F$204,MATCH(C6,取引先マスタ!$A$5:$A$204,0))=""),"",DATE(YEAR(B6),MONTH(B6)+INDEX(取引先マスタ!$E$5:$E$204,MATCH(C6,取引先マスタ!$A$5:$A$204,0)),MIN(INDEX(取引先マスタ!$F$5:$F$204,MATCH(C6,取引先マスタ!$A$5:$A$204,0)),DAY(EOMONTH(B6,INDEX(取引先マスタ!$E$5:$E$204,MATCH(C6,取引先マスタ!$A$5:$A$204,0))))))),""))</f>
        <v>46275</v>
      </c>
      <c r="H6" s="22"/>
      <c r="I6" s="25" t="n">
        <f aca="false">IF(H6&lt;&gt;"",H6,G6)</f>
        <v>46275</v>
      </c>
      <c r="J6" s="26" t="s">
        <v>155</v>
      </c>
      <c r="K6" s="22" t="n">
        <v>46237</v>
      </c>
      <c r="L6" s="26" t="s">
        <v>150</v>
      </c>
      <c r="M6" s="27" t="n">
        <f aca="false">IF(A6="","",SUMIF(入金明細!$F$5:$F$1004,A6,入金明細!$E$5:$E$1004))</f>
        <v>274560</v>
      </c>
      <c r="N6" s="25" t="n">
        <f aca="false">IF(OR(A6="",N(M6)=0),"",SUMPRODUCT(MAX((入金明細!$F$5:$F$1004=A6)*入金明細!$B$5:$B$1004)))</f>
        <v>46275</v>
      </c>
      <c r="O6" s="18" t="n">
        <v>440</v>
      </c>
      <c r="P6" s="27" t="n">
        <f aca="false">IF(OR(A6="",F6=""),"",F6-N(M6)-N(O6))</f>
        <v>0</v>
      </c>
      <c r="Q6" s="24"/>
      <c r="R6" s="28" t="str">
        <f aca="false">IF(A6="","",IF(Q6="取消","取消",IF(T6&lt;&gt;"","要入力",IF(K6="","未送付",IF(P6=0,"入金済",IF(P6&lt;0,"過入金",IF(設定!$C$5&gt;I6,IF(N(M6)&gt;0,"一部入金・超過","期日超過"),IF(N(M6)&gt;0,"一部入金",IF(I6-設定!$C$5&lt;=設定!$C$6,"期日間近","入金待ち")))))))))</f>
        <v>要入力</v>
      </c>
      <c r="S6" s="29" t="str">
        <f aca="false">IF(OR(R6="期日超過",R6="一部入金・超過"),設定!$C$5-I6,"")</f>
        <v/>
      </c>
      <c r="T6" s="21" t="str">
        <f aca="false">IF(A6="","",TRIM(IF(B6="","請求日 ","")&amp;IF(C6="","取引先 ",IF(D6="コード誤り","取引先コード誤り ",""))&amp;IF(E6="","件名 ","")&amp;IF(F6="","請求額 ","")&amp;IF(AND(F6&lt;&gt;"",I6=""),"入金期日(マスタの支払条件が未登録) ","")&amp;IF(J6="","送付方法 ","")&amp;IF(AND(K6&lt;&gt;"",L6=""),"送付者 ","")&amp;IF(AND(K6&lt;&gt;"",N(K6)&gt;設定!$C$5),"送付日が未来の日付 ","")&amp;IF(AND(K6&lt;&gt;"",N(M6)&gt;0,N(P6)&lt;=0,U6=""),"消込確認者 ","")))</f>
        <v>消込確認者</v>
      </c>
      <c r="U6" s="26"/>
      <c r="V6" s="24" t="s">
        <v>156</v>
      </c>
    </row>
    <row r="7" customFormat="false" ht="15" hidden="false" customHeight="false" outlineLevel="0" collapsed="false">
      <c r="A7" s="21" t="str">
        <f aca="false">IF(COUNTA(B7,C7,E7,F7)=0,"",設定!$C$4&amp;TEXT(ROW()-4,"00000"))</f>
        <v>INV-00003</v>
      </c>
      <c r="B7" s="22" t="n">
        <v>46203</v>
      </c>
      <c r="C7" s="23" t="s">
        <v>153</v>
      </c>
      <c r="D7" s="21" t="str">
        <f aca="false">IF(C7="","",IFERROR(INDEX(取引先マスタ!$B$5:$B$204,MATCH(C7,取引先マスタ!$A$5:$A$204,0)),"コード誤り"))</f>
        <v>有限会社テスト工業</v>
      </c>
      <c r="E7" s="26" t="s">
        <v>157</v>
      </c>
      <c r="F7" s="18" t="n">
        <v>165000</v>
      </c>
      <c r="G7" s="25" t="n">
        <f aca="false">IF(OR(B7="",C7="",D7="コード誤り"),"",IFERROR(IF(OR(INDEX(取引先マスタ!$E$5:$E$204,MATCH(C7,取引先マスタ!$A$5:$A$204,0))="",INDEX(取引先マスタ!$F$5:$F$204,MATCH(C7,取引先マスタ!$A$5:$A$204,0))=""),"",DATE(YEAR(B7),MONTH(B7)+INDEX(取引先マスタ!$E$5:$E$204,MATCH(C7,取引先マスタ!$A$5:$A$204,0)),MIN(INDEX(取引先マスタ!$F$5:$F$204,MATCH(C7,取引先マスタ!$A$5:$A$204,0)),DAY(EOMONTH(B7,INDEX(取引先マスタ!$E$5:$E$204,MATCH(C7,取引先マスタ!$A$5:$A$204,0))))))),""))</f>
        <v>46244</v>
      </c>
      <c r="H7" s="22"/>
      <c r="I7" s="25" t="n">
        <f aca="false">IF(H7&lt;&gt;"",H7,G7)</f>
        <v>46244</v>
      </c>
      <c r="J7" s="26" t="s">
        <v>155</v>
      </c>
      <c r="K7" s="22" t="n">
        <v>46204</v>
      </c>
      <c r="L7" s="26" t="s">
        <v>150</v>
      </c>
      <c r="M7" s="27" t="n">
        <f aca="false">IF(A7="","",SUMIF(入金明細!$F$5:$F$1004,A7,入金明細!$E$5:$E$1004))</f>
        <v>0</v>
      </c>
      <c r="N7" s="25" t="str">
        <f aca="false">IF(OR(A7="",N(M7)=0),"",SUMPRODUCT(MAX((入金明細!$F$5:$F$1004=A7)*入金明細!$B$5:$B$1004)))</f>
        <v/>
      </c>
      <c r="O7" s="18"/>
      <c r="P7" s="27" t="n">
        <f aca="false">IF(OR(A7="",F7=""),"",F7-N(M7)-N(O7))</f>
        <v>165000</v>
      </c>
      <c r="Q7" s="24"/>
      <c r="R7" s="28" t="str">
        <f aca="false">IF(A7="","",IF(Q7="取消","取消",IF(T7&lt;&gt;"","要入力",IF(K7="","未送付",IF(P7=0,"入金済",IF(P7&lt;0,"過入金",IF(設定!$C$5&gt;I7,IF(N(M7)&gt;0,"一部入金・超過","期日超過"),IF(N(M7)&gt;0,"一部入金",IF(I7-設定!$C$5&lt;=設定!$C$6,"期日間近","入金待ち")))))))))</f>
        <v>期日超過</v>
      </c>
      <c r="S7" s="29" t="n">
        <f aca="false">IF(OR(R7="期日超過",R7="一部入金・超過"),設定!$C$5-I7,"")</f>
        <v>50</v>
      </c>
      <c r="T7" s="21" t="str">
        <f aca="false">IF(A7="","",TRIM(IF(B7="","請求日 ","")&amp;IF(C7="","取引先 ",IF(D7="コード誤り","取引先コード誤り ",""))&amp;IF(E7="","件名 ","")&amp;IF(F7="","請求額 ","")&amp;IF(AND(F7&lt;&gt;"",I7=""),"入金期日(マスタの支払条件が未登録) ","")&amp;IF(J7="","送付方法 ","")&amp;IF(AND(K7&lt;&gt;"",L7=""),"送付者 ","")&amp;IF(AND(K7&lt;&gt;"",N(K7)&gt;設定!$C$5),"送付日が未来の日付 ","")&amp;IF(AND(K7&lt;&gt;"",N(M7)&gt;0,N(P7)&lt;=0,U7=""),"消込確認者 ","")))</f>
        <v/>
      </c>
      <c r="U7" s="26"/>
      <c r="V7" s="24" t="s">
        <v>158</v>
      </c>
    </row>
    <row r="8" customFormat="false" ht="15" hidden="false" customHeight="false" outlineLevel="0" collapsed="false">
      <c r="A8" s="21" t="str">
        <f aca="false">IF(COUNTA(B8,C8,E8,F8)=0,"",設定!$C$4&amp;TEXT(ROW()-4,"00000"))</f>
        <v>INV-00004</v>
      </c>
      <c r="B8" s="22" t="n">
        <v>46265</v>
      </c>
      <c r="C8" s="23" t="s">
        <v>159</v>
      </c>
      <c r="D8" s="21" t="str">
        <f aca="false">IF(C8="","",IFERROR(INDEX(取引先マスタ!$B$5:$B$204,MATCH(C8,取引先マスタ!$A$5:$A$204,0)),"コード誤り"))</f>
        <v>合同会社デモ</v>
      </c>
      <c r="E8" s="24" t="s">
        <v>160</v>
      </c>
      <c r="F8" s="18" t="n">
        <v>88000</v>
      </c>
      <c r="G8" s="25" t="n">
        <f aca="false">IF(OR(B8="",C8="",D8="コード誤り"),"",IFERROR(IF(OR(INDEX(取引先マスタ!$E$5:$E$204,MATCH(C8,取引先マスタ!$A$5:$A$204,0))="",INDEX(取引先マスタ!$F$5:$F$204,MATCH(C8,取引先マスタ!$A$5:$A$204,0))=""),"",DATE(YEAR(B8),MONTH(B8)+INDEX(取引先マスタ!$E$5:$E$204,MATCH(C8,取引先マスタ!$A$5:$A$204,0)),MIN(INDEX(取引先マスタ!$F$5:$F$204,MATCH(C8,取引先マスタ!$A$5:$A$204,0)),DAY(EOMONTH(B8,INDEX(取引先マスタ!$E$5:$E$204,MATCH(C8,取引先マスタ!$A$5:$A$204,0))))))),""))</f>
        <v>46295</v>
      </c>
      <c r="H8" s="22"/>
      <c r="I8" s="25" t="n">
        <f aca="false">IF(H8&lt;&gt;"",H8,G8)</f>
        <v>46295</v>
      </c>
      <c r="J8" s="26" t="s">
        <v>161</v>
      </c>
      <c r="K8" s="22" t="n">
        <v>46266</v>
      </c>
      <c r="L8" s="26" t="s">
        <v>150</v>
      </c>
      <c r="M8" s="27" t="n">
        <f aca="false">IF(A8="","",SUMIF(入金明細!$F$5:$F$1004,A8,入金明細!$E$5:$E$1004))</f>
        <v>50000</v>
      </c>
      <c r="N8" s="25" t="n">
        <f aca="false">IF(OR(A8="",N(M8)=0),"",SUMPRODUCT(MAX((入金明細!$F$5:$F$1004=A8)*入金明細!$B$5:$B$1004)))</f>
        <v>46293</v>
      </c>
      <c r="O8" s="18"/>
      <c r="P8" s="27" t="n">
        <f aca="false">IF(OR(A8="",F8=""),"",F8-N(M8)-N(O8))</f>
        <v>38000</v>
      </c>
      <c r="Q8" s="24"/>
      <c r="R8" s="28" t="str">
        <f aca="false">IF(A8="","",IF(Q8="取消","取消",IF(T8&lt;&gt;"","要入力",IF(K8="","未送付",IF(P8=0,"入金済",IF(P8&lt;0,"過入金",IF(設定!$C$5&gt;I8,IF(N(M8)&gt;0,"一部入金・超過","期日超過"),IF(N(M8)&gt;0,"一部入金",IF(I8-設定!$C$5&lt;=設定!$C$6,"期日間近","入金待ち")))))))))</f>
        <v>一部入金</v>
      </c>
      <c r="S8" s="29" t="str">
        <f aca="false">IF(OR(R8="期日超過",R8="一部入金・超過"),設定!$C$5-I8,"")</f>
        <v/>
      </c>
      <c r="T8" s="21" t="str">
        <f aca="false">IF(A8="","",TRIM(IF(B8="","請求日 ","")&amp;IF(C8="","取引先 ",IF(D8="コード誤り","取引先コード誤り ",""))&amp;IF(E8="","件名 ","")&amp;IF(F8="","請求額 ","")&amp;IF(AND(F8&lt;&gt;"",I8=""),"入金期日(マスタの支払条件が未登録) ","")&amp;IF(J8="","送付方法 ","")&amp;IF(AND(K8&lt;&gt;"",L8=""),"送付者 ","")&amp;IF(AND(K8&lt;&gt;"",N(K8)&gt;設定!$C$5),"送付日が未来の日付 ","")&amp;IF(AND(K8&lt;&gt;"",N(M8)&gt;0,N(P8)&lt;=0,U8=""),"消込確認者 ","")))</f>
        <v/>
      </c>
      <c r="U8" s="26"/>
      <c r="V8" s="24" t="s">
        <v>162</v>
      </c>
    </row>
    <row r="9" customFormat="false" ht="15" hidden="false" customHeight="false" outlineLevel="0" collapsed="false">
      <c r="A9" s="21" t="str">
        <f aca="false">IF(COUNTA(B9,C9,E9,F9)=0,"",設定!$C$4&amp;TEXT(ROW()-4,"00000"))</f>
        <v>INV-00005</v>
      </c>
      <c r="B9" s="22" t="n">
        <v>46295</v>
      </c>
      <c r="C9" s="23" t="s">
        <v>147</v>
      </c>
      <c r="D9" s="21" t="str">
        <f aca="false">IF(C9="","",IFERROR(INDEX(取引先マスタ!$B$5:$B$204,MATCH(C9,取引先マスタ!$A$5:$A$204,0)),"コード誤り"))</f>
        <v>株式会社サンプル商事</v>
      </c>
      <c r="E9" s="24" t="s">
        <v>163</v>
      </c>
      <c r="F9" s="18" t="n">
        <v>110000</v>
      </c>
      <c r="G9" s="25" t="n">
        <f aca="false">IF(OR(B9="",C9="",D9="コード誤り"),"",IFERROR(IF(OR(INDEX(取引先マスタ!$E$5:$E$204,MATCH(C9,取引先マスタ!$A$5:$A$204,0))="",INDEX(取引先マスタ!$F$5:$F$204,MATCH(C9,取引先マスタ!$A$5:$A$204,0))=""),"",DATE(YEAR(B9),MONTH(B9)+INDEX(取引先マスタ!$E$5:$E$204,MATCH(C9,取引先マスタ!$A$5:$A$204,0)),MIN(INDEX(取引先マスタ!$F$5:$F$204,MATCH(C9,取引先マスタ!$A$5:$A$204,0)),DAY(EOMONTH(B9,INDEX(取引先マスタ!$E$5:$E$204,MATCH(C9,取引先マスタ!$A$5:$A$204,0))))))),""))</f>
        <v>46326</v>
      </c>
      <c r="H9" s="22"/>
      <c r="I9" s="25" t="n">
        <f aca="false">IF(H9&lt;&gt;"",H9,G9)</f>
        <v>46326</v>
      </c>
      <c r="J9" s="26" t="s">
        <v>149</v>
      </c>
      <c r="K9" s="22"/>
      <c r="L9" s="26"/>
      <c r="M9" s="27" t="n">
        <f aca="false">IF(A9="","",SUMIF(入金明細!$F$5:$F$1004,A9,入金明細!$E$5:$E$1004))</f>
        <v>0</v>
      </c>
      <c r="N9" s="25" t="str">
        <f aca="false">IF(OR(A9="",N(M9)=0),"",SUMPRODUCT(MAX((入金明細!$F$5:$F$1004=A9)*入金明細!$B$5:$B$1004)))</f>
        <v/>
      </c>
      <c r="O9" s="18"/>
      <c r="P9" s="27" t="n">
        <f aca="false">IF(OR(A9="",F9=""),"",F9-N(M9)-N(O9))</f>
        <v>110000</v>
      </c>
      <c r="Q9" s="24"/>
      <c r="R9" s="28" t="str">
        <f aca="false">IF(A9="","",IF(Q9="取消","取消",IF(T9&lt;&gt;"","要入力",IF(K9="","未送付",IF(P9=0,"入金済",IF(P9&lt;0,"過入金",IF(設定!$C$5&gt;I9,IF(N(M9)&gt;0,"一部入金・超過","期日超過"),IF(N(M9)&gt;0,"一部入金",IF(I9-設定!$C$5&lt;=設定!$C$6,"期日間近","入金待ち")))))))))</f>
        <v>未送付</v>
      </c>
      <c r="S9" s="29" t="str">
        <f aca="false">IF(OR(R9="期日超過",R9="一部入金・超過"),設定!$C$5-I9,"")</f>
        <v/>
      </c>
      <c r="T9" s="21" t="str">
        <f aca="false">IF(A9="","",TRIM(IF(B9="","請求日 ","")&amp;IF(C9="","取引先 ",IF(D9="コード誤り","取引先コード誤り ",""))&amp;IF(E9="","件名 ","")&amp;IF(F9="","請求額 ","")&amp;IF(AND(F9&lt;&gt;"",I9=""),"入金期日(マスタの支払条件が未登録) ","")&amp;IF(J9="","送付方法 ","")&amp;IF(AND(K9&lt;&gt;"",L9=""),"送付者 ","")&amp;IF(AND(K9&lt;&gt;"",N(K9)&gt;設定!$C$5),"送付日が未来の日付 ","")&amp;IF(AND(K9&lt;&gt;"",N(M9)&gt;0,N(P9)&lt;=0,U9=""),"消込確認者 ","")))</f>
        <v/>
      </c>
      <c r="U9" s="26"/>
      <c r="V9" s="24" t="s">
        <v>164</v>
      </c>
    </row>
    <row r="10" customFormat="false" ht="15" hidden="false" customHeight="false" outlineLevel="0" collapsed="false">
      <c r="A10" s="21" t="str">
        <f aca="false">IF(COUNTA(B10,C10,E10,F10)=0,"",設定!$C$4&amp;TEXT(ROW()-4,"00000"))</f>
        <v>INV-00006</v>
      </c>
      <c r="B10" s="22" t="n">
        <v>46280</v>
      </c>
      <c r="C10" s="23" t="s">
        <v>159</v>
      </c>
      <c r="D10" s="21" t="str">
        <f aca="false">IF(C10="","",IFERROR(INDEX(取引先マスタ!$B$5:$B$204,MATCH(C10,取引先マスタ!$A$5:$A$204,0)),"コード誤り"))</f>
        <v>合同会社デモ</v>
      </c>
      <c r="E10" s="26" t="s">
        <v>165</v>
      </c>
      <c r="F10" s="18" t="n">
        <v>33000</v>
      </c>
      <c r="G10" s="25" t="n">
        <f aca="false">IF(OR(B10="",C10="",D10="コード誤り"),"",IFERROR(IF(OR(INDEX(取引先マスタ!$E$5:$E$204,MATCH(C10,取引先マスタ!$A$5:$A$204,0))="",INDEX(取引先マスタ!$F$5:$F$204,MATCH(C10,取引先マスタ!$A$5:$A$204,0))=""),"",DATE(YEAR(B10),MONTH(B10)+INDEX(取引先マスタ!$E$5:$E$204,MATCH(C10,取引先マスタ!$A$5:$A$204,0)),MIN(INDEX(取引先マスタ!$F$5:$F$204,MATCH(C10,取引先マスタ!$A$5:$A$204,0)),DAY(EOMONTH(B10,INDEX(取引先マスタ!$E$5:$E$204,MATCH(C10,取引先マスタ!$A$5:$A$204,0))))))),""))</f>
        <v>46326</v>
      </c>
      <c r="H10" s="22"/>
      <c r="I10" s="25" t="n">
        <f aca="false">IF(H10&lt;&gt;"",H10,G10)</f>
        <v>46326</v>
      </c>
      <c r="J10" s="26" t="s">
        <v>161</v>
      </c>
      <c r="K10" s="22" t="n">
        <v>46280</v>
      </c>
      <c r="L10" s="26" t="s">
        <v>150</v>
      </c>
      <c r="M10" s="27" t="n">
        <f aca="false">IF(A10="","",SUMIF(入金明細!$F$5:$F$1004,A10,入金明細!$E$5:$E$1004))</f>
        <v>0</v>
      </c>
      <c r="N10" s="25" t="str">
        <f aca="false">IF(OR(A10="",N(M10)=0),"",SUMPRODUCT(MAX((入金明細!$F$5:$F$1004=A10)*入金明細!$B$5:$B$1004)))</f>
        <v/>
      </c>
      <c r="O10" s="18"/>
      <c r="P10" s="27" t="n">
        <f aca="false">IF(OR(A10="",F10=""),"",F10-N(M10)-N(O10))</f>
        <v>33000</v>
      </c>
      <c r="Q10" s="26" t="s">
        <v>52</v>
      </c>
      <c r="R10" s="28" t="str">
        <f aca="false">IF(A10="","",IF(Q10="取消","取消",IF(T10&lt;&gt;"","要入力",IF(K10="","未送付",IF(P10=0,"入金済",IF(P10&lt;0,"過入金",IF(設定!$C$5&gt;I10,IF(N(M10)&gt;0,"一部入金・超過","期日超過"),IF(N(M10)&gt;0,"一部入金",IF(I10-設定!$C$5&lt;=設定!$C$6,"期日間近","入金待ち")))))))))</f>
        <v>取消</v>
      </c>
      <c r="S10" s="29" t="str">
        <f aca="false">IF(OR(R10="期日超過",R10="一部入金・超過"),設定!$C$5-I10,"")</f>
        <v/>
      </c>
      <c r="T10" s="21" t="str">
        <f aca="false">IF(A10="","",TRIM(IF(B10="","請求日 ","")&amp;IF(C10="","取引先 ",IF(D10="コード誤り","取引先コード誤り ",""))&amp;IF(E10="","件名 ","")&amp;IF(F10="","請求額 ","")&amp;IF(AND(F10&lt;&gt;"",I10=""),"入金期日(マスタの支払条件が未登録) ","")&amp;IF(J10="","送付方法 ","")&amp;IF(AND(K10&lt;&gt;"",L10=""),"送付者 ","")&amp;IF(AND(K10&lt;&gt;"",N(K10)&gt;設定!$C$5),"送付日が未来の日付 ","")&amp;IF(AND(K10&lt;&gt;"",N(M10)&gt;0,N(P10)&lt;=0,U10=""),"消込確認者 ","")))</f>
        <v/>
      </c>
      <c r="U10" s="26"/>
      <c r="V10" s="24" t="s">
        <v>166</v>
      </c>
    </row>
    <row r="11" customFormat="false" ht="15" hidden="false" customHeight="false" outlineLevel="0" collapsed="false">
      <c r="A11" s="21" t="str">
        <f aca="false">IF(COUNTA(B11,C11,E11,F11)=0,"",設定!$C$4&amp;TEXT(ROW()-4,"00000"))</f>
        <v>INV-00007</v>
      </c>
      <c r="B11" s="22" t="n">
        <v>46280</v>
      </c>
      <c r="C11" s="23" t="s">
        <v>159</v>
      </c>
      <c r="D11" s="21" t="str">
        <f aca="false">IF(C11="","",IFERROR(INDEX(取引先マスタ!$B$5:$B$204,MATCH(C11,取引先マスタ!$A$5:$A$204,0)),"コード誤り"))</f>
        <v>合同会社デモ</v>
      </c>
      <c r="E11" s="26" t="s">
        <v>167</v>
      </c>
      <c r="F11" s="18" t="n">
        <v>36300</v>
      </c>
      <c r="G11" s="25" t="n">
        <f aca="false">IF(OR(B11="",C11="",D11="コード誤り"),"",IFERROR(IF(OR(INDEX(取引先マスタ!$E$5:$E$204,MATCH(C11,取引先マスタ!$A$5:$A$204,0))="",INDEX(取引先マスタ!$F$5:$F$204,MATCH(C11,取引先マスタ!$A$5:$A$204,0))=""),"",DATE(YEAR(B11),MONTH(B11)+INDEX(取引先マスタ!$E$5:$E$204,MATCH(C11,取引先マスタ!$A$5:$A$204,0)),MIN(INDEX(取引先マスタ!$F$5:$F$204,MATCH(C11,取引先マスタ!$A$5:$A$204,0)),DAY(EOMONTH(B11,INDEX(取引先マスタ!$E$5:$E$204,MATCH(C11,取引先マスタ!$A$5:$A$204,0))))))),""))</f>
        <v>46326</v>
      </c>
      <c r="H11" s="22" t="n">
        <v>46300</v>
      </c>
      <c r="I11" s="25" t="n">
        <f aca="false">IF(H11&lt;&gt;"",H11,G11)</f>
        <v>46300</v>
      </c>
      <c r="J11" s="26" t="s">
        <v>161</v>
      </c>
      <c r="K11" s="22" t="n">
        <v>46281</v>
      </c>
      <c r="L11" s="26" t="s">
        <v>150</v>
      </c>
      <c r="M11" s="27" t="n">
        <f aca="false">IF(A11="","",SUMIF(入金明細!$F$5:$F$1004,A11,入金明細!$E$5:$E$1004))</f>
        <v>0</v>
      </c>
      <c r="N11" s="25" t="str">
        <f aca="false">IF(OR(A11="",N(M11)=0),"",SUMPRODUCT(MAX((入金明細!$F$5:$F$1004=A11)*入金明細!$B$5:$B$1004)))</f>
        <v/>
      </c>
      <c r="O11" s="18"/>
      <c r="P11" s="27" t="n">
        <f aca="false">IF(OR(A11="",F11=""),"",F11-N(M11)-N(O11))</f>
        <v>36300</v>
      </c>
      <c r="Q11" s="26"/>
      <c r="R11" s="28" t="str">
        <f aca="false">IF(A11="","",IF(Q11="取消","取消",IF(T11&lt;&gt;"","要入力",IF(K11="","未送付",IF(P11=0,"入金済",IF(P11&lt;0,"過入金",IF(設定!$C$5&gt;I11,IF(N(M11)&gt;0,"一部入金・超過","期日超過"),IF(N(M11)&gt;0,"一部入金",IF(I11-設定!$C$5&lt;=設定!$C$6,"期日間近","入金待ち")))))))))</f>
        <v>期日間近</v>
      </c>
      <c r="S11" s="29" t="str">
        <f aca="false">IF(OR(R11="期日超過",R11="一部入金・超過"),設定!$C$5-I11,"")</f>
        <v/>
      </c>
      <c r="T11" s="21" t="str">
        <f aca="false">IF(A11="","",TRIM(IF(B11="","請求日 ","")&amp;IF(C11="","取引先 ",IF(D11="コード誤り","取引先コード誤り ",""))&amp;IF(E11="","件名 ","")&amp;IF(F11="","請求額 ","")&amp;IF(AND(F11&lt;&gt;"",I11=""),"入金期日(マスタの支払条件が未登録) ","")&amp;IF(J11="","送付方法 ","")&amp;IF(AND(K11&lt;&gt;"",L11=""),"送付者 ","")&amp;IF(AND(K11&lt;&gt;"",N(K11)&gt;設定!$C$5),"送付日が未来の日付 ","")&amp;IF(AND(K11&lt;&gt;"",N(M11)&gt;0,N(P11)&lt;=0,U11=""),"消込確認者 ","")))</f>
        <v/>
      </c>
      <c r="U11" s="26"/>
      <c r="V11" s="24" t="s">
        <v>168</v>
      </c>
    </row>
    <row r="12" customFormat="false" ht="15" hidden="false" customHeight="false" outlineLevel="0" collapsed="false">
      <c r="A12" s="21" t="str">
        <f aca="false">IF(COUNTA(B12,C12,E12,F12)=0,"",設定!$C$4&amp;TEXT(ROW()-4,"00000"))</f>
        <v/>
      </c>
      <c r="B12" s="22"/>
      <c r="C12" s="23"/>
      <c r="D12" s="21" t="str">
        <f aca="false">IF(C12="","",IFERROR(INDEX(取引先マスタ!$B$5:$B$204,MATCH(C12,取引先マスタ!$A$5:$A$204,0)),"コード誤り"))</f>
        <v/>
      </c>
      <c r="E12" s="26"/>
      <c r="F12" s="18"/>
      <c r="G12" s="25" t="str">
        <f aca="false">IF(OR(B12="",C12="",D12="コード誤り"),"",IFERROR(IF(OR(INDEX(取引先マスタ!$E$5:$E$204,MATCH(C12,取引先マスタ!$A$5:$A$204,0))="",INDEX(取引先マスタ!$F$5:$F$204,MATCH(C12,取引先マスタ!$A$5:$A$204,0))=""),"",DATE(YEAR(B12),MONTH(B12)+INDEX(取引先マスタ!$E$5:$E$204,MATCH(C12,取引先マスタ!$A$5:$A$204,0)),MIN(INDEX(取引先マスタ!$F$5:$F$204,MATCH(C12,取引先マスタ!$A$5:$A$204,0)),DAY(EOMONTH(B12,INDEX(取引先マスタ!$E$5:$E$204,MATCH(C12,取引先マスタ!$A$5:$A$204,0))))))),""))</f>
        <v/>
      </c>
      <c r="H12" s="22"/>
      <c r="I12" s="25" t="str">
        <f aca="false">IF(H12&lt;&gt;"",H12,G12)</f>
        <v/>
      </c>
      <c r="J12" s="26"/>
      <c r="K12" s="22"/>
      <c r="L12" s="26"/>
      <c r="M12" s="27" t="str">
        <f aca="false">IF(A12="","",SUMIF(入金明細!$F$5:$F$1004,A12,入金明細!$E$5:$E$1004))</f>
        <v/>
      </c>
      <c r="N12" s="25" t="str">
        <f aca="false">IF(OR(A12="",N(M12)=0),"",SUMPRODUCT(MAX((入金明細!$F$5:$F$1004=A12)*入金明細!$B$5:$B$1004)))</f>
        <v/>
      </c>
      <c r="O12" s="18"/>
      <c r="P12" s="27" t="str">
        <f aca="false">IF(OR(A12="",F12=""),"",F12-N(M12)-N(O12))</f>
        <v/>
      </c>
      <c r="Q12" s="26"/>
      <c r="R12" s="28" t="str">
        <f aca="false">IF(A12="","",IF(Q12="取消","取消",IF(T12&lt;&gt;"","要入力",IF(K12="","未送付",IF(P12=0,"入金済",IF(P12&lt;0,"過入金",IF(設定!$C$5&gt;I12,IF(N(M12)&gt;0,"一部入金・超過","期日超過"),IF(N(M12)&gt;0,"一部入金",IF(I12-設定!$C$5&lt;=設定!$C$6,"期日間近","入金待ち")))))))))</f>
        <v/>
      </c>
      <c r="S12" s="29" t="str">
        <f aca="false">IF(OR(R12="期日超過",R12="一部入金・超過"),設定!$C$5-I12,"")</f>
        <v/>
      </c>
      <c r="T12" s="21" t="str">
        <f aca="false">IF(A12="","",TRIM(IF(B12="","請求日 ","")&amp;IF(C12="","取引先 ",IF(D12="コード誤り","取引先コード誤り ",""))&amp;IF(E12="","件名 ","")&amp;IF(F12="","請求額 ","")&amp;IF(AND(F12&lt;&gt;"",I12=""),"入金期日(マスタの支払条件が未登録) ","")&amp;IF(J12="","送付方法 ","")&amp;IF(AND(K12&lt;&gt;"",L12=""),"送付者 ","")&amp;IF(AND(K12&lt;&gt;"",N(K12)&gt;設定!$C$5),"送付日が未来の日付 ","")&amp;IF(AND(K12&lt;&gt;"",N(M12)&gt;0,N(P12)&lt;=0,U12=""),"消込確認者 ","")))</f>
        <v/>
      </c>
      <c r="U12" s="26"/>
      <c r="V12" s="26"/>
    </row>
    <row r="13" customFormat="false" ht="15" hidden="false" customHeight="false" outlineLevel="0" collapsed="false">
      <c r="A13" s="21" t="str">
        <f aca="false">IF(COUNTA(B13,C13,E13,F13)=0,"",設定!$C$4&amp;TEXT(ROW()-4,"00000"))</f>
        <v/>
      </c>
      <c r="B13" s="22"/>
      <c r="C13" s="23"/>
      <c r="D13" s="21" t="str">
        <f aca="false">IF(C13="","",IFERROR(INDEX(取引先マスタ!$B$5:$B$204,MATCH(C13,取引先マスタ!$A$5:$A$204,0)),"コード誤り"))</f>
        <v/>
      </c>
      <c r="E13" s="26"/>
      <c r="F13" s="18"/>
      <c r="G13" s="25" t="str">
        <f aca="false">IF(OR(B13="",C13="",D13="コード誤り"),"",IFERROR(IF(OR(INDEX(取引先マスタ!$E$5:$E$204,MATCH(C13,取引先マスタ!$A$5:$A$204,0))="",INDEX(取引先マスタ!$F$5:$F$204,MATCH(C13,取引先マスタ!$A$5:$A$204,0))=""),"",DATE(YEAR(B13),MONTH(B13)+INDEX(取引先マスタ!$E$5:$E$204,MATCH(C13,取引先マスタ!$A$5:$A$204,0)),MIN(INDEX(取引先マスタ!$F$5:$F$204,MATCH(C13,取引先マスタ!$A$5:$A$204,0)),DAY(EOMONTH(B13,INDEX(取引先マスタ!$E$5:$E$204,MATCH(C13,取引先マスタ!$A$5:$A$204,0))))))),""))</f>
        <v/>
      </c>
      <c r="H13" s="22"/>
      <c r="I13" s="25" t="str">
        <f aca="false">IF(H13&lt;&gt;"",H13,G13)</f>
        <v/>
      </c>
      <c r="J13" s="26"/>
      <c r="K13" s="22"/>
      <c r="L13" s="26"/>
      <c r="M13" s="27" t="str">
        <f aca="false">IF(A13="","",SUMIF(入金明細!$F$5:$F$1004,A13,入金明細!$E$5:$E$1004))</f>
        <v/>
      </c>
      <c r="N13" s="25" t="str">
        <f aca="false">IF(OR(A13="",N(M13)=0),"",SUMPRODUCT(MAX((入金明細!$F$5:$F$1004=A13)*入金明細!$B$5:$B$1004)))</f>
        <v/>
      </c>
      <c r="O13" s="18"/>
      <c r="P13" s="27" t="str">
        <f aca="false">IF(OR(A13="",F13=""),"",F13-N(M13)-N(O13))</f>
        <v/>
      </c>
      <c r="Q13" s="26"/>
      <c r="R13" s="28" t="str">
        <f aca="false">IF(A13="","",IF(Q13="取消","取消",IF(T13&lt;&gt;"","要入力",IF(K13="","未送付",IF(P13=0,"入金済",IF(P13&lt;0,"過入金",IF(設定!$C$5&gt;I13,IF(N(M13)&gt;0,"一部入金・超過","期日超過"),IF(N(M13)&gt;0,"一部入金",IF(I13-設定!$C$5&lt;=設定!$C$6,"期日間近","入金待ち")))))))))</f>
        <v/>
      </c>
      <c r="S13" s="29" t="str">
        <f aca="false">IF(OR(R13="期日超過",R13="一部入金・超過"),設定!$C$5-I13,"")</f>
        <v/>
      </c>
      <c r="T13" s="21" t="str">
        <f aca="false">IF(A13="","",TRIM(IF(B13="","請求日 ","")&amp;IF(C13="","取引先 ",IF(D13="コード誤り","取引先コード誤り ",""))&amp;IF(E13="","件名 ","")&amp;IF(F13="","請求額 ","")&amp;IF(AND(F13&lt;&gt;"",I13=""),"入金期日(マスタの支払条件が未登録) ","")&amp;IF(J13="","送付方法 ","")&amp;IF(AND(K13&lt;&gt;"",L13=""),"送付者 ","")&amp;IF(AND(K13&lt;&gt;"",N(K13)&gt;設定!$C$5),"送付日が未来の日付 ","")&amp;IF(AND(K13&lt;&gt;"",N(M13)&gt;0,N(P13)&lt;=0,U13=""),"消込確認者 ","")))</f>
        <v/>
      </c>
      <c r="U13" s="26"/>
      <c r="V13" s="26"/>
    </row>
    <row r="14" customFormat="false" ht="15" hidden="false" customHeight="false" outlineLevel="0" collapsed="false">
      <c r="A14" s="21" t="str">
        <f aca="false">IF(COUNTA(B14,C14,E14,F14)=0,"",設定!$C$4&amp;TEXT(ROW()-4,"00000"))</f>
        <v/>
      </c>
      <c r="B14" s="22"/>
      <c r="C14" s="23"/>
      <c r="D14" s="21" t="str">
        <f aca="false">IF(C14="","",IFERROR(INDEX(取引先マスタ!$B$5:$B$204,MATCH(C14,取引先マスタ!$A$5:$A$204,0)),"コード誤り"))</f>
        <v/>
      </c>
      <c r="E14" s="26"/>
      <c r="F14" s="18"/>
      <c r="G14" s="25" t="str">
        <f aca="false">IF(OR(B14="",C14="",D14="コード誤り"),"",IFERROR(IF(OR(INDEX(取引先マスタ!$E$5:$E$204,MATCH(C14,取引先マスタ!$A$5:$A$204,0))="",INDEX(取引先マスタ!$F$5:$F$204,MATCH(C14,取引先マスタ!$A$5:$A$204,0))=""),"",DATE(YEAR(B14),MONTH(B14)+INDEX(取引先マスタ!$E$5:$E$204,MATCH(C14,取引先マスタ!$A$5:$A$204,0)),MIN(INDEX(取引先マスタ!$F$5:$F$204,MATCH(C14,取引先マスタ!$A$5:$A$204,0)),DAY(EOMONTH(B14,INDEX(取引先マスタ!$E$5:$E$204,MATCH(C14,取引先マスタ!$A$5:$A$204,0))))))),""))</f>
        <v/>
      </c>
      <c r="H14" s="22"/>
      <c r="I14" s="25" t="str">
        <f aca="false">IF(H14&lt;&gt;"",H14,G14)</f>
        <v/>
      </c>
      <c r="J14" s="26"/>
      <c r="K14" s="22"/>
      <c r="L14" s="26"/>
      <c r="M14" s="27" t="str">
        <f aca="false">IF(A14="","",SUMIF(入金明細!$F$5:$F$1004,A14,入金明細!$E$5:$E$1004))</f>
        <v/>
      </c>
      <c r="N14" s="25" t="str">
        <f aca="false">IF(OR(A14="",N(M14)=0),"",SUMPRODUCT(MAX((入金明細!$F$5:$F$1004=A14)*入金明細!$B$5:$B$1004)))</f>
        <v/>
      </c>
      <c r="O14" s="18"/>
      <c r="P14" s="27" t="str">
        <f aca="false">IF(OR(A14="",F14=""),"",F14-N(M14)-N(O14))</f>
        <v/>
      </c>
      <c r="Q14" s="26"/>
      <c r="R14" s="28" t="str">
        <f aca="false">IF(A14="","",IF(Q14="取消","取消",IF(T14&lt;&gt;"","要入力",IF(K14="","未送付",IF(P14=0,"入金済",IF(P14&lt;0,"過入金",IF(設定!$C$5&gt;I14,IF(N(M14)&gt;0,"一部入金・超過","期日超過"),IF(N(M14)&gt;0,"一部入金",IF(I14-設定!$C$5&lt;=設定!$C$6,"期日間近","入金待ち")))))))))</f>
        <v/>
      </c>
      <c r="S14" s="29" t="str">
        <f aca="false">IF(OR(R14="期日超過",R14="一部入金・超過"),設定!$C$5-I14,"")</f>
        <v/>
      </c>
      <c r="T14" s="21" t="str">
        <f aca="false">IF(A14="","",TRIM(IF(B14="","請求日 ","")&amp;IF(C14="","取引先 ",IF(D14="コード誤り","取引先コード誤り ",""))&amp;IF(E14="","件名 ","")&amp;IF(F14="","請求額 ","")&amp;IF(AND(F14&lt;&gt;"",I14=""),"入金期日(マスタの支払条件が未登録) ","")&amp;IF(J14="","送付方法 ","")&amp;IF(AND(K14&lt;&gt;"",L14=""),"送付者 ","")&amp;IF(AND(K14&lt;&gt;"",N(K14)&gt;設定!$C$5),"送付日が未来の日付 ","")&amp;IF(AND(K14&lt;&gt;"",N(M14)&gt;0,N(P14)&lt;=0,U14=""),"消込確認者 ","")))</f>
        <v/>
      </c>
      <c r="U14" s="26"/>
      <c r="V14" s="26"/>
    </row>
    <row r="15" customFormat="false" ht="15" hidden="false" customHeight="false" outlineLevel="0" collapsed="false">
      <c r="A15" s="21" t="str">
        <f aca="false">IF(COUNTA(B15,C15,E15,F15)=0,"",設定!$C$4&amp;TEXT(ROW()-4,"00000"))</f>
        <v/>
      </c>
      <c r="B15" s="22"/>
      <c r="C15" s="23"/>
      <c r="D15" s="21" t="str">
        <f aca="false">IF(C15="","",IFERROR(INDEX(取引先マスタ!$B$5:$B$204,MATCH(C15,取引先マスタ!$A$5:$A$204,0)),"コード誤り"))</f>
        <v/>
      </c>
      <c r="E15" s="26"/>
      <c r="F15" s="18"/>
      <c r="G15" s="25" t="str">
        <f aca="false">IF(OR(B15="",C15="",D15="コード誤り"),"",IFERROR(IF(OR(INDEX(取引先マスタ!$E$5:$E$204,MATCH(C15,取引先マスタ!$A$5:$A$204,0))="",INDEX(取引先マスタ!$F$5:$F$204,MATCH(C15,取引先マスタ!$A$5:$A$204,0))=""),"",DATE(YEAR(B15),MONTH(B15)+INDEX(取引先マスタ!$E$5:$E$204,MATCH(C15,取引先マスタ!$A$5:$A$204,0)),MIN(INDEX(取引先マスタ!$F$5:$F$204,MATCH(C15,取引先マスタ!$A$5:$A$204,0)),DAY(EOMONTH(B15,INDEX(取引先マスタ!$E$5:$E$204,MATCH(C15,取引先マスタ!$A$5:$A$204,0))))))),""))</f>
        <v/>
      </c>
      <c r="H15" s="22"/>
      <c r="I15" s="25" t="str">
        <f aca="false">IF(H15&lt;&gt;"",H15,G15)</f>
        <v/>
      </c>
      <c r="J15" s="26"/>
      <c r="K15" s="22"/>
      <c r="L15" s="26"/>
      <c r="M15" s="27" t="str">
        <f aca="false">IF(A15="","",SUMIF(入金明細!$F$5:$F$1004,A15,入金明細!$E$5:$E$1004))</f>
        <v/>
      </c>
      <c r="N15" s="25" t="str">
        <f aca="false">IF(OR(A15="",N(M15)=0),"",SUMPRODUCT(MAX((入金明細!$F$5:$F$1004=A15)*入金明細!$B$5:$B$1004)))</f>
        <v/>
      </c>
      <c r="O15" s="18"/>
      <c r="P15" s="27" t="str">
        <f aca="false">IF(OR(A15="",F15=""),"",F15-N(M15)-N(O15))</f>
        <v/>
      </c>
      <c r="Q15" s="26"/>
      <c r="R15" s="28" t="str">
        <f aca="false">IF(A15="","",IF(Q15="取消","取消",IF(T15&lt;&gt;"","要入力",IF(K15="","未送付",IF(P15=0,"入金済",IF(P15&lt;0,"過入金",IF(設定!$C$5&gt;I15,IF(N(M15)&gt;0,"一部入金・超過","期日超過"),IF(N(M15)&gt;0,"一部入金",IF(I15-設定!$C$5&lt;=設定!$C$6,"期日間近","入金待ち")))))))))</f>
        <v/>
      </c>
      <c r="S15" s="29" t="str">
        <f aca="false">IF(OR(R15="期日超過",R15="一部入金・超過"),設定!$C$5-I15,"")</f>
        <v/>
      </c>
      <c r="T15" s="21" t="str">
        <f aca="false">IF(A15="","",TRIM(IF(B15="","請求日 ","")&amp;IF(C15="","取引先 ",IF(D15="コード誤り","取引先コード誤り ",""))&amp;IF(E15="","件名 ","")&amp;IF(F15="","請求額 ","")&amp;IF(AND(F15&lt;&gt;"",I15=""),"入金期日(マスタの支払条件が未登録) ","")&amp;IF(J15="","送付方法 ","")&amp;IF(AND(K15&lt;&gt;"",L15=""),"送付者 ","")&amp;IF(AND(K15&lt;&gt;"",N(K15)&gt;設定!$C$5),"送付日が未来の日付 ","")&amp;IF(AND(K15&lt;&gt;"",N(M15)&gt;0,N(P15)&lt;=0,U15=""),"消込確認者 ","")))</f>
        <v/>
      </c>
      <c r="U15" s="26"/>
      <c r="V15" s="26"/>
    </row>
    <row r="16" customFormat="false" ht="15" hidden="false" customHeight="false" outlineLevel="0" collapsed="false">
      <c r="A16" s="21" t="str">
        <f aca="false">IF(COUNTA(B16,C16,E16,F16)=0,"",設定!$C$4&amp;TEXT(ROW()-4,"00000"))</f>
        <v/>
      </c>
      <c r="B16" s="22"/>
      <c r="C16" s="23"/>
      <c r="D16" s="21" t="str">
        <f aca="false">IF(C16="","",IFERROR(INDEX(取引先マスタ!$B$5:$B$204,MATCH(C16,取引先マスタ!$A$5:$A$204,0)),"コード誤り"))</f>
        <v/>
      </c>
      <c r="E16" s="26"/>
      <c r="F16" s="18"/>
      <c r="G16" s="25" t="str">
        <f aca="false">IF(OR(B16="",C16="",D16="コード誤り"),"",IFERROR(IF(OR(INDEX(取引先マスタ!$E$5:$E$204,MATCH(C16,取引先マスタ!$A$5:$A$204,0))="",INDEX(取引先マスタ!$F$5:$F$204,MATCH(C16,取引先マスタ!$A$5:$A$204,0))=""),"",DATE(YEAR(B16),MONTH(B16)+INDEX(取引先マスタ!$E$5:$E$204,MATCH(C16,取引先マスタ!$A$5:$A$204,0)),MIN(INDEX(取引先マスタ!$F$5:$F$204,MATCH(C16,取引先マスタ!$A$5:$A$204,0)),DAY(EOMONTH(B16,INDEX(取引先マスタ!$E$5:$E$204,MATCH(C16,取引先マスタ!$A$5:$A$204,0))))))),""))</f>
        <v/>
      </c>
      <c r="H16" s="22"/>
      <c r="I16" s="25" t="str">
        <f aca="false">IF(H16&lt;&gt;"",H16,G16)</f>
        <v/>
      </c>
      <c r="J16" s="26"/>
      <c r="K16" s="22"/>
      <c r="L16" s="26"/>
      <c r="M16" s="27" t="str">
        <f aca="false">IF(A16="","",SUMIF(入金明細!$F$5:$F$1004,A16,入金明細!$E$5:$E$1004))</f>
        <v/>
      </c>
      <c r="N16" s="25" t="str">
        <f aca="false">IF(OR(A16="",N(M16)=0),"",SUMPRODUCT(MAX((入金明細!$F$5:$F$1004=A16)*入金明細!$B$5:$B$1004)))</f>
        <v/>
      </c>
      <c r="O16" s="18"/>
      <c r="P16" s="27" t="str">
        <f aca="false">IF(OR(A16="",F16=""),"",F16-N(M16)-N(O16))</f>
        <v/>
      </c>
      <c r="Q16" s="26"/>
      <c r="R16" s="28" t="str">
        <f aca="false">IF(A16="","",IF(Q16="取消","取消",IF(T16&lt;&gt;"","要入力",IF(K16="","未送付",IF(P16=0,"入金済",IF(P16&lt;0,"過入金",IF(設定!$C$5&gt;I16,IF(N(M16)&gt;0,"一部入金・超過","期日超過"),IF(N(M16)&gt;0,"一部入金",IF(I16-設定!$C$5&lt;=設定!$C$6,"期日間近","入金待ち")))))))))</f>
        <v/>
      </c>
      <c r="S16" s="29" t="str">
        <f aca="false">IF(OR(R16="期日超過",R16="一部入金・超過"),設定!$C$5-I16,"")</f>
        <v/>
      </c>
      <c r="T16" s="21" t="str">
        <f aca="false">IF(A16="","",TRIM(IF(B16="","請求日 ","")&amp;IF(C16="","取引先 ",IF(D16="コード誤り","取引先コード誤り ",""))&amp;IF(E16="","件名 ","")&amp;IF(F16="","請求額 ","")&amp;IF(AND(F16&lt;&gt;"",I16=""),"入金期日(マスタの支払条件が未登録) ","")&amp;IF(J16="","送付方法 ","")&amp;IF(AND(K16&lt;&gt;"",L16=""),"送付者 ","")&amp;IF(AND(K16&lt;&gt;"",N(K16)&gt;設定!$C$5),"送付日が未来の日付 ","")&amp;IF(AND(K16&lt;&gt;"",N(M16)&gt;0,N(P16)&lt;=0,U16=""),"消込確認者 ","")))</f>
        <v/>
      </c>
      <c r="U16" s="26"/>
      <c r="V16" s="26"/>
    </row>
    <row r="17" customFormat="false" ht="15" hidden="false" customHeight="false" outlineLevel="0" collapsed="false">
      <c r="A17" s="21" t="str">
        <f aca="false">IF(COUNTA(B17,C17,E17,F17)=0,"",設定!$C$4&amp;TEXT(ROW()-4,"00000"))</f>
        <v/>
      </c>
      <c r="B17" s="22"/>
      <c r="C17" s="23"/>
      <c r="D17" s="21" t="str">
        <f aca="false">IF(C17="","",IFERROR(INDEX(取引先マスタ!$B$5:$B$204,MATCH(C17,取引先マスタ!$A$5:$A$204,0)),"コード誤り"))</f>
        <v/>
      </c>
      <c r="E17" s="26"/>
      <c r="F17" s="18"/>
      <c r="G17" s="25" t="str">
        <f aca="false">IF(OR(B17="",C17="",D17="コード誤り"),"",IFERROR(IF(OR(INDEX(取引先マスタ!$E$5:$E$204,MATCH(C17,取引先マスタ!$A$5:$A$204,0))="",INDEX(取引先マスタ!$F$5:$F$204,MATCH(C17,取引先マスタ!$A$5:$A$204,0))=""),"",DATE(YEAR(B17),MONTH(B17)+INDEX(取引先マスタ!$E$5:$E$204,MATCH(C17,取引先マスタ!$A$5:$A$204,0)),MIN(INDEX(取引先マスタ!$F$5:$F$204,MATCH(C17,取引先マスタ!$A$5:$A$204,0)),DAY(EOMONTH(B17,INDEX(取引先マスタ!$E$5:$E$204,MATCH(C17,取引先マスタ!$A$5:$A$204,0))))))),""))</f>
        <v/>
      </c>
      <c r="H17" s="22"/>
      <c r="I17" s="25" t="str">
        <f aca="false">IF(H17&lt;&gt;"",H17,G17)</f>
        <v/>
      </c>
      <c r="J17" s="26"/>
      <c r="K17" s="22"/>
      <c r="L17" s="26"/>
      <c r="M17" s="27" t="str">
        <f aca="false">IF(A17="","",SUMIF(入金明細!$F$5:$F$1004,A17,入金明細!$E$5:$E$1004))</f>
        <v/>
      </c>
      <c r="N17" s="25" t="str">
        <f aca="false">IF(OR(A17="",N(M17)=0),"",SUMPRODUCT(MAX((入金明細!$F$5:$F$1004=A17)*入金明細!$B$5:$B$1004)))</f>
        <v/>
      </c>
      <c r="O17" s="18"/>
      <c r="P17" s="27" t="str">
        <f aca="false">IF(OR(A17="",F17=""),"",F17-N(M17)-N(O17))</f>
        <v/>
      </c>
      <c r="Q17" s="26"/>
      <c r="R17" s="28" t="str">
        <f aca="false">IF(A17="","",IF(Q17="取消","取消",IF(T17&lt;&gt;"","要入力",IF(K17="","未送付",IF(P17=0,"入金済",IF(P17&lt;0,"過入金",IF(設定!$C$5&gt;I17,IF(N(M17)&gt;0,"一部入金・超過","期日超過"),IF(N(M17)&gt;0,"一部入金",IF(I17-設定!$C$5&lt;=設定!$C$6,"期日間近","入金待ち")))))))))</f>
        <v/>
      </c>
      <c r="S17" s="29" t="str">
        <f aca="false">IF(OR(R17="期日超過",R17="一部入金・超過"),設定!$C$5-I17,"")</f>
        <v/>
      </c>
      <c r="T17" s="21" t="str">
        <f aca="false">IF(A17="","",TRIM(IF(B17="","請求日 ","")&amp;IF(C17="","取引先 ",IF(D17="コード誤り","取引先コード誤り ",""))&amp;IF(E17="","件名 ","")&amp;IF(F17="","請求額 ","")&amp;IF(AND(F17&lt;&gt;"",I17=""),"入金期日(マスタの支払条件が未登録) ","")&amp;IF(J17="","送付方法 ","")&amp;IF(AND(K17&lt;&gt;"",L17=""),"送付者 ","")&amp;IF(AND(K17&lt;&gt;"",N(K17)&gt;設定!$C$5),"送付日が未来の日付 ","")&amp;IF(AND(K17&lt;&gt;"",N(M17)&gt;0,N(P17)&lt;=0,U17=""),"消込確認者 ","")))</f>
        <v/>
      </c>
      <c r="U17" s="26"/>
      <c r="V17" s="26"/>
    </row>
    <row r="18" customFormat="false" ht="15" hidden="false" customHeight="false" outlineLevel="0" collapsed="false">
      <c r="A18" s="21" t="str">
        <f aca="false">IF(COUNTA(B18,C18,E18,F18)=0,"",設定!$C$4&amp;TEXT(ROW()-4,"00000"))</f>
        <v/>
      </c>
      <c r="B18" s="22"/>
      <c r="C18" s="23"/>
      <c r="D18" s="21" t="str">
        <f aca="false">IF(C18="","",IFERROR(INDEX(取引先マスタ!$B$5:$B$204,MATCH(C18,取引先マスタ!$A$5:$A$204,0)),"コード誤り"))</f>
        <v/>
      </c>
      <c r="E18" s="26"/>
      <c r="F18" s="18"/>
      <c r="G18" s="25" t="str">
        <f aca="false">IF(OR(B18="",C18="",D18="コード誤り"),"",IFERROR(IF(OR(INDEX(取引先マスタ!$E$5:$E$204,MATCH(C18,取引先マスタ!$A$5:$A$204,0))="",INDEX(取引先マスタ!$F$5:$F$204,MATCH(C18,取引先マスタ!$A$5:$A$204,0))=""),"",DATE(YEAR(B18),MONTH(B18)+INDEX(取引先マスタ!$E$5:$E$204,MATCH(C18,取引先マスタ!$A$5:$A$204,0)),MIN(INDEX(取引先マスタ!$F$5:$F$204,MATCH(C18,取引先マスタ!$A$5:$A$204,0)),DAY(EOMONTH(B18,INDEX(取引先マスタ!$E$5:$E$204,MATCH(C18,取引先マスタ!$A$5:$A$204,0))))))),""))</f>
        <v/>
      </c>
      <c r="H18" s="22"/>
      <c r="I18" s="25" t="str">
        <f aca="false">IF(H18&lt;&gt;"",H18,G18)</f>
        <v/>
      </c>
      <c r="J18" s="26"/>
      <c r="K18" s="22"/>
      <c r="L18" s="26"/>
      <c r="M18" s="27" t="str">
        <f aca="false">IF(A18="","",SUMIF(入金明細!$F$5:$F$1004,A18,入金明細!$E$5:$E$1004))</f>
        <v/>
      </c>
      <c r="N18" s="25" t="str">
        <f aca="false">IF(OR(A18="",N(M18)=0),"",SUMPRODUCT(MAX((入金明細!$F$5:$F$1004=A18)*入金明細!$B$5:$B$1004)))</f>
        <v/>
      </c>
      <c r="O18" s="18"/>
      <c r="P18" s="27" t="str">
        <f aca="false">IF(OR(A18="",F18=""),"",F18-N(M18)-N(O18))</f>
        <v/>
      </c>
      <c r="Q18" s="26"/>
      <c r="R18" s="28" t="str">
        <f aca="false">IF(A18="","",IF(Q18="取消","取消",IF(T18&lt;&gt;"","要入力",IF(K18="","未送付",IF(P18=0,"入金済",IF(P18&lt;0,"過入金",IF(設定!$C$5&gt;I18,IF(N(M18)&gt;0,"一部入金・超過","期日超過"),IF(N(M18)&gt;0,"一部入金",IF(I18-設定!$C$5&lt;=設定!$C$6,"期日間近","入金待ち")))))))))</f>
        <v/>
      </c>
      <c r="S18" s="29" t="str">
        <f aca="false">IF(OR(R18="期日超過",R18="一部入金・超過"),設定!$C$5-I18,"")</f>
        <v/>
      </c>
      <c r="T18" s="21" t="str">
        <f aca="false">IF(A18="","",TRIM(IF(B18="","請求日 ","")&amp;IF(C18="","取引先 ",IF(D18="コード誤り","取引先コード誤り ",""))&amp;IF(E18="","件名 ","")&amp;IF(F18="","請求額 ","")&amp;IF(AND(F18&lt;&gt;"",I18=""),"入金期日(マスタの支払条件が未登録) ","")&amp;IF(J18="","送付方法 ","")&amp;IF(AND(K18&lt;&gt;"",L18=""),"送付者 ","")&amp;IF(AND(K18&lt;&gt;"",N(K18)&gt;設定!$C$5),"送付日が未来の日付 ","")&amp;IF(AND(K18&lt;&gt;"",N(M18)&gt;0,N(P18)&lt;=0,U18=""),"消込確認者 ","")))</f>
        <v/>
      </c>
      <c r="U18" s="26"/>
      <c r="V18" s="26"/>
    </row>
    <row r="19" customFormat="false" ht="15" hidden="false" customHeight="false" outlineLevel="0" collapsed="false">
      <c r="A19" s="21" t="str">
        <f aca="false">IF(COUNTA(B19,C19,E19,F19)=0,"",設定!$C$4&amp;TEXT(ROW()-4,"00000"))</f>
        <v/>
      </c>
      <c r="B19" s="22"/>
      <c r="C19" s="23"/>
      <c r="D19" s="21" t="str">
        <f aca="false">IF(C19="","",IFERROR(INDEX(取引先マスタ!$B$5:$B$204,MATCH(C19,取引先マスタ!$A$5:$A$204,0)),"コード誤り"))</f>
        <v/>
      </c>
      <c r="E19" s="26"/>
      <c r="F19" s="18"/>
      <c r="G19" s="25" t="str">
        <f aca="false">IF(OR(B19="",C19="",D19="コード誤り"),"",IFERROR(IF(OR(INDEX(取引先マスタ!$E$5:$E$204,MATCH(C19,取引先マスタ!$A$5:$A$204,0))="",INDEX(取引先マスタ!$F$5:$F$204,MATCH(C19,取引先マスタ!$A$5:$A$204,0))=""),"",DATE(YEAR(B19),MONTH(B19)+INDEX(取引先マスタ!$E$5:$E$204,MATCH(C19,取引先マスタ!$A$5:$A$204,0)),MIN(INDEX(取引先マスタ!$F$5:$F$204,MATCH(C19,取引先マスタ!$A$5:$A$204,0)),DAY(EOMONTH(B19,INDEX(取引先マスタ!$E$5:$E$204,MATCH(C19,取引先マスタ!$A$5:$A$204,0))))))),""))</f>
        <v/>
      </c>
      <c r="H19" s="22"/>
      <c r="I19" s="25" t="str">
        <f aca="false">IF(H19&lt;&gt;"",H19,G19)</f>
        <v/>
      </c>
      <c r="J19" s="26"/>
      <c r="K19" s="22"/>
      <c r="L19" s="26"/>
      <c r="M19" s="27" t="str">
        <f aca="false">IF(A19="","",SUMIF(入金明細!$F$5:$F$1004,A19,入金明細!$E$5:$E$1004))</f>
        <v/>
      </c>
      <c r="N19" s="25" t="str">
        <f aca="false">IF(OR(A19="",N(M19)=0),"",SUMPRODUCT(MAX((入金明細!$F$5:$F$1004=A19)*入金明細!$B$5:$B$1004)))</f>
        <v/>
      </c>
      <c r="O19" s="18"/>
      <c r="P19" s="27" t="str">
        <f aca="false">IF(OR(A19="",F19=""),"",F19-N(M19)-N(O19))</f>
        <v/>
      </c>
      <c r="Q19" s="26"/>
      <c r="R19" s="28" t="str">
        <f aca="false">IF(A19="","",IF(Q19="取消","取消",IF(T19&lt;&gt;"","要入力",IF(K19="","未送付",IF(P19=0,"入金済",IF(P19&lt;0,"過入金",IF(設定!$C$5&gt;I19,IF(N(M19)&gt;0,"一部入金・超過","期日超過"),IF(N(M19)&gt;0,"一部入金",IF(I19-設定!$C$5&lt;=設定!$C$6,"期日間近","入金待ち")))))))))</f>
        <v/>
      </c>
      <c r="S19" s="29" t="str">
        <f aca="false">IF(OR(R19="期日超過",R19="一部入金・超過"),設定!$C$5-I19,"")</f>
        <v/>
      </c>
      <c r="T19" s="21" t="str">
        <f aca="false">IF(A19="","",TRIM(IF(B19="","請求日 ","")&amp;IF(C19="","取引先 ",IF(D19="コード誤り","取引先コード誤り ",""))&amp;IF(E19="","件名 ","")&amp;IF(F19="","請求額 ","")&amp;IF(AND(F19&lt;&gt;"",I19=""),"入金期日(マスタの支払条件が未登録) ","")&amp;IF(J19="","送付方法 ","")&amp;IF(AND(K19&lt;&gt;"",L19=""),"送付者 ","")&amp;IF(AND(K19&lt;&gt;"",N(K19)&gt;設定!$C$5),"送付日が未来の日付 ","")&amp;IF(AND(K19&lt;&gt;"",N(M19)&gt;0,N(P19)&lt;=0,U19=""),"消込確認者 ","")))</f>
        <v/>
      </c>
      <c r="U19" s="26"/>
      <c r="V19" s="26"/>
    </row>
    <row r="20" customFormat="false" ht="15" hidden="false" customHeight="false" outlineLevel="0" collapsed="false">
      <c r="A20" s="21" t="str">
        <f aca="false">IF(COUNTA(B20,C20,E20,F20)=0,"",設定!$C$4&amp;TEXT(ROW()-4,"00000"))</f>
        <v/>
      </c>
      <c r="B20" s="22"/>
      <c r="C20" s="23"/>
      <c r="D20" s="21" t="str">
        <f aca="false">IF(C20="","",IFERROR(INDEX(取引先マスタ!$B$5:$B$204,MATCH(C20,取引先マスタ!$A$5:$A$204,0)),"コード誤り"))</f>
        <v/>
      </c>
      <c r="E20" s="26"/>
      <c r="F20" s="18"/>
      <c r="G20" s="25" t="str">
        <f aca="false">IF(OR(B20="",C20="",D20="コード誤り"),"",IFERROR(IF(OR(INDEX(取引先マスタ!$E$5:$E$204,MATCH(C20,取引先マスタ!$A$5:$A$204,0))="",INDEX(取引先マスタ!$F$5:$F$204,MATCH(C20,取引先マスタ!$A$5:$A$204,0))=""),"",DATE(YEAR(B20),MONTH(B20)+INDEX(取引先マスタ!$E$5:$E$204,MATCH(C20,取引先マスタ!$A$5:$A$204,0)),MIN(INDEX(取引先マスタ!$F$5:$F$204,MATCH(C20,取引先マスタ!$A$5:$A$204,0)),DAY(EOMONTH(B20,INDEX(取引先マスタ!$E$5:$E$204,MATCH(C20,取引先マスタ!$A$5:$A$204,0))))))),""))</f>
        <v/>
      </c>
      <c r="H20" s="22"/>
      <c r="I20" s="25" t="str">
        <f aca="false">IF(H20&lt;&gt;"",H20,G20)</f>
        <v/>
      </c>
      <c r="J20" s="26"/>
      <c r="K20" s="22"/>
      <c r="L20" s="26"/>
      <c r="M20" s="27" t="str">
        <f aca="false">IF(A20="","",SUMIF(入金明細!$F$5:$F$1004,A20,入金明細!$E$5:$E$1004))</f>
        <v/>
      </c>
      <c r="N20" s="25" t="str">
        <f aca="false">IF(OR(A20="",N(M20)=0),"",SUMPRODUCT(MAX((入金明細!$F$5:$F$1004=A20)*入金明細!$B$5:$B$1004)))</f>
        <v/>
      </c>
      <c r="O20" s="18"/>
      <c r="P20" s="27" t="str">
        <f aca="false">IF(OR(A20="",F20=""),"",F20-N(M20)-N(O20))</f>
        <v/>
      </c>
      <c r="Q20" s="26"/>
      <c r="R20" s="28" t="str">
        <f aca="false">IF(A20="","",IF(Q20="取消","取消",IF(T20&lt;&gt;"","要入力",IF(K20="","未送付",IF(P20=0,"入金済",IF(P20&lt;0,"過入金",IF(設定!$C$5&gt;I20,IF(N(M20)&gt;0,"一部入金・超過","期日超過"),IF(N(M20)&gt;0,"一部入金",IF(I20-設定!$C$5&lt;=設定!$C$6,"期日間近","入金待ち")))))))))</f>
        <v/>
      </c>
      <c r="S20" s="29" t="str">
        <f aca="false">IF(OR(R20="期日超過",R20="一部入金・超過"),設定!$C$5-I20,"")</f>
        <v/>
      </c>
      <c r="T20" s="21" t="str">
        <f aca="false">IF(A20="","",TRIM(IF(B20="","請求日 ","")&amp;IF(C20="","取引先 ",IF(D20="コード誤り","取引先コード誤り ",""))&amp;IF(E20="","件名 ","")&amp;IF(F20="","請求額 ","")&amp;IF(AND(F20&lt;&gt;"",I20=""),"入金期日(マスタの支払条件が未登録) ","")&amp;IF(J20="","送付方法 ","")&amp;IF(AND(K20&lt;&gt;"",L20=""),"送付者 ","")&amp;IF(AND(K20&lt;&gt;"",N(K20)&gt;設定!$C$5),"送付日が未来の日付 ","")&amp;IF(AND(K20&lt;&gt;"",N(M20)&gt;0,N(P20)&lt;=0,U20=""),"消込確認者 ","")))</f>
        <v/>
      </c>
      <c r="U20" s="26"/>
      <c r="V20" s="26"/>
    </row>
    <row r="21" customFormat="false" ht="15" hidden="false" customHeight="false" outlineLevel="0" collapsed="false">
      <c r="A21" s="21" t="str">
        <f aca="false">IF(COUNTA(B21,C21,E21,F21)=0,"",設定!$C$4&amp;TEXT(ROW()-4,"00000"))</f>
        <v/>
      </c>
      <c r="B21" s="22"/>
      <c r="C21" s="23"/>
      <c r="D21" s="21" t="str">
        <f aca="false">IF(C21="","",IFERROR(INDEX(取引先マスタ!$B$5:$B$204,MATCH(C21,取引先マスタ!$A$5:$A$204,0)),"コード誤り"))</f>
        <v/>
      </c>
      <c r="E21" s="26"/>
      <c r="F21" s="18"/>
      <c r="G21" s="25" t="str">
        <f aca="false">IF(OR(B21="",C21="",D21="コード誤り"),"",IFERROR(IF(OR(INDEX(取引先マスタ!$E$5:$E$204,MATCH(C21,取引先マスタ!$A$5:$A$204,0))="",INDEX(取引先マスタ!$F$5:$F$204,MATCH(C21,取引先マスタ!$A$5:$A$204,0))=""),"",DATE(YEAR(B21),MONTH(B21)+INDEX(取引先マスタ!$E$5:$E$204,MATCH(C21,取引先マスタ!$A$5:$A$204,0)),MIN(INDEX(取引先マスタ!$F$5:$F$204,MATCH(C21,取引先マスタ!$A$5:$A$204,0)),DAY(EOMONTH(B21,INDEX(取引先マスタ!$E$5:$E$204,MATCH(C21,取引先マスタ!$A$5:$A$204,0))))))),""))</f>
        <v/>
      </c>
      <c r="H21" s="22"/>
      <c r="I21" s="25" t="str">
        <f aca="false">IF(H21&lt;&gt;"",H21,G21)</f>
        <v/>
      </c>
      <c r="J21" s="26"/>
      <c r="K21" s="22"/>
      <c r="L21" s="26"/>
      <c r="M21" s="27" t="str">
        <f aca="false">IF(A21="","",SUMIF(入金明細!$F$5:$F$1004,A21,入金明細!$E$5:$E$1004))</f>
        <v/>
      </c>
      <c r="N21" s="25" t="str">
        <f aca="false">IF(OR(A21="",N(M21)=0),"",SUMPRODUCT(MAX((入金明細!$F$5:$F$1004=A21)*入金明細!$B$5:$B$1004)))</f>
        <v/>
      </c>
      <c r="O21" s="18"/>
      <c r="P21" s="27" t="str">
        <f aca="false">IF(OR(A21="",F21=""),"",F21-N(M21)-N(O21))</f>
        <v/>
      </c>
      <c r="Q21" s="26"/>
      <c r="R21" s="28" t="str">
        <f aca="false">IF(A21="","",IF(Q21="取消","取消",IF(T21&lt;&gt;"","要入力",IF(K21="","未送付",IF(P21=0,"入金済",IF(P21&lt;0,"過入金",IF(設定!$C$5&gt;I21,IF(N(M21)&gt;0,"一部入金・超過","期日超過"),IF(N(M21)&gt;0,"一部入金",IF(I21-設定!$C$5&lt;=設定!$C$6,"期日間近","入金待ち")))))))))</f>
        <v/>
      </c>
      <c r="S21" s="29" t="str">
        <f aca="false">IF(OR(R21="期日超過",R21="一部入金・超過"),設定!$C$5-I21,"")</f>
        <v/>
      </c>
      <c r="T21" s="21" t="str">
        <f aca="false">IF(A21="","",TRIM(IF(B21="","請求日 ","")&amp;IF(C21="","取引先 ",IF(D21="コード誤り","取引先コード誤り ",""))&amp;IF(E21="","件名 ","")&amp;IF(F21="","請求額 ","")&amp;IF(AND(F21&lt;&gt;"",I21=""),"入金期日(マスタの支払条件が未登録) ","")&amp;IF(J21="","送付方法 ","")&amp;IF(AND(K21&lt;&gt;"",L21=""),"送付者 ","")&amp;IF(AND(K21&lt;&gt;"",N(K21)&gt;設定!$C$5),"送付日が未来の日付 ","")&amp;IF(AND(K21&lt;&gt;"",N(M21)&gt;0,N(P21)&lt;=0,U21=""),"消込確認者 ","")))</f>
        <v/>
      </c>
      <c r="U21" s="26"/>
      <c r="V21" s="26"/>
    </row>
    <row r="22" customFormat="false" ht="15" hidden="false" customHeight="false" outlineLevel="0" collapsed="false">
      <c r="A22" s="21" t="str">
        <f aca="false">IF(COUNTA(B22,C22,E22,F22)=0,"",設定!$C$4&amp;TEXT(ROW()-4,"00000"))</f>
        <v/>
      </c>
      <c r="B22" s="22"/>
      <c r="C22" s="23"/>
      <c r="D22" s="21" t="str">
        <f aca="false">IF(C22="","",IFERROR(INDEX(取引先マスタ!$B$5:$B$204,MATCH(C22,取引先マスタ!$A$5:$A$204,0)),"コード誤り"))</f>
        <v/>
      </c>
      <c r="E22" s="26"/>
      <c r="F22" s="18"/>
      <c r="G22" s="25" t="str">
        <f aca="false">IF(OR(B22="",C22="",D22="コード誤り"),"",IFERROR(IF(OR(INDEX(取引先マスタ!$E$5:$E$204,MATCH(C22,取引先マスタ!$A$5:$A$204,0))="",INDEX(取引先マスタ!$F$5:$F$204,MATCH(C22,取引先マスタ!$A$5:$A$204,0))=""),"",DATE(YEAR(B22),MONTH(B22)+INDEX(取引先マスタ!$E$5:$E$204,MATCH(C22,取引先マスタ!$A$5:$A$204,0)),MIN(INDEX(取引先マスタ!$F$5:$F$204,MATCH(C22,取引先マスタ!$A$5:$A$204,0)),DAY(EOMONTH(B22,INDEX(取引先マスタ!$E$5:$E$204,MATCH(C22,取引先マスタ!$A$5:$A$204,0))))))),""))</f>
        <v/>
      </c>
      <c r="H22" s="22"/>
      <c r="I22" s="25" t="str">
        <f aca="false">IF(H22&lt;&gt;"",H22,G22)</f>
        <v/>
      </c>
      <c r="J22" s="26"/>
      <c r="K22" s="22"/>
      <c r="L22" s="26"/>
      <c r="M22" s="27" t="str">
        <f aca="false">IF(A22="","",SUMIF(入金明細!$F$5:$F$1004,A22,入金明細!$E$5:$E$1004))</f>
        <v/>
      </c>
      <c r="N22" s="25" t="str">
        <f aca="false">IF(OR(A22="",N(M22)=0),"",SUMPRODUCT(MAX((入金明細!$F$5:$F$1004=A22)*入金明細!$B$5:$B$1004)))</f>
        <v/>
      </c>
      <c r="O22" s="18"/>
      <c r="P22" s="27" t="str">
        <f aca="false">IF(OR(A22="",F22=""),"",F22-N(M22)-N(O22))</f>
        <v/>
      </c>
      <c r="Q22" s="26"/>
      <c r="R22" s="28" t="str">
        <f aca="false">IF(A22="","",IF(Q22="取消","取消",IF(T22&lt;&gt;"","要入力",IF(K22="","未送付",IF(P22=0,"入金済",IF(P22&lt;0,"過入金",IF(設定!$C$5&gt;I22,IF(N(M22)&gt;0,"一部入金・超過","期日超過"),IF(N(M22)&gt;0,"一部入金",IF(I22-設定!$C$5&lt;=設定!$C$6,"期日間近","入金待ち")))))))))</f>
        <v/>
      </c>
      <c r="S22" s="29" t="str">
        <f aca="false">IF(OR(R22="期日超過",R22="一部入金・超過"),設定!$C$5-I22,"")</f>
        <v/>
      </c>
      <c r="T22" s="21" t="str">
        <f aca="false">IF(A22="","",TRIM(IF(B22="","請求日 ","")&amp;IF(C22="","取引先 ",IF(D22="コード誤り","取引先コード誤り ",""))&amp;IF(E22="","件名 ","")&amp;IF(F22="","請求額 ","")&amp;IF(AND(F22&lt;&gt;"",I22=""),"入金期日(マスタの支払条件が未登録) ","")&amp;IF(J22="","送付方法 ","")&amp;IF(AND(K22&lt;&gt;"",L22=""),"送付者 ","")&amp;IF(AND(K22&lt;&gt;"",N(K22)&gt;設定!$C$5),"送付日が未来の日付 ","")&amp;IF(AND(K22&lt;&gt;"",N(M22)&gt;0,N(P22)&lt;=0,U22=""),"消込確認者 ","")))</f>
        <v/>
      </c>
      <c r="U22" s="26"/>
      <c r="V22" s="26"/>
    </row>
    <row r="23" customFormat="false" ht="15" hidden="false" customHeight="false" outlineLevel="0" collapsed="false">
      <c r="A23" s="21" t="str">
        <f aca="false">IF(COUNTA(B23,C23,E23,F23)=0,"",設定!$C$4&amp;TEXT(ROW()-4,"00000"))</f>
        <v/>
      </c>
      <c r="B23" s="22"/>
      <c r="C23" s="23"/>
      <c r="D23" s="21" t="str">
        <f aca="false">IF(C23="","",IFERROR(INDEX(取引先マスタ!$B$5:$B$204,MATCH(C23,取引先マスタ!$A$5:$A$204,0)),"コード誤り"))</f>
        <v/>
      </c>
      <c r="E23" s="26"/>
      <c r="F23" s="18"/>
      <c r="G23" s="25" t="str">
        <f aca="false">IF(OR(B23="",C23="",D23="コード誤り"),"",IFERROR(IF(OR(INDEX(取引先マスタ!$E$5:$E$204,MATCH(C23,取引先マスタ!$A$5:$A$204,0))="",INDEX(取引先マスタ!$F$5:$F$204,MATCH(C23,取引先マスタ!$A$5:$A$204,0))=""),"",DATE(YEAR(B23),MONTH(B23)+INDEX(取引先マスタ!$E$5:$E$204,MATCH(C23,取引先マスタ!$A$5:$A$204,0)),MIN(INDEX(取引先マスタ!$F$5:$F$204,MATCH(C23,取引先マスタ!$A$5:$A$204,0)),DAY(EOMONTH(B23,INDEX(取引先マスタ!$E$5:$E$204,MATCH(C23,取引先マスタ!$A$5:$A$204,0))))))),""))</f>
        <v/>
      </c>
      <c r="H23" s="22"/>
      <c r="I23" s="25" t="str">
        <f aca="false">IF(H23&lt;&gt;"",H23,G23)</f>
        <v/>
      </c>
      <c r="J23" s="26"/>
      <c r="K23" s="22"/>
      <c r="L23" s="26"/>
      <c r="M23" s="27" t="str">
        <f aca="false">IF(A23="","",SUMIF(入金明細!$F$5:$F$1004,A23,入金明細!$E$5:$E$1004))</f>
        <v/>
      </c>
      <c r="N23" s="25" t="str">
        <f aca="false">IF(OR(A23="",N(M23)=0),"",SUMPRODUCT(MAX((入金明細!$F$5:$F$1004=A23)*入金明細!$B$5:$B$1004)))</f>
        <v/>
      </c>
      <c r="O23" s="18"/>
      <c r="P23" s="27" t="str">
        <f aca="false">IF(OR(A23="",F23=""),"",F23-N(M23)-N(O23))</f>
        <v/>
      </c>
      <c r="Q23" s="26"/>
      <c r="R23" s="28" t="str">
        <f aca="false">IF(A23="","",IF(Q23="取消","取消",IF(T23&lt;&gt;"","要入力",IF(K23="","未送付",IF(P23=0,"入金済",IF(P23&lt;0,"過入金",IF(設定!$C$5&gt;I23,IF(N(M23)&gt;0,"一部入金・超過","期日超過"),IF(N(M23)&gt;0,"一部入金",IF(I23-設定!$C$5&lt;=設定!$C$6,"期日間近","入金待ち")))))))))</f>
        <v/>
      </c>
      <c r="S23" s="29" t="str">
        <f aca="false">IF(OR(R23="期日超過",R23="一部入金・超過"),設定!$C$5-I23,"")</f>
        <v/>
      </c>
      <c r="T23" s="21" t="str">
        <f aca="false">IF(A23="","",TRIM(IF(B23="","請求日 ","")&amp;IF(C23="","取引先 ",IF(D23="コード誤り","取引先コード誤り ",""))&amp;IF(E23="","件名 ","")&amp;IF(F23="","請求額 ","")&amp;IF(AND(F23&lt;&gt;"",I23=""),"入金期日(マスタの支払条件が未登録) ","")&amp;IF(J23="","送付方法 ","")&amp;IF(AND(K23&lt;&gt;"",L23=""),"送付者 ","")&amp;IF(AND(K23&lt;&gt;"",N(K23)&gt;設定!$C$5),"送付日が未来の日付 ","")&amp;IF(AND(K23&lt;&gt;"",N(M23)&gt;0,N(P23)&lt;=0,U23=""),"消込確認者 ","")))</f>
        <v/>
      </c>
      <c r="U23" s="26"/>
      <c r="V23" s="26"/>
    </row>
    <row r="24" customFormat="false" ht="15" hidden="false" customHeight="false" outlineLevel="0" collapsed="false">
      <c r="A24" s="21" t="str">
        <f aca="false">IF(COUNTA(B24,C24,E24,F24)=0,"",設定!$C$4&amp;TEXT(ROW()-4,"00000"))</f>
        <v/>
      </c>
      <c r="B24" s="22"/>
      <c r="C24" s="23"/>
      <c r="D24" s="21" t="str">
        <f aca="false">IF(C24="","",IFERROR(INDEX(取引先マスタ!$B$5:$B$204,MATCH(C24,取引先マスタ!$A$5:$A$204,0)),"コード誤り"))</f>
        <v/>
      </c>
      <c r="E24" s="26"/>
      <c r="F24" s="18"/>
      <c r="G24" s="25" t="str">
        <f aca="false">IF(OR(B24="",C24="",D24="コード誤り"),"",IFERROR(IF(OR(INDEX(取引先マスタ!$E$5:$E$204,MATCH(C24,取引先マスタ!$A$5:$A$204,0))="",INDEX(取引先マスタ!$F$5:$F$204,MATCH(C24,取引先マスタ!$A$5:$A$204,0))=""),"",DATE(YEAR(B24),MONTH(B24)+INDEX(取引先マスタ!$E$5:$E$204,MATCH(C24,取引先マスタ!$A$5:$A$204,0)),MIN(INDEX(取引先マスタ!$F$5:$F$204,MATCH(C24,取引先マスタ!$A$5:$A$204,0)),DAY(EOMONTH(B24,INDEX(取引先マスタ!$E$5:$E$204,MATCH(C24,取引先マスタ!$A$5:$A$204,0))))))),""))</f>
        <v/>
      </c>
      <c r="H24" s="22"/>
      <c r="I24" s="25" t="str">
        <f aca="false">IF(H24&lt;&gt;"",H24,G24)</f>
        <v/>
      </c>
      <c r="J24" s="26"/>
      <c r="K24" s="22"/>
      <c r="L24" s="26"/>
      <c r="M24" s="27" t="str">
        <f aca="false">IF(A24="","",SUMIF(入金明細!$F$5:$F$1004,A24,入金明細!$E$5:$E$1004))</f>
        <v/>
      </c>
      <c r="N24" s="25" t="str">
        <f aca="false">IF(OR(A24="",N(M24)=0),"",SUMPRODUCT(MAX((入金明細!$F$5:$F$1004=A24)*入金明細!$B$5:$B$1004)))</f>
        <v/>
      </c>
      <c r="O24" s="18"/>
      <c r="P24" s="27" t="str">
        <f aca="false">IF(OR(A24="",F24=""),"",F24-N(M24)-N(O24))</f>
        <v/>
      </c>
      <c r="Q24" s="26"/>
      <c r="R24" s="28" t="str">
        <f aca="false">IF(A24="","",IF(Q24="取消","取消",IF(T24&lt;&gt;"","要入力",IF(K24="","未送付",IF(P24=0,"入金済",IF(P24&lt;0,"過入金",IF(設定!$C$5&gt;I24,IF(N(M24)&gt;0,"一部入金・超過","期日超過"),IF(N(M24)&gt;0,"一部入金",IF(I24-設定!$C$5&lt;=設定!$C$6,"期日間近","入金待ち")))))))))</f>
        <v/>
      </c>
      <c r="S24" s="29" t="str">
        <f aca="false">IF(OR(R24="期日超過",R24="一部入金・超過"),設定!$C$5-I24,"")</f>
        <v/>
      </c>
      <c r="T24" s="21" t="str">
        <f aca="false">IF(A24="","",TRIM(IF(B24="","請求日 ","")&amp;IF(C24="","取引先 ",IF(D24="コード誤り","取引先コード誤り ",""))&amp;IF(E24="","件名 ","")&amp;IF(F24="","請求額 ","")&amp;IF(AND(F24&lt;&gt;"",I24=""),"入金期日(マスタの支払条件が未登録) ","")&amp;IF(J24="","送付方法 ","")&amp;IF(AND(K24&lt;&gt;"",L24=""),"送付者 ","")&amp;IF(AND(K24&lt;&gt;"",N(K24)&gt;設定!$C$5),"送付日が未来の日付 ","")&amp;IF(AND(K24&lt;&gt;"",N(M24)&gt;0,N(P24)&lt;=0,U24=""),"消込確認者 ","")))</f>
        <v/>
      </c>
      <c r="U24" s="26"/>
      <c r="V24" s="26"/>
    </row>
    <row r="25" customFormat="false" ht="15" hidden="false" customHeight="false" outlineLevel="0" collapsed="false">
      <c r="A25" s="21" t="str">
        <f aca="false">IF(COUNTA(B25,C25,E25,F25)=0,"",設定!$C$4&amp;TEXT(ROW()-4,"00000"))</f>
        <v/>
      </c>
      <c r="B25" s="22"/>
      <c r="C25" s="23"/>
      <c r="D25" s="21" t="str">
        <f aca="false">IF(C25="","",IFERROR(INDEX(取引先マスタ!$B$5:$B$204,MATCH(C25,取引先マスタ!$A$5:$A$204,0)),"コード誤り"))</f>
        <v/>
      </c>
      <c r="E25" s="26"/>
      <c r="F25" s="18"/>
      <c r="G25" s="25" t="str">
        <f aca="false">IF(OR(B25="",C25="",D25="コード誤り"),"",IFERROR(IF(OR(INDEX(取引先マスタ!$E$5:$E$204,MATCH(C25,取引先マスタ!$A$5:$A$204,0))="",INDEX(取引先マスタ!$F$5:$F$204,MATCH(C25,取引先マスタ!$A$5:$A$204,0))=""),"",DATE(YEAR(B25),MONTH(B25)+INDEX(取引先マスタ!$E$5:$E$204,MATCH(C25,取引先マスタ!$A$5:$A$204,0)),MIN(INDEX(取引先マスタ!$F$5:$F$204,MATCH(C25,取引先マスタ!$A$5:$A$204,0)),DAY(EOMONTH(B25,INDEX(取引先マスタ!$E$5:$E$204,MATCH(C25,取引先マスタ!$A$5:$A$204,0))))))),""))</f>
        <v/>
      </c>
      <c r="H25" s="22"/>
      <c r="I25" s="25" t="str">
        <f aca="false">IF(H25&lt;&gt;"",H25,G25)</f>
        <v/>
      </c>
      <c r="J25" s="26"/>
      <c r="K25" s="22"/>
      <c r="L25" s="26"/>
      <c r="M25" s="27" t="str">
        <f aca="false">IF(A25="","",SUMIF(入金明細!$F$5:$F$1004,A25,入金明細!$E$5:$E$1004))</f>
        <v/>
      </c>
      <c r="N25" s="25" t="str">
        <f aca="false">IF(OR(A25="",N(M25)=0),"",SUMPRODUCT(MAX((入金明細!$F$5:$F$1004=A25)*入金明細!$B$5:$B$1004)))</f>
        <v/>
      </c>
      <c r="O25" s="18"/>
      <c r="P25" s="27" t="str">
        <f aca="false">IF(OR(A25="",F25=""),"",F25-N(M25)-N(O25))</f>
        <v/>
      </c>
      <c r="Q25" s="26"/>
      <c r="R25" s="28" t="str">
        <f aca="false">IF(A25="","",IF(Q25="取消","取消",IF(T25&lt;&gt;"","要入力",IF(K25="","未送付",IF(P25=0,"入金済",IF(P25&lt;0,"過入金",IF(設定!$C$5&gt;I25,IF(N(M25)&gt;0,"一部入金・超過","期日超過"),IF(N(M25)&gt;0,"一部入金",IF(I25-設定!$C$5&lt;=設定!$C$6,"期日間近","入金待ち")))))))))</f>
        <v/>
      </c>
      <c r="S25" s="29" t="str">
        <f aca="false">IF(OR(R25="期日超過",R25="一部入金・超過"),設定!$C$5-I25,"")</f>
        <v/>
      </c>
      <c r="T25" s="21" t="str">
        <f aca="false">IF(A25="","",TRIM(IF(B25="","請求日 ","")&amp;IF(C25="","取引先 ",IF(D25="コード誤り","取引先コード誤り ",""))&amp;IF(E25="","件名 ","")&amp;IF(F25="","請求額 ","")&amp;IF(AND(F25&lt;&gt;"",I25=""),"入金期日(マスタの支払条件が未登録) ","")&amp;IF(J25="","送付方法 ","")&amp;IF(AND(K25&lt;&gt;"",L25=""),"送付者 ","")&amp;IF(AND(K25&lt;&gt;"",N(K25)&gt;設定!$C$5),"送付日が未来の日付 ","")&amp;IF(AND(K25&lt;&gt;"",N(M25)&gt;0,N(P25)&lt;=0,U25=""),"消込確認者 ","")))</f>
        <v/>
      </c>
      <c r="U25" s="26"/>
      <c r="V25" s="26"/>
    </row>
    <row r="26" customFormat="false" ht="15" hidden="false" customHeight="false" outlineLevel="0" collapsed="false">
      <c r="A26" s="21" t="str">
        <f aca="false">IF(COUNTA(B26,C26,E26,F26)=0,"",設定!$C$4&amp;TEXT(ROW()-4,"00000"))</f>
        <v/>
      </c>
      <c r="B26" s="22"/>
      <c r="C26" s="23"/>
      <c r="D26" s="21" t="str">
        <f aca="false">IF(C26="","",IFERROR(INDEX(取引先マスタ!$B$5:$B$204,MATCH(C26,取引先マスタ!$A$5:$A$204,0)),"コード誤り"))</f>
        <v/>
      </c>
      <c r="E26" s="26"/>
      <c r="F26" s="18"/>
      <c r="G26" s="25" t="str">
        <f aca="false">IF(OR(B26="",C26="",D26="コード誤り"),"",IFERROR(IF(OR(INDEX(取引先マスタ!$E$5:$E$204,MATCH(C26,取引先マスタ!$A$5:$A$204,0))="",INDEX(取引先マスタ!$F$5:$F$204,MATCH(C26,取引先マスタ!$A$5:$A$204,0))=""),"",DATE(YEAR(B26),MONTH(B26)+INDEX(取引先マスタ!$E$5:$E$204,MATCH(C26,取引先マスタ!$A$5:$A$204,0)),MIN(INDEX(取引先マスタ!$F$5:$F$204,MATCH(C26,取引先マスタ!$A$5:$A$204,0)),DAY(EOMONTH(B26,INDEX(取引先マスタ!$E$5:$E$204,MATCH(C26,取引先マスタ!$A$5:$A$204,0))))))),""))</f>
        <v/>
      </c>
      <c r="H26" s="22"/>
      <c r="I26" s="25" t="str">
        <f aca="false">IF(H26&lt;&gt;"",H26,G26)</f>
        <v/>
      </c>
      <c r="J26" s="26"/>
      <c r="K26" s="22"/>
      <c r="L26" s="26"/>
      <c r="M26" s="27" t="str">
        <f aca="false">IF(A26="","",SUMIF(入金明細!$F$5:$F$1004,A26,入金明細!$E$5:$E$1004))</f>
        <v/>
      </c>
      <c r="N26" s="25" t="str">
        <f aca="false">IF(OR(A26="",N(M26)=0),"",SUMPRODUCT(MAX((入金明細!$F$5:$F$1004=A26)*入金明細!$B$5:$B$1004)))</f>
        <v/>
      </c>
      <c r="O26" s="18"/>
      <c r="P26" s="27" t="str">
        <f aca="false">IF(OR(A26="",F26=""),"",F26-N(M26)-N(O26))</f>
        <v/>
      </c>
      <c r="Q26" s="26"/>
      <c r="R26" s="28" t="str">
        <f aca="false">IF(A26="","",IF(Q26="取消","取消",IF(T26&lt;&gt;"","要入力",IF(K26="","未送付",IF(P26=0,"入金済",IF(P26&lt;0,"過入金",IF(設定!$C$5&gt;I26,IF(N(M26)&gt;0,"一部入金・超過","期日超過"),IF(N(M26)&gt;0,"一部入金",IF(I26-設定!$C$5&lt;=設定!$C$6,"期日間近","入金待ち")))))))))</f>
        <v/>
      </c>
      <c r="S26" s="29" t="str">
        <f aca="false">IF(OR(R26="期日超過",R26="一部入金・超過"),設定!$C$5-I26,"")</f>
        <v/>
      </c>
      <c r="T26" s="21" t="str">
        <f aca="false">IF(A26="","",TRIM(IF(B26="","請求日 ","")&amp;IF(C26="","取引先 ",IF(D26="コード誤り","取引先コード誤り ",""))&amp;IF(E26="","件名 ","")&amp;IF(F26="","請求額 ","")&amp;IF(AND(F26&lt;&gt;"",I26=""),"入金期日(マスタの支払条件が未登録) ","")&amp;IF(J26="","送付方法 ","")&amp;IF(AND(K26&lt;&gt;"",L26=""),"送付者 ","")&amp;IF(AND(K26&lt;&gt;"",N(K26)&gt;設定!$C$5),"送付日が未来の日付 ","")&amp;IF(AND(K26&lt;&gt;"",N(M26)&gt;0,N(P26)&lt;=0,U26=""),"消込確認者 ","")))</f>
        <v/>
      </c>
      <c r="U26" s="26"/>
      <c r="V26" s="26"/>
    </row>
    <row r="27" customFormat="false" ht="15" hidden="false" customHeight="false" outlineLevel="0" collapsed="false">
      <c r="A27" s="21" t="str">
        <f aca="false">IF(COUNTA(B27,C27,E27,F27)=0,"",設定!$C$4&amp;TEXT(ROW()-4,"00000"))</f>
        <v/>
      </c>
      <c r="B27" s="22"/>
      <c r="C27" s="23"/>
      <c r="D27" s="21" t="str">
        <f aca="false">IF(C27="","",IFERROR(INDEX(取引先マスタ!$B$5:$B$204,MATCH(C27,取引先マスタ!$A$5:$A$204,0)),"コード誤り"))</f>
        <v/>
      </c>
      <c r="E27" s="26"/>
      <c r="F27" s="18"/>
      <c r="G27" s="25" t="str">
        <f aca="false">IF(OR(B27="",C27="",D27="コード誤り"),"",IFERROR(IF(OR(INDEX(取引先マスタ!$E$5:$E$204,MATCH(C27,取引先マスタ!$A$5:$A$204,0))="",INDEX(取引先マスタ!$F$5:$F$204,MATCH(C27,取引先マスタ!$A$5:$A$204,0))=""),"",DATE(YEAR(B27),MONTH(B27)+INDEX(取引先マスタ!$E$5:$E$204,MATCH(C27,取引先マスタ!$A$5:$A$204,0)),MIN(INDEX(取引先マスタ!$F$5:$F$204,MATCH(C27,取引先マスタ!$A$5:$A$204,0)),DAY(EOMONTH(B27,INDEX(取引先マスタ!$E$5:$E$204,MATCH(C27,取引先マスタ!$A$5:$A$204,0))))))),""))</f>
        <v/>
      </c>
      <c r="H27" s="22"/>
      <c r="I27" s="25" t="str">
        <f aca="false">IF(H27&lt;&gt;"",H27,G27)</f>
        <v/>
      </c>
      <c r="J27" s="26"/>
      <c r="K27" s="22"/>
      <c r="L27" s="26"/>
      <c r="M27" s="27" t="str">
        <f aca="false">IF(A27="","",SUMIF(入金明細!$F$5:$F$1004,A27,入金明細!$E$5:$E$1004))</f>
        <v/>
      </c>
      <c r="N27" s="25" t="str">
        <f aca="false">IF(OR(A27="",N(M27)=0),"",SUMPRODUCT(MAX((入金明細!$F$5:$F$1004=A27)*入金明細!$B$5:$B$1004)))</f>
        <v/>
      </c>
      <c r="O27" s="18"/>
      <c r="P27" s="27" t="str">
        <f aca="false">IF(OR(A27="",F27=""),"",F27-N(M27)-N(O27))</f>
        <v/>
      </c>
      <c r="Q27" s="26"/>
      <c r="R27" s="28" t="str">
        <f aca="false">IF(A27="","",IF(Q27="取消","取消",IF(T27&lt;&gt;"","要入力",IF(K27="","未送付",IF(P27=0,"入金済",IF(P27&lt;0,"過入金",IF(設定!$C$5&gt;I27,IF(N(M27)&gt;0,"一部入金・超過","期日超過"),IF(N(M27)&gt;0,"一部入金",IF(I27-設定!$C$5&lt;=設定!$C$6,"期日間近","入金待ち")))))))))</f>
        <v/>
      </c>
      <c r="S27" s="29" t="str">
        <f aca="false">IF(OR(R27="期日超過",R27="一部入金・超過"),設定!$C$5-I27,"")</f>
        <v/>
      </c>
      <c r="T27" s="21" t="str">
        <f aca="false">IF(A27="","",TRIM(IF(B27="","請求日 ","")&amp;IF(C27="","取引先 ",IF(D27="コード誤り","取引先コード誤り ",""))&amp;IF(E27="","件名 ","")&amp;IF(F27="","請求額 ","")&amp;IF(AND(F27&lt;&gt;"",I27=""),"入金期日(マスタの支払条件が未登録) ","")&amp;IF(J27="","送付方法 ","")&amp;IF(AND(K27&lt;&gt;"",L27=""),"送付者 ","")&amp;IF(AND(K27&lt;&gt;"",N(K27)&gt;設定!$C$5),"送付日が未来の日付 ","")&amp;IF(AND(K27&lt;&gt;"",N(M27)&gt;0,N(P27)&lt;=0,U27=""),"消込確認者 ","")))</f>
        <v/>
      </c>
      <c r="U27" s="26"/>
      <c r="V27" s="26"/>
    </row>
    <row r="28" customFormat="false" ht="15" hidden="false" customHeight="false" outlineLevel="0" collapsed="false">
      <c r="A28" s="21" t="str">
        <f aca="false">IF(COUNTA(B28,C28,E28,F28)=0,"",設定!$C$4&amp;TEXT(ROW()-4,"00000"))</f>
        <v/>
      </c>
      <c r="B28" s="22"/>
      <c r="C28" s="23"/>
      <c r="D28" s="21" t="str">
        <f aca="false">IF(C28="","",IFERROR(INDEX(取引先マスタ!$B$5:$B$204,MATCH(C28,取引先マスタ!$A$5:$A$204,0)),"コード誤り"))</f>
        <v/>
      </c>
      <c r="E28" s="26"/>
      <c r="F28" s="18"/>
      <c r="G28" s="25" t="str">
        <f aca="false">IF(OR(B28="",C28="",D28="コード誤り"),"",IFERROR(IF(OR(INDEX(取引先マスタ!$E$5:$E$204,MATCH(C28,取引先マスタ!$A$5:$A$204,0))="",INDEX(取引先マスタ!$F$5:$F$204,MATCH(C28,取引先マスタ!$A$5:$A$204,0))=""),"",DATE(YEAR(B28),MONTH(B28)+INDEX(取引先マスタ!$E$5:$E$204,MATCH(C28,取引先マスタ!$A$5:$A$204,0)),MIN(INDEX(取引先マスタ!$F$5:$F$204,MATCH(C28,取引先マスタ!$A$5:$A$204,0)),DAY(EOMONTH(B28,INDEX(取引先マスタ!$E$5:$E$204,MATCH(C28,取引先マスタ!$A$5:$A$204,0))))))),""))</f>
        <v/>
      </c>
      <c r="H28" s="22"/>
      <c r="I28" s="25" t="str">
        <f aca="false">IF(H28&lt;&gt;"",H28,G28)</f>
        <v/>
      </c>
      <c r="J28" s="26"/>
      <c r="K28" s="22"/>
      <c r="L28" s="26"/>
      <c r="M28" s="27" t="str">
        <f aca="false">IF(A28="","",SUMIF(入金明細!$F$5:$F$1004,A28,入金明細!$E$5:$E$1004))</f>
        <v/>
      </c>
      <c r="N28" s="25" t="str">
        <f aca="false">IF(OR(A28="",N(M28)=0),"",SUMPRODUCT(MAX((入金明細!$F$5:$F$1004=A28)*入金明細!$B$5:$B$1004)))</f>
        <v/>
      </c>
      <c r="O28" s="18"/>
      <c r="P28" s="27" t="str">
        <f aca="false">IF(OR(A28="",F28=""),"",F28-N(M28)-N(O28))</f>
        <v/>
      </c>
      <c r="Q28" s="26"/>
      <c r="R28" s="28" t="str">
        <f aca="false">IF(A28="","",IF(Q28="取消","取消",IF(T28&lt;&gt;"","要入力",IF(K28="","未送付",IF(P28=0,"入金済",IF(P28&lt;0,"過入金",IF(設定!$C$5&gt;I28,IF(N(M28)&gt;0,"一部入金・超過","期日超過"),IF(N(M28)&gt;0,"一部入金",IF(I28-設定!$C$5&lt;=設定!$C$6,"期日間近","入金待ち")))))))))</f>
        <v/>
      </c>
      <c r="S28" s="29" t="str">
        <f aca="false">IF(OR(R28="期日超過",R28="一部入金・超過"),設定!$C$5-I28,"")</f>
        <v/>
      </c>
      <c r="T28" s="21" t="str">
        <f aca="false">IF(A28="","",TRIM(IF(B28="","請求日 ","")&amp;IF(C28="","取引先 ",IF(D28="コード誤り","取引先コード誤り ",""))&amp;IF(E28="","件名 ","")&amp;IF(F28="","請求額 ","")&amp;IF(AND(F28&lt;&gt;"",I28=""),"入金期日(マスタの支払条件が未登録) ","")&amp;IF(J28="","送付方法 ","")&amp;IF(AND(K28&lt;&gt;"",L28=""),"送付者 ","")&amp;IF(AND(K28&lt;&gt;"",N(K28)&gt;設定!$C$5),"送付日が未来の日付 ","")&amp;IF(AND(K28&lt;&gt;"",N(M28)&gt;0,N(P28)&lt;=0,U28=""),"消込確認者 ","")))</f>
        <v/>
      </c>
      <c r="U28" s="26"/>
      <c r="V28" s="26"/>
    </row>
    <row r="29" customFormat="false" ht="15" hidden="false" customHeight="false" outlineLevel="0" collapsed="false">
      <c r="A29" s="21" t="str">
        <f aca="false">IF(COUNTA(B29,C29,E29,F29)=0,"",設定!$C$4&amp;TEXT(ROW()-4,"00000"))</f>
        <v/>
      </c>
      <c r="B29" s="22"/>
      <c r="C29" s="23"/>
      <c r="D29" s="21" t="str">
        <f aca="false">IF(C29="","",IFERROR(INDEX(取引先マスタ!$B$5:$B$204,MATCH(C29,取引先マスタ!$A$5:$A$204,0)),"コード誤り"))</f>
        <v/>
      </c>
      <c r="E29" s="26"/>
      <c r="F29" s="18"/>
      <c r="G29" s="25" t="str">
        <f aca="false">IF(OR(B29="",C29="",D29="コード誤り"),"",IFERROR(IF(OR(INDEX(取引先マスタ!$E$5:$E$204,MATCH(C29,取引先マスタ!$A$5:$A$204,0))="",INDEX(取引先マスタ!$F$5:$F$204,MATCH(C29,取引先マスタ!$A$5:$A$204,0))=""),"",DATE(YEAR(B29),MONTH(B29)+INDEX(取引先マスタ!$E$5:$E$204,MATCH(C29,取引先マスタ!$A$5:$A$204,0)),MIN(INDEX(取引先マスタ!$F$5:$F$204,MATCH(C29,取引先マスタ!$A$5:$A$204,0)),DAY(EOMONTH(B29,INDEX(取引先マスタ!$E$5:$E$204,MATCH(C29,取引先マスタ!$A$5:$A$204,0))))))),""))</f>
        <v/>
      </c>
      <c r="H29" s="22"/>
      <c r="I29" s="25" t="str">
        <f aca="false">IF(H29&lt;&gt;"",H29,G29)</f>
        <v/>
      </c>
      <c r="J29" s="26"/>
      <c r="K29" s="22"/>
      <c r="L29" s="26"/>
      <c r="M29" s="27" t="str">
        <f aca="false">IF(A29="","",SUMIF(入金明細!$F$5:$F$1004,A29,入金明細!$E$5:$E$1004))</f>
        <v/>
      </c>
      <c r="N29" s="25" t="str">
        <f aca="false">IF(OR(A29="",N(M29)=0),"",SUMPRODUCT(MAX((入金明細!$F$5:$F$1004=A29)*入金明細!$B$5:$B$1004)))</f>
        <v/>
      </c>
      <c r="O29" s="18"/>
      <c r="P29" s="27" t="str">
        <f aca="false">IF(OR(A29="",F29=""),"",F29-N(M29)-N(O29))</f>
        <v/>
      </c>
      <c r="Q29" s="26"/>
      <c r="R29" s="28" t="str">
        <f aca="false">IF(A29="","",IF(Q29="取消","取消",IF(T29&lt;&gt;"","要入力",IF(K29="","未送付",IF(P29=0,"入金済",IF(P29&lt;0,"過入金",IF(設定!$C$5&gt;I29,IF(N(M29)&gt;0,"一部入金・超過","期日超過"),IF(N(M29)&gt;0,"一部入金",IF(I29-設定!$C$5&lt;=設定!$C$6,"期日間近","入金待ち")))))))))</f>
        <v/>
      </c>
      <c r="S29" s="29" t="str">
        <f aca="false">IF(OR(R29="期日超過",R29="一部入金・超過"),設定!$C$5-I29,"")</f>
        <v/>
      </c>
      <c r="T29" s="21" t="str">
        <f aca="false">IF(A29="","",TRIM(IF(B29="","請求日 ","")&amp;IF(C29="","取引先 ",IF(D29="コード誤り","取引先コード誤り ",""))&amp;IF(E29="","件名 ","")&amp;IF(F29="","請求額 ","")&amp;IF(AND(F29&lt;&gt;"",I29=""),"入金期日(マスタの支払条件が未登録) ","")&amp;IF(J29="","送付方法 ","")&amp;IF(AND(K29&lt;&gt;"",L29=""),"送付者 ","")&amp;IF(AND(K29&lt;&gt;"",N(K29)&gt;設定!$C$5),"送付日が未来の日付 ","")&amp;IF(AND(K29&lt;&gt;"",N(M29)&gt;0,N(P29)&lt;=0,U29=""),"消込確認者 ","")))</f>
        <v/>
      </c>
      <c r="U29" s="26"/>
      <c r="V29" s="26"/>
    </row>
    <row r="30" customFormat="false" ht="15" hidden="false" customHeight="false" outlineLevel="0" collapsed="false">
      <c r="A30" s="21" t="str">
        <f aca="false">IF(COUNTA(B30,C30,E30,F30)=0,"",設定!$C$4&amp;TEXT(ROW()-4,"00000"))</f>
        <v/>
      </c>
      <c r="B30" s="22"/>
      <c r="C30" s="23"/>
      <c r="D30" s="21" t="str">
        <f aca="false">IF(C30="","",IFERROR(INDEX(取引先マスタ!$B$5:$B$204,MATCH(C30,取引先マスタ!$A$5:$A$204,0)),"コード誤り"))</f>
        <v/>
      </c>
      <c r="E30" s="26"/>
      <c r="F30" s="18"/>
      <c r="G30" s="25" t="str">
        <f aca="false">IF(OR(B30="",C30="",D30="コード誤り"),"",IFERROR(IF(OR(INDEX(取引先マスタ!$E$5:$E$204,MATCH(C30,取引先マスタ!$A$5:$A$204,0))="",INDEX(取引先マスタ!$F$5:$F$204,MATCH(C30,取引先マスタ!$A$5:$A$204,0))=""),"",DATE(YEAR(B30),MONTH(B30)+INDEX(取引先マスタ!$E$5:$E$204,MATCH(C30,取引先マスタ!$A$5:$A$204,0)),MIN(INDEX(取引先マスタ!$F$5:$F$204,MATCH(C30,取引先マスタ!$A$5:$A$204,0)),DAY(EOMONTH(B30,INDEX(取引先マスタ!$E$5:$E$204,MATCH(C30,取引先マスタ!$A$5:$A$204,0))))))),""))</f>
        <v/>
      </c>
      <c r="H30" s="22"/>
      <c r="I30" s="25" t="str">
        <f aca="false">IF(H30&lt;&gt;"",H30,G30)</f>
        <v/>
      </c>
      <c r="J30" s="26"/>
      <c r="K30" s="22"/>
      <c r="L30" s="26"/>
      <c r="M30" s="27" t="str">
        <f aca="false">IF(A30="","",SUMIF(入金明細!$F$5:$F$1004,A30,入金明細!$E$5:$E$1004))</f>
        <v/>
      </c>
      <c r="N30" s="25" t="str">
        <f aca="false">IF(OR(A30="",N(M30)=0),"",SUMPRODUCT(MAX((入金明細!$F$5:$F$1004=A30)*入金明細!$B$5:$B$1004)))</f>
        <v/>
      </c>
      <c r="O30" s="18"/>
      <c r="P30" s="27" t="str">
        <f aca="false">IF(OR(A30="",F30=""),"",F30-N(M30)-N(O30))</f>
        <v/>
      </c>
      <c r="Q30" s="26"/>
      <c r="R30" s="28" t="str">
        <f aca="false">IF(A30="","",IF(Q30="取消","取消",IF(T30&lt;&gt;"","要入力",IF(K30="","未送付",IF(P30=0,"入金済",IF(P30&lt;0,"過入金",IF(設定!$C$5&gt;I30,IF(N(M30)&gt;0,"一部入金・超過","期日超過"),IF(N(M30)&gt;0,"一部入金",IF(I30-設定!$C$5&lt;=設定!$C$6,"期日間近","入金待ち")))))))))</f>
        <v/>
      </c>
      <c r="S30" s="29" t="str">
        <f aca="false">IF(OR(R30="期日超過",R30="一部入金・超過"),設定!$C$5-I30,"")</f>
        <v/>
      </c>
      <c r="T30" s="21" t="str">
        <f aca="false">IF(A30="","",TRIM(IF(B30="","請求日 ","")&amp;IF(C30="","取引先 ",IF(D30="コード誤り","取引先コード誤り ",""))&amp;IF(E30="","件名 ","")&amp;IF(F30="","請求額 ","")&amp;IF(AND(F30&lt;&gt;"",I30=""),"入金期日(マスタの支払条件が未登録) ","")&amp;IF(J30="","送付方法 ","")&amp;IF(AND(K30&lt;&gt;"",L30=""),"送付者 ","")&amp;IF(AND(K30&lt;&gt;"",N(K30)&gt;設定!$C$5),"送付日が未来の日付 ","")&amp;IF(AND(K30&lt;&gt;"",N(M30)&gt;0,N(P30)&lt;=0,U30=""),"消込確認者 ","")))</f>
        <v/>
      </c>
      <c r="U30" s="26"/>
      <c r="V30" s="26"/>
    </row>
    <row r="31" customFormat="false" ht="15" hidden="false" customHeight="false" outlineLevel="0" collapsed="false">
      <c r="A31" s="21" t="str">
        <f aca="false">IF(COUNTA(B31,C31,E31,F31)=0,"",設定!$C$4&amp;TEXT(ROW()-4,"00000"))</f>
        <v/>
      </c>
      <c r="B31" s="22"/>
      <c r="C31" s="23"/>
      <c r="D31" s="21" t="str">
        <f aca="false">IF(C31="","",IFERROR(INDEX(取引先マスタ!$B$5:$B$204,MATCH(C31,取引先マスタ!$A$5:$A$204,0)),"コード誤り"))</f>
        <v/>
      </c>
      <c r="E31" s="26"/>
      <c r="F31" s="18"/>
      <c r="G31" s="25" t="str">
        <f aca="false">IF(OR(B31="",C31="",D31="コード誤り"),"",IFERROR(IF(OR(INDEX(取引先マスタ!$E$5:$E$204,MATCH(C31,取引先マスタ!$A$5:$A$204,0))="",INDEX(取引先マスタ!$F$5:$F$204,MATCH(C31,取引先マスタ!$A$5:$A$204,0))=""),"",DATE(YEAR(B31),MONTH(B31)+INDEX(取引先マスタ!$E$5:$E$204,MATCH(C31,取引先マスタ!$A$5:$A$204,0)),MIN(INDEX(取引先マスタ!$F$5:$F$204,MATCH(C31,取引先マスタ!$A$5:$A$204,0)),DAY(EOMONTH(B31,INDEX(取引先マスタ!$E$5:$E$204,MATCH(C31,取引先マスタ!$A$5:$A$204,0))))))),""))</f>
        <v/>
      </c>
      <c r="H31" s="22"/>
      <c r="I31" s="25" t="str">
        <f aca="false">IF(H31&lt;&gt;"",H31,G31)</f>
        <v/>
      </c>
      <c r="J31" s="26"/>
      <c r="K31" s="22"/>
      <c r="L31" s="26"/>
      <c r="M31" s="27" t="str">
        <f aca="false">IF(A31="","",SUMIF(入金明細!$F$5:$F$1004,A31,入金明細!$E$5:$E$1004))</f>
        <v/>
      </c>
      <c r="N31" s="25" t="str">
        <f aca="false">IF(OR(A31="",N(M31)=0),"",SUMPRODUCT(MAX((入金明細!$F$5:$F$1004=A31)*入金明細!$B$5:$B$1004)))</f>
        <v/>
      </c>
      <c r="O31" s="18"/>
      <c r="P31" s="27" t="str">
        <f aca="false">IF(OR(A31="",F31=""),"",F31-N(M31)-N(O31))</f>
        <v/>
      </c>
      <c r="Q31" s="26"/>
      <c r="R31" s="28" t="str">
        <f aca="false">IF(A31="","",IF(Q31="取消","取消",IF(T31&lt;&gt;"","要入力",IF(K31="","未送付",IF(P31=0,"入金済",IF(P31&lt;0,"過入金",IF(設定!$C$5&gt;I31,IF(N(M31)&gt;0,"一部入金・超過","期日超過"),IF(N(M31)&gt;0,"一部入金",IF(I31-設定!$C$5&lt;=設定!$C$6,"期日間近","入金待ち")))))))))</f>
        <v/>
      </c>
      <c r="S31" s="29" t="str">
        <f aca="false">IF(OR(R31="期日超過",R31="一部入金・超過"),設定!$C$5-I31,"")</f>
        <v/>
      </c>
      <c r="T31" s="21" t="str">
        <f aca="false">IF(A31="","",TRIM(IF(B31="","請求日 ","")&amp;IF(C31="","取引先 ",IF(D31="コード誤り","取引先コード誤り ",""))&amp;IF(E31="","件名 ","")&amp;IF(F31="","請求額 ","")&amp;IF(AND(F31&lt;&gt;"",I31=""),"入金期日(マスタの支払条件が未登録) ","")&amp;IF(J31="","送付方法 ","")&amp;IF(AND(K31&lt;&gt;"",L31=""),"送付者 ","")&amp;IF(AND(K31&lt;&gt;"",N(K31)&gt;設定!$C$5),"送付日が未来の日付 ","")&amp;IF(AND(K31&lt;&gt;"",N(M31)&gt;0,N(P31)&lt;=0,U31=""),"消込確認者 ","")))</f>
        <v/>
      </c>
      <c r="U31" s="26"/>
      <c r="V31" s="26"/>
    </row>
    <row r="32" customFormat="false" ht="15" hidden="false" customHeight="false" outlineLevel="0" collapsed="false">
      <c r="A32" s="21" t="str">
        <f aca="false">IF(COUNTA(B32,C32,E32,F32)=0,"",設定!$C$4&amp;TEXT(ROW()-4,"00000"))</f>
        <v/>
      </c>
      <c r="B32" s="22"/>
      <c r="C32" s="23"/>
      <c r="D32" s="21" t="str">
        <f aca="false">IF(C32="","",IFERROR(INDEX(取引先マスタ!$B$5:$B$204,MATCH(C32,取引先マスタ!$A$5:$A$204,0)),"コード誤り"))</f>
        <v/>
      </c>
      <c r="E32" s="26"/>
      <c r="F32" s="18"/>
      <c r="G32" s="25" t="str">
        <f aca="false">IF(OR(B32="",C32="",D32="コード誤り"),"",IFERROR(IF(OR(INDEX(取引先マスタ!$E$5:$E$204,MATCH(C32,取引先マスタ!$A$5:$A$204,0))="",INDEX(取引先マスタ!$F$5:$F$204,MATCH(C32,取引先マスタ!$A$5:$A$204,0))=""),"",DATE(YEAR(B32),MONTH(B32)+INDEX(取引先マスタ!$E$5:$E$204,MATCH(C32,取引先マスタ!$A$5:$A$204,0)),MIN(INDEX(取引先マスタ!$F$5:$F$204,MATCH(C32,取引先マスタ!$A$5:$A$204,0)),DAY(EOMONTH(B32,INDEX(取引先マスタ!$E$5:$E$204,MATCH(C32,取引先マスタ!$A$5:$A$204,0))))))),""))</f>
        <v/>
      </c>
      <c r="H32" s="22"/>
      <c r="I32" s="25" t="str">
        <f aca="false">IF(H32&lt;&gt;"",H32,G32)</f>
        <v/>
      </c>
      <c r="J32" s="26"/>
      <c r="K32" s="22"/>
      <c r="L32" s="26"/>
      <c r="M32" s="27" t="str">
        <f aca="false">IF(A32="","",SUMIF(入金明細!$F$5:$F$1004,A32,入金明細!$E$5:$E$1004))</f>
        <v/>
      </c>
      <c r="N32" s="25" t="str">
        <f aca="false">IF(OR(A32="",N(M32)=0),"",SUMPRODUCT(MAX((入金明細!$F$5:$F$1004=A32)*入金明細!$B$5:$B$1004)))</f>
        <v/>
      </c>
      <c r="O32" s="18"/>
      <c r="P32" s="27" t="str">
        <f aca="false">IF(OR(A32="",F32=""),"",F32-N(M32)-N(O32))</f>
        <v/>
      </c>
      <c r="Q32" s="26"/>
      <c r="R32" s="28" t="str">
        <f aca="false">IF(A32="","",IF(Q32="取消","取消",IF(T32&lt;&gt;"","要入力",IF(K32="","未送付",IF(P32=0,"入金済",IF(P32&lt;0,"過入金",IF(設定!$C$5&gt;I32,IF(N(M32)&gt;0,"一部入金・超過","期日超過"),IF(N(M32)&gt;0,"一部入金",IF(I32-設定!$C$5&lt;=設定!$C$6,"期日間近","入金待ち")))))))))</f>
        <v/>
      </c>
      <c r="S32" s="29" t="str">
        <f aca="false">IF(OR(R32="期日超過",R32="一部入金・超過"),設定!$C$5-I32,"")</f>
        <v/>
      </c>
      <c r="T32" s="21" t="str">
        <f aca="false">IF(A32="","",TRIM(IF(B32="","請求日 ","")&amp;IF(C32="","取引先 ",IF(D32="コード誤り","取引先コード誤り ",""))&amp;IF(E32="","件名 ","")&amp;IF(F32="","請求額 ","")&amp;IF(AND(F32&lt;&gt;"",I32=""),"入金期日(マスタの支払条件が未登録) ","")&amp;IF(J32="","送付方法 ","")&amp;IF(AND(K32&lt;&gt;"",L32=""),"送付者 ","")&amp;IF(AND(K32&lt;&gt;"",N(K32)&gt;設定!$C$5),"送付日が未来の日付 ","")&amp;IF(AND(K32&lt;&gt;"",N(M32)&gt;0,N(P32)&lt;=0,U32=""),"消込確認者 ","")))</f>
        <v/>
      </c>
      <c r="U32" s="26"/>
      <c r="V32" s="26"/>
    </row>
    <row r="33" customFormat="false" ht="15" hidden="false" customHeight="false" outlineLevel="0" collapsed="false">
      <c r="A33" s="21" t="str">
        <f aca="false">IF(COUNTA(B33,C33,E33,F33)=0,"",設定!$C$4&amp;TEXT(ROW()-4,"00000"))</f>
        <v/>
      </c>
      <c r="B33" s="22"/>
      <c r="C33" s="23"/>
      <c r="D33" s="21" t="str">
        <f aca="false">IF(C33="","",IFERROR(INDEX(取引先マスタ!$B$5:$B$204,MATCH(C33,取引先マスタ!$A$5:$A$204,0)),"コード誤り"))</f>
        <v/>
      </c>
      <c r="E33" s="26"/>
      <c r="F33" s="18"/>
      <c r="G33" s="25" t="str">
        <f aca="false">IF(OR(B33="",C33="",D33="コード誤り"),"",IFERROR(IF(OR(INDEX(取引先マスタ!$E$5:$E$204,MATCH(C33,取引先マスタ!$A$5:$A$204,0))="",INDEX(取引先マスタ!$F$5:$F$204,MATCH(C33,取引先マスタ!$A$5:$A$204,0))=""),"",DATE(YEAR(B33),MONTH(B33)+INDEX(取引先マスタ!$E$5:$E$204,MATCH(C33,取引先マスタ!$A$5:$A$204,0)),MIN(INDEX(取引先マスタ!$F$5:$F$204,MATCH(C33,取引先マスタ!$A$5:$A$204,0)),DAY(EOMONTH(B33,INDEX(取引先マスタ!$E$5:$E$204,MATCH(C33,取引先マスタ!$A$5:$A$204,0))))))),""))</f>
        <v/>
      </c>
      <c r="H33" s="22"/>
      <c r="I33" s="25" t="str">
        <f aca="false">IF(H33&lt;&gt;"",H33,G33)</f>
        <v/>
      </c>
      <c r="J33" s="26"/>
      <c r="K33" s="22"/>
      <c r="L33" s="26"/>
      <c r="M33" s="27" t="str">
        <f aca="false">IF(A33="","",SUMIF(入金明細!$F$5:$F$1004,A33,入金明細!$E$5:$E$1004))</f>
        <v/>
      </c>
      <c r="N33" s="25" t="str">
        <f aca="false">IF(OR(A33="",N(M33)=0),"",SUMPRODUCT(MAX((入金明細!$F$5:$F$1004=A33)*入金明細!$B$5:$B$1004)))</f>
        <v/>
      </c>
      <c r="O33" s="18"/>
      <c r="P33" s="27" t="str">
        <f aca="false">IF(OR(A33="",F33=""),"",F33-N(M33)-N(O33))</f>
        <v/>
      </c>
      <c r="Q33" s="26"/>
      <c r="R33" s="28" t="str">
        <f aca="false">IF(A33="","",IF(Q33="取消","取消",IF(T33&lt;&gt;"","要入力",IF(K33="","未送付",IF(P33=0,"入金済",IF(P33&lt;0,"過入金",IF(設定!$C$5&gt;I33,IF(N(M33)&gt;0,"一部入金・超過","期日超過"),IF(N(M33)&gt;0,"一部入金",IF(I33-設定!$C$5&lt;=設定!$C$6,"期日間近","入金待ち")))))))))</f>
        <v/>
      </c>
      <c r="S33" s="29" t="str">
        <f aca="false">IF(OR(R33="期日超過",R33="一部入金・超過"),設定!$C$5-I33,"")</f>
        <v/>
      </c>
      <c r="T33" s="21" t="str">
        <f aca="false">IF(A33="","",TRIM(IF(B33="","請求日 ","")&amp;IF(C33="","取引先 ",IF(D33="コード誤り","取引先コード誤り ",""))&amp;IF(E33="","件名 ","")&amp;IF(F33="","請求額 ","")&amp;IF(AND(F33&lt;&gt;"",I33=""),"入金期日(マスタの支払条件が未登録) ","")&amp;IF(J33="","送付方法 ","")&amp;IF(AND(K33&lt;&gt;"",L33=""),"送付者 ","")&amp;IF(AND(K33&lt;&gt;"",N(K33)&gt;設定!$C$5),"送付日が未来の日付 ","")&amp;IF(AND(K33&lt;&gt;"",N(M33)&gt;0,N(P33)&lt;=0,U33=""),"消込確認者 ","")))</f>
        <v/>
      </c>
      <c r="U33" s="26"/>
      <c r="V33" s="26"/>
    </row>
    <row r="34" customFormat="false" ht="15" hidden="false" customHeight="false" outlineLevel="0" collapsed="false">
      <c r="A34" s="21" t="str">
        <f aca="false">IF(COUNTA(B34,C34,E34,F34)=0,"",設定!$C$4&amp;TEXT(ROW()-4,"00000"))</f>
        <v/>
      </c>
      <c r="B34" s="22"/>
      <c r="C34" s="23"/>
      <c r="D34" s="21" t="str">
        <f aca="false">IF(C34="","",IFERROR(INDEX(取引先マスタ!$B$5:$B$204,MATCH(C34,取引先マスタ!$A$5:$A$204,0)),"コード誤り"))</f>
        <v/>
      </c>
      <c r="E34" s="26"/>
      <c r="F34" s="18"/>
      <c r="G34" s="25" t="str">
        <f aca="false">IF(OR(B34="",C34="",D34="コード誤り"),"",IFERROR(IF(OR(INDEX(取引先マスタ!$E$5:$E$204,MATCH(C34,取引先マスタ!$A$5:$A$204,0))="",INDEX(取引先マスタ!$F$5:$F$204,MATCH(C34,取引先マスタ!$A$5:$A$204,0))=""),"",DATE(YEAR(B34),MONTH(B34)+INDEX(取引先マスタ!$E$5:$E$204,MATCH(C34,取引先マスタ!$A$5:$A$204,0)),MIN(INDEX(取引先マスタ!$F$5:$F$204,MATCH(C34,取引先マスタ!$A$5:$A$204,0)),DAY(EOMONTH(B34,INDEX(取引先マスタ!$E$5:$E$204,MATCH(C34,取引先マスタ!$A$5:$A$204,0))))))),""))</f>
        <v/>
      </c>
      <c r="H34" s="22"/>
      <c r="I34" s="25" t="str">
        <f aca="false">IF(H34&lt;&gt;"",H34,G34)</f>
        <v/>
      </c>
      <c r="J34" s="26"/>
      <c r="K34" s="22"/>
      <c r="L34" s="26"/>
      <c r="M34" s="27" t="str">
        <f aca="false">IF(A34="","",SUMIF(入金明細!$F$5:$F$1004,A34,入金明細!$E$5:$E$1004))</f>
        <v/>
      </c>
      <c r="N34" s="25" t="str">
        <f aca="false">IF(OR(A34="",N(M34)=0),"",SUMPRODUCT(MAX((入金明細!$F$5:$F$1004=A34)*入金明細!$B$5:$B$1004)))</f>
        <v/>
      </c>
      <c r="O34" s="18"/>
      <c r="P34" s="27" t="str">
        <f aca="false">IF(OR(A34="",F34=""),"",F34-N(M34)-N(O34))</f>
        <v/>
      </c>
      <c r="Q34" s="26"/>
      <c r="R34" s="28" t="str">
        <f aca="false">IF(A34="","",IF(Q34="取消","取消",IF(T34&lt;&gt;"","要入力",IF(K34="","未送付",IF(P34=0,"入金済",IF(P34&lt;0,"過入金",IF(設定!$C$5&gt;I34,IF(N(M34)&gt;0,"一部入金・超過","期日超過"),IF(N(M34)&gt;0,"一部入金",IF(I34-設定!$C$5&lt;=設定!$C$6,"期日間近","入金待ち")))))))))</f>
        <v/>
      </c>
      <c r="S34" s="29" t="str">
        <f aca="false">IF(OR(R34="期日超過",R34="一部入金・超過"),設定!$C$5-I34,"")</f>
        <v/>
      </c>
      <c r="T34" s="21" t="str">
        <f aca="false">IF(A34="","",TRIM(IF(B34="","請求日 ","")&amp;IF(C34="","取引先 ",IF(D34="コード誤り","取引先コード誤り ",""))&amp;IF(E34="","件名 ","")&amp;IF(F34="","請求額 ","")&amp;IF(AND(F34&lt;&gt;"",I34=""),"入金期日(マスタの支払条件が未登録) ","")&amp;IF(J34="","送付方法 ","")&amp;IF(AND(K34&lt;&gt;"",L34=""),"送付者 ","")&amp;IF(AND(K34&lt;&gt;"",N(K34)&gt;設定!$C$5),"送付日が未来の日付 ","")&amp;IF(AND(K34&lt;&gt;"",N(M34)&gt;0,N(P34)&lt;=0,U34=""),"消込確認者 ","")))</f>
        <v/>
      </c>
      <c r="U34" s="26"/>
      <c r="V34" s="26"/>
    </row>
    <row r="35" customFormat="false" ht="15" hidden="false" customHeight="false" outlineLevel="0" collapsed="false">
      <c r="A35" s="21" t="str">
        <f aca="false">IF(COUNTA(B35,C35,E35,F35)=0,"",設定!$C$4&amp;TEXT(ROW()-4,"00000"))</f>
        <v/>
      </c>
      <c r="B35" s="22"/>
      <c r="C35" s="23"/>
      <c r="D35" s="21" t="str">
        <f aca="false">IF(C35="","",IFERROR(INDEX(取引先マスタ!$B$5:$B$204,MATCH(C35,取引先マスタ!$A$5:$A$204,0)),"コード誤り"))</f>
        <v/>
      </c>
      <c r="E35" s="26"/>
      <c r="F35" s="18"/>
      <c r="G35" s="25" t="str">
        <f aca="false">IF(OR(B35="",C35="",D35="コード誤り"),"",IFERROR(IF(OR(INDEX(取引先マスタ!$E$5:$E$204,MATCH(C35,取引先マスタ!$A$5:$A$204,0))="",INDEX(取引先マスタ!$F$5:$F$204,MATCH(C35,取引先マスタ!$A$5:$A$204,0))=""),"",DATE(YEAR(B35),MONTH(B35)+INDEX(取引先マスタ!$E$5:$E$204,MATCH(C35,取引先マスタ!$A$5:$A$204,0)),MIN(INDEX(取引先マスタ!$F$5:$F$204,MATCH(C35,取引先マスタ!$A$5:$A$204,0)),DAY(EOMONTH(B35,INDEX(取引先マスタ!$E$5:$E$204,MATCH(C35,取引先マスタ!$A$5:$A$204,0))))))),""))</f>
        <v/>
      </c>
      <c r="H35" s="22"/>
      <c r="I35" s="25" t="str">
        <f aca="false">IF(H35&lt;&gt;"",H35,G35)</f>
        <v/>
      </c>
      <c r="J35" s="26"/>
      <c r="K35" s="22"/>
      <c r="L35" s="26"/>
      <c r="M35" s="27" t="str">
        <f aca="false">IF(A35="","",SUMIF(入金明細!$F$5:$F$1004,A35,入金明細!$E$5:$E$1004))</f>
        <v/>
      </c>
      <c r="N35" s="25" t="str">
        <f aca="false">IF(OR(A35="",N(M35)=0),"",SUMPRODUCT(MAX((入金明細!$F$5:$F$1004=A35)*入金明細!$B$5:$B$1004)))</f>
        <v/>
      </c>
      <c r="O35" s="18"/>
      <c r="P35" s="27" t="str">
        <f aca="false">IF(OR(A35="",F35=""),"",F35-N(M35)-N(O35))</f>
        <v/>
      </c>
      <c r="Q35" s="26"/>
      <c r="R35" s="28" t="str">
        <f aca="false">IF(A35="","",IF(Q35="取消","取消",IF(T35&lt;&gt;"","要入力",IF(K35="","未送付",IF(P35=0,"入金済",IF(P35&lt;0,"過入金",IF(設定!$C$5&gt;I35,IF(N(M35)&gt;0,"一部入金・超過","期日超過"),IF(N(M35)&gt;0,"一部入金",IF(I35-設定!$C$5&lt;=設定!$C$6,"期日間近","入金待ち")))))))))</f>
        <v/>
      </c>
      <c r="S35" s="29" t="str">
        <f aca="false">IF(OR(R35="期日超過",R35="一部入金・超過"),設定!$C$5-I35,"")</f>
        <v/>
      </c>
      <c r="T35" s="21" t="str">
        <f aca="false">IF(A35="","",TRIM(IF(B35="","請求日 ","")&amp;IF(C35="","取引先 ",IF(D35="コード誤り","取引先コード誤り ",""))&amp;IF(E35="","件名 ","")&amp;IF(F35="","請求額 ","")&amp;IF(AND(F35&lt;&gt;"",I35=""),"入金期日(マスタの支払条件が未登録) ","")&amp;IF(J35="","送付方法 ","")&amp;IF(AND(K35&lt;&gt;"",L35=""),"送付者 ","")&amp;IF(AND(K35&lt;&gt;"",N(K35)&gt;設定!$C$5),"送付日が未来の日付 ","")&amp;IF(AND(K35&lt;&gt;"",N(M35)&gt;0,N(P35)&lt;=0,U35=""),"消込確認者 ","")))</f>
        <v/>
      </c>
      <c r="U35" s="26"/>
      <c r="V35" s="26"/>
    </row>
    <row r="36" customFormat="false" ht="15" hidden="false" customHeight="false" outlineLevel="0" collapsed="false">
      <c r="A36" s="21" t="str">
        <f aca="false">IF(COUNTA(B36,C36,E36,F36)=0,"",設定!$C$4&amp;TEXT(ROW()-4,"00000"))</f>
        <v/>
      </c>
      <c r="B36" s="22"/>
      <c r="C36" s="23"/>
      <c r="D36" s="21" t="str">
        <f aca="false">IF(C36="","",IFERROR(INDEX(取引先マスタ!$B$5:$B$204,MATCH(C36,取引先マスタ!$A$5:$A$204,0)),"コード誤り"))</f>
        <v/>
      </c>
      <c r="E36" s="26"/>
      <c r="F36" s="18"/>
      <c r="G36" s="25" t="str">
        <f aca="false">IF(OR(B36="",C36="",D36="コード誤り"),"",IFERROR(IF(OR(INDEX(取引先マスタ!$E$5:$E$204,MATCH(C36,取引先マスタ!$A$5:$A$204,0))="",INDEX(取引先マスタ!$F$5:$F$204,MATCH(C36,取引先マスタ!$A$5:$A$204,0))=""),"",DATE(YEAR(B36),MONTH(B36)+INDEX(取引先マスタ!$E$5:$E$204,MATCH(C36,取引先マスタ!$A$5:$A$204,0)),MIN(INDEX(取引先マスタ!$F$5:$F$204,MATCH(C36,取引先マスタ!$A$5:$A$204,0)),DAY(EOMONTH(B36,INDEX(取引先マスタ!$E$5:$E$204,MATCH(C36,取引先マスタ!$A$5:$A$204,0))))))),""))</f>
        <v/>
      </c>
      <c r="H36" s="22"/>
      <c r="I36" s="25" t="str">
        <f aca="false">IF(H36&lt;&gt;"",H36,G36)</f>
        <v/>
      </c>
      <c r="J36" s="26"/>
      <c r="K36" s="22"/>
      <c r="L36" s="26"/>
      <c r="M36" s="27" t="str">
        <f aca="false">IF(A36="","",SUMIF(入金明細!$F$5:$F$1004,A36,入金明細!$E$5:$E$1004))</f>
        <v/>
      </c>
      <c r="N36" s="25" t="str">
        <f aca="false">IF(OR(A36="",N(M36)=0),"",SUMPRODUCT(MAX((入金明細!$F$5:$F$1004=A36)*入金明細!$B$5:$B$1004)))</f>
        <v/>
      </c>
      <c r="O36" s="18"/>
      <c r="P36" s="27" t="str">
        <f aca="false">IF(OR(A36="",F36=""),"",F36-N(M36)-N(O36))</f>
        <v/>
      </c>
      <c r="Q36" s="26"/>
      <c r="R36" s="28" t="str">
        <f aca="false">IF(A36="","",IF(Q36="取消","取消",IF(T36&lt;&gt;"","要入力",IF(K36="","未送付",IF(P36=0,"入金済",IF(P36&lt;0,"過入金",IF(設定!$C$5&gt;I36,IF(N(M36)&gt;0,"一部入金・超過","期日超過"),IF(N(M36)&gt;0,"一部入金",IF(I36-設定!$C$5&lt;=設定!$C$6,"期日間近","入金待ち")))))))))</f>
        <v/>
      </c>
      <c r="S36" s="29" t="str">
        <f aca="false">IF(OR(R36="期日超過",R36="一部入金・超過"),設定!$C$5-I36,"")</f>
        <v/>
      </c>
      <c r="T36" s="21" t="str">
        <f aca="false">IF(A36="","",TRIM(IF(B36="","請求日 ","")&amp;IF(C36="","取引先 ",IF(D36="コード誤り","取引先コード誤り ",""))&amp;IF(E36="","件名 ","")&amp;IF(F36="","請求額 ","")&amp;IF(AND(F36&lt;&gt;"",I36=""),"入金期日(マスタの支払条件が未登録) ","")&amp;IF(J36="","送付方法 ","")&amp;IF(AND(K36&lt;&gt;"",L36=""),"送付者 ","")&amp;IF(AND(K36&lt;&gt;"",N(K36)&gt;設定!$C$5),"送付日が未来の日付 ","")&amp;IF(AND(K36&lt;&gt;"",N(M36)&gt;0,N(P36)&lt;=0,U36=""),"消込確認者 ","")))</f>
        <v/>
      </c>
      <c r="U36" s="26"/>
      <c r="V36" s="26"/>
    </row>
    <row r="37" customFormat="false" ht="15" hidden="false" customHeight="false" outlineLevel="0" collapsed="false">
      <c r="A37" s="21" t="str">
        <f aca="false">IF(COUNTA(B37,C37,E37,F37)=0,"",設定!$C$4&amp;TEXT(ROW()-4,"00000"))</f>
        <v/>
      </c>
      <c r="B37" s="22"/>
      <c r="C37" s="23"/>
      <c r="D37" s="21" t="str">
        <f aca="false">IF(C37="","",IFERROR(INDEX(取引先マスタ!$B$5:$B$204,MATCH(C37,取引先マスタ!$A$5:$A$204,0)),"コード誤り"))</f>
        <v/>
      </c>
      <c r="E37" s="26"/>
      <c r="F37" s="18"/>
      <c r="G37" s="25" t="str">
        <f aca="false">IF(OR(B37="",C37="",D37="コード誤り"),"",IFERROR(IF(OR(INDEX(取引先マスタ!$E$5:$E$204,MATCH(C37,取引先マスタ!$A$5:$A$204,0))="",INDEX(取引先マスタ!$F$5:$F$204,MATCH(C37,取引先マスタ!$A$5:$A$204,0))=""),"",DATE(YEAR(B37),MONTH(B37)+INDEX(取引先マスタ!$E$5:$E$204,MATCH(C37,取引先マスタ!$A$5:$A$204,0)),MIN(INDEX(取引先マスタ!$F$5:$F$204,MATCH(C37,取引先マスタ!$A$5:$A$204,0)),DAY(EOMONTH(B37,INDEX(取引先マスタ!$E$5:$E$204,MATCH(C37,取引先マスタ!$A$5:$A$204,0))))))),""))</f>
        <v/>
      </c>
      <c r="H37" s="22"/>
      <c r="I37" s="25" t="str">
        <f aca="false">IF(H37&lt;&gt;"",H37,G37)</f>
        <v/>
      </c>
      <c r="J37" s="26"/>
      <c r="K37" s="22"/>
      <c r="L37" s="26"/>
      <c r="M37" s="27" t="str">
        <f aca="false">IF(A37="","",SUMIF(入金明細!$F$5:$F$1004,A37,入金明細!$E$5:$E$1004))</f>
        <v/>
      </c>
      <c r="N37" s="25" t="str">
        <f aca="false">IF(OR(A37="",N(M37)=0),"",SUMPRODUCT(MAX((入金明細!$F$5:$F$1004=A37)*入金明細!$B$5:$B$1004)))</f>
        <v/>
      </c>
      <c r="O37" s="18"/>
      <c r="P37" s="27" t="str">
        <f aca="false">IF(OR(A37="",F37=""),"",F37-N(M37)-N(O37))</f>
        <v/>
      </c>
      <c r="Q37" s="26"/>
      <c r="R37" s="28" t="str">
        <f aca="false">IF(A37="","",IF(Q37="取消","取消",IF(T37&lt;&gt;"","要入力",IF(K37="","未送付",IF(P37=0,"入金済",IF(P37&lt;0,"過入金",IF(設定!$C$5&gt;I37,IF(N(M37)&gt;0,"一部入金・超過","期日超過"),IF(N(M37)&gt;0,"一部入金",IF(I37-設定!$C$5&lt;=設定!$C$6,"期日間近","入金待ち")))))))))</f>
        <v/>
      </c>
      <c r="S37" s="29" t="str">
        <f aca="false">IF(OR(R37="期日超過",R37="一部入金・超過"),設定!$C$5-I37,"")</f>
        <v/>
      </c>
      <c r="T37" s="21" t="str">
        <f aca="false">IF(A37="","",TRIM(IF(B37="","請求日 ","")&amp;IF(C37="","取引先 ",IF(D37="コード誤り","取引先コード誤り ",""))&amp;IF(E37="","件名 ","")&amp;IF(F37="","請求額 ","")&amp;IF(AND(F37&lt;&gt;"",I37=""),"入金期日(マスタの支払条件が未登録) ","")&amp;IF(J37="","送付方法 ","")&amp;IF(AND(K37&lt;&gt;"",L37=""),"送付者 ","")&amp;IF(AND(K37&lt;&gt;"",N(K37)&gt;設定!$C$5),"送付日が未来の日付 ","")&amp;IF(AND(K37&lt;&gt;"",N(M37)&gt;0,N(P37)&lt;=0,U37=""),"消込確認者 ","")))</f>
        <v/>
      </c>
      <c r="U37" s="26"/>
      <c r="V37" s="26"/>
    </row>
    <row r="38" customFormat="false" ht="15" hidden="false" customHeight="false" outlineLevel="0" collapsed="false">
      <c r="A38" s="21" t="str">
        <f aca="false">IF(COUNTA(B38,C38,E38,F38)=0,"",設定!$C$4&amp;TEXT(ROW()-4,"00000"))</f>
        <v/>
      </c>
      <c r="B38" s="22"/>
      <c r="C38" s="23"/>
      <c r="D38" s="21" t="str">
        <f aca="false">IF(C38="","",IFERROR(INDEX(取引先マスタ!$B$5:$B$204,MATCH(C38,取引先マスタ!$A$5:$A$204,0)),"コード誤り"))</f>
        <v/>
      </c>
      <c r="E38" s="26"/>
      <c r="F38" s="18"/>
      <c r="G38" s="25" t="str">
        <f aca="false">IF(OR(B38="",C38="",D38="コード誤り"),"",IFERROR(IF(OR(INDEX(取引先マスタ!$E$5:$E$204,MATCH(C38,取引先マスタ!$A$5:$A$204,0))="",INDEX(取引先マスタ!$F$5:$F$204,MATCH(C38,取引先マスタ!$A$5:$A$204,0))=""),"",DATE(YEAR(B38),MONTH(B38)+INDEX(取引先マスタ!$E$5:$E$204,MATCH(C38,取引先マスタ!$A$5:$A$204,0)),MIN(INDEX(取引先マスタ!$F$5:$F$204,MATCH(C38,取引先マスタ!$A$5:$A$204,0)),DAY(EOMONTH(B38,INDEX(取引先マスタ!$E$5:$E$204,MATCH(C38,取引先マスタ!$A$5:$A$204,0))))))),""))</f>
        <v/>
      </c>
      <c r="H38" s="22"/>
      <c r="I38" s="25" t="str">
        <f aca="false">IF(H38&lt;&gt;"",H38,G38)</f>
        <v/>
      </c>
      <c r="J38" s="26"/>
      <c r="K38" s="22"/>
      <c r="L38" s="26"/>
      <c r="M38" s="27" t="str">
        <f aca="false">IF(A38="","",SUMIF(入金明細!$F$5:$F$1004,A38,入金明細!$E$5:$E$1004))</f>
        <v/>
      </c>
      <c r="N38" s="25" t="str">
        <f aca="false">IF(OR(A38="",N(M38)=0),"",SUMPRODUCT(MAX((入金明細!$F$5:$F$1004=A38)*入金明細!$B$5:$B$1004)))</f>
        <v/>
      </c>
      <c r="O38" s="18"/>
      <c r="P38" s="27" t="str">
        <f aca="false">IF(OR(A38="",F38=""),"",F38-N(M38)-N(O38))</f>
        <v/>
      </c>
      <c r="Q38" s="26"/>
      <c r="R38" s="28" t="str">
        <f aca="false">IF(A38="","",IF(Q38="取消","取消",IF(T38&lt;&gt;"","要入力",IF(K38="","未送付",IF(P38=0,"入金済",IF(P38&lt;0,"過入金",IF(設定!$C$5&gt;I38,IF(N(M38)&gt;0,"一部入金・超過","期日超過"),IF(N(M38)&gt;0,"一部入金",IF(I38-設定!$C$5&lt;=設定!$C$6,"期日間近","入金待ち")))))))))</f>
        <v/>
      </c>
      <c r="S38" s="29" t="str">
        <f aca="false">IF(OR(R38="期日超過",R38="一部入金・超過"),設定!$C$5-I38,"")</f>
        <v/>
      </c>
      <c r="T38" s="21" t="str">
        <f aca="false">IF(A38="","",TRIM(IF(B38="","請求日 ","")&amp;IF(C38="","取引先 ",IF(D38="コード誤り","取引先コード誤り ",""))&amp;IF(E38="","件名 ","")&amp;IF(F38="","請求額 ","")&amp;IF(AND(F38&lt;&gt;"",I38=""),"入金期日(マスタの支払条件が未登録) ","")&amp;IF(J38="","送付方法 ","")&amp;IF(AND(K38&lt;&gt;"",L38=""),"送付者 ","")&amp;IF(AND(K38&lt;&gt;"",N(K38)&gt;設定!$C$5),"送付日が未来の日付 ","")&amp;IF(AND(K38&lt;&gt;"",N(M38)&gt;0,N(P38)&lt;=0,U38=""),"消込確認者 ","")))</f>
        <v/>
      </c>
      <c r="U38" s="26"/>
      <c r="V38" s="26"/>
    </row>
    <row r="39" customFormat="false" ht="15" hidden="false" customHeight="false" outlineLevel="0" collapsed="false">
      <c r="A39" s="21" t="str">
        <f aca="false">IF(COUNTA(B39,C39,E39,F39)=0,"",設定!$C$4&amp;TEXT(ROW()-4,"00000"))</f>
        <v/>
      </c>
      <c r="B39" s="22"/>
      <c r="C39" s="23"/>
      <c r="D39" s="21" t="str">
        <f aca="false">IF(C39="","",IFERROR(INDEX(取引先マスタ!$B$5:$B$204,MATCH(C39,取引先マスタ!$A$5:$A$204,0)),"コード誤り"))</f>
        <v/>
      </c>
      <c r="E39" s="26"/>
      <c r="F39" s="18"/>
      <c r="G39" s="25" t="str">
        <f aca="false">IF(OR(B39="",C39="",D39="コード誤り"),"",IFERROR(IF(OR(INDEX(取引先マスタ!$E$5:$E$204,MATCH(C39,取引先マスタ!$A$5:$A$204,0))="",INDEX(取引先マスタ!$F$5:$F$204,MATCH(C39,取引先マスタ!$A$5:$A$204,0))=""),"",DATE(YEAR(B39),MONTH(B39)+INDEX(取引先マスタ!$E$5:$E$204,MATCH(C39,取引先マスタ!$A$5:$A$204,0)),MIN(INDEX(取引先マスタ!$F$5:$F$204,MATCH(C39,取引先マスタ!$A$5:$A$204,0)),DAY(EOMONTH(B39,INDEX(取引先マスタ!$E$5:$E$204,MATCH(C39,取引先マスタ!$A$5:$A$204,0))))))),""))</f>
        <v/>
      </c>
      <c r="H39" s="22"/>
      <c r="I39" s="25" t="str">
        <f aca="false">IF(H39&lt;&gt;"",H39,G39)</f>
        <v/>
      </c>
      <c r="J39" s="26"/>
      <c r="K39" s="22"/>
      <c r="L39" s="26"/>
      <c r="M39" s="27" t="str">
        <f aca="false">IF(A39="","",SUMIF(入金明細!$F$5:$F$1004,A39,入金明細!$E$5:$E$1004))</f>
        <v/>
      </c>
      <c r="N39" s="25" t="str">
        <f aca="false">IF(OR(A39="",N(M39)=0),"",SUMPRODUCT(MAX((入金明細!$F$5:$F$1004=A39)*入金明細!$B$5:$B$1004)))</f>
        <v/>
      </c>
      <c r="O39" s="18"/>
      <c r="P39" s="27" t="str">
        <f aca="false">IF(OR(A39="",F39=""),"",F39-N(M39)-N(O39))</f>
        <v/>
      </c>
      <c r="Q39" s="26"/>
      <c r="R39" s="28" t="str">
        <f aca="false">IF(A39="","",IF(Q39="取消","取消",IF(T39&lt;&gt;"","要入力",IF(K39="","未送付",IF(P39=0,"入金済",IF(P39&lt;0,"過入金",IF(設定!$C$5&gt;I39,IF(N(M39)&gt;0,"一部入金・超過","期日超過"),IF(N(M39)&gt;0,"一部入金",IF(I39-設定!$C$5&lt;=設定!$C$6,"期日間近","入金待ち")))))))))</f>
        <v/>
      </c>
      <c r="S39" s="29" t="str">
        <f aca="false">IF(OR(R39="期日超過",R39="一部入金・超過"),設定!$C$5-I39,"")</f>
        <v/>
      </c>
      <c r="T39" s="21" t="str">
        <f aca="false">IF(A39="","",TRIM(IF(B39="","請求日 ","")&amp;IF(C39="","取引先 ",IF(D39="コード誤り","取引先コード誤り ",""))&amp;IF(E39="","件名 ","")&amp;IF(F39="","請求額 ","")&amp;IF(AND(F39&lt;&gt;"",I39=""),"入金期日(マスタの支払条件が未登録) ","")&amp;IF(J39="","送付方法 ","")&amp;IF(AND(K39&lt;&gt;"",L39=""),"送付者 ","")&amp;IF(AND(K39&lt;&gt;"",N(K39)&gt;設定!$C$5),"送付日が未来の日付 ","")&amp;IF(AND(K39&lt;&gt;"",N(M39)&gt;0,N(P39)&lt;=0,U39=""),"消込確認者 ","")))</f>
        <v/>
      </c>
      <c r="U39" s="26"/>
      <c r="V39" s="26"/>
    </row>
    <row r="40" customFormat="false" ht="15" hidden="false" customHeight="false" outlineLevel="0" collapsed="false">
      <c r="A40" s="21" t="str">
        <f aca="false">IF(COUNTA(B40,C40,E40,F40)=0,"",設定!$C$4&amp;TEXT(ROW()-4,"00000"))</f>
        <v/>
      </c>
      <c r="B40" s="22"/>
      <c r="C40" s="23"/>
      <c r="D40" s="21" t="str">
        <f aca="false">IF(C40="","",IFERROR(INDEX(取引先マスタ!$B$5:$B$204,MATCH(C40,取引先マスタ!$A$5:$A$204,0)),"コード誤り"))</f>
        <v/>
      </c>
      <c r="E40" s="26"/>
      <c r="F40" s="18"/>
      <c r="G40" s="25" t="str">
        <f aca="false">IF(OR(B40="",C40="",D40="コード誤り"),"",IFERROR(IF(OR(INDEX(取引先マスタ!$E$5:$E$204,MATCH(C40,取引先マスタ!$A$5:$A$204,0))="",INDEX(取引先マスタ!$F$5:$F$204,MATCH(C40,取引先マスタ!$A$5:$A$204,0))=""),"",DATE(YEAR(B40),MONTH(B40)+INDEX(取引先マスタ!$E$5:$E$204,MATCH(C40,取引先マスタ!$A$5:$A$204,0)),MIN(INDEX(取引先マスタ!$F$5:$F$204,MATCH(C40,取引先マスタ!$A$5:$A$204,0)),DAY(EOMONTH(B40,INDEX(取引先マスタ!$E$5:$E$204,MATCH(C40,取引先マスタ!$A$5:$A$204,0))))))),""))</f>
        <v/>
      </c>
      <c r="H40" s="22"/>
      <c r="I40" s="25" t="str">
        <f aca="false">IF(H40&lt;&gt;"",H40,G40)</f>
        <v/>
      </c>
      <c r="J40" s="26"/>
      <c r="K40" s="22"/>
      <c r="L40" s="26"/>
      <c r="M40" s="27" t="str">
        <f aca="false">IF(A40="","",SUMIF(入金明細!$F$5:$F$1004,A40,入金明細!$E$5:$E$1004))</f>
        <v/>
      </c>
      <c r="N40" s="25" t="str">
        <f aca="false">IF(OR(A40="",N(M40)=0),"",SUMPRODUCT(MAX((入金明細!$F$5:$F$1004=A40)*入金明細!$B$5:$B$1004)))</f>
        <v/>
      </c>
      <c r="O40" s="18"/>
      <c r="P40" s="27" t="str">
        <f aca="false">IF(OR(A40="",F40=""),"",F40-N(M40)-N(O40))</f>
        <v/>
      </c>
      <c r="Q40" s="26"/>
      <c r="R40" s="28" t="str">
        <f aca="false">IF(A40="","",IF(Q40="取消","取消",IF(T40&lt;&gt;"","要入力",IF(K40="","未送付",IF(P40=0,"入金済",IF(P40&lt;0,"過入金",IF(設定!$C$5&gt;I40,IF(N(M40)&gt;0,"一部入金・超過","期日超過"),IF(N(M40)&gt;0,"一部入金",IF(I40-設定!$C$5&lt;=設定!$C$6,"期日間近","入金待ち")))))))))</f>
        <v/>
      </c>
      <c r="S40" s="29" t="str">
        <f aca="false">IF(OR(R40="期日超過",R40="一部入金・超過"),設定!$C$5-I40,"")</f>
        <v/>
      </c>
      <c r="T40" s="21" t="str">
        <f aca="false">IF(A40="","",TRIM(IF(B40="","請求日 ","")&amp;IF(C40="","取引先 ",IF(D40="コード誤り","取引先コード誤り ",""))&amp;IF(E40="","件名 ","")&amp;IF(F40="","請求額 ","")&amp;IF(AND(F40&lt;&gt;"",I40=""),"入金期日(マスタの支払条件が未登録) ","")&amp;IF(J40="","送付方法 ","")&amp;IF(AND(K40&lt;&gt;"",L40=""),"送付者 ","")&amp;IF(AND(K40&lt;&gt;"",N(K40)&gt;設定!$C$5),"送付日が未来の日付 ","")&amp;IF(AND(K40&lt;&gt;"",N(M40)&gt;0,N(P40)&lt;=0,U40=""),"消込確認者 ","")))</f>
        <v/>
      </c>
      <c r="U40" s="26"/>
      <c r="V40" s="26"/>
    </row>
    <row r="41" customFormat="false" ht="15" hidden="false" customHeight="false" outlineLevel="0" collapsed="false">
      <c r="A41" s="21" t="str">
        <f aca="false">IF(COUNTA(B41,C41,E41,F41)=0,"",設定!$C$4&amp;TEXT(ROW()-4,"00000"))</f>
        <v/>
      </c>
      <c r="B41" s="22"/>
      <c r="C41" s="23"/>
      <c r="D41" s="21" t="str">
        <f aca="false">IF(C41="","",IFERROR(INDEX(取引先マスタ!$B$5:$B$204,MATCH(C41,取引先マスタ!$A$5:$A$204,0)),"コード誤り"))</f>
        <v/>
      </c>
      <c r="E41" s="26"/>
      <c r="F41" s="18"/>
      <c r="G41" s="25" t="str">
        <f aca="false">IF(OR(B41="",C41="",D41="コード誤り"),"",IFERROR(IF(OR(INDEX(取引先マスタ!$E$5:$E$204,MATCH(C41,取引先マスタ!$A$5:$A$204,0))="",INDEX(取引先マスタ!$F$5:$F$204,MATCH(C41,取引先マスタ!$A$5:$A$204,0))=""),"",DATE(YEAR(B41),MONTH(B41)+INDEX(取引先マスタ!$E$5:$E$204,MATCH(C41,取引先マスタ!$A$5:$A$204,0)),MIN(INDEX(取引先マスタ!$F$5:$F$204,MATCH(C41,取引先マスタ!$A$5:$A$204,0)),DAY(EOMONTH(B41,INDEX(取引先マスタ!$E$5:$E$204,MATCH(C41,取引先マスタ!$A$5:$A$204,0))))))),""))</f>
        <v/>
      </c>
      <c r="H41" s="22"/>
      <c r="I41" s="25" t="str">
        <f aca="false">IF(H41&lt;&gt;"",H41,G41)</f>
        <v/>
      </c>
      <c r="J41" s="26"/>
      <c r="K41" s="22"/>
      <c r="L41" s="26"/>
      <c r="M41" s="27" t="str">
        <f aca="false">IF(A41="","",SUMIF(入金明細!$F$5:$F$1004,A41,入金明細!$E$5:$E$1004))</f>
        <v/>
      </c>
      <c r="N41" s="25" t="str">
        <f aca="false">IF(OR(A41="",N(M41)=0),"",SUMPRODUCT(MAX((入金明細!$F$5:$F$1004=A41)*入金明細!$B$5:$B$1004)))</f>
        <v/>
      </c>
      <c r="O41" s="18"/>
      <c r="P41" s="27" t="str">
        <f aca="false">IF(OR(A41="",F41=""),"",F41-N(M41)-N(O41))</f>
        <v/>
      </c>
      <c r="Q41" s="26"/>
      <c r="R41" s="28" t="str">
        <f aca="false">IF(A41="","",IF(Q41="取消","取消",IF(T41&lt;&gt;"","要入力",IF(K41="","未送付",IF(P41=0,"入金済",IF(P41&lt;0,"過入金",IF(設定!$C$5&gt;I41,IF(N(M41)&gt;0,"一部入金・超過","期日超過"),IF(N(M41)&gt;0,"一部入金",IF(I41-設定!$C$5&lt;=設定!$C$6,"期日間近","入金待ち")))))))))</f>
        <v/>
      </c>
      <c r="S41" s="29" t="str">
        <f aca="false">IF(OR(R41="期日超過",R41="一部入金・超過"),設定!$C$5-I41,"")</f>
        <v/>
      </c>
      <c r="T41" s="21" t="str">
        <f aca="false">IF(A41="","",TRIM(IF(B41="","請求日 ","")&amp;IF(C41="","取引先 ",IF(D41="コード誤り","取引先コード誤り ",""))&amp;IF(E41="","件名 ","")&amp;IF(F41="","請求額 ","")&amp;IF(AND(F41&lt;&gt;"",I41=""),"入金期日(マスタの支払条件が未登録) ","")&amp;IF(J41="","送付方法 ","")&amp;IF(AND(K41&lt;&gt;"",L41=""),"送付者 ","")&amp;IF(AND(K41&lt;&gt;"",N(K41)&gt;設定!$C$5),"送付日が未来の日付 ","")&amp;IF(AND(K41&lt;&gt;"",N(M41)&gt;0,N(P41)&lt;=0,U41=""),"消込確認者 ","")))</f>
        <v/>
      </c>
      <c r="U41" s="26"/>
      <c r="V41" s="26"/>
    </row>
    <row r="42" customFormat="false" ht="15" hidden="false" customHeight="false" outlineLevel="0" collapsed="false">
      <c r="A42" s="21" t="str">
        <f aca="false">IF(COUNTA(B42,C42,E42,F42)=0,"",設定!$C$4&amp;TEXT(ROW()-4,"00000"))</f>
        <v/>
      </c>
      <c r="B42" s="22"/>
      <c r="C42" s="23"/>
      <c r="D42" s="21" t="str">
        <f aca="false">IF(C42="","",IFERROR(INDEX(取引先マスタ!$B$5:$B$204,MATCH(C42,取引先マスタ!$A$5:$A$204,0)),"コード誤り"))</f>
        <v/>
      </c>
      <c r="E42" s="26"/>
      <c r="F42" s="18"/>
      <c r="G42" s="25" t="str">
        <f aca="false">IF(OR(B42="",C42="",D42="コード誤り"),"",IFERROR(IF(OR(INDEX(取引先マスタ!$E$5:$E$204,MATCH(C42,取引先マスタ!$A$5:$A$204,0))="",INDEX(取引先マスタ!$F$5:$F$204,MATCH(C42,取引先マスタ!$A$5:$A$204,0))=""),"",DATE(YEAR(B42),MONTH(B42)+INDEX(取引先マスタ!$E$5:$E$204,MATCH(C42,取引先マスタ!$A$5:$A$204,0)),MIN(INDEX(取引先マスタ!$F$5:$F$204,MATCH(C42,取引先マスタ!$A$5:$A$204,0)),DAY(EOMONTH(B42,INDEX(取引先マスタ!$E$5:$E$204,MATCH(C42,取引先マスタ!$A$5:$A$204,0))))))),""))</f>
        <v/>
      </c>
      <c r="H42" s="22"/>
      <c r="I42" s="25" t="str">
        <f aca="false">IF(H42&lt;&gt;"",H42,G42)</f>
        <v/>
      </c>
      <c r="J42" s="26"/>
      <c r="K42" s="22"/>
      <c r="L42" s="26"/>
      <c r="M42" s="27" t="str">
        <f aca="false">IF(A42="","",SUMIF(入金明細!$F$5:$F$1004,A42,入金明細!$E$5:$E$1004))</f>
        <v/>
      </c>
      <c r="N42" s="25" t="str">
        <f aca="false">IF(OR(A42="",N(M42)=0),"",SUMPRODUCT(MAX((入金明細!$F$5:$F$1004=A42)*入金明細!$B$5:$B$1004)))</f>
        <v/>
      </c>
      <c r="O42" s="18"/>
      <c r="P42" s="27" t="str">
        <f aca="false">IF(OR(A42="",F42=""),"",F42-N(M42)-N(O42))</f>
        <v/>
      </c>
      <c r="Q42" s="26"/>
      <c r="R42" s="28" t="str">
        <f aca="false">IF(A42="","",IF(Q42="取消","取消",IF(T42&lt;&gt;"","要入力",IF(K42="","未送付",IF(P42=0,"入金済",IF(P42&lt;0,"過入金",IF(設定!$C$5&gt;I42,IF(N(M42)&gt;0,"一部入金・超過","期日超過"),IF(N(M42)&gt;0,"一部入金",IF(I42-設定!$C$5&lt;=設定!$C$6,"期日間近","入金待ち")))))))))</f>
        <v/>
      </c>
      <c r="S42" s="29" t="str">
        <f aca="false">IF(OR(R42="期日超過",R42="一部入金・超過"),設定!$C$5-I42,"")</f>
        <v/>
      </c>
      <c r="T42" s="21" t="str">
        <f aca="false">IF(A42="","",TRIM(IF(B42="","請求日 ","")&amp;IF(C42="","取引先 ",IF(D42="コード誤り","取引先コード誤り ",""))&amp;IF(E42="","件名 ","")&amp;IF(F42="","請求額 ","")&amp;IF(AND(F42&lt;&gt;"",I42=""),"入金期日(マスタの支払条件が未登録) ","")&amp;IF(J42="","送付方法 ","")&amp;IF(AND(K42&lt;&gt;"",L42=""),"送付者 ","")&amp;IF(AND(K42&lt;&gt;"",N(K42)&gt;設定!$C$5),"送付日が未来の日付 ","")&amp;IF(AND(K42&lt;&gt;"",N(M42)&gt;0,N(P42)&lt;=0,U42=""),"消込確認者 ","")))</f>
        <v/>
      </c>
      <c r="U42" s="26"/>
      <c r="V42" s="26"/>
    </row>
    <row r="43" customFormat="false" ht="15" hidden="false" customHeight="false" outlineLevel="0" collapsed="false">
      <c r="A43" s="21" t="str">
        <f aca="false">IF(COUNTA(B43,C43,E43,F43)=0,"",設定!$C$4&amp;TEXT(ROW()-4,"00000"))</f>
        <v/>
      </c>
      <c r="B43" s="22"/>
      <c r="C43" s="23"/>
      <c r="D43" s="21" t="str">
        <f aca="false">IF(C43="","",IFERROR(INDEX(取引先マスタ!$B$5:$B$204,MATCH(C43,取引先マスタ!$A$5:$A$204,0)),"コード誤り"))</f>
        <v/>
      </c>
      <c r="E43" s="26"/>
      <c r="F43" s="18"/>
      <c r="G43" s="25" t="str">
        <f aca="false">IF(OR(B43="",C43="",D43="コード誤り"),"",IFERROR(IF(OR(INDEX(取引先マスタ!$E$5:$E$204,MATCH(C43,取引先マスタ!$A$5:$A$204,0))="",INDEX(取引先マスタ!$F$5:$F$204,MATCH(C43,取引先マスタ!$A$5:$A$204,0))=""),"",DATE(YEAR(B43),MONTH(B43)+INDEX(取引先マスタ!$E$5:$E$204,MATCH(C43,取引先マスタ!$A$5:$A$204,0)),MIN(INDEX(取引先マスタ!$F$5:$F$204,MATCH(C43,取引先マスタ!$A$5:$A$204,0)),DAY(EOMONTH(B43,INDEX(取引先マスタ!$E$5:$E$204,MATCH(C43,取引先マスタ!$A$5:$A$204,0))))))),""))</f>
        <v/>
      </c>
      <c r="H43" s="22"/>
      <c r="I43" s="25" t="str">
        <f aca="false">IF(H43&lt;&gt;"",H43,G43)</f>
        <v/>
      </c>
      <c r="J43" s="26"/>
      <c r="K43" s="22"/>
      <c r="L43" s="26"/>
      <c r="M43" s="27" t="str">
        <f aca="false">IF(A43="","",SUMIF(入金明細!$F$5:$F$1004,A43,入金明細!$E$5:$E$1004))</f>
        <v/>
      </c>
      <c r="N43" s="25" t="str">
        <f aca="false">IF(OR(A43="",N(M43)=0),"",SUMPRODUCT(MAX((入金明細!$F$5:$F$1004=A43)*入金明細!$B$5:$B$1004)))</f>
        <v/>
      </c>
      <c r="O43" s="18"/>
      <c r="P43" s="27" t="str">
        <f aca="false">IF(OR(A43="",F43=""),"",F43-N(M43)-N(O43))</f>
        <v/>
      </c>
      <c r="Q43" s="26"/>
      <c r="R43" s="28" t="str">
        <f aca="false">IF(A43="","",IF(Q43="取消","取消",IF(T43&lt;&gt;"","要入力",IF(K43="","未送付",IF(P43=0,"入金済",IF(P43&lt;0,"過入金",IF(設定!$C$5&gt;I43,IF(N(M43)&gt;0,"一部入金・超過","期日超過"),IF(N(M43)&gt;0,"一部入金",IF(I43-設定!$C$5&lt;=設定!$C$6,"期日間近","入金待ち")))))))))</f>
        <v/>
      </c>
      <c r="S43" s="29" t="str">
        <f aca="false">IF(OR(R43="期日超過",R43="一部入金・超過"),設定!$C$5-I43,"")</f>
        <v/>
      </c>
      <c r="T43" s="21" t="str">
        <f aca="false">IF(A43="","",TRIM(IF(B43="","請求日 ","")&amp;IF(C43="","取引先 ",IF(D43="コード誤り","取引先コード誤り ",""))&amp;IF(E43="","件名 ","")&amp;IF(F43="","請求額 ","")&amp;IF(AND(F43&lt;&gt;"",I43=""),"入金期日(マスタの支払条件が未登録) ","")&amp;IF(J43="","送付方法 ","")&amp;IF(AND(K43&lt;&gt;"",L43=""),"送付者 ","")&amp;IF(AND(K43&lt;&gt;"",N(K43)&gt;設定!$C$5),"送付日が未来の日付 ","")&amp;IF(AND(K43&lt;&gt;"",N(M43)&gt;0,N(P43)&lt;=0,U43=""),"消込確認者 ","")))</f>
        <v/>
      </c>
      <c r="U43" s="26"/>
      <c r="V43" s="26"/>
    </row>
    <row r="44" customFormat="false" ht="15" hidden="false" customHeight="false" outlineLevel="0" collapsed="false">
      <c r="A44" s="21" t="str">
        <f aca="false">IF(COUNTA(B44,C44,E44,F44)=0,"",設定!$C$4&amp;TEXT(ROW()-4,"00000"))</f>
        <v/>
      </c>
      <c r="B44" s="22"/>
      <c r="C44" s="23"/>
      <c r="D44" s="21" t="str">
        <f aca="false">IF(C44="","",IFERROR(INDEX(取引先マスタ!$B$5:$B$204,MATCH(C44,取引先マスタ!$A$5:$A$204,0)),"コード誤り"))</f>
        <v/>
      </c>
      <c r="E44" s="26"/>
      <c r="F44" s="18"/>
      <c r="G44" s="25" t="str">
        <f aca="false">IF(OR(B44="",C44="",D44="コード誤り"),"",IFERROR(IF(OR(INDEX(取引先マスタ!$E$5:$E$204,MATCH(C44,取引先マスタ!$A$5:$A$204,0))="",INDEX(取引先マスタ!$F$5:$F$204,MATCH(C44,取引先マスタ!$A$5:$A$204,0))=""),"",DATE(YEAR(B44),MONTH(B44)+INDEX(取引先マスタ!$E$5:$E$204,MATCH(C44,取引先マスタ!$A$5:$A$204,0)),MIN(INDEX(取引先マスタ!$F$5:$F$204,MATCH(C44,取引先マスタ!$A$5:$A$204,0)),DAY(EOMONTH(B44,INDEX(取引先マスタ!$E$5:$E$204,MATCH(C44,取引先マスタ!$A$5:$A$204,0))))))),""))</f>
        <v/>
      </c>
      <c r="H44" s="22"/>
      <c r="I44" s="25" t="str">
        <f aca="false">IF(H44&lt;&gt;"",H44,G44)</f>
        <v/>
      </c>
      <c r="J44" s="26"/>
      <c r="K44" s="22"/>
      <c r="L44" s="26"/>
      <c r="M44" s="27" t="str">
        <f aca="false">IF(A44="","",SUMIF(入金明細!$F$5:$F$1004,A44,入金明細!$E$5:$E$1004))</f>
        <v/>
      </c>
      <c r="N44" s="25" t="str">
        <f aca="false">IF(OR(A44="",N(M44)=0),"",SUMPRODUCT(MAX((入金明細!$F$5:$F$1004=A44)*入金明細!$B$5:$B$1004)))</f>
        <v/>
      </c>
      <c r="O44" s="18"/>
      <c r="P44" s="27" t="str">
        <f aca="false">IF(OR(A44="",F44=""),"",F44-N(M44)-N(O44))</f>
        <v/>
      </c>
      <c r="Q44" s="26"/>
      <c r="R44" s="28" t="str">
        <f aca="false">IF(A44="","",IF(Q44="取消","取消",IF(T44&lt;&gt;"","要入力",IF(K44="","未送付",IF(P44=0,"入金済",IF(P44&lt;0,"過入金",IF(設定!$C$5&gt;I44,IF(N(M44)&gt;0,"一部入金・超過","期日超過"),IF(N(M44)&gt;0,"一部入金",IF(I44-設定!$C$5&lt;=設定!$C$6,"期日間近","入金待ち")))))))))</f>
        <v/>
      </c>
      <c r="S44" s="29" t="str">
        <f aca="false">IF(OR(R44="期日超過",R44="一部入金・超過"),設定!$C$5-I44,"")</f>
        <v/>
      </c>
      <c r="T44" s="21" t="str">
        <f aca="false">IF(A44="","",TRIM(IF(B44="","請求日 ","")&amp;IF(C44="","取引先 ",IF(D44="コード誤り","取引先コード誤り ",""))&amp;IF(E44="","件名 ","")&amp;IF(F44="","請求額 ","")&amp;IF(AND(F44&lt;&gt;"",I44=""),"入金期日(マスタの支払条件が未登録) ","")&amp;IF(J44="","送付方法 ","")&amp;IF(AND(K44&lt;&gt;"",L44=""),"送付者 ","")&amp;IF(AND(K44&lt;&gt;"",N(K44)&gt;設定!$C$5),"送付日が未来の日付 ","")&amp;IF(AND(K44&lt;&gt;"",N(M44)&gt;0,N(P44)&lt;=0,U44=""),"消込確認者 ","")))</f>
        <v/>
      </c>
      <c r="U44" s="26"/>
      <c r="V44" s="26"/>
    </row>
    <row r="45" customFormat="false" ht="15" hidden="false" customHeight="false" outlineLevel="0" collapsed="false">
      <c r="A45" s="21" t="str">
        <f aca="false">IF(COUNTA(B45,C45,E45,F45)=0,"",設定!$C$4&amp;TEXT(ROW()-4,"00000"))</f>
        <v/>
      </c>
      <c r="B45" s="22"/>
      <c r="C45" s="23"/>
      <c r="D45" s="21" t="str">
        <f aca="false">IF(C45="","",IFERROR(INDEX(取引先マスタ!$B$5:$B$204,MATCH(C45,取引先マスタ!$A$5:$A$204,0)),"コード誤り"))</f>
        <v/>
      </c>
      <c r="E45" s="26"/>
      <c r="F45" s="18"/>
      <c r="G45" s="25" t="str">
        <f aca="false">IF(OR(B45="",C45="",D45="コード誤り"),"",IFERROR(IF(OR(INDEX(取引先マスタ!$E$5:$E$204,MATCH(C45,取引先マスタ!$A$5:$A$204,0))="",INDEX(取引先マスタ!$F$5:$F$204,MATCH(C45,取引先マスタ!$A$5:$A$204,0))=""),"",DATE(YEAR(B45),MONTH(B45)+INDEX(取引先マスタ!$E$5:$E$204,MATCH(C45,取引先マスタ!$A$5:$A$204,0)),MIN(INDEX(取引先マスタ!$F$5:$F$204,MATCH(C45,取引先マスタ!$A$5:$A$204,0)),DAY(EOMONTH(B45,INDEX(取引先マスタ!$E$5:$E$204,MATCH(C45,取引先マスタ!$A$5:$A$204,0))))))),""))</f>
        <v/>
      </c>
      <c r="H45" s="22"/>
      <c r="I45" s="25" t="str">
        <f aca="false">IF(H45&lt;&gt;"",H45,G45)</f>
        <v/>
      </c>
      <c r="J45" s="26"/>
      <c r="K45" s="22"/>
      <c r="L45" s="26"/>
      <c r="M45" s="27" t="str">
        <f aca="false">IF(A45="","",SUMIF(入金明細!$F$5:$F$1004,A45,入金明細!$E$5:$E$1004))</f>
        <v/>
      </c>
      <c r="N45" s="25" t="str">
        <f aca="false">IF(OR(A45="",N(M45)=0),"",SUMPRODUCT(MAX((入金明細!$F$5:$F$1004=A45)*入金明細!$B$5:$B$1004)))</f>
        <v/>
      </c>
      <c r="O45" s="18"/>
      <c r="P45" s="27" t="str">
        <f aca="false">IF(OR(A45="",F45=""),"",F45-N(M45)-N(O45))</f>
        <v/>
      </c>
      <c r="Q45" s="26"/>
      <c r="R45" s="28" t="str">
        <f aca="false">IF(A45="","",IF(Q45="取消","取消",IF(T45&lt;&gt;"","要入力",IF(K45="","未送付",IF(P45=0,"入金済",IF(P45&lt;0,"過入金",IF(設定!$C$5&gt;I45,IF(N(M45)&gt;0,"一部入金・超過","期日超過"),IF(N(M45)&gt;0,"一部入金",IF(I45-設定!$C$5&lt;=設定!$C$6,"期日間近","入金待ち")))))))))</f>
        <v/>
      </c>
      <c r="S45" s="29" t="str">
        <f aca="false">IF(OR(R45="期日超過",R45="一部入金・超過"),設定!$C$5-I45,"")</f>
        <v/>
      </c>
      <c r="T45" s="21" t="str">
        <f aca="false">IF(A45="","",TRIM(IF(B45="","請求日 ","")&amp;IF(C45="","取引先 ",IF(D45="コード誤り","取引先コード誤り ",""))&amp;IF(E45="","件名 ","")&amp;IF(F45="","請求額 ","")&amp;IF(AND(F45&lt;&gt;"",I45=""),"入金期日(マスタの支払条件が未登録) ","")&amp;IF(J45="","送付方法 ","")&amp;IF(AND(K45&lt;&gt;"",L45=""),"送付者 ","")&amp;IF(AND(K45&lt;&gt;"",N(K45)&gt;設定!$C$5),"送付日が未来の日付 ","")&amp;IF(AND(K45&lt;&gt;"",N(M45)&gt;0,N(P45)&lt;=0,U45=""),"消込確認者 ","")))</f>
        <v/>
      </c>
      <c r="U45" s="26"/>
      <c r="V45" s="26"/>
    </row>
    <row r="46" customFormat="false" ht="15" hidden="false" customHeight="false" outlineLevel="0" collapsed="false">
      <c r="A46" s="21" t="str">
        <f aca="false">IF(COUNTA(B46,C46,E46,F46)=0,"",設定!$C$4&amp;TEXT(ROW()-4,"00000"))</f>
        <v/>
      </c>
      <c r="B46" s="22"/>
      <c r="C46" s="23"/>
      <c r="D46" s="21" t="str">
        <f aca="false">IF(C46="","",IFERROR(INDEX(取引先マスタ!$B$5:$B$204,MATCH(C46,取引先マスタ!$A$5:$A$204,0)),"コード誤り"))</f>
        <v/>
      </c>
      <c r="E46" s="26"/>
      <c r="F46" s="18"/>
      <c r="G46" s="25" t="str">
        <f aca="false">IF(OR(B46="",C46="",D46="コード誤り"),"",IFERROR(IF(OR(INDEX(取引先マスタ!$E$5:$E$204,MATCH(C46,取引先マスタ!$A$5:$A$204,0))="",INDEX(取引先マスタ!$F$5:$F$204,MATCH(C46,取引先マスタ!$A$5:$A$204,0))=""),"",DATE(YEAR(B46),MONTH(B46)+INDEX(取引先マスタ!$E$5:$E$204,MATCH(C46,取引先マスタ!$A$5:$A$204,0)),MIN(INDEX(取引先マスタ!$F$5:$F$204,MATCH(C46,取引先マスタ!$A$5:$A$204,0)),DAY(EOMONTH(B46,INDEX(取引先マスタ!$E$5:$E$204,MATCH(C46,取引先マスタ!$A$5:$A$204,0))))))),""))</f>
        <v/>
      </c>
      <c r="H46" s="22"/>
      <c r="I46" s="25" t="str">
        <f aca="false">IF(H46&lt;&gt;"",H46,G46)</f>
        <v/>
      </c>
      <c r="J46" s="26"/>
      <c r="K46" s="22"/>
      <c r="L46" s="26"/>
      <c r="M46" s="27" t="str">
        <f aca="false">IF(A46="","",SUMIF(入金明細!$F$5:$F$1004,A46,入金明細!$E$5:$E$1004))</f>
        <v/>
      </c>
      <c r="N46" s="25" t="str">
        <f aca="false">IF(OR(A46="",N(M46)=0),"",SUMPRODUCT(MAX((入金明細!$F$5:$F$1004=A46)*入金明細!$B$5:$B$1004)))</f>
        <v/>
      </c>
      <c r="O46" s="18"/>
      <c r="P46" s="27" t="str">
        <f aca="false">IF(OR(A46="",F46=""),"",F46-N(M46)-N(O46))</f>
        <v/>
      </c>
      <c r="Q46" s="26"/>
      <c r="R46" s="28" t="str">
        <f aca="false">IF(A46="","",IF(Q46="取消","取消",IF(T46&lt;&gt;"","要入力",IF(K46="","未送付",IF(P46=0,"入金済",IF(P46&lt;0,"過入金",IF(設定!$C$5&gt;I46,IF(N(M46)&gt;0,"一部入金・超過","期日超過"),IF(N(M46)&gt;0,"一部入金",IF(I46-設定!$C$5&lt;=設定!$C$6,"期日間近","入金待ち")))))))))</f>
        <v/>
      </c>
      <c r="S46" s="29" t="str">
        <f aca="false">IF(OR(R46="期日超過",R46="一部入金・超過"),設定!$C$5-I46,"")</f>
        <v/>
      </c>
      <c r="T46" s="21" t="str">
        <f aca="false">IF(A46="","",TRIM(IF(B46="","請求日 ","")&amp;IF(C46="","取引先 ",IF(D46="コード誤り","取引先コード誤り ",""))&amp;IF(E46="","件名 ","")&amp;IF(F46="","請求額 ","")&amp;IF(AND(F46&lt;&gt;"",I46=""),"入金期日(マスタの支払条件が未登録) ","")&amp;IF(J46="","送付方法 ","")&amp;IF(AND(K46&lt;&gt;"",L46=""),"送付者 ","")&amp;IF(AND(K46&lt;&gt;"",N(K46)&gt;設定!$C$5),"送付日が未来の日付 ","")&amp;IF(AND(K46&lt;&gt;"",N(M46)&gt;0,N(P46)&lt;=0,U46=""),"消込確認者 ","")))</f>
        <v/>
      </c>
      <c r="U46" s="26"/>
      <c r="V46" s="26"/>
    </row>
    <row r="47" customFormat="false" ht="15" hidden="false" customHeight="false" outlineLevel="0" collapsed="false">
      <c r="A47" s="21" t="str">
        <f aca="false">IF(COUNTA(B47,C47,E47,F47)=0,"",設定!$C$4&amp;TEXT(ROW()-4,"00000"))</f>
        <v/>
      </c>
      <c r="B47" s="22"/>
      <c r="C47" s="23"/>
      <c r="D47" s="21" t="str">
        <f aca="false">IF(C47="","",IFERROR(INDEX(取引先マスタ!$B$5:$B$204,MATCH(C47,取引先マスタ!$A$5:$A$204,0)),"コード誤り"))</f>
        <v/>
      </c>
      <c r="E47" s="26"/>
      <c r="F47" s="18"/>
      <c r="G47" s="25" t="str">
        <f aca="false">IF(OR(B47="",C47="",D47="コード誤り"),"",IFERROR(IF(OR(INDEX(取引先マスタ!$E$5:$E$204,MATCH(C47,取引先マスタ!$A$5:$A$204,0))="",INDEX(取引先マスタ!$F$5:$F$204,MATCH(C47,取引先マスタ!$A$5:$A$204,0))=""),"",DATE(YEAR(B47),MONTH(B47)+INDEX(取引先マスタ!$E$5:$E$204,MATCH(C47,取引先マスタ!$A$5:$A$204,0)),MIN(INDEX(取引先マスタ!$F$5:$F$204,MATCH(C47,取引先マスタ!$A$5:$A$204,0)),DAY(EOMONTH(B47,INDEX(取引先マスタ!$E$5:$E$204,MATCH(C47,取引先マスタ!$A$5:$A$204,0))))))),""))</f>
        <v/>
      </c>
      <c r="H47" s="22"/>
      <c r="I47" s="25" t="str">
        <f aca="false">IF(H47&lt;&gt;"",H47,G47)</f>
        <v/>
      </c>
      <c r="J47" s="26"/>
      <c r="K47" s="22"/>
      <c r="L47" s="26"/>
      <c r="M47" s="27" t="str">
        <f aca="false">IF(A47="","",SUMIF(入金明細!$F$5:$F$1004,A47,入金明細!$E$5:$E$1004))</f>
        <v/>
      </c>
      <c r="N47" s="25" t="str">
        <f aca="false">IF(OR(A47="",N(M47)=0),"",SUMPRODUCT(MAX((入金明細!$F$5:$F$1004=A47)*入金明細!$B$5:$B$1004)))</f>
        <v/>
      </c>
      <c r="O47" s="18"/>
      <c r="P47" s="27" t="str">
        <f aca="false">IF(OR(A47="",F47=""),"",F47-N(M47)-N(O47))</f>
        <v/>
      </c>
      <c r="Q47" s="26"/>
      <c r="R47" s="28" t="str">
        <f aca="false">IF(A47="","",IF(Q47="取消","取消",IF(T47&lt;&gt;"","要入力",IF(K47="","未送付",IF(P47=0,"入金済",IF(P47&lt;0,"過入金",IF(設定!$C$5&gt;I47,IF(N(M47)&gt;0,"一部入金・超過","期日超過"),IF(N(M47)&gt;0,"一部入金",IF(I47-設定!$C$5&lt;=設定!$C$6,"期日間近","入金待ち")))))))))</f>
        <v/>
      </c>
      <c r="S47" s="29" t="str">
        <f aca="false">IF(OR(R47="期日超過",R47="一部入金・超過"),設定!$C$5-I47,"")</f>
        <v/>
      </c>
      <c r="T47" s="21" t="str">
        <f aca="false">IF(A47="","",TRIM(IF(B47="","請求日 ","")&amp;IF(C47="","取引先 ",IF(D47="コード誤り","取引先コード誤り ",""))&amp;IF(E47="","件名 ","")&amp;IF(F47="","請求額 ","")&amp;IF(AND(F47&lt;&gt;"",I47=""),"入金期日(マスタの支払条件が未登録) ","")&amp;IF(J47="","送付方法 ","")&amp;IF(AND(K47&lt;&gt;"",L47=""),"送付者 ","")&amp;IF(AND(K47&lt;&gt;"",N(K47)&gt;設定!$C$5),"送付日が未来の日付 ","")&amp;IF(AND(K47&lt;&gt;"",N(M47)&gt;0,N(P47)&lt;=0,U47=""),"消込確認者 ","")))</f>
        <v/>
      </c>
      <c r="U47" s="26"/>
      <c r="V47" s="26"/>
    </row>
    <row r="48" customFormat="false" ht="15" hidden="false" customHeight="false" outlineLevel="0" collapsed="false">
      <c r="A48" s="21" t="str">
        <f aca="false">IF(COUNTA(B48,C48,E48,F48)=0,"",設定!$C$4&amp;TEXT(ROW()-4,"00000"))</f>
        <v/>
      </c>
      <c r="B48" s="22"/>
      <c r="C48" s="23"/>
      <c r="D48" s="21" t="str">
        <f aca="false">IF(C48="","",IFERROR(INDEX(取引先マスタ!$B$5:$B$204,MATCH(C48,取引先マスタ!$A$5:$A$204,0)),"コード誤り"))</f>
        <v/>
      </c>
      <c r="E48" s="26"/>
      <c r="F48" s="18"/>
      <c r="G48" s="25" t="str">
        <f aca="false">IF(OR(B48="",C48="",D48="コード誤り"),"",IFERROR(IF(OR(INDEX(取引先マスタ!$E$5:$E$204,MATCH(C48,取引先マスタ!$A$5:$A$204,0))="",INDEX(取引先マスタ!$F$5:$F$204,MATCH(C48,取引先マスタ!$A$5:$A$204,0))=""),"",DATE(YEAR(B48),MONTH(B48)+INDEX(取引先マスタ!$E$5:$E$204,MATCH(C48,取引先マスタ!$A$5:$A$204,0)),MIN(INDEX(取引先マスタ!$F$5:$F$204,MATCH(C48,取引先マスタ!$A$5:$A$204,0)),DAY(EOMONTH(B48,INDEX(取引先マスタ!$E$5:$E$204,MATCH(C48,取引先マスタ!$A$5:$A$204,0))))))),""))</f>
        <v/>
      </c>
      <c r="H48" s="22"/>
      <c r="I48" s="25" t="str">
        <f aca="false">IF(H48&lt;&gt;"",H48,G48)</f>
        <v/>
      </c>
      <c r="J48" s="26"/>
      <c r="K48" s="22"/>
      <c r="L48" s="26"/>
      <c r="M48" s="27" t="str">
        <f aca="false">IF(A48="","",SUMIF(入金明細!$F$5:$F$1004,A48,入金明細!$E$5:$E$1004))</f>
        <v/>
      </c>
      <c r="N48" s="25" t="str">
        <f aca="false">IF(OR(A48="",N(M48)=0),"",SUMPRODUCT(MAX((入金明細!$F$5:$F$1004=A48)*入金明細!$B$5:$B$1004)))</f>
        <v/>
      </c>
      <c r="O48" s="18"/>
      <c r="P48" s="27" t="str">
        <f aca="false">IF(OR(A48="",F48=""),"",F48-N(M48)-N(O48))</f>
        <v/>
      </c>
      <c r="Q48" s="26"/>
      <c r="R48" s="28" t="str">
        <f aca="false">IF(A48="","",IF(Q48="取消","取消",IF(T48&lt;&gt;"","要入力",IF(K48="","未送付",IF(P48=0,"入金済",IF(P48&lt;0,"過入金",IF(設定!$C$5&gt;I48,IF(N(M48)&gt;0,"一部入金・超過","期日超過"),IF(N(M48)&gt;0,"一部入金",IF(I48-設定!$C$5&lt;=設定!$C$6,"期日間近","入金待ち")))))))))</f>
        <v/>
      </c>
      <c r="S48" s="29" t="str">
        <f aca="false">IF(OR(R48="期日超過",R48="一部入金・超過"),設定!$C$5-I48,"")</f>
        <v/>
      </c>
      <c r="T48" s="21" t="str">
        <f aca="false">IF(A48="","",TRIM(IF(B48="","請求日 ","")&amp;IF(C48="","取引先 ",IF(D48="コード誤り","取引先コード誤り ",""))&amp;IF(E48="","件名 ","")&amp;IF(F48="","請求額 ","")&amp;IF(AND(F48&lt;&gt;"",I48=""),"入金期日(マスタの支払条件が未登録) ","")&amp;IF(J48="","送付方法 ","")&amp;IF(AND(K48&lt;&gt;"",L48=""),"送付者 ","")&amp;IF(AND(K48&lt;&gt;"",N(K48)&gt;設定!$C$5),"送付日が未来の日付 ","")&amp;IF(AND(K48&lt;&gt;"",N(M48)&gt;0,N(P48)&lt;=0,U48=""),"消込確認者 ","")))</f>
        <v/>
      </c>
      <c r="U48" s="26"/>
      <c r="V48" s="26"/>
    </row>
    <row r="49" customFormat="false" ht="15" hidden="false" customHeight="false" outlineLevel="0" collapsed="false">
      <c r="A49" s="21" t="str">
        <f aca="false">IF(COUNTA(B49,C49,E49,F49)=0,"",設定!$C$4&amp;TEXT(ROW()-4,"00000"))</f>
        <v/>
      </c>
      <c r="B49" s="22"/>
      <c r="C49" s="23"/>
      <c r="D49" s="21" t="str">
        <f aca="false">IF(C49="","",IFERROR(INDEX(取引先マスタ!$B$5:$B$204,MATCH(C49,取引先マスタ!$A$5:$A$204,0)),"コード誤り"))</f>
        <v/>
      </c>
      <c r="E49" s="26"/>
      <c r="F49" s="18"/>
      <c r="G49" s="25" t="str">
        <f aca="false">IF(OR(B49="",C49="",D49="コード誤り"),"",IFERROR(IF(OR(INDEX(取引先マスタ!$E$5:$E$204,MATCH(C49,取引先マスタ!$A$5:$A$204,0))="",INDEX(取引先マスタ!$F$5:$F$204,MATCH(C49,取引先マスタ!$A$5:$A$204,0))=""),"",DATE(YEAR(B49),MONTH(B49)+INDEX(取引先マスタ!$E$5:$E$204,MATCH(C49,取引先マスタ!$A$5:$A$204,0)),MIN(INDEX(取引先マスタ!$F$5:$F$204,MATCH(C49,取引先マスタ!$A$5:$A$204,0)),DAY(EOMONTH(B49,INDEX(取引先マスタ!$E$5:$E$204,MATCH(C49,取引先マスタ!$A$5:$A$204,0))))))),""))</f>
        <v/>
      </c>
      <c r="H49" s="22"/>
      <c r="I49" s="25" t="str">
        <f aca="false">IF(H49&lt;&gt;"",H49,G49)</f>
        <v/>
      </c>
      <c r="J49" s="26"/>
      <c r="K49" s="22"/>
      <c r="L49" s="26"/>
      <c r="M49" s="27" t="str">
        <f aca="false">IF(A49="","",SUMIF(入金明細!$F$5:$F$1004,A49,入金明細!$E$5:$E$1004))</f>
        <v/>
      </c>
      <c r="N49" s="25" t="str">
        <f aca="false">IF(OR(A49="",N(M49)=0),"",SUMPRODUCT(MAX((入金明細!$F$5:$F$1004=A49)*入金明細!$B$5:$B$1004)))</f>
        <v/>
      </c>
      <c r="O49" s="18"/>
      <c r="P49" s="27" t="str">
        <f aca="false">IF(OR(A49="",F49=""),"",F49-N(M49)-N(O49))</f>
        <v/>
      </c>
      <c r="Q49" s="26"/>
      <c r="R49" s="28" t="str">
        <f aca="false">IF(A49="","",IF(Q49="取消","取消",IF(T49&lt;&gt;"","要入力",IF(K49="","未送付",IF(P49=0,"入金済",IF(P49&lt;0,"過入金",IF(設定!$C$5&gt;I49,IF(N(M49)&gt;0,"一部入金・超過","期日超過"),IF(N(M49)&gt;0,"一部入金",IF(I49-設定!$C$5&lt;=設定!$C$6,"期日間近","入金待ち")))))))))</f>
        <v/>
      </c>
      <c r="S49" s="29" t="str">
        <f aca="false">IF(OR(R49="期日超過",R49="一部入金・超過"),設定!$C$5-I49,"")</f>
        <v/>
      </c>
      <c r="T49" s="21" t="str">
        <f aca="false">IF(A49="","",TRIM(IF(B49="","請求日 ","")&amp;IF(C49="","取引先 ",IF(D49="コード誤り","取引先コード誤り ",""))&amp;IF(E49="","件名 ","")&amp;IF(F49="","請求額 ","")&amp;IF(AND(F49&lt;&gt;"",I49=""),"入金期日(マスタの支払条件が未登録) ","")&amp;IF(J49="","送付方法 ","")&amp;IF(AND(K49&lt;&gt;"",L49=""),"送付者 ","")&amp;IF(AND(K49&lt;&gt;"",N(K49)&gt;設定!$C$5),"送付日が未来の日付 ","")&amp;IF(AND(K49&lt;&gt;"",N(M49)&gt;0,N(P49)&lt;=0,U49=""),"消込確認者 ","")))</f>
        <v/>
      </c>
      <c r="U49" s="26"/>
      <c r="V49" s="26"/>
    </row>
    <row r="50" customFormat="false" ht="15" hidden="false" customHeight="false" outlineLevel="0" collapsed="false">
      <c r="A50" s="21" t="str">
        <f aca="false">IF(COUNTA(B50,C50,E50,F50)=0,"",設定!$C$4&amp;TEXT(ROW()-4,"00000"))</f>
        <v/>
      </c>
      <c r="B50" s="22"/>
      <c r="C50" s="23"/>
      <c r="D50" s="21" t="str">
        <f aca="false">IF(C50="","",IFERROR(INDEX(取引先マスタ!$B$5:$B$204,MATCH(C50,取引先マスタ!$A$5:$A$204,0)),"コード誤り"))</f>
        <v/>
      </c>
      <c r="E50" s="26"/>
      <c r="F50" s="18"/>
      <c r="G50" s="25" t="str">
        <f aca="false">IF(OR(B50="",C50="",D50="コード誤り"),"",IFERROR(IF(OR(INDEX(取引先マスタ!$E$5:$E$204,MATCH(C50,取引先マスタ!$A$5:$A$204,0))="",INDEX(取引先マスタ!$F$5:$F$204,MATCH(C50,取引先マスタ!$A$5:$A$204,0))=""),"",DATE(YEAR(B50),MONTH(B50)+INDEX(取引先マスタ!$E$5:$E$204,MATCH(C50,取引先マスタ!$A$5:$A$204,0)),MIN(INDEX(取引先マスタ!$F$5:$F$204,MATCH(C50,取引先マスタ!$A$5:$A$204,0)),DAY(EOMONTH(B50,INDEX(取引先マスタ!$E$5:$E$204,MATCH(C50,取引先マスタ!$A$5:$A$204,0))))))),""))</f>
        <v/>
      </c>
      <c r="H50" s="22"/>
      <c r="I50" s="25" t="str">
        <f aca="false">IF(H50&lt;&gt;"",H50,G50)</f>
        <v/>
      </c>
      <c r="J50" s="26"/>
      <c r="K50" s="22"/>
      <c r="L50" s="26"/>
      <c r="M50" s="27" t="str">
        <f aca="false">IF(A50="","",SUMIF(入金明細!$F$5:$F$1004,A50,入金明細!$E$5:$E$1004))</f>
        <v/>
      </c>
      <c r="N50" s="25" t="str">
        <f aca="false">IF(OR(A50="",N(M50)=0),"",SUMPRODUCT(MAX((入金明細!$F$5:$F$1004=A50)*入金明細!$B$5:$B$1004)))</f>
        <v/>
      </c>
      <c r="O50" s="18"/>
      <c r="P50" s="27" t="str">
        <f aca="false">IF(OR(A50="",F50=""),"",F50-N(M50)-N(O50))</f>
        <v/>
      </c>
      <c r="Q50" s="26"/>
      <c r="R50" s="28" t="str">
        <f aca="false">IF(A50="","",IF(Q50="取消","取消",IF(T50&lt;&gt;"","要入力",IF(K50="","未送付",IF(P50=0,"入金済",IF(P50&lt;0,"過入金",IF(設定!$C$5&gt;I50,IF(N(M50)&gt;0,"一部入金・超過","期日超過"),IF(N(M50)&gt;0,"一部入金",IF(I50-設定!$C$5&lt;=設定!$C$6,"期日間近","入金待ち")))))))))</f>
        <v/>
      </c>
      <c r="S50" s="29" t="str">
        <f aca="false">IF(OR(R50="期日超過",R50="一部入金・超過"),設定!$C$5-I50,"")</f>
        <v/>
      </c>
      <c r="T50" s="21" t="str">
        <f aca="false">IF(A50="","",TRIM(IF(B50="","請求日 ","")&amp;IF(C50="","取引先 ",IF(D50="コード誤り","取引先コード誤り ",""))&amp;IF(E50="","件名 ","")&amp;IF(F50="","請求額 ","")&amp;IF(AND(F50&lt;&gt;"",I50=""),"入金期日(マスタの支払条件が未登録) ","")&amp;IF(J50="","送付方法 ","")&amp;IF(AND(K50&lt;&gt;"",L50=""),"送付者 ","")&amp;IF(AND(K50&lt;&gt;"",N(K50)&gt;設定!$C$5),"送付日が未来の日付 ","")&amp;IF(AND(K50&lt;&gt;"",N(M50)&gt;0,N(P50)&lt;=0,U50=""),"消込確認者 ","")))</f>
        <v/>
      </c>
      <c r="U50" s="26"/>
      <c r="V50" s="26"/>
    </row>
    <row r="51" customFormat="false" ht="15" hidden="false" customHeight="false" outlineLevel="0" collapsed="false">
      <c r="A51" s="21" t="str">
        <f aca="false">IF(COUNTA(B51,C51,E51,F51)=0,"",設定!$C$4&amp;TEXT(ROW()-4,"00000"))</f>
        <v/>
      </c>
      <c r="B51" s="22"/>
      <c r="C51" s="23"/>
      <c r="D51" s="21" t="str">
        <f aca="false">IF(C51="","",IFERROR(INDEX(取引先マスタ!$B$5:$B$204,MATCH(C51,取引先マスタ!$A$5:$A$204,0)),"コード誤り"))</f>
        <v/>
      </c>
      <c r="E51" s="26"/>
      <c r="F51" s="18"/>
      <c r="G51" s="25" t="str">
        <f aca="false">IF(OR(B51="",C51="",D51="コード誤り"),"",IFERROR(IF(OR(INDEX(取引先マスタ!$E$5:$E$204,MATCH(C51,取引先マスタ!$A$5:$A$204,0))="",INDEX(取引先マスタ!$F$5:$F$204,MATCH(C51,取引先マスタ!$A$5:$A$204,0))=""),"",DATE(YEAR(B51),MONTH(B51)+INDEX(取引先マスタ!$E$5:$E$204,MATCH(C51,取引先マスタ!$A$5:$A$204,0)),MIN(INDEX(取引先マスタ!$F$5:$F$204,MATCH(C51,取引先マスタ!$A$5:$A$204,0)),DAY(EOMONTH(B51,INDEX(取引先マスタ!$E$5:$E$204,MATCH(C51,取引先マスタ!$A$5:$A$204,0))))))),""))</f>
        <v/>
      </c>
      <c r="H51" s="22"/>
      <c r="I51" s="25" t="str">
        <f aca="false">IF(H51&lt;&gt;"",H51,G51)</f>
        <v/>
      </c>
      <c r="J51" s="26"/>
      <c r="K51" s="22"/>
      <c r="L51" s="26"/>
      <c r="M51" s="27" t="str">
        <f aca="false">IF(A51="","",SUMIF(入金明細!$F$5:$F$1004,A51,入金明細!$E$5:$E$1004))</f>
        <v/>
      </c>
      <c r="N51" s="25" t="str">
        <f aca="false">IF(OR(A51="",N(M51)=0),"",SUMPRODUCT(MAX((入金明細!$F$5:$F$1004=A51)*入金明細!$B$5:$B$1004)))</f>
        <v/>
      </c>
      <c r="O51" s="18"/>
      <c r="P51" s="27" t="str">
        <f aca="false">IF(OR(A51="",F51=""),"",F51-N(M51)-N(O51))</f>
        <v/>
      </c>
      <c r="Q51" s="26"/>
      <c r="R51" s="28" t="str">
        <f aca="false">IF(A51="","",IF(Q51="取消","取消",IF(T51&lt;&gt;"","要入力",IF(K51="","未送付",IF(P51=0,"入金済",IF(P51&lt;0,"過入金",IF(設定!$C$5&gt;I51,IF(N(M51)&gt;0,"一部入金・超過","期日超過"),IF(N(M51)&gt;0,"一部入金",IF(I51-設定!$C$5&lt;=設定!$C$6,"期日間近","入金待ち")))))))))</f>
        <v/>
      </c>
      <c r="S51" s="29" t="str">
        <f aca="false">IF(OR(R51="期日超過",R51="一部入金・超過"),設定!$C$5-I51,"")</f>
        <v/>
      </c>
      <c r="T51" s="21" t="str">
        <f aca="false">IF(A51="","",TRIM(IF(B51="","請求日 ","")&amp;IF(C51="","取引先 ",IF(D51="コード誤り","取引先コード誤り ",""))&amp;IF(E51="","件名 ","")&amp;IF(F51="","請求額 ","")&amp;IF(AND(F51&lt;&gt;"",I51=""),"入金期日(マスタの支払条件が未登録) ","")&amp;IF(J51="","送付方法 ","")&amp;IF(AND(K51&lt;&gt;"",L51=""),"送付者 ","")&amp;IF(AND(K51&lt;&gt;"",N(K51)&gt;設定!$C$5),"送付日が未来の日付 ","")&amp;IF(AND(K51&lt;&gt;"",N(M51)&gt;0,N(P51)&lt;=0,U51=""),"消込確認者 ","")))</f>
        <v/>
      </c>
      <c r="U51" s="26"/>
      <c r="V51" s="26"/>
    </row>
    <row r="52" customFormat="false" ht="15" hidden="false" customHeight="false" outlineLevel="0" collapsed="false">
      <c r="A52" s="21" t="str">
        <f aca="false">IF(COUNTA(B52,C52,E52,F52)=0,"",設定!$C$4&amp;TEXT(ROW()-4,"00000"))</f>
        <v/>
      </c>
      <c r="B52" s="22"/>
      <c r="C52" s="23"/>
      <c r="D52" s="21" t="str">
        <f aca="false">IF(C52="","",IFERROR(INDEX(取引先マスタ!$B$5:$B$204,MATCH(C52,取引先マスタ!$A$5:$A$204,0)),"コード誤り"))</f>
        <v/>
      </c>
      <c r="E52" s="26"/>
      <c r="F52" s="18"/>
      <c r="G52" s="25" t="str">
        <f aca="false">IF(OR(B52="",C52="",D52="コード誤り"),"",IFERROR(IF(OR(INDEX(取引先マスタ!$E$5:$E$204,MATCH(C52,取引先マスタ!$A$5:$A$204,0))="",INDEX(取引先マスタ!$F$5:$F$204,MATCH(C52,取引先マスタ!$A$5:$A$204,0))=""),"",DATE(YEAR(B52),MONTH(B52)+INDEX(取引先マスタ!$E$5:$E$204,MATCH(C52,取引先マスタ!$A$5:$A$204,0)),MIN(INDEX(取引先マスタ!$F$5:$F$204,MATCH(C52,取引先マスタ!$A$5:$A$204,0)),DAY(EOMONTH(B52,INDEX(取引先マスタ!$E$5:$E$204,MATCH(C52,取引先マスタ!$A$5:$A$204,0))))))),""))</f>
        <v/>
      </c>
      <c r="H52" s="22"/>
      <c r="I52" s="25" t="str">
        <f aca="false">IF(H52&lt;&gt;"",H52,G52)</f>
        <v/>
      </c>
      <c r="J52" s="26"/>
      <c r="K52" s="22"/>
      <c r="L52" s="26"/>
      <c r="M52" s="27" t="str">
        <f aca="false">IF(A52="","",SUMIF(入金明細!$F$5:$F$1004,A52,入金明細!$E$5:$E$1004))</f>
        <v/>
      </c>
      <c r="N52" s="25" t="str">
        <f aca="false">IF(OR(A52="",N(M52)=0),"",SUMPRODUCT(MAX((入金明細!$F$5:$F$1004=A52)*入金明細!$B$5:$B$1004)))</f>
        <v/>
      </c>
      <c r="O52" s="18"/>
      <c r="P52" s="27" t="str">
        <f aca="false">IF(OR(A52="",F52=""),"",F52-N(M52)-N(O52))</f>
        <v/>
      </c>
      <c r="Q52" s="26"/>
      <c r="R52" s="28" t="str">
        <f aca="false">IF(A52="","",IF(Q52="取消","取消",IF(T52&lt;&gt;"","要入力",IF(K52="","未送付",IF(P52=0,"入金済",IF(P52&lt;0,"過入金",IF(設定!$C$5&gt;I52,IF(N(M52)&gt;0,"一部入金・超過","期日超過"),IF(N(M52)&gt;0,"一部入金",IF(I52-設定!$C$5&lt;=設定!$C$6,"期日間近","入金待ち")))))))))</f>
        <v/>
      </c>
      <c r="S52" s="29" t="str">
        <f aca="false">IF(OR(R52="期日超過",R52="一部入金・超過"),設定!$C$5-I52,"")</f>
        <v/>
      </c>
      <c r="T52" s="21" t="str">
        <f aca="false">IF(A52="","",TRIM(IF(B52="","請求日 ","")&amp;IF(C52="","取引先 ",IF(D52="コード誤り","取引先コード誤り ",""))&amp;IF(E52="","件名 ","")&amp;IF(F52="","請求額 ","")&amp;IF(AND(F52&lt;&gt;"",I52=""),"入金期日(マスタの支払条件が未登録) ","")&amp;IF(J52="","送付方法 ","")&amp;IF(AND(K52&lt;&gt;"",L52=""),"送付者 ","")&amp;IF(AND(K52&lt;&gt;"",N(K52)&gt;設定!$C$5),"送付日が未来の日付 ","")&amp;IF(AND(K52&lt;&gt;"",N(M52)&gt;0,N(P52)&lt;=0,U52=""),"消込確認者 ","")))</f>
        <v/>
      </c>
      <c r="U52" s="26"/>
      <c r="V52" s="26"/>
    </row>
    <row r="53" customFormat="false" ht="15" hidden="false" customHeight="false" outlineLevel="0" collapsed="false">
      <c r="A53" s="21" t="str">
        <f aca="false">IF(COUNTA(B53,C53,E53,F53)=0,"",設定!$C$4&amp;TEXT(ROW()-4,"00000"))</f>
        <v/>
      </c>
      <c r="B53" s="22"/>
      <c r="C53" s="23"/>
      <c r="D53" s="21" t="str">
        <f aca="false">IF(C53="","",IFERROR(INDEX(取引先マスタ!$B$5:$B$204,MATCH(C53,取引先マスタ!$A$5:$A$204,0)),"コード誤り"))</f>
        <v/>
      </c>
      <c r="E53" s="26"/>
      <c r="F53" s="18"/>
      <c r="G53" s="25" t="str">
        <f aca="false">IF(OR(B53="",C53="",D53="コード誤り"),"",IFERROR(IF(OR(INDEX(取引先マスタ!$E$5:$E$204,MATCH(C53,取引先マスタ!$A$5:$A$204,0))="",INDEX(取引先マスタ!$F$5:$F$204,MATCH(C53,取引先マスタ!$A$5:$A$204,0))=""),"",DATE(YEAR(B53),MONTH(B53)+INDEX(取引先マスタ!$E$5:$E$204,MATCH(C53,取引先マスタ!$A$5:$A$204,0)),MIN(INDEX(取引先マスタ!$F$5:$F$204,MATCH(C53,取引先マスタ!$A$5:$A$204,0)),DAY(EOMONTH(B53,INDEX(取引先マスタ!$E$5:$E$204,MATCH(C53,取引先マスタ!$A$5:$A$204,0))))))),""))</f>
        <v/>
      </c>
      <c r="H53" s="22"/>
      <c r="I53" s="25" t="str">
        <f aca="false">IF(H53&lt;&gt;"",H53,G53)</f>
        <v/>
      </c>
      <c r="J53" s="26"/>
      <c r="K53" s="22"/>
      <c r="L53" s="26"/>
      <c r="M53" s="27" t="str">
        <f aca="false">IF(A53="","",SUMIF(入金明細!$F$5:$F$1004,A53,入金明細!$E$5:$E$1004))</f>
        <v/>
      </c>
      <c r="N53" s="25" t="str">
        <f aca="false">IF(OR(A53="",N(M53)=0),"",SUMPRODUCT(MAX((入金明細!$F$5:$F$1004=A53)*入金明細!$B$5:$B$1004)))</f>
        <v/>
      </c>
      <c r="O53" s="18"/>
      <c r="P53" s="27" t="str">
        <f aca="false">IF(OR(A53="",F53=""),"",F53-N(M53)-N(O53))</f>
        <v/>
      </c>
      <c r="Q53" s="26"/>
      <c r="R53" s="28" t="str">
        <f aca="false">IF(A53="","",IF(Q53="取消","取消",IF(T53&lt;&gt;"","要入力",IF(K53="","未送付",IF(P53=0,"入金済",IF(P53&lt;0,"過入金",IF(設定!$C$5&gt;I53,IF(N(M53)&gt;0,"一部入金・超過","期日超過"),IF(N(M53)&gt;0,"一部入金",IF(I53-設定!$C$5&lt;=設定!$C$6,"期日間近","入金待ち")))))))))</f>
        <v/>
      </c>
      <c r="S53" s="29" t="str">
        <f aca="false">IF(OR(R53="期日超過",R53="一部入金・超過"),設定!$C$5-I53,"")</f>
        <v/>
      </c>
      <c r="T53" s="21" t="str">
        <f aca="false">IF(A53="","",TRIM(IF(B53="","請求日 ","")&amp;IF(C53="","取引先 ",IF(D53="コード誤り","取引先コード誤り ",""))&amp;IF(E53="","件名 ","")&amp;IF(F53="","請求額 ","")&amp;IF(AND(F53&lt;&gt;"",I53=""),"入金期日(マスタの支払条件が未登録) ","")&amp;IF(J53="","送付方法 ","")&amp;IF(AND(K53&lt;&gt;"",L53=""),"送付者 ","")&amp;IF(AND(K53&lt;&gt;"",N(K53)&gt;設定!$C$5),"送付日が未来の日付 ","")&amp;IF(AND(K53&lt;&gt;"",N(M53)&gt;0,N(P53)&lt;=0,U53=""),"消込確認者 ","")))</f>
        <v/>
      </c>
      <c r="U53" s="26"/>
      <c r="V53" s="26"/>
    </row>
    <row r="54" customFormat="false" ht="15" hidden="false" customHeight="false" outlineLevel="0" collapsed="false">
      <c r="A54" s="21" t="str">
        <f aca="false">IF(COUNTA(B54,C54,E54,F54)=0,"",設定!$C$4&amp;TEXT(ROW()-4,"00000"))</f>
        <v/>
      </c>
      <c r="B54" s="22"/>
      <c r="C54" s="23"/>
      <c r="D54" s="21" t="str">
        <f aca="false">IF(C54="","",IFERROR(INDEX(取引先マスタ!$B$5:$B$204,MATCH(C54,取引先マスタ!$A$5:$A$204,0)),"コード誤り"))</f>
        <v/>
      </c>
      <c r="E54" s="26"/>
      <c r="F54" s="18"/>
      <c r="G54" s="25" t="str">
        <f aca="false">IF(OR(B54="",C54="",D54="コード誤り"),"",IFERROR(IF(OR(INDEX(取引先マスタ!$E$5:$E$204,MATCH(C54,取引先マスタ!$A$5:$A$204,0))="",INDEX(取引先マスタ!$F$5:$F$204,MATCH(C54,取引先マスタ!$A$5:$A$204,0))=""),"",DATE(YEAR(B54),MONTH(B54)+INDEX(取引先マスタ!$E$5:$E$204,MATCH(C54,取引先マスタ!$A$5:$A$204,0)),MIN(INDEX(取引先マスタ!$F$5:$F$204,MATCH(C54,取引先マスタ!$A$5:$A$204,0)),DAY(EOMONTH(B54,INDEX(取引先マスタ!$E$5:$E$204,MATCH(C54,取引先マスタ!$A$5:$A$204,0))))))),""))</f>
        <v/>
      </c>
      <c r="H54" s="22"/>
      <c r="I54" s="25" t="str">
        <f aca="false">IF(H54&lt;&gt;"",H54,G54)</f>
        <v/>
      </c>
      <c r="J54" s="26"/>
      <c r="K54" s="22"/>
      <c r="L54" s="26"/>
      <c r="M54" s="27" t="str">
        <f aca="false">IF(A54="","",SUMIF(入金明細!$F$5:$F$1004,A54,入金明細!$E$5:$E$1004))</f>
        <v/>
      </c>
      <c r="N54" s="25" t="str">
        <f aca="false">IF(OR(A54="",N(M54)=0),"",SUMPRODUCT(MAX((入金明細!$F$5:$F$1004=A54)*入金明細!$B$5:$B$1004)))</f>
        <v/>
      </c>
      <c r="O54" s="18"/>
      <c r="P54" s="27" t="str">
        <f aca="false">IF(OR(A54="",F54=""),"",F54-N(M54)-N(O54))</f>
        <v/>
      </c>
      <c r="Q54" s="26"/>
      <c r="R54" s="28" t="str">
        <f aca="false">IF(A54="","",IF(Q54="取消","取消",IF(T54&lt;&gt;"","要入力",IF(K54="","未送付",IF(P54=0,"入金済",IF(P54&lt;0,"過入金",IF(設定!$C$5&gt;I54,IF(N(M54)&gt;0,"一部入金・超過","期日超過"),IF(N(M54)&gt;0,"一部入金",IF(I54-設定!$C$5&lt;=設定!$C$6,"期日間近","入金待ち")))))))))</f>
        <v/>
      </c>
      <c r="S54" s="29" t="str">
        <f aca="false">IF(OR(R54="期日超過",R54="一部入金・超過"),設定!$C$5-I54,"")</f>
        <v/>
      </c>
      <c r="T54" s="21" t="str">
        <f aca="false">IF(A54="","",TRIM(IF(B54="","請求日 ","")&amp;IF(C54="","取引先 ",IF(D54="コード誤り","取引先コード誤り ",""))&amp;IF(E54="","件名 ","")&amp;IF(F54="","請求額 ","")&amp;IF(AND(F54&lt;&gt;"",I54=""),"入金期日(マスタの支払条件が未登録) ","")&amp;IF(J54="","送付方法 ","")&amp;IF(AND(K54&lt;&gt;"",L54=""),"送付者 ","")&amp;IF(AND(K54&lt;&gt;"",N(K54)&gt;設定!$C$5),"送付日が未来の日付 ","")&amp;IF(AND(K54&lt;&gt;"",N(M54)&gt;0,N(P54)&lt;=0,U54=""),"消込確認者 ","")))</f>
        <v/>
      </c>
      <c r="U54" s="26"/>
      <c r="V54" s="26"/>
    </row>
    <row r="55" customFormat="false" ht="15" hidden="false" customHeight="false" outlineLevel="0" collapsed="false">
      <c r="A55" s="21" t="str">
        <f aca="false">IF(COUNTA(B55,C55,E55,F55)=0,"",設定!$C$4&amp;TEXT(ROW()-4,"00000"))</f>
        <v/>
      </c>
      <c r="B55" s="22"/>
      <c r="C55" s="23"/>
      <c r="D55" s="21" t="str">
        <f aca="false">IF(C55="","",IFERROR(INDEX(取引先マスタ!$B$5:$B$204,MATCH(C55,取引先マスタ!$A$5:$A$204,0)),"コード誤り"))</f>
        <v/>
      </c>
      <c r="E55" s="26"/>
      <c r="F55" s="18"/>
      <c r="G55" s="25" t="str">
        <f aca="false">IF(OR(B55="",C55="",D55="コード誤り"),"",IFERROR(IF(OR(INDEX(取引先マスタ!$E$5:$E$204,MATCH(C55,取引先マスタ!$A$5:$A$204,0))="",INDEX(取引先マスタ!$F$5:$F$204,MATCH(C55,取引先マスタ!$A$5:$A$204,0))=""),"",DATE(YEAR(B55),MONTH(B55)+INDEX(取引先マスタ!$E$5:$E$204,MATCH(C55,取引先マスタ!$A$5:$A$204,0)),MIN(INDEX(取引先マスタ!$F$5:$F$204,MATCH(C55,取引先マスタ!$A$5:$A$204,0)),DAY(EOMONTH(B55,INDEX(取引先マスタ!$E$5:$E$204,MATCH(C55,取引先マスタ!$A$5:$A$204,0))))))),""))</f>
        <v/>
      </c>
      <c r="H55" s="22"/>
      <c r="I55" s="25" t="str">
        <f aca="false">IF(H55&lt;&gt;"",H55,G55)</f>
        <v/>
      </c>
      <c r="J55" s="26"/>
      <c r="K55" s="22"/>
      <c r="L55" s="26"/>
      <c r="M55" s="27" t="str">
        <f aca="false">IF(A55="","",SUMIF(入金明細!$F$5:$F$1004,A55,入金明細!$E$5:$E$1004))</f>
        <v/>
      </c>
      <c r="N55" s="25" t="str">
        <f aca="false">IF(OR(A55="",N(M55)=0),"",SUMPRODUCT(MAX((入金明細!$F$5:$F$1004=A55)*入金明細!$B$5:$B$1004)))</f>
        <v/>
      </c>
      <c r="O55" s="18"/>
      <c r="P55" s="27" t="str">
        <f aca="false">IF(OR(A55="",F55=""),"",F55-N(M55)-N(O55))</f>
        <v/>
      </c>
      <c r="Q55" s="26"/>
      <c r="R55" s="28" t="str">
        <f aca="false">IF(A55="","",IF(Q55="取消","取消",IF(T55&lt;&gt;"","要入力",IF(K55="","未送付",IF(P55=0,"入金済",IF(P55&lt;0,"過入金",IF(設定!$C$5&gt;I55,IF(N(M55)&gt;0,"一部入金・超過","期日超過"),IF(N(M55)&gt;0,"一部入金",IF(I55-設定!$C$5&lt;=設定!$C$6,"期日間近","入金待ち")))))))))</f>
        <v/>
      </c>
      <c r="S55" s="29" t="str">
        <f aca="false">IF(OR(R55="期日超過",R55="一部入金・超過"),設定!$C$5-I55,"")</f>
        <v/>
      </c>
      <c r="T55" s="21" t="str">
        <f aca="false">IF(A55="","",TRIM(IF(B55="","請求日 ","")&amp;IF(C55="","取引先 ",IF(D55="コード誤り","取引先コード誤り ",""))&amp;IF(E55="","件名 ","")&amp;IF(F55="","請求額 ","")&amp;IF(AND(F55&lt;&gt;"",I55=""),"入金期日(マスタの支払条件が未登録) ","")&amp;IF(J55="","送付方法 ","")&amp;IF(AND(K55&lt;&gt;"",L55=""),"送付者 ","")&amp;IF(AND(K55&lt;&gt;"",N(K55)&gt;設定!$C$5),"送付日が未来の日付 ","")&amp;IF(AND(K55&lt;&gt;"",N(M55)&gt;0,N(P55)&lt;=0,U55=""),"消込確認者 ","")))</f>
        <v/>
      </c>
      <c r="U55" s="26"/>
      <c r="V55" s="26"/>
    </row>
    <row r="56" customFormat="false" ht="15" hidden="false" customHeight="false" outlineLevel="0" collapsed="false">
      <c r="A56" s="21" t="str">
        <f aca="false">IF(COUNTA(B56,C56,E56,F56)=0,"",設定!$C$4&amp;TEXT(ROW()-4,"00000"))</f>
        <v/>
      </c>
      <c r="B56" s="22"/>
      <c r="C56" s="23"/>
      <c r="D56" s="21" t="str">
        <f aca="false">IF(C56="","",IFERROR(INDEX(取引先マスタ!$B$5:$B$204,MATCH(C56,取引先マスタ!$A$5:$A$204,0)),"コード誤り"))</f>
        <v/>
      </c>
      <c r="E56" s="26"/>
      <c r="F56" s="18"/>
      <c r="G56" s="25" t="str">
        <f aca="false">IF(OR(B56="",C56="",D56="コード誤り"),"",IFERROR(IF(OR(INDEX(取引先マスタ!$E$5:$E$204,MATCH(C56,取引先マスタ!$A$5:$A$204,0))="",INDEX(取引先マスタ!$F$5:$F$204,MATCH(C56,取引先マスタ!$A$5:$A$204,0))=""),"",DATE(YEAR(B56),MONTH(B56)+INDEX(取引先マスタ!$E$5:$E$204,MATCH(C56,取引先マスタ!$A$5:$A$204,0)),MIN(INDEX(取引先マスタ!$F$5:$F$204,MATCH(C56,取引先マスタ!$A$5:$A$204,0)),DAY(EOMONTH(B56,INDEX(取引先マスタ!$E$5:$E$204,MATCH(C56,取引先マスタ!$A$5:$A$204,0))))))),""))</f>
        <v/>
      </c>
      <c r="H56" s="22"/>
      <c r="I56" s="25" t="str">
        <f aca="false">IF(H56&lt;&gt;"",H56,G56)</f>
        <v/>
      </c>
      <c r="J56" s="26"/>
      <c r="K56" s="22"/>
      <c r="L56" s="26"/>
      <c r="M56" s="27" t="str">
        <f aca="false">IF(A56="","",SUMIF(入金明細!$F$5:$F$1004,A56,入金明細!$E$5:$E$1004))</f>
        <v/>
      </c>
      <c r="N56" s="25" t="str">
        <f aca="false">IF(OR(A56="",N(M56)=0),"",SUMPRODUCT(MAX((入金明細!$F$5:$F$1004=A56)*入金明細!$B$5:$B$1004)))</f>
        <v/>
      </c>
      <c r="O56" s="18"/>
      <c r="P56" s="27" t="str">
        <f aca="false">IF(OR(A56="",F56=""),"",F56-N(M56)-N(O56))</f>
        <v/>
      </c>
      <c r="Q56" s="26"/>
      <c r="R56" s="28" t="str">
        <f aca="false">IF(A56="","",IF(Q56="取消","取消",IF(T56&lt;&gt;"","要入力",IF(K56="","未送付",IF(P56=0,"入金済",IF(P56&lt;0,"過入金",IF(設定!$C$5&gt;I56,IF(N(M56)&gt;0,"一部入金・超過","期日超過"),IF(N(M56)&gt;0,"一部入金",IF(I56-設定!$C$5&lt;=設定!$C$6,"期日間近","入金待ち")))))))))</f>
        <v/>
      </c>
      <c r="S56" s="29" t="str">
        <f aca="false">IF(OR(R56="期日超過",R56="一部入金・超過"),設定!$C$5-I56,"")</f>
        <v/>
      </c>
      <c r="T56" s="21" t="str">
        <f aca="false">IF(A56="","",TRIM(IF(B56="","請求日 ","")&amp;IF(C56="","取引先 ",IF(D56="コード誤り","取引先コード誤り ",""))&amp;IF(E56="","件名 ","")&amp;IF(F56="","請求額 ","")&amp;IF(AND(F56&lt;&gt;"",I56=""),"入金期日(マスタの支払条件が未登録) ","")&amp;IF(J56="","送付方法 ","")&amp;IF(AND(K56&lt;&gt;"",L56=""),"送付者 ","")&amp;IF(AND(K56&lt;&gt;"",N(K56)&gt;設定!$C$5),"送付日が未来の日付 ","")&amp;IF(AND(K56&lt;&gt;"",N(M56)&gt;0,N(P56)&lt;=0,U56=""),"消込確認者 ","")))</f>
        <v/>
      </c>
      <c r="U56" s="26"/>
      <c r="V56" s="26"/>
    </row>
    <row r="57" customFormat="false" ht="15" hidden="false" customHeight="false" outlineLevel="0" collapsed="false">
      <c r="A57" s="21" t="str">
        <f aca="false">IF(COUNTA(B57,C57,E57,F57)=0,"",設定!$C$4&amp;TEXT(ROW()-4,"00000"))</f>
        <v/>
      </c>
      <c r="B57" s="22"/>
      <c r="C57" s="23"/>
      <c r="D57" s="21" t="str">
        <f aca="false">IF(C57="","",IFERROR(INDEX(取引先マスタ!$B$5:$B$204,MATCH(C57,取引先マスタ!$A$5:$A$204,0)),"コード誤り"))</f>
        <v/>
      </c>
      <c r="E57" s="26"/>
      <c r="F57" s="18"/>
      <c r="G57" s="25" t="str">
        <f aca="false">IF(OR(B57="",C57="",D57="コード誤り"),"",IFERROR(IF(OR(INDEX(取引先マスタ!$E$5:$E$204,MATCH(C57,取引先マスタ!$A$5:$A$204,0))="",INDEX(取引先マスタ!$F$5:$F$204,MATCH(C57,取引先マスタ!$A$5:$A$204,0))=""),"",DATE(YEAR(B57),MONTH(B57)+INDEX(取引先マスタ!$E$5:$E$204,MATCH(C57,取引先マスタ!$A$5:$A$204,0)),MIN(INDEX(取引先マスタ!$F$5:$F$204,MATCH(C57,取引先マスタ!$A$5:$A$204,0)),DAY(EOMONTH(B57,INDEX(取引先マスタ!$E$5:$E$204,MATCH(C57,取引先マスタ!$A$5:$A$204,0))))))),""))</f>
        <v/>
      </c>
      <c r="H57" s="22"/>
      <c r="I57" s="25" t="str">
        <f aca="false">IF(H57&lt;&gt;"",H57,G57)</f>
        <v/>
      </c>
      <c r="J57" s="26"/>
      <c r="K57" s="22"/>
      <c r="L57" s="26"/>
      <c r="M57" s="27" t="str">
        <f aca="false">IF(A57="","",SUMIF(入金明細!$F$5:$F$1004,A57,入金明細!$E$5:$E$1004))</f>
        <v/>
      </c>
      <c r="N57" s="25" t="str">
        <f aca="false">IF(OR(A57="",N(M57)=0),"",SUMPRODUCT(MAX((入金明細!$F$5:$F$1004=A57)*入金明細!$B$5:$B$1004)))</f>
        <v/>
      </c>
      <c r="O57" s="18"/>
      <c r="P57" s="27" t="str">
        <f aca="false">IF(OR(A57="",F57=""),"",F57-N(M57)-N(O57))</f>
        <v/>
      </c>
      <c r="Q57" s="26"/>
      <c r="R57" s="28" t="str">
        <f aca="false">IF(A57="","",IF(Q57="取消","取消",IF(T57&lt;&gt;"","要入力",IF(K57="","未送付",IF(P57=0,"入金済",IF(P57&lt;0,"過入金",IF(設定!$C$5&gt;I57,IF(N(M57)&gt;0,"一部入金・超過","期日超過"),IF(N(M57)&gt;0,"一部入金",IF(I57-設定!$C$5&lt;=設定!$C$6,"期日間近","入金待ち")))))))))</f>
        <v/>
      </c>
      <c r="S57" s="29" t="str">
        <f aca="false">IF(OR(R57="期日超過",R57="一部入金・超過"),設定!$C$5-I57,"")</f>
        <v/>
      </c>
      <c r="T57" s="21" t="str">
        <f aca="false">IF(A57="","",TRIM(IF(B57="","請求日 ","")&amp;IF(C57="","取引先 ",IF(D57="コード誤り","取引先コード誤り ",""))&amp;IF(E57="","件名 ","")&amp;IF(F57="","請求額 ","")&amp;IF(AND(F57&lt;&gt;"",I57=""),"入金期日(マスタの支払条件が未登録) ","")&amp;IF(J57="","送付方法 ","")&amp;IF(AND(K57&lt;&gt;"",L57=""),"送付者 ","")&amp;IF(AND(K57&lt;&gt;"",N(K57)&gt;設定!$C$5),"送付日が未来の日付 ","")&amp;IF(AND(K57&lt;&gt;"",N(M57)&gt;0,N(P57)&lt;=0,U57=""),"消込確認者 ","")))</f>
        <v/>
      </c>
      <c r="U57" s="26"/>
      <c r="V57" s="26"/>
    </row>
    <row r="58" customFormat="false" ht="15" hidden="false" customHeight="false" outlineLevel="0" collapsed="false">
      <c r="A58" s="21" t="str">
        <f aca="false">IF(COUNTA(B58,C58,E58,F58)=0,"",設定!$C$4&amp;TEXT(ROW()-4,"00000"))</f>
        <v/>
      </c>
      <c r="B58" s="22"/>
      <c r="C58" s="23"/>
      <c r="D58" s="21" t="str">
        <f aca="false">IF(C58="","",IFERROR(INDEX(取引先マスタ!$B$5:$B$204,MATCH(C58,取引先マスタ!$A$5:$A$204,0)),"コード誤り"))</f>
        <v/>
      </c>
      <c r="E58" s="26"/>
      <c r="F58" s="18"/>
      <c r="G58" s="25" t="str">
        <f aca="false">IF(OR(B58="",C58="",D58="コード誤り"),"",IFERROR(IF(OR(INDEX(取引先マスタ!$E$5:$E$204,MATCH(C58,取引先マスタ!$A$5:$A$204,0))="",INDEX(取引先マスタ!$F$5:$F$204,MATCH(C58,取引先マスタ!$A$5:$A$204,0))=""),"",DATE(YEAR(B58),MONTH(B58)+INDEX(取引先マスタ!$E$5:$E$204,MATCH(C58,取引先マスタ!$A$5:$A$204,0)),MIN(INDEX(取引先マスタ!$F$5:$F$204,MATCH(C58,取引先マスタ!$A$5:$A$204,0)),DAY(EOMONTH(B58,INDEX(取引先マスタ!$E$5:$E$204,MATCH(C58,取引先マスタ!$A$5:$A$204,0))))))),""))</f>
        <v/>
      </c>
      <c r="H58" s="22"/>
      <c r="I58" s="25" t="str">
        <f aca="false">IF(H58&lt;&gt;"",H58,G58)</f>
        <v/>
      </c>
      <c r="J58" s="26"/>
      <c r="K58" s="22"/>
      <c r="L58" s="26"/>
      <c r="M58" s="27" t="str">
        <f aca="false">IF(A58="","",SUMIF(入金明細!$F$5:$F$1004,A58,入金明細!$E$5:$E$1004))</f>
        <v/>
      </c>
      <c r="N58" s="25" t="str">
        <f aca="false">IF(OR(A58="",N(M58)=0),"",SUMPRODUCT(MAX((入金明細!$F$5:$F$1004=A58)*入金明細!$B$5:$B$1004)))</f>
        <v/>
      </c>
      <c r="O58" s="18"/>
      <c r="P58" s="27" t="str">
        <f aca="false">IF(OR(A58="",F58=""),"",F58-N(M58)-N(O58))</f>
        <v/>
      </c>
      <c r="Q58" s="26"/>
      <c r="R58" s="28" t="str">
        <f aca="false">IF(A58="","",IF(Q58="取消","取消",IF(T58&lt;&gt;"","要入力",IF(K58="","未送付",IF(P58=0,"入金済",IF(P58&lt;0,"過入金",IF(設定!$C$5&gt;I58,IF(N(M58)&gt;0,"一部入金・超過","期日超過"),IF(N(M58)&gt;0,"一部入金",IF(I58-設定!$C$5&lt;=設定!$C$6,"期日間近","入金待ち")))))))))</f>
        <v/>
      </c>
      <c r="S58" s="29" t="str">
        <f aca="false">IF(OR(R58="期日超過",R58="一部入金・超過"),設定!$C$5-I58,"")</f>
        <v/>
      </c>
      <c r="T58" s="21" t="str">
        <f aca="false">IF(A58="","",TRIM(IF(B58="","請求日 ","")&amp;IF(C58="","取引先 ",IF(D58="コード誤り","取引先コード誤り ",""))&amp;IF(E58="","件名 ","")&amp;IF(F58="","請求額 ","")&amp;IF(AND(F58&lt;&gt;"",I58=""),"入金期日(マスタの支払条件が未登録) ","")&amp;IF(J58="","送付方法 ","")&amp;IF(AND(K58&lt;&gt;"",L58=""),"送付者 ","")&amp;IF(AND(K58&lt;&gt;"",N(K58)&gt;設定!$C$5),"送付日が未来の日付 ","")&amp;IF(AND(K58&lt;&gt;"",N(M58)&gt;0,N(P58)&lt;=0,U58=""),"消込確認者 ","")))</f>
        <v/>
      </c>
      <c r="U58" s="26"/>
      <c r="V58" s="26"/>
    </row>
    <row r="59" customFormat="false" ht="15" hidden="false" customHeight="false" outlineLevel="0" collapsed="false">
      <c r="A59" s="21" t="str">
        <f aca="false">IF(COUNTA(B59,C59,E59,F59)=0,"",設定!$C$4&amp;TEXT(ROW()-4,"00000"))</f>
        <v/>
      </c>
      <c r="B59" s="22"/>
      <c r="C59" s="23"/>
      <c r="D59" s="21" t="str">
        <f aca="false">IF(C59="","",IFERROR(INDEX(取引先マスタ!$B$5:$B$204,MATCH(C59,取引先マスタ!$A$5:$A$204,0)),"コード誤り"))</f>
        <v/>
      </c>
      <c r="E59" s="26"/>
      <c r="F59" s="18"/>
      <c r="G59" s="25" t="str">
        <f aca="false">IF(OR(B59="",C59="",D59="コード誤り"),"",IFERROR(IF(OR(INDEX(取引先マスタ!$E$5:$E$204,MATCH(C59,取引先マスタ!$A$5:$A$204,0))="",INDEX(取引先マスタ!$F$5:$F$204,MATCH(C59,取引先マスタ!$A$5:$A$204,0))=""),"",DATE(YEAR(B59),MONTH(B59)+INDEX(取引先マスタ!$E$5:$E$204,MATCH(C59,取引先マスタ!$A$5:$A$204,0)),MIN(INDEX(取引先マスタ!$F$5:$F$204,MATCH(C59,取引先マスタ!$A$5:$A$204,0)),DAY(EOMONTH(B59,INDEX(取引先マスタ!$E$5:$E$204,MATCH(C59,取引先マスタ!$A$5:$A$204,0))))))),""))</f>
        <v/>
      </c>
      <c r="H59" s="22"/>
      <c r="I59" s="25" t="str">
        <f aca="false">IF(H59&lt;&gt;"",H59,G59)</f>
        <v/>
      </c>
      <c r="J59" s="26"/>
      <c r="K59" s="22"/>
      <c r="L59" s="26"/>
      <c r="M59" s="27" t="str">
        <f aca="false">IF(A59="","",SUMIF(入金明細!$F$5:$F$1004,A59,入金明細!$E$5:$E$1004))</f>
        <v/>
      </c>
      <c r="N59" s="25" t="str">
        <f aca="false">IF(OR(A59="",N(M59)=0),"",SUMPRODUCT(MAX((入金明細!$F$5:$F$1004=A59)*入金明細!$B$5:$B$1004)))</f>
        <v/>
      </c>
      <c r="O59" s="18"/>
      <c r="P59" s="27" t="str">
        <f aca="false">IF(OR(A59="",F59=""),"",F59-N(M59)-N(O59))</f>
        <v/>
      </c>
      <c r="Q59" s="26"/>
      <c r="R59" s="28" t="str">
        <f aca="false">IF(A59="","",IF(Q59="取消","取消",IF(T59&lt;&gt;"","要入力",IF(K59="","未送付",IF(P59=0,"入金済",IF(P59&lt;0,"過入金",IF(設定!$C$5&gt;I59,IF(N(M59)&gt;0,"一部入金・超過","期日超過"),IF(N(M59)&gt;0,"一部入金",IF(I59-設定!$C$5&lt;=設定!$C$6,"期日間近","入金待ち")))))))))</f>
        <v/>
      </c>
      <c r="S59" s="29" t="str">
        <f aca="false">IF(OR(R59="期日超過",R59="一部入金・超過"),設定!$C$5-I59,"")</f>
        <v/>
      </c>
      <c r="T59" s="21" t="str">
        <f aca="false">IF(A59="","",TRIM(IF(B59="","請求日 ","")&amp;IF(C59="","取引先 ",IF(D59="コード誤り","取引先コード誤り ",""))&amp;IF(E59="","件名 ","")&amp;IF(F59="","請求額 ","")&amp;IF(AND(F59&lt;&gt;"",I59=""),"入金期日(マスタの支払条件が未登録) ","")&amp;IF(J59="","送付方法 ","")&amp;IF(AND(K59&lt;&gt;"",L59=""),"送付者 ","")&amp;IF(AND(K59&lt;&gt;"",N(K59)&gt;設定!$C$5),"送付日が未来の日付 ","")&amp;IF(AND(K59&lt;&gt;"",N(M59)&gt;0,N(P59)&lt;=0,U59=""),"消込確認者 ","")))</f>
        <v/>
      </c>
      <c r="U59" s="26"/>
      <c r="V59" s="26"/>
    </row>
    <row r="60" customFormat="false" ht="15" hidden="false" customHeight="false" outlineLevel="0" collapsed="false">
      <c r="A60" s="21" t="str">
        <f aca="false">IF(COUNTA(B60,C60,E60,F60)=0,"",設定!$C$4&amp;TEXT(ROW()-4,"00000"))</f>
        <v/>
      </c>
      <c r="B60" s="22"/>
      <c r="C60" s="23"/>
      <c r="D60" s="21" t="str">
        <f aca="false">IF(C60="","",IFERROR(INDEX(取引先マスタ!$B$5:$B$204,MATCH(C60,取引先マスタ!$A$5:$A$204,0)),"コード誤り"))</f>
        <v/>
      </c>
      <c r="E60" s="26"/>
      <c r="F60" s="18"/>
      <c r="G60" s="25" t="str">
        <f aca="false">IF(OR(B60="",C60="",D60="コード誤り"),"",IFERROR(IF(OR(INDEX(取引先マスタ!$E$5:$E$204,MATCH(C60,取引先マスタ!$A$5:$A$204,0))="",INDEX(取引先マスタ!$F$5:$F$204,MATCH(C60,取引先マスタ!$A$5:$A$204,0))=""),"",DATE(YEAR(B60),MONTH(B60)+INDEX(取引先マスタ!$E$5:$E$204,MATCH(C60,取引先マスタ!$A$5:$A$204,0)),MIN(INDEX(取引先マスタ!$F$5:$F$204,MATCH(C60,取引先マスタ!$A$5:$A$204,0)),DAY(EOMONTH(B60,INDEX(取引先マスタ!$E$5:$E$204,MATCH(C60,取引先マスタ!$A$5:$A$204,0))))))),""))</f>
        <v/>
      </c>
      <c r="H60" s="22"/>
      <c r="I60" s="25" t="str">
        <f aca="false">IF(H60&lt;&gt;"",H60,G60)</f>
        <v/>
      </c>
      <c r="J60" s="26"/>
      <c r="K60" s="22"/>
      <c r="L60" s="26"/>
      <c r="M60" s="27" t="str">
        <f aca="false">IF(A60="","",SUMIF(入金明細!$F$5:$F$1004,A60,入金明細!$E$5:$E$1004))</f>
        <v/>
      </c>
      <c r="N60" s="25" t="str">
        <f aca="false">IF(OR(A60="",N(M60)=0),"",SUMPRODUCT(MAX((入金明細!$F$5:$F$1004=A60)*入金明細!$B$5:$B$1004)))</f>
        <v/>
      </c>
      <c r="O60" s="18"/>
      <c r="P60" s="27" t="str">
        <f aca="false">IF(OR(A60="",F60=""),"",F60-N(M60)-N(O60))</f>
        <v/>
      </c>
      <c r="Q60" s="26"/>
      <c r="R60" s="28" t="str">
        <f aca="false">IF(A60="","",IF(Q60="取消","取消",IF(T60&lt;&gt;"","要入力",IF(K60="","未送付",IF(P60=0,"入金済",IF(P60&lt;0,"過入金",IF(設定!$C$5&gt;I60,IF(N(M60)&gt;0,"一部入金・超過","期日超過"),IF(N(M60)&gt;0,"一部入金",IF(I60-設定!$C$5&lt;=設定!$C$6,"期日間近","入金待ち")))))))))</f>
        <v/>
      </c>
      <c r="S60" s="29" t="str">
        <f aca="false">IF(OR(R60="期日超過",R60="一部入金・超過"),設定!$C$5-I60,"")</f>
        <v/>
      </c>
      <c r="T60" s="21" t="str">
        <f aca="false">IF(A60="","",TRIM(IF(B60="","請求日 ","")&amp;IF(C60="","取引先 ",IF(D60="コード誤り","取引先コード誤り ",""))&amp;IF(E60="","件名 ","")&amp;IF(F60="","請求額 ","")&amp;IF(AND(F60&lt;&gt;"",I60=""),"入金期日(マスタの支払条件が未登録) ","")&amp;IF(J60="","送付方法 ","")&amp;IF(AND(K60&lt;&gt;"",L60=""),"送付者 ","")&amp;IF(AND(K60&lt;&gt;"",N(K60)&gt;設定!$C$5),"送付日が未来の日付 ","")&amp;IF(AND(K60&lt;&gt;"",N(M60)&gt;0,N(P60)&lt;=0,U60=""),"消込確認者 ","")))</f>
        <v/>
      </c>
      <c r="U60" s="26"/>
      <c r="V60" s="26"/>
    </row>
    <row r="61" customFormat="false" ht="15" hidden="false" customHeight="false" outlineLevel="0" collapsed="false">
      <c r="A61" s="21" t="str">
        <f aca="false">IF(COUNTA(B61,C61,E61,F61)=0,"",設定!$C$4&amp;TEXT(ROW()-4,"00000"))</f>
        <v/>
      </c>
      <c r="B61" s="22"/>
      <c r="C61" s="23"/>
      <c r="D61" s="21" t="str">
        <f aca="false">IF(C61="","",IFERROR(INDEX(取引先マスタ!$B$5:$B$204,MATCH(C61,取引先マスタ!$A$5:$A$204,0)),"コード誤り"))</f>
        <v/>
      </c>
      <c r="E61" s="26"/>
      <c r="F61" s="18"/>
      <c r="G61" s="25" t="str">
        <f aca="false">IF(OR(B61="",C61="",D61="コード誤り"),"",IFERROR(IF(OR(INDEX(取引先マスタ!$E$5:$E$204,MATCH(C61,取引先マスタ!$A$5:$A$204,0))="",INDEX(取引先マスタ!$F$5:$F$204,MATCH(C61,取引先マスタ!$A$5:$A$204,0))=""),"",DATE(YEAR(B61),MONTH(B61)+INDEX(取引先マスタ!$E$5:$E$204,MATCH(C61,取引先マスタ!$A$5:$A$204,0)),MIN(INDEX(取引先マスタ!$F$5:$F$204,MATCH(C61,取引先マスタ!$A$5:$A$204,0)),DAY(EOMONTH(B61,INDEX(取引先マスタ!$E$5:$E$204,MATCH(C61,取引先マスタ!$A$5:$A$204,0))))))),""))</f>
        <v/>
      </c>
      <c r="H61" s="22"/>
      <c r="I61" s="25" t="str">
        <f aca="false">IF(H61&lt;&gt;"",H61,G61)</f>
        <v/>
      </c>
      <c r="J61" s="26"/>
      <c r="K61" s="22"/>
      <c r="L61" s="26"/>
      <c r="M61" s="27" t="str">
        <f aca="false">IF(A61="","",SUMIF(入金明細!$F$5:$F$1004,A61,入金明細!$E$5:$E$1004))</f>
        <v/>
      </c>
      <c r="N61" s="25" t="str">
        <f aca="false">IF(OR(A61="",N(M61)=0),"",SUMPRODUCT(MAX((入金明細!$F$5:$F$1004=A61)*入金明細!$B$5:$B$1004)))</f>
        <v/>
      </c>
      <c r="O61" s="18"/>
      <c r="P61" s="27" t="str">
        <f aca="false">IF(OR(A61="",F61=""),"",F61-N(M61)-N(O61))</f>
        <v/>
      </c>
      <c r="Q61" s="26"/>
      <c r="R61" s="28" t="str">
        <f aca="false">IF(A61="","",IF(Q61="取消","取消",IF(T61&lt;&gt;"","要入力",IF(K61="","未送付",IF(P61=0,"入金済",IF(P61&lt;0,"過入金",IF(設定!$C$5&gt;I61,IF(N(M61)&gt;0,"一部入金・超過","期日超過"),IF(N(M61)&gt;0,"一部入金",IF(I61-設定!$C$5&lt;=設定!$C$6,"期日間近","入金待ち")))))))))</f>
        <v/>
      </c>
      <c r="S61" s="29" t="str">
        <f aca="false">IF(OR(R61="期日超過",R61="一部入金・超過"),設定!$C$5-I61,"")</f>
        <v/>
      </c>
      <c r="T61" s="21" t="str">
        <f aca="false">IF(A61="","",TRIM(IF(B61="","請求日 ","")&amp;IF(C61="","取引先 ",IF(D61="コード誤り","取引先コード誤り ",""))&amp;IF(E61="","件名 ","")&amp;IF(F61="","請求額 ","")&amp;IF(AND(F61&lt;&gt;"",I61=""),"入金期日(マスタの支払条件が未登録) ","")&amp;IF(J61="","送付方法 ","")&amp;IF(AND(K61&lt;&gt;"",L61=""),"送付者 ","")&amp;IF(AND(K61&lt;&gt;"",N(K61)&gt;設定!$C$5),"送付日が未来の日付 ","")&amp;IF(AND(K61&lt;&gt;"",N(M61)&gt;0,N(P61)&lt;=0,U61=""),"消込確認者 ","")))</f>
        <v/>
      </c>
      <c r="U61" s="26"/>
      <c r="V61" s="26"/>
    </row>
    <row r="62" customFormat="false" ht="15" hidden="false" customHeight="false" outlineLevel="0" collapsed="false">
      <c r="A62" s="21" t="str">
        <f aca="false">IF(COUNTA(B62,C62,E62,F62)=0,"",設定!$C$4&amp;TEXT(ROW()-4,"00000"))</f>
        <v/>
      </c>
      <c r="B62" s="22"/>
      <c r="C62" s="23"/>
      <c r="D62" s="21" t="str">
        <f aca="false">IF(C62="","",IFERROR(INDEX(取引先マスタ!$B$5:$B$204,MATCH(C62,取引先マスタ!$A$5:$A$204,0)),"コード誤り"))</f>
        <v/>
      </c>
      <c r="E62" s="26"/>
      <c r="F62" s="18"/>
      <c r="G62" s="25" t="str">
        <f aca="false">IF(OR(B62="",C62="",D62="コード誤り"),"",IFERROR(IF(OR(INDEX(取引先マスタ!$E$5:$E$204,MATCH(C62,取引先マスタ!$A$5:$A$204,0))="",INDEX(取引先マスタ!$F$5:$F$204,MATCH(C62,取引先マスタ!$A$5:$A$204,0))=""),"",DATE(YEAR(B62),MONTH(B62)+INDEX(取引先マスタ!$E$5:$E$204,MATCH(C62,取引先マスタ!$A$5:$A$204,0)),MIN(INDEX(取引先マスタ!$F$5:$F$204,MATCH(C62,取引先マスタ!$A$5:$A$204,0)),DAY(EOMONTH(B62,INDEX(取引先マスタ!$E$5:$E$204,MATCH(C62,取引先マスタ!$A$5:$A$204,0))))))),""))</f>
        <v/>
      </c>
      <c r="H62" s="22"/>
      <c r="I62" s="25" t="str">
        <f aca="false">IF(H62&lt;&gt;"",H62,G62)</f>
        <v/>
      </c>
      <c r="J62" s="26"/>
      <c r="K62" s="22"/>
      <c r="L62" s="26"/>
      <c r="M62" s="27" t="str">
        <f aca="false">IF(A62="","",SUMIF(入金明細!$F$5:$F$1004,A62,入金明細!$E$5:$E$1004))</f>
        <v/>
      </c>
      <c r="N62" s="25" t="str">
        <f aca="false">IF(OR(A62="",N(M62)=0),"",SUMPRODUCT(MAX((入金明細!$F$5:$F$1004=A62)*入金明細!$B$5:$B$1004)))</f>
        <v/>
      </c>
      <c r="O62" s="18"/>
      <c r="P62" s="27" t="str">
        <f aca="false">IF(OR(A62="",F62=""),"",F62-N(M62)-N(O62))</f>
        <v/>
      </c>
      <c r="Q62" s="26"/>
      <c r="R62" s="28" t="str">
        <f aca="false">IF(A62="","",IF(Q62="取消","取消",IF(T62&lt;&gt;"","要入力",IF(K62="","未送付",IF(P62=0,"入金済",IF(P62&lt;0,"過入金",IF(設定!$C$5&gt;I62,IF(N(M62)&gt;0,"一部入金・超過","期日超過"),IF(N(M62)&gt;0,"一部入金",IF(I62-設定!$C$5&lt;=設定!$C$6,"期日間近","入金待ち")))))))))</f>
        <v/>
      </c>
      <c r="S62" s="29" t="str">
        <f aca="false">IF(OR(R62="期日超過",R62="一部入金・超過"),設定!$C$5-I62,"")</f>
        <v/>
      </c>
      <c r="T62" s="21" t="str">
        <f aca="false">IF(A62="","",TRIM(IF(B62="","請求日 ","")&amp;IF(C62="","取引先 ",IF(D62="コード誤り","取引先コード誤り ",""))&amp;IF(E62="","件名 ","")&amp;IF(F62="","請求額 ","")&amp;IF(AND(F62&lt;&gt;"",I62=""),"入金期日(マスタの支払条件が未登録) ","")&amp;IF(J62="","送付方法 ","")&amp;IF(AND(K62&lt;&gt;"",L62=""),"送付者 ","")&amp;IF(AND(K62&lt;&gt;"",N(K62)&gt;設定!$C$5),"送付日が未来の日付 ","")&amp;IF(AND(K62&lt;&gt;"",N(M62)&gt;0,N(P62)&lt;=0,U62=""),"消込確認者 ","")))</f>
        <v/>
      </c>
      <c r="U62" s="26"/>
      <c r="V62" s="26"/>
    </row>
    <row r="63" customFormat="false" ht="15" hidden="false" customHeight="false" outlineLevel="0" collapsed="false">
      <c r="A63" s="21" t="str">
        <f aca="false">IF(COUNTA(B63,C63,E63,F63)=0,"",設定!$C$4&amp;TEXT(ROW()-4,"00000"))</f>
        <v/>
      </c>
      <c r="B63" s="22"/>
      <c r="C63" s="23"/>
      <c r="D63" s="21" t="str">
        <f aca="false">IF(C63="","",IFERROR(INDEX(取引先マスタ!$B$5:$B$204,MATCH(C63,取引先マスタ!$A$5:$A$204,0)),"コード誤り"))</f>
        <v/>
      </c>
      <c r="E63" s="26"/>
      <c r="F63" s="18"/>
      <c r="G63" s="25" t="str">
        <f aca="false">IF(OR(B63="",C63="",D63="コード誤り"),"",IFERROR(IF(OR(INDEX(取引先マスタ!$E$5:$E$204,MATCH(C63,取引先マスタ!$A$5:$A$204,0))="",INDEX(取引先マスタ!$F$5:$F$204,MATCH(C63,取引先マスタ!$A$5:$A$204,0))=""),"",DATE(YEAR(B63),MONTH(B63)+INDEX(取引先マスタ!$E$5:$E$204,MATCH(C63,取引先マスタ!$A$5:$A$204,0)),MIN(INDEX(取引先マスタ!$F$5:$F$204,MATCH(C63,取引先マスタ!$A$5:$A$204,0)),DAY(EOMONTH(B63,INDEX(取引先マスタ!$E$5:$E$204,MATCH(C63,取引先マスタ!$A$5:$A$204,0))))))),""))</f>
        <v/>
      </c>
      <c r="H63" s="22"/>
      <c r="I63" s="25" t="str">
        <f aca="false">IF(H63&lt;&gt;"",H63,G63)</f>
        <v/>
      </c>
      <c r="J63" s="26"/>
      <c r="K63" s="22"/>
      <c r="L63" s="26"/>
      <c r="M63" s="27" t="str">
        <f aca="false">IF(A63="","",SUMIF(入金明細!$F$5:$F$1004,A63,入金明細!$E$5:$E$1004))</f>
        <v/>
      </c>
      <c r="N63" s="25" t="str">
        <f aca="false">IF(OR(A63="",N(M63)=0),"",SUMPRODUCT(MAX((入金明細!$F$5:$F$1004=A63)*入金明細!$B$5:$B$1004)))</f>
        <v/>
      </c>
      <c r="O63" s="18"/>
      <c r="P63" s="27" t="str">
        <f aca="false">IF(OR(A63="",F63=""),"",F63-N(M63)-N(O63))</f>
        <v/>
      </c>
      <c r="Q63" s="26"/>
      <c r="R63" s="28" t="str">
        <f aca="false">IF(A63="","",IF(Q63="取消","取消",IF(T63&lt;&gt;"","要入力",IF(K63="","未送付",IF(P63=0,"入金済",IF(P63&lt;0,"過入金",IF(設定!$C$5&gt;I63,IF(N(M63)&gt;0,"一部入金・超過","期日超過"),IF(N(M63)&gt;0,"一部入金",IF(I63-設定!$C$5&lt;=設定!$C$6,"期日間近","入金待ち")))))))))</f>
        <v/>
      </c>
      <c r="S63" s="29" t="str">
        <f aca="false">IF(OR(R63="期日超過",R63="一部入金・超過"),設定!$C$5-I63,"")</f>
        <v/>
      </c>
      <c r="T63" s="21" t="str">
        <f aca="false">IF(A63="","",TRIM(IF(B63="","請求日 ","")&amp;IF(C63="","取引先 ",IF(D63="コード誤り","取引先コード誤り ",""))&amp;IF(E63="","件名 ","")&amp;IF(F63="","請求額 ","")&amp;IF(AND(F63&lt;&gt;"",I63=""),"入金期日(マスタの支払条件が未登録) ","")&amp;IF(J63="","送付方法 ","")&amp;IF(AND(K63&lt;&gt;"",L63=""),"送付者 ","")&amp;IF(AND(K63&lt;&gt;"",N(K63)&gt;設定!$C$5),"送付日が未来の日付 ","")&amp;IF(AND(K63&lt;&gt;"",N(M63)&gt;0,N(P63)&lt;=0,U63=""),"消込確認者 ","")))</f>
        <v/>
      </c>
      <c r="U63" s="26"/>
      <c r="V63" s="26"/>
    </row>
    <row r="64" customFormat="false" ht="15" hidden="false" customHeight="false" outlineLevel="0" collapsed="false">
      <c r="A64" s="21" t="str">
        <f aca="false">IF(COUNTA(B64,C64,E64,F64)=0,"",設定!$C$4&amp;TEXT(ROW()-4,"00000"))</f>
        <v/>
      </c>
      <c r="B64" s="22"/>
      <c r="C64" s="23"/>
      <c r="D64" s="21" t="str">
        <f aca="false">IF(C64="","",IFERROR(INDEX(取引先マスタ!$B$5:$B$204,MATCH(C64,取引先マスタ!$A$5:$A$204,0)),"コード誤り"))</f>
        <v/>
      </c>
      <c r="E64" s="26"/>
      <c r="F64" s="18"/>
      <c r="G64" s="25" t="str">
        <f aca="false">IF(OR(B64="",C64="",D64="コード誤り"),"",IFERROR(IF(OR(INDEX(取引先マスタ!$E$5:$E$204,MATCH(C64,取引先マスタ!$A$5:$A$204,0))="",INDEX(取引先マスタ!$F$5:$F$204,MATCH(C64,取引先マスタ!$A$5:$A$204,0))=""),"",DATE(YEAR(B64),MONTH(B64)+INDEX(取引先マスタ!$E$5:$E$204,MATCH(C64,取引先マスタ!$A$5:$A$204,0)),MIN(INDEX(取引先マスタ!$F$5:$F$204,MATCH(C64,取引先マスタ!$A$5:$A$204,0)),DAY(EOMONTH(B64,INDEX(取引先マスタ!$E$5:$E$204,MATCH(C64,取引先マスタ!$A$5:$A$204,0))))))),""))</f>
        <v/>
      </c>
      <c r="H64" s="22"/>
      <c r="I64" s="25" t="str">
        <f aca="false">IF(H64&lt;&gt;"",H64,G64)</f>
        <v/>
      </c>
      <c r="J64" s="26"/>
      <c r="K64" s="22"/>
      <c r="L64" s="26"/>
      <c r="M64" s="27" t="str">
        <f aca="false">IF(A64="","",SUMIF(入金明細!$F$5:$F$1004,A64,入金明細!$E$5:$E$1004))</f>
        <v/>
      </c>
      <c r="N64" s="25" t="str">
        <f aca="false">IF(OR(A64="",N(M64)=0),"",SUMPRODUCT(MAX((入金明細!$F$5:$F$1004=A64)*入金明細!$B$5:$B$1004)))</f>
        <v/>
      </c>
      <c r="O64" s="18"/>
      <c r="P64" s="27" t="str">
        <f aca="false">IF(OR(A64="",F64=""),"",F64-N(M64)-N(O64))</f>
        <v/>
      </c>
      <c r="Q64" s="26"/>
      <c r="R64" s="28" t="str">
        <f aca="false">IF(A64="","",IF(Q64="取消","取消",IF(T64&lt;&gt;"","要入力",IF(K64="","未送付",IF(P64=0,"入金済",IF(P64&lt;0,"過入金",IF(設定!$C$5&gt;I64,IF(N(M64)&gt;0,"一部入金・超過","期日超過"),IF(N(M64)&gt;0,"一部入金",IF(I64-設定!$C$5&lt;=設定!$C$6,"期日間近","入金待ち")))))))))</f>
        <v/>
      </c>
      <c r="S64" s="29" t="str">
        <f aca="false">IF(OR(R64="期日超過",R64="一部入金・超過"),設定!$C$5-I64,"")</f>
        <v/>
      </c>
      <c r="T64" s="21" t="str">
        <f aca="false">IF(A64="","",TRIM(IF(B64="","請求日 ","")&amp;IF(C64="","取引先 ",IF(D64="コード誤り","取引先コード誤り ",""))&amp;IF(E64="","件名 ","")&amp;IF(F64="","請求額 ","")&amp;IF(AND(F64&lt;&gt;"",I64=""),"入金期日(マスタの支払条件が未登録) ","")&amp;IF(J64="","送付方法 ","")&amp;IF(AND(K64&lt;&gt;"",L64=""),"送付者 ","")&amp;IF(AND(K64&lt;&gt;"",N(K64)&gt;設定!$C$5),"送付日が未来の日付 ","")&amp;IF(AND(K64&lt;&gt;"",N(M64)&gt;0,N(P64)&lt;=0,U64=""),"消込確認者 ","")))</f>
        <v/>
      </c>
      <c r="U64" s="26"/>
      <c r="V64" s="26"/>
    </row>
    <row r="65" customFormat="false" ht="15" hidden="false" customHeight="false" outlineLevel="0" collapsed="false">
      <c r="A65" s="21" t="str">
        <f aca="false">IF(COUNTA(B65,C65,E65,F65)=0,"",設定!$C$4&amp;TEXT(ROW()-4,"00000"))</f>
        <v/>
      </c>
      <c r="B65" s="22"/>
      <c r="C65" s="23"/>
      <c r="D65" s="21" t="str">
        <f aca="false">IF(C65="","",IFERROR(INDEX(取引先マスタ!$B$5:$B$204,MATCH(C65,取引先マスタ!$A$5:$A$204,0)),"コード誤り"))</f>
        <v/>
      </c>
      <c r="E65" s="26"/>
      <c r="F65" s="18"/>
      <c r="G65" s="25" t="str">
        <f aca="false">IF(OR(B65="",C65="",D65="コード誤り"),"",IFERROR(IF(OR(INDEX(取引先マスタ!$E$5:$E$204,MATCH(C65,取引先マスタ!$A$5:$A$204,0))="",INDEX(取引先マスタ!$F$5:$F$204,MATCH(C65,取引先マスタ!$A$5:$A$204,0))=""),"",DATE(YEAR(B65),MONTH(B65)+INDEX(取引先マスタ!$E$5:$E$204,MATCH(C65,取引先マスタ!$A$5:$A$204,0)),MIN(INDEX(取引先マスタ!$F$5:$F$204,MATCH(C65,取引先マスタ!$A$5:$A$204,0)),DAY(EOMONTH(B65,INDEX(取引先マスタ!$E$5:$E$204,MATCH(C65,取引先マスタ!$A$5:$A$204,0))))))),""))</f>
        <v/>
      </c>
      <c r="H65" s="22"/>
      <c r="I65" s="25" t="str">
        <f aca="false">IF(H65&lt;&gt;"",H65,G65)</f>
        <v/>
      </c>
      <c r="J65" s="26"/>
      <c r="K65" s="22"/>
      <c r="L65" s="26"/>
      <c r="M65" s="27" t="str">
        <f aca="false">IF(A65="","",SUMIF(入金明細!$F$5:$F$1004,A65,入金明細!$E$5:$E$1004))</f>
        <v/>
      </c>
      <c r="N65" s="25" t="str">
        <f aca="false">IF(OR(A65="",N(M65)=0),"",SUMPRODUCT(MAX((入金明細!$F$5:$F$1004=A65)*入金明細!$B$5:$B$1004)))</f>
        <v/>
      </c>
      <c r="O65" s="18"/>
      <c r="P65" s="27" t="str">
        <f aca="false">IF(OR(A65="",F65=""),"",F65-N(M65)-N(O65))</f>
        <v/>
      </c>
      <c r="Q65" s="26"/>
      <c r="R65" s="28" t="str">
        <f aca="false">IF(A65="","",IF(Q65="取消","取消",IF(T65&lt;&gt;"","要入力",IF(K65="","未送付",IF(P65=0,"入金済",IF(P65&lt;0,"過入金",IF(設定!$C$5&gt;I65,IF(N(M65)&gt;0,"一部入金・超過","期日超過"),IF(N(M65)&gt;0,"一部入金",IF(I65-設定!$C$5&lt;=設定!$C$6,"期日間近","入金待ち")))))))))</f>
        <v/>
      </c>
      <c r="S65" s="29" t="str">
        <f aca="false">IF(OR(R65="期日超過",R65="一部入金・超過"),設定!$C$5-I65,"")</f>
        <v/>
      </c>
      <c r="T65" s="21" t="str">
        <f aca="false">IF(A65="","",TRIM(IF(B65="","請求日 ","")&amp;IF(C65="","取引先 ",IF(D65="コード誤り","取引先コード誤り ",""))&amp;IF(E65="","件名 ","")&amp;IF(F65="","請求額 ","")&amp;IF(AND(F65&lt;&gt;"",I65=""),"入金期日(マスタの支払条件が未登録) ","")&amp;IF(J65="","送付方法 ","")&amp;IF(AND(K65&lt;&gt;"",L65=""),"送付者 ","")&amp;IF(AND(K65&lt;&gt;"",N(K65)&gt;設定!$C$5),"送付日が未来の日付 ","")&amp;IF(AND(K65&lt;&gt;"",N(M65)&gt;0,N(P65)&lt;=0,U65=""),"消込確認者 ","")))</f>
        <v/>
      </c>
      <c r="U65" s="26"/>
      <c r="V65" s="26"/>
    </row>
    <row r="66" customFormat="false" ht="15" hidden="false" customHeight="false" outlineLevel="0" collapsed="false">
      <c r="A66" s="21" t="str">
        <f aca="false">IF(COUNTA(B66,C66,E66,F66)=0,"",設定!$C$4&amp;TEXT(ROW()-4,"00000"))</f>
        <v/>
      </c>
      <c r="B66" s="22"/>
      <c r="C66" s="23"/>
      <c r="D66" s="21" t="str">
        <f aca="false">IF(C66="","",IFERROR(INDEX(取引先マスタ!$B$5:$B$204,MATCH(C66,取引先マスタ!$A$5:$A$204,0)),"コード誤り"))</f>
        <v/>
      </c>
      <c r="E66" s="26"/>
      <c r="F66" s="18"/>
      <c r="G66" s="25" t="str">
        <f aca="false">IF(OR(B66="",C66="",D66="コード誤り"),"",IFERROR(IF(OR(INDEX(取引先マスタ!$E$5:$E$204,MATCH(C66,取引先マスタ!$A$5:$A$204,0))="",INDEX(取引先マスタ!$F$5:$F$204,MATCH(C66,取引先マスタ!$A$5:$A$204,0))=""),"",DATE(YEAR(B66),MONTH(B66)+INDEX(取引先マスタ!$E$5:$E$204,MATCH(C66,取引先マスタ!$A$5:$A$204,0)),MIN(INDEX(取引先マスタ!$F$5:$F$204,MATCH(C66,取引先マスタ!$A$5:$A$204,0)),DAY(EOMONTH(B66,INDEX(取引先マスタ!$E$5:$E$204,MATCH(C66,取引先マスタ!$A$5:$A$204,0))))))),""))</f>
        <v/>
      </c>
      <c r="H66" s="22"/>
      <c r="I66" s="25" t="str">
        <f aca="false">IF(H66&lt;&gt;"",H66,G66)</f>
        <v/>
      </c>
      <c r="J66" s="26"/>
      <c r="K66" s="22"/>
      <c r="L66" s="26"/>
      <c r="M66" s="27" t="str">
        <f aca="false">IF(A66="","",SUMIF(入金明細!$F$5:$F$1004,A66,入金明細!$E$5:$E$1004))</f>
        <v/>
      </c>
      <c r="N66" s="25" t="str">
        <f aca="false">IF(OR(A66="",N(M66)=0),"",SUMPRODUCT(MAX((入金明細!$F$5:$F$1004=A66)*入金明細!$B$5:$B$1004)))</f>
        <v/>
      </c>
      <c r="O66" s="18"/>
      <c r="P66" s="27" t="str">
        <f aca="false">IF(OR(A66="",F66=""),"",F66-N(M66)-N(O66))</f>
        <v/>
      </c>
      <c r="Q66" s="26"/>
      <c r="R66" s="28" t="str">
        <f aca="false">IF(A66="","",IF(Q66="取消","取消",IF(T66&lt;&gt;"","要入力",IF(K66="","未送付",IF(P66=0,"入金済",IF(P66&lt;0,"過入金",IF(設定!$C$5&gt;I66,IF(N(M66)&gt;0,"一部入金・超過","期日超過"),IF(N(M66)&gt;0,"一部入金",IF(I66-設定!$C$5&lt;=設定!$C$6,"期日間近","入金待ち")))))))))</f>
        <v/>
      </c>
      <c r="S66" s="29" t="str">
        <f aca="false">IF(OR(R66="期日超過",R66="一部入金・超過"),設定!$C$5-I66,"")</f>
        <v/>
      </c>
      <c r="T66" s="21" t="str">
        <f aca="false">IF(A66="","",TRIM(IF(B66="","請求日 ","")&amp;IF(C66="","取引先 ",IF(D66="コード誤り","取引先コード誤り ",""))&amp;IF(E66="","件名 ","")&amp;IF(F66="","請求額 ","")&amp;IF(AND(F66&lt;&gt;"",I66=""),"入金期日(マスタの支払条件が未登録) ","")&amp;IF(J66="","送付方法 ","")&amp;IF(AND(K66&lt;&gt;"",L66=""),"送付者 ","")&amp;IF(AND(K66&lt;&gt;"",N(K66)&gt;設定!$C$5),"送付日が未来の日付 ","")&amp;IF(AND(K66&lt;&gt;"",N(M66)&gt;0,N(P66)&lt;=0,U66=""),"消込確認者 ","")))</f>
        <v/>
      </c>
      <c r="U66" s="26"/>
      <c r="V66" s="26"/>
    </row>
    <row r="67" customFormat="false" ht="15" hidden="false" customHeight="false" outlineLevel="0" collapsed="false">
      <c r="A67" s="21" t="str">
        <f aca="false">IF(COUNTA(B67,C67,E67,F67)=0,"",設定!$C$4&amp;TEXT(ROW()-4,"00000"))</f>
        <v/>
      </c>
      <c r="B67" s="22"/>
      <c r="C67" s="23"/>
      <c r="D67" s="21" t="str">
        <f aca="false">IF(C67="","",IFERROR(INDEX(取引先マスタ!$B$5:$B$204,MATCH(C67,取引先マスタ!$A$5:$A$204,0)),"コード誤り"))</f>
        <v/>
      </c>
      <c r="E67" s="26"/>
      <c r="F67" s="18"/>
      <c r="G67" s="25" t="str">
        <f aca="false">IF(OR(B67="",C67="",D67="コード誤り"),"",IFERROR(IF(OR(INDEX(取引先マスタ!$E$5:$E$204,MATCH(C67,取引先マスタ!$A$5:$A$204,0))="",INDEX(取引先マスタ!$F$5:$F$204,MATCH(C67,取引先マスタ!$A$5:$A$204,0))=""),"",DATE(YEAR(B67),MONTH(B67)+INDEX(取引先マスタ!$E$5:$E$204,MATCH(C67,取引先マスタ!$A$5:$A$204,0)),MIN(INDEX(取引先マスタ!$F$5:$F$204,MATCH(C67,取引先マスタ!$A$5:$A$204,0)),DAY(EOMONTH(B67,INDEX(取引先マスタ!$E$5:$E$204,MATCH(C67,取引先マスタ!$A$5:$A$204,0))))))),""))</f>
        <v/>
      </c>
      <c r="H67" s="22"/>
      <c r="I67" s="25" t="str">
        <f aca="false">IF(H67&lt;&gt;"",H67,G67)</f>
        <v/>
      </c>
      <c r="J67" s="26"/>
      <c r="K67" s="22"/>
      <c r="L67" s="26"/>
      <c r="M67" s="27" t="str">
        <f aca="false">IF(A67="","",SUMIF(入金明細!$F$5:$F$1004,A67,入金明細!$E$5:$E$1004))</f>
        <v/>
      </c>
      <c r="N67" s="25" t="str">
        <f aca="false">IF(OR(A67="",N(M67)=0),"",SUMPRODUCT(MAX((入金明細!$F$5:$F$1004=A67)*入金明細!$B$5:$B$1004)))</f>
        <v/>
      </c>
      <c r="O67" s="18"/>
      <c r="P67" s="27" t="str">
        <f aca="false">IF(OR(A67="",F67=""),"",F67-N(M67)-N(O67))</f>
        <v/>
      </c>
      <c r="Q67" s="26"/>
      <c r="R67" s="28" t="str">
        <f aca="false">IF(A67="","",IF(Q67="取消","取消",IF(T67&lt;&gt;"","要入力",IF(K67="","未送付",IF(P67=0,"入金済",IF(P67&lt;0,"過入金",IF(設定!$C$5&gt;I67,IF(N(M67)&gt;0,"一部入金・超過","期日超過"),IF(N(M67)&gt;0,"一部入金",IF(I67-設定!$C$5&lt;=設定!$C$6,"期日間近","入金待ち")))))))))</f>
        <v/>
      </c>
      <c r="S67" s="29" t="str">
        <f aca="false">IF(OR(R67="期日超過",R67="一部入金・超過"),設定!$C$5-I67,"")</f>
        <v/>
      </c>
      <c r="T67" s="21" t="str">
        <f aca="false">IF(A67="","",TRIM(IF(B67="","請求日 ","")&amp;IF(C67="","取引先 ",IF(D67="コード誤り","取引先コード誤り ",""))&amp;IF(E67="","件名 ","")&amp;IF(F67="","請求額 ","")&amp;IF(AND(F67&lt;&gt;"",I67=""),"入金期日(マスタの支払条件が未登録) ","")&amp;IF(J67="","送付方法 ","")&amp;IF(AND(K67&lt;&gt;"",L67=""),"送付者 ","")&amp;IF(AND(K67&lt;&gt;"",N(K67)&gt;設定!$C$5),"送付日が未来の日付 ","")&amp;IF(AND(K67&lt;&gt;"",N(M67)&gt;0,N(P67)&lt;=0,U67=""),"消込確認者 ","")))</f>
        <v/>
      </c>
      <c r="U67" s="26"/>
      <c r="V67" s="26"/>
    </row>
    <row r="68" customFormat="false" ht="15" hidden="false" customHeight="false" outlineLevel="0" collapsed="false">
      <c r="A68" s="21" t="str">
        <f aca="false">IF(COUNTA(B68,C68,E68,F68)=0,"",設定!$C$4&amp;TEXT(ROW()-4,"00000"))</f>
        <v/>
      </c>
      <c r="B68" s="22"/>
      <c r="C68" s="23"/>
      <c r="D68" s="21" t="str">
        <f aca="false">IF(C68="","",IFERROR(INDEX(取引先マスタ!$B$5:$B$204,MATCH(C68,取引先マスタ!$A$5:$A$204,0)),"コード誤り"))</f>
        <v/>
      </c>
      <c r="E68" s="26"/>
      <c r="F68" s="18"/>
      <c r="G68" s="25" t="str">
        <f aca="false">IF(OR(B68="",C68="",D68="コード誤り"),"",IFERROR(IF(OR(INDEX(取引先マスタ!$E$5:$E$204,MATCH(C68,取引先マスタ!$A$5:$A$204,0))="",INDEX(取引先マスタ!$F$5:$F$204,MATCH(C68,取引先マスタ!$A$5:$A$204,0))=""),"",DATE(YEAR(B68),MONTH(B68)+INDEX(取引先マスタ!$E$5:$E$204,MATCH(C68,取引先マスタ!$A$5:$A$204,0)),MIN(INDEX(取引先マスタ!$F$5:$F$204,MATCH(C68,取引先マスタ!$A$5:$A$204,0)),DAY(EOMONTH(B68,INDEX(取引先マスタ!$E$5:$E$204,MATCH(C68,取引先マスタ!$A$5:$A$204,0))))))),""))</f>
        <v/>
      </c>
      <c r="H68" s="22"/>
      <c r="I68" s="25" t="str">
        <f aca="false">IF(H68&lt;&gt;"",H68,G68)</f>
        <v/>
      </c>
      <c r="J68" s="26"/>
      <c r="K68" s="22"/>
      <c r="L68" s="26"/>
      <c r="M68" s="27" t="str">
        <f aca="false">IF(A68="","",SUMIF(入金明細!$F$5:$F$1004,A68,入金明細!$E$5:$E$1004))</f>
        <v/>
      </c>
      <c r="N68" s="25" t="str">
        <f aca="false">IF(OR(A68="",N(M68)=0),"",SUMPRODUCT(MAX((入金明細!$F$5:$F$1004=A68)*入金明細!$B$5:$B$1004)))</f>
        <v/>
      </c>
      <c r="O68" s="18"/>
      <c r="P68" s="27" t="str">
        <f aca="false">IF(OR(A68="",F68=""),"",F68-N(M68)-N(O68))</f>
        <v/>
      </c>
      <c r="Q68" s="26"/>
      <c r="R68" s="28" t="str">
        <f aca="false">IF(A68="","",IF(Q68="取消","取消",IF(T68&lt;&gt;"","要入力",IF(K68="","未送付",IF(P68=0,"入金済",IF(P68&lt;0,"過入金",IF(設定!$C$5&gt;I68,IF(N(M68)&gt;0,"一部入金・超過","期日超過"),IF(N(M68)&gt;0,"一部入金",IF(I68-設定!$C$5&lt;=設定!$C$6,"期日間近","入金待ち")))))))))</f>
        <v/>
      </c>
      <c r="S68" s="29" t="str">
        <f aca="false">IF(OR(R68="期日超過",R68="一部入金・超過"),設定!$C$5-I68,"")</f>
        <v/>
      </c>
      <c r="T68" s="21" t="str">
        <f aca="false">IF(A68="","",TRIM(IF(B68="","請求日 ","")&amp;IF(C68="","取引先 ",IF(D68="コード誤り","取引先コード誤り ",""))&amp;IF(E68="","件名 ","")&amp;IF(F68="","請求額 ","")&amp;IF(AND(F68&lt;&gt;"",I68=""),"入金期日(マスタの支払条件が未登録) ","")&amp;IF(J68="","送付方法 ","")&amp;IF(AND(K68&lt;&gt;"",L68=""),"送付者 ","")&amp;IF(AND(K68&lt;&gt;"",N(K68)&gt;設定!$C$5),"送付日が未来の日付 ","")&amp;IF(AND(K68&lt;&gt;"",N(M68)&gt;0,N(P68)&lt;=0,U68=""),"消込確認者 ","")))</f>
        <v/>
      </c>
      <c r="U68" s="26"/>
      <c r="V68" s="26"/>
    </row>
    <row r="69" customFormat="false" ht="15" hidden="false" customHeight="false" outlineLevel="0" collapsed="false">
      <c r="A69" s="21" t="str">
        <f aca="false">IF(COUNTA(B69,C69,E69,F69)=0,"",設定!$C$4&amp;TEXT(ROW()-4,"00000"))</f>
        <v/>
      </c>
      <c r="B69" s="22"/>
      <c r="C69" s="23"/>
      <c r="D69" s="21" t="str">
        <f aca="false">IF(C69="","",IFERROR(INDEX(取引先マスタ!$B$5:$B$204,MATCH(C69,取引先マスタ!$A$5:$A$204,0)),"コード誤り"))</f>
        <v/>
      </c>
      <c r="E69" s="26"/>
      <c r="F69" s="18"/>
      <c r="G69" s="25" t="str">
        <f aca="false">IF(OR(B69="",C69="",D69="コード誤り"),"",IFERROR(IF(OR(INDEX(取引先マスタ!$E$5:$E$204,MATCH(C69,取引先マスタ!$A$5:$A$204,0))="",INDEX(取引先マスタ!$F$5:$F$204,MATCH(C69,取引先マスタ!$A$5:$A$204,0))=""),"",DATE(YEAR(B69),MONTH(B69)+INDEX(取引先マスタ!$E$5:$E$204,MATCH(C69,取引先マスタ!$A$5:$A$204,0)),MIN(INDEX(取引先マスタ!$F$5:$F$204,MATCH(C69,取引先マスタ!$A$5:$A$204,0)),DAY(EOMONTH(B69,INDEX(取引先マスタ!$E$5:$E$204,MATCH(C69,取引先マスタ!$A$5:$A$204,0))))))),""))</f>
        <v/>
      </c>
      <c r="H69" s="22"/>
      <c r="I69" s="25" t="str">
        <f aca="false">IF(H69&lt;&gt;"",H69,G69)</f>
        <v/>
      </c>
      <c r="J69" s="26"/>
      <c r="K69" s="22"/>
      <c r="L69" s="26"/>
      <c r="M69" s="27" t="str">
        <f aca="false">IF(A69="","",SUMIF(入金明細!$F$5:$F$1004,A69,入金明細!$E$5:$E$1004))</f>
        <v/>
      </c>
      <c r="N69" s="25" t="str">
        <f aca="false">IF(OR(A69="",N(M69)=0),"",SUMPRODUCT(MAX((入金明細!$F$5:$F$1004=A69)*入金明細!$B$5:$B$1004)))</f>
        <v/>
      </c>
      <c r="O69" s="18"/>
      <c r="P69" s="27" t="str">
        <f aca="false">IF(OR(A69="",F69=""),"",F69-N(M69)-N(O69))</f>
        <v/>
      </c>
      <c r="Q69" s="26"/>
      <c r="R69" s="28" t="str">
        <f aca="false">IF(A69="","",IF(Q69="取消","取消",IF(T69&lt;&gt;"","要入力",IF(K69="","未送付",IF(P69=0,"入金済",IF(P69&lt;0,"過入金",IF(設定!$C$5&gt;I69,IF(N(M69)&gt;0,"一部入金・超過","期日超過"),IF(N(M69)&gt;0,"一部入金",IF(I69-設定!$C$5&lt;=設定!$C$6,"期日間近","入金待ち")))))))))</f>
        <v/>
      </c>
      <c r="S69" s="29" t="str">
        <f aca="false">IF(OR(R69="期日超過",R69="一部入金・超過"),設定!$C$5-I69,"")</f>
        <v/>
      </c>
      <c r="T69" s="21" t="str">
        <f aca="false">IF(A69="","",TRIM(IF(B69="","請求日 ","")&amp;IF(C69="","取引先 ",IF(D69="コード誤り","取引先コード誤り ",""))&amp;IF(E69="","件名 ","")&amp;IF(F69="","請求額 ","")&amp;IF(AND(F69&lt;&gt;"",I69=""),"入金期日(マスタの支払条件が未登録) ","")&amp;IF(J69="","送付方法 ","")&amp;IF(AND(K69&lt;&gt;"",L69=""),"送付者 ","")&amp;IF(AND(K69&lt;&gt;"",N(K69)&gt;設定!$C$5),"送付日が未来の日付 ","")&amp;IF(AND(K69&lt;&gt;"",N(M69)&gt;0,N(P69)&lt;=0,U69=""),"消込確認者 ","")))</f>
        <v/>
      </c>
      <c r="U69" s="26"/>
      <c r="V69" s="26"/>
    </row>
    <row r="70" customFormat="false" ht="15" hidden="false" customHeight="false" outlineLevel="0" collapsed="false">
      <c r="A70" s="21" t="str">
        <f aca="false">IF(COUNTA(B70,C70,E70,F70)=0,"",設定!$C$4&amp;TEXT(ROW()-4,"00000"))</f>
        <v/>
      </c>
      <c r="B70" s="22"/>
      <c r="C70" s="23"/>
      <c r="D70" s="21" t="str">
        <f aca="false">IF(C70="","",IFERROR(INDEX(取引先マスタ!$B$5:$B$204,MATCH(C70,取引先マスタ!$A$5:$A$204,0)),"コード誤り"))</f>
        <v/>
      </c>
      <c r="E70" s="26"/>
      <c r="F70" s="18"/>
      <c r="G70" s="25" t="str">
        <f aca="false">IF(OR(B70="",C70="",D70="コード誤り"),"",IFERROR(IF(OR(INDEX(取引先マスタ!$E$5:$E$204,MATCH(C70,取引先マスタ!$A$5:$A$204,0))="",INDEX(取引先マスタ!$F$5:$F$204,MATCH(C70,取引先マスタ!$A$5:$A$204,0))=""),"",DATE(YEAR(B70),MONTH(B70)+INDEX(取引先マスタ!$E$5:$E$204,MATCH(C70,取引先マスタ!$A$5:$A$204,0)),MIN(INDEX(取引先マスタ!$F$5:$F$204,MATCH(C70,取引先マスタ!$A$5:$A$204,0)),DAY(EOMONTH(B70,INDEX(取引先マスタ!$E$5:$E$204,MATCH(C70,取引先マスタ!$A$5:$A$204,0))))))),""))</f>
        <v/>
      </c>
      <c r="H70" s="22"/>
      <c r="I70" s="25" t="str">
        <f aca="false">IF(H70&lt;&gt;"",H70,G70)</f>
        <v/>
      </c>
      <c r="J70" s="26"/>
      <c r="K70" s="22"/>
      <c r="L70" s="26"/>
      <c r="M70" s="27" t="str">
        <f aca="false">IF(A70="","",SUMIF(入金明細!$F$5:$F$1004,A70,入金明細!$E$5:$E$1004))</f>
        <v/>
      </c>
      <c r="N70" s="25" t="str">
        <f aca="false">IF(OR(A70="",N(M70)=0),"",SUMPRODUCT(MAX((入金明細!$F$5:$F$1004=A70)*入金明細!$B$5:$B$1004)))</f>
        <v/>
      </c>
      <c r="O70" s="18"/>
      <c r="P70" s="27" t="str">
        <f aca="false">IF(OR(A70="",F70=""),"",F70-N(M70)-N(O70))</f>
        <v/>
      </c>
      <c r="Q70" s="26"/>
      <c r="R70" s="28" t="str">
        <f aca="false">IF(A70="","",IF(Q70="取消","取消",IF(T70&lt;&gt;"","要入力",IF(K70="","未送付",IF(P70=0,"入金済",IF(P70&lt;0,"過入金",IF(設定!$C$5&gt;I70,IF(N(M70)&gt;0,"一部入金・超過","期日超過"),IF(N(M70)&gt;0,"一部入金",IF(I70-設定!$C$5&lt;=設定!$C$6,"期日間近","入金待ち")))))))))</f>
        <v/>
      </c>
      <c r="S70" s="29" t="str">
        <f aca="false">IF(OR(R70="期日超過",R70="一部入金・超過"),設定!$C$5-I70,"")</f>
        <v/>
      </c>
      <c r="T70" s="21" t="str">
        <f aca="false">IF(A70="","",TRIM(IF(B70="","請求日 ","")&amp;IF(C70="","取引先 ",IF(D70="コード誤り","取引先コード誤り ",""))&amp;IF(E70="","件名 ","")&amp;IF(F70="","請求額 ","")&amp;IF(AND(F70&lt;&gt;"",I70=""),"入金期日(マスタの支払条件が未登録) ","")&amp;IF(J70="","送付方法 ","")&amp;IF(AND(K70&lt;&gt;"",L70=""),"送付者 ","")&amp;IF(AND(K70&lt;&gt;"",N(K70)&gt;設定!$C$5),"送付日が未来の日付 ","")&amp;IF(AND(K70&lt;&gt;"",N(M70)&gt;0,N(P70)&lt;=0,U70=""),"消込確認者 ","")))</f>
        <v/>
      </c>
      <c r="U70" s="26"/>
      <c r="V70" s="26"/>
    </row>
    <row r="71" customFormat="false" ht="15" hidden="false" customHeight="false" outlineLevel="0" collapsed="false">
      <c r="A71" s="21" t="str">
        <f aca="false">IF(COUNTA(B71,C71,E71,F71)=0,"",設定!$C$4&amp;TEXT(ROW()-4,"00000"))</f>
        <v/>
      </c>
      <c r="B71" s="22"/>
      <c r="C71" s="23"/>
      <c r="D71" s="21" t="str">
        <f aca="false">IF(C71="","",IFERROR(INDEX(取引先マスタ!$B$5:$B$204,MATCH(C71,取引先マスタ!$A$5:$A$204,0)),"コード誤り"))</f>
        <v/>
      </c>
      <c r="E71" s="26"/>
      <c r="F71" s="18"/>
      <c r="G71" s="25" t="str">
        <f aca="false">IF(OR(B71="",C71="",D71="コード誤り"),"",IFERROR(IF(OR(INDEX(取引先マスタ!$E$5:$E$204,MATCH(C71,取引先マスタ!$A$5:$A$204,0))="",INDEX(取引先マスタ!$F$5:$F$204,MATCH(C71,取引先マスタ!$A$5:$A$204,0))=""),"",DATE(YEAR(B71),MONTH(B71)+INDEX(取引先マスタ!$E$5:$E$204,MATCH(C71,取引先マスタ!$A$5:$A$204,0)),MIN(INDEX(取引先マスタ!$F$5:$F$204,MATCH(C71,取引先マスタ!$A$5:$A$204,0)),DAY(EOMONTH(B71,INDEX(取引先マスタ!$E$5:$E$204,MATCH(C71,取引先マスタ!$A$5:$A$204,0))))))),""))</f>
        <v/>
      </c>
      <c r="H71" s="22"/>
      <c r="I71" s="25" t="str">
        <f aca="false">IF(H71&lt;&gt;"",H71,G71)</f>
        <v/>
      </c>
      <c r="J71" s="26"/>
      <c r="K71" s="22"/>
      <c r="L71" s="26"/>
      <c r="M71" s="27" t="str">
        <f aca="false">IF(A71="","",SUMIF(入金明細!$F$5:$F$1004,A71,入金明細!$E$5:$E$1004))</f>
        <v/>
      </c>
      <c r="N71" s="25" t="str">
        <f aca="false">IF(OR(A71="",N(M71)=0),"",SUMPRODUCT(MAX((入金明細!$F$5:$F$1004=A71)*入金明細!$B$5:$B$1004)))</f>
        <v/>
      </c>
      <c r="O71" s="18"/>
      <c r="P71" s="27" t="str">
        <f aca="false">IF(OR(A71="",F71=""),"",F71-N(M71)-N(O71))</f>
        <v/>
      </c>
      <c r="Q71" s="26"/>
      <c r="R71" s="28" t="str">
        <f aca="false">IF(A71="","",IF(Q71="取消","取消",IF(T71&lt;&gt;"","要入力",IF(K71="","未送付",IF(P71=0,"入金済",IF(P71&lt;0,"過入金",IF(設定!$C$5&gt;I71,IF(N(M71)&gt;0,"一部入金・超過","期日超過"),IF(N(M71)&gt;0,"一部入金",IF(I71-設定!$C$5&lt;=設定!$C$6,"期日間近","入金待ち")))))))))</f>
        <v/>
      </c>
      <c r="S71" s="29" t="str">
        <f aca="false">IF(OR(R71="期日超過",R71="一部入金・超過"),設定!$C$5-I71,"")</f>
        <v/>
      </c>
      <c r="T71" s="21" t="str">
        <f aca="false">IF(A71="","",TRIM(IF(B71="","請求日 ","")&amp;IF(C71="","取引先 ",IF(D71="コード誤り","取引先コード誤り ",""))&amp;IF(E71="","件名 ","")&amp;IF(F71="","請求額 ","")&amp;IF(AND(F71&lt;&gt;"",I71=""),"入金期日(マスタの支払条件が未登録) ","")&amp;IF(J71="","送付方法 ","")&amp;IF(AND(K71&lt;&gt;"",L71=""),"送付者 ","")&amp;IF(AND(K71&lt;&gt;"",N(K71)&gt;設定!$C$5),"送付日が未来の日付 ","")&amp;IF(AND(K71&lt;&gt;"",N(M71)&gt;0,N(P71)&lt;=0,U71=""),"消込確認者 ","")))</f>
        <v/>
      </c>
      <c r="U71" s="26"/>
      <c r="V71" s="26"/>
    </row>
    <row r="72" customFormat="false" ht="15" hidden="false" customHeight="false" outlineLevel="0" collapsed="false">
      <c r="A72" s="21" t="str">
        <f aca="false">IF(COUNTA(B72,C72,E72,F72)=0,"",設定!$C$4&amp;TEXT(ROW()-4,"00000"))</f>
        <v/>
      </c>
      <c r="B72" s="22"/>
      <c r="C72" s="23"/>
      <c r="D72" s="21" t="str">
        <f aca="false">IF(C72="","",IFERROR(INDEX(取引先マスタ!$B$5:$B$204,MATCH(C72,取引先マスタ!$A$5:$A$204,0)),"コード誤り"))</f>
        <v/>
      </c>
      <c r="E72" s="26"/>
      <c r="F72" s="18"/>
      <c r="G72" s="25" t="str">
        <f aca="false">IF(OR(B72="",C72="",D72="コード誤り"),"",IFERROR(IF(OR(INDEX(取引先マスタ!$E$5:$E$204,MATCH(C72,取引先マスタ!$A$5:$A$204,0))="",INDEX(取引先マスタ!$F$5:$F$204,MATCH(C72,取引先マスタ!$A$5:$A$204,0))=""),"",DATE(YEAR(B72),MONTH(B72)+INDEX(取引先マスタ!$E$5:$E$204,MATCH(C72,取引先マスタ!$A$5:$A$204,0)),MIN(INDEX(取引先マスタ!$F$5:$F$204,MATCH(C72,取引先マスタ!$A$5:$A$204,0)),DAY(EOMONTH(B72,INDEX(取引先マスタ!$E$5:$E$204,MATCH(C72,取引先マスタ!$A$5:$A$204,0))))))),""))</f>
        <v/>
      </c>
      <c r="H72" s="22"/>
      <c r="I72" s="25" t="str">
        <f aca="false">IF(H72&lt;&gt;"",H72,G72)</f>
        <v/>
      </c>
      <c r="J72" s="26"/>
      <c r="K72" s="22"/>
      <c r="L72" s="26"/>
      <c r="M72" s="27" t="str">
        <f aca="false">IF(A72="","",SUMIF(入金明細!$F$5:$F$1004,A72,入金明細!$E$5:$E$1004))</f>
        <v/>
      </c>
      <c r="N72" s="25" t="str">
        <f aca="false">IF(OR(A72="",N(M72)=0),"",SUMPRODUCT(MAX((入金明細!$F$5:$F$1004=A72)*入金明細!$B$5:$B$1004)))</f>
        <v/>
      </c>
      <c r="O72" s="18"/>
      <c r="P72" s="27" t="str">
        <f aca="false">IF(OR(A72="",F72=""),"",F72-N(M72)-N(O72))</f>
        <v/>
      </c>
      <c r="Q72" s="26"/>
      <c r="R72" s="28" t="str">
        <f aca="false">IF(A72="","",IF(Q72="取消","取消",IF(T72&lt;&gt;"","要入力",IF(K72="","未送付",IF(P72=0,"入金済",IF(P72&lt;0,"過入金",IF(設定!$C$5&gt;I72,IF(N(M72)&gt;0,"一部入金・超過","期日超過"),IF(N(M72)&gt;0,"一部入金",IF(I72-設定!$C$5&lt;=設定!$C$6,"期日間近","入金待ち")))))))))</f>
        <v/>
      </c>
      <c r="S72" s="29" t="str">
        <f aca="false">IF(OR(R72="期日超過",R72="一部入金・超過"),設定!$C$5-I72,"")</f>
        <v/>
      </c>
      <c r="T72" s="21" t="str">
        <f aca="false">IF(A72="","",TRIM(IF(B72="","請求日 ","")&amp;IF(C72="","取引先 ",IF(D72="コード誤り","取引先コード誤り ",""))&amp;IF(E72="","件名 ","")&amp;IF(F72="","請求額 ","")&amp;IF(AND(F72&lt;&gt;"",I72=""),"入金期日(マスタの支払条件が未登録) ","")&amp;IF(J72="","送付方法 ","")&amp;IF(AND(K72&lt;&gt;"",L72=""),"送付者 ","")&amp;IF(AND(K72&lt;&gt;"",N(K72)&gt;設定!$C$5),"送付日が未来の日付 ","")&amp;IF(AND(K72&lt;&gt;"",N(M72)&gt;0,N(P72)&lt;=0,U72=""),"消込確認者 ","")))</f>
        <v/>
      </c>
      <c r="U72" s="26"/>
      <c r="V72" s="26"/>
    </row>
    <row r="73" customFormat="false" ht="15" hidden="false" customHeight="false" outlineLevel="0" collapsed="false">
      <c r="A73" s="21" t="str">
        <f aca="false">IF(COUNTA(B73,C73,E73,F73)=0,"",設定!$C$4&amp;TEXT(ROW()-4,"00000"))</f>
        <v/>
      </c>
      <c r="B73" s="22"/>
      <c r="C73" s="23"/>
      <c r="D73" s="21" t="str">
        <f aca="false">IF(C73="","",IFERROR(INDEX(取引先マスタ!$B$5:$B$204,MATCH(C73,取引先マスタ!$A$5:$A$204,0)),"コード誤り"))</f>
        <v/>
      </c>
      <c r="E73" s="26"/>
      <c r="F73" s="18"/>
      <c r="G73" s="25" t="str">
        <f aca="false">IF(OR(B73="",C73="",D73="コード誤り"),"",IFERROR(IF(OR(INDEX(取引先マスタ!$E$5:$E$204,MATCH(C73,取引先マスタ!$A$5:$A$204,0))="",INDEX(取引先マスタ!$F$5:$F$204,MATCH(C73,取引先マスタ!$A$5:$A$204,0))=""),"",DATE(YEAR(B73),MONTH(B73)+INDEX(取引先マスタ!$E$5:$E$204,MATCH(C73,取引先マスタ!$A$5:$A$204,0)),MIN(INDEX(取引先マスタ!$F$5:$F$204,MATCH(C73,取引先マスタ!$A$5:$A$204,0)),DAY(EOMONTH(B73,INDEX(取引先マスタ!$E$5:$E$204,MATCH(C73,取引先マスタ!$A$5:$A$204,0))))))),""))</f>
        <v/>
      </c>
      <c r="H73" s="22"/>
      <c r="I73" s="25" t="str">
        <f aca="false">IF(H73&lt;&gt;"",H73,G73)</f>
        <v/>
      </c>
      <c r="J73" s="26"/>
      <c r="K73" s="22"/>
      <c r="L73" s="26"/>
      <c r="M73" s="27" t="str">
        <f aca="false">IF(A73="","",SUMIF(入金明細!$F$5:$F$1004,A73,入金明細!$E$5:$E$1004))</f>
        <v/>
      </c>
      <c r="N73" s="25" t="str">
        <f aca="false">IF(OR(A73="",N(M73)=0),"",SUMPRODUCT(MAX((入金明細!$F$5:$F$1004=A73)*入金明細!$B$5:$B$1004)))</f>
        <v/>
      </c>
      <c r="O73" s="18"/>
      <c r="P73" s="27" t="str">
        <f aca="false">IF(OR(A73="",F73=""),"",F73-N(M73)-N(O73))</f>
        <v/>
      </c>
      <c r="Q73" s="26"/>
      <c r="R73" s="28" t="str">
        <f aca="false">IF(A73="","",IF(Q73="取消","取消",IF(T73&lt;&gt;"","要入力",IF(K73="","未送付",IF(P73=0,"入金済",IF(P73&lt;0,"過入金",IF(設定!$C$5&gt;I73,IF(N(M73)&gt;0,"一部入金・超過","期日超過"),IF(N(M73)&gt;0,"一部入金",IF(I73-設定!$C$5&lt;=設定!$C$6,"期日間近","入金待ち")))))))))</f>
        <v/>
      </c>
      <c r="S73" s="29" t="str">
        <f aca="false">IF(OR(R73="期日超過",R73="一部入金・超過"),設定!$C$5-I73,"")</f>
        <v/>
      </c>
      <c r="T73" s="21" t="str">
        <f aca="false">IF(A73="","",TRIM(IF(B73="","請求日 ","")&amp;IF(C73="","取引先 ",IF(D73="コード誤り","取引先コード誤り ",""))&amp;IF(E73="","件名 ","")&amp;IF(F73="","請求額 ","")&amp;IF(AND(F73&lt;&gt;"",I73=""),"入金期日(マスタの支払条件が未登録) ","")&amp;IF(J73="","送付方法 ","")&amp;IF(AND(K73&lt;&gt;"",L73=""),"送付者 ","")&amp;IF(AND(K73&lt;&gt;"",N(K73)&gt;設定!$C$5),"送付日が未来の日付 ","")&amp;IF(AND(K73&lt;&gt;"",N(M73)&gt;0,N(P73)&lt;=0,U73=""),"消込確認者 ","")))</f>
        <v/>
      </c>
      <c r="U73" s="26"/>
      <c r="V73" s="26"/>
    </row>
    <row r="74" customFormat="false" ht="15" hidden="false" customHeight="false" outlineLevel="0" collapsed="false">
      <c r="A74" s="21" t="str">
        <f aca="false">IF(COUNTA(B74,C74,E74,F74)=0,"",設定!$C$4&amp;TEXT(ROW()-4,"00000"))</f>
        <v/>
      </c>
      <c r="B74" s="22"/>
      <c r="C74" s="23"/>
      <c r="D74" s="21" t="str">
        <f aca="false">IF(C74="","",IFERROR(INDEX(取引先マスタ!$B$5:$B$204,MATCH(C74,取引先マスタ!$A$5:$A$204,0)),"コード誤り"))</f>
        <v/>
      </c>
      <c r="E74" s="26"/>
      <c r="F74" s="18"/>
      <c r="G74" s="25" t="str">
        <f aca="false">IF(OR(B74="",C74="",D74="コード誤り"),"",IFERROR(IF(OR(INDEX(取引先マスタ!$E$5:$E$204,MATCH(C74,取引先マスタ!$A$5:$A$204,0))="",INDEX(取引先マスタ!$F$5:$F$204,MATCH(C74,取引先マスタ!$A$5:$A$204,0))=""),"",DATE(YEAR(B74),MONTH(B74)+INDEX(取引先マスタ!$E$5:$E$204,MATCH(C74,取引先マスタ!$A$5:$A$204,0)),MIN(INDEX(取引先マスタ!$F$5:$F$204,MATCH(C74,取引先マスタ!$A$5:$A$204,0)),DAY(EOMONTH(B74,INDEX(取引先マスタ!$E$5:$E$204,MATCH(C74,取引先マスタ!$A$5:$A$204,0))))))),""))</f>
        <v/>
      </c>
      <c r="H74" s="22"/>
      <c r="I74" s="25" t="str">
        <f aca="false">IF(H74&lt;&gt;"",H74,G74)</f>
        <v/>
      </c>
      <c r="J74" s="26"/>
      <c r="K74" s="22"/>
      <c r="L74" s="26"/>
      <c r="M74" s="27" t="str">
        <f aca="false">IF(A74="","",SUMIF(入金明細!$F$5:$F$1004,A74,入金明細!$E$5:$E$1004))</f>
        <v/>
      </c>
      <c r="N74" s="25" t="str">
        <f aca="false">IF(OR(A74="",N(M74)=0),"",SUMPRODUCT(MAX((入金明細!$F$5:$F$1004=A74)*入金明細!$B$5:$B$1004)))</f>
        <v/>
      </c>
      <c r="O74" s="18"/>
      <c r="P74" s="27" t="str">
        <f aca="false">IF(OR(A74="",F74=""),"",F74-N(M74)-N(O74))</f>
        <v/>
      </c>
      <c r="Q74" s="26"/>
      <c r="R74" s="28" t="str">
        <f aca="false">IF(A74="","",IF(Q74="取消","取消",IF(T74&lt;&gt;"","要入力",IF(K74="","未送付",IF(P74=0,"入金済",IF(P74&lt;0,"過入金",IF(設定!$C$5&gt;I74,IF(N(M74)&gt;0,"一部入金・超過","期日超過"),IF(N(M74)&gt;0,"一部入金",IF(I74-設定!$C$5&lt;=設定!$C$6,"期日間近","入金待ち")))))))))</f>
        <v/>
      </c>
      <c r="S74" s="29" t="str">
        <f aca="false">IF(OR(R74="期日超過",R74="一部入金・超過"),設定!$C$5-I74,"")</f>
        <v/>
      </c>
      <c r="T74" s="21" t="str">
        <f aca="false">IF(A74="","",TRIM(IF(B74="","請求日 ","")&amp;IF(C74="","取引先 ",IF(D74="コード誤り","取引先コード誤り ",""))&amp;IF(E74="","件名 ","")&amp;IF(F74="","請求額 ","")&amp;IF(AND(F74&lt;&gt;"",I74=""),"入金期日(マスタの支払条件が未登録) ","")&amp;IF(J74="","送付方法 ","")&amp;IF(AND(K74&lt;&gt;"",L74=""),"送付者 ","")&amp;IF(AND(K74&lt;&gt;"",N(K74)&gt;設定!$C$5),"送付日が未来の日付 ","")&amp;IF(AND(K74&lt;&gt;"",N(M74)&gt;0,N(P74)&lt;=0,U74=""),"消込確認者 ","")))</f>
        <v/>
      </c>
      <c r="U74" s="26"/>
      <c r="V74" s="26"/>
    </row>
    <row r="75" customFormat="false" ht="15" hidden="false" customHeight="false" outlineLevel="0" collapsed="false">
      <c r="A75" s="21" t="str">
        <f aca="false">IF(COUNTA(B75,C75,E75,F75)=0,"",設定!$C$4&amp;TEXT(ROW()-4,"00000"))</f>
        <v/>
      </c>
      <c r="B75" s="22"/>
      <c r="C75" s="23"/>
      <c r="D75" s="21" t="str">
        <f aca="false">IF(C75="","",IFERROR(INDEX(取引先マスタ!$B$5:$B$204,MATCH(C75,取引先マスタ!$A$5:$A$204,0)),"コード誤り"))</f>
        <v/>
      </c>
      <c r="E75" s="26"/>
      <c r="F75" s="18"/>
      <c r="G75" s="25" t="str">
        <f aca="false">IF(OR(B75="",C75="",D75="コード誤り"),"",IFERROR(IF(OR(INDEX(取引先マスタ!$E$5:$E$204,MATCH(C75,取引先マスタ!$A$5:$A$204,0))="",INDEX(取引先マスタ!$F$5:$F$204,MATCH(C75,取引先マスタ!$A$5:$A$204,0))=""),"",DATE(YEAR(B75),MONTH(B75)+INDEX(取引先マスタ!$E$5:$E$204,MATCH(C75,取引先マスタ!$A$5:$A$204,0)),MIN(INDEX(取引先マスタ!$F$5:$F$204,MATCH(C75,取引先マスタ!$A$5:$A$204,0)),DAY(EOMONTH(B75,INDEX(取引先マスタ!$E$5:$E$204,MATCH(C75,取引先マスタ!$A$5:$A$204,0))))))),""))</f>
        <v/>
      </c>
      <c r="H75" s="22"/>
      <c r="I75" s="25" t="str">
        <f aca="false">IF(H75&lt;&gt;"",H75,G75)</f>
        <v/>
      </c>
      <c r="J75" s="26"/>
      <c r="K75" s="22"/>
      <c r="L75" s="26"/>
      <c r="M75" s="27" t="str">
        <f aca="false">IF(A75="","",SUMIF(入金明細!$F$5:$F$1004,A75,入金明細!$E$5:$E$1004))</f>
        <v/>
      </c>
      <c r="N75" s="25" t="str">
        <f aca="false">IF(OR(A75="",N(M75)=0),"",SUMPRODUCT(MAX((入金明細!$F$5:$F$1004=A75)*入金明細!$B$5:$B$1004)))</f>
        <v/>
      </c>
      <c r="O75" s="18"/>
      <c r="P75" s="27" t="str">
        <f aca="false">IF(OR(A75="",F75=""),"",F75-N(M75)-N(O75))</f>
        <v/>
      </c>
      <c r="Q75" s="26"/>
      <c r="R75" s="28" t="str">
        <f aca="false">IF(A75="","",IF(Q75="取消","取消",IF(T75&lt;&gt;"","要入力",IF(K75="","未送付",IF(P75=0,"入金済",IF(P75&lt;0,"過入金",IF(設定!$C$5&gt;I75,IF(N(M75)&gt;0,"一部入金・超過","期日超過"),IF(N(M75)&gt;0,"一部入金",IF(I75-設定!$C$5&lt;=設定!$C$6,"期日間近","入金待ち")))))))))</f>
        <v/>
      </c>
      <c r="S75" s="29" t="str">
        <f aca="false">IF(OR(R75="期日超過",R75="一部入金・超過"),設定!$C$5-I75,"")</f>
        <v/>
      </c>
      <c r="T75" s="21" t="str">
        <f aca="false">IF(A75="","",TRIM(IF(B75="","請求日 ","")&amp;IF(C75="","取引先 ",IF(D75="コード誤り","取引先コード誤り ",""))&amp;IF(E75="","件名 ","")&amp;IF(F75="","請求額 ","")&amp;IF(AND(F75&lt;&gt;"",I75=""),"入金期日(マスタの支払条件が未登録) ","")&amp;IF(J75="","送付方法 ","")&amp;IF(AND(K75&lt;&gt;"",L75=""),"送付者 ","")&amp;IF(AND(K75&lt;&gt;"",N(K75)&gt;設定!$C$5),"送付日が未来の日付 ","")&amp;IF(AND(K75&lt;&gt;"",N(M75)&gt;0,N(P75)&lt;=0,U75=""),"消込確認者 ","")))</f>
        <v/>
      </c>
      <c r="U75" s="26"/>
      <c r="V75" s="26"/>
    </row>
    <row r="76" customFormat="false" ht="15" hidden="false" customHeight="false" outlineLevel="0" collapsed="false">
      <c r="A76" s="21" t="str">
        <f aca="false">IF(COUNTA(B76,C76,E76,F76)=0,"",設定!$C$4&amp;TEXT(ROW()-4,"00000"))</f>
        <v/>
      </c>
      <c r="B76" s="22"/>
      <c r="C76" s="23"/>
      <c r="D76" s="21" t="str">
        <f aca="false">IF(C76="","",IFERROR(INDEX(取引先マスタ!$B$5:$B$204,MATCH(C76,取引先マスタ!$A$5:$A$204,0)),"コード誤り"))</f>
        <v/>
      </c>
      <c r="E76" s="26"/>
      <c r="F76" s="18"/>
      <c r="G76" s="25" t="str">
        <f aca="false">IF(OR(B76="",C76="",D76="コード誤り"),"",IFERROR(IF(OR(INDEX(取引先マスタ!$E$5:$E$204,MATCH(C76,取引先マスタ!$A$5:$A$204,0))="",INDEX(取引先マスタ!$F$5:$F$204,MATCH(C76,取引先マスタ!$A$5:$A$204,0))=""),"",DATE(YEAR(B76),MONTH(B76)+INDEX(取引先マスタ!$E$5:$E$204,MATCH(C76,取引先マスタ!$A$5:$A$204,0)),MIN(INDEX(取引先マスタ!$F$5:$F$204,MATCH(C76,取引先マスタ!$A$5:$A$204,0)),DAY(EOMONTH(B76,INDEX(取引先マスタ!$E$5:$E$204,MATCH(C76,取引先マスタ!$A$5:$A$204,0))))))),""))</f>
        <v/>
      </c>
      <c r="H76" s="22"/>
      <c r="I76" s="25" t="str">
        <f aca="false">IF(H76&lt;&gt;"",H76,G76)</f>
        <v/>
      </c>
      <c r="J76" s="26"/>
      <c r="K76" s="22"/>
      <c r="L76" s="26"/>
      <c r="M76" s="27" t="str">
        <f aca="false">IF(A76="","",SUMIF(入金明細!$F$5:$F$1004,A76,入金明細!$E$5:$E$1004))</f>
        <v/>
      </c>
      <c r="N76" s="25" t="str">
        <f aca="false">IF(OR(A76="",N(M76)=0),"",SUMPRODUCT(MAX((入金明細!$F$5:$F$1004=A76)*入金明細!$B$5:$B$1004)))</f>
        <v/>
      </c>
      <c r="O76" s="18"/>
      <c r="P76" s="27" t="str">
        <f aca="false">IF(OR(A76="",F76=""),"",F76-N(M76)-N(O76))</f>
        <v/>
      </c>
      <c r="Q76" s="26"/>
      <c r="R76" s="28" t="str">
        <f aca="false">IF(A76="","",IF(Q76="取消","取消",IF(T76&lt;&gt;"","要入力",IF(K76="","未送付",IF(P76=0,"入金済",IF(P76&lt;0,"過入金",IF(設定!$C$5&gt;I76,IF(N(M76)&gt;0,"一部入金・超過","期日超過"),IF(N(M76)&gt;0,"一部入金",IF(I76-設定!$C$5&lt;=設定!$C$6,"期日間近","入金待ち")))))))))</f>
        <v/>
      </c>
      <c r="S76" s="29" t="str">
        <f aca="false">IF(OR(R76="期日超過",R76="一部入金・超過"),設定!$C$5-I76,"")</f>
        <v/>
      </c>
      <c r="T76" s="21" t="str">
        <f aca="false">IF(A76="","",TRIM(IF(B76="","請求日 ","")&amp;IF(C76="","取引先 ",IF(D76="コード誤り","取引先コード誤り ",""))&amp;IF(E76="","件名 ","")&amp;IF(F76="","請求額 ","")&amp;IF(AND(F76&lt;&gt;"",I76=""),"入金期日(マスタの支払条件が未登録) ","")&amp;IF(J76="","送付方法 ","")&amp;IF(AND(K76&lt;&gt;"",L76=""),"送付者 ","")&amp;IF(AND(K76&lt;&gt;"",N(K76)&gt;設定!$C$5),"送付日が未来の日付 ","")&amp;IF(AND(K76&lt;&gt;"",N(M76)&gt;0,N(P76)&lt;=0,U76=""),"消込確認者 ","")))</f>
        <v/>
      </c>
      <c r="U76" s="26"/>
      <c r="V76" s="26"/>
    </row>
    <row r="77" customFormat="false" ht="15" hidden="false" customHeight="false" outlineLevel="0" collapsed="false">
      <c r="A77" s="21" t="str">
        <f aca="false">IF(COUNTA(B77,C77,E77,F77)=0,"",設定!$C$4&amp;TEXT(ROW()-4,"00000"))</f>
        <v/>
      </c>
      <c r="B77" s="22"/>
      <c r="C77" s="23"/>
      <c r="D77" s="21" t="str">
        <f aca="false">IF(C77="","",IFERROR(INDEX(取引先マスタ!$B$5:$B$204,MATCH(C77,取引先マスタ!$A$5:$A$204,0)),"コード誤り"))</f>
        <v/>
      </c>
      <c r="E77" s="26"/>
      <c r="F77" s="18"/>
      <c r="G77" s="25" t="str">
        <f aca="false">IF(OR(B77="",C77="",D77="コード誤り"),"",IFERROR(IF(OR(INDEX(取引先マスタ!$E$5:$E$204,MATCH(C77,取引先マスタ!$A$5:$A$204,0))="",INDEX(取引先マスタ!$F$5:$F$204,MATCH(C77,取引先マスタ!$A$5:$A$204,0))=""),"",DATE(YEAR(B77),MONTH(B77)+INDEX(取引先マスタ!$E$5:$E$204,MATCH(C77,取引先マスタ!$A$5:$A$204,0)),MIN(INDEX(取引先マスタ!$F$5:$F$204,MATCH(C77,取引先マスタ!$A$5:$A$204,0)),DAY(EOMONTH(B77,INDEX(取引先マスタ!$E$5:$E$204,MATCH(C77,取引先マスタ!$A$5:$A$204,0))))))),""))</f>
        <v/>
      </c>
      <c r="H77" s="22"/>
      <c r="I77" s="25" t="str">
        <f aca="false">IF(H77&lt;&gt;"",H77,G77)</f>
        <v/>
      </c>
      <c r="J77" s="26"/>
      <c r="K77" s="22"/>
      <c r="L77" s="26"/>
      <c r="M77" s="27" t="str">
        <f aca="false">IF(A77="","",SUMIF(入金明細!$F$5:$F$1004,A77,入金明細!$E$5:$E$1004))</f>
        <v/>
      </c>
      <c r="N77" s="25" t="str">
        <f aca="false">IF(OR(A77="",N(M77)=0),"",SUMPRODUCT(MAX((入金明細!$F$5:$F$1004=A77)*入金明細!$B$5:$B$1004)))</f>
        <v/>
      </c>
      <c r="O77" s="18"/>
      <c r="P77" s="27" t="str">
        <f aca="false">IF(OR(A77="",F77=""),"",F77-N(M77)-N(O77))</f>
        <v/>
      </c>
      <c r="Q77" s="26"/>
      <c r="R77" s="28" t="str">
        <f aca="false">IF(A77="","",IF(Q77="取消","取消",IF(T77&lt;&gt;"","要入力",IF(K77="","未送付",IF(P77=0,"入金済",IF(P77&lt;0,"過入金",IF(設定!$C$5&gt;I77,IF(N(M77)&gt;0,"一部入金・超過","期日超過"),IF(N(M77)&gt;0,"一部入金",IF(I77-設定!$C$5&lt;=設定!$C$6,"期日間近","入金待ち")))))))))</f>
        <v/>
      </c>
      <c r="S77" s="29" t="str">
        <f aca="false">IF(OR(R77="期日超過",R77="一部入金・超過"),設定!$C$5-I77,"")</f>
        <v/>
      </c>
      <c r="T77" s="21" t="str">
        <f aca="false">IF(A77="","",TRIM(IF(B77="","請求日 ","")&amp;IF(C77="","取引先 ",IF(D77="コード誤り","取引先コード誤り ",""))&amp;IF(E77="","件名 ","")&amp;IF(F77="","請求額 ","")&amp;IF(AND(F77&lt;&gt;"",I77=""),"入金期日(マスタの支払条件が未登録) ","")&amp;IF(J77="","送付方法 ","")&amp;IF(AND(K77&lt;&gt;"",L77=""),"送付者 ","")&amp;IF(AND(K77&lt;&gt;"",N(K77)&gt;設定!$C$5),"送付日が未来の日付 ","")&amp;IF(AND(K77&lt;&gt;"",N(M77)&gt;0,N(P77)&lt;=0,U77=""),"消込確認者 ","")))</f>
        <v/>
      </c>
      <c r="U77" s="26"/>
      <c r="V77" s="26"/>
    </row>
    <row r="78" customFormat="false" ht="15" hidden="false" customHeight="false" outlineLevel="0" collapsed="false">
      <c r="A78" s="21" t="str">
        <f aca="false">IF(COUNTA(B78,C78,E78,F78)=0,"",設定!$C$4&amp;TEXT(ROW()-4,"00000"))</f>
        <v/>
      </c>
      <c r="B78" s="22"/>
      <c r="C78" s="23"/>
      <c r="D78" s="21" t="str">
        <f aca="false">IF(C78="","",IFERROR(INDEX(取引先マスタ!$B$5:$B$204,MATCH(C78,取引先マスタ!$A$5:$A$204,0)),"コード誤り"))</f>
        <v/>
      </c>
      <c r="E78" s="26"/>
      <c r="F78" s="18"/>
      <c r="G78" s="25" t="str">
        <f aca="false">IF(OR(B78="",C78="",D78="コード誤り"),"",IFERROR(IF(OR(INDEX(取引先マスタ!$E$5:$E$204,MATCH(C78,取引先マスタ!$A$5:$A$204,0))="",INDEX(取引先マスタ!$F$5:$F$204,MATCH(C78,取引先マスタ!$A$5:$A$204,0))=""),"",DATE(YEAR(B78),MONTH(B78)+INDEX(取引先マスタ!$E$5:$E$204,MATCH(C78,取引先マスタ!$A$5:$A$204,0)),MIN(INDEX(取引先マスタ!$F$5:$F$204,MATCH(C78,取引先マスタ!$A$5:$A$204,0)),DAY(EOMONTH(B78,INDEX(取引先マスタ!$E$5:$E$204,MATCH(C78,取引先マスタ!$A$5:$A$204,0))))))),""))</f>
        <v/>
      </c>
      <c r="H78" s="22"/>
      <c r="I78" s="25" t="str">
        <f aca="false">IF(H78&lt;&gt;"",H78,G78)</f>
        <v/>
      </c>
      <c r="J78" s="26"/>
      <c r="K78" s="22"/>
      <c r="L78" s="26"/>
      <c r="M78" s="27" t="str">
        <f aca="false">IF(A78="","",SUMIF(入金明細!$F$5:$F$1004,A78,入金明細!$E$5:$E$1004))</f>
        <v/>
      </c>
      <c r="N78" s="25" t="str">
        <f aca="false">IF(OR(A78="",N(M78)=0),"",SUMPRODUCT(MAX((入金明細!$F$5:$F$1004=A78)*入金明細!$B$5:$B$1004)))</f>
        <v/>
      </c>
      <c r="O78" s="18"/>
      <c r="P78" s="27" t="str">
        <f aca="false">IF(OR(A78="",F78=""),"",F78-N(M78)-N(O78))</f>
        <v/>
      </c>
      <c r="Q78" s="26"/>
      <c r="R78" s="28" t="str">
        <f aca="false">IF(A78="","",IF(Q78="取消","取消",IF(T78&lt;&gt;"","要入力",IF(K78="","未送付",IF(P78=0,"入金済",IF(P78&lt;0,"過入金",IF(設定!$C$5&gt;I78,IF(N(M78)&gt;0,"一部入金・超過","期日超過"),IF(N(M78)&gt;0,"一部入金",IF(I78-設定!$C$5&lt;=設定!$C$6,"期日間近","入金待ち")))))))))</f>
        <v/>
      </c>
      <c r="S78" s="29" t="str">
        <f aca="false">IF(OR(R78="期日超過",R78="一部入金・超過"),設定!$C$5-I78,"")</f>
        <v/>
      </c>
      <c r="T78" s="21" t="str">
        <f aca="false">IF(A78="","",TRIM(IF(B78="","請求日 ","")&amp;IF(C78="","取引先 ",IF(D78="コード誤り","取引先コード誤り ",""))&amp;IF(E78="","件名 ","")&amp;IF(F78="","請求額 ","")&amp;IF(AND(F78&lt;&gt;"",I78=""),"入金期日(マスタの支払条件が未登録) ","")&amp;IF(J78="","送付方法 ","")&amp;IF(AND(K78&lt;&gt;"",L78=""),"送付者 ","")&amp;IF(AND(K78&lt;&gt;"",N(K78)&gt;設定!$C$5),"送付日が未来の日付 ","")&amp;IF(AND(K78&lt;&gt;"",N(M78)&gt;0,N(P78)&lt;=0,U78=""),"消込確認者 ","")))</f>
        <v/>
      </c>
      <c r="U78" s="26"/>
      <c r="V78" s="26"/>
    </row>
    <row r="79" customFormat="false" ht="15" hidden="false" customHeight="false" outlineLevel="0" collapsed="false">
      <c r="A79" s="21" t="str">
        <f aca="false">IF(COUNTA(B79,C79,E79,F79)=0,"",設定!$C$4&amp;TEXT(ROW()-4,"00000"))</f>
        <v/>
      </c>
      <c r="B79" s="22"/>
      <c r="C79" s="23"/>
      <c r="D79" s="21" t="str">
        <f aca="false">IF(C79="","",IFERROR(INDEX(取引先マスタ!$B$5:$B$204,MATCH(C79,取引先マスタ!$A$5:$A$204,0)),"コード誤り"))</f>
        <v/>
      </c>
      <c r="E79" s="26"/>
      <c r="F79" s="18"/>
      <c r="G79" s="25" t="str">
        <f aca="false">IF(OR(B79="",C79="",D79="コード誤り"),"",IFERROR(IF(OR(INDEX(取引先マスタ!$E$5:$E$204,MATCH(C79,取引先マスタ!$A$5:$A$204,0))="",INDEX(取引先マスタ!$F$5:$F$204,MATCH(C79,取引先マスタ!$A$5:$A$204,0))=""),"",DATE(YEAR(B79),MONTH(B79)+INDEX(取引先マスタ!$E$5:$E$204,MATCH(C79,取引先マスタ!$A$5:$A$204,0)),MIN(INDEX(取引先マスタ!$F$5:$F$204,MATCH(C79,取引先マスタ!$A$5:$A$204,0)),DAY(EOMONTH(B79,INDEX(取引先マスタ!$E$5:$E$204,MATCH(C79,取引先マスタ!$A$5:$A$204,0))))))),""))</f>
        <v/>
      </c>
      <c r="H79" s="22"/>
      <c r="I79" s="25" t="str">
        <f aca="false">IF(H79&lt;&gt;"",H79,G79)</f>
        <v/>
      </c>
      <c r="J79" s="26"/>
      <c r="K79" s="22"/>
      <c r="L79" s="26"/>
      <c r="M79" s="27" t="str">
        <f aca="false">IF(A79="","",SUMIF(入金明細!$F$5:$F$1004,A79,入金明細!$E$5:$E$1004))</f>
        <v/>
      </c>
      <c r="N79" s="25" t="str">
        <f aca="false">IF(OR(A79="",N(M79)=0),"",SUMPRODUCT(MAX((入金明細!$F$5:$F$1004=A79)*入金明細!$B$5:$B$1004)))</f>
        <v/>
      </c>
      <c r="O79" s="18"/>
      <c r="P79" s="27" t="str">
        <f aca="false">IF(OR(A79="",F79=""),"",F79-N(M79)-N(O79))</f>
        <v/>
      </c>
      <c r="Q79" s="26"/>
      <c r="R79" s="28" t="str">
        <f aca="false">IF(A79="","",IF(Q79="取消","取消",IF(T79&lt;&gt;"","要入力",IF(K79="","未送付",IF(P79=0,"入金済",IF(P79&lt;0,"過入金",IF(設定!$C$5&gt;I79,IF(N(M79)&gt;0,"一部入金・超過","期日超過"),IF(N(M79)&gt;0,"一部入金",IF(I79-設定!$C$5&lt;=設定!$C$6,"期日間近","入金待ち")))))))))</f>
        <v/>
      </c>
      <c r="S79" s="29" t="str">
        <f aca="false">IF(OR(R79="期日超過",R79="一部入金・超過"),設定!$C$5-I79,"")</f>
        <v/>
      </c>
      <c r="T79" s="21" t="str">
        <f aca="false">IF(A79="","",TRIM(IF(B79="","請求日 ","")&amp;IF(C79="","取引先 ",IF(D79="コード誤り","取引先コード誤り ",""))&amp;IF(E79="","件名 ","")&amp;IF(F79="","請求額 ","")&amp;IF(AND(F79&lt;&gt;"",I79=""),"入金期日(マスタの支払条件が未登録) ","")&amp;IF(J79="","送付方法 ","")&amp;IF(AND(K79&lt;&gt;"",L79=""),"送付者 ","")&amp;IF(AND(K79&lt;&gt;"",N(K79)&gt;設定!$C$5),"送付日が未来の日付 ","")&amp;IF(AND(K79&lt;&gt;"",N(M79)&gt;0,N(P79)&lt;=0,U79=""),"消込確認者 ","")))</f>
        <v/>
      </c>
      <c r="U79" s="26"/>
      <c r="V79" s="26"/>
    </row>
    <row r="80" customFormat="false" ht="15" hidden="false" customHeight="false" outlineLevel="0" collapsed="false">
      <c r="A80" s="21" t="str">
        <f aca="false">IF(COUNTA(B80,C80,E80,F80)=0,"",設定!$C$4&amp;TEXT(ROW()-4,"00000"))</f>
        <v/>
      </c>
      <c r="B80" s="22"/>
      <c r="C80" s="23"/>
      <c r="D80" s="21" t="str">
        <f aca="false">IF(C80="","",IFERROR(INDEX(取引先マスタ!$B$5:$B$204,MATCH(C80,取引先マスタ!$A$5:$A$204,0)),"コード誤り"))</f>
        <v/>
      </c>
      <c r="E80" s="26"/>
      <c r="F80" s="18"/>
      <c r="G80" s="25" t="str">
        <f aca="false">IF(OR(B80="",C80="",D80="コード誤り"),"",IFERROR(IF(OR(INDEX(取引先マスタ!$E$5:$E$204,MATCH(C80,取引先マスタ!$A$5:$A$204,0))="",INDEX(取引先マスタ!$F$5:$F$204,MATCH(C80,取引先マスタ!$A$5:$A$204,0))=""),"",DATE(YEAR(B80),MONTH(B80)+INDEX(取引先マスタ!$E$5:$E$204,MATCH(C80,取引先マスタ!$A$5:$A$204,0)),MIN(INDEX(取引先マスタ!$F$5:$F$204,MATCH(C80,取引先マスタ!$A$5:$A$204,0)),DAY(EOMONTH(B80,INDEX(取引先マスタ!$E$5:$E$204,MATCH(C80,取引先マスタ!$A$5:$A$204,0))))))),""))</f>
        <v/>
      </c>
      <c r="H80" s="22"/>
      <c r="I80" s="25" t="str">
        <f aca="false">IF(H80&lt;&gt;"",H80,G80)</f>
        <v/>
      </c>
      <c r="J80" s="26"/>
      <c r="K80" s="22"/>
      <c r="L80" s="26"/>
      <c r="M80" s="27" t="str">
        <f aca="false">IF(A80="","",SUMIF(入金明細!$F$5:$F$1004,A80,入金明細!$E$5:$E$1004))</f>
        <v/>
      </c>
      <c r="N80" s="25" t="str">
        <f aca="false">IF(OR(A80="",N(M80)=0),"",SUMPRODUCT(MAX((入金明細!$F$5:$F$1004=A80)*入金明細!$B$5:$B$1004)))</f>
        <v/>
      </c>
      <c r="O80" s="18"/>
      <c r="P80" s="27" t="str">
        <f aca="false">IF(OR(A80="",F80=""),"",F80-N(M80)-N(O80))</f>
        <v/>
      </c>
      <c r="Q80" s="26"/>
      <c r="R80" s="28" t="str">
        <f aca="false">IF(A80="","",IF(Q80="取消","取消",IF(T80&lt;&gt;"","要入力",IF(K80="","未送付",IF(P80=0,"入金済",IF(P80&lt;0,"過入金",IF(設定!$C$5&gt;I80,IF(N(M80)&gt;0,"一部入金・超過","期日超過"),IF(N(M80)&gt;0,"一部入金",IF(I80-設定!$C$5&lt;=設定!$C$6,"期日間近","入金待ち")))))))))</f>
        <v/>
      </c>
      <c r="S80" s="29" t="str">
        <f aca="false">IF(OR(R80="期日超過",R80="一部入金・超過"),設定!$C$5-I80,"")</f>
        <v/>
      </c>
      <c r="T80" s="21" t="str">
        <f aca="false">IF(A80="","",TRIM(IF(B80="","請求日 ","")&amp;IF(C80="","取引先 ",IF(D80="コード誤り","取引先コード誤り ",""))&amp;IF(E80="","件名 ","")&amp;IF(F80="","請求額 ","")&amp;IF(AND(F80&lt;&gt;"",I80=""),"入金期日(マスタの支払条件が未登録) ","")&amp;IF(J80="","送付方法 ","")&amp;IF(AND(K80&lt;&gt;"",L80=""),"送付者 ","")&amp;IF(AND(K80&lt;&gt;"",N(K80)&gt;設定!$C$5),"送付日が未来の日付 ","")&amp;IF(AND(K80&lt;&gt;"",N(M80)&gt;0,N(P80)&lt;=0,U80=""),"消込確認者 ","")))</f>
        <v/>
      </c>
      <c r="U80" s="26"/>
      <c r="V80" s="26"/>
    </row>
    <row r="81" customFormat="false" ht="15" hidden="false" customHeight="false" outlineLevel="0" collapsed="false">
      <c r="A81" s="21" t="str">
        <f aca="false">IF(COUNTA(B81,C81,E81,F81)=0,"",設定!$C$4&amp;TEXT(ROW()-4,"00000"))</f>
        <v/>
      </c>
      <c r="B81" s="22"/>
      <c r="C81" s="23"/>
      <c r="D81" s="21" t="str">
        <f aca="false">IF(C81="","",IFERROR(INDEX(取引先マスタ!$B$5:$B$204,MATCH(C81,取引先マスタ!$A$5:$A$204,0)),"コード誤り"))</f>
        <v/>
      </c>
      <c r="E81" s="26"/>
      <c r="F81" s="18"/>
      <c r="G81" s="25" t="str">
        <f aca="false">IF(OR(B81="",C81="",D81="コード誤り"),"",IFERROR(IF(OR(INDEX(取引先マスタ!$E$5:$E$204,MATCH(C81,取引先マスタ!$A$5:$A$204,0))="",INDEX(取引先マスタ!$F$5:$F$204,MATCH(C81,取引先マスタ!$A$5:$A$204,0))=""),"",DATE(YEAR(B81),MONTH(B81)+INDEX(取引先マスタ!$E$5:$E$204,MATCH(C81,取引先マスタ!$A$5:$A$204,0)),MIN(INDEX(取引先マスタ!$F$5:$F$204,MATCH(C81,取引先マスタ!$A$5:$A$204,0)),DAY(EOMONTH(B81,INDEX(取引先マスタ!$E$5:$E$204,MATCH(C81,取引先マスタ!$A$5:$A$204,0))))))),""))</f>
        <v/>
      </c>
      <c r="H81" s="22"/>
      <c r="I81" s="25" t="str">
        <f aca="false">IF(H81&lt;&gt;"",H81,G81)</f>
        <v/>
      </c>
      <c r="J81" s="26"/>
      <c r="K81" s="22"/>
      <c r="L81" s="26"/>
      <c r="M81" s="27" t="str">
        <f aca="false">IF(A81="","",SUMIF(入金明細!$F$5:$F$1004,A81,入金明細!$E$5:$E$1004))</f>
        <v/>
      </c>
      <c r="N81" s="25" t="str">
        <f aca="false">IF(OR(A81="",N(M81)=0),"",SUMPRODUCT(MAX((入金明細!$F$5:$F$1004=A81)*入金明細!$B$5:$B$1004)))</f>
        <v/>
      </c>
      <c r="O81" s="18"/>
      <c r="P81" s="27" t="str">
        <f aca="false">IF(OR(A81="",F81=""),"",F81-N(M81)-N(O81))</f>
        <v/>
      </c>
      <c r="Q81" s="26"/>
      <c r="R81" s="28" t="str">
        <f aca="false">IF(A81="","",IF(Q81="取消","取消",IF(T81&lt;&gt;"","要入力",IF(K81="","未送付",IF(P81=0,"入金済",IF(P81&lt;0,"過入金",IF(設定!$C$5&gt;I81,IF(N(M81)&gt;0,"一部入金・超過","期日超過"),IF(N(M81)&gt;0,"一部入金",IF(I81-設定!$C$5&lt;=設定!$C$6,"期日間近","入金待ち")))))))))</f>
        <v/>
      </c>
      <c r="S81" s="29" t="str">
        <f aca="false">IF(OR(R81="期日超過",R81="一部入金・超過"),設定!$C$5-I81,"")</f>
        <v/>
      </c>
      <c r="T81" s="21" t="str">
        <f aca="false">IF(A81="","",TRIM(IF(B81="","請求日 ","")&amp;IF(C81="","取引先 ",IF(D81="コード誤り","取引先コード誤り ",""))&amp;IF(E81="","件名 ","")&amp;IF(F81="","請求額 ","")&amp;IF(AND(F81&lt;&gt;"",I81=""),"入金期日(マスタの支払条件が未登録) ","")&amp;IF(J81="","送付方法 ","")&amp;IF(AND(K81&lt;&gt;"",L81=""),"送付者 ","")&amp;IF(AND(K81&lt;&gt;"",N(K81)&gt;設定!$C$5),"送付日が未来の日付 ","")&amp;IF(AND(K81&lt;&gt;"",N(M81)&gt;0,N(P81)&lt;=0,U81=""),"消込確認者 ","")))</f>
        <v/>
      </c>
      <c r="U81" s="26"/>
      <c r="V81" s="26"/>
    </row>
    <row r="82" customFormat="false" ht="15" hidden="false" customHeight="false" outlineLevel="0" collapsed="false">
      <c r="A82" s="21" t="str">
        <f aca="false">IF(COUNTA(B82,C82,E82,F82)=0,"",設定!$C$4&amp;TEXT(ROW()-4,"00000"))</f>
        <v/>
      </c>
      <c r="B82" s="22"/>
      <c r="C82" s="23"/>
      <c r="D82" s="21" t="str">
        <f aca="false">IF(C82="","",IFERROR(INDEX(取引先マスタ!$B$5:$B$204,MATCH(C82,取引先マスタ!$A$5:$A$204,0)),"コード誤り"))</f>
        <v/>
      </c>
      <c r="E82" s="26"/>
      <c r="F82" s="18"/>
      <c r="G82" s="25" t="str">
        <f aca="false">IF(OR(B82="",C82="",D82="コード誤り"),"",IFERROR(IF(OR(INDEX(取引先マスタ!$E$5:$E$204,MATCH(C82,取引先マスタ!$A$5:$A$204,0))="",INDEX(取引先マスタ!$F$5:$F$204,MATCH(C82,取引先マスタ!$A$5:$A$204,0))=""),"",DATE(YEAR(B82),MONTH(B82)+INDEX(取引先マスタ!$E$5:$E$204,MATCH(C82,取引先マスタ!$A$5:$A$204,0)),MIN(INDEX(取引先マスタ!$F$5:$F$204,MATCH(C82,取引先マスタ!$A$5:$A$204,0)),DAY(EOMONTH(B82,INDEX(取引先マスタ!$E$5:$E$204,MATCH(C82,取引先マスタ!$A$5:$A$204,0))))))),""))</f>
        <v/>
      </c>
      <c r="H82" s="22"/>
      <c r="I82" s="25" t="str">
        <f aca="false">IF(H82&lt;&gt;"",H82,G82)</f>
        <v/>
      </c>
      <c r="J82" s="26"/>
      <c r="K82" s="22"/>
      <c r="L82" s="26"/>
      <c r="M82" s="27" t="str">
        <f aca="false">IF(A82="","",SUMIF(入金明細!$F$5:$F$1004,A82,入金明細!$E$5:$E$1004))</f>
        <v/>
      </c>
      <c r="N82" s="25" t="str">
        <f aca="false">IF(OR(A82="",N(M82)=0),"",SUMPRODUCT(MAX((入金明細!$F$5:$F$1004=A82)*入金明細!$B$5:$B$1004)))</f>
        <v/>
      </c>
      <c r="O82" s="18"/>
      <c r="P82" s="27" t="str">
        <f aca="false">IF(OR(A82="",F82=""),"",F82-N(M82)-N(O82))</f>
        <v/>
      </c>
      <c r="Q82" s="26"/>
      <c r="R82" s="28" t="str">
        <f aca="false">IF(A82="","",IF(Q82="取消","取消",IF(T82&lt;&gt;"","要入力",IF(K82="","未送付",IF(P82=0,"入金済",IF(P82&lt;0,"過入金",IF(設定!$C$5&gt;I82,IF(N(M82)&gt;0,"一部入金・超過","期日超過"),IF(N(M82)&gt;0,"一部入金",IF(I82-設定!$C$5&lt;=設定!$C$6,"期日間近","入金待ち")))))))))</f>
        <v/>
      </c>
      <c r="S82" s="29" t="str">
        <f aca="false">IF(OR(R82="期日超過",R82="一部入金・超過"),設定!$C$5-I82,"")</f>
        <v/>
      </c>
      <c r="T82" s="21" t="str">
        <f aca="false">IF(A82="","",TRIM(IF(B82="","請求日 ","")&amp;IF(C82="","取引先 ",IF(D82="コード誤り","取引先コード誤り ",""))&amp;IF(E82="","件名 ","")&amp;IF(F82="","請求額 ","")&amp;IF(AND(F82&lt;&gt;"",I82=""),"入金期日(マスタの支払条件が未登録) ","")&amp;IF(J82="","送付方法 ","")&amp;IF(AND(K82&lt;&gt;"",L82=""),"送付者 ","")&amp;IF(AND(K82&lt;&gt;"",N(K82)&gt;設定!$C$5),"送付日が未来の日付 ","")&amp;IF(AND(K82&lt;&gt;"",N(M82)&gt;0,N(P82)&lt;=0,U82=""),"消込確認者 ","")))</f>
        <v/>
      </c>
      <c r="U82" s="26"/>
      <c r="V82" s="26"/>
    </row>
    <row r="83" customFormat="false" ht="15" hidden="false" customHeight="false" outlineLevel="0" collapsed="false">
      <c r="A83" s="21" t="str">
        <f aca="false">IF(COUNTA(B83,C83,E83,F83)=0,"",設定!$C$4&amp;TEXT(ROW()-4,"00000"))</f>
        <v/>
      </c>
      <c r="B83" s="22"/>
      <c r="C83" s="23"/>
      <c r="D83" s="21" t="str">
        <f aca="false">IF(C83="","",IFERROR(INDEX(取引先マスタ!$B$5:$B$204,MATCH(C83,取引先マスタ!$A$5:$A$204,0)),"コード誤り"))</f>
        <v/>
      </c>
      <c r="E83" s="26"/>
      <c r="F83" s="18"/>
      <c r="G83" s="25" t="str">
        <f aca="false">IF(OR(B83="",C83="",D83="コード誤り"),"",IFERROR(IF(OR(INDEX(取引先マスタ!$E$5:$E$204,MATCH(C83,取引先マスタ!$A$5:$A$204,0))="",INDEX(取引先マスタ!$F$5:$F$204,MATCH(C83,取引先マスタ!$A$5:$A$204,0))=""),"",DATE(YEAR(B83),MONTH(B83)+INDEX(取引先マスタ!$E$5:$E$204,MATCH(C83,取引先マスタ!$A$5:$A$204,0)),MIN(INDEX(取引先マスタ!$F$5:$F$204,MATCH(C83,取引先マスタ!$A$5:$A$204,0)),DAY(EOMONTH(B83,INDEX(取引先マスタ!$E$5:$E$204,MATCH(C83,取引先マスタ!$A$5:$A$204,0))))))),""))</f>
        <v/>
      </c>
      <c r="H83" s="22"/>
      <c r="I83" s="25" t="str">
        <f aca="false">IF(H83&lt;&gt;"",H83,G83)</f>
        <v/>
      </c>
      <c r="J83" s="26"/>
      <c r="K83" s="22"/>
      <c r="L83" s="26"/>
      <c r="M83" s="27" t="str">
        <f aca="false">IF(A83="","",SUMIF(入金明細!$F$5:$F$1004,A83,入金明細!$E$5:$E$1004))</f>
        <v/>
      </c>
      <c r="N83" s="25" t="str">
        <f aca="false">IF(OR(A83="",N(M83)=0),"",SUMPRODUCT(MAX((入金明細!$F$5:$F$1004=A83)*入金明細!$B$5:$B$1004)))</f>
        <v/>
      </c>
      <c r="O83" s="18"/>
      <c r="P83" s="27" t="str">
        <f aca="false">IF(OR(A83="",F83=""),"",F83-N(M83)-N(O83))</f>
        <v/>
      </c>
      <c r="Q83" s="26"/>
      <c r="R83" s="28" t="str">
        <f aca="false">IF(A83="","",IF(Q83="取消","取消",IF(T83&lt;&gt;"","要入力",IF(K83="","未送付",IF(P83=0,"入金済",IF(P83&lt;0,"過入金",IF(設定!$C$5&gt;I83,IF(N(M83)&gt;0,"一部入金・超過","期日超過"),IF(N(M83)&gt;0,"一部入金",IF(I83-設定!$C$5&lt;=設定!$C$6,"期日間近","入金待ち")))))))))</f>
        <v/>
      </c>
      <c r="S83" s="29" t="str">
        <f aca="false">IF(OR(R83="期日超過",R83="一部入金・超過"),設定!$C$5-I83,"")</f>
        <v/>
      </c>
      <c r="T83" s="21" t="str">
        <f aca="false">IF(A83="","",TRIM(IF(B83="","請求日 ","")&amp;IF(C83="","取引先 ",IF(D83="コード誤り","取引先コード誤り ",""))&amp;IF(E83="","件名 ","")&amp;IF(F83="","請求額 ","")&amp;IF(AND(F83&lt;&gt;"",I83=""),"入金期日(マスタの支払条件が未登録) ","")&amp;IF(J83="","送付方法 ","")&amp;IF(AND(K83&lt;&gt;"",L83=""),"送付者 ","")&amp;IF(AND(K83&lt;&gt;"",N(K83)&gt;設定!$C$5),"送付日が未来の日付 ","")&amp;IF(AND(K83&lt;&gt;"",N(M83)&gt;0,N(P83)&lt;=0,U83=""),"消込確認者 ","")))</f>
        <v/>
      </c>
      <c r="U83" s="26"/>
      <c r="V83" s="26"/>
    </row>
    <row r="84" customFormat="false" ht="15" hidden="false" customHeight="false" outlineLevel="0" collapsed="false">
      <c r="A84" s="21" t="str">
        <f aca="false">IF(COUNTA(B84,C84,E84,F84)=0,"",設定!$C$4&amp;TEXT(ROW()-4,"00000"))</f>
        <v/>
      </c>
      <c r="B84" s="22"/>
      <c r="C84" s="23"/>
      <c r="D84" s="21" t="str">
        <f aca="false">IF(C84="","",IFERROR(INDEX(取引先マスタ!$B$5:$B$204,MATCH(C84,取引先マスタ!$A$5:$A$204,0)),"コード誤り"))</f>
        <v/>
      </c>
      <c r="E84" s="26"/>
      <c r="F84" s="18"/>
      <c r="G84" s="25" t="str">
        <f aca="false">IF(OR(B84="",C84="",D84="コード誤り"),"",IFERROR(IF(OR(INDEX(取引先マスタ!$E$5:$E$204,MATCH(C84,取引先マスタ!$A$5:$A$204,0))="",INDEX(取引先マスタ!$F$5:$F$204,MATCH(C84,取引先マスタ!$A$5:$A$204,0))=""),"",DATE(YEAR(B84),MONTH(B84)+INDEX(取引先マスタ!$E$5:$E$204,MATCH(C84,取引先マスタ!$A$5:$A$204,0)),MIN(INDEX(取引先マスタ!$F$5:$F$204,MATCH(C84,取引先マスタ!$A$5:$A$204,0)),DAY(EOMONTH(B84,INDEX(取引先マスタ!$E$5:$E$204,MATCH(C84,取引先マスタ!$A$5:$A$204,0))))))),""))</f>
        <v/>
      </c>
      <c r="H84" s="22"/>
      <c r="I84" s="25" t="str">
        <f aca="false">IF(H84&lt;&gt;"",H84,G84)</f>
        <v/>
      </c>
      <c r="J84" s="26"/>
      <c r="K84" s="22"/>
      <c r="L84" s="26"/>
      <c r="M84" s="27" t="str">
        <f aca="false">IF(A84="","",SUMIF(入金明細!$F$5:$F$1004,A84,入金明細!$E$5:$E$1004))</f>
        <v/>
      </c>
      <c r="N84" s="25" t="str">
        <f aca="false">IF(OR(A84="",N(M84)=0),"",SUMPRODUCT(MAX((入金明細!$F$5:$F$1004=A84)*入金明細!$B$5:$B$1004)))</f>
        <v/>
      </c>
      <c r="O84" s="18"/>
      <c r="P84" s="27" t="str">
        <f aca="false">IF(OR(A84="",F84=""),"",F84-N(M84)-N(O84))</f>
        <v/>
      </c>
      <c r="Q84" s="26"/>
      <c r="R84" s="28" t="str">
        <f aca="false">IF(A84="","",IF(Q84="取消","取消",IF(T84&lt;&gt;"","要入力",IF(K84="","未送付",IF(P84=0,"入金済",IF(P84&lt;0,"過入金",IF(設定!$C$5&gt;I84,IF(N(M84)&gt;0,"一部入金・超過","期日超過"),IF(N(M84)&gt;0,"一部入金",IF(I84-設定!$C$5&lt;=設定!$C$6,"期日間近","入金待ち")))))))))</f>
        <v/>
      </c>
      <c r="S84" s="29" t="str">
        <f aca="false">IF(OR(R84="期日超過",R84="一部入金・超過"),設定!$C$5-I84,"")</f>
        <v/>
      </c>
      <c r="T84" s="21" t="str">
        <f aca="false">IF(A84="","",TRIM(IF(B84="","請求日 ","")&amp;IF(C84="","取引先 ",IF(D84="コード誤り","取引先コード誤り ",""))&amp;IF(E84="","件名 ","")&amp;IF(F84="","請求額 ","")&amp;IF(AND(F84&lt;&gt;"",I84=""),"入金期日(マスタの支払条件が未登録) ","")&amp;IF(J84="","送付方法 ","")&amp;IF(AND(K84&lt;&gt;"",L84=""),"送付者 ","")&amp;IF(AND(K84&lt;&gt;"",N(K84)&gt;設定!$C$5),"送付日が未来の日付 ","")&amp;IF(AND(K84&lt;&gt;"",N(M84)&gt;0,N(P84)&lt;=0,U84=""),"消込確認者 ","")))</f>
        <v/>
      </c>
      <c r="U84" s="26"/>
      <c r="V84" s="26"/>
    </row>
    <row r="85" customFormat="false" ht="15" hidden="false" customHeight="false" outlineLevel="0" collapsed="false">
      <c r="A85" s="21" t="str">
        <f aca="false">IF(COUNTA(B85,C85,E85,F85)=0,"",設定!$C$4&amp;TEXT(ROW()-4,"00000"))</f>
        <v/>
      </c>
      <c r="B85" s="22"/>
      <c r="C85" s="23"/>
      <c r="D85" s="21" t="str">
        <f aca="false">IF(C85="","",IFERROR(INDEX(取引先マスタ!$B$5:$B$204,MATCH(C85,取引先マスタ!$A$5:$A$204,0)),"コード誤り"))</f>
        <v/>
      </c>
      <c r="E85" s="26"/>
      <c r="F85" s="18"/>
      <c r="G85" s="25" t="str">
        <f aca="false">IF(OR(B85="",C85="",D85="コード誤り"),"",IFERROR(IF(OR(INDEX(取引先マスタ!$E$5:$E$204,MATCH(C85,取引先マスタ!$A$5:$A$204,0))="",INDEX(取引先マスタ!$F$5:$F$204,MATCH(C85,取引先マスタ!$A$5:$A$204,0))=""),"",DATE(YEAR(B85),MONTH(B85)+INDEX(取引先マスタ!$E$5:$E$204,MATCH(C85,取引先マスタ!$A$5:$A$204,0)),MIN(INDEX(取引先マスタ!$F$5:$F$204,MATCH(C85,取引先マスタ!$A$5:$A$204,0)),DAY(EOMONTH(B85,INDEX(取引先マスタ!$E$5:$E$204,MATCH(C85,取引先マスタ!$A$5:$A$204,0))))))),""))</f>
        <v/>
      </c>
      <c r="H85" s="22"/>
      <c r="I85" s="25" t="str">
        <f aca="false">IF(H85&lt;&gt;"",H85,G85)</f>
        <v/>
      </c>
      <c r="J85" s="26"/>
      <c r="K85" s="22"/>
      <c r="L85" s="26"/>
      <c r="M85" s="27" t="str">
        <f aca="false">IF(A85="","",SUMIF(入金明細!$F$5:$F$1004,A85,入金明細!$E$5:$E$1004))</f>
        <v/>
      </c>
      <c r="N85" s="25" t="str">
        <f aca="false">IF(OR(A85="",N(M85)=0),"",SUMPRODUCT(MAX((入金明細!$F$5:$F$1004=A85)*入金明細!$B$5:$B$1004)))</f>
        <v/>
      </c>
      <c r="O85" s="18"/>
      <c r="P85" s="27" t="str">
        <f aca="false">IF(OR(A85="",F85=""),"",F85-N(M85)-N(O85))</f>
        <v/>
      </c>
      <c r="Q85" s="26"/>
      <c r="R85" s="28" t="str">
        <f aca="false">IF(A85="","",IF(Q85="取消","取消",IF(T85&lt;&gt;"","要入力",IF(K85="","未送付",IF(P85=0,"入金済",IF(P85&lt;0,"過入金",IF(設定!$C$5&gt;I85,IF(N(M85)&gt;0,"一部入金・超過","期日超過"),IF(N(M85)&gt;0,"一部入金",IF(I85-設定!$C$5&lt;=設定!$C$6,"期日間近","入金待ち")))))))))</f>
        <v/>
      </c>
      <c r="S85" s="29" t="str">
        <f aca="false">IF(OR(R85="期日超過",R85="一部入金・超過"),設定!$C$5-I85,"")</f>
        <v/>
      </c>
      <c r="T85" s="21" t="str">
        <f aca="false">IF(A85="","",TRIM(IF(B85="","請求日 ","")&amp;IF(C85="","取引先 ",IF(D85="コード誤り","取引先コード誤り ",""))&amp;IF(E85="","件名 ","")&amp;IF(F85="","請求額 ","")&amp;IF(AND(F85&lt;&gt;"",I85=""),"入金期日(マスタの支払条件が未登録) ","")&amp;IF(J85="","送付方法 ","")&amp;IF(AND(K85&lt;&gt;"",L85=""),"送付者 ","")&amp;IF(AND(K85&lt;&gt;"",N(K85)&gt;設定!$C$5),"送付日が未来の日付 ","")&amp;IF(AND(K85&lt;&gt;"",N(M85)&gt;0,N(P85)&lt;=0,U85=""),"消込確認者 ","")))</f>
        <v/>
      </c>
      <c r="U85" s="26"/>
      <c r="V85" s="26"/>
    </row>
    <row r="86" customFormat="false" ht="15" hidden="false" customHeight="false" outlineLevel="0" collapsed="false">
      <c r="A86" s="21" t="str">
        <f aca="false">IF(COUNTA(B86,C86,E86,F86)=0,"",設定!$C$4&amp;TEXT(ROW()-4,"00000"))</f>
        <v/>
      </c>
      <c r="B86" s="22"/>
      <c r="C86" s="23"/>
      <c r="D86" s="21" t="str">
        <f aca="false">IF(C86="","",IFERROR(INDEX(取引先マスタ!$B$5:$B$204,MATCH(C86,取引先マスタ!$A$5:$A$204,0)),"コード誤り"))</f>
        <v/>
      </c>
      <c r="E86" s="26"/>
      <c r="F86" s="18"/>
      <c r="G86" s="25" t="str">
        <f aca="false">IF(OR(B86="",C86="",D86="コード誤り"),"",IFERROR(IF(OR(INDEX(取引先マスタ!$E$5:$E$204,MATCH(C86,取引先マスタ!$A$5:$A$204,0))="",INDEX(取引先マスタ!$F$5:$F$204,MATCH(C86,取引先マスタ!$A$5:$A$204,0))=""),"",DATE(YEAR(B86),MONTH(B86)+INDEX(取引先マスタ!$E$5:$E$204,MATCH(C86,取引先マスタ!$A$5:$A$204,0)),MIN(INDEX(取引先マスタ!$F$5:$F$204,MATCH(C86,取引先マスタ!$A$5:$A$204,0)),DAY(EOMONTH(B86,INDEX(取引先マスタ!$E$5:$E$204,MATCH(C86,取引先マスタ!$A$5:$A$204,0))))))),""))</f>
        <v/>
      </c>
      <c r="H86" s="22"/>
      <c r="I86" s="25" t="str">
        <f aca="false">IF(H86&lt;&gt;"",H86,G86)</f>
        <v/>
      </c>
      <c r="J86" s="26"/>
      <c r="K86" s="22"/>
      <c r="L86" s="26"/>
      <c r="M86" s="27" t="str">
        <f aca="false">IF(A86="","",SUMIF(入金明細!$F$5:$F$1004,A86,入金明細!$E$5:$E$1004))</f>
        <v/>
      </c>
      <c r="N86" s="25" t="str">
        <f aca="false">IF(OR(A86="",N(M86)=0),"",SUMPRODUCT(MAX((入金明細!$F$5:$F$1004=A86)*入金明細!$B$5:$B$1004)))</f>
        <v/>
      </c>
      <c r="O86" s="18"/>
      <c r="P86" s="27" t="str">
        <f aca="false">IF(OR(A86="",F86=""),"",F86-N(M86)-N(O86))</f>
        <v/>
      </c>
      <c r="Q86" s="26"/>
      <c r="R86" s="28" t="str">
        <f aca="false">IF(A86="","",IF(Q86="取消","取消",IF(T86&lt;&gt;"","要入力",IF(K86="","未送付",IF(P86=0,"入金済",IF(P86&lt;0,"過入金",IF(設定!$C$5&gt;I86,IF(N(M86)&gt;0,"一部入金・超過","期日超過"),IF(N(M86)&gt;0,"一部入金",IF(I86-設定!$C$5&lt;=設定!$C$6,"期日間近","入金待ち")))))))))</f>
        <v/>
      </c>
      <c r="S86" s="29" t="str">
        <f aca="false">IF(OR(R86="期日超過",R86="一部入金・超過"),設定!$C$5-I86,"")</f>
        <v/>
      </c>
      <c r="T86" s="21" t="str">
        <f aca="false">IF(A86="","",TRIM(IF(B86="","請求日 ","")&amp;IF(C86="","取引先 ",IF(D86="コード誤り","取引先コード誤り ",""))&amp;IF(E86="","件名 ","")&amp;IF(F86="","請求額 ","")&amp;IF(AND(F86&lt;&gt;"",I86=""),"入金期日(マスタの支払条件が未登録) ","")&amp;IF(J86="","送付方法 ","")&amp;IF(AND(K86&lt;&gt;"",L86=""),"送付者 ","")&amp;IF(AND(K86&lt;&gt;"",N(K86)&gt;設定!$C$5),"送付日が未来の日付 ","")&amp;IF(AND(K86&lt;&gt;"",N(M86)&gt;0,N(P86)&lt;=0,U86=""),"消込確認者 ","")))</f>
        <v/>
      </c>
      <c r="U86" s="26"/>
      <c r="V86" s="26"/>
    </row>
    <row r="87" customFormat="false" ht="15" hidden="false" customHeight="false" outlineLevel="0" collapsed="false">
      <c r="A87" s="21" t="str">
        <f aca="false">IF(COUNTA(B87,C87,E87,F87)=0,"",設定!$C$4&amp;TEXT(ROW()-4,"00000"))</f>
        <v/>
      </c>
      <c r="B87" s="22"/>
      <c r="C87" s="23"/>
      <c r="D87" s="21" t="str">
        <f aca="false">IF(C87="","",IFERROR(INDEX(取引先マスタ!$B$5:$B$204,MATCH(C87,取引先マスタ!$A$5:$A$204,0)),"コード誤り"))</f>
        <v/>
      </c>
      <c r="E87" s="26"/>
      <c r="F87" s="18"/>
      <c r="G87" s="25" t="str">
        <f aca="false">IF(OR(B87="",C87="",D87="コード誤り"),"",IFERROR(IF(OR(INDEX(取引先マスタ!$E$5:$E$204,MATCH(C87,取引先マスタ!$A$5:$A$204,0))="",INDEX(取引先マスタ!$F$5:$F$204,MATCH(C87,取引先マスタ!$A$5:$A$204,0))=""),"",DATE(YEAR(B87),MONTH(B87)+INDEX(取引先マスタ!$E$5:$E$204,MATCH(C87,取引先マスタ!$A$5:$A$204,0)),MIN(INDEX(取引先マスタ!$F$5:$F$204,MATCH(C87,取引先マスタ!$A$5:$A$204,0)),DAY(EOMONTH(B87,INDEX(取引先マスタ!$E$5:$E$204,MATCH(C87,取引先マスタ!$A$5:$A$204,0))))))),""))</f>
        <v/>
      </c>
      <c r="H87" s="22"/>
      <c r="I87" s="25" t="str">
        <f aca="false">IF(H87&lt;&gt;"",H87,G87)</f>
        <v/>
      </c>
      <c r="J87" s="26"/>
      <c r="K87" s="22"/>
      <c r="L87" s="26"/>
      <c r="M87" s="27" t="str">
        <f aca="false">IF(A87="","",SUMIF(入金明細!$F$5:$F$1004,A87,入金明細!$E$5:$E$1004))</f>
        <v/>
      </c>
      <c r="N87" s="25" t="str">
        <f aca="false">IF(OR(A87="",N(M87)=0),"",SUMPRODUCT(MAX((入金明細!$F$5:$F$1004=A87)*入金明細!$B$5:$B$1004)))</f>
        <v/>
      </c>
      <c r="O87" s="18"/>
      <c r="P87" s="27" t="str">
        <f aca="false">IF(OR(A87="",F87=""),"",F87-N(M87)-N(O87))</f>
        <v/>
      </c>
      <c r="Q87" s="26"/>
      <c r="R87" s="28" t="str">
        <f aca="false">IF(A87="","",IF(Q87="取消","取消",IF(T87&lt;&gt;"","要入力",IF(K87="","未送付",IF(P87=0,"入金済",IF(P87&lt;0,"過入金",IF(設定!$C$5&gt;I87,IF(N(M87)&gt;0,"一部入金・超過","期日超過"),IF(N(M87)&gt;0,"一部入金",IF(I87-設定!$C$5&lt;=設定!$C$6,"期日間近","入金待ち")))))))))</f>
        <v/>
      </c>
      <c r="S87" s="29" t="str">
        <f aca="false">IF(OR(R87="期日超過",R87="一部入金・超過"),設定!$C$5-I87,"")</f>
        <v/>
      </c>
      <c r="T87" s="21" t="str">
        <f aca="false">IF(A87="","",TRIM(IF(B87="","請求日 ","")&amp;IF(C87="","取引先 ",IF(D87="コード誤り","取引先コード誤り ",""))&amp;IF(E87="","件名 ","")&amp;IF(F87="","請求額 ","")&amp;IF(AND(F87&lt;&gt;"",I87=""),"入金期日(マスタの支払条件が未登録) ","")&amp;IF(J87="","送付方法 ","")&amp;IF(AND(K87&lt;&gt;"",L87=""),"送付者 ","")&amp;IF(AND(K87&lt;&gt;"",N(K87)&gt;設定!$C$5),"送付日が未来の日付 ","")&amp;IF(AND(K87&lt;&gt;"",N(M87)&gt;0,N(P87)&lt;=0,U87=""),"消込確認者 ","")))</f>
        <v/>
      </c>
      <c r="U87" s="26"/>
      <c r="V87" s="26"/>
    </row>
    <row r="88" customFormat="false" ht="15" hidden="false" customHeight="false" outlineLevel="0" collapsed="false">
      <c r="A88" s="21" t="str">
        <f aca="false">IF(COUNTA(B88,C88,E88,F88)=0,"",設定!$C$4&amp;TEXT(ROW()-4,"00000"))</f>
        <v/>
      </c>
      <c r="B88" s="22"/>
      <c r="C88" s="23"/>
      <c r="D88" s="21" t="str">
        <f aca="false">IF(C88="","",IFERROR(INDEX(取引先マスタ!$B$5:$B$204,MATCH(C88,取引先マスタ!$A$5:$A$204,0)),"コード誤り"))</f>
        <v/>
      </c>
      <c r="E88" s="26"/>
      <c r="F88" s="18"/>
      <c r="G88" s="25" t="str">
        <f aca="false">IF(OR(B88="",C88="",D88="コード誤り"),"",IFERROR(IF(OR(INDEX(取引先マスタ!$E$5:$E$204,MATCH(C88,取引先マスタ!$A$5:$A$204,0))="",INDEX(取引先マスタ!$F$5:$F$204,MATCH(C88,取引先マスタ!$A$5:$A$204,0))=""),"",DATE(YEAR(B88),MONTH(B88)+INDEX(取引先マスタ!$E$5:$E$204,MATCH(C88,取引先マスタ!$A$5:$A$204,0)),MIN(INDEX(取引先マスタ!$F$5:$F$204,MATCH(C88,取引先マスタ!$A$5:$A$204,0)),DAY(EOMONTH(B88,INDEX(取引先マスタ!$E$5:$E$204,MATCH(C88,取引先マスタ!$A$5:$A$204,0))))))),""))</f>
        <v/>
      </c>
      <c r="H88" s="22"/>
      <c r="I88" s="25" t="str">
        <f aca="false">IF(H88&lt;&gt;"",H88,G88)</f>
        <v/>
      </c>
      <c r="J88" s="26"/>
      <c r="K88" s="22"/>
      <c r="L88" s="26"/>
      <c r="M88" s="27" t="str">
        <f aca="false">IF(A88="","",SUMIF(入金明細!$F$5:$F$1004,A88,入金明細!$E$5:$E$1004))</f>
        <v/>
      </c>
      <c r="N88" s="25" t="str">
        <f aca="false">IF(OR(A88="",N(M88)=0),"",SUMPRODUCT(MAX((入金明細!$F$5:$F$1004=A88)*入金明細!$B$5:$B$1004)))</f>
        <v/>
      </c>
      <c r="O88" s="18"/>
      <c r="P88" s="27" t="str">
        <f aca="false">IF(OR(A88="",F88=""),"",F88-N(M88)-N(O88))</f>
        <v/>
      </c>
      <c r="Q88" s="26"/>
      <c r="R88" s="28" t="str">
        <f aca="false">IF(A88="","",IF(Q88="取消","取消",IF(T88&lt;&gt;"","要入力",IF(K88="","未送付",IF(P88=0,"入金済",IF(P88&lt;0,"過入金",IF(設定!$C$5&gt;I88,IF(N(M88)&gt;0,"一部入金・超過","期日超過"),IF(N(M88)&gt;0,"一部入金",IF(I88-設定!$C$5&lt;=設定!$C$6,"期日間近","入金待ち")))))))))</f>
        <v/>
      </c>
      <c r="S88" s="29" t="str">
        <f aca="false">IF(OR(R88="期日超過",R88="一部入金・超過"),設定!$C$5-I88,"")</f>
        <v/>
      </c>
      <c r="T88" s="21" t="str">
        <f aca="false">IF(A88="","",TRIM(IF(B88="","請求日 ","")&amp;IF(C88="","取引先 ",IF(D88="コード誤り","取引先コード誤り ",""))&amp;IF(E88="","件名 ","")&amp;IF(F88="","請求額 ","")&amp;IF(AND(F88&lt;&gt;"",I88=""),"入金期日(マスタの支払条件が未登録) ","")&amp;IF(J88="","送付方法 ","")&amp;IF(AND(K88&lt;&gt;"",L88=""),"送付者 ","")&amp;IF(AND(K88&lt;&gt;"",N(K88)&gt;設定!$C$5),"送付日が未来の日付 ","")&amp;IF(AND(K88&lt;&gt;"",N(M88)&gt;0,N(P88)&lt;=0,U88=""),"消込確認者 ","")))</f>
        <v/>
      </c>
      <c r="U88" s="26"/>
      <c r="V88" s="26"/>
    </row>
    <row r="89" customFormat="false" ht="15" hidden="false" customHeight="false" outlineLevel="0" collapsed="false">
      <c r="A89" s="21" t="str">
        <f aca="false">IF(COUNTA(B89,C89,E89,F89)=0,"",設定!$C$4&amp;TEXT(ROW()-4,"00000"))</f>
        <v/>
      </c>
      <c r="B89" s="22"/>
      <c r="C89" s="23"/>
      <c r="D89" s="21" t="str">
        <f aca="false">IF(C89="","",IFERROR(INDEX(取引先マスタ!$B$5:$B$204,MATCH(C89,取引先マスタ!$A$5:$A$204,0)),"コード誤り"))</f>
        <v/>
      </c>
      <c r="E89" s="26"/>
      <c r="F89" s="18"/>
      <c r="G89" s="25" t="str">
        <f aca="false">IF(OR(B89="",C89="",D89="コード誤り"),"",IFERROR(IF(OR(INDEX(取引先マスタ!$E$5:$E$204,MATCH(C89,取引先マスタ!$A$5:$A$204,0))="",INDEX(取引先マスタ!$F$5:$F$204,MATCH(C89,取引先マスタ!$A$5:$A$204,0))=""),"",DATE(YEAR(B89),MONTH(B89)+INDEX(取引先マスタ!$E$5:$E$204,MATCH(C89,取引先マスタ!$A$5:$A$204,0)),MIN(INDEX(取引先マスタ!$F$5:$F$204,MATCH(C89,取引先マスタ!$A$5:$A$204,0)),DAY(EOMONTH(B89,INDEX(取引先マスタ!$E$5:$E$204,MATCH(C89,取引先マスタ!$A$5:$A$204,0))))))),""))</f>
        <v/>
      </c>
      <c r="H89" s="22"/>
      <c r="I89" s="25" t="str">
        <f aca="false">IF(H89&lt;&gt;"",H89,G89)</f>
        <v/>
      </c>
      <c r="J89" s="26"/>
      <c r="K89" s="22"/>
      <c r="L89" s="26"/>
      <c r="M89" s="27" t="str">
        <f aca="false">IF(A89="","",SUMIF(入金明細!$F$5:$F$1004,A89,入金明細!$E$5:$E$1004))</f>
        <v/>
      </c>
      <c r="N89" s="25" t="str">
        <f aca="false">IF(OR(A89="",N(M89)=0),"",SUMPRODUCT(MAX((入金明細!$F$5:$F$1004=A89)*入金明細!$B$5:$B$1004)))</f>
        <v/>
      </c>
      <c r="O89" s="18"/>
      <c r="P89" s="27" t="str">
        <f aca="false">IF(OR(A89="",F89=""),"",F89-N(M89)-N(O89))</f>
        <v/>
      </c>
      <c r="Q89" s="26"/>
      <c r="R89" s="28" t="str">
        <f aca="false">IF(A89="","",IF(Q89="取消","取消",IF(T89&lt;&gt;"","要入力",IF(K89="","未送付",IF(P89=0,"入金済",IF(P89&lt;0,"過入金",IF(設定!$C$5&gt;I89,IF(N(M89)&gt;0,"一部入金・超過","期日超過"),IF(N(M89)&gt;0,"一部入金",IF(I89-設定!$C$5&lt;=設定!$C$6,"期日間近","入金待ち")))))))))</f>
        <v/>
      </c>
      <c r="S89" s="29" t="str">
        <f aca="false">IF(OR(R89="期日超過",R89="一部入金・超過"),設定!$C$5-I89,"")</f>
        <v/>
      </c>
      <c r="T89" s="21" t="str">
        <f aca="false">IF(A89="","",TRIM(IF(B89="","請求日 ","")&amp;IF(C89="","取引先 ",IF(D89="コード誤り","取引先コード誤り ",""))&amp;IF(E89="","件名 ","")&amp;IF(F89="","請求額 ","")&amp;IF(AND(F89&lt;&gt;"",I89=""),"入金期日(マスタの支払条件が未登録) ","")&amp;IF(J89="","送付方法 ","")&amp;IF(AND(K89&lt;&gt;"",L89=""),"送付者 ","")&amp;IF(AND(K89&lt;&gt;"",N(K89)&gt;設定!$C$5),"送付日が未来の日付 ","")&amp;IF(AND(K89&lt;&gt;"",N(M89)&gt;0,N(P89)&lt;=0,U89=""),"消込確認者 ","")))</f>
        <v/>
      </c>
      <c r="U89" s="26"/>
      <c r="V89" s="26"/>
    </row>
    <row r="90" customFormat="false" ht="15" hidden="false" customHeight="false" outlineLevel="0" collapsed="false">
      <c r="A90" s="21" t="str">
        <f aca="false">IF(COUNTA(B90,C90,E90,F90)=0,"",設定!$C$4&amp;TEXT(ROW()-4,"00000"))</f>
        <v/>
      </c>
      <c r="B90" s="22"/>
      <c r="C90" s="23"/>
      <c r="D90" s="21" t="str">
        <f aca="false">IF(C90="","",IFERROR(INDEX(取引先マスタ!$B$5:$B$204,MATCH(C90,取引先マスタ!$A$5:$A$204,0)),"コード誤り"))</f>
        <v/>
      </c>
      <c r="E90" s="26"/>
      <c r="F90" s="18"/>
      <c r="G90" s="25" t="str">
        <f aca="false">IF(OR(B90="",C90="",D90="コード誤り"),"",IFERROR(IF(OR(INDEX(取引先マスタ!$E$5:$E$204,MATCH(C90,取引先マスタ!$A$5:$A$204,0))="",INDEX(取引先マスタ!$F$5:$F$204,MATCH(C90,取引先マスタ!$A$5:$A$204,0))=""),"",DATE(YEAR(B90),MONTH(B90)+INDEX(取引先マスタ!$E$5:$E$204,MATCH(C90,取引先マスタ!$A$5:$A$204,0)),MIN(INDEX(取引先マスタ!$F$5:$F$204,MATCH(C90,取引先マスタ!$A$5:$A$204,0)),DAY(EOMONTH(B90,INDEX(取引先マスタ!$E$5:$E$204,MATCH(C90,取引先マスタ!$A$5:$A$204,0))))))),""))</f>
        <v/>
      </c>
      <c r="H90" s="22"/>
      <c r="I90" s="25" t="str">
        <f aca="false">IF(H90&lt;&gt;"",H90,G90)</f>
        <v/>
      </c>
      <c r="J90" s="26"/>
      <c r="K90" s="22"/>
      <c r="L90" s="26"/>
      <c r="M90" s="27" t="str">
        <f aca="false">IF(A90="","",SUMIF(入金明細!$F$5:$F$1004,A90,入金明細!$E$5:$E$1004))</f>
        <v/>
      </c>
      <c r="N90" s="25" t="str">
        <f aca="false">IF(OR(A90="",N(M90)=0),"",SUMPRODUCT(MAX((入金明細!$F$5:$F$1004=A90)*入金明細!$B$5:$B$1004)))</f>
        <v/>
      </c>
      <c r="O90" s="18"/>
      <c r="P90" s="27" t="str">
        <f aca="false">IF(OR(A90="",F90=""),"",F90-N(M90)-N(O90))</f>
        <v/>
      </c>
      <c r="Q90" s="26"/>
      <c r="R90" s="28" t="str">
        <f aca="false">IF(A90="","",IF(Q90="取消","取消",IF(T90&lt;&gt;"","要入力",IF(K90="","未送付",IF(P90=0,"入金済",IF(P90&lt;0,"過入金",IF(設定!$C$5&gt;I90,IF(N(M90)&gt;0,"一部入金・超過","期日超過"),IF(N(M90)&gt;0,"一部入金",IF(I90-設定!$C$5&lt;=設定!$C$6,"期日間近","入金待ち")))))))))</f>
        <v/>
      </c>
      <c r="S90" s="29" t="str">
        <f aca="false">IF(OR(R90="期日超過",R90="一部入金・超過"),設定!$C$5-I90,"")</f>
        <v/>
      </c>
      <c r="T90" s="21" t="str">
        <f aca="false">IF(A90="","",TRIM(IF(B90="","請求日 ","")&amp;IF(C90="","取引先 ",IF(D90="コード誤り","取引先コード誤り ",""))&amp;IF(E90="","件名 ","")&amp;IF(F90="","請求額 ","")&amp;IF(AND(F90&lt;&gt;"",I90=""),"入金期日(マスタの支払条件が未登録) ","")&amp;IF(J90="","送付方法 ","")&amp;IF(AND(K90&lt;&gt;"",L90=""),"送付者 ","")&amp;IF(AND(K90&lt;&gt;"",N(K90)&gt;設定!$C$5),"送付日が未来の日付 ","")&amp;IF(AND(K90&lt;&gt;"",N(M90)&gt;0,N(P90)&lt;=0,U90=""),"消込確認者 ","")))</f>
        <v/>
      </c>
      <c r="U90" s="26"/>
      <c r="V90" s="26"/>
    </row>
    <row r="91" customFormat="false" ht="15" hidden="false" customHeight="false" outlineLevel="0" collapsed="false">
      <c r="A91" s="21" t="str">
        <f aca="false">IF(COUNTA(B91,C91,E91,F91)=0,"",設定!$C$4&amp;TEXT(ROW()-4,"00000"))</f>
        <v/>
      </c>
      <c r="B91" s="22"/>
      <c r="C91" s="23"/>
      <c r="D91" s="21" t="str">
        <f aca="false">IF(C91="","",IFERROR(INDEX(取引先マスタ!$B$5:$B$204,MATCH(C91,取引先マスタ!$A$5:$A$204,0)),"コード誤り"))</f>
        <v/>
      </c>
      <c r="E91" s="26"/>
      <c r="F91" s="18"/>
      <c r="G91" s="25" t="str">
        <f aca="false">IF(OR(B91="",C91="",D91="コード誤り"),"",IFERROR(IF(OR(INDEX(取引先マスタ!$E$5:$E$204,MATCH(C91,取引先マスタ!$A$5:$A$204,0))="",INDEX(取引先マスタ!$F$5:$F$204,MATCH(C91,取引先マスタ!$A$5:$A$204,0))=""),"",DATE(YEAR(B91),MONTH(B91)+INDEX(取引先マスタ!$E$5:$E$204,MATCH(C91,取引先マスタ!$A$5:$A$204,0)),MIN(INDEX(取引先マスタ!$F$5:$F$204,MATCH(C91,取引先マスタ!$A$5:$A$204,0)),DAY(EOMONTH(B91,INDEX(取引先マスタ!$E$5:$E$204,MATCH(C91,取引先マスタ!$A$5:$A$204,0))))))),""))</f>
        <v/>
      </c>
      <c r="H91" s="22"/>
      <c r="I91" s="25" t="str">
        <f aca="false">IF(H91&lt;&gt;"",H91,G91)</f>
        <v/>
      </c>
      <c r="J91" s="26"/>
      <c r="K91" s="22"/>
      <c r="L91" s="26"/>
      <c r="M91" s="27" t="str">
        <f aca="false">IF(A91="","",SUMIF(入金明細!$F$5:$F$1004,A91,入金明細!$E$5:$E$1004))</f>
        <v/>
      </c>
      <c r="N91" s="25" t="str">
        <f aca="false">IF(OR(A91="",N(M91)=0),"",SUMPRODUCT(MAX((入金明細!$F$5:$F$1004=A91)*入金明細!$B$5:$B$1004)))</f>
        <v/>
      </c>
      <c r="O91" s="18"/>
      <c r="P91" s="27" t="str">
        <f aca="false">IF(OR(A91="",F91=""),"",F91-N(M91)-N(O91))</f>
        <v/>
      </c>
      <c r="Q91" s="26"/>
      <c r="R91" s="28" t="str">
        <f aca="false">IF(A91="","",IF(Q91="取消","取消",IF(T91&lt;&gt;"","要入力",IF(K91="","未送付",IF(P91=0,"入金済",IF(P91&lt;0,"過入金",IF(設定!$C$5&gt;I91,IF(N(M91)&gt;0,"一部入金・超過","期日超過"),IF(N(M91)&gt;0,"一部入金",IF(I91-設定!$C$5&lt;=設定!$C$6,"期日間近","入金待ち")))))))))</f>
        <v/>
      </c>
      <c r="S91" s="29" t="str">
        <f aca="false">IF(OR(R91="期日超過",R91="一部入金・超過"),設定!$C$5-I91,"")</f>
        <v/>
      </c>
      <c r="T91" s="21" t="str">
        <f aca="false">IF(A91="","",TRIM(IF(B91="","請求日 ","")&amp;IF(C91="","取引先 ",IF(D91="コード誤り","取引先コード誤り ",""))&amp;IF(E91="","件名 ","")&amp;IF(F91="","請求額 ","")&amp;IF(AND(F91&lt;&gt;"",I91=""),"入金期日(マスタの支払条件が未登録) ","")&amp;IF(J91="","送付方法 ","")&amp;IF(AND(K91&lt;&gt;"",L91=""),"送付者 ","")&amp;IF(AND(K91&lt;&gt;"",N(K91)&gt;設定!$C$5),"送付日が未来の日付 ","")&amp;IF(AND(K91&lt;&gt;"",N(M91)&gt;0,N(P91)&lt;=0,U91=""),"消込確認者 ","")))</f>
        <v/>
      </c>
      <c r="U91" s="26"/>
      <c r="V91" s="26"/>
    </row>
    <row r="92" customFormat="false" ht="15" hidden="false" customHeight="false" outlineLevel="0" collapsed="false">
      <c r="A92" s="21" t="str">
        <f aca="false">IF(COUNTA(B92,C92,E92,F92)=0,"",設定!$C$4&amp;TEXT(ROW()-4,"00000"))</f>
        <v/>
      </c>
      <c r="B92" s="22"/>
      <c r="C92" s="23"/>
      <c r="D92" s="21" t="str">
        <f aca="false">IF(C92="","",IFERROR(INDEX(取引先マスタ!$B$5:$B$204,MATCH(C92,取引先マスタ!$A$5:$A$204,0)),"コード誤り"))</f>
        <v/>
      </c>
      <c r="E92" s="26"/>
      <c r="F92" s="18"/>
      <c r="G92" s="25" t="str">
        <f aca="false">IF(OR(B92="",C92="",D92="コード誤り"),"",IFERROR(IF(OR(INDEX(取引先マスタ!$E$5:$E$204,MATCH(C92,取引先マスタ!$A$5:$A$204,0))="",INDEX(取引先マスタ!$F$5:$F$204,MATCH(C92,取引先マスタ!$A$5:$A$204,0))=""),"",DATE(YEAR(B92),MONTH(B92)+INDEX(取引先マスタ!$E$5:$E$204,MATCH(C92,取引先マスタ!$A$5:$A$204,0)),MIN(INDEX(取引先マスタ!$F$5:$F$204,MATCH(C92,取引先マスタ!$A$5:$A$204,0)),DAY(EOMONTH(B92,INDEX(取引先マスタ!$E$5:$E$204,MATCH(C92,取引先マスタ!$A$5:$A$204,0))))))),""))</f>
        <v/>
      </c>
      <c r="H92" s="22"/>
      <c r="I92" s="25" t="str">
        <f aca="false">IF(H92&lt;&gt;"",H92,G92)</f>
        <v/>
      </c>
      <c r="J92" s="26"/>
      <c r="K92" s="22"/>
      <c r="L92" s="26"/>
      <c r="M92" s="27" t="str">
        <f aca="false">IF(A92="","",SUMIF(入金明細!$F$5:$F$1004,A92,入金明細!$E$5:$E$1004))</f>
        <v/>
      </c>
      <c r="N92" s="25" t="str">
        <f aca="false">IF(OR(A92="",N(M92)=0),"",SUMPRODUCT(MAX((入金明細!$F$5:$F$1004=A92)*入金明細!$B$5:$B$1004)))</f>
        <v/>
      </c>
      <c r="O92" s="18"/>
      <c r="P92" s="27" t="str">
        <f aca="false">IF(OR(A92="",F92=""),"",F92-N(M92)-N(O92))</f>
        <v/>
      </c>
      <c r="Q92" s="26"/>
      <c r="R92" s="28" t="str">
        <f aca="false">IF(A92="","",IF(Q92="取消","取消",IF(T92&lt;&gt;"","要入力",IF(K92="","未送付",IF(P92=0,"入金済",IF(P92&lt;0,"過入金",IF(設定!$C$5&gt;I92,IF(N(M92)&gt;0,"一部入金・超過","期日超過"),IF(N(M92)&gt;0,"一部入金",IF(I92-設定!$C$5&lt;=設定!$C$6,"期日間近","入金待ち")))))))))</f>
        <v/>
      </c>
      <c r="S92" s="29" t="str">
        <f aca="false">IF(OR(R92="期日超過",R92="一部入金・超過"),設定!$C$5-I92,"")</f>
        <v/>
      </c>
      <c r="T92" s="21" t="str">
        <f aca="false">IF(A92="","",TRIM(IF(B92="","請求日 ","")&amp;IF(C92="","取引先 ",IF(D92="コード誤り","取引先コード誤り ",""))&amp;IF(E92="","件名 ","")&amp;IF(F92="","請求額 ","")&amp;IF(AND(F92&lt;&gt;"",I92=""),"入金期日(マスタの支払条件が未登録) ","")&amp;IF(J92="","送付方法 ","")&amp;IF(AND(K92&lt;&gt;"",L92=""),"送付者 ","")&amp;IF(AND(K92&lt;&gt;"",N(K92)&gt;設定!$C$5),"送付日が未来の日付 ","")&amp;IF(AND(K92&lt;&gt;"",N(M92)&gt;0,N(P92)&lt;=0,U92=""),"消込確認者 ","")))</f>
        <v/>
      </c>
      <c r="U92" s="26"/>
      <c r="V92" s="26"/>
    </row>
    <row r="93" customFormat="false" ht="15" hidden="false" customHeight="false" outlineLevel="0" collapsed="false">
      <c r="A93" s="21" t="str">
        <f aca="false">IF(COUNTA(B93,C93,E93,F93)=0,"",設定!$C$4&amp;TEXT(ROW()-4,"00000"))</f>
        <v/>
      </c>
      <c r="B93" s="22"/>
      <c r="C93" s="23"/>
      <c r="D93" s="21" t="str">
        <f aca="false">IF(C93="","",IFERROR(INDEX(取引先マスタ!$B$5:$B$204,MATCH(C93,取引先マスタ!$A$5:$A$204,0)),"コード誤り"))</f>
        <v/>
      </c>
      <c r="E93" s="26"/>
      <c r="F93" s="18"/>
      <c r="G93" s="25" t="str">
        <f aca="false">IF(OR(B93="",C93="",D93="コード誤り"),"",IFERROR(IF(OR(INDEX(取引先マスタ!$E$5:$E$204,MATCH(C93,取引先マスタ!$A$5:$A$204,0))="",INDEX(取引先マスタ!$F$5:$F$204,MATCH(C93,取引先マスタ!$A$5:$A$204,0))=""),"",DATE(YEAR(B93),MONTH(B93)+INDEX(取引先マスタ!$E$5:$E$204,MATCH(C93,取引先マスタ!$A$5:$A$204,0)),MIN(INDEX(取引先マスタ!$F$5:$F$204,MATCH(C93,取引先マスタ!$A$5:$A$204,0)),DAY(EOMONTH(B93,INDEX(取引先マスタ!$E$5:$E$204,MATCH(C93,取引先マスタ!$A$5:$A$204,0))))))),""))</f>
        <v/>
      </c>
      <c r="H93" s="22"/>
      <c r="I93" s="25" t="str">
        <f aca="false">IF(H93&lt;&gt;"",H93,G93)</f>
        <v/>
      </c>
      <c r="J93" s="26"/>
      <c r="K93" s="22"/>
      <c r="L93" s="26"/>
      <c r="M93" s="27" t="str">
        <f aca="false">IF(A93="","",SUMIF(入金明細!$F$5:$F$1004,A93,入金明細!$E$5:$E$1004))</f>
        <v/>
      </c>
      <c r="N93" s="25" t="str">
        <f aca="false">IF(OR(A93="",N(M93)=0),"",SUMPRODUCT(MAX((入金明細!$F$5:$F$1004=A93)*入金明細!$B$5:$B$1004)))</f>
        <v/>
      </c>
      <c r="O93" s="18"/>
      <c r="P93" s="27" t="str">
        <f aca="false">IF(OR(A93="",F93=""),"",F93-N(M93)-N(O93))</f>
        <v/>
      </c>
      <c r="Q93" s="26"/>
      <c r="R93" s="28" t="str">
        <f aca="false">IF(A93="","",IF(Q93="取消","取消",IF(T93&lt;&gt;"","要入力",IF(K93="","未送付",IF(P93=0,"入金済",IF(P93&lt;0,"過入金",IF(設定!$C$5&gt;I93,IF(N(M93)&gt;0,"一部入金・超過","期日超過"),IF(N(M93)&gt;0,"一部入金",IF(I93-設定!$C$5&lt;=設定!$C$6,"期日間近","入金待ち")))))))))</f>
        <v/>
      </c>
      <c r="S93" s="29" t="str">
        <f aca="false">IF(OR(R93="期日超過",R93="一部入金・超過"),設定!$C$5-I93,"")</f>
        <v/>
      </c>
      <c r="T93" s="21" t="str">
        <f aca="false">IF(A93="","",TRIM(IF(B93="","請求日 ","")&amp;IF(C93="","取引先 ",IF(D93="コード誤り","取引先コード誤り ",""))&amp;IF(E93="","件名 ","")&amp;IF(F93="","請求額 ","")&amp;IF(AND(F93&lt;&gt;"",I93=""),"入金期日(マスタの支払条件が未登録) ","")&amp;IF(J93="","送付方法 ","")&amp;IF(AND(K93&lt;&gt;"",L93=""),"送付者 ","")&amp;IF(AND(K93&lt;&gt;"",N(K93)&gt;設定!$C$5),"送付日が未来の日付 ","")&amp;IF(AND(K93&lt;&gt;"",N(M93)&gt;0,N(P93)&lt;=0,U93=""),"消込確認者 ","")))</f>
        <v/>
      </c>
      <c r="U93" s="26"/>
      <c r="V93" s="26"/>
    </row>
    <row r="94" customFormat="false" ht="15" hidden="false" customHeight="false" outlineLevel="0" collapsed="false">
      <c r="A94" s="21" t="str">
        <f aca="false">IF(COUNTA(B94,C94,E94,F94)=0,"",設定!$C$4&amp;TEXT(ROW()-4,"00000"))</f>
        <v/>
      </c>
      <c r="B94" s="22"/>
      <c r="C94" s="23"/>
      <c r="D94" s="21" t="str">
        <f aca="false">IF(C94="","",IFERROR(INDEX(取引先マスタ!$B$5:$B$204,MATCH(C94,取引先マスタ!$A$5:$A$204,0)),"コード誤り"))</f>
        <v/>
      </c>
      <c r="E94" s="26"/>
      <c r="F94" s="18"/>
      <c r="G94" s="25" t="str">
        <f aca="false">IF(OR(B94="",C94="",D94="コード誤り"),"",IFERROR(IF(OR(INDEX(取引先マスタ!$E$5:$E$204,MATCH(C94,取引先マスタ!$A$5:$A$204,0))="",INDEX(取引先マスタ!$F$5:$F$204,MATCH(C94,取引先マスタ!$A$5:$A$204,0))=""),"",DATE(YEAR(B94),MONTH(B94)+INDEX(取引先マスタ!$E$5:$E$204,MATCH(C94,取引先マスタ!$A$5:$A$204,0)),MIN(INDEX(取引先マスタ!$F$5:$F$204,MATCH(C94,取引先マスタ!$A$5:$A$204,0)),DAY(EOMONTH(B94,INDEX(取引先マスタ!$E$5:$E$204,MATCH(C94,取引先マスタ!$A$5:$A$204,0))))))),""))</f>
        <v/>
      </c>
      <c r="H94" s="22"/>
      <c r="I94" s="25" t="str">
        <f aca="false">IF(H94&lt;&gt;"",H94,G94)</f>
        <v/>
      </c>
      <c r="J94" s="26"/>
      <c r="K94" s="22"/>
      <c r="L94" s="26"/>
      <c r="M94" s="27" t="str">
        <f aca="false">IF(A94="","",SUMIF(入金明細!$F$5:$F$1004,A94,入金明細!$E$5:$E$1004))</f>
        <v/>
      </c>
      <c r="N94" s="25" t="str">
        <f aca="false">IF(OR(A94="",N(M94)=0),"",SUMPRODUCT(MAX((入金明細!$F$5:$F$1004=A94)*入金明細!$B$5:$B$1004)))</f>
        <v/>
      </c>
      <c r="O94" s="18"/>
      <c r="P94" s="27" t="str">
        <f aca="false">IF(OR(A94="",F94=""),"",F94-N(M94)-N(O94))</f>
        <v/>
      </c>
      <c r="Q94" s="26"/>
      <c r="R94" s="28" t="str">
        <f aca="false">IF(A94="","",IF(Q94="取消","取消",IF(T94&lt;&gt;"","要入力",IF(K94="","未送付",IF(P94=0,"入金済",IF(P94&lt;0,"過入金",IF(設定!$C$5&gt;I94,IF(N(M94)&gt;0,"一部入金・超過","期日超過"),IF(N(M94)&gt;0,"一部入金",IF(I94-設定!$C$5&lt;=設定!$C$6,"期日間近","入金待ち")))))))))</f>
        <v/>
      </c>
      <c r="S94" s="29" t="str">
        <f aca="false">IF(OR(R94="期日超過",R94="一部入金・超過"),設定!$C$5-I94,"")</f>
        <v/>
      </c>
      <c r="T94" s="21" t="str">
        <f aca="false">IF(A94="","",TRIM(IF(B94="","請求日 ","")&amp;IF(C94="","取引先 ",IF(D94="コード誤り","取引先コード誤り ",""))&amp;IF(E94="","件名 ","")&amp;IF(F94="","請求額 ","")&amp;IF(AND(F94&lt;&gt;"",I94=""),"入金期日(マスタの支払条件が未登録) ","")&amp;IF(J94="","送付方法 ","")&amp;IF(AND(K94&lt;&gt;"",L94=""),"送付者 ","")&amp;IF(AND(K94&lt;&gt;"",N(K94)&gt;設定!$C$5),"送付日が未来の日付 ","")&amp;IF(AND(K94&lt;&gt;"",N(M94)&gt;0,N(P94)&lt;=0,U94=""),"消込確認者 ","")))</f>
        <v/>
      </c>
      <c r="U94" s="26"/>
      <c r="V94" s="26"/>
    </row>
    <row r="95" customFormat="false" ht="15" hidden="false" customHeight="false" outlineLevel="0" collapsed="false">
      <c r="A95" s="21" t="str">
        <f aca="false">IF(COUNTA(B95,C95,E95,F95)=0,"",設定!$C$4&amp;TEXT(ROW()-4,"00000"))</f>
        <v/>
      </c>
      <c r="B95" s="22"/>
      <c r="C95" s="23"/>
      <c r="D95" s="21" t="str">
        <f aca="false">IF(C95="","",IFERROR(INDEX(取引先マスタ!$B$5:$B$204,MATCH(C95,取引先マスタ!$A$5:$A$204,0)),"コード誤り"))</f>
        <v/>
      </c>
      <c r="E95" s="26"/>
      <c r="F95" s="18"/>
      <c r="G95" s="25" t="str">
        <f aca="false">IF(OR(B95="",C95="",D95="コード誤り"),"",IFERROR(IF(OR(INDEX(取引先マスタ!$E$5:$E$204,MATCH(C95,取引先マスタ!$A$5:$A$204,0))="",INDEX(取引先マスタ!$F$5:$F$204,MATCH(C95,取引先マスタ!$A$5:$A$204,0))=""),"",DATE(YEAR(B95),MONTH(B95)+INDEX(取引先マスタ!$E$5:$E$204,MATCH(C95,取引先マスタ!$A$5:$A$204,0)),MIN(INDEX(取引先マスタ!$F$5:$F$204,MATCH(C95,取引先マスタ!$A$5:$A$204,0)),DAY(EOMONTH(B95,INDEX(取引先マスタ!$E$5:$E$204,MATCH(C95,取引先マスタ!$A$5:$A$204,0))))))),""))</f>
        <v/>
      </c>
      <c r="H95" s="22"/>
      <c r="I95" s="25" t="str">
        <f aca="false">IF(H95&lt;&gt;"",H95,G95)</f>
        <v/>
      </c>
      <c r="J95" s="26"/>
      <c r="K95" s="22"/>
      <c r="L95" s="26"/>
      <c r="M95" s="27" t="str">
        <f aca="false">IF(A95="","",SUMIF(入金明細!$F$5:$F$1004,A95,入金明細!$E$5:$E$1004))</f>
        <v/>
      </c>
      <c r="N95" s="25" t="str">
        <f aca="false">IF(OR(A95="",N(M95)=0),"",SUMPRODUCT(MAX((入金明細!$F$5:$F$1004=A95)*入金明細!$B$5:$B$1004)))</f>
        <v/>
      </c>
      <c r="O95" s="18"/>
      <c r="P95" s="27" t="str">
        <f aca="false">IF(OR(A95="",F95=""),"",F95-N(M95)-N(O95))</f>
        <v/>
      </c>
      <c r="Q95" s="26"/>
      <c r="R95" s="28" t="str">
        <f aca="false">IF(A95="","",IF(Q95="取消","取消",IF(T95&lt;&gt;"","要入力",IF(K95="","未送付",IF(P95=0,"入金済",IF(P95&lt;0,"過入金",IF(設定!$C$5&gt;I95,IF(N(M95)&gt;0,"一部入金・超過","期日超過"),IF(N(M95)&gt;0,"一部入金",IF(I95-設定!$C$5&lt;=設定!$C$6,"期日間近","入金待ち")))))))))</f>
        <v/>
      </c>
      <c r="S95" s="29" t="str">
        <f aca="false">IF(OR(R95="期日超過",R95="一部入金・超過"),設定!$C$5-I95,"")</f>
        <v/>
      </c>
      <c r="T95" s="21" t="str">
        <f aca="false">IF(A95="","",TRIM(IF(B95="","請求日 ","")&amp;IF(C95="","取引先 ",IF(D95="コード誤り","取引先コード誤り ",""))&amp;IF(E95="","件名 ","")&amp;IF(F95="","請求額 ","")&amp;IF(AND(F95&lt;&gt;"",I95=""),"入金期日(マスタの支払条件が未登録) ","")&amp;IF(J95="","送付方法 ","")&amp;IF(AND(K95&lt;&gt;"",L95=""),"送付者 ","")&amp;IF(AND(K95&lt;&gt;"",N(K95)&gt;設定!$C$5),"送付日が未来の日付 ","")&amp;IF(AND(K95&lt;&gt;"",N(M95)&gt;0,N(P95)&lt;=0,U95=""),"消込確認者 ","")))</f>
        <v/>
      </c>
      <c r="U95" s="26"/>
      <c r="V95" s="26"/>
    </row>
    <row r="96" customFormat="false" ht="15" hidden="false" customHeight="false" outlineLevel="0" collapsed="false">
      <c r="A96" s="21" t="str">
        <f aca="false">IF(COUNTA(B96,C96,E96,F96)=0,"",設定!$C$4&amp;TEXT(ROW()-4,"00000"))</f>
        <v/>
      </c>
      <c r="B96" s="22"/>
      <c r="C96" s="23"/>
      <c r="D96" s="21" t="str">
        <f aca="false">IF(C96="","",IFERROR(INDEX(取引先マスタ!$B$5:$B$204,MATCH(C96,取引先マスタ!$A$5:$A$204,0)),"コード誤り"))</f>
        <v/>
      </c>
      <c r="E96" s="26"/>
      <c r="F96" s="18"/>
      <c r="G96" s="25" t="str">
        <f aca="false">IF(OR(B96="",C96="",D96="コード誤り"),"",IFERROR(IF(OR(INDEX(取引先マスタ!$E$5:$E$204,MATCH(C96,取引先マスタ!$A$5:$A$204,0))="",INDEX(取引先マスタ!$F$5:$F$204,MATCH(C96,取引先マスタ!$A$5:$A$204,0))=""),"",DATE(YEAR(B96),MONTH(B96)+INDEX(取引先マスタ!$E$5:$E$204,MATCH(C96,取引先マスタ!$A$5:$A$204,0)),MIN(INDEX(取引先マスタ!$F$5:$F$204,MATCH(C96,取引先マスタ!$A$5:$A$204,0)),DAY(EOMONTH(B96,INDEX(取引先マスタ!$E$5:$E$204,MATCH(C96,取引先マスタ!$A$5:$A$204,0))))))),""))</f>
        <v/>
      </c>
      <c r="H96" s="22"/>
      <c r="I96" s="25" t="str">
        <f aca="false">IF(H96&lt;&gt;"",H96,G96)</f>
        <v/>
      </c>
      <c r="J96" s="26"/>
      <c r="K96" s="22"/>
      <c r="L96" s="26"/>
      <c r="M96" s="27" t="str">
        <f aca="false">IF(A96="","",SUMIF(入金明細!$F$5:$F$1004,A96,入金明細!$E$5:$E$1004))</f>
        <v/>
      </c>
      <c r="N96" s="25" t="str">
        <f aca="false">IF(OR(A96="",N(M96)=0),"",SUMPRODUCT(MAX((入金明細!$F$5:$F$1004=A96)*入金明細!$B$5:$B$1004)))</f>
        <v/>
      </c>
      <c r="O96" s="18"/>
      <c r="P96" s="27" t="str">
        <f aca="false">IF(OR(A96="",F96=""),"",F96-N(M96)-N(O96))</f>
        <v/>
      </c>
      <c r="Q96" s="26"/>
      <c r="R96" s="28" t="str">
        <f aca="false">IF(A96="","",IF(Q96="取消","取消",IF(T96&lt;&gt;"","要入力",IF(K96="","未送付",IF(P96=0,"入金済",IF(P96&lt;0,"過入金",IF(設定!$C$5&gt;I96,IF(N(M96)&gt;0,"一部入金・超過","期日超過"),IF(N(M96)&gt;0,"一部入金",IF(I96-設定!$C$5&lt;=設定!$C$6,"期日間近","入金待ち")))))))))</f>
        <v/>
      </c>
      <c r="S96" s="29" t="str">
        <f aca="false">IF(OR(R96="期日超過",R96="一部入金・超過"),設定!$C$5-I96,"")</f>
        <v/>
      </c>
      <c r="T96" s="21" t="str">
        <f aca="false">IF(A96="","",TRIM(IF(B96="","請求日 ","")&amp;IF(C96="","取引先 ",IF(D96="コード誤り","取引先コード誤り ",""))&amp;IF(E96="","件名 ","")&amp;IF(F96="","請求額 ","")&amp;IF(AND(F96&lt;&gt;"",I96=""),"入金期日(マスタの支払条件が未登録) ","")&amp;IF(J96="","送付方法 ","")&amp;IF(AND(K96&lt;&gt;"",L96=""),"送付者 ","")&amp;IF(AND(K96&lt;&gt;"",N(K96)&gt;設定!$C$5),"送付日が未来の日付 ","")&amp;IF(AND(K96&lt;&gt;"",N(M96)&gt;0,N(P96)&lt;=0,U96=""),"消込確認者 ","")))</f>
        <v/>
      </c>
      <c r="U96" s="26"/>
      <c r="V96" s="26"/>
    </row>
    <row r="97" customFormat="false" ht="15" hidden="false" customHeight="false" outlineLevel="0" collapsed="false">
      <c r="A97" s="21" t="str">
        <f aca="false">IF(COUNTA(B97,C97,E97,F97)=0,"",設定!$C$4&amp;TEXT(ROW()-4,"00000"))</f>
        <v/>
      </c>
      <c r="B97" s="22"/>
      <c r="C97" s="23"/>
      <c r="D97" s="21" t="str">
        <f aca="false">IF(C97="","",IFERROR(INDEX(取引先マスタ!$B$5:$B$204,MATCH(C97,取引先マスタ!$A$5:$A$204,0)),"コード誤り"))</f>
        <v/>
      </c>
      <c r="E97" s="26"/>
      <c r="F97" s="18"/>
      <c r="G97" s="25" t="str">
        <f aca="false">IF(OR(B97="",C97="",D97="コード誤り"),"",IFERROR(IF(OR(INDEX(取引先マスタ!$E$5:$E$204,MATCH(C97,取引先マスタ!$A$5:$A$204,0))="",INDEX(取引先マスタ!$F$5:$F$204,MATCH(C97,取引先マスタ!$A$5:$A$204,0))=""),"",DATE(YEAR(B97),MONTH(B97)+INDEX(取引先マスタ!$E$5:$E$204,MATCH(C97,取引先マスタ!$A$5:$A$204,0)),MIN(INDEX(取引先マスタ!$F$5:$F$204,MATCH(C97,取引先マスタ!$A$5:$A$204,0)),DAY(EOMONTH(B97,INDEX(取引先マスタ!$E$5:$E$204,MATCH(C97,取引先マスタ!$A$5:$A$204,0))))))),""))</f>
        <v/>
      </c>
      <c r="H97" s="22"/>
      <c r="I97" s="25" t="str">
        <f aca="false">IF(H97&lt;&gt;"",H97,G97)</f>
        <v/>
      </c>
      <c r="J97" s="26"/>
      <c r="K97" s="22"/>
      <c r="L97" s="26"/>
      <c r="M97" s="27" t="str">
        <f aca="false">IF(A97="","",SUMIF(入金明細!$F$5:$F$1004,A97,入金明細!$E$5:$E$1004))</f>
        <v/>
      </c>
      <c r="N97" s="25" t="str">
        <f aca="false">IF(OR(A97="",N(M97)=0),"",SUMPRODUCT(MAX((入金明細!$F$5:$F$1004=A97)*入金明細!$B$5:$B$1004)))</f>
        <v/>
      </c>
      <c r="O97" s="18"/>
      <c r="P97" s="27" t="str">
        <f aca="false">IF(OR(A97="",F97=""),"",F97-N(M97)-N(O97))</f>
        <v/>
      </c>
      <c r="Q97" s="26"/>
      <c r="R97" s="28" t="str">
        <f aca="false">IF(A97="","",IF(Q97="取消","取消",IF(T97&lt;&gt;"","要入力",IF(K97="","未送付",IF(P97=0,"入金済",IF(P97&lt;0,"過入金",IF(設定!$C$5&gt;I97,IF(N(M97)&gt;0,"一部入金・超過","期日超過"),IF(N(M97)&gt;0,"一部入金",IF(I97-設定!$C$5&lt;=設定!$C$6,"期日間近","入金待ち")))))))))</f>
        <v/>
      </c>
      <c r="S97" s="29" t="str">
        <f aca="false">IF(OR(R97="期日超過",R97="一部入金・超過"),設定!$C$5-I97,"")</f>
        <v/>
      </c>
      <c r="T97" s="21" t="str">
        <f aca="false">IF(A97="","",TRIM(IF(B97="","請求日 ","")&amp;IF(C97="","取引先 ",IF(D97="コード誤り","取引先コード誤り ",""))&amp;IF(E97="","件名 ","")&amp;IF(F97="","請求額 ","")&amp;IF(AND(F97&lt;&gt;"",I97=""),"入金期日(マスタの支払条件が未登録) ","")&amp;IF(J97="","送付方法 ","")&amp;IF(AND(K97&lt;&gt;"",L97=""),"送付者 ","")&amp;IF(AND(K97&lt;&gt;"",N(K97)&gt;設定!$C$5),"送付日が未来の日付 ","")&amp;IF(AND(K97&lt;&gt;"",N(M97)&gt;0,N(P97)&lt;=0,U97=""),"消込確認者 ","")))</f>
        <v/>
      </c>
      <c r="U97" s="26"/>
      <c r="V97" s="26"/>
    </row>
    <row r="98" customFormat="false" ht="15" hidden="false" customHeight="false" outlineLevel="0" collapsed="false">
      <c r="A98" s="21" t="str">
        <f aca="false">IF(COUNTA(B98,C98,E98,F98)=0,"",設定!$C$4&amp;TEXT(ROW()-4,"00000"))</f>
        <v/>
      </c>
      <c r="B98" s="22"/>
      <c r="C98" s="23"/>
      <c r="D98" s="21" t="str">
        <f aca="false">IF(C98="","",IFERROR(INDEX(取引先マスタ!$B$5:$B$204,MATCH(C98,取引先マスタ!$A$5:$A$204,0)),"コード誤り"))</f>
        <v/>
      </c>
      <c r="E98" s="26"/>
      <c r="F98" s="18"/>
      <c r="G98" s="25" t="str">
        <f aca="false">IF(OR(B98="",C98="",D98="コード誤り"),"",IFERROR(IF(OR(INDEX(取引先マスタ!$E$5:$E$204,MATCH(C98,取引先マスタ!$A$5:$A$204,0))="",INDEX(取引先マスタ!$F$5:$F$204,MATCH(C98,取引先マスタ!$A$5:$A$204,0))=""),"",DATE(YEAR(B98),MONTH(B98)+INDEX(取引先マスタ!$E$5:$E$204,MATCH(C98,取引先マスタ!$A$5:$A$204,0)),MIN(INDEX(取引先マスタ!$F$5:$F$204,MATCH(C98,取引先マスタ!$A$5:$A$204,0)),DAY(EOMONTH(B98,INDEX(取引先マスタ!$E$5:$E$204,MATCH(C98,取引先マスタ!$A$5:$A$204,0))))))),""))</f>
        <v/>
      </c>
      <c r="H98" s="22"/>
      <c r="I98" s="25" t="str">
        <f aca="false">IF(H98&lt;&gt;"",H98,G98)</f>
        <v/>
      </c>
      <c r="J98" s="26"/>
      <c r="K98" s="22"/>
      <c r="L98" s="26"/>
      <c r="M98" s="27" t="str">
        <f aca="false">IF(A98="","",SUMIF(入金明細!$F$5:$F$1004,A98,入金明細!$E$5:$E$1004))</f>
        <v/>
      </c>
      <c r="N98" s="25" t="str">
        <f aca="false">IF(OR(A98="",N(M98)=0),"",SUMPRODUCT(MAX((入金明細!$F$5:$F$1004=A98)*入金明細!$B$5:$B$1004)))</f>
        <v/>
      </c>
      <c r="O98" s="18"/>
      <c r="P98" s="27" t="str">
        <f aca="false">IF(OR(A98="",F98=""),"",F98-N(M98)-N(O98))</f>
        <v/>
      </c>
      <c r="Q98" s="26"/>
      <c r="R98" s="28" t="str">
        <f aca="false">IF(A98="","",IF(Q98="取消","取消",IF(T98&lt;&gt;"","要入力",IF(K98="","未送付",IF(P98=0,"入金済",IF(P98&lt;0,"過入金",IF(設定!$C$5&gt;I98,IF(N(M98)&gt;0,"一部入金・超過","期日超過"),IF(N(M98)&gt;0,"一部入金",IF(I98-設定!$C$5&lt;=設定!$C$6,"期日間近","入金待ち")))))))))</f>
        <v/>
      </c>
      <c r="S98" s="29" t="str">
        <f aca="false">IF(OR(R98="期日超過",R98="一部入金・超過"),設定!$C$5-I98,"")</f>
        <v/>
      </c>
      <c r="T98" s="21" t="str">
        <f aca="false">IF(A98="","",TRIM(IF(B98="","請求日 ","")&amp;IF(C98="","取引先 ",IF(D98="コード誤り","取引先コード誤り ",""))&amp;IF(E98="","件名 ","")&amp;IF(F98="","請求額 ","")&amp;IF(AND(F98&lt;&gt;"",I98=""),"入金期日(マスタの支払条件が未登録) ","")&amp;IF(J98="","送付方法 ","")&amp;IF(AND(K98&lt;&gt;"",L98=""),"送付者 ","")&amp;IF(AND(K98&lt;&gt;"",N(K98)&gt;設定!$C$5),"送付日が未来の日付 ","")&amp;IF(AND(K98&lt;&gt;"",N(M98)&gt;0,N(P98)&lt;=0,U98=""),"消込確認者 ","")))</f>
        <v/>
      </c>
      <c r="U98" s="26"/>
      <c r="V98" s="26"/>
    </row>
    <row r="99" customFormat="false" ht="15" hidden="false" customHeight="false" outlineLevel="0" collapsed="false">
      <c r="A99" s="21" t="str">
        <f aca="false">IF(COUNTA(B99,C99,E99,F99)=0,"",設定!$C$4&amp;TEXT(ROW()-4,"00000"))</f>
        <v/>
      </c>
      <c r="B99" s="22"/>
      <c r="C99" s="23"/>
      <c r="D99" s="21" t="str">
        <f aca="false">IF(C99="","",IFERROR(INDEX(取引先マスタ!$B$5:$B$204,MATCH(C99,取引先マスタ!$A$5:$A$204,0)),"コード誤り"))</f>
        <v/>
      </c>
      <c r="E99" s="26"/>
      <c r="F99" s="18"/>
      <c r="G99" s="25" t="str">
        <f aca="false">IF(OR(B99="",C99="",D99="コード誤り"),"",IFERROR(IF(OR(INDEX(取引先マスタ!$E$5:$E$204,MATCH(C99,取引先マスタ!$A$5:$A$204,0))="",INDEX(取引先マスタ!$F$5:$F$204,MATCH(C99,取引先マスタ!$A$5:$A$204,0))=""),"",DATE(YEAR(B99),MONTH(B99)+INDEX(取引先マスタ!$E$5:$E$204,MATCH(C99,取引先マスタ!$A$5:$A$204,0)),MIN(INDEX(取引先マスタ!$F$5:$F$204,MATCH(C99,取引先マスタ!$A$5:$A$204,0)),DAY(EOMONTH(B99,INDEX(取引先マスタ!$E$5:$E$204,MATCH(C99,取引先マスタ!$A$5:$A$204,0))))))),""))</f>
        <v/>
      </c>
      <c r="H99" s="22"/>
      <c r="I99" s="25" t="str">
        <f aca="false">IF(H99&lt;&gt;"",H99,G99)</f>
        <v/>
      </c>
      <c r="J99" s="26"/>
      <c r="K99" s="22"/>
      <c r="L99" s="26"/>
      <c r="M99" s="27" t="str">
        <f aca="false">IF(A99="","",SUMIF(入金明細!$F$5:$F$1004,A99,入金明細!$E$5:$E$1004))</f>
        <v/>
      </c>
      <c r="N99" s="25" t="str">
        <f aca="false">IF(OR(A99="",N(M99)=0),"",SUMPRODUCT(MAX((入金明細!$F$5:$F$1004=A99)*入金明細!$B$5:$B$1004)))</f>
        <v/>
      </c>
      <c r="O99" s="18"/>
      <c r="P99" s="27" t="str">
        <f aca="false">IF(OR(A99="",F99=""),"",F99-N(M99)-N(O99))</f>
        <v/>
      </c>
      <c r="Q99" s="26"/>
      <c r="R99" s="28" t="str">
        <f aca="false">IF(A99="","",IF(Q99="取消","取消",IF(T99&lt;&gt;"","要入力",IF(K99="","未送付",IF(P99=0,"入金済",IF(P99&lt;0,"過入金",IF(設定!$C$5&gt;I99,IF(N(M99)&gt;0,"一部入金・超過","期日超過"),IF(N(M99)&gt;0,"一部入金",IF(I99-設定!$C$5&lt;=設定!$C$6,"期日間近","入金待ち")))))))))</f>
        <v/>
      </c>
      <c r="S99" s="29" t="str">
        <f aca="false">IF(OR(R99="期日超過",R99="一部入金・超過"),設定!$C$5-I99,"")</f>
        <v/>
      </c>
      <c r="T99" s="21" t="str">
        <f aca="false">IF(A99="","",TRIM(IF(B99="","請求日 ","")&amp;IF(C99="","取引先 ",IF(D99="コード誤り","取引先コード誤り ",""))&amp;IF(E99="","件名 ","")&amp;IF(F99="","請求額 ","")&amp;IF(AND(F99&lt;&gt;"",I99=""),"入金期日(マスタの支払条件が未登録) ","")&amp;IF(J99="","送付方法 ","")&amp;IF(AND(K99&lt;&gt;"",L99=""),"送付者 ","")&amp;IF(AND(K99&lt;&gt;"",N(K99)&gt;設定!$C$5),"送付日が未来の日付 ","")&amp;IF(AND(K99&lt;&gt;"",N(M99)&gt;0,N(P99)&lt;=0,U99=""),"消込確認者 ","")))</f>
        <v/>
      </c>
      <c r="U99" s="26"/>
      <c r="V99" s="26"/>
    </row>
    <row r="100" customFormat="false" ht="15" hidden="false" customHeight="false" outlineLevel="0" collapsed="false">
      <c r="A100" s="21" t="str">
        <f aca="false">IF(COUNTA(B100,C100,E100,F100)=0,"",設定!$C$4&amp;TEXT(ROW()-4,"00000"))</f>
        <v/>
      </c>
      <c r="B100" s="22"/>
      <c r="C100" s="23"/>
      <c r="D100" s="21" t="str">
        <f aca="false">IF(C100="","",IFERROR(INDEX(取引先マスタ!$B$5:$B$204,MATCH(C100,取引先マスタ!$A$5:$A$204,0)),"コード誤り"))</f>
        <v/>
      </c>
      <c r="E100" s="26"/>
      <c r="F100" s="18"/>
      <c r="G100" s="25" t="str">
        <f aca="false">IF(OR(B100="",C100="",D100="コード誤り"),"",IFERROR(IF(OR(INDEX(取引先マスタ!$E$5:$E$204,MATCH(C100,取引先マスタ!$A$5:$A$204,0))="",INDEX(取引先マスタ!$F$5:$F$204,MATCH(C100,取引先マスタ!$A$5:$A$204,0))=""),"",DATE(YEAR(B100),MONTH(B100)+INDEX(取引先マスタ!$E$5:$E$204,MATCH(C100,取引先マスタ!$A$5:$A$204,0)),MIN(INDEX(取引先マスタ!$F$5:$F$204,MATCH(C100,取引先マスタ!$A$5:$A$204,0)),DAY(EOMONTH(B100,INDEX(取引先マスタ!$E$5:$E$204,MATCH(C100,取引先マスタ!$A$5:$A$204,0))))))),""))</f>
        <v/>
      </c>
      <c r="H100" s="22"/>
      <c r="I100" s="25" t="str">
        <f aca="false">IF(H100&lt;&gt;"",H100,G100)</f>
        <v/>
      </c>
      <c r="J100" s="26"/>
      <c r="K100" s="22"/>
      <c r="L100" s="26"/>
      <c r="M100" s="27" t="str">
        <f aca="false">IF(A100="","",SUMIF(入金明細!$F$5:$F$1004,A100,入金明細!$E$5:$E$1004))</f>
        <v/>
      </c>
      <c r="N100" s="25" t="str">
        <f aca="false">IF(OR(A100="",N(M100)=0),"",SUMPRODUCT(MAX((入金明細!$F$5:$F$1004=A100)*入金明細!$B$5:$B$1004)))</f>
        <v/>
      </c>
      <c r="O100" s="18"/>
      <c r="P100" s="27" t="str">
        <f aca="false">IF(OR(A100="",F100=""),"",F100-N(M100)-N(O100))</f>
        <v/>
      </c>
      <c r="Q100" s="26"/>
      <c r="R100" s="28" t="str">
        <f aca="false">IF(A100="","",IF(Q100="取消","取消",IF(T100&lt;&gt;"","要入力",IF(K100="","未送付",IF(P100=0,"入金済",IF(P100&lt;0,"過入金",IF(設定!$C$5&gt;I100,IF(N(M100)&gt;0,"一部入金・超過","期日超過"),IF(N(M100)&gt;0,"一部入金",IF(I100-設定!$C$5&lt;=設定!$C$6,"期日間近","入金待ち")))))))))</f>
        <v/>
      </c>
      <c r="S100" s="29" t="str">
        <f aca="false">IF(OR(R100="期日超過",R100="一部入金・超過"),設定!$C$5-I100,"")</f>
        <v/>
      </c>
      <c r="T100" s="21" t="str">
        <f aca="false">IF(A100="","",TRIM(IF(B100="","請求日 ","")&amp;IF(C100="","取引先 ",IF(D100="コード誤り","取引先コード誤り ",""))&amp;IF(E100="","件名 ","")&amp;IF(F100="","請求額 ","")&amp;IF(AND(F100&lt;&gt;"",I100=""),"入金期日(マスタの支払条件が未登録) ","")&amp;IF(J100="","送付方法 ","")&amp;IF(AND(K100&lt;&gt;"",L100=""),"送付者 ","")&amp;IF(AND(K100&lt;&gt;"",N(K100)&gt;設定!$C$5),"送付日が未来の日付 ","")&amp;IF(AND(K100&lt;&gt;"",N(M100)&gt;0,N(P100)&lt;=0,U100=""),"消込確認者 ","")))</f>
        <v/>
      </c>
      <c r="U100" s="26"/>
      <c r="V100" s="26"/>
    </row>
    <row r="101" customFormat="false" ht="15" hidden="false" customHeight="false" outlineLevel="0" collapsed="false">
      <c r="A101" s="21" t="str">
        <f aca="false">IF(COUNTA(B101,C101,E101,F101)=0,"",設定!$C$4&amp;TEXT(ROW()-4,"00000"))</f>
        <v/>
      </c>
      <c r="B101" s="22"/>
      <c r="C101" s="23"/>
      <c r="D101" s="21" t="str">
        <f aca="false">IF(C101="","",IFERROR(INDEX(取引先マスタ!$B$5:$B$204,MATCH(C101,取引先マスタ!$A$5:$A$204,0)),"コード誤り"))</f>
        <v/>
      </c>
      <c r="E101" s="26"/>
      <c r="F101" s="18"/>
      <c r="G101" s="25" t="str">
        <f aca="false">IF(OR(B101="",C101="",D101="コード誤り"),"",IFERROR(IF(OR(INDEX(取引先マスタ!$E$5:$E$204,MATCH(C101,取引先マスタ!$A$5:$A$204,0))="",INDEX(取引先マスタ!$F$5:$F$204,MATCH(C101,取引先マスタ!$A$5:$A$204,0))=""),"",DATE(YEAR(B101),MONTH(B101)+INDEX(取引先マスタ!$E$5:$E$204,MATCH(C101,取引先マスタ!$A$5:$A$204,0)),MIN(INDEX(取引先マスタ!$F$5:$F$204,MATCH(C101,取引先マスタ!$A$5:$A$204,0)),DAY(EOMONTH(B101,INDEX(取引先マスタ!$E$5:$E$204,MATCH(C101,取引先マスタ!$A$5:$A$204,0))))))),""))</f>
        <v/>
      </c>
      <c r="H101" s="22"/>
      <c r="I101" s="25" t="str">
        <f aca="false">IF(H101&lt;&gt;"",H101,G101)</f>
        <v/>
      </c>
      <c r="J101" s="26"/>
      <c r="K101" s="22"/>
      <c r="L101" s="26"/>
      <c r="M101" s="27" t="str">
        <f aca="false">IF(A101="","",SUMIF(入金明細!$F$5:$F$1004,A101,入金明細!$E$5:$E$1004))</f>
        <v/>
      </c>
      <c r="N101" s="25" t="str">
        <f aca="false">IF(OR(A101="",N(M101)=0),"",SUMPRODUCT(MAX((入金明細!$F$5:$F$1004=A101)*入金明細!$B$5:$B$1004)))</f>
        <v/>
      </c>
      <c r="O101" s="18"/>
      <c r="P101" s="27" t="str">
        <f aca="false">IF(OR(A101="",F101=""),"",F101-N(M101)-N(O101))</f>
        <v/>
      </c>
      <c r="Q101" s="26"/>
      <c r="R101" s="28" t="str">
        <f aca="false">IF(A101="","",IF(Q101="取消","取消",IF(T101&lt;&gt;"","要入力",IF(K101="","未送付",IF(P101=0,"入金済",IF(P101&lt;0,"過入金",IF(設定!$C$5&gt;I101,IF(N(M101)&gt;0,"一部入金・超過","期日超過"),IF(N(M101)&gt;0,"一部入金",IF(I101-設定!$C$5&lt;=設定!$C$6,"期日間近","入金待ち")))))))))</f>
        <v/>
      </c>
      <c r="S101" s="29" t="str">
        <f aca="false">IF(OR(R101="期日超過",R101="一部入金・超過"),設定!$C$5-I101,"")</f>
        <v/>
      </c>
      <c r="T101" s="21" t="str">
        <f aca="false">IF(A101="","",TRIM(IF(B101="","請求日 ","")&amp;IF(C101="","取引先 ",IF(D101="コード誤り","取引先コード誤り ",""))&amp;IF(E101="","件名 ","")&amp;IF(F101="","請求額 ","")&amp;IF(AND(F101&lt;&gt;"",I101=""),"入金期日(マスタの支払条件が未登録) ","")&amp;IF(J101="","送付方法 ","")&amp;IF(AND(K101&lt;&gt;"",L101=""),"送付者 ","")&amp;IF(AND(K101&lt;&gt;"",N(K101)&gt;設定!$C$5),"送付日が未来の日付 ","")&amp;IF(AND(K101&lt;&gt;"",N(M101)&gt;0,N(P101)&lt;=0,U101=""),"消込確認者 ","")))</f>
        <v/>
      </c>
      <c r="U101" s="26"/>
      <c r="V101" s="26"/>
    </row>
    <row r="102" customFormat="false" ht="15" hidden="false" customHeight="false" outlineLevel="0" collapsed="false">
      <c r="A102" s="21" t="str">
        <f aca="false">IF(COUNTA(B102,C102,E102,F102)=0,"",設定!$C$4&amp;TEXT(ROW()-4,"00000"))</f>
        <v/>
      </c>
      <c r="B102" s="22"/>
      <c r="C102" s="23"/>
      <c r="D102" s="21" t="str">
        <f aca="false">IF(C102="","",IFERROR(INDEX(取引先マスタ!$B$5:$B$204,MATCH(C102,取引先マスタ!$A$5:$A$204,0)),"コード誤り"))</f>
        <v/>
      </c>
      <c r="E102" s="26"/>
      <c r="F102" s="18"/>
      <c r="G102" s="25" t="str">
        <f aca="false">IF(OR(B102="",C102="",D102="コード誤り"),"",IFERROR(IF(OR(INDEX(取引先マスタ!$E$5:$E$204,MATCH(C102,取引先マスタ!$A$5:$A$204,0))="",INDEX(取引先マスタ!$F$5:$F$204,MATCH(C102,取引先マスタ!$A$5:$A$204,0))=""),"",DATE(YEAR(B102),MONTH(B102)+INDEX(取引先マスタ!$E$5:$E$204,MATCH(C102,取引先マスタ!$A$5:$A$204,0)),MIN(INDEX(取引先マスタ!$F$5:$F$204,MATCH(C102,取引先マスタ!$A$5:$A$204,0)),DAY(EOMONTH(B102,INDEX(取引先マスタ!$E$5:$E$204,MATCH(C102,取引先マスタ!$A$5:$A$204,0))))))),""))</f>
        <v/>
      </c>
      <c r="H102" s="22"/>
      <c r="I102" s="25" t="str">
        <f aca="false">IF(H102&lt;&gt;"",H102,G102)</f>
        <v/>
      </c>
      <c r="J102" s="26"/>
      <c r="K102" s="22"/>
      <c r="L102" s="26"/>
      <c r="M102" s="27" t="str">
        <f aca="false">IF(A102="","",SUMIF(入金明細!$F$5:$F$1004,A102,入金明細!$E$5:$E$1004))</f>
        <v/>
      </c>
      <c r="N102" s="25" t="str">
        <f aca="false">IF(OR(A102="",N(M102)=0),"",SUMPRODUCT(MAX((入金明細!$F$5:$F$1004=A102)*入金明細!$B$5:$B$1004)))</f>
        <v/>
      </c>
      <c r="O102" s="18"/>
      <c r="P102" s="27" t="str">
        <f aca="false">IF(OR(A102="",F102=""),"",F102-N(M102)-N(O102))</f>
        <v/>
      </c>
      <c r="Q102" s="26"/>
      <c r="R102" s="28" t="str">
        <f aca="false">IF(A102="","",IF(Q102="取消","取消",IF(T102&lt;&gt;"","要入力",IF(K102="","未送付",IF(P102=0,"入金済",IF(P102&lt;0,"過入金",IF(設定!$C$5&gt;I102,IF(N(M102)&gt;0,"一部入金・超過","期日超過"),IF(N(M102)&gt;0,"一部入金",IF(I102-設定!$C$5&lt;=設定!$C$6,"期日間近","入金待ち")))))))))</f>
        <v/>
      </c>
      <c r="S102" s="29" t="str">
        <f aca="false">IF(OR(R102="期日超過",R102="一部入金・超過"),設定!$C$5-I102,"")</f>
        <v/>
      </c>
      <c r="T102" s="21" t="str">
        <f aca="false">IF(A102="","",TRIM(IF(B102="","請求日 ","")&amp;IF(C102="","取引先 ",IF(D102="コード誤り","取引先コード誤り ",""))&amp;IF(E102="","件名 ","")&amp;IF(F102="","請求額 ","")&amp;IF(AND(F102&lt;&gt;"",I102=""),"入金期日(マスタの支払条件が未登録) ","")&amp;IF(J102="","送付方法 ","")&amp;IF(AND(K102&lt;&gt;"",L102=""),"送付者 ","")&amp;IF(AND(K102&lt;&gt;"",N(K102)&gt;設定!$C$5),"送付日が未来の日付 ","")&amp;IF(AND(K102&lt;&gt;"",N(M102)&gt;0,N(P102)&lt;=0,U102=""),"消込確認者 ","")))</f>
        <v/>
      </c>
      <c r="U102" s="26"/>
      <c r="V102" s="26"/>
    </row>
    <row r="103" customFormat="false" ht="15" hidden="false" customHeight="false" outlineLevel="0" collapsed="false">
      <c r="A103" s="21" t="str">
        <f aca="false">IF(COUNTA(B103,C103,E103,F103)=0,"",設定!$C$4&amp;TEXT(ROW()-4,"00000"))</f>
        <v/>
      </c>
      <c r="B103" s="22"/>
      <c r="C103" s="23"/>
      <c r="D103" s="21" t="str">
        <f aca="false">IF(C103="","",IFERROR(INDEX(取引先マスタ!$B$5:$B$204,MATCH(C103,取引先マスタ!$A$5:$A$204,0)),"コード誤り"))</f>
        <v/>
      </c>
      <c r="E103" s="26"/>
      <c r="F103" s="18"/>
      <c r="G103" s="25" t="str">
        <f aca="false">IF(OR(B103="",C103="",D103="コード誤り"),"",IFERROR(IF(OR(INDEX(取引先マスタ!$E$5:$E$204,MATCH(C103,取引先マスタ!$A$5:$A$204,0))="",INDEX(取引先マスタ!$F$5:$F$204,MATCH(C103,取引先マスタ!$A$5:$A$204,0))=""),"",DATE(YEAR(B103),MONTH(B103)+INDEX(取引先マスタ!$E$5:$E$204,MATCH(C103,取引先マスタ!$A$5:$A$204,0)),MIN(INDEX(取引先マスタ!$F$5:$F$204,MATCH(C103,取引先マスタ!$A$5:$A$204,0)),DAY(EOMONTH(B103,INDEX(取引先マスタ!$E$5:$E$204,MATCH(C103,取引先マスタ!$A$5:$A$204,0))))))),""))</f>
        <v/>
      </c>
      <c r="H103" s="22"/>
      <c r="I103" s="25" t="str">
        <f aca="false">IF(H103&lt;&gt;"",H103,G103)</f>
        <v/>
      </c>
      <c r="J103" s="26"/>
      <c r="K103" s="22"/>
      <c r="L103" s="26"/>
      <c r="M103" s="27" t="str">
        <f aca="false">IF(A103="","",SUMIF(入金明細!$F$5:$F$1004,A103,入金明細!$E$5:$E$1004))</f>
        <v/>
      </c>
      <c r="N103" s="25" t="str">
        <f aca="false">IF(OR(A103="",N(M103)=0),"",SUMPRODUCT(MAX((入金明細!$F$5:$F$1004=A103)*入金明細!$B$5:$B$1004)))</f>
        <v/>
      </c>
      <c r="O103" s="18"/>
      <c r="P103" s="27" t="str">
        <f aca="false">IF(OR(A103="",F103=""),"",F103-N(M103)-N(O103))</f>
        <v/>
      </c>
      <c r="Q103" s="26"/>
      <c r="R103" s="28" t="str">
        <f aca="false">IF(A103="","",IF(Q103="取消","取消",IF(T103&lt;&gt;"","要入力",IF(K103="","未送付",IF(P103=0,"入金済",IF(P103&lt;0,"過入金",IF(設定!$C$5&gt;I103,IF(N(M103)&gt;0,"一部入金・超過","期日超過"),IF(N(M103)&gt;0,"一部入金",IF(I103-設定!$C$5&lt;=設定!$C$6,"期日間近","入金待ち")))))))))</f>
        <v/>
      </c>
      <c r="S103" s="29" t="str">
        <f aca="false">IF(OR(R103="期日超過",R103="一部入金・超過"),設定!$C$5-I103,"")</f>
        <v/>
      </c>
      <c r="T103" s="21" t="str">
        <f aca="false">IF(A103="","",TRIM(IF(B103="","請求日 ","")&amp;IF(C103="","取引先 ",IF(D103="コード誤り","取引先コード誤り ",""))&amp;IF(E103="","件名 ","")&amp;IF(F103="","請求額 ","")&amp;IF(AND(F103&lt;&gt;"",I103=""),"入金期日(マスタの支払条件が未登録) ","")&amp;IF(J103="","送付方法 ","")&amp;IF(AND(K103&lt;&gt;"",L103=""),"送付者 ","")&amp;IF(AND(K103&lt;&gt;"",N(K103)&gt;設定!$C$5),"送付日が未来の日付 ","")&amp;IF(AND(K103&lt;&gt;"",N(M103)&gt;0,N(P103)&lt;=0,U103=""),"消込確認者 ","")))</f>
        <v/>
      </c>
      <c r="U103" s="26"/>
      <c r="V103" s="26"/>
    </row>
    <row r="104" customFormat="false" ht="15" hidden="false" customHeight="false" outlineLevel="0" collapsed="false">
      <c r="A104" s="21" t="str">
        <f aca="false">IF(COUNTA(B104,C104,E104,F104)=0,"",設定!$C$4&amp;TEXT(ROW()-4,"00000"))</f>
        <v/>
      </c>
      <c r="B104" s="22"/>
      <c r="C104" s="23"/>
      <c r="D104" s="21" t="str">
        <f aca="false">IF(C104="","",IFERROR(INDEX(取引先マスタ!$B$5:$B$204,MATCH(C104,取引先マスタ!$A$5:$A$204,0)),"コード誤り"))</f>
        <v/>
      </c>
      <c r="E104" s="26"/>
      <c r="F104" s="18"/>
      <c r="G104" s="25" t="str">
        <f aca="false">IF(OR(B104="",C104="",D104="コード誤り"),"",IFERROR(IF(OR(INDEX(取引先マスタ!$E$5:$E$204,MATCH(C104,取引先マスタ!$A$5:$A$204,0))="",INDEX(取引先マスタ!$F$5:$F$204,MATCH(C104,取引先マスタ!$A$5:$A$204,0))=""),"",DATE(YEAR(B104),MONTH(B104)+INDEX(取引先マスタ!$E$5:$E$204,MATCH(C104,取引先マスタ!$A$5:$A$204,0)),MIN(INDEX(取引先マスタ!$F$5:$F$204,MATCH(C104,取引先マスタ!$A$5:$A$204,0)),DAY(EOMONTH(B104,INDEX(取引先マスタ!$E$5:$E$204,MATCH(C104,取引先マスタ!$A$5:$A$204,0))))))),""))</f>
        <v/>
      </c>
      <c r="H104" s="22"/>
      <c r="I104" s="25" t="str">
        <f aca="false">IF(H104&lt;&gt;"",H104,G104)</f>
        <v/>
      </c>
      <c r="J104" s="26"/>
      <c r="K104" s="22"/>
      <c r="L104" s="26"/>
      <c r="M104" s="27" t="str">
        <f aca="false">IF(A104="","",SUMIF(入金明細!$F$5:$F$1004,A104,入金明細!$E$5:$E$1004))</f>
        <v/>
      </c>
      <c r="N104" s="25" t="str">
        <f aca="false">IF(OR(A104="",N(M104)=0),"",SUMPRODUCT(MAX((入金明細!$F$5:$F$1004=A104)*入金明細!$B$5:$B$1004)))</f>
        <v/>
      </c>
      <c r="O104" s="18"/>
      <c r="P104" s="27" t="str">
        <f aca="false">IF(OR(A104="",F104=""),"",F104-N(M104)-N(O104))</f>
        <v/>
      </c>
      <c r="Q104" s="26"/>
      <c r="R104" s="28" t="str">
        <f aca="false">IF(A104="","",IF(Q104="取消","取消",IF(T104&lt;&gt;"","要入力",IF(K104="","未送付",IF(P104=0,"入金済",IF(P104&lt;0,"過入金",IF(設定!$C$5&gt;I104,IF(N(M104)&gt;0,"一部入金・超過","期日超過"),IF(N(M104)&gt;0,"一部入金",IF(I104-設定!$C$5&lt;=設定!$C$6,"期日間近","入金待ち")))))))))</f>
        <v/>
      </c>
      <c r="S104" s="29" t="str">
        <f aca="false">IF(OR(R104="期日超過",R104="一部入金・超過"),設定!$C$5-I104,"")</f>
        <v/>
      </c>
      <c r="T104" s="21" t="str">
        <f aca="false">IF(A104="","",TRIM(IF(B104="","請求日 ","")&amp;IF(C104="","取引先 ",IF(D104="コード誤り","取引先コード誤り ",""))&amp;IF(E104="","件名 ","")&amp;IF(F104="","請求額 ","")&amp;IF(AND(F104&lt;&gt;"",I104=""),"入金期日(マスタの支払条件が未登録) ","")&amp;IF(J104="","送付方法 ","")&amp;IF(AND(K104&lt;&gt;"",L104=""),"送付者 ","")&amp;IF(AND(K104&lt;&gt;"",N(K104)&gt;設定!$C$5),"送付日が未来の日付 ","")&amp;IF(AND(K104&lt;&gt;"",N(M104)&gt;0,N(P104)&lt;=0,U104=""),"消込確認者 ","")))</f>
        <v/>
      </c>
      <c r="U104" s="26"/>
      <c r="V104" s="26"/>
    </row>
    <row r="105" customFormat="false" ht="15" hidden="false" customHeight="false" outlineLevel="0" collapsed="false">
      <c r="A105" s="21" t="str">
        <f aca="false">IF(COUNTA(B105,C105,E105,F105)=0,"",設定!$C$4&amp;TEXT(ROW()-4,"00000"))</f>
        <v/>
      </c>
      <c r="B105" s="22"/>
      <c r="C105" s="23"/>
      <c r="D105" s="21" t="str">
        <f aca="false">IF(C105="","",IFERROR(INDEX(取引先マスタ!$B$5:$B$204,MATCH(C105,取引先マスタ!$A$5:$A$204,0)),"コード誤り"))</f>
        <v/>
      </c>
      <c r="E105" s="26"/>
      <c r="F105" s="18"/>
      <c r="G105" s="25" t="str">
        <f aca="false">IF(OR(B105="",C105="",D105="コード誤り"),"",IFERROR(IF(OR(INDEX(取引先マスタ!$E$5:$E$204,MATCH(C105,取引先マスタ!$A$5:$A$204,0))="",INDEX(取引先マスタ!$F$5:$F$204,MATCH(C105,取引先マスタ!$A$5:$A$204,0))=""),"",DATE(YEAR(B105),MONTH(B105)+INDEX(取引先マスタ!$E$5:$E$204,MATCH(C105,取引先マスタ!$A$5:$A$204,0)),MIN(INDEX(取引先マスタ!$F$5:$F$204,MATCH(C105,取引先マスタ!$A$5:$A$204,0)),DAY(EOMONTH(B105,INDEX(取引先マスタ!$E$5:$E$204,MATCH(C105,取引先マスタ!$A$5:$A$204,0))))))),""))</f>
        <v/>
      </c>
      <c r="H105" s="22"/>
      <c r="I105" s="25" t="str">
        <f aca="false">IF(H105&lt;&gt;"",H105,G105)</f>
        <v/>
      </c>
      <c r="J105" s="26"/>
      <c r="K105" s="22"/>
      <c r="L105" s="26"/>
      <c r="M105" s="27" t="str">
        <f aca="false">IF(A105="","",SUMIF(入金明細!$F$5:$F$1004,A105,入金明細!$E$5:$E$1004))</f>
        <v/>
      </c>
      <c r="N105" s="25" t="str">
        <f aca="false">IF(OR(A105="",N(M105)=0),"",SUMPRODUCT(MAX((入金明細!$F$5:$F$1004=A105)*入金明細!$B$5:$B$1004)))</f>
        <v/>
      </c>
      <c r="O105" s="18"/>
      <c r="P105" s="27" t="str">
        <f aca="false">IF(OR(A105="",F105=""),"",F105-N(M105)-N(O105))</f>
        <v/>
      </c>
      <c r="Q105" s="26"/>
      <c r="R105" s="28" t="str">
        <f aca="false">IF(A105="","",IF(Q105="取消","取消",IF(T105&lt;&gt;"","要入力",IF(K105="","未送付",IF(P105=0,"入金済",IF(P105&lt;0,"過入金",IF(設定!$C$5&gt;I105,IF(N(M105)&gt;0,"一部入金・超過","期日超過"),IF(N(M105)&gt;0,"一部入金",IF(I105-設定!$C$5&lt;=設定!$C$6,"期日間近","入金待ち")))))))))</f>
        <v/>
      </c>
      <c r="S105" s="29" t="str">
        <f aca="false">IF(OR(R105="期日超過",R105="一部入金・超過"),設定!$C$5-I105,"")</f>
        <v/>
      </c>
      <c r="T105" s="21" t="str">
        <f aca="false">IF(A105="","",TRIM(IF(B105="","請求日 ","")&amp;IF(C105="","取引先 ",IF(D105="コード誤り","取引先コード誤り ",""))&amp;IF(E105="","件名 ","")&amp;IF(F105="","請求額 ","")&amp;IF(AND(F105&lt;&gt;"",I105=""),"入金期日(マスタの支払条件が未登録) ","")&amp;IF(J105="","送付方法 ","")&amp;IF(AND(K105&lt;&gt;"",L105=""),"送付者 ","")&amp;IF(AND(K105&lt;&gt;"",N(K105)&gt;設定!$C$5),"送付日が未来の日付 ","")&amp;IF(AND(K105&lt;&gt;"",N(M105)&gt;0,N(P105)&lt;=0,U105=""),"消込確認者 ","")))</f>
        <v/>
      </c>
      <c r="U105" s="26"/>
      <c r="V105" s="26"/>
    </row>
    <row r="106" customFormat="false" ht="15" hidden="false" customHeight="false" outlineLevel="0" collapsed="false">
      <c r="A106" s="21" t="str">
        <f aca="false">IF(COUNTA(B106,C106,E106,F106)=0,"",設定!$C$4&amp;TEXT(ROW()-4,"00000"))</f>
        <v/>
      </c>
      <c r="B106" s="22"/>
      <c r="C106" s="23"/>
      <c r="D106" s="21" t="str">
        <f aca="false">IF(C106="","",IFERROR(INDEX(取引先マスタ!$B$5:$B$204,MATCH(C106,取引先マスタ!$A$5:$A$204,0)),"コード誤り"))</f>
        <v/>
      </c>
      <c r="E106" s="26"/>
      <c r="F106" s="18"/>
      <c r="G106" s="25" t="str">
        <f aca="false">IF(OR(B106="",C106="",D106="コード誤り"),"",IFERROR(IF(OR(INDEX(取引先マスタ!$E$5:$E$204,MATCH(C106,取引先マスタ!$A$5:$A$204,0))="",INDEX(取引先マスタ!$F$5:$F$204,MATCH(C106,取引先マスタ!$A$5:$A$204,0))=""),"",DATE(YEAR(B106),MONTH(B106)+INDEX(取引先マスタ!$E$5:$E$204,MATCH(C106,取引先マスタ!$A$5:$A$204,0)),MIN(INDEX(取引先マスタ!$F$5:$F$204,MATCH(C106,取引先マスタ!$A$5:$A$204,0)),DAY(EOMONTH(B106,INDEX(取引先マスタ!$E$5:$E$204,MATCH(C106,取引先マスタ!$A$5:$A$204,0))))))),""))</f>
        <v/>
      </c>
      <c r="H106" s="22"/>
      <c r="I106" s="25" t="str">
        <f aca="false">IF(H106&lt;&gt;"",H106,G106)</f>
        <v/>
      </c>
      <c r="J106" s="26"/>
      <c r="K106" s="22"/>
      <c r="L106" s="26"/>
      <c r="M106" s="27" t="str">
        <f aca="false">IF(A106="","",SUMIF(入金明細!$F$5:$F$1004,A106,入金明細!$E$5:$E$1004))</f>
        <v/>
      </c>
      <c r="N106" s="25" t="str">
        <f aca="false">IF(OR(A106="",N(M106)=0),"",SUMPRODUCT(MAX((入金明細!$F$5:$F$1004=A106)*入金明細!$B$5:$B$1004)))</f>
        <v/>
      </c>
      <c r="O106" s="18"/>
      <c r="P106" s="27" t="str">
        <f aca="false">IF(OR(A106="",F106=""),"",F106-N(M106)-N(O106))</f>
        <v/>
      </c>
      <c r="Q106" s="26"/>
      <c r="R106" s="28" t="str">
        <f aca="false">IF(A106="","",IF(Q106="取消","取消",IF(T106&lt;&gt;"","要入力",IF(K106="","未送付",IF(P106=0,"入金済",IF(P106&lt;0,"過入金",IF(設定!$C$5&gt;I106,IF(N(M106)&gt;0,"一部入金・超過","期日超過"),IF(N(M106)&gt;0,"一部入金",IF(I106-設定!$C$5&lt;=設定!$C$6,"期日間近","入金待ち")))))))))</f>
        <v/>
      </c>
      <c r="S106" s="29" t="str">
        <f aca="false">IF(OR(R106="期日超過",R106="一部入金・超過"),設定!$C$5-I106,"")</f>
        <v/>
      </c>
      <c r="T106" s="21" t="str">
        <f aca="false">IF(A106="","",TRIM(IF(B106="","請求日 ","")&amp;IF(C106="","取引先 ",IF(D106="コード誤り","取引先コード誤り ",""))&amp;IF(E106="","件名 ","")&amp;IF(F106="","請求額 ","")&amp;IF(AND(F106&lt;&gt;"",I106=""),"入金期日(マスタの支払条件が未登録) ","")&amp;IF(J106="","送付方法 ","")&amp;IF(AND(K106&lt;&gt;"",L106=""),"送付者 ","")&amp;IF(AND(K106&lt;&gt;"",N(K106)&gt;設定!$C$5),"送付日が未来の日付 ","")&amp;IF(AND(K106&lt;&gt;"",N(M106)&gt;0,N(P106)&lt;=0,U106=""),"消込確認者 ","")))</f>
        <v/>
      </c>
      <c r="U106" s="26"/>
      <c r="V106" s="26"/>
    </row>
    <row r="107" customFormat="false" ht="15" hidden="false" customHeight="false" outlineLevel="0" collapsed="false">
      <c r="A107" s="21" t="str">
        <f aca="false">IF(COUNTA(B107,C107,E107,F107)=0,"",設定!$C$4&amp;TEXT(ROW()-4,"00000"))</f>
        <v/>
      </c>
      <c r="B107" s="22"/>
      <c r="C107" s="23"/>
      <c r="D107" s="21" t="str">
        <f aca="false">IF(C107="","",IFERROR(INDEX(取引先マスタ!$B$5:$B$204,MATCH(C107,取引先マスタ!$A$5:$A$204,0)),"コード誤り"))</f>
        <v/>
      </c>
      <c r="E107" s="26"/>
      <c r="F107" s="18"/>
      <c r="G107" s="25" t="str">
        <f aca="false">IF(OR(B107="",C107="",D107="コード誤り"),"",IFERROR(IF(OR(INDEX(取引先マスタ!$E$5:$E$204,MATCH(C107,取引先マスタ!$A$5:$A$204,0))="",INDEX(取引先マスタ!$F$5:$F$204,MATCH(C107,取引先マスタ!$A$5:$A$204,0))=""),"",DATE(YEAR(B107),MONTH(B107)+INDEX(取引先マスタ!$E$5:$E$204,MATCH(C107,取引先マスタ!$A$5:$A$204,0)),MIN(INDEX(取引先マスタ!$F$5:$F$204,MATCH(C107,取引先マスタ!$A$5:$A$204,0)),DAY(EOMONTH(B107,INDEX(取引先マスタ!$E$5:$E$204,MATCH(C107,取引先マスタ!$A$5:$A$204,0))))))),""))</f>
        <v/>
      </c>
      <c r="H107" s="22"/>
      <c r="I107" s="25" t="str">
        <f aca="false">IF(H107&lt;&gt;"",H107,G107)</f>
        <v/>
      </c>
      <c r="J107" s="26"/>
      <c r="K107" s="22"/>
      <c r="L107" s="26"/>
      <c r="M107" s="27" t="str">
        <f aca="false">IF(A107="","",SUMIF(入金明細!$F$5:$F$1004,A107,入金明細!$E$5:$E$1004))</f>
        <v/>
      </c>
      <c r="N107" s="25" t="str">
        <f aca="false">IF(OR(A107="",N(M107)=0),"",SUMPRODUCT(MAX((入金明細!$F$5:$F$1004=A107)*入金明細!$B$5:$B$1004)))</f>
        <v/>
      </c>
      <c r="O107" s="18"/>
      <c r="P107" s="27" t="str">
        <f aca="false">IF(OR(A107="",F107=""),"",F107-N(M107)-N(O107))</f>
        <v/>
      </c>
      <c r="Q107" s="26"/>
      <c r="R107" s="28" t="str">
        <f aca="false">IF(A107="","",IF(Q107="取消","取消",IF(T107&lt;&gt;"","要入力",IF(K107="","未送付",IF(P107=0,"入金済",IF(P107&lt;0,"過入金",IF(設定!$C$5&gt;I107,IF(N(M107)&gt;0,"一部入金・超過","期日超過"),IF(N(M107)&gt;0,"一部入金",IF(I107-設定!$C$5&lt;=設定!$C$6,"期日間近","入金待ち")))))))))</f>
        <v/>
      </c>
      <c r="S107" s="29" t="str">
        <f aca="false">IF(OR(R107="期日超過",R107="一部入金・超過"),設定!$C$5-I107,"")</f>
        <v/>
      </c>
      <c r="T107" s="21" t="str">
        <f aca="false">IF(A107="","",TRIM(IF(B107="","請求日 ","")&amp;IF(C107="","取引先 ",IF(D107="コード誤り","取引先コード誤り ",""))&amp;IF(E107="","件名 ","")&amp;IF(F107="","請求額 ","")&amp;IF(AND(F107&lt;&gt;"",I107=""),"入金期日(マスタの支払条件が未登録) ","")&amp;IF(J107="","送付方法 ","")&amp;IF(AND(K107&lt;&gt;"",L107=""),"送付者 ","")&amp;IF(AND(K107&lt;&gt;"",N(K107)&gt;設定!$C$5),"送付日が未来の日付 ","")&amp;IF(AND(K107&lt;&gt;"",N(M107)&gt;0,N(P107)&lt;=0,U107=""),"消込確認者 ","")))</f>
        <v/>
      </c>
      <c r="U107" s="26"/>
      <c r="V107" s="26"/>
    </row>
    <row r="108" customFormat="false" ht="15" hidden="false" customHeight="false" outlineLevel="0" collapsed="false">
      <c r="A108" s="21" t="str">
        <f aca="false">IF(COUNTA(B108,C108,E108,F108)=0,"",設定!$C$4&amp;TEXT(ROW()-4,"00000"))</f>
        <v/>
      </c>
      <c r="B108" s="22"/>
      <c r="C108" s="23"/>
      <c r="D108" s="21" t="str">
        <f aca="false">IF(C108="","",IFERROR(INDEX(取引先マスタ!$B$5:$B$204,MATCH(C108,取引先マスタ!$A$5:$A$204,0)),"コード誤り"))</f>
        <v/>
      </c>
      <c r="E108" s="26"/>
      <c r="F108" s="18"/>
      <c r="G108" s="25" t="str">
        <f aca="false">IF(OR(B108="",C108="",D108="コード誤り"),"",IFERROR(IF(OR(INDEX(取引先マスタ!$E$5:$E$204,MATCH(C108,取引先マスタ!$A$5:$A$204,0))="",INDEX(取引先マスタ!$F$5:$F$204,MATCH(C108,取引先マスタ!$A$5:$A$204,0))=""),"",DATE(YEAR(B108),MONTH(B108)+INDEX(取引先マスタ!$E$5:$E$204,MATCH(C108,取引先マスタ!$A$5:$A$204,0)),MIN(INDEX(取引先マスタ!$F$5:$F$204,MATCH(C108,取引先マスタ!$A$5:$A$204,0)),DAY(EOMONTH(B108,INDEX(取引先マスタ!$E$5:$E$204,MATCH(C108,取引先マスタ!$A$5:$A$204,0))))))),""))</f>
        <v/>
      </c>
      <c r="H108" s="22"/>
      <c r="I108" s="25" t="str">
        <f aca="false">IF(H108&lt;&gt;"",H108,G108)</f>
        <v/>
      </c>
      <c r="J108" s="26"/>
      <c r="K108" s="22"/>
      <c r="L108" s="26"/>
      <c r="M108" s="27" t="str">
        <f aca="false">IF(A108="","",SUMIF(入金明細!$F$5:$F$1004,A108,入金明細!$E$5:$E$1004))</f>
        <v/>
      </c>
      <c r="N108" s="25" t="str">
        <f aca="false">IF(OR(A108="",N(M108)=0),"",SUMPRODUCT(MAX((入金明細!$F$5:$F$1004=A108)*入金明細!$B$5:$B$1004)))</f>
        <v/>
      </c>
      <c r="O108" s="18"/>
      <c r="P108" s="27" t="str">
        <f aca="false">IF(OR(A108="",F108=""),"",F108-N(M108)-N(O108))</f>
        <v/>
      </c>
      <c r="Q108" s="26"/>
      <c r="R108" s="28" t="str">
        <f aca="false">IF(A108="","",IF(Q108="取消","取消",IF(T108&lt;&gt;"","要入力",IF(K108="","未送付",IF(P108=0,"入金済",IF(P108&lt;0,"過入金",IF(設定!$C$5&gt;I108,IF(N(M108)&gt;0,"一部入金・超過","期日超過"),IF(N(M108)&gt;0,"一部入金",IF(I108-設定!$C$5&lt;=設定!$C$6,"期日間近","入金待ち")))))))))</f>
        <v/>
      </c>
      <c r="S108" s="29" t="str">
        <f aca="false">IF(OR(R108="期日超過",R108="一部入金・超過"),設定!$C$5-I108,"")</f>
        <v/>
      </c>
      <c r="T108" s="21" t="str">
        <f aca="false">IF(A108="","",TRIM(IF(B108="","請求日 ","")&amp;IF(C108="","取引先 ",IF(D108="コード誤り","取引先コード誤り ",""))&amp;IF(E108="","件名 ","")&amp;IF(F108="","請求額 ","")&amp;IF(AND(F108&lt;&gt;"",I108=""),"入金期日(マスタの支払条件が未登録) ","")&amp;IF(J108="","送付方法 ","")&amp;IF(AND(K108&lt;&gt;"",L108=""),"送付者 ","")&amp;IF(AND(K108&lt;&gt;"",N(K108)&gt;設定!$C$5),"送付日が未来の日付 ","")&amp;IF(AND(K108&lt;&gt;"",N(M108)&gt;0,N(P108)&lt;=0,U108=""),"消込確認者 ","")))</f>
        <v/>
      </c>
      <c r="U108" s="26"/>
      <c r="V108" s="26"/>
    </row>
    <row r="109" customFormat="false" ht="15" hidden="false" customHeight="false" outlineLevel="0" collapsed="false">
      <c r="A109" s="21" t="str">
        <f aca="false">IF(COUNTA(B109,C109,E109,F109)=0,"",設定!$C$4&amp;TEXT(ROW()-4,"00000"))</f>
        <v/>
      </c>
      <c r="B109" s="22"/>
      <c r="C109" s="23"/>
      <c r="D109" s="21" t="str">
        <f aca="false">IF(C109="","",IFERROR(INDEX(取引先マスタ!$B$5:$B$204,MATCH(C109,取引先マスタ!$A$5:$A$204,0)),"コード誤り"))</f>
        <v/>
      </c>
      <c r="E109" s="26"/>
      <c r="F109" s="18"/>
      <c r="G109" s="25" t="str">
        <f aca="false">IF(OR(B109="",C109="",D109="コード誤り"),"",IFERROR(IF(OR(INDEX(取引先マスタ!$E$5:$E$204,MATCH(C109,取引先マスタ!$A$5:$A$204,0))="",INDEX(取引先マスタ!$F$5:$F$204,MATCH(C109,取引先マスタ!$A$5:$A$204,0))=""),"",DATE(YEAR(B109),MONTH(B109)+INDEX(取引先マスタ!$E$5:$E$204,MATCH(C109,取引先マスタ!$A$5:$A$204,0)),MIN(INDEX(取引先マスタ!$F$5:$F$204,MATCH(C109,取引先マスタ!$A$5:$A$204,0)),DAY(EOMONTH(B109,INDEX(取引先マスタ!$E$5:$E$204,MATCH(C109,取引先マスタ!$A$5:$A$204,0))))))),""))</f>
        <v/>
      </c>
      <c r="H109" s="22"/>
      <c r="I109" s="25" t="str">
        <f aca="false">IF(H109&lt;&gt;"",H109,G109)</f>
        <v/>
      </c>
      <c r="J109" s="26"/>
      <c r="K109" s="22"/>
      <c r="L109" s="26"/>
      <c r="M109" s="27" t="str">
        <f aca="false">IF(A109="","",SUMIF(入金明細!$F$5:$F$1004,A109,入金明細!$E$5:$E$1004))</f>
        <v/>
      </c>
      <c r="N109" s="25" t="str">
        <f aca="false">IF(OR(A109="",N(M109)=0),"",SUMPRODUCT(MAX((入金明細!$F$5:$F$1004=A109)*入金明細!$B$5:$B$1004)))</f>
        <v/>
      </c>
      <c r="O109" s="18"/>
      <c r="P109" s="27" t="str">
        <f aca="false">IF(OR(A109="",F109=""),"",F109-N(M109)-N(O109))</f>
        <v/>
      </c>
      <c r="Q109" s="26"/>
      <c r="R109" s="28" t="str">
        <f aca="false">IF(A109="","",IF(Q109="取消","取消",IF(T109&lt;&gt;"","要入力",IF(K109="","未送付",IF(P109=0,"入金済",IF(P109&lt;0,"過入金",IF(設定!$C$5&gt;I109,IF(N(M109)&gt;0,"一部入金・超過","期日超過"),IF(N(M109)&gt;0,"一部入金",IF(I109-設定!$C$5&lt;=設定!$C$6,"期日間近","入金待ち")))))))))</f>
        <v/>
      </c>
      <c r="S109" s="29" t="str">
        <f aca="false">IF(OR(R109="期日超過",R109="一部入金・超過"),設定!$C$5-I109,"")</f>
        <v/>
      </c>
      <c r="T109" s="21" t="str">
        <f aca="false">IF(A109="","",TRIM(IF(B109="","請求日 ","")&amp;IF(C109="","取引先 ",IF(D109="コード誤り","取引先コード誤り ",""))&amp;IF(E109="","件名 ","")&amp;IF(F109="","請求額 ","")&amp;IF(AND(F109&lt;&gt;"",I109=""),"入金期日(マスタの支払条件が未登録) ","")&amp;IF(J109="","送付方法 ","")&amp;IF(AND(K109&lt;&gt;"",L109=""),"送付者 ","")&amp;IF(AND(K109&lt;&gt;"",N(K109)&gt;設定!$C$5),"送付日が未来の日付 ","")&amp;IF(AND(K109&lt;&gt;"",N(M109)&gt;0,N(P109)&lt;=0,U109=""),"消込確認者 ","")))</f>
        <v/>
      </c>
      <c r="U109" s="26"/>
      <c r="V109" s="26"/>
    </row>
    <row r="110" customFormat="false" ht="15" hidden="false" customHeight="false" outlineLevel="0" collapsed="false">
      <c r="A110" s="21" t="str">
        <f aca="false">IF(COUNTA(B110,C110,E110,F110)=0,"",設定!$C$4&amp;TEXT(ROW()-4,"00000"))</f>
        <v/>
      </c>
      <c r="B110" s="22"/>
      <c r="C110" s="23"/>
      <c r="D110" s="21" t="str">
        <f aca="false">IF(C110="","",IFERROR(INDEX(取引先マスタ!$B$5:$B$204,MATCH(C110,取引先マスタ!$A$5:$A$204,0)),"コード誤り"))</f>
        <v/>
      </c>
      <c r="E110" s="26"/>
      <c r="F110" s="18"/>
      <c r="G110" s="25" t="str">
        <f aca="false">IF(OR(B110="",C110="",D110="コード誤り"),"",IFERROR(IF(OR(INDEX(取引先マスタ!$E$5:$E$204,MATCH(C110,取引先マスタ!$A$5:$A$204,0))="",INDEX(取引先マスタ!$F$5:$F$204,MATCH(C110,取引先マスタ!$A$5:$A$204,0))=""),"",DATE(YEAR(B110),MONTH(B110)+INDEX(取引先マスタ!$E$5:$E$204,MATCH(C110,取引先マスタ!$A$5:$A$204,0)),MIN(INDEX(取引先マスタ!$F$5:$F$204,MATCH(C110,取引先マスタ!$A$5:$A$204,0)),DAY(EOMONTH(B110,INDEX(取引先マスタ!$E$5:$E$204,MATCH(C110,取引先マスタ!$A$5:$A$204,0))))))),""))</f>
        <v/>
      </c>
      <c r="H110" s="22"/>
      <c r="I110" s="25" t="str">
        <f aca="false">IF(H110&lt;&gt;"",H110,G110)</f>
        <v/>
      </c>
      <c r="J110" s="26"/>
      <c r="K110" s="22"/>
      <c r="L110" s="26"/>
      <c r="M110" s="27" t="str">
        <f aca="false">IF(A110="","",SUMIF(入金明細!$F$5:$F$1004,A110,入金明細!$E$5:$E$1004))</f>
        <v/>
      </c>
      <c r="N110" s="25" t="str">
        <f aca="false">IF(OR(A110="",N(M110)=0),"",SUMPRODUCT(MAX((入金明細!$F$5:$F$1004=A110)*入金明細!$B$5:$B$1004)))</f>
        <v/>
      </c>
      <c r="O110" s="18"/>
      <c r="P110" s="27" t="str">
        <f aca="false">IF(OR(A110="",F110=""),"",F110-N(M110)-N(O110))</f>
        <v/>
      </c>
      <c r="Q110" s="26"/>
      <c r="R110" s="28" t="str">
        <f aca="false">IF(A110="","",IF(Q110="取消","取消",IF(T110&lt;&gt;"","要入力",IF(K110="","未送付",IF(P110=0,"入金済",IF(P110&lt;0,"過入金",IF(設定!$C$5&gt;I110,IF(N(M110)&gt;0,"一部入金・超過","期日超過"),IF(N(M110)&gt;0,"一部入金",IF(I110-設定!$C$5&lt;=設定!$C$6,"期日間近","入金待ち")))))))))</f>
        <v/>
      </c>
      <c r="S110" s="29" t="str">
        <f aca="false">IF(OR(R110="期日超過",R110="一部入金・超過"),設定!$C$5-I110,"")</f>
        <v/>
      </c>
      <c r="T110" s="21" t="str">
        <f aca="false">IF(A110="","",TRIM(IF(B110="","請求日 ","")&amp;IF(C110="","取引先 ",IF(D110="コード誤り","取引先コード誤り ",""))&amp;IF(E110="","件名 ","")&amp;IF(F110="","請求額 ","")&amp;IF(AND(F110&lt;&gt;"",I110=""),"入金期日(マスタの支払条件が未登録) ","")&amp;IF(J110="","送付方法 ","")&amp;IF(AND(K110&lt;&gt;"",L110=""),"送付者 ","")&amp;IF(AND(K110&lt;&gt;"",N(K110)&gt;設定!$C$5),"送付日が未来の日付 ","")&amp;IF(AND(K110&lt;&gt;"",N(M110)&gt;0,N(P110)&lt;=0,U110=""),"消込確認者 ","")))</f>
        <v/>
      </c>
      <c r="U110" s="26"/>
      <c r="V110" s="26"/>
    </row>
    <row r="111" customFormat="false" ht="15" hidden="false" customHeight="false" outlineLevel="0" collapsed="false">
      <c r="A111" s="21" t="str">
        <f aca="false">IF(COUNTA(B111,C111,E111,F111)=0,"",設定!$C$4&amp;TEXT(ROW()-4,"00000"))</f>
        <v/>
      </c>
      <c r="B111" s="22"/>
      <c r="C111" s="23"/>
      <c r="D111" s="21" t="str">
        <f aca="false">IF(C111="","",IFERROR(INDEX(取引先マスタ!$B$5:$B$204,MATCH(C111,取引先マスタ!$A$5:$A$204,0)),"コード誤り"))</f>
        <v/>
      </c>
      <c r="E111" s="26"/>
      <c r="F111" s="18"/>
      <c r="G111" s="25" t="str">
        <f aca="false">IF(OR(B111="",C111="",D111="コード誤り"),"",IFERROR(IF(OR(INDEX(取引先マスタ!$E$5:$E$204,MATCH(C111,取引先マスタ!$A$5:$A$204,0))="",INDEX(取引先マスタ!$F$5:$F$204,MATCH(C111,取引先マスタ!$A$5:$A$204,0))=""),"",DATE(YEAR(B111),MONTH(B111)+INDEX(取引先マスタ!$E$5:$E$204,MATCH(C111,取引先マスタ!$A$5:$A$204,0)),MIN(INDEX(取引先マスタ!$F$5:$F$204,MATCH(C111,取引先マスタ!$A$5:$A$204,0)),DAY(EOMONTH(B111,INDEX(取引先マスタ!$E$5:$E$204,MATCH(C111,取引先マスタ!$A$5:$A$204,0))))))),""))</f>
        <v/>
      </c>
      <c r="H111" s="22"/>
      <c r="I111" s="25" t="str">
        <f aca="false">IF(H111&lt;&gt;"",H111,G111)</f>
        <v/>
      </c>
      <c r="J111" s="26"/>
      <c r="K111" s="22"/>
      <c r="L111" s="26"/>
      <c r="M111" s="27" t="str">
        <f aca="false">IF(A111="","",SUMIF(入金明細!$F$5:$F$1004,A111,入金明細!$E$5:$E$1004))</f>
        <v/>
      </c>
      <c r="N111" s="25" t="str">
        <f aca="false">IF(OR(A111="",N(M111)=0),"",SUMPRODUCT(MAX((入金明細!$F$5:$F$1004=A111)*入金明細!$B$5:$B$1004)))</f>
        <v/>
      </c>
      <c r="O111" s="18"/>
      <c r="P111" s="27" t="str">
        <f aca="false">IF(OR(A111="",F111=""),"",F111-N(M111)-N(O111))</f>
        <v/>
      </c>
      <c r="Q111" s="26"/>
      <c r="R111" s="28" t="str">
        <f aca="false">IF(A111="","",IF(Q111="取消","取消",IF(T111&lt;&gt;"","要入力",IF(K111="","未送付",IF(P111=0,"入金済",IF(P111&lt;0,"過入金",IF(設定!$C$5&gt;I111,IF(N(M111)&gt;0,"一部入金・超過","期日超過"),IF(N(M111)&gt;0,"一部入金",IF(I111-設定!$C$5&lt;=設定!$C$6,"期日間近","入金待ち")))))))))</f>
        <v/>
      </c>
      <c r="S111" s="29" t="str">
        <f aca="false">IF(OR(R111="期日超過",R111="一部入金・超過"),設定!$C$5-I111,"")</f>
        <v/>
      </c>
      <c r="T111" s="21" t="str">
        <f aca="false">IF(A111="","",TRIM(IF(B111="","請求日 ","")&amp;IF(C111="","取引先 ",IF(D111="コード誤り","取引先コード誤り ",""))&amp;IF(E111="","件名 ","")&amp;IF(F111="","請求額 ","")&amp;IF(AND(F111&lt;&gt;"",I111=""),"入金期日(マスタの支払条件が未登録) ","")&amp;IF(J111="","送付方法 ","")&amp;IF(AND(K111&lt;&gt;"",L111=""),"送付者 ","")&amp;IF(AND(K111&lt;&gt;"",N(K111)&gt;設定!$C$5),"送付日が未来の日付 ","")&amp;IF(AND(K111&lt;&gt;"",N(M111)&gt;0,N(P111)&lt;=0,U111=""),"消込確認者 ","")))</f>
        <v/>
      </c>
      <c r="U111" s="26"/>
      <c r="V111" s="26"/>
    </row>
    <row r="112" customFormat="false" ht="15" hidden="false" customHeight="false" outlineLevel="0" collapsed="false">
      <c r="A112" s="21" t="str">
        <f aca="false">IF(COUNTA(B112,C112,E112,F112)=0,"",設定!$C$4&amp;TEXT(ROW()-4,"00000"))</f>
        <v/>
      </c>
      <c r="B112" s="22"/>
      <c r="C112" s="23"/>
      <c r="D112" s="21" t="str">
        <f aca="false">IF(C112="","",IFERROR(INDEX(取引先マスタ!$B$5:$B$204,MATCH(C112,取引先マスタ!$A$5:$A$204,0)),"コード誤り"))</f>
        <v/>
      </c>
      <c r="E112" s="26"/>
      <c r="F112" s="18"/>
      <c r="G112" s="25" t="str">
        <f aca="false">IF(OR(B112="",C112="",D112="コード誤り"),"",IFERROR(IF(OR(INDEX(取引先マスタ!$E$5:$E$204,MATCH(C112,取引先マスタ!$A$5:$A$204,0))="",INDEX(取引先マスタ!$F$5:$F$204,MATCH(C112,取引先マスタ!$A$5:$A$204,0))=""),"",DATE(YEAR(B112),MONTH(B112)+INDEX(取引先マスタ!$E$5:$E$204,MATCH(C112,取引先マスタ!$A$5:$A$204,0)),MIN(INDEX(取引先マスタ!$F$5:$F$204,MATCH(C112,取引先マスタ!$A$5:$A$204,0)),DAY(EOMONTH(B112,INDEX(取引先マスタ!$E$5:$E$204,MATCH(C112,取引先マスタ!$A$5:$A$204,0))))))),""))</f>
        <v/>
      </c>
      <c r="H112" s="22"/>
      <c r="I112" s="25" t="str">
        <f aca="false">IF(H112&lt;&gt;"",H112,G112)</f>
        <v/>
      </c>
      <c r="J112" s="26"/>
      <c r="K112" s="22"/>
      <c r="L112" s="26"/>
      <c r="M112" s="27" t="str">
        <f aca="false">IF(A112="","",SUMIF(入金明細!$F$5:$F$1004,A112,入金明細!$E$5:$E$1004))</f>
        <v/>
      </c>
      <c r="N112" s="25" t="str">
        <f aca="false">IF(OR(A112="",N(M112)=0),"",SUMPRODUCT(MAX((入金明細!$F$5:$F$1004=A112)*入金明細!$B$5:$B$1004)))</f>
        <v/>
      </c>
      <c r="O112" s="18"/>
      <c r="P112" s="27" t="str">
        <f aca="false">IF(OR(A112="",F112=""),"",F112-N(M112)-N(O112))</f>
        <v/>
      </c>
      <c r="Q112" s="26"/>
      <c r="R112" s="28" t="str">
        <f aca="false">IF(A112="","",IF(Q112="取消","取消",IF(T112&lt;&gt;"","要入力",IF(K112="","未送付",IF(P112=0,"入金済",IF(P112&lt;0,"過入金",IF(設定!$C$5&gt;I112,IF(N(M112)&gt;0,"一部入金・超過","期日超過"),IF(N(M112)&gt;0,"一部入金",IF(I112-設定!$C$5&lt;=設定!$C$6,"期日間近","入金待ち")))))))))</f>
        <v/>
      </c>
      <c r="S112" s="29" t="str">
        <f aca="false">IF(OR(R112="期日超過",R112="一部入金・超過"),設定!$C$5-I112,"")</f>
        <v/>
      </c>
      <c r="T112" s="21" t="str">
        <f aca="false">IF(A112="","",TRIM(IF(B112="","請求日 ","")&amp;IF(C112="","取引先 ",IF(D112="コード誤り","取引先コード誤り ",""))&amp;IF(E112="","件名 ","")&amp;IF(F112="","請求額 ","")&amp;IF(AND(F112&lt;&gt;"",I112=""),"入金期日(マスタの支払条件が未登録) ","")&amp;IF(J112="","送付方法 ","")&amp;IF(AND(K112&lt;&gt;"",L112=""),"送付者 ","")&amp;IF(AND(K112&lt;&gt;"",N(K112)&gt;設定!$C$5),"送付日が未来の日付 ","")&amp;IF(AND(K112&lt;&gt;"",N(M112)&gt;0,N(P112)&lt;=0,U112=""),"消込確認者 ","")))</f>
        <v/>
      </c>
      <c r="U112" s="26"/>
      <c r="V112" s="26"/>
    </row>
    <row r="113" customFormat="false" ht="15" hidden="false" customHeight="false" outlineLevel="0" collapsed="false">
      <c r="A113" s="21" t="str">
        <f aca="false">IF(COUNTA(B113,C113,E113,F113)=0,"",設定!$C$4&amp;TEXT(ROW()-4,"00000"))</f>
        <v/>
      </c>
      <c r="B113" s="22"/>
      <c r="C113" s="23"/>
      <c r="D113" s="21" t="str">
        <f aca="false">IF(C113="","",IFERROR(INDEX(取引先マスタ!$B$5:$B$204,MATCH(C113,取引先マスタ!$A$5:$A$204,0)),"コード誤り"))</f>
        <v/>
      </c>
      <c r="E113" s="26"/>
      <c r="F113" s="18"/>
      <c r="G113" s="25" t="str">
        <f aca="false">IF(OR(B113="",C113="",D113="コード誤り"),"",IFERROR(IF(OR(INDEX(取引先マスタ!$E$5:$E$204,MATCH(C113,取引先マスタ!$A$5:$A$204,0))="",INDEX(取引先マスタ!$F$5:$F$204,MATCH(C113,取引先マスタ!$A$5:$A$204,0))=""),"",DATE(YEAR(B113),MONTH(B113)+INDEX(取引先マスタ!$E$5:$E$204,MATCH(C113,取引先マスタ!$A$5:$A$204,0)),MIN(INDEX(取引先マスタ!$F$5:$F$204,MATCH(C113,取引先マスタ!$A$5:$A$204,0)),DAY(EOMONTH(B113,INDEX(取引先マスタ!$E$5:$E$204,MATCH(C113,取引先マスタ!$A$5:$A$204,0))))))),""))</f>
        <v/>
      </c>
      <c r="H113" s="22"/>
      <c r="I113" s="25" t="str">
        <f aca="false">IF(H113&lt;&gt;"",H113,G113)</f>
        <v/>
      </c>
      <c r="J113" s="26"/>
      <c r="K113" s="22"/>
      <c r="L113" s="26"/>
      <c r="M113" s="27" t="str">
        <f aca="false">IF(A113="","",SUMIF(入金明細!$F$5:$F$1004,A113,入金明細!$E$5:$E$1004))</f>
        <v/>
      </c>
      <c r="N113" s="25" t="str">
        <f aca="false">IF(OR(A113="",N(M113)=0),"",SUMPRODUCT(MAX((入金明細!$F$5:$F$1004=A113)*入金明細!$B$5:$B$1004)))</f>
        <v/>
      </c>
      <c r="O113" s="18"/>
      <c r="P113" s="27" t="str">
        <f aca="false">IF(OR(A113="",F113=""),"",F113-N(M113)-N(O113))</f>
        <v/>
      </c>
      <c r="Q113" s="26"/>
      <c r="R113" s="28" t="str">
        <f aca="false">IF(A113="","",IF(Q113="取消","取消",IF(T113&lt;&gt;"","要入力",IF(K113="","未送付",IF(P113=0,"入金済",IF(P113&lt;0,"過入金",IF(設定!$C$5&gt;I113,IF(N(M113)&gt;0,"一部入金・超過","期日超過"),IF(N(M113)&gt;0,"一部入金",IF(I113-設定!$C$5&lt;=設定!$C$6,"期日間近","入金待ち")))))))))</f>
        <v/>
      </c>
      <c r="S113" s="29" t="str">
        <f aca="false">IF(OR(R113="期日超過",R113="一部入金・超過"),設定!$C$5-I113,"")</f>
        <v/>
      </c>
      <c r="T113" s="21" t="str">
        <f aca="false">IF(A113="","",TRIM(IF(B113="","請求日 ","")&amp;IF(C113="","取引先 ",IF(D113="コード誤り","取引先コード誤り ",""))&amp;IF(E113="","件名 ","")&amp;IF(F113="","請求額 ","")&amp;IF(AND(F113&lt;&gt;"",I113=""),"入金期日(マスタの支払条件が未登録) ","")&amp;IF(J113="","送付方法 ","")&amp;IF(AND(K113&lt;&gt;"",L113=""),"送付者 ","")&amp;IF(AND(K113&lt;&gt;"",N(K113)&gt;設定!$C$5),"送付日が未来の日付 ","")&amp;IF(AND(K113&lt;&gt;"",N(M113)&gt;0,N(P113)&lt;=0,U113=""),"消込確認者 ","")))</f>
        <v/>
      </c>
      <c r="U113" s="26"/>
      <c r="V113" s="26"/>
    </row>
    <row r="114" customFormat="false" ht="15" hidden="false" customHeight="false" outlineLevel="0" collapsed="false">
      <c r="A114" s="21" t="str">
        <f aca="false">IF(COUNTA(B114,C114,E114,F114)=0,"",設定!$C$4&amp;TEXT(ROW()-4,"00000"))</f>
        <v/>
      </c>
      <c r="B114" s="22"/>
      <c r="C114" s="23"/>
      <c r="D114" s="21" t="str">
        <f aca="false">IF(C114="","",IFERROR(INDEX(取引先マスタ!$B$5:$B$204,MATCH(C114,取引先マスタ!$A$5:$A$204,0)),"コード誤り"))</f>
        <v/>
      </c>
      <c r="E114" s="26"/>
      <c r="F114" s="18"/>
      <c r="G114" s="25" t="str">
        <f aca="false">IF(OR(B114="",C114="",D114="コード誤り"),"",IFERROR(IF(OR(INDEX(取引先マスタ!$E$5:$E$204,MATCH(C114,取引先マスタ!$A$5:$A$204,0))="",INDEX(取引先マスタ!$F$5:$F$204,MATCH(C114,取引先マスタ!$A$5:$A$204,0))=""),"",DATE(YEAR(B114),MONTH(B114)+INDEX(取引先マスタ!$E$5:$E$204,MATCH(C114,取引先マスタ!$A$5:$A$204,0)),MIN(INDEX(取引先マスタ!$F$5:$F$204,MATCH(C114,取引先マスタ!$A$5:$A$204,0)),DAY(EOMONTH(B114,INDEX(取引先マスタ!$E$5:$E$204,MATCH(C114,取引先マスタ!$A$5:$A$204,0))))))),""))</f>
        <v/>
      </c>
      <c r="H114" s="22"/>
      <c r="I114" s="25" t="str">
        <f aca="false">IF(H114&lt;&gt;"",H114,G114)</f>
        <v/>
      </c>
      <c r="J114" s="26"/>
      <c r="K114" s="22"/>
      <c r="L114" s="26"/>
      <c r="M114" s="27" t="str">
        <f aca="false">IF(A114="","",SUMIF(入金明細!$F$5:$F$1004,A114,入金明細!$E$5:$E$1004))</f>
        <v/>
      </c>
      <c r="N114" s="25" t="str">
        <f aca="false">IF(OR(A114="",N(M114)=0),"",SUMPRODUCT(MAX((入金明細!$F$5:$F$1004=A114)*入金明細!$B$5:$B$1004)))</f>
        <v/>
      </c>
      <c r="O114" s="18"/>
      <c r="P114" s="27" t="str">
        <f aca="false">IF(OR(A114="",F114=""),"",F114-N(M114)-N(O114))</f>
        <v/>
      </c>
      <c r="Q114" s="26"/>
      <c r="R114" s="28" t="str">
        <f aca="false">IF(A114="","",IF(Q114="取消","取消",IF(T114&lt;&gt;"","要入力",IF(K114="","未送付",IF(P114=0,"入金済",IF(P114&lt;0,"過入金",IF(設定!$C$5&gt;I114,IF(N(M114)&gt;0,"一部入金・超過","期日超過"),IF(N(M114)&gt;0,"一部入金",IF(I114-設定!$C$5&lt;=設定!$C$6,"期日間近","入金待ち")))))))))</f>
        <v/>
      </c>
      <c r="S114" s="29" t="str">
        <f aca="false">IF(OR(R114="期日超過",R114="一部入金・超過"),設定!$C$5-I114,"")</f>
        <v/>
      </c>
      <c r="T114" s="21" t="str">
        <f aca="false">IF(A114="","",TRIM(IF(B114="","請求日 ","")&amp;IF(C114="","取引先 ",IF(D114="コード誤り","取引先コード誤り ",""))&amp;IF(E114="","件名 ","")&amp;IF(F114="","請求額 ","")&amp;IF(AND(F114&lt;&gt;"",I114=""),"入金期日(マスタの支払条件が未登録) ","")&amp;IF(J114="","送付方法 ","")&amp;IF(AND(K114&lt;&gt;"",L114=""),"送付者 ","")&amp;IF(AND(K114&lt;&gt;"",N(K114)&gt;設定!$C$5),"送付日が未来の日付 ","")&amp;IF(AND(K114&lt;&gt;"",N(M114)&gt;0,N(P114)&lt;=0,U114=""),"消込確認者 ","")))</f>
        <v/>
      </c>
      <c r="U114" s="26"/>
      <c r="V114" s="26"/>
    </row>
    <row r="115" customFormat="false" ht="15" hidden="false" customHeight="false" outlineLevel="0" collapsed="false">
      <c r="A115" s="21" t="str">
        <f aca="false">IF(COUNTA(B115,C115,E115,F115)=0,"",設定!$C$4&amp;TEXT(ROW()-4,"00000"))</f>
        <v/>
      </c>
      <c r="B115" s="22"/>
      <c r="C115" s="23"/>
      <c r="D115" s="21" t="str">
        <f aca="false">IF(C115="","",IFERROR(INDEX(取引先マスタ!$B$5:$B$204,MATCH(C115,取引先マスタ!$A$5:$A$204,0)),"コード誤り"))</f>
        <v/>
      </c>
      <c r="E115" s="26"/>
      <c r="F115" s="18"/>
      <c r="G115" s="25" t="str">
        <f aca="false">IF(OR(B115="",C115="",D115="コード誤り"),"",IFERROR(IF(OR(INDEX(取引先マスタ!$E$5:$E$204,MATCH(C115,取引先マスタ!$A$5:$A$204,0))="",INDEX(取引先マスタ!$F$5:$F$204,MATCH(C115,取引先マスタ!$A$5:$A$204,0))=""),"",DATE(YEAR(B115),MONTH(B115)+INDEX(取引先マスタ!$E$5:$E$204,MATCH(C115,取引先マスタ!$A$5:$A$204,0)),MIN(INDEX(取引先マスタ!$F$5:$F$204,MATCH(C115,取引先マスタ!$A$5:$A$204,0)),DAY(EOMONTH(B115,INDEX(取引先マスタ!$E$5:$E$204,MATCH(C115,取引先マスタ!$A$5:$A$204,0))))))),""))</f>
        <v/>
      </c>
      <c r="H115" s="22"/>
      <c r="I115" s="25" t="str">
        <f aca="false">IF(H115&lt;&gt;"",H115,G115)</f>
        <v/>
      </c>
      <c r="J115" s="26"/>
      <c r="K115" s="22"/>
      <c r="L115" s="26"/>
      <c r="M115" s="27" t="str">
        <f aca="false">IF(A115="","",SUMIF(入金明細!$F$5:$F$1004,A115,入金明細!$E$5:$E$1004))</f>
        <v/>
      </c>
      <c r="N115" s="25" t="str">
        <f aca="false">IF(OR(A115="",N(M115)=0),"",SUMPRODUCT(MAX((入金明細!$F$5:$F$1004=A115)*入金明細!$B$5:$B$1004)))</f>
        <v/>
      </c>
      <c r="O115" s="18"/>
      <c r="P115" s="27" t="str">
        <f aca="false">IF(OR(A115="",F115=""),"",F115-N(M115)-N(O115))</f>
        <v/>
      </c>
      <c r="Q115" s="26"/>
      <c r="R115" s="28" t="str">
        <f aca="false">IF(A115="","",IF(Q115="取消","取消",IF(T115&lt;&gt;"","要入力",IF(K115="","未送付",IF(P115=0,"入金済",IF(P115&lt;0,"過入金",IF(設定!$C$5&gt;I115,IF(N(M115)&gt;0,"一部入金・超過","期日超過"),IF(N(M115)&gt;0,"一部入金",IF(I115-設定!$C$5&lt;=設定!$C$6,"期日間近","入金待ち")))))))))</f>
        <v/>
      </c>
      <c r="S115" s="29" t="str">
        <f aca="false">IF(OR(R115="期日超過",R115="一部入金・超過"),設定!$C$5-I115,"")</f>
        <v/>
      </c>
      <c r="T115" s="21" t="str">
        <f aca="false">IF(A115="","",TRIM(IF(B115="","請求日 ","")&amp;IF(C115="","取引先 ",IF(D115="コード誤り","取引先コード誤り ",""))&amp;IF(E115="","件名 ","")&amp;IF(F115="","請求額 ","")&amp;IF(AND(F115&lt;&gt;"",I115=""),"入金期日(マスタの支払条件が未登録) ","")&amp;IF(J115="","送付方法 ","")&amp;IF(AND(K115&lt;&gt;"",L115=""),"送付者 ","")&amp;IF(AND(K115&lt;&gt;"",N(K115)&gt;設定!$C$5),"送付日が未来の日付 ","")&amp;IF(AND(K115&lt;&gt;"",N(M115)&gt;0,N(P115)&lt;=0,U115=""),"消込確認者 ","")))</f>
        <v/>
      </c>
      <c r="U115" s="26"/>
      <c r="V115" s="26"/>
    </row>
    <row r="116" customFormat="false" ht="15" hidden="false" customHeight="false" outlineLevel="0" collapsed="false">
      <c r="A116" s="21" t="str">
        <f aca="false">IF(COUNTA(B116,C116,E116,F116)=0,"",設定!$C$4&amp;TEXT(ROW()-4,"00000"))</f>
        <v/>
      </c>
      <c r="B116" s="22"/>
      <c r="C116" s="23"/>
      <c r="D116" s="21" t="str">
        <f aca="false">IF(C116="","",IFERROR(INDEX(取引先マスタ!$B$5:$B$204,MATCH(C116,取引先マスタ!$A$5:$A$204,0)),"コード誤り"))</f>
        <v/>
      </c>
      <c r="E116" s="26"/>
      <c r="F116" s="18"/>
      <c r="G116" s="25" t="str">
        <f aca="false">IF(OR(B116="",C116="",D116="コード誤り"),"",IFERROR(IF(OR(INDEX(取引先マスタ!$E$5:$E$204,MATCH(C116,取引先マスタ!$A$5:$A$204,0))="",INDEX(取引先マスタ!$F$5:$F$204,MATCH(C116,取引先マスタ!$A$5:$A$204,0))=""),"",DATE(YEAR(B116),MONTH(B116)+INDEX(取引先マスタ!$E$5:$E$204,MATCH(C116,取引先マスタ!$A$5:$A$204,0)),MIN(INDEX(取引先マスタ!$F$5:$F$204,MATCH(C116,取引先マスタ!$A$5:$A$204,0)),DAY(EOMONTH(B116,INDEX(取引先マスタ!$E$5:$E$204,MATCH(C116,取引先マスタ!$A$5:$A$204,0))))))),""))</f>
        <v/>
      </c>
      <c r="H116" s="22"/>
      <c r="I116" s="25" t="str">
        <f aca="false">IF(H116&lt;&gt;"",H116,G116)</f>
        <v/>
      </c>
      <c r="J116" s="26"/>
      <c r="K116" s="22"/>
      <c r="L116" s="26"/>
      <c r="M116" s="27" t="str">
        <f aca="false">IF(A116="","",SUMIF(入金明細!$F$5:$F$1004,A116,入金明細!$E$5:$E$1004))</f>
        <v/>
      </c>
      <c r="N116" s="25" t="str">
        <f aca="false">IF(OR(A116="",N(M116)=0),"",SUMPRODUCT(MAX((入金明細!$F$5:$F$1004=A116)*入金明細!$B$5:$B$1004)))</f>
        <v/>
      </c>
      <c r="O116" s="18"/>
      <c r="P116" s="27" t="str">
        <f aca="false">IF(OR(A116="",F116=""),"",F116-N(M116)-N(O116))</f>
        <v/>
      </c>
      <c r="Q116" s="26"/>
      <c r="R116" s="28" t="str">
        <f aca="false">IF(A116="","",IF(Q116="取消","取消",IF(T116&lt;&gt;"","要入力",IF(K116="","未送付",IF(P116=0,"入金済",IF(P116&lt;0,"過入金",IF(設定!$C$5&gt;I116,IF(N(M116)&gt;0,"一部入金・超過","期日超過"),IF(N(M116)&gt;0,"一部入金",IF(I116-設定!$C$5&lt;=設定!$C$6,"期日間近","入金待ち")))))))))</f>
        <v/>
      </c>
      <c r="S116" s="29" t="str">
        <f aca="false">IF(OR(R116="期日超過",R116="一部入金・超過"),設定!$C$5-I116,"")</f>
        <v/>
      </c>
      <c r="T116" s="21" t="str">
        <f aca="false">IF(A116="","",TRIM(IF(B116="","請求日 ","")&amp;IF(C116="","取引先 ",IF(D116="コード誤り","取引先コード誤り ",""))&amp;IF(E116="","件名 ","")&amp;IF(F116="","請求額 ","")&amp;IF(AND(F116&lt;&gt;"",I116=""),"入金期日(マスタの支払条件が未登録) ","")&amp;IF(J116="","送付方法 ","")&amp;IF(AND(K116&lt;&gt;"",L116=""),"送付者 ","")&amp;IF(AND(K116&lt;&gt;"",N(K116)&gt;設定!$C$5),"送付日が未来の日付 ","")&amp;IF(AND(K116&lt;&gt;"",N(M116)&gt;0,N(P116)&lt;=0,U116=""),"消込確認者 ","")))</f>
        <v/>
      </c>
      <c r="U116" s="26"/>
      <c r="V116" s="26"/>
    </row>
    <row r="117" customFormat="false" ht="15" hidden="false" customHeight="false" outlineLevel="0" collapsed="false">
      <c r="A117" s="21" t="str">
        <f aca="false">IF(COUNTA(B117,C117,E117,F117)=0,"",設定!$C$4&amp;TEXT(ROW()-4,"00000"))</f>
        <v/>
      </c>
      <c r="B117" s="22"/>
      <c r="C117" s="23"/>
      <c r="D117" s="21" t="str">
        <f aca="false">IF(C117="","",IFERROR(INDEX(取引先マスタ!$B$5:$B$204,MATCH(C117,取引先マスタ!$A$5:$A$204,0)),"コード誤り"))</f>
        <v/>
      </c>
      <c r="E117" s="26"/>
      <c r="F117" s="18"/>
      <c r="G117" s="25" t="str">
        <f aca="false">IF(OR(B117="",C117="",D117="コード誤り"),"",IFERROR(IF(OR(INDEX(取引先マスタ!$E$5:$E$204,MATCH(C117,取引先マスタ!$A$5:$A$204,0))="",INDEX(取引先マスタ!$F$5:$F$204,MATCH(C117,取引先マスタ!$A$5:$A$204,0))=""),"",DATE(YEAR(B117),MONTH(B117)+INDEX(取引先マスタ!$E$5:$E$204,MATCH(C117,取引先マスタ!$A$5:$A$204,0)),MIN(INDEX(取引先マスタ!$F$5:$F$204,MATCH(C117,取引先マスタ!$A$5:$A$204,0)),DAY(EOMONTH(B117,INDEX(取引先マスタ!$E$5:$E$204,MATCH(C117,取引先マスタ!$A$5:$A$204,0))))))),""))</f>
        <v/>
      </c>
      <c r="H117" s="22"/>
      <c r="I117" s="25" t="str">
        <f aca="false">IF(H117&lt;&gt;"",H117,G117)</f>
        <v/>
      </c>
      <c r="J117" s="26"/>
      <c r="K117" s="22"/>
      <c r="L117" s="26"/>
      <c r="M117" s="27" t="str">
        <f aca="false">IF(A117="","",SUMIF(入金明細!$F$5:$F$1004,A117,入金明細!$E$5:$E$1004))</f>
        <v/>
      </c>
      <c r="N117" s="25" t="str">
        <f aca="false">IF(OR(A117="",N(M117)=0),"",SUMPRODUCT(MAX((入金明細!$F$5:$F$1004=A117)*入金明細!$B$5:$B$1004)))</f>
        <v/>
      </c>
      <c r="O117" s="18"/>
      <c r="P117" s="27" t="str">
        <f aca="false">IF(OR(A117="",F117=""),"",F117-N(M117)-N(O117))</f>
        <v/>
      </c>
      <c r="Q117" s="26"/>
      <c r="R117" s="28" t="str">
        <f aca="false">IF(A117="","",IF(Q117="取消","取消",IF(T117&lt;&gt;"","要入力",IF(K117="","未送付",IF(P117=0,"入金済",IF(P117&lt;0,"過入金",IF(設定!$C$5&gt;I117,IF(N(M117)&gt;0,"一部入金・超過","期日超過"),IF(N(M117)&gt;0,"一部入金",IF(I117-設定!$C$5&lt;=設定!$C$6,"期日間近","入金待ち")))))))))</f>
        <v/>
      </c>
      <c r="S117" s="29" t="str">
        <f aca="false">IF(OR(R117="期日超過",R117="一部入金・超過"),設定!$C$5-I117,"")</f>
        <v/>
      </c>
      <c r="T117" s="21" t="str">
        <f aca="false">IF(A117="","",TRIM(IF(B117="","請求日 ","")&amp;IF(C117="","取引先 ",IF(D117="コード誤り","取引先コード誤り ",""))&amp;IF(E117="","件名 ","")&amp;IF(F117="","請求額 ","")&amp;IF(AND(F117&lt;&gt;"",I117=""),"入金期日(マスタの支払条件が未登録) ","")&amp;IF(J117="","送付方法 ","")&amp;IF(AND(K117&lt;&gt;"",L117=""),"送付者 ","")&amp;IF(AND(K117&lt;&gt;"",N(K117)&gt;設定!$C$5),"送付日が未来の日付 ","")&amp;IF(AND(K117&lt;&gt;"",N(M117)&gt;0,N(P117)&lt;=0,U117=""),"消込確認者 ","")))</f>
        <v/>
      </c>
      <c r="U117" s="26"/>
      <c r="V117" s="26"/>
    </row>
    <row r="118" customFormat="false" ht="15" hidden="false" customHeight="false" outlineLevel="0" collapsed="false">
      <c r="A118" s="21" t="str">
        <f aca="false">IF(COUNTA(B118,C118,E118,F118)=0,"",設定!$C$4&amp;TEXT(ROW()-4,"00000"))</f>
        <v/>
      </c>
      <c r="B118" s="22"/>
      <c r="C118" s="23"/>
      <c r="D118" s="21" t="str">
        <f aca="false">IF(C118="","",IFERROR(INDEX(取引先マスタ!$B$5:$B$204,MATCH(C118,取引先マスタ!$A$5:$A$204,0)),"コード誤り"))</f>
        <v/>
      </c>
      <c r="E118" s="26"/>
      <c r="F118" s="18"/>
      <c r="G118" s="25" t="str">
        <f aca="false">IF(OR(B118="",C118="",D118="コード誤り"),"",IFERROR(IF(OR(INDEX(取引先マスタ!$E$5:$E$204,MATCH(C118,取引先マスタ!$A$5:$A$204,0))="",INDEX(取引先マスタ!$F$5:$F$204,MATCH(C118,取引先マスタ!$A$5:$A$204,0))=""),"",DATE(YEAR(B118),MONTH(B118)+INDEX(取引先マスタ!$E$5:$E$204,MATCH(C118,取引先マスタ!$A$5:$A$204,0)),MIN(INDEX(取引先マスタ!$F$5:$F$204,MATCH(C118,取引先マスタ!$A$5:$A$204,0)),DAY(EOMONTH(B118,INDEX(取引先マスタ!$E$5:$E$204,MATCH(C118,取引先マスタ!$A$5:$A$204,0))))))),""))</f>
        <v/>
      </c>
      <c r="H118" s="22"/>
      <c r="I118" s="25" t="str">
        <f aca="false">IF(H118&lt;&gt;"",H118,G118)</f>
        <v/>
      </c>
      <c r="J118" s="26"/>
      <c r="K118" s="22"/>
      <c r="L118" s="26"/>
      <c r="M118" s="27" t="str">
        <f aca="false">IF(A118="","",SUMIF(入金明細!$F$5:$F$1004,A118,入金明細!$E$5:$E$1004))</f>
        <v/>
      </c>
      <c r="N118" s="25" t="str">
        <f aca="false">IF(OR(A118="",N(M118)=0),"",SUMPRODUCT(MAX((入金明細!$F$5:$F$1004=A118)*入金明細!$B$5:$B$1004)))</f>
        <v/>
      </c>
      <c r="O118" s="18"/>
      <c r="P118" s="27" t="str">
        <f aca="false">IF(OR(A118="",F118=""),"",F118-N(M118)-N(O118))</f>
        <v/>
      </c>
      <c r="Q118" s="26"/>
      <c r="R118" s="28" t="str">
        <f aca="false">IF(A118="","",IF(Q118="取消","取消",IF(T118&lt;&gt;"","要入力",IF(K118="","未送付",IF(P118=0,"入金済",IF(P118&lt;0,"過入金",IF(設定!$C$5&gt;I118,IF(N(M118)&gt;0,"一部入金・超過","期日超過"),IF(N(M118)&gt;0,"一部入金",IF(I118-設定!$C$5&lt;=設定!$C$6,"期日間近","入金待ち")))))))))</f>
        <v/>
      </c>
      <c r="S118" s="29" t="str">
        <f aca="false">IF(OR(R118="期日超過",R118="一部入金・超過"),設定!$C$5-I118,"")</f>
        <v/>
      </c>
      <c r="T118" s="21" t="str">
        <f aca="false">IF(A118="","",TRIM(IF(B118="","請求日 ","")&amp;IF(C118="","取引先 ",IF(D118="コード誤り","取引先コード誤り ",""))&amp;IF(E118="","件名 ","")&amp;IF(F118="","請求額 ","")&amp;IF(AND(F118&lt;&gt;"",I118=""),"入金期日(マスタの支払条件が未登録) ","")&amp;IF(J118="","送付方法 ","")&amp;IF(AND(K118&lt;&gt;"",L118=""),"送付者 ","")&amp;IF(AND(K118&lt;&gt;"",N(K118)&gt;設定!$C$5),"送付日が未来の日付 ","")&amp;IF(AND(K118&lt;&gt;"",N(M118)&gt;0,N(P118)&lt;=0,U118=""),"消込確認者 ","")))</f>
        <v/>
      </c>
      <c r="U118" s="26"/>
      <c r="V118" s="26"/>
    </row>
    <row r="119" customFormat="false" ht="15" hidden="false" customHeight="false" outlineLevel="0" collapsed="false">
      <c r="A119" s="21" t="str">
        <f aca="false">IF(COUNTA(B119,C119,E119,F119)=0,"",設定!$C$4&amp;TEXT(ROW()-4,"00000"))</f>
        <v/>
      </c>
      <c r="B119" s="22"/>
      <c r="C119" s="23"/>
      <c r="D119" s="21" t="str">
        <f aca="false">IF(C119="","",IFERROR(INDEX(取引先マスタ!$B$5:$B$204,MATCH(C119,取引先マスタ!$A$5:$A$204,0)),"コード誤り"))</f>
        <v/>
      </c>
      <c r="E119" s="26"/>
      <c r="F119" s="18"/>
      <c r="G119" s="25" t="str">
        <f aca="false">IF(OR(B119="",C119="",D119="コード誤り"),"",IFERROR(IF(OR(INDEX(取引先マスタ!$E$5:$E$204,MATCH(C119,取引先マスタ!$A$5:$A$204,0))="",INDEX(取引先マスタ!$F$5:$F$204,MATCH(C119,取引先マスタ!$A$5:$A$204,0))=""),"",DATE(YEAR(B119),MONTH(B119)+INDEX(取引先マスタ!$E$5:$E$204,MATCH(C119,取引先マスタ!$A$5:$A$204,0)),MIN(INDEX(取引先マスタ!$F$5:$F$204,MATCH(C119,取引先マスタ!$A$5:$A$204,0)),DAY(EOMONTH(B119,INDEX(取引先マスタ!$E$5:$E$204,MATCH(C119,取引先マスタ!$A$5:$A$204,0))))))),""))</f>
        <v/>
      </c>
      <c r="H119" s="22"/>
      <c r="I119" s="25" t="str">
        <f aca="false">IF(H119&lt;&gt;"",H119,G119)</f>
        <v/>
      </c>
      <c r="J119" s="26"/>
      <c r="K119" s="22"/>
      <c r="L119" s="26"/>
      <c r="M119" s="27" t="str">
        <f aca="false">IF(A119="","",SUMIF(入金明細!$F$5:$F$1004,A119,入金明細!$E$5:$E$1004))</f>
        <v/>
      </c>
      <c r="N119" s="25" t="str">
        <f aca="false">IF(OR(A119="",N(M119)=0),"",SUMPRODUCT(MAX((入金明細!$F$5:$F$1004=A119)*入金明細!$B$5:$B$1004)))</f>
        <v/>
      </c>
      <c r="O119" s="18"/>
      <c r="P119" s="27" t="str">
        <f aca="false">IF(OR(A119="",F119=""),"",F119-N(M119)-N(O119))</f>
        <v/>
      </c>
      <c r="Q119" s="26"/>
      <c r="R119" s="28" t="str">
        <f aca="false">IF(A119="","",IF(Q119="取消","取消",IF(T119&lt;&gt;"","要入力",IF(K119="","未送付",IF(P119=0,"入金済",IF(P119&lt;0,"過入金",IF(設定!$C$5&gt;I119,IF(N(M119)&gt;0,"一部入金・超過","期日超過"),IF(N(M119)&gt;0,"一部入金",IF(I119-設定!$C$5&lt;=設定!$C$6,"期日間近","入金待ち")))))))))</f>
        <v/>
      </c>
      <c r="S119" s="29" t="str">
        <f aca="false">IF(OR(R119="期日超過",R119="一部入金・超過"),設定!$C$5-I119,"")</f>
        <v/>
      </c>
      <c r="T119" s="21" t="str">
        <f aca="false">IF(A119="","",TRIM(IF(B119="","請求日 ","")&amp;IF(C119="","取引先 ",IF(D119="コード誤り","取引先コード誤り ",""))&amp;IF(E119="","件名 ","")&amp;IF(F119="","請求額 ","")&amp;IF(AND(F119&lt;&gt;"",I119=""),"入金期日(マスタの支払条件が未登録) ","")&amp;IF(J119="","送付方法 ","")&amp;IF(AND(K119&lt;&gt;"",L119=""),"送付者 ","")&amp;IF(AND(K119&lt;&gt;"",N(K119)&gt;設定!$C$5),"送付日が未来の日付 ","")&amp;IF(AND(K119&lt;&gt;"",N(M119)&gt;0,N(P119)&lt;=0,U119=""),"消込確認者 ","")))</f>
        <v/>
      </c>
      <c r="U119" s="26"/>
      <c r="V119" s="26"/>
    </row>
    <row r="120" customFormat="false" ht="15" hidden="false" customHeight="false" outlineLevel="0" collapsed="false">
      <c r="A120" s="21" t="str">
        <f aca="false">IF(COUNTA(B120,C120,E120,F120)=0,"",設定!$C$4&amp;TEXT(ROW()-4,"00000"))</f>
        <v/>
      </c>
      <c r="B120" s="22"/>
      <c r="C120" s="23"/>
      <c r="D120" s="21" t="str">
        <f aca="false">IF(C120="","",IFERROR(INDEX(取引先マスタ!$B$5:$B$204,MATCH(C120,取引先マスタ!$A$5:$A$204,0)),"コード誤り"))</f>
        <v/>
      </c>
      <c r="E120" s="26"/>
      <c r="F120" s="18"/>
      <c r="G120" s="25" t="str">
        <f aca="false">IF(OR(B120="",C120="",D120="コード誤り"),"",IFERROR(IF(OR(INDEX(取引先マスタ!$E$5:$E$204,MATCH(C120,取引先マスタ!$A$5:$A$204,0))="",INDEX(取引先マスタ!$F$5:$F$204,MATCH(C120,取引先マスタ!$A$5:$A$204,0))=""),"",DATE(YEAR(B120),MONTH(B120)+INDEX(取引先マスタ!$E$5:$E$204,MATCH(C120,取引先マスタ!$A$5:$A$204,0)),MIN(INDEX(取引先マスタ!$F$5:$F$204,MATCH(C120,取引先マスタ!$A$5:$A$204,0)),DAY(EOMONTH(B120,INDEX(取引先マスタ!$E$5:$E$204,MATCH(C120,取引先マスタ!$A$5:$A$204,0))))))),""))</f>
        <v/>
      </c>
      <c r="H120" s="22"/>
      <c r="I120" s="25" t="str">
        <f aca="false">IF(H120&lt;&gt;"",H120,G120)</f>
        <v/>
      </c>
      <c r="J120" s="26"/>
      <c r="K120" s="22"/>
      <c r="L120" s="26"/>
      <c r="M120" s="27" t="str">
        <f aca="false">IF(A120="","",SUMIF(入金明細!$F$5:$F$1004,A120,入金明細!$E$5:$E$1004))</f>
        <v/>
      </c>
      <c r="N120" s="25" t="str">
        <f aca="false">IF(OR(A120="",N(M120)=0),"",SUMPRODUCT(MAX((入金明細!$F$5:$F$1004=A120)*入金明細!$B$5:$B$1004)))</f>
        <v/>
      </c>
      <c r="O120" s="18"/>
      <c r="P120" s="27" t="str">
        <f aca="false">IF(OR(A120="",F120=""),"",F120-N(M120)-N(O120))</f>
        <v/>
      </c>
      <c r="Q120" s="26"/>
      <c r="R120" s="28" t="str">
        <f aca="false">IF(A120="","",IF(Q120="取消","取消",IF(T120&lt;&gt;"","要入力",IF(K120="","未送付",IF(P120=0,"入金済",IF(P120&lt;0,"過入金",IF(設定!$C$5&gt;I120,IF(N(M120)&gt;0,"一部入金・超過","期日超過"),IF(N(M120)&gt;0,"一部入金",IF(I120-設定!$C$5&lt;=設定!$C$6,"期日間近","入金待ち")))))))))</f>
        <v/>
      </c>
      <c r="S120" s="29" t="str">
        <f aca="false">IF(OR(R120="期日超過",R120="一部入金・超過"),設定!$C$5-I120,"")</f>
        <v/>
      </c>
      <c r="T120" s="21" t="str">
        <f aca="false">IF(A120="","",TRIM(IF(B120="","請求日 ","")&amp;IF(C120="","取引先 ",IF(D120="コード誤り","取引先コード誤り ",""))&amp;IF(E120="","件名 ","")&amp;IF(F120="","請求額 ","")&amp;IF(AND(F120&lt;&gt;"",I120=""),"入金期日(マスタの支払条件が未登録) ","")&amp;IF(J120="","送付方法 ","")&amp;IF(AND(K120&lt;&gt;"",L120=""),"送付者 ","")&amp;IF(AND(K120&lt;&gt;"",N(K120)&gt;設定!$C$5),"送付日が未来の日付 ","")&amp;IF(AND(K120&lt;&gt;"",N(M120)&gt;0,N(P120)&lt;=0,U120=""),"消込確認者 ","")))</f>
        <v/>
      </c>
      <c r="U120" s="26"/>
      <c r="V120" s="26"/>
    </row>
    <row r="121" customFormat="false" ht="15" hidden="false" customHeight="false" outlineLevel="0" collapsed="false">
      <c r="A121" s="21" t="str">
        <f aca="false">IF(COUNTA(B121,C121,E121,F121)=0,"",設定!$C$4&amp;TEXT(ROW()-4,"00000"))</f>
        <v/>
      </c>
      <c r="B121" s="22"/>
      <c r="C121" s="23"/>
      <c r="D121" s="21" t="str">
        <f aca="false">IF(C121="","",IFERROR(INDEX(取引先マスタ!$B$5:$B$204,MATCH(C121,取引先マスタ!$A$5:$A$204,0)),"コード誤り"))</f>
        <v/>
      </c>
      <c r="E121" s="26"/>
      <c r="F121" s="18"/>
      <c r="G121" s="25" t="str">
        <f aca="false">IF(OR(B121="",C121="",D121="コード誤り"),"",IFERROR(IF(OR(INDEX(取引先マスタ!$E$5:$E$204,MATCH(C121,取引先マスタ!$A$5:$A$204,0))="",INDEX(取引先マスタ!$F$5:$F$204,MATCH(C121,取引先マスタ!$A$5:$A$204,0))=""),"",DATE(YEAR(B121),MONTH(B121)+INDEX(取引先マスタ!$E$5:$E$204,MATCH(C121,取引先マスタ!$A$5:$A$204,0)),MIN(INDEX(取引先マスタ!$F$5:$F$204,MATCH(C121,取引先マスタ!$A$5:$A$204,0)),DAY(EOMONTH(B121,INDEX(取引先マスタ!$E$5:$E$204,MATCH(C121,取引先マスタ!$A$5:$A$204,0))))))),""))</f>
        <v/>
      </c>
      <c r="H121" s="22"/>
      <c r="I121" s="25" t="str">
        <f aca="false">IF(H121&lt;&gt;"",H121,G121)</f>
        <v/>
      </c>
      <c r="J121" s="26"/>
      <c r="K121" s="22"/>
      <c r="L121" s="26"/>
      <c r="M121" s="27" t="str">
        <f aca="false">IF(A121="","",SUMIF(入金明細!$F$5:$F$1004,A121,入金明細!$E$5:$E$1004))</f>
        <v/>
      </c>
      <c r="N121" s="25" t="str">
        <f aca="false">IF(OR(A121="",N(M121)=0),"",SUMPRODUCT(MAX((入金明細!$F$5:$F$1004=A121)*入金明細!$B$5:$B$1004)))</f>
        <v/>
      </c>
      <c r="O121" s="18"/>
      <c r="P121" s="27" t="str">
        <f aca="false">IF(OR(A121="",F121=""),"",F121-N(M121)-N(O121))</f>
        <v/>
      </c>
      <c r="Q121" s="26"/>
      <c r="R121" s="28" t="str">
        <f aca="false">IF(A121="","",IF(Q121="取消","取消",IF(T121&lt;&gt;"","要入力",IF(K121="","未送付",IF(P121=0,"入金済",IF(P121&lt;0,"過入金",IF(設定!$C$5&gt;I121,IF(N(M121)&gt;0,"一部入金・超過","期日超過"),IF(N(M121)&gt;0,"一部入金",IF(I121-設定!$C$5&lt;=設定!$C$6,"期日間近","入金待ち")))))))))</f>
        <v/>
      </c>
      <c r="S121" s="29" t="str">
        <f aca="false">IF(OR(R121="期日超過",R121="一部入金・超過"),設定!$C$5-I121,"")</f>
        <v/>
      </c>
      <c r="T121" s="21" t="str">
        <f aca="false">IF(A121="","",TRIM(IF(B121="","請求日 ","")&amp;IF(C121="","取引先 ",IF(D121="コード誤り","取引先コード誤り ",""))&amp;IF(E121="","件名 ","")&amp;IF(F121="","請求額 ","")&amp;IF(AND(F121&lt;&gt;"",I121=""),"入金期日(マスタの支払条件が未登録) ","")&amp;IF(J121="","送付方法 ","")&amp;IF(AND(K121&lt;&gt;"",L121=""),"送付者 ","")&amp;IF(AND(K121&lt;&gt;"",N(K121)&gt;設定!$C$5),"送付日が未来の日付 ","")&amp;IF(AND(K121&lt;&gt;"",N(M121)&gt;0,N(P121)&lt;=0,U121=""),"消込確認者 ","")))</f>
        <v/>
      </c>
      <c r="U121" s="26"/>
      <c r="V121" s="26"/>
    </row>
    <row r="122" customFormat="false" ht="15" hidden="false" customHeight="false" outlineLevel="0" collapsed="false">
      <c r="A122" s="21" t="str">
        <f aca="false">IF(COUNTA(B122,C122,E122,F122)=0,"",設定!$C$4&amp;TEXT(ROW()-4,"00000"))</f>
        <v/>
      </c>
      <c r="B122" s="22"/>
      <c r="C122" s="23"/>
      <c r="D122" s="21" t="str">
        <f aca="false">IF(C122="","",IFERROR(INDEX(取引先マスタ!$B$5:$B$204,MATCH(C122,取引先マスタ!$A$5:$A$204,0)),"コード誤り"))</f>
        <v/>
      </c>
      <c r="E122" s="26"/>
      <c r="F122" s="18"/>
      <c r="G122" s="25" t="str">
        <f aca="false">IF(OR(B122="",C122="",D122="コード誤り"),"",IFERROR(IF(OR(INDEX(取引先マスタ!$E$5:$E$204,MATCH(C122,取引先マスタ!$A$5:$A$204,0))="",INDEX(取引先マスタ!$F$5:$F$204,MATCH(C122,取引先マスタ!$A$5:$A$204,0))=""),"",DATE(YEAR(B122),MONTH(B122)+INDEX(取引先マスタ!$E$5:$E$204,MATCH(C122,取引先マスタ!$A$5:$A$204,0)),MIN(INDEX(取引先マスタ!$F$5:$F$204,MATCH(C122,取引先マスタ!$A$5:$A$204,0)),DAY(EOMONTH(B122,INDEX(取引先マスタ!$E$5:$E$204,MATCH(C122,取引先マスタ!$A$5:$A$204,0))))))),""))</f>
        <v/>
      </c>
      <c r="H122" s="22"/>
      <c r="I122" s="25" t="str">
        <f aca="false">IF(H122&lt;&gt;"",H122,G122)</f>
        <v/>
      </c>
      <c r="J122" s="26"/>
      <c r="K122" s="22"/>
      <c r="L122" s="26"/>
      <c r="M122" s="27" t="str">
        <f aca="false">IF(A122="","",SUMIF(入金明細!$F$5:$F$1004,A122,入金明細!$E$5:$E$1004))</f>
        <v/>
      </c>
      <c r="N122" s="25" t="str">
        <f aca="false">IF(OR(A122="",N(M122)=0),"",SUMPRODUCT(MAX((入金明細!$F$5:$F$1004=A122)*入金明細!$B$5:$B$1004)))</f>
        <v/>
      </c>
      <c r="O122" s="18"/>
      <c r="P122" s="27" t="str">
        <f aca="false">IF(OR(A122="",F122=""),"",F122-N(M122)-N(O122))</f>
        <v/>
      </c>
      <c r="Q122" s="26"/>
      <c r="R122" s="28" t="str">
        <f aca="false">IF(A122="","",IF(Q122="取消","取消",IF(T122&lt;&gt;"","要入力",IF(K122="","未送付",IF(P122=0,"入金済",IF(P122&lt;0,"過入金",IF(設定!$C$5&gt;I122,IF(N(M122)&gt;0,"一部入金・超過","期日超過"),IF(N(M122)&gt;0,"一部入金",IF(I122-設定!$C$5&lt;=設定!$C$6,"期日間近","入金待ち")))))))))</f>
        <v/>
      </c>
      <c r="S122" s="29" t="str">
        <f aca="false">IF(OR(R122="期日超過",R122="一部入金・超過"),設定!$C$5-I122,"")</f>
        <v/>
      </c>
      <c r="T122" s="21" t="str">
        <f aca="false">IF(A122="","",TRIM(IF(B122="","請求日 ","")&amp;IF(C122="","取引先 ",IF(D122="コード誤り","取引先コード誤り ",""))&amp;IF(E122="","件名 ","")&amp;IF(F122="","請求額 ","")&amp;IF(AND(F122&lt;&gt;"",I122=""),"入金期日(マスタの支払条件が未登録) ","")&amp;IF(J122="","送付方法 ","")&amp;IF(AND(K122&lt;&gt;"",L122=""),"送付者 ","")&amp;IF(AND(K122&lt;&gt;"",N(K122)&gt;設定!$C$5),"送付日が未来の日付 ","")&amp;IF(AND(K122&lt;&gt;"",N(M122)&gt;0,N(P122)&lt;=0,U122=""),"消込確認者 ","")))</f>
        <v/>
      </c>
      <c r="U122" s="26"/>
      <c r="V122" s="26"/>
    </row>
    <row r="123" customFormat="false" ht="15" hidden="false" customHeight="false" outlineLevel="0" collapsed="false">
      <c r="A123" s="21" t="str">
        <f aca="false">IF(COUNTA(B123,C123,E123,F123)=0,"",設定!$C$4&amp;TEXT(ROW()-4,"00000"))</f>
        <v/>
      </c>
      <c r="B123" s="22"/>
      <c r="C123" s="23"/>
      <c r="D123" s="21" t="str">
        <f aca="false">IF(C123="","",IFERROR(INDEX(取引先マスタ!$B$5:$B$204,MATCH(C123,取引先マスタ!$A$5:$A$204,0)),"コード誤り"))</f>
        <v/>
      </c>
      <c r="E123" s="26"/>
      <c r="F123" s="18"/>
      <c r="G123" s="25" t="str">
        <f aca="false">IF(OR(B123="",C123="",D123="コード誤り"),"",IFERROR(IF(OR(INDEX(取引先マスタ!$E$5:$E$204,MATCH(C123,取引先マスタ!$A$5:$A$204,0))="",INDEX(取引先マスタ!$F$5:$F$204,MATCH(C123,取引先マスタ!$A$5:$A$204,0))=""),"",DATE(YEAR(B123),MONTH(B123)+INDEX(取引先マスタ!$E$5:$E$204,MATCH(C123,取引先マスタ!$A$5:$A$204,0)),MIN(INDEX(取引先マスタ!$F$5:$F$204,MATCH(C123,取引先マスタ!$A$5:$A$204,0)),DAY(EOMONTH(B123,INDEX(取引先マスタ!$E$5:$E$204,MATCH(C123,取引先マスタ!$A$5:$A$204,0))))))),""))</f>
        <v/>
      </c>
      <c r="H123" s="22"/>
      <c r="I123" s="25" t="str">
        <f aca="false">IF(H123&lt;&gt;"",H123,G123)</f>
        <v/>
      </c>
      <c r="J123" s="26"/>
      <c r="K123" s="22"/>
      <c r="L123" s="26"/>
      <c r="M123" s="27" t="str">
        <f aca="false">IF(A123="","",SUMIF(入金明細!$F$5:$F$1004,A123,入金明細!$E$5:$E$1004))</f>
        <v/>
      </c>
      <c r="N123" s="25" t="str">
        <f aca="false">IF(OR(A123="",N(M123)=0),"",SUMPRODUCT(MAX((入金明細!$F$5:$F$1004=A123)*入金明細!$B$5:$B$1004)))</f>
        <v/>
      </c>
      <c r="O123" s="18"/>
      <c r="P123" s="27" t="str">
        <f aca="false">IF(OR(A123="",F123=""),"",F123-N(M123)-N(O123))</f>
        <v/>
      </c>
      <c r="Q123" s="26"/>
      <c r="R123" s="28" t="str">
        <f aca="false">IF(A123="","",IF(Q123="取消","取消",IF(T123&lt;&gt;"","要入力",IF(K123="","未送付",IF(P123=0,"入金済",IF(P123&lt;0,"過入金",IF(設定!$C$5&gt;I123,IF(N(M123)&gt;0,"一部入金・超過","期日超過"),IF(N(M123)&gt;0,"一部入金",IF(I123-設定!$C$5&lt;=設定!$C$6,"期日間近","入金待ち")))))))))</f>
        <v/>
      </c>
      <c r="S123" s="29" t="str">
        <f aca="false">IF(OR(R123="期日超過",R123="一部入金・超過"),設定!$C$5-I123,"")</f>
        <v/>
      </c>
      <c r="T123" s="21" t="str">
        <f aca="false">IF(A123="","",TRIM(IF(B123="","請求日 ","")&amp;IF(C123="","取引先 ",IF(D123="コード誤り","取引先コード誤り ",""))&amp;IF(E123="","件名 ","")&amp;IF(F123="","請求額 ","")&amp;IF(AND(F123&lt;&gt;"",I123=""),"入金期日(マスタの支払条件が未登録) ","")&amp;IF(J123="","送付方法 ","")&amp;IF(AND(K123&lt;&gt;"",L123=""),"送付者 ","")&amp;IF(AND(K123&lt;&gt;"",N(K123)&gt;設定!$C$5),"送付日が未来の日付 ","")&amp;IF(AND(K123&lt;&gt;"",N(M123)&gt;0,N(P123)&lt;=0,U123=""),"消込確認者 ","")))</f>
        <v/>
      </c>
      <c r="U123" s="26"/>
      <c r="V123" s="26"/>
    </row>
    <row r="124" customFormat="false" ht="15" hidden="false" customHeight="false" outlineLevel="0" collapsed="false">
      <c r="A124" s="21" t="str">
        <f aca="false">IF(COUNTA(B124,C124,E124,F124)=0,"",設定!$C$4&amp;TEXT(ROW()-4,"00000"))</f>
        <v/>
      </c>
      <c r="B124" s="22"/>
      <c r="C124" s="23"/>
      <c r="D124" s="21" t="str">
        <f aca="false">IF(C124="","",IFERROR(INDEX(取引先マスタ!$B$5:$B$204,MATCH(C124,取引先マスタ!$A$5:$A$204,0)),"コード誤り"))</f>
        <v/>
      </c>
      <c r="E124" s="26"/>
      <c r="F124" s="18"/>
      <c r="G124" s="25" t="str">
        <f aca="false">IF(OR(B124="",C124="",D124="コード誤り"),"",IFERROR(IF(OR(INDEX(取引先マスタ!$E$5:$E$204,MATCH(C124,取引先マスタ!$A$5:$A$204,0))="",INDEX(取引先マスタ!$F$5:$F$204,MATCH(C124,取引先マスタ!$A$5:$A$204,0))=""),"",DATE(YEAR(B124),MONTH(B124)+INDEX(取引先マスタ!$E$5:$E$204,MATCH(C124,取引先マスタ!$A$5:$A$204,0)),MIN(INDEX(取引先マスタ!$F$5:$F$204,MATCH(C124,取引先マスタ!$A$5:$A$204,0)),DAY(EOMONTH(B124,INDEX(取引先マスタ!$E$5:$E$204,MATCH(C124,取引先マスタ!$A$5:$A$204,0))))))),""))</f>
        <v/>
      </c>
      <c r="H124" s="22"/>
      <c r="I124" s="25" t="str">
        <f aca="false">IF(H124&lt;&gt;"",H124,G124)</f>
        <v/>
      </c>
      <c r="J124" s="26"/>
      <c r="K124" s="22"/>
      <c r="L124" s="26"/>
      <c r="M124" s="27" t="str">
        <f aca="false">IF(A124="","",SUMIF(入金明細!$F$5:$F$1004,A124,入金明細!$E$5:$E$1004))</f>
        <v/>
      </c>
      <c r="N124" s="25" t="str">
        <f aca="false">IF(OR(A124="",N(M124)=0),"",SUMPRODUCT(MAX((入金明細!$F$5:$F$1004=A124)*入金明細!$B$5:$B$1004)))</f>
        <v/>
      </c>
      <c r="O124" s="18"/>
      <c r="P124" s="27" t="str">
        <f aca="false">IF(OR(A124="",F124=""),"",F124-N(M124)-N(O124))</f>
        <v/>
      </c>
      <c r="Q124" s="26"/>
      <c r="R124" s="28" t="str">
        <f aca="false">IF(A124="","",IF(Q124="取消","取消",IF(T124&lt;&gt;"","要入力",IF(K124="","未送付",IF(P124=0,"入金済",IF(P124&lt;0,"過入金",IF(設定!$C$5&gt;I124,IF(N(M124)&gt;0,"一部入金・超過","期日超過"),IF(N(M124)&gt;0,"一部入金",IF(I124-設定!$C$5&lt;=設定!$C$6,"期日間近","入金待ち")))))))))</f>
        <v/>
      </c>
      <c r="S124" s="29" t="str">
        <f aca="false">IF(OR(R124="期日超過",R124="一部入金・超過"),設定!$C$5-I124,"")</f>
        <v/>
      </c>
      <c r="T124" s="21" t="str">
        <f aca="false">IF(A124="","",TRIM(IF(B124="","請求日 ","")&amp;IF(C124="","取引先 ",IF(D124="コード誤り","取引先コード誤り ",""))&amp;IF(E124="","件名 ","")&amp;IF(F124="","請求額 ","")&amp;IF(AND(F124&lt;&gt;"",I124=""),"入金期日(マスタの支払条件が未登録) ","")&amp;IF(J124="","送付方法 ","")&amp;IF(AND(K124&lt;&gt;"",L124=""),"送付者 ","")&amp;IF(AND(K124&lt;&gt;"",N(K124)&gt;設定!$C$5),"送付日が未来の日付 ","")&amp;IF(AND(K124&lt;&gt;"",N(M124)&gt;0,N(P124)&lt;=0,U124=""),"消込確認者 ","")))</f>
        <v/>
      </c>
      <c r="U124" s="26"/>
      <c r="V124" s="26"/>
    </row>
    <row r="125" customFormat="false" ht="15" hidden="false" customHeight="false" outlineLevel="0" collapsed="false">
      <c r="A125" s="21" t="str">
        <f aca="false">IF(COUNTA(B125,C125,E125,F125)=0,"",設定!$C$4&amp;TEXT(ROW()-4,"00000"))</f>
        <v/>
      </c>
      <c r="B125" s="22"/>
      <c r="C125" s="23"/>
      <c r="D125" s="21" t="str">
        <f aca="false">IF(C125="","",IFERROR(INDEX(取引先マスタ!$B$5:$B$204,MATCH(C125,取引先マスタ!$A$5:$A$204,0)),"コード誤り"))</f>
        <v/>
      </c>
      <c r="E125" s="26"/>
      <c r="F125" s="18"/>
      <c r="G125" s="25" t="str">
        <f aca="false">IF(OR(B125="",C125="",D125="コード誤り"),"",IFERROR(IF(OR(INDEX(取引先マスタ!$E$5:$E$204,MATCH(C125,取引先マスタ!$A$5:$A$204,0))="",INDEX(取引先マスタ!$F$5:$F$204,MATCH(C125,取引先マスタ!$A$5:$A$204,0))=""),"",DATE(YEAR(B125),MONTH(B125)+INDEX(取引先マスタ!$E$5:$E$204,MATCH(C125,取引先マスタ!$A$5:$A$204,0)),MIN(INDEX(取引先マスタ!$F$5:$F$204,MATCH(C125,取引先マスタ!$A$5:$A$204,0)),DAY(EOMONTH(B125,INDEX(取引先マスタ!$E$5:$E$204,MATCH(C125,取引先マスタ!$A$5:$A$204,0))))))),""))</f>
        <v/>
      </c>
      <c r="H125" s="22"/>
      <c r="I125" s="25" t="str">
        <f aca="false">IF(H125&lt;&gt;"",H125,G125)</f>
        <v/>
      </c>
      <c r="J125" s="26"/>
      <c r="K125" s="22"/>
      <c r="L125" s="26"/>
      <c r="M125" s="27" t="str">
        <f aca="false">IF(A125="","",SUMIF(入金明細!$F$5:$F$1004,A125,入金明細!$E$5:$E$1004))</f>
        <v/>
      </c>
      <c r="N125" s="25" t="str">
        <f aca="false">IF(OR(A125="",N(M125)=0),"",SUMPRODUCT(MAX((入金明細!$F$5:$F$1004=A125)*入金明細!$B$5:$B$1004)))</f>
        <v/>
      </c>
      <c r="O125" s="18"/>
      <c r="P125" s="27" t="str">
        <f aca="false">IF(OR(A125="",F125=""),"",F125-N(M125)-N(O125))</f>
        <v/>
      </c>
      <c r="Q125" s="26"/>
      <c r="R125" s="28" t="str">
        <f aca="false">IF(A125="","",IF(Q125="取消","取消",IF(T125&lt;&gt;"","要入力",IF(K125="","未送付",IF(P125=0,"入金済",IF(P125&lt;0,"過入金",IF(設定!$C$5&gt;I125,IF(N(M125)&gt;0,"一部入金・超過","期日超過"),IF(N(M125)&gt;0,"一部入金",IF(I125-設定!$C$5&lt;=設定!$C$6,"期日間近","入金待ち")))))))))</f>
        <v/>
      </c>
      <c r="S125" s="29" t="str">
        <f aca="false">IF(OR(R125="期日超過",R125="一部入金・超過"),設定!$C$5-I125,"")</f>
        <v/>
      </c>
      <c r="T125" s="21" t="str">
        <f aca="false">IF(A125="","",TRIM(IF(B125="","請求日 ","")&amp;IF(C125="","取引先 ",IF(D125="コード誤り","取引先コード誤り ",""))&amp;IF(E125="","件名 ","")&amp;IF(F125="","請求額 ","")&amp;IF(AND(F125&lt;&gt;"",I125=""),"入金期日(マスタの支払条件が未登録) ","")&amp;IF(J125="","送付方法 ","")&amp;IF(AND(K125&lt;&gt;"",L125=""),"送付者 ","")&amp;IF(AND(K125&lt;&gt;"",N(K125)&gt;設定!$C$5),"送付日が未来の日付 ","")&amp;IF(AND(K125&lt;&gt;"",N(M125)&gt;0,N(P125)&lt;=0,U125=""),"消込確認者 ","")))</f>
        <v/>
      </c>
      <c r="U125" s="26"/>
      <c r="V125" s="26"/>
    </row>
    <row r="126" customFormat="false" ht="15" hidden="false" customHeight="false" outlineLevel="0" collapsed="false">
      <c r="A126" s="21" t="str">
        <f aca="false">IF(COUNTA(B126,C126,E126,F126)=0,"",設定!$C$4&amp;TEXT(ROW()-4,"00000"))</f>
        <v/>
      </c>
      <c r="B126" s="22"/>
      <c r="C126" s="23"/>
      <c r="D126" s="21" t="str">
        <f aca="false">IF(C126="","",IFERROR(INDEX(取引先マスタ!$B$5:$B$204,MATCH(C126,取引先マスタ!$A$5:$A$204,0)),"コード誤り"))</f>
        <v/>
      </c>
      <c r="E126" s="26"/>
      <c r="F126" s="18"/>
      <c r="G126" s="25" t="str">
        <f aca="false">IF(OR(B126="",C126="",D126="コード誤り"),"",IFERROR(IF(OR(INDEX(取引先マスタ!$E$5:$E$204,MATCH(C126,取引先マスタ!$A$5:$A$204,0))="",INDEX(取引先マスタ!$F$5:$F$204,MATCH(C126,取引先マスタ!$A$5:$A$204,0))=""),"",DATE(YEAR(B126),MONTH(B126)+INDEX(取引先マスタ!$E$5:$E$204,MATCH(C126,取引先マスタ!$A$5:$A$204,0)),MIN(INDEX(取引先マスタ!$F$5:$F$204,MATCH(C126,取引先マスタ!$A$5:$A$204,0)),DAY(EOMONTH(B126,INDEX(取引先マスタ!$E$5:$E$204,MATCH(C126,取引先マスタ!$A$5:$A$204,0))))))),""))</f>
        <v/>
      </c>
      <c r="H126" s="22"/>
      <c r="I126" s="25" t="str">
        <f aca="false">IF(H126&lt;&gt;"",H126,G126)</f>
        <v/>
      </c>
      <c r="J126" s="26"/>
      <c r="K126" s="22"/>
      <c r="L126" s="26"/>
      <c r="M126" s="27" t="str">
        <f aca="false">IF(A126="","",SUMIF(入金明細!$F$5:$F$1004,A126,入金明細!$E$5:$E$1004))</f>
        <v/>
      </c>
      <c r="N126" s="25" t="str">
        <f aca="false">IF(OR(A126="",N(M126)=0),"",SUMPRODUCT(MAX((入金明細!$F$5:$F$1004=A126)*入金明細!$B$5:$B$1004)))</f>
        <v/>
      </c>
      <c r="O126" s="18"/>
      <c r="P126" s="27" t="str">
        <f aca="false">IF(OR(A126="",F126=""),"",F126-N(M126)-N(O126))</f>
        <v/>
      </c>
      <c r="Q126" s="26"/>
      <c r="R126" s="28" t="str">
        <f aca="false">IF(A126="","",IF(Q126="取消","取消",IF(T126&lt;&gt;"","要入力",IF(K126="","未送付",IF(P126=0,"入金済",IF(P126&lt;0,"過入金",IF(設定!$C$5&gt;I126,IF(N(M126)&gt;0,"一部入金・超過","期日超過"),IF(N(M126)&gt;0,"一部入金",IF(I126-設定!$C$5&lt;=設定!$C$6,"期日間近","入金待ち")))))))))</f>
        <v/>
      </c>
      <c r="S126" s="29" t="str">
        <f aca="false">IF(OR(R126="期日超過",R126="一部入金・超過"),設定!$C$5-I126,"")</f>
        <v/>
      </c>
      <c r="T126" s="21" t="str">
        <f aca="false">IF(A126="","",TRIM(IF(B126="","請求日 ","")&amp;IF(C126="","取引先 ",IF(D126="コード誤り","取引先コード誤り ",""))&amp;IF(E126="","件名 ","")&amp;IF(F126="","請求額 ","")&amp;IF(AND(F126&lt;&gt;"",I126=""),"入金期日(マスタの支払条件が未登録) ","")&amp;IF(J126="","送付方法 ","")&amp;IF(AND(K126&lt;&gt;"",L126=""),"送付者 ","")&amp;IF(AND(K126&lt;&gt;"",N(K126)&gt;設定!$C$5),"送付日が未来の日付 ","")&amp;IF(AND(K126&lt;&gt;"",N(M126)&gt;0,N(P126)&lt;=0,U126=""),"消込確認者 ","")))</f>
        <v/>
      </c>
      <c r="U126" s="26"/>
      <c r="V126" s="26"/>
    </row>
    <row r="127" customFormat="false" ht="15" hidden="false" customHeight="false" outlineLevel="0" collapsed="false">
      <c r="A127" s="21" t="str">
        <f aca="false">IF(COUNTA(B127,C127,E127,F127)=0,"",設定!$C$4&amp;TEXT(ROW()-4,"00000"))</f>
        <v/>
      </c>
      <c r="B127" s="22"/>
      <c r="C127" s="23"/>
      <c r="D127" s="21" t="str">
        <f aca="false">IF(C127="","",IFERROR(INDEX(取引先マスタ!$B$5:$B$204,MATCH(C127,取引先マスタ!$A$5:$A$204,0)),"コード誤り"))</f>
        <v/>
      </c>
      <c r="E127" s="26"/>
      <c r="F127" s="18"/>
      <c r="G127" s="25" t="str">
        <f aca="false">IF(OR(B127="",C127="",D127="コード誤り"),"",IFERROR(IF(OR(INDEX(取引先マスタ!$E$5:$E$204,MATCH(C127,取引先マスタ!$A$5:$A$204,0))="",INDEX(取引先マスタ!$F$5:$F$204,MATCH(C127,取引先マスタ!$A$5:$A$204,0))=""),"",DATE(YEAR(B127),MONTH(B127)+INDEX(取引先マスタ!$E$5:$E$204,MATCH(C127,取引先マスタ!$A$5:$A$204,0)),MIN(INDEX(取引先マスタ!$F$5:$F$204,MATCH(C127,取引先マスタ!$A$5:$A$204,0)),DAY(EOMONTH(B127,INDEX(取引先マスタ!$E$5:$E$204,MATCH(C127,取引先マスタ!$A$5:$A$204,0))))))),""))</f>
        <v/>
      </c>
      <c r="H127" s="22"/>
      <c r="I127" s="25" t="str">
        <f aca="false">IF(H127&lt;&gt;"",H127,G127)</f>
        <v/>
      </c>
      <c r="J127" s="26"/>
      <c r="K127" s="22"/>
      <c r="L127" s="26"/>
      <c r="M127" s="27" t="str">
        <f aca="false">IF(A127="","",SUMIF(入金明細!$F$5:$F$1004,A127,入金明細!$E$5:$E$1004))</f>
        <v/>
      </c>
      <c r="N127" s="25" t="str">
        <f aca="false">IF(OR(A127="",N(M127)=0),"",SUMPRODUCT(MAX((入金明細!$F$5:$F$1004=A127)*入金明細!$B$5:$B$1004)))</f>
        <v/>
      </c>
      <c r="O127" s="18"/>
      <c r="P127" s="27" t="str">
        <f aca="false">IF(OR(A127="",F127=""),"",F127-N(M127)-N(O127))</f>
        <v/>
      </c>
      <c r="Q127" s="26"/>
      <c r="R127" s="28" t="str">
        <f aca="false">IF(A127="","",IF(Q127="取消","取消",IF(T127&lt;&gt;"","要入力",IF(K127="","未送付",IF(P127=0,"入金済",IF(P127&lt;0,"過入金",IF(設定!$C$5&gt;I127,IF(N(M127)&gt;0,"一部入金・超過","期日超過"),IF(N(M127)&gt;0,"一部入金",IF(I127-設定!$C$5&lt;=設定!$C$6,"期日間近","入金待ち")))))))))</f>
        <v/>
      </c>
      <c r="S127" s="29" t="str">
        <f aca="false">IF(OR(R127="期日超過",R127="一部入金・超過"),設定!$C$5-I127,"")</f>
        <v/>
      </c>
      <c r="T127" s="21" t="str">
        <f aca="false">IF(A127="","",TRIM(IF(B127="","請求日 ","")&amp;IF(C127="","取引先 ",IF(D127="コード誤り","取引先コード誤り ",""))&amp;IF(E127="","件名 ","")&amp;IF(F127="","請求額 ","")&amp;IF(AND(F127&lt;&gt;"",I127=""),"入金期日(マスタの支払条件が未登録) ","")&amp;IF(J127="","送付方法 ","")&amp;IF(AND(K127&lt;&gt;"",L127=""),"送付者 ","")&amp;IF(AND(K127&lt;&gt;"",N(K127)&gt;設定!$C$5),"送付日が未来の日付 ","")&amp;IF(AND(K127&lt;&gt;"",N(M127)&gt;0,N(P127)&lt;=0,U127=""),"消込確認者 ","")))</f>
        <v/>
      </c>
      <c r="U127" s="26"/>
      <c r="V127" s="26"/>
    </row>
    <row r="128" customFormat="false" ht="15" hidden="false" customHeight="false" outlineLevel="0" collapsed="false">
      <c r="A128" s="21" t="str">
        <f aca="false">IF(COUNTA(B128,C128,E128,F128)=0,"",設定!$C$4&amp;TEXT(ROW()-4,"00000"))</f>
        <v/>
      </c>
      <c r="B128" s="22"/>
      <c r="C128" s="23"/>
      <c r="D128" s="21" t="str">
        <f aca="false">IF(C128="","",IFERROR(INDEX(取引先マスタ!$B$5:$B$204,MATCH(C128,取引先マスタ!$A$5:$A$204,0)),"コード誤り"))</f>
        <v/>
      </c>
      <c r="E128" s="26"/>
      <c r="F128" s="18"/>
      <c r="G128" s="25" t="str">
        <f aca="false">IF(OR(B128="",C128="",D128="コード誤り"),"",IFERROR(IF(OR(INDEX(取引先マスタ!$E$5:$E$204,MATCH(C128,取引先マスタ!$A$5:$A$204,0))="",INDEX(取引先マスタ!$F$5:$F$204,MATCH(C128,取引先マスタ!$A$5:$A$204,0))=""),"",DATE(YEAR(B128),MONTH(B128)+INDEX(取引先マスタ!$E$5:$E$204,MATCH(C128,取引先マスタ!$A$5:$A$204,0)),MIN(INDEX(取引先マスタ!$F$5:$F$204,MATCH(C128,取引先マスタ!$A$5:$A$204,0)),DAY(EOMONTH(B128,INDEX(取引先マスタ!$E$5:$E$204,MATCH(C128,取引先マスタ!$A$5:$A$204,0))))))),""))</f>
        <v/>
      </c>
      <c r="H128" s="22"/>
      <c r="I128" s="25" t="str">
        <f aca="false">IF(H128&lt;&gt;"",H128,G128)</f>
        <v/>
      </c>
      <c r="J128" s="26"/>
      <c r="K128" s="22"/>
      <c r="L128" s="26"/>
      <c r="M128" s="27" t="str">
        <f aca="false">IF(A128="","",SUMIF(入金明細!$F$5:$F$1004,A128,入金明細!$E$5:$E$1004))</f>
        <v/>
      </c>
      <c r="N128" s="25" t="str">
        <f aca="false">IF(OR(A128="",N(M128)=0),"",SUMPRODUCT(MAX((入金明細!$F$5:$F$1004=A128)*入金明細!$B$5:$B$1004)))</f>
        <v/>
      </c>
      <c r="O128" s="18"/>
      <c r="P128" s="27" t="str">
        <f aca="false">IF(OR(A128="",F128=""),"",F128-N(M128)-N(O128))</f>
        <v/>
      </c>
      <c r="Q128" s="26"/>
      <c r="R128" s="28" t="str">
        <f aca="false">IF(A128="","",IF(Q128="取消","取消",IF(T128&lt;&gt;"","要入力",IF(K128="","未送付",IF(P128=0,"入金済",IF(P128&lt;0,"過入金",IF(設定!$C$5&gt;I128,IF(N(M128)&gt;0,"一部入金・超過","期日超過"),IF(N(M128)&gt;0,"一部入金",IF(I128-設定!$C$5&lt;=設定!$C$6,"期日間近","入金待ち")))))))))</f>
        <v/>
      </c>
      <c r="S128" s="29" t="str">
        <f aca="false">IF(OR(R128="期日超過",R128="一部入金・超過"),設定!$C$5-I128,"")</f>
        <v/>
      </c>
      <c r="T128" s="21" t="str">
        <f aca="false">IF(A128="","",TRIM(IF(B128="","請求日 ","")&amp;IF(C128="","取引先 ",IF(D128="コード誤り","取引先コード誤り ",""))&amp;IF(E128="","件名 ","")&amp;IF(F128="","請求額 ","")&amp;IF(AND(F128&lt;&gt;"",I128=""),"入金期日(マスタの支払条件が未登録) ","")&amp;IF(J128="","送付方法 ","")&amp;IF(AND(K128&lt;&gt;"",L128=""),"送付者 ","")&amp;IF(AND(K128&lt;&gt;"",N(K128)&gt;設定!$C$5),"送付日が未来の日付 ","")&amp;IF(AND(K128&lt;&gt;"",N(M128)&gt;0,N(P128)&lt;=0,U128=""),"消込確認者 ","")))</f>
        <v/>
      </c>
      <c r="U128" s="26"/>
      <c r="V128" s="26"/>
    </row>
    <row r="129" customFormat="false" ht="15" hidden="false" customHeight="false" outlineLevel="0" collapsed="false">
      <c r="A129" s="21" t="str">
        <f aca="false">IF(COUNTA(B129,C129,E129,F129)=0,"",設定!$C$4&amp;TEXT(ROW()-4,"00000"))</f>
        <v/>
      </c>
      <c r="B129" s="22"/>
      <c r="C129" s="23"/>
      <c r="D129" s="21" t="str">
        <f aca="false">IF(C129="","",IFERROR(INDEX(取引先マスタ!$B$5:$B$204,MATCH(C129,取引先マスタ!$A$5:$A$204,0)),"コード誤り"))</f>
        <v/>
      </c>
      <c r="E129" s="26"/>
      <c r="F129" s="18"/>
      <c r="G129" s="25" t="str">
        <f aca="false">IF(OR(B129="",C129="",D129="コード誤り"),"",IFERROR(IF(OR(INDEX(取引先マスタ!$E$5:$E$204,MATCH(C129,取引先マスタ!$A$5:$A$204,0))="",INDEX(取引先マスタ!$F$5:$F$204,MATCH(C129,取引先マスタ!$A$5:$A$204,0))=""),"",DATE(YEAR(B129),MONTH(B129)+INDEX(取引先マスタ!$E$5:$E$204,MATCH(C129,取引先マスタ!$A$5:$A$204,0)),MIN(INDEX(取引先マスタ!$F$5:$F$204,MATCH(C129,取引先マスタ!$A$5:$A$204,0)),DAY(EOMONTH(B129,INDEX(取引先マスタ!$E$5:$E$204,MATCH(C129,取引先マスタ!$A$5:$A$204,0))))))),""))</f>
        <v/>
      </c>
      <c r="H129" s="22"/>
      <c r="I129" s="25" t="str">
        <f aca="false">IF(H129&lt;&gt;"",H129,G129)</f>
        <v/>
      </c>
      <c r="J129" s="26"/>
      <c r="K129" s="22"/>
      <c r="L129" s="26"/>
      <c r="M129" s="27" t="str">
        <f aca="false">IF(A129="","",SUMIF(入金明細!$F$5:$F$1004,A129,入金明細!$E$5:$E$1004))</f>
        <v/>
      </c>
      <c r="N129" s="25" t="str">
        <f aca="false">IF(OR(A129="",N(M129)=0),"",SUMPRODUCT(MAX((入金明細!$F$5:$F$1004=A129)*入金明細!$B$5:$B$1004)))</f>
        <v/>
      </c>
      <c r="O129" s="18"/>
      <c r="P129" s="27" t="str">
        <f aca="false">IF(OR(A129="",F129=""),"",F129-N(M129)-N(O129))</f>
        <v/>
      </c>
      <c r="Q129" s="26"/>
      <c r="R129" s="28" t="str">
        <f aca="false">IF(A129="","",IF(Q129="取消","取消",IF(T129&lt;&gt;"","要入力",IF(K129="","未送付",IF(P129=0,"入金済",IF(P129&lt;0,"過入金",IF(設定!$C$5&gt;I129,IF(N(M129)&gt;0,"一部入金・超過","期日超過"),IF(N(M129)&gt;0,"一部入金",IF(I129-設定!$C$5&lt;=設定!$C$6,"期日間近","入金待ち")))))))))</f>
        <v/>
      </c>
      <c r="S129" s="29" t="str">
        <f aca="false">IF(OR(R129="期日超過",R129="一部入金・超過"),設定!$C$5-I129,"")</f>
        <v/>
      </c>
      <c r="T129" s="21" t="str">
        <f aca="false">IF(A129="","",TRIM(IF(B129="","請求日 ","")&amp;IF(C129="","取引先 ",IF(D129="コード誤り","取引先コード誤り ",""))&amp;IF(E129="","件名 ","")&amp;IF(F129="","請求額 ","")&amp;IF(AND(F129&lt;&gt;"",I129=""),"入金期日(マスタの支払条件が未登録) ","")&amp;IF(J129="","送付方法 ","")&amp;IF(AND(K129&lt;&gt;"",L129=""),"送付者 ","")&amp;IF(AND(K129&lt;&gt;"",N(K129)&gt;設定!$C$5),"送付日が未来の日付 ","")&amp;IF(AND(K129&lt;&gt;"",N(M129)&gt;0,N(P129)&lt;=0,U129=""),"消込確認者 ","")))</f>
        <v/>
      </c>
      <c r="U129" s="26"/>
      <c r="V129" s="26"/>
    </row>
    <row r="130" customFormat="false" ht="15" hidden="false" customHeight="false" outlineLevel="0" collapsed="false">
      <c r="A130" s="21" t="str">
        <f aca="false">IF(COUNTA(B130,C130,E130,F130)=0,"",設定!$C$4&amp;TEXT(ROW()-4,"00000"))</f>
        <v/>
      </c>
      <c r="B130" s="22"/>
      <c r="C130" s="23"/>
      <c r="D130" s="21" t="str">
        <f aca="false">IF(C130="","",IFERROR(INDEX(取引先マスタ!$B$5:$B$204,MATCH(C130,取引先マスタ!$A$5:$A$204,0)),"コード誤り"))</f>
        <v/>
      </c>
      <c r="E130" s="26"/>
      <c r="F130" s="18"/>
      <c r="G130" s="25" t="str">
        <f aca="false">IF(OR(B130="",C130="",D130="コード誤り"),"",IFERROR(IF(OR(INDEX(取引先マスタ!$E$5:$E$204,MATCH(C130,取引先マスタ!$A$5:$A$204,0))="",INDEX(取引先マスタ!$F$5:$F$204,MATCH(C130,取引先マスタ!$A$5:$A$204,0))=""),"",DATE(YEAR(B130),MONTH(B130)+INDEX(取引先マスタ!$E$5:$E$204,MATCH(C130,取引先マスタ!$A$5:$A$204,0)),MIN(INDEX(取引先マスタ!$F$5:$F$204,MATCH(C130,取引先マスタ!$A$5:$A$204,0)),DAY(EOMONTH(B130,INDEX(取引先マスタ!$E$5:$E$204,MATCH(C130,取引先マスタ!$A$5:$A$204,0))))))),""))</f>
        <v/>
      </c>
      <c r="H130" s="22"/>
      <c r="I130" s="25" t="str">
        <f aca="false">IF(H130&lt;&gt;"",H130,G130)</f>
        <v/>
      </c>
      <c r="J130" s="26"/>
      <c r="K130" s="22"/>
      <c r="L130" s="26"/>
      <c r="M130" s="27" t="str">
        <f aca="false">IF(A130="","",SUMIF(入金明細!$F$5:$F$1004,A130,入金明細!$E$5:$E$1004))</f>
        <v/>
      </c>
      <c r="N130" s="25" t="str">
        <f aca="false">IF(OR(A130="",N(M130)=0),"",SUMPRODUCT(MAX((入金明細!$F$5:$F$1004=A130)*入金明細!$B$5:$B$1004)))</f>
        <v/>
      </c>
      <c r="O130" s="18"/>
      <c r="P130" s="27" t="str">
        <f aca="false">IF(OR(A130="",F130=""),"",F130-N(M130)-N(O130))</f>
        <v/>
      </c>
      <c r="Q130" s="26"/>
      <c r="R130" s="28" t="str">
        <f aca="false">IF(A130="","",IF(Q130="取消","取消",IF(T130&lt;&gt;"","要入力",IF(K130="","未送付",IF(P130=0,"入金済",IF(P130&lt;0,"過入金",IF(設定!$C$5&gt;I130,IF(N(M130)&gt;0,"一部入金・超過","期日超過"),IF(N(M130)&gt;0,"一部入金",IF(I130-設定!$C$5&lt;=設定!$C$6,"期日間近","入金待ち")))))))))</f>
        <v/>
      </c>
      <c r="S130" s="29" t="str">
        <f aca="false">IF(OR(R130="期日超過",R130="一部入金・超過"),設定!$C$5-I130,"")</f>
        <v/>
      </c>
      <c r="T130" s="21" t="str">
        <f aca="false">IF(A130="","",TRIM(IF(B130="","請求日 ","")&amp;IF(C130="","取引先 ",IF(D130="コード誤り","取引先コード誤り ",""))&amp;IF(E130="","件名 ","")&amp;IF(F130="","請求額 ","")&amp;IF(AND(F130&lt;&gt;"",I130=""),"入金期日(マスタの支払条件が未登録) ","")&amp;IF(J130="","送付方法 ","")&amp;IF(AND(K130&lt;&gt;"",L130=""),"送付者 ","")&amp;IF(AND(K130&lt;&gt;"",N(K130)&gt;設定!$C$5),"送付日が未来の日付 ","")&amp;IF(AND(K130&lt;&gt;"",N(M130)&gt;0,N(P130)&lt;=0,U130=""),"消込確認者 ","")))</f>
        <v/>
      </c>
      <c r="U130" s="26"/>
      <c r="V130" s="26"/>
    </row>
    <row r="131" customFormat="false" ht="15" hidden="false" customHeight="false" outlineLevel="0" collapsed="false">
      <c r="A131" s="21" t="str">
        <f aca="false">IF(COUNTA(B131,C131,E131,F131)=0,"",設定!$C$4&amp;TEXT(ROW()-4,"00000"))</f>
        <v/>
      </c>
      <c r="B131" s="22"/>
      <c r="C131" s="23"/>
      <c r="D131" s="21" t="str">
        <f aca="false">IF(C131="","",IFERROR(INDEX(取引先マスタ!$B$5:$B$204,MATCH(C131,取引先マスタ!$A$5:$A$204,0)),"コード誤り"))</f>
        <v/>
      </c>
      <c r="E131" s="26"/>
      <c r="F131" s="18"/>
      <c r="G131" s="25" t="str">
        <f aca="false">IF(OR(B131="",C131="",D131="コード誤り"),"",IFERROR(IF(OR(INDEX(取引先マスタ!$E$5:$E$204,MATCH(C131,取引先マスタ!$A$5:$A$204,0))="",INDEX(取引先マスタ!$F$5:$F$204,MATCH(C131,取引先マスタ!$A$5:$A$204,0))=""),"",DATE(YEAR(B131),MONTH(B131)+INDEX(取引先マスタ!$E$5:$E$204,MATCH(C131,取引先マスタ!$A$5:$A$204,0)),MIN(INDEX(取引先マスタ!$F$5:$F$204,MATCH(C131,取引先マスタ!$A$5:$A$204,0)),DAY(EOMONTH(B131,INDEX(取引先マスタ!$E$5:$E$204,MATCH(C131,取引先マスタ!$A$5:$A$204,0))))))),""))</f>
        <v/>
      </c>
      <c r="H131" s="22"/>
      <c r="I131" s="25" t="str">
        <f aca="false">IF(H131&lt;&gt;"",H131,G131)</f>
        <v/>
      </c>
      <c r="J131" s="26"/>
      <c r="K131" s="22"/>
      <c r="L131" s="26"/>
      <c r="M131" s="27" t="str">
        <f aca="false">IF(A131="","",SUMIF(入金明細!$F$5:$F$1004,A131,入金明細!$E$5:$E$1004))</f>
        <v/>
      </c>
      <c r="N131" s="25" t="str">
        <f aca="false">IF(OR(A131="",N(M131)=0),"",SUMPRODUCT(MAX((入金明細!$F$5:$F$1004=A131)*入金明細!$B$5:$B$1004)))</f>
        <v/>
      </c>
      <c r="O131" s="18"/>
      <c r="P131" s="27" t="str">
        <f aca="false">IF(OR(A131="",F131=""),"",F131-N(M131)-N(O131))</f>
        <v/>
      </c>
      <c r="Q131" s="26"/>
      <c r="R131" s="28" t="str">
        <f aca="false">IF(A131="","",IF(Q131="取消","取消",IF(T131&lt;&gt;"","要入力",IF(K131="","未送付",IF(P131=0,"入金済",IF(P131&lt;0,"過入金",IF(設定!$C$5&gt;I131,IF(N(M131)&gt;0,"一部入金・超過","期日超過"),IF(N(M131)&gt;0,"一部入金",IF(I131-設定!$C$5&lt;=設定!$C$6,"期日間近","入金待ち")))))))))</f>
        <v/>
      </c>
      <c r="S131" s="29" t="str">
        <f aca="false">IF(OR(R131="期日超過",R131="一部入金・超過"),設定!$C$5-I131,"")</f>
        <v/>
      </c>
      <c r="T131" s="21" t="str">
        <f aca="false">IF(A131="","",TRIM(IF(B131="","請求日 ","")&amp;IF(C131="","取引先 ",IF(D131="コード誤り","取引先コード誤り ",""))&amp;IF(E131="","件名 ","")&amp;IF(F131="","請求額 ","")&amp;IF(AND(F131&lt;&gt;"",I131=""),"入金期日(マスタの支払条件が未登録) ","")&amp;IF(J131="","送付方法 ","")&amp;IF(AND(K131&lt;&gt;"",L131=""),"送付者 ","")&amp;IF(AND(K131&lt;&gt;"",N(K131)&gt;設定!$C$5),"送付日が未来の日付 ","")&amp;IF(AND(K131&lt;&gt;"",N(M131)&gt;0,N(P131)&lt;=0,U131=""),"消込確認者 ","")))</f>
        <v/>
      </c>
      <c r="U131" s="26"/>
      <c r="V131" s="26"/>
    </row>
    <row r="132" customFormat="false" ht="15" hidden="false" customHeight="false" outlineLevel="0" collapsed="false">
      <c r="A132" s="21" t="str">
        <f aca="false">IF(COUNTA(B132,C132,E132,F132)=0,"",設定!$C$4&amp;TEXT(ROW()-4,"00000"))</f>
        <v/>
      </c>
      <c r="B132" s="22"/>
      <c r="C132" s="23"/>
      <c r="D132" s="21" t="str">
        <f aca="false">IF(C132="","",IFERROR(INDEX(取引先マスタ!$B$5:$B$204,MATCH(C132,取引先マスタ!$A$5:$A$204,0)),"コード誤り"))</f>
        <v/>
      </c>
      <c r="E132" s="26"/>
      <c r="F132" s="18"/>
      <c r="G132" s="25" t="str">
        <f aca="false">IF(OR(B132="",C132="",D132="コード誤り"),"",IFERROR(IF(OR(INDEX(取引先マスタ!$E$5:$E$204,MATCH(C132,取引先マスタ!$A$5:$A$204,0))="",INDEX(取引先マスタ!$F$5:$F$204,MATCH(C132,取引先マスタ!$A$5:$A$204,0))=""),"",DATE(YEAR(B132),MONTH(B132)+INDEX(取引先マスタ!$E$5:$E$204,MATCH(C132,取引先マスタ!$A$5:$A$204,0)),MIN(INDEX(取引先マスタ!$F$5:$F$204,MATCH(C132,取引先マスタ!$A$5:$A$204,0)),DAY(EOMONTH(B132,INDEX(取引先マスタ!$E$5:$E$204,MATCH(C132,取引先マスタ!$A$5:$A$204,0))))))),""))</f>
        <v/>
      </c>
      <c r="H132" s="22"/>
      <c r="I132" s="25" t="str">
        <f aca="false">IF(H132&lt;&gt;"",H132,G132)</f>
        <v/>
      </c>
      <c r="J132" s="26"/>
      <c r="K132" s="22"/>
      <c r="L132" s="26"/>
      <c r="M132" s="27" t="str">
        <f aca="false">IF(A132="","",SUMIF(入金明細!$F$5:$F$1004,A132,入金明細!$E$5:$E$1004))</f>
        <v/>
      </c>
      <c r="N132" s="25" t="str">
        <f aca="false">IF(OR(A132="",N(M132)=0),"",SUMPRODUCT(MAX((入金明細!$F$5:$F$1004=A132)*入金明細!$B$5:$B$1004)))</f>
        <v/>
      </c>
      <c r="O132" s="18"/>
      <c r="P132" s="27" t="str">
        <f aca="false">IF(OR(A132="",F132=""),"",F132-N(M132)-N(O132))</f>
        <v/>
      </c>
      <c r="Q132" s="26"/>
      <c r="R132" s="28" t="str">
        <f aca="false">IF(A132="","",IF(Q132="取消","取消",IF(T132&lt;&gt;"","要入力",IF(K132="","未送付",IF(P132=0,"入金済",IF(P132&lt;0,"過入金",IF(設定!$C$5&gt;I132,IF(N(M132)&gt;0,"一部入金・超過","期日超過"),IF(N(M132)&gt;0,"一部入金",IF(I132-設定!$C$5&lt;=設定!$C$6,"期日間近","入金待ち")))))))))</f>
        <v/>
      </c>
      <c r="S132" s="29" t="str">
        <f aca="false">IF(OR(R132="期日超過",R132="一部入金・超過"),設定!$C$5-I132,"")</f>
        <v/>
      </c>
      <c r="T132" s="21" t="str">
        <f aca="false">IF(A132="","",TRIM(IF(B132="","請求日 ","")&amp;IF(C132="","取引先 ",IF(D132="コード誤り","取引先コード誤り ",""))&amp;IF(E132="","件名 ","")&amp;IF(F132="","請求額 ","")&amp;IF(AND(F132&lt;&gt;"",I132=""),"入金期日(マスタの支払条件が未登録) ","")&amp;IF(J132="","送付方法 ","")&amp;IF(AND(K132&lt;&gt;"",L132=""),"送付者 ","")&amp;IF(AND(K132&lt;&gt;"",N(K132)&gt;設定!$C$5),"送付日が未来の日付 ","")&amp;IF(AND(K132&lt;&gt;"",N(M132)&gt;0,N(P132)&lt;=0,U132=""),"消込確認者 ","")))</f>
        <v/>
      </c>
      <c r="U132" s="26"/>
      <c r="V132" s="26"/>
    </row>
    <row r="133" customFormat="false" ht="15" hidden="false" customHeight="false" outlineLevel="0" collapsed="false">
      <c r="A133" s="21" t="str">
        <f aca="false">IF(COUNTA(B133,C133,E133,F133)=0,"",設定!$C$4&amp;TEXT(ROW()-4,"00000"))</f>
        <v/>
      </c>
      <c r="B133" s="22"/>
      <c r="C133" s="23"/>
      <c r="D133" s="21" t="str">
        <f aca="false">IF(C133="","",IFERROR(INDEX(取引先マスタ!$B$5:$B$204,MATCH(C133,取引先マスタ!$A$5:$A$204,0)),"コード誤り"))</f>
        <v/>
      </c>
      <c r="E133" s="26"/>
      <c r="F133" s="18"/>
      <c r="G133" s="25" t="str">
        <f aca="false">IF(OR(B133="",C133="",D133="コード誤り"),"",IFERROR(IF(OR(INDEX(取引先マスタ!$E$5:$E$204,MATCH(C133,取引先マスタ!$A$5:$A$204,0))="",INDEX(取引先マスタ!$F$5:$F$204,MATCH(C133,取引先マスタ!$A$5:$A$204,0))=""),"",DATE(YEAR(B133),MONTH(B133)+INDEX(取引先マスタ!$E$5:$E$204,MATCH(C133,取引先マスタ!$A$5:$A$204,0)),MIN(INDEX(取引先マスタ!$F$5:$F$204,MATCH(C133,取引先マスタ!$A$5:$A$204,0)),DAY(EOMONTH(B133,INDEX(取引先マスタ!$E$5:$E$204,MATCH(C133,取引先マスタ!$A$5:$A$204,0))))))),""))</f>
        <v/>
      </c>
      <c r="H133" s="22"/>
      <c r="I133" s="25" t="str">
        <f aca="false">IF(H133&lt;&gt;"",H133,G133)</f>
        <v/>
      </c>
      <c r="J133" s="26"/>
      <c r="K133" s="22"/>
      <c r="L133" s="26"/>
      <c r="M133" s="27" t="str">
        <f aca="false">IF(A133="","",SUMIF(入金明細!$F$5:$F$1004,A133,入金明細!$E$5:$E$1004))</f>
        <v/>
      </c>
      <c r="N133" s="25" t="str">
        <f aca="false">IF(OR(A133="",N(M133)=0),"",SUMPRODUCT(MAX((入金明細!$F$5:$F$1004=A133)*入金明細!$B$5:$B$1004)))</f>
        <v/>
      </c>
      <c r="O133" s="18"/>
      <c r="P133" s="27" t="str">
        <f aca="false">IF(OR(A133="",F133=""),"",F133-N(M133)-N(O133))</f>
        <v/>
      </c>
      <c r="Q133" s="26"/>
      <c r="R133" s="28" t="str">
        <f aca="false">IF(A133="","",IF(Q133="取消","取消",IF(T133&lt;&gt;"","要入力",IF(K133="","未送付",IF(P133=0,"入金済",IF(P133&lt;0,"過入金",IF(設定!$C$5&gt;I133,IF(N(M133)&gt;0,"一部入金・超過","期日超過"),IF(N(M133)&gt;0,"一部入金",IF(I133-設定!$C$5&lt;=設定!$C$6,"期日間近","入金待ち")))))))))</f>
        <v/>
      </c>
      <c r="S133" s="29" t="str">
        <f aca="false">IF(OR(R133="期日超過",R133="一部入金・超過"),設定!$C$5-I133,"")</f>
        <v/>
      </c>
      <c r="T133" s="21" t="str">
        <f aca="false">IF(A133="","",TRIM(IF(B133="","請求日 ","")&amp;IF(C133="","取引先 ",IF(D133="コード誤り","取引先コード誤り ",""))&amp;IF(E133="","件名 ","")&amp;IF(F133="","請求額 ","")&amp;IF(AND(F133&lt;&gt;"",I133=""),"入金期日(マスタの支払条件が未登録) ","")&amp;IF(J133="","送付方法 ","")&amp;IF(AND(K133&lt;&gt;"",L133=""),"送付者 ","")&amp;IF(AND(K133&lt;&gt;"",N(K133)&gt;設定!$C$5),"送付日が未来の日付 ","")&amp;IF(AND(K133&lt;&gt;"",N(M133)&gt;0,N(P133)&lt;=0,U133=""),"消込確認者 ","")))</f>
        <v/>
      </c>
      <c r="U133" s="26"/>
      <c r="V133" s="26"/>
    </row>
    <row r="134" customFormat="false" ht="15" hidden="false" customHeight="false" outlineLevel="0" collapsed="false">
      <c r="A134" s="21" t="str">
        <f aca="false">IF(COUNTA(B134,C134,E134,F134)=0,"",設定!$C$4&amp;TEXT(ROW()-4,"00000"))</f>
        <v/>
      </c>
      <c r="B134" s="22"/>
      <c r="C134" s="23"/>
      <c r="D134" s="21" t="str">
        <f aca="false">IF(C134="","",IFERROR(INDEX(取引先マスタ!$B$5:$B$204,MATCH(C134,取引先マスタ!$A$5:$A$204,0)),"コード誤り"))</f>
        <v/>
      </c>
      <c r="E134" s="26"/>
      <c r="F134" s="18"/>
      <c r="G134" s="25" t="str">
        <f aca="false">IF(OR(B134="",C134="",D134="コード誤り"),"",IFERROR(IF(OR(INDEX(取引先マスタ!$E$5:$E$204,MATCH(C134,取引先マスタ!$A$5:$A$204,0))="",INDEX(取引先マスタ!$F$5:$F$204,MATCH(C134,取引先マスタ!$A$5:$A$204,0))=""),"",DATE(YEAR(B134),MONTH(B134)+INDEX(取引先マスタ!$E$5:$E$204,MATCH(C134,取引先マスタ!$A$5:$A$204,0)),MIN(INDEX(取引先マスタ!$F$5:$F$204,MATCH(C134,取引先マスタ!$A$5:$A$204,0)),DAY(EOMONTH(B134,INDEX(取引先マスタ!$E$5:$E$204,MATCH(C134,取引先マスタ!$A$5:$A$204,0))))))),""))</f>
        <v/>
      </c>
      <c r="H134" s="22"/>
      <c r="I134" s="25" t="str">
        <f aca="false">IF(H134&lt;&gt;"",H134,G134)</f>
        <v/>
      </c>
      <c r="J134" s="26"/>
      <c r="K134" s="22"/>
      <c r="L134" s="26"/>
      <c r="M134" s="27" t="str">
        <f aca="false">IF(A134="","",SUMIF(入金明細!$F$5:$F$1004,A134,入金明細!$E$5:$E$1004))</f>
        <v/>
      </c>
      <c r="N134" s="25" t="str">
        <f aca="false">IF(OR(A134="",N(M134)=0),"",SUMPRODUCT(MAX((入金明細!$F$5:$F$1004=A134)*入金明細!$B$5:$B$1004)))</f>
        <v/>
      </c>
      <c r="O134" s="18"/>
      <c r="P134" s="27" t="str">
        <f aca="false">IF(OR(A134="",F134=""),"",F134-N(M134)-N(O134))</f>
        <v/>
      </c>
      <c r="Q134" s="26"/>
      <c r="R134" s="28" t="str">
        <f aca="false">IF(A134="","",IF(Q134="取消","取消",IF(T134&lt;&gt;"","要入力",IF(K134="","未送付",IF(P134=0,"入金済",IF(P134&lt;0,"過入金",IF(設定!$C$5&gt;I134,IF(N(M134)&gt;0,"一部入金・超過","期日超過"),IF(N(M134)&gt;0,"一部入金",IF(I134-設定!$C$5&lt;=設定!$C$6,"期日間近","入金待ち")))))))))</f>
        <v/>
      </c>
      <c r="S134" s="29" t="str">
        <f aca="false">IF(OR(R134="期日超過",R134="一部入金・超過"),設定!$C$5-I134,"")</f>
        <v/>
      </c>
      <c r="T134" s="21" t="str">
        <f aca="false">IF(A134="","",TRIM(IF(B134="","請求日 ","")&amp;IF(C134="","取引先 ",IF(D134="コード誤り","取引先コード誤り ",""))&amp;IF(E134="","件名 ","")&amp;IF(F134="","請求額 ","")&amp;IF(AND(F134&lt;&gt;"",I134=""),"入金期日(マスタの支払条件が未登録) ","")&amp;IF(J134="","送付方法 ","")&amp;IF(AND(K134&lt;&gt;"",L134=""),"送付者 ","")&amp;IF(AND(K134&lt;&gt;"",N(K134)&gt;設定!$C$5),"送付日が未来の日付 ","")&amp;IF(AND(K134&lt;&gt;"",N(M134)&gt;0,N(P134)&lt;=0,U134=""),"消込確認者 ","")))</f>
        <v/>
      </c>
      <c r="U134" s="26"/>
      <c r="V134" s="26"/>
    </row>
    <row r="135" customFormat="false" ht="15" hidden="false" customHeight="false" outlineLevel="0" collapsed="false">
      <c r="A135" s="21" t="str">
        <f aca="false">IF(COUNTA(B135,C135,E135,F135)=0,"",設定!$C$4&amp;TEXT(ROW()-4,"00000"))</f>
        <v/>
      </c>
      <c r="B135" s="22"/>
      <c r="C135" s="23"/>
      <c r="D135" s="21" t="str">
        <f aca="false">IF(C135="","",IFERROR(INDEX(取引先マスタ!$B$5:$B$204,MATCH(C135,取引先マスタ!$A$5:$A$204,0)),"コード誤り"))</f>
        <v/>
      </c>
      <c r="E135" s="26"/>
      <c r="F135" s="18"/>
      <c r="G135" s="25" t="str">
        <f aca="false">IF(OR(B135="",C135="",D135="コード誤り"),"",IFERROR(IF(OR(INDEX(取引先マスタ!$E$5:$E$204,MATCH(C135,取引先マスタ!$A$5:$A$204,0))="",INDEX(取引先マスタ!$F$5:$F$204,MATCH(C135,取引先マスタ!$A$5:$A$204,0))=""),"",DATE(YEAR(B135),MONTH(B135)+INDEX(取引先マスタ!$E$5:$E$204,MATCH(C135,取引先マスタ!$A$5:$A$204,0)),MIN(INDEX(取引先マスタ!$F$5:$F$204,MATCH(C135,取引先マスタ!$A$5:$A$204,0)),DAY(EOMONTH(B135,INDEX(取引先マスタ!$E$5:$E$204,MATCH(C135,取引先マスタ!$A$5:$A$204,0))))))),""))</f>
        <v/>
      </c>
      <c r="H135" s="22"/>
      <c r="I135" s="25" t="str">
        <f aca="false">IF(H135&lt;&gt;"",H135,G135)</f>
        <v/>
      </c>
      <c r="J135" s="26"/>
      <c r="K135" s="22"/>
      <c r="L135" s="26"/>
      <c r="M135" s="27" t="str">
        <f aca="false">IF(A135="","",SUMIF(入金明細!$F$5:$F$1004,A135,入金明細!$E$5:$E$1004))</f>
        <v/>
      </c>
      <c r="N135" s="25" t="str">
        <f aca="false">IF(OR(A135="",N(M135)=0),"",SUMPRODUCT(MAX((入金明細!$F$5:$F$1004=A135)*入金明細!$B$5:$B$1004)))</f>
        <v/>
      </c>
      <c r="O135" s="18"/>
      <c r="P135" s="27" t="str">
        <f aca="false">IF(OR(A135="",F135=""),"",F135-N(M135)-N(O135))</f>
        <v/>
      </c>
      <c r="Q135" s="26"/>
      <c r="R135" s="28" t="str">
        <f aca="false">IF(A135="","",IF(Q135="取消","取消",IF(T135&lt;&gt;"","要入力",IF(K135="","未送付",IF(P135=0,"入金済",IF(P135&lt;0,"過入金",IF(設定!$C$5&gt;I135,IF(N(M135)&gt;0,"一部入金・超過","期日超過"),IF(N(M135)&gt;0,"一部入金",IF(I135-設定!$C$5&lt;=設定!$C$6,"期日間近","入金待ち")))))))))</f>
        <v/>
      </c>
      <c r="S135" s="29" t="str">
        <f aca="false">IF(OR(R135="期日超過",R135="一部入金・超過"),設定!$C$5-I135,"")</f>
        <v/>
      </c>
      <c r="T135" s="21" t="str">
        <f aca="false">IF(A135="","",TRIM(IF(B135="","請求日 ","")&amp;IF(C135="","取引先 ",IF(D135="コード誤り","取引先コード誤り ",""))&amp;IF(E135="","件名 ","")&amp;IF(F135="","請求額 ","")&amp;IF(AND(F135&lt;&gt;"",I135=""),"入金期日(マスタの支払条件が未登録) ","")&amp;IF(J135="","送付方法 ","")&amp;IF(AND(K135&lt;&gt;"",L135=""),"送付者 ","")&amp;IF(AND(K135&lt;&gt;"",N(K135)&gt;設定!$C$5),"送付日が未来の日付 ","")&amp;IF(AND(K135&lt;&gt;"",N(M135)&gt;0,N(P135)&lt;=0,U135=""),"消込確認者 ","")))</f>
        <v/>
      </c>
      <c r="U135" s="26"/>
      <c r="V135" s="26"/>
    </row>
    <row r="136" customFormat="false" ht="15" hidden="false" customHeight="false" outlineLevel="0" collapsed="false">
      <c r="A136" s="21" t="str">
        <f aca="false">IF(COUNTA(B136,C136,E136,F136)=0,"",設定!$C$4&amp;TEXT(ROW()-4,"00000"))</f>
        <v/>
      </c>
      <c r="B136" s="22"/>
      <c r="C136" s="23"/>
      <c r="D136" s="21" t="str">
        <f aca="false">IF(C136="","",IFERROR(INDEX(取引先マスタ!$B$5:$B$204,MATCH(C136,取引先マスタ!$A$5:$A$204,0)),"コード誤り"))</f>
        <v/>
      </c>
      <c r="E136" s="26"/>
      <c r="F136" s="18"/>
      <c r="G136" s="25" t="str">
        <f aca="false">IF(OR(B136="",C136="",D136="コード誤り"),"",IFERROR(IF(OR(INDEX(取引先マスタ!$E$5:$E$204,MATCH(C136,取引先マスタ!$A$5:$A$204,0))="",INDEX(取引先マスタ!$F$5:$F$204,MATCH(C136,取引先マスタ!$A$5:$A$204,0))=""),"",DATE(YEAR(B136),MONTH(B136)+INDEX(取引先マスタ!$E$5:$E$204,MATCH(C136,取引先マスタ!$A$5:$A$204,0)),MIN(INDEX(取引先マスタ!$F$5:$F$204,MATCH(C136,取引先マスタ!$A$5:$A$204,0)),DAY(EOMONTH(B136,INDEX(取引先マスタ!$E$5:$E$204,MATCH(C136,取引先マスタ!$A$5:$A$204,0))))))),""))</f>
        <v/>
      </c>
      <c r="H136" s="22"/>
      <c r="I136" s="25" t="str">
        <f aca="false">IF(H136&lt;&gt;"",H136,G136)</f>
        <v/>
      </c>
      <c r="J136" s="26"/>
      <c r="K136" s="22"/>
      <c r="L136" s="26"/>
      <c r="M136" s="27" t="str">
        <f aca="false">IF(A136="","",SUMIF(入金明細!$F$5:$F$1004,A136,入金明細!$E$5:$E$1004))</f>
        <v/>
      </c>
      <c r="N136" s="25" t="str">
        <f aca="false">IF(OR(A136="",N(M136)=0),"",SUMPRODUCT(MAX((入金明細!$F$5:$F$1004=A136)*入金明細!$B$5:$B$1004)))</f>
        <v/>
      </c>
      <c r="O136" s="18"/>
      <c r="P136" s="27" t="str">
        <f aca="false">IF(OR(A136="",F136=""),"",F136-N(M136)-N(O136))</f>
        <v/>
      </c>
      <c r="Q136" s="26"/>
      <c r="R136" s="28" t="str">
        <f aca="false">IF(A136="","",IF(Q136="取消","取消",IF(T136&lt;&gt;"","要入力",IF(K136="","未送付",IF(P136=0,"入金済",IF(P136&lt;0,"過入金",IF(設定!$C$5&gt;I136,IF(N(M136)&gt;0,"一部入金・超過","期日超過"),IF(N(M136)&gt;0,"一部入金",IF(I136-設定!$C$5&lt;=設定!$C$6,"期日間近","入金待ち")))))))))</f>
        <v/>
      </c>
      <c r="S136" s="29" t="str">
        <f aca="false">IF(OR(R136="期日超過",R136="一部入金・超過"),設定!$C$5-I136,"")</f>
        <v/>
      </c>
      <c r="T136" s="21" t="str">
        <f aca="false">IF(A136="","",TRIM(IF(B136="","請求日 ","")&amp;IF(C136="","取引先 ",IF(D136="コード誤り","取引先コード誤り ",""))&amp;IF(E136="","件名 ","")&amp;IF(F136="","請求額 ","")&amp;IF(AND(F136&lt;&gt;"",I136=""),"入金期日(マスタの支払条件が未登録) ","")&amp;IF(J136="","送付方法 ","")&amp;IF(AND(K136&lt;&gt;"",L136=""),"送付者 ","")&amp;IF(AND(K136&lt;&gt;"",N(K136)&gt;設定!$C$5),"送付日が未来の日付 ","")&amp;IF(AND(K136&lt;&gt;"",N(M136)&gt;0,N(P136)&lt;=0,U136=""),"消込確認者 ","")))</f>
        <v/>
      </c>
      <c r="U136" s="26"/>
      <c r="V136" s="26"/>
    </row>
    <row r="137" customFormat="false" ht="15" hidden="false" customHeight="false" outlineLevel="0" collapsed="false">
      <c r="A137" s="21" t="str">
        <f aca="false">IF(COUNTA(B137,C137,E137,F137)=0,"",設定!$C$4&amp;TEXT(ROW()-4,"00000"))</f>
        <v/>
      </c>
      <c r="B137" s="22"/>
      <c r="C137" s="23"/>
      <c r="D137" s="21" t="str">
        <f aca="false">IF(C137="","",IFERROR(INDEX(取引先マスタ!$B$5:$B$204,MATCH(C137,取引先マスタ!$A$5:$A$204,0)),"コード誤り"))</f>
        <v/>
      </c>
      <c r="E137" s="26"/>
      <c r="F137" s="18"/>
      <c r="G137" s="25" t="str">
        <f aca="false">IF(OR(B137="",C137="",D137="コード誤り"),"",IFERROR(IF(OR(INDEX(取引先マスタ!$E$5:$E$204,MATCH(C137,取引先マスタ!$A$5:$A$204,0))="",INDEX(取引先マスタ!$F$5:$F$204,MATCH(C137,取引先マスタ!$A$5:$A$204,0))=""),"",DATE(YEAR(B137),MONTH(B137)+INDEX(取引先マスタ!$E$5:$E$204,MATCH(C137,取引先マスタ!$A$5:$A$204,0)),MIN(INDEX(取引先マスタ!$F$5:$F$204,MATCH(C137,取引先マスタ!$A$5:$A$204,0)),DAY(EOMONTH(B137,INDEX(取引先マスタ!$E$5:$E$204,MATCH(C137,取引先マスタ!$A$5:$A$204,0))))))),""))</f>
        <v/>
      </c>
      <c r="H137" s="22"/>
      <c r="I137" s="25" t="str">
        <f aca="false">IF(H137&lt;&gt;"",H137,G137)</f>
        <v/>
      </c>
      <c r="J137" s="26"/>
      <c r="K137" s="22"/>
      <c r="L137" s="26"/>
      <c r="M137" s="27" t="str">
        <f aca="false">IF(A137="","",SUMIF(入金明細!$F$5:$F$1004,A137,入金明細!$E$5:$E$1004))</f>
        <v/>
      </c>
      <c r="N137" s="25" t="str">
        <f aca="false">IF(OR(A137="",N(M137)=0),"",SUMPRODUCT(MAX((入金明細!$F$5:$F$1004=A137)*入金明細!$B$5:$B$1004)))</f>
        <v/>
      </c>
      <c r="O137" s="18"/>
      <c r="P137" s="27" t="str">
        <f aca="false">IF(OR(A137="",F137=""),"",F137-N(M137)-N(O137))</f>
        <v/>
      </c>
      <c r="Q137" s="26"/>
      <c r="R137" s="28" t="str">
        <f aca="false">IF(A137="","",IF(Q137="取消","取消",IF(T137&lt;&gt;"","要入力",IF(K137="","未送付",IF(P137=0,"入金済",IF(P137&lt;0,"過入金",IF(設定!$C$5&gt;I137,IF(N(M137)&gt;0,"一部入金・超過","期日超過"),IF(N(M137)&gt;0,"一部入金",IF(I137-設定!$C$5&lt;=設定!$C$6,"期日間近","入金待ち")))))))))</f>
        <v/>
      </c>
      <c r="S137" s="29" t="str">
        <f aca="false">IF(OR(R137="期日超過",R137="一部入金・超過"),設定!$C$5-I137,"")</f>
        <v/>
      </c>
      <c r="T137" s="21" t="str">
        <f aca="false">IF(A137="","",TRIM(IF(B137="","請求日 ","")&amp;IF(C137="","取引先 ",IF(D137="コード誤り","取引先コード誤り ",""))&amp;IF(E137="","件名 ","")&amp;IF(F137="","請求額 ","")&amp;IF(AND(F137&lt;&gt;"",I137=""),"入金期日(マスタの支払条件が未登録) ","")&amp;IF(J137="","送付方法 ","")&amp;IF(AND(K137&lt;&gt;"",L137=""),"送付者 ","")&amp;IF(AND(K137&lt;&gt;"",N(K137)&gt;設定!$C$5),"送付日が未来の日付 ","")&amp;IF(AND(K137&lt;&gt;"",N(M137)&gt;0,N(P137)&lt;=0,U137=""),"消込確認者 ","")))</f>
        <v/>
      </c>
      <c r="U137" s="26"/>
      <c r="V137" s="26"/>
    </row>
    <row r="138" customFormat="false" ht="15" hidden="false" customHeight="false" outlineLevel="0" collapsed="false">
      <c r="A138" s="21" t="str">
        <f aca="false">IF(COUNTA(B138,C138,E138,F138)=0,"",設定!$C$4&amp;TEXT(ROW()-4,"00000"))</f>
        <v/>
      </c>
      <c r="B138" s="22"/>
      <c r="C138" s="23"/>
      <c r="D138" s="21" t="str">
        <f aca="false">IF(C138="","",IFERROR(INDEX(取引先マスタ!$B$5:$B$204,MATCH(C138,取引先マスタ!$A$5:$A$204,0)),"コード誤り"))</f>
        <v/>
      </c>
      <c r="E138" s="26"/>
      <c r="F138" s="18"/>
      <c r="G138" s="25" t="str">
        <f aca="false">IF(OR(B138="",C138="",D138="コード誤り"),"",IFERROR(IF(OR(INDEX(取引先マスタ!$E$5:$E$204,MATCH(C138,取引先マスタ!$A$5:$A$204,0))="",INDEX(取引先マスタ!$F$5:$F$204,MATCH(C138,取引先マスタ!$A$5:$A$204,0))=""),"",DATE(YEAR(B138),MONTH(B138)+INDEX(取引先マスタ!$E$5:$E$204,MATCH(C138,取引先マスタ!$A$5:$A$204,0)),MIN(INDEX(取引先マスタ!$F$5:$F$204,MATCH(C138,取引先マスタ!$A$5:$A$204,0)),DAY(EOMONTH(B138,INDEX(取引先マスタ!$E$5:$E$204,MATCH(C138,取引先マスタ!$A$5:$A$204,0))))))),""))</f>
        <v/>
      </c>
      <c r="H138" s="22"/>
      <c r="I138" s="25" t="str">
        <f aca="false">IF(H138&lt;&gt;"",H138,G138)</f>
        <v/>
      </c>
      <c r="J138" s="26"/>
      <c r="K138" s="22"/>
      <c r="L138" s="26"/>
      <c r="M138" s="27" t="str">
        <f aca="false">IF(A138="","",SUMIF(入金明細!$F$5:$F$1004,A138,入金明細!$E$5:$E$1004))</f>
        <v/>
      </c>
      <c r="N138" s="25" t="str">
        <f aca="false">IF(OR(A138="",N(M138)=0),"",SUMPRODUCT(MAX((入金明細!$F$5:$F$1004=A138)*入金明細!$B$5:$B$1004)))</f>
        <v/>
      </c>
      <c r="O138" s="18"/>
      <c r="P138" s="27" t="str">
        <f aca="false">IF(OR(A138="",F138=""),"",F138-N(M138)-N(O138))</f>
        <v/>
      </c>
      <c r="Q138" s="26"/>
      <c r="R138" s="28" t="str">
        <f aca="false">IF(A138="","",IF(Q138="取消","取消",IF(T138&lt;&gt;"","要入力",IF(K138="","未送付",IF(P138=0,"入金済",IF(P138&lt;0,"過入金",IF(設定!$C$5&gt;I138,IF(N(M138)&gt;0,"一部入金・超過","期日超過"),IF(N(M138)&gt;0,"一部入金",IF(I138-設定!$C$5&lt;=設定!$C$6,"期日間近","入金待ち")))))))))</f>
        <v/>
      </c>
      <c r="S138" s="29" t="str">
        <f aca="false">IF(OR(R138="期日超過",R138="一部入金・超過"),設定!$C$5-I138,"")</f>
        <v/>
      </c>
      <c r="T138" s="21" t="str">
        <f aca="false">IF(A138="","",TRIM(IF(B138="","請求日 ","")&amp;IF(C138="","取引先 ",IF(D138="コード誤り","取引先コード誤り ",""))&amp;IF(E138="","件名 ","")&amp;IF(F138="","請求額 ","")&amp;IF(AND(F138&lt;&gt;"",I138=""),"入金期日(マスタの支払条件が未登録) ","")&amp;IF(J138="","送付方法 ","")&amp;IF(AND(K138&lt;&gt;"",L138=""),"送付者 ","")&amp;IF(AND(K138&lt;&gt;"",N(K138)&gt;設定!$C$5),"送付日が未来の日付 ","")&amp;IF(AND(K138&lt;&gt;"",N(M138)&gt;0,N(P138)&lt;=0,U138=""),"消込確認者 ","")))</f>
        <v/>
      </c>
      <c r="U138" s="26"/>
      <c r="V138" s="26"/>
    </row>
    <row r="139" customFormat="false" ht="15" hidden="false" customHeight="false" outlineLevel="0" collapsed="false">
      <c r="A139" s="21" t="str">
        <f aca="false">IF(COUNTA(B139,C139,E139,F139)=0,"",設定!$C$4&amp;TEXT(ROW()-4,"00000"))</f>
        <v/>
      </c>
      <c r="B139" s="22"/>
      <c r="C139" s="23"/>
      <c r="D139" s="21" t="str">
        <f aca="false">IF(C139="","",IFERROR(INDEX(取引先マスタ!$B$5:$B$204,MATCH(C139,取引先マスタ!$A$5:$A$204,0)),"コード誤り"))</f>
        <v/>
      </c>
      <c r="E139" s="26"/>
      <c r="F139" s="18"/>
      <c r="G139" s="25" t="str">
        <f aca="false">IF(OR(B139="",C139="",D139="コード誤り"),"",IFERROR(IF(OR(INDEX(取引先マスタ!$E$5:$E$204,MATCH(C139,取引先マスタ!$A$5:$A$204,0))="",INDEX(取引先マスタ!$F$5:$F$204,MATCH(C139,取引先マスタ!$A$5:$A$204,0))=""),"",DATE(YEAR(B139),MONTH(B139)+INDEX(取引先マスタ!$E$5:$E$204,MATCH(C139,取引先マスタ!$A$5:$A$204,0)),MIN(INDEX(取引先マスタ!$F$5:$F$204,MATCH(C139,取引先マスタ!$A$5:$A$204,0)),DAY(EOMONTH(B139,INDEX(取引先マスタ!$E$5:$E$204,MATCH(C139,取引先マスタ!$A$5:$A$204,0))))))),""))</f>
        <v/>
      </c>
      <c r="H139" s="22"/>
      <c r="I139" s="25" t="str">
        <f aca="false">IF(H139&lt;&gt;"",H139,G139)</f>
        <v/>
      </c>
      <c r="J139" s="26"/>
      <c r="K139" s="22"/>
      <c r="L139" s="26"/>
      <c r="M139" s="27" t="str">
        <f aca="false">IF(A139="","",SUMIF(入金明細!$F$5:$F$1004,A139,入金明細!$E$5:$E$1004))</f>
        <v/>
      </c>
      <c r="N139" s="25" t="str">
        <f aca="false">IF(OR(A139="",N(M139)=0),"",SUMPRODUCT(MAX((入金明細!$F$5:$F$1004=A139)*入金明細!$B$5:$B$1004)))</f>
        <v/>
      </c>
      <c r="O139" s="18"/>
      <c r="P139" s="27" t="str">
        <f aca="false">IF(OR(A139="",F139=""),"",F139-N(M139)-N(O139))</f>
        <v/>
      </c>
      <c r="Q139" s="26"/>
      <c r="R139" s="28" t="str">
        <f aca="false">IF(A139="","",IF(Q139="取消","取消",IF(T139&lt;&gt;"","要入力",IF(K139="","未送付",IF(P139=0,"入金済",IF(P139&lt;0,"過入金",IF(設定!$C$5&gt;I139,IF(N(M139)&gt;0,"一部入金・超過","期日超過"),IF(N(M139)&gt;0,"一部入金",IF(I139-設定!$C$5&lt;=設定!$C$6,"期日間近","入金待ち")))))))))</f>
        <v/>
      </c>
      <c r="S139" s="29" t="str">
        <f aca="false">IF(OR(R139="期日超過",R139="一部入金・超過"),設定!$C$5-I139,"")</f>
        <v/>
      </c>
      <c r="T139" s="21" t="str">
        <f aca="false">IF(A139="","",TRIM(IF(B139="","請求日 ","")&amp;IF(C139="","取引先 ",IF(D139="コード誤り","取引先コード誤り ",""))&amp;IF(E139="","件名 ","")&amp;IF(F139="","請求額 ","")&amp;IF(AND(F139&lt;&gt;"",I139=""),"入金期日(マスタの支払条件が未登録) ","")&amp;IF(J139="","送付方法 ","")&amp;IF(AND(K139&lt;&gt;"",L139=""),"送付者 ","")&amp;IF(AND(K139&lt;&gt;"",N(K139)&gt;設定!$C$5),"送付日が未来の日付 ","")&amp;IF(AND(K139&lt;&gt;"",N(M139)&gt;0,N(P139)&lt;=0,U139=""),"消込確認者 ","")))</f>
        <v/>
      </c>
      <c r="U139" s="26"/>
      <c r="V139" s="26"/>
    </row>
    <row r="140" customFormat="false" ht="15" hidden="false" customHeight="false" outlineLevel="0" collapsed="false">
      <c r="A140" s="21" t="str">
        <f aca="false">IF(COUNTA(B140,C140,E140,F140)=0,"",設定!$C$4&amp;TEXT(ROW()-4,"00000"))</f>
        <v/>
      </c>
      <c r="B140" s="22"/>
      <c r="C140" s="23"/>
      <c r="D140" s="21" t="str">
        <f aca="false">IF(C140="","",IFERROR(INDEX(取引先マスタ!$B$5:$B$204,MATCH(C140,取引先マスタ!$A$5:$A$204,0)),"コード誤り"))</f>
        <v/>
      </c>
      <c r="E140" s="26"/>
      <c r="F140" s="18"/>
      <c r="G140" s="25" t="str">
        <f aca="false">IF(OR(B140="",C140="",D140="コード誤り"),"",IFERROR(IF(OR(INDEX(取引先マスタ!$E$5:$E$204,MATCH(C140,取引先マスタ!$A$5:$A$204,0))="",INDEX(取引先マスタ!$F$5:$F$204,MATCH(C140,取引先マスタ!$A$5:$A$204,0))=""),"",DATE(YEAR(B140),MONTH(B140)+INDEX(取引先マスタ!$E$5:$E$204,MATCH(C140,取引先マスタ!$A$5:$A$204,0)),MIN(INDEX(取引先マスタ!$F$5:$F$204,MATCH(C140,取引先マスタ!$A$5:$A$204,0)),DAY(EOMONTH(B140,INDEX(取引先マスタ!$E$5:$E$204,MATCH(C140,取引先マスタ!$A$5:$A$204,0))))))),""))</f>
        <v/>
      </c>
      <c r="H140" s="22"/>
      <c r="I140" s="25" t="str">
        <f aca="false">IF(H140&lt;&gt;"",H140,G140)</f>
        <v/>
      </c>
      <c r="J140" s="26"/>
      <c r="K140" s="22"/>
      <c r="L140" s="26"/>
      <c r="M140" s="27" t="str">
        <f aca="false">IF(A140="","",SUMIF(入金明細!$F$5:$F$1004,A140,入金明細!$E$5:$E$1004))</f>
        <v/>
      </c>
      <c r="N140" s="25" t="str">
        <f aca="false">IF(OR(A140="",N(M140)=0),"",SUMPRODUCT(MAX((入金明細!$F$5:$F$1004=A140)*入金明細!$B$5:$B$1004)))</f>
        <v/>
      </c>
      <c r="O140" s="18"/>
      <c r="P140" s="27" t="str">
        <f aca="false">IF(OR(A140="",F140=""),"",F140-N(M140)-N(O140))</f>
        <v/>
      </c>
      <c r="Q140" s="26"/>
      <c r="R140" s="28" t="str">
        <f aca="false">IF(A140="","",IF(Q140="取消","取消",IF(T140&lt;&gt;"","要入力",IF(K140="","未送付",IF(P140=0,"入金済",IF(P140&lt;0,"過入金",IF(設定!$C$5&gt;I140,IF(N(M140)&gt;0,"一部入金・超過","期日超過"),IF(N(M140)&gt;0,"一部入金",IF(I140-設定!$C$5&lt;=設定!$C$6,"期日間近","入金待ち")))))))))</f>
        <v/>
      </c>
      <c r="S140" s="29" t="str">
        <f aca="false">IF(OR(R140="期日超過",R140="一部入金・超過"),設定!$C$5-I140,"")</f>
        <v/>
      </c>
      <c r="T140" s="21" t="str">
        <f aca="false">IF(A140="","",TRIM(IF(B140="","請求日 ","")&amp;IF(C140="","取引先 ",IF(D140="コード誤り","取引先コード誤り ",""))&amp;IF(E140="","件名 ","")&amp;IF(F140="","請求額 ","")&amp;IF(AND(F140&lt;&gt;"",I140=""),"入金期日(マスタの支払条件が未登録) ","")&amp;IF(J140="","送付方法 ","")&amp;IF(AND(K140&lt;&gt;"",L140=""),"送付者 ","")&amp;IF(AND(K140&lt;&gt;"",N(K140)&gt;設定!$C$5),"送付日が未来の日付 ","")&amp;IF(AND(K140&lt;&gt;"",N(M140)&gt;0,N(P140)&lt;=0,U140=""),"消込確認者 ","")))</f>
        <v/>
      </c>
      <c r="U140" s="26"/>
      <c r="V140" s="26"/>
    </row>
    <row r="141" customFormat="false" ht="15" hidden="false" customHeight="false" outlineLevel="0" collapsed="false">
      <c r="A141" s="21" t="str">
        <f aca="false">IF(COUNTA(B141,C141,E141,F141)=0,"",設定!$C$4&amp;TEXT(ROW()-4,"00000"))</f>
        <v/>
      </c>
      <c r="B141" s="22"/>
      <c r="C141" s="23"/>
      <c r="D141" s="21" t="str">
        <f aca="false">IF(C141="","",IFERROR(INDEX(取引先マスタ!$B$5:$B$204,MATCH(C141,取引先マスタ!$A$5:$A$204,0)),"コード誤り"))</f>
        <v/>
      </c>
      <c r="E141" s="26"/>
      <c r="F141" s="18"/>
      <c r="G141" s="25" t="str">
        <f aca="false">IF(OR(B141="",C141="",D141="コード誤り"),"",IFERROR(IF(OR(INDEX(取引先マスタ!$E$5:$E$204,MATCH(C141,取引先マスタ!$A$5:$A$204,0))="",INDEX(取引先マスタ!$F$5:$F$204,MATCH(C141,取引先マスタ!$A$5:$A$204,0))=""),"",DATE(YEAR(B141),MONTH(B141)+INDEX(取引先マスタ!$E$5:$E$204,MATCH(C141,取引先マスタ!$A$5:$A$204,0)),MIN(INDEX(取引先マスタ!$F$5:$F$204,MATCH(C141,取引先マスタ!$A$5:$A$204,0)),DAY(EOMONTH(B141,INDEX(取引先マスタ!$E$5:$E$204,MATCH(C141,取引先マスタ!$A$5:$A$204,0))))))),""))</f>
        <v/>
      </c>
      <c r="H141" s="22"/>
      <c r="I141" s="25" t="str">
        <f aca="false">IF(H141&lt;&gt;"",H141,G141)</f>
        <v/>
      </c>
      <c r="J141" s="26"/>
      <c r="K141" s="22"/>
      <c r="L141" s="26"/>
      <c r="M141" s="27" t="str">
        <f aca="false">IF(A141="","",SUMIF(入金明細!$F$5:$F$1004,A141,入金明細!$E$5:$E$1004))</f>
        <v/>
      </c>
      <c r="N141" s="25" t="str">
        <f aca="false">IF(OR(A141="",N(M141)=0),"",SUMPRODUCT(MAX((入金明細!$F$5:$F$1004=A141)*入金明細!$B$5:$B$1004)))</f>
        <v/>
      </c>
      <c r="O141" s="18"/>
      <c r="P141" s="27" t="str">
        <f aca="false">IF(OR(A141="",F141=""),"",F141-N(M141)-N(O141))</f>
        <v/>
      </c>
      <c r="Q141" s="26"/>
      <c r="R141" s="28" t="str">
        <f aca="false">IF(A141="","",IF(Q141="取消","取消",IF(T141&lt;&gt;"","要入力",IF(K141="","未送付",IF(P141=0,"入金済",IF(P141&lt;0,"過入金",IF(設定!$C$5&gt;I141,IF(N(M141)&gt;0,"一部入金・超過","期日超過"),IF(N(M141)&gt;0,"一部入金",IF(I141-設定!$C$5&lt;=設定!$C$6,"期日間近","入金待ち")))))))))</f>
        <v/>
      </c>
      <c r="S141" s="29" t="str">
        <f aca="false">IF(OR(R141="期日超過",R141="一部入金・超過"),設定!$C$5-I141,"")</f>
        <v/>
      </c>
      <c r="T141" s="21" t="str">
        <f aca="false">IF(A141="","",TRIM(IF(B141="","請求日 ","")&amp;IF(C141="","取引先 ",IF(D141="コード誤り","取引先コード誤り ",""))&amp;IF(E141="","件名 ","")&amp;IF(F141="","請求額 ","")&amp;IF(AND(F141&lt;&gt;"",I141=""),"入金期日(マスタの支払条件が未登録) ","")&amp;IF(J141="","送付方法 ","")&amp;IF(AND(K141&lt;&gt;"",L141=""),"送付者 ","")&amp;IF(AND(K141&lt;&gt;"",N(K141)&gt;設定!$C$5),"送付日が未来の日付 ","")&amp;IF(AND(K141&lt;&gt;"",N(M141)&gt;0,N(P141)&lt;=0,U141=""),"消込確認者 ","")))</f>
        <v/>
      </c>
      <c r="U141" s="26"/>
      <c r="V141" s="26"/>
    </row>
    <row r="142" customFormat="false" ht="15" hidden="false" customHeight="false" outlineLevel="0" collapsed="false">
      <c r="A142" s="21" t="str">
        <f aca="false">IF(COUNTA(B142,C142,E142,F142)=0,"",設定!$C$4&amp;TEXT(ROW()-4,"00000"))</f>
        <v/>
      </c>
      <c r="B142" s="22"/>
      <c r="C142" s="23"/>
      <c r="D142" s="21" t="str">
        <f aca="false">IF(C142="","",IFERROR(INDEX(取引先マスタ!$B$5:$B$204,MATCH(C142,取引先マスタ!$A$5:$A$204,0)),"コード誤り"))</f>
        <v/>
      </c>
      <c r="E142" s="26"/>
      <c r="F142" s="18"/>
      <c r="G142" s="25" t="str">
        <f aca="false">IF(OR(B142="",C142="",D142="コード誤り"),"",IFERROR(IF(OR(INDEX(取引先マスタ!$E$5:$E$204,MATCH(C142,取引先マスタ!$A$5:$A$204,0))="",INDEX(取引先マスタ!$F$5:$F$204,MATCH(C142,取引先マスタ!$A$5:$A$204,0))=""),"",DATE(YEAR(B142),MONTH(B142)+INDEX(取引先マスタ!$E$5:$E$204,MATCH(C142,取引先マスタ!$A$5:$A$204,0)),MIN(INDEX(取引先マスタ!$F$5:$F$204,MATCH(C142,取引先マスタ!$A$5:$A$204,0)),DAY(EOMONTH(B142,INDEX(取引先マスタ!$E$5:$E$204,MATCH(C142,取引先マスタ!$A$5:$A$204,0))))))),""))</f>
        <v/>
      </c>
      <c r="H142" s="22"/>
      <c r="I142" s="25" t="str">
        <f aca="false">IF(H142&lt;&gt;"",H142,G142)</f>
        <v/>
      </c>
      <c r="J142" s="26"/>
      <c r="K142" s="22"/>
      <c r="L142" s="26"/>
      <c r="M142" s="27" t="str">
        <f aca="false">IF(A142="","",SUMIF(入金明細!$F$5:$F$1004,A142,入金明細!$E$5:$E$1004))</f>
        <v/>
      </c>
      <c r="N142" s="25" t="str">
        <f aca="false">IF(OR(A142="",N(M142)=0),"",SUMPRODUCT(MAX((入金明細!$F$5:$F$1004=A142)*入金明細!$B$5:$B$1004)))</f>
        <v/>
      </c>
      <c r="O142" s="18"/>
      <c r="P142" s="27" t="str">
        <f aca="false">IF(OR(A142="",F142=""),"",F142-N(M142)-N(O142))</f>
        <v/>
      </c>
      <c r="Q142" s="26"/>
      <c r="R142" s="28" t="str">
        <f aca="false">IF(A142="","",IF(Q142="取消","取消",IF(T142&lt;&gt;"","要入力",IF(K142="","未送付",IF(P142=0,"入金済",IF(P142&lt;0,"過入金",IF(設定!$C$5&gt;I142,IF(N(M142)&gt;0,"一部入金・超過","期日超過"),IF(N(M142)&gt;0,"一部入金",IF(I142-設定!$C$5&lt;=設定!$C$6,"期日間近","入金待ち")))))))))</f>
        <v/>
      </c>
      <c r="S142" s="29" t="str">
        <f aca="false">IF(OR(R142="期日超過",R142="一部入金・超過"),設定!$C$5-I142,"")</f>
        <v/>
      </c>
      <c r="T142" s="21" t="str">
        <f aca="false">IF(A142="","",TRIM(IF(B142="","請求日 ","")&amp;IF(C142="","取引先 ",IF(D142="コード誤り","取引先コード誤り ",""))&amp;IF(E142="","件名 ","")&amp;IF(F142="","請求額 ","")&amp;IF(AND(F142&lt;&gt;"",I142=""),"入金期日(マスタの支払条件が未登録) ","")&amp;IF(J142="","送付方法 ","")&amp;IF(AND(K142&lt;&gt;"",L142=""),"送付者 ","")&amp;IF(AND(K142&lt;&gt;"",N(K142)&gt;設定!$C$5),"送付日が未来の日付 ","")&amp;IF(AND(K142&lt;&gt;"",N(M142)&gt;0,N(P142)&lt;=0,U142=""),"消込確認者 ","")))</f>
        <v/>
      </c>
      <c r="U142" s="26"/>
      <c r="V142" s="26"/>
    </row>
    <row r="143" customFormat="false" ht="15" hidden="false" customHeight="false" outlineLevel="0" collapsed="false">
      <c r="A143" s="21" t="str">
        <f aca="false">IF(COUNTA(B143,C143,E143,F143)=0,"",設定!$C$4&amp;TEXT(ROW()-4,"00000"))</f>
        <v/>
      </c>
      <c r="B143" s="22"/>
      <c r="C143" s="23"/>
      <c r="D143" s="21" t="str">
        <f aca="false">IF(C143="","",IFERROR(INDEX(取引先マスタ!$B$5:$B$204,MATCH(C143,取引先マスタ!$A$5:$A$204,0)),"コード誤り"))</f>
        <v/>
      </c>
      <c r="E143" s="26"/>
      <c r="F143" s="18"/>
      <c r="G143" s="25" t="str">
        <f aca="false">IF(OR(B143="",C143="",D143="コード誤り"),"",IFERROR(IF(OR(INDEX(取引先マスタ!$E$5:$E$204,MATCH(C143,取引先マスタ!$A$5:$A$204,0))="",INDEX(取引先マスタ!$F$5:$F$204,MATCH(C143,取引先マスタ!$A$5:$A$204,0))=""),"",DATE(YEAR(B143),MONTH(B143)+INDEX(取引先マスタ!$E$5:$E$204,MATCH(C143,取引先マスタ!$A$5:$A$204,0)),MIN(INDEX(取引先マスタ!$F$5:$F$204,MATCH(C143,取引先マスタ!$A$5:$A$204,0)),DAY(EOMONTH(B143,INDEX(取引先マスタ!$E$5:$E$204,MATCH(C143,取引先マスタ!$A$5:$A$204,0))))))),""))</f>
        <v/>
      </c>
      <c r="H143" s="22"/>
      <c r="I143" s="25" t="str">
        <f aca="false">IF(H143&lt;&gt;"",H143,G143)</f>
        <v/>
      </c>
      <c r="J143" s="26"/>
      <c r="K143" s="22"/>
      <c r="L143" s="26"/>
      <c r="M143" s="27" t="str">
        <f aca="false">IF(A143="","",SUMIF(入金明細!$F$5:$F$1004,A143,入金明細!$E$5:$E$1004))</f>
        <v/>
      </c>
      <c r="N143" s="25" t="str">
        <f aca="false">IF(OR(A143="",N(M143)=0),"",SUMPRODUCT(MAX((入金明細!$F$5:$F$1004=A143)*入金明細!$B$5:$B$1004)))</f>
        <v/>
      </c>
      <c r="O143" s="18"/>
      <c r="P143" s="27" t="str">
        <f aca="false">IF(OR(A143="",F143=""),"",F143-N(M143)-N(O143))</f>
        <v/>
      </c>
      <c r="Q143" s="26"/>
      <c r="R143" s="28" t="str">
        <f aca="false">IF(A143="","",IF(Q143="取消","取消",IF(T143&lt;&gt;"","要入力",IF(K143="","未送付",IF(P143=0,"入金済",IF(P143&lt;0,"過入金",IF(設定!$C$5&gt;I143,IF(N(M143)&gt;0,"一部入金・超過","期日超過"),IF(N(M143)&gt;0,"一部入金",IF(I143-設定!$C$5&lt;=設定!$C$6,"期日間近","入金待ち")))))))))</f>
        <v/>
      </c>
      <c r="S143" s="29" t="str">
        <f aca="false">IF(OR(R143="期日超過",R143="一部入金・超過"),設定!$C$5-I143,"")</f>
        <v/>
      </c>
      <c r="T143" s="21" t="str">
        <f aca="false">IF(A143="","",TRIM(IF(B143="","請求日 ","")&amp;IF(C143="","取引先 ",IF(D143="コード誤り","取引先コード誤り ",""))&amp;IF(E143="","件名 ","")&amp;IF(F143="","請求額 ","")&amp;IF(AND(F143&lt;&gt;"",I143=""),"入金期日(マスタの支払条件が未登録) ","")&amp;IF(J143="","送付方法 ","")&amp;IF(AND(K143&lt;&gt;"",L143=""),"送付者 ","")&amp;IF(AND(K143&lt;&gt;"",N(K143)&gt;設定!$C$5),"送付日が未来の日付 ","")&amp;IF(AND(K143&lt;&gt;"",N(M143)&gt;0,N(P143)&lt;=0,U143=""),"消込確認者 ","")))</f>
        <v/>
      </c>
      <c r="U143" s="26"/>
      <c r="V143" s="26"/>
    </row>
    <row r="144" customFormat="false" ht="15" hidden="false" customHeight="false" outlineLevel="0" collapsed="false">
      <c r="A144" s="21" t="str">
        <f aca="false">IF(COUNTA(B144,C144,E144,F144)=0,"",設定!$C$4&amp;TEXT(ROW()-4,"00000"))</f>
        <v/>
      </c>
      <c r="B144" s="22"/>
      <c r="C144" s="23"/>
      <c r="D144" s="21" t="str">
        <f aca="false">IF(C144="","",IFERROR(INDEX(取引先マスタ!$B$5:$B$204,MATCH(C144,取引先マスタ!$A$5:$A$204,0)),"コード誤り"))</f>
        <v/>
      </c>
      <c r="E144" s="26"/>
      <c r="F144" s="18"/>
      <c r="G144" s="25" t="str">
        <f aca="false">IF(OR(B144="",C144="",D144="コード誤り"),"",IFERROR(IF(OR(INDEX(取引先マスタ!$E$5:$E$204,MATCH(C144,取引先マスタ!$A$5:$A$204,0))="",INDEX(取引先マスタ!$F$5:$F$204,MATCH(C144,取引先マスタ!$A$5:$A$204,0))=""),"",DATE(YEAR(B144),MONTH(B144)+INDEX(取引先マスタ!$E$5:$E$204,MATCH(C144,取引先マスタ!$A$5:$A$204,0)),MIN(INDEX(取引先マスタ!$F$5:$F$204,MATCH(C144,取引先マスタ!$A$5:$A$204,0)),DAY(EOMONTH(B144,INDEX(取引先マスタ!$E$5:$E$204,MATCH(C144,取引先マスタ!$A$5:$A$204,0))))))),""))</f>
        <v/>
      </c>
      <c r="H144" s="22"/>
      <c r="I144" s="25" t="str">
        <f aca="false">IF(H144&lt;&gt;"",H144,G144)</f>
        <v/>
      </c>
      <c r="J144" s="26"/>
      <c r="K144" s="22"/>
      <c r="L144" s="26"/>
      <c r="M144" s="27" t="str">
        <f aca="false">IF(A144="","",SUMIF(入金明細!$F$5:$F$1004,A144,入金明細!$E$5:$E$1004))</f>
        <v/>
      </c>
      <c r="N144" s="25" t="str">
        <f aca="false">IF(OR(A144="",N(M144)=0),"",SUMPRODUCT(MAX((入金明細!$F$5:$F$1004=A144)*入金明細!$B$5:$B$1004)))</f>
        <v/>
      </c>
      <c r="O144" s="18"/>
      <c r="P144" s="27" t="str">
        <f aca="false">IF(OR(A144="",F144=""),"",F144-N(M144)-N(O144))</f>
        <v/>
      </c>
      <c r="Q144" s="26"/>
      <c r="R144" s="28" t="str">
        <f aca="false">IF(A144="","",IF(Q144="取消","取消",IF(T144&lt;&gt;"","要入力",IF(K144="","未送付",IF(P144=0,"入金済",IF(P144&lt;0,"過入金",IF(設定!$C$5&gt;I144,IF(N(M144)&gt;0,"一部入金・超過","期日超過"),IF(N(M144)&gt;0,"一部入金",IF(I144-設定!$C$5&lt;=設定!$C$6,"期日間近","入金待ち")))))))))</f>
        <v/>
      </c>
      <c r="S144" s="29" t="str">
        <f aca="false">IF(OR(R144="期日超過",R144="一部入金・超過"),設定!$C$5-I144,"")</f>
        <v/>
      </c>
      <c r="T144" s="21" t="str">
        <f aca="false">IF(A144="","",TRIM(IF(B144="","請求日 ","")&amp;IF(C144="","取引先 ",IF(D144="コード誤り","取引先コード誤り ",""))&amp;IF(E144="","件名 ","")&amp;IF(F144="","請求額 ","")&amp;IF(AND(F144&lt;&gt;"",I144=""),"入金期日(マスタの支払条件が未登録) ","")&amp;IF(J144="","送付方法 ","")&amp;IF(AND(K144&lt;&gt;"",L144=""),"送付者 ","")&amp;IF(AND(K144&lt;&gt;"",N(K144)&gt;設定!$C$5),"送付日が未来の日付 ","")&amp;IF(AND(K144&lt;&gt;"",N(M144)&gt;0,N(P144)&lt;=0,U144=""),"消込確認者 ","")))</f>
        <v/>
      </c>
      <c r="U144" s="26"/>
      <c r="V144" s="26"/>
    </row>
    <row r="145" customFormat="false" ht="15" hidden="false" customHeight="false" outlineLevel="0" collapsed="false">
      <c r="A145" s="21" t="str">
        <f aca="false">IF(COUNTA(B145,C145,E145,F145)=0,"",設定!$C$4&amp;TEXT(ROW()-4,"00000"))</f>
        <v/>
      </c>
      <c r="B145" s="22"/>
      <c r="C145" s="23"/>
      <c r="D145" s="21" t="str">
        <f aca="false">IF(C145="","",IFERROR(INDEX(取引先マスタ!$B$5:$B$204,MATCH(C145,取引先マスタ!$A$5:$A$204,0)),"コード誤り"))</f>
        <v/>
      </c>
      <c r="E145" s="26"/>
      <c r="F145" s="18"/>
      <c r="G145" s="25" t="str">
        <f aca="false">IF(OR(B145="",C145="",D145="コード誤り"),"",IFERROR(IF(OR(INDEX(取引先マスタ!$E$5:$E$204,MATCH(C145,取引先マスタ!$A$5:$A$204,0))="",INDEX(取引先マスタ!$F$5:$F$204,MATCH(C145,取引先マスタ!$A$5:$A$204,0))=""),"",DATE(YEAR(B145),MONTH(B145)+INDEX(取引先マスタ!$E$5:$E$204,MATCH(C145,取引先マスタ!$A$5:$A$204,0)),MIN(INDEX(取引先マスタ!$F$5:$F$204,MATCH(C145,取引先マスタ!$A$5:$A$204,0)),DAY(EOMONTH(B145,INDEX(取引先マスタ!$E$5:$E$204,MATCH(C145,取引先マスタ!$A$5:$A$204,0))))))),""))</f>
        <v/>
      </c>
      <c r="H145" s="22"/>
      <c r="I145" s="25" t="str">
        <f aca="false">IF(H145&lt;&gt;"",H145,G145)</f>
        <v/>
      </c>
      <c r="J145" s="26"/>
      <c r="K145" s="22"/>
      <c r="L145" s="26"/>
      <c r="M145" s="27" t="str">
        <f aca="false">IF(A145="","",SUMIF(入金明細!$F$5:$F$1004,A145,入金明細!$E$5:$E$1004))</f>
        <v/>
      </c>
      <c r="N145" s="25" t="str">
        <f aca="false">IF(OR(A145="",N(M145)=0),"",SUMPRODUCT(MAX((入金明細!$F$5:$F$1004=A145)*入金明細!$B$5:$B$1004)))</f>
        <v/>
      </c>
      <c r="O145" s="18"/>
      <c r="P145" s="27" t="str">
        <f aca="false">IF(OR(A145="",F145=""),"",F145-N(M145)-N(O145))</f>
        <v/>
      </c>
      <c r="Q145" s="26"/>
      <c r="R145" s="28" t="str">
        <f aca="false">IF(A145="","",IF(Q145="取消","取消",IF(T145&lt;&gt;"","要入力",IF(K145="","未送付",IF(P145=0,"入金済",IF(P145&lt;0,"過入金",IF(設定!$C$5&gt;I145,IF(N(M145)&gt;0,"一部入金・超過","期日超過"),IF(N(M145)&gt;0,"一部入金",IF(I145-設定!$C$5&lt;=設定!$C$6,"期日間近","入金待ち")))))))))</f>
        <v/>
      </c>
      <c r="S145" s="29" t="str">
        <f aca="false">IF(OR(R145="期日超過",R145="一部入金・超過"),設定!$C$5-I145,"")</f>
        <v/>
      </c>
      <c r="T145" s="21" t="str">
        <f aca="false">IF(A145="","",TRIM(IF(B145="","請求日 ","")&amp;IF(C145="","取引先 ",IF(D145="コード誤り","取引先コード誤り ",""))&amp;IF(E145="","件名 ","")&amp;IF(F145="","請求額 ","")&amp;IF(AND(F145&lt;&gt;"",I145=""),"入金期日(マスタの支払条件が未登録) ","")&amp;IF(J145="","送付方法 ","")&amp;IF(AND(K145&lt;&gt;"",L145=""),"送付者 ","")&amp;IF(AND(K145&lt;&gt;"",N(K145)&gt;設定!$C$5),"送付日が未来の日付 ","")&amp;IF(AND(K145&lt;&gt;"",N(M145)&gt;0,N(P145)&lt;=0,U145=""),"消込確認者 ","")))</f>
        <v/>
      </c>
      <c r="U145" s="26"/>
      <c r="V145" s="26"/>
    </row>
    <row r="146" customFormat="false" ht="15" hidden="false" customHeight="false" outlineLevel="0" collapsed="false">
      <c r="A146" s="21" t="str">
        <f aca="false">IF(COUNTA(B146,C146,E146,F146)=0,"",設定!$C$4&amp;TEXT(ROW()-4,"00000"))</f>
        <v/>
      </c>
      <c r="B146" s="22"/>
      <c r="C146" s="23"/>
      <c r="D146" s="21" t="str">
        <f aca="false">IF(C146="","",IFERROR(INDEX(取引先マスタ!$B$5:$B$204,MATCH(C146,取引先マスタ!$A$5:$A$204,0)),"コード誤り"))</f>
        <v/>
      </c>
      <c r="E146" s="26"/>
      <c r="F146" s="18"/>
      <c r="G146" s="25" t="str">
        <f aca="false">IF(OR(B146="",C146="",D146="コード誤り"),"",IFERROR(IF(OR(INDEX(取引先マスタ!$E$5:$E$204,MATCH(C146,取引先マスタ!$A$5:$A$204,0))="",INDEX(取引先マスタ!$F$5:$F$204,MATCH(C146,取引先マスタ!$A$5:$A$204,0))=""),"",DATE(YEAR(B146),MONTH(B146)+INDEX(取引先マスタ!$E$5:$E$204,MATCH(C146,取引先マスタ!$A$5:$A$204,0)),MIN(INDEX(取引先マスタ!$F$5:$F$204,MATCH(C146,取引先マスタ!$A$5:$A$204,0)),DAY(EOMONTH(B146,INDEX(取引先マスタ!$E$5:$E$204,MATCH(C146,取引先マスタ!$A$5:$A$204,0))))))),""))</f>
        <v/>
      </c>
      <c r="H146" s="22"/>
      <c r="I146" s="25" t="str">
        <f aca="false">IF(H146&lt;&gt;"",H146,G146)</f>
        <v/>
      </c>
      <c r="J146" s="26"/>
      <c r="K146" s="22"/>
      <c r="L146" s="26"/>
      <c r="M146" s="27" t="str">
        <f aca="false">IF(A146="","",SUMIF(入金明細!$F$5:$F$1004,A146,入金明細!$E$5:$E$1004))</f>
        <v/>
      </c>
      <c r="N146" s="25" t="str">
        <f aca="false">IF(OR(A146="",N(M146)=0),"",SUMPRODUCT(MAX((入金明細!$F$5:$F$1004=A146)*入金明細!$B$5:$B$1004)))</f>
        <v/>
      </c>
      <c r="O146" s="18"/>
      <c r="P146" s="27" t="str">
        <f aca="false">IF(OR(A146="",F146=""),"",F146-N(M146)-N(O146))</f>
        <v/>
      </c>
      <c r="Q146" s="26"/>
      <c r="R146" s="28" t="str">
        <f aca="false">IF(A146="","",IF(Q146="取消","取消",IF(T146&lt;&gt;"","要入力",IF(K146="","未送付",IF(P146=0,"入金済",IF(P146&lt;0,"過入金",IF(設定!$C$5&gt;I146,IF(N(M146)&gt;0,"一部入金・超過","期日超過"),IF(N(M146)&gt;0,"一部入金",IF(I146-設定!$C$5&lt;=設定!$C$6,"期日間近","入金待ち")))))))))</f>
        <v/>
      </c>
      <c r="S146" s="29" t="str">
        <f aca="false">IF(OR(R146="期日超過",R146="一部入金・超過"),設定!$C$5-I146,"")</f>
        <v/>
      </c>
      <c r="T146" s="21" t="str">
        <f aca="false">IF(A146="","",TRIM(IF(B146="","請求日 ","")&amp;IF(C146="","取引先 ",IF(D146="コード誤り","取引先コード誤り ",""))&amp;IF(E146="","件名 ","")&amp;IF(F146="","請求額 ","")&amp;IF(AND(F146&lt;&gt;"",I146=""),"入金期日(マスタの支払条件が未登録) ","")&amp;IF(J146="","送付方法 ","")&amp;IF(AND(K146&lt;&gt;"",L146=""),"送付者 ","")&amp;IF(AND(K146&lt;&gt;"",N(K146)&gt;設定!$C$5),"送付日が未来の日付 ","")&amp;IF(AND(K146&lt;&gt;"",N(M146)&gt;0,N(P146)&lt;=0,U146=""),"消込確認者 ","")))</f>
        <v/>
      </c>
      <c r="U146" s="26"/>
      <c r="V146" s="26"/>
    </row>
    <row r="147" customFormat="false" ht="15" hidden="false" customHeight="false" outlineLevel="0" collapsed="false">
      <c r="A147" s="21" t="str">
        <f aca="false">IF(COUNTA(B147,C147,E147,F147)=0,"",設定!$C$4&amp;TEXT(ROW()-4,"00000"))</f>
        <v/>
      </c>
      <c r="B147" s="22"/>
      <c r="C147" s="23"/>
      <c r="D147" s="21" t="str">
        <f aca="false">IF(C147="","",IFERROR(INDEX(取引先マスタ!$B$5:$B$204,MATCH(C147,取引先マスタ!$A$5:$A$204,0)),"コード誤り"))</f>
        <v/>
      </c>
      <c r="E147" s="26"/>
      <c r="F147" s="18"/>
      <c r="G147" s="25" t="str">
        <f aca="false">IF(OR(B147="",C147="",D147="コード誤り"),"",IFERROR(IF(OR(INDEX(取引先マスタ!$E$5:$E$204,MATCH(C147,取引先マスタ!$A$5:$A$204,0))="",INDEX(取引先マスタ!$F$5:$F$204,MATCH(C147,取引先マスタ!$A$5:$A$204,0))=""),"",DATE(YEAR(B147),MONTH(B147)+INDEX(取引先マスタ!$E$5:$E$204,MATCH(C147,取引先マスタ!$A$5:$A$204,0)),MIN(INDEX(取引先マスタ!$F$5:$F$204,MATCH(C147,取引先マスタ!$A$5:$A$204,0)),DAY(EOMONTH(B147,INDEX(取引先マスタ!$E$5:$E$204,MATCH(C147,取引先マスタ!$A$5:$A$204,0))))))),""))</f>
        <v/>
      </c>
      <c r="H147" s="22"/>
      <c r="I147" s="25" t="str">
        <f aca="false">IF(H147&lt;&gt;"",H147,G147)</f>
        <v/>
      </c>
      <c r="J147" s="26"/>
      <c r="K147" s="22"/>
      <c r="L147" s="26"/>
      <c r="M147" s="27" t="str">
        <f aca="false">IF(A147="","",SUMIF(入金明細!$F$5:$F$1004,A147,入金明細!$E$5:$E$1004))</f>
        <v/>
      </c>
      <c r="N147" s="25" t="str">
        <f aca="false">IF(OR(A147="",N(M147)=0),"",SUMPRODUCT(MAX((入金明細!$F$5:$F$1004=A147)*入金明細!$B$5:$B$1004)))</f>
        <v/>
      </c>
      <c r="O147" s="18"/>
      <c r="P147" s="27" t="str">
        <f aca="false">IF(OR(A147="",F147=""),"",F147-N(M147)-N(O147))</f>
        <v/>
      </c>
      <c r="Q147" s="26"/>
      <c r="R147" s="28" t="str">
        <f aca="false">IF(A147="","",IF(Q147="取消","取消",IF(T147&lt;&gt;"","要入力",IF(K147="","未送付",IF(P147=0,"入金済",IF(P147&lt;0,"過入金",IF(設定!$C$5&gt;I147,IF(N(M147)&gt;0,"一部入金・超過","期日超過"),IF(N(M147)&gt;0,"一部入金",IF(I147-設定!$C$5&lt;=設定!$C$6,"期日間近","入金待ち")))))))))</f>
        <v/>
      </c>
      <c r="S147" s="29" t="str">
        <f aca="false">IF(OR(R147="期日超過",R147="一部入金・超過"),設定!$C$5-I147,"")</f>
        <v/>
      </c>
      <c r="T147" s="21" t="str">
        <f aca="false">IF(A147="","",TRIM(IF(B147="","請求日 ","")&amp;IF(C147="","取引先 ",IF(D147="コード誤り","取引先コード誤り ",""))&amp;IF(E147="","件名 ","")&amp;IF(F147="","請求額 ","")&amp;IF(AND(F147&lt;&gt;"",I147=""),"入金期日(マスタの支払条件が未登録) ","")&amp;IF(J147="","送付方法 ","")&amp;IF(AND(K147&lt;&gt;"",L147=""),"送付者 ","")&amp;IF(AND(K147&lt;&gt;"",N(K147)&gt;設定!$C$5),"送付日が未来の日付 ","")&amp;IF(AND(K147&lt;&gt;"",N(M147)&gt;0,N(P147)&lt;=0,U147=""),"消込確認者 ","")))</f>
        <v/>
      </c>
      <c r="U147" s="26"/>
      <c r="V147" s="26"/>
    </row>
    <row r="148" customFormat="false" ht="15" hidden="false" customHeight="false" outlineLevel="0" collapsed="false">
      <c r="A148" s="21" t="str">
        <f aca="false">IF(COUNTA(B148,C148,E148,F148)=0,"",設定!$C$4&amp;TEXT(ROW()-4,"00000"))</f>
        <v/>
      </c>
      <c r="B148" s="22"/>
      <c r="C148" s="23"/>
      <c r="D148" s="21" t="str">
        <f aca="false">IF(C148="","",IFERROR(INDEX(取引先マスタ!$B$5:$B$204,MATCH(C148,取引先マスタ!$A$5:$A$204,0)),"コード誤り"))</f>
        <v/>
      </c>
      <c r="E148" s="26"/>
      <c r="F148" s="18"/>
      <c r="G148" s="25" t="str">
        <f aca="false">IF(OR(B148="",C148="",D148="コード誤り"),"",IFERROR(IF(OR(INDEX(取引先マスタ!$E$5:$E$204,MATCH(C148,取引先マスタ!$A$5:$A$204,0))="",INDEX(取引先マスタ!$F$5:$F$204,MATCH(C148,取引先マスタ!$A$5:$A$204,0))=""),"",DATE(YEAR(B148),MONTH(B148)+INDEX(取引先マスタ!$E$5:$E$204,MATCH(C148,取引先マスタ!$A$5:$A$204,0)),MIN(INDEX(取引先マスタ!$F$5:$F$204,MATCH(C148,取引先マスタ!$A$5:$A$204,0)),DAY(EOMONTH(B148,INDEX(取引先マスタ!$E$5:$E$204,MATCH(C148,取引先マスタ!$A$5:$A$204,0))))))),""))</f>
        <v/>
      </c>
      <c r="H148" s="22"/>
      <c r="I148" s="25" t="str">
        <f aca="false">IF(H148&lt;&gt;"",H148,G148)</f>
        <v/>
      </c>
      <c r="J148" s="26"/>
      <c r="K148" s="22"/>
      <c r="L148" s="26"/>
      <c r="M148" s="27" t="str">
        <f aca="false">IF(A148="","",SUMIF(入金明細!$F$5:$F$1004,A148,入金明細!$E$5:$E$1004))</f>
        <v/>
      </c>
      <c r="N148" s="25" t="str">
        <f aca="false">IF(OR(A148="",N(M148)=0),"",SUMPRODUCT(MAX((入金明細!$F$5:$F$1004=A148)*入金明細!$B$5:$B$1004)))</f>
        <v/>
      </c>
      <c r="O148" s="18"/>
      <c r="P148" s="27" t="str">
        <f aca="false">IF(OR(A148="",F148=""),"",F148-N(M148)-N(O148))</f>
        <v/>
      </c>
      <c r="Q148" s="26"/>
      <c r="R148" s="28" t="str">
        <f aca="false">IF(A148="","",IF(Q148="取消","取消",IF(T148&lt;&gt;"","要入力",IF(K148="","未送付",IF(P148=0,"入金済",IF(P148&lt;0,"過入金",IF(設定!$C$5&gt;I148,IF(N(M148)&gt;0,"一部入金・超過","期日超過"),IF(N(M148)&gt;0,"一部入金",IF(I148-設定!$C$5&lt;=設定!$C$6,"期日間近","入金待ち")))))))))</f>
        <v/>
      </c>
      <c r="S148" s="29" t="str">
        <f aca="false">IF(OR(R148="期日超過",R148="一部入金・超過"),設定!$C$5-I148,"")</f>
        <v/>
      </c>
      <c r="T148" s="21" t="str">
        <f aca="false">IF(A148="","",TRIM(IF(B148="","請求日 ","")&amp;IF(C148="","取引先 ",IF(D148="コード誤り","取引先コード誤り ",""))&amp;IF(E148="","件名 ","")&amp;IF(F148="","請求額 ","")&amp;IF(AND(F148&lt;&gt;"",I148=""),"入金期日(マスタの支払条件が未登録) ","")&amp;IF(J148="","送付方法 ","")&amp;IF(AND(K148&lt;&gt;"",L148=""),"送付者 ","")&amp;IF(AND(K148&lt;&gt;"",N(K148)&gt;設定!$C$5),"送付日が未来の日付 ","")&amp;IF(AND(K148&lt;&gt;"",N(M148)&gt;0,N(P148)&lt;=0,U148=""),"消込確認者 ","")))</f>
        <v/>
      </c>
      <c r="U148" s="26"/>
      <c r="V148" s="26"/>
    </row>
    <row r="149" customFormat="false" ht="15" hidden="false" customHeight="false" outlineLevel="0" collapsed="false">
      <c r="A149" s="21" t="str">
        <f aca="false">IF(COUNTA(B149,C149,E149,F149)=0,"",設定!$C$4&amp;TEXT(ROW()-4,"00000"))</f>
        <v/>
      </c>
      <c r="B149" s="22"/>
      <c r="C149" s="23"/>
      <c r="D149" s="21" t="str">
        <f aca="false">IF(C149="","",IFERROR(INDEX(取引先マスタ!$B$5:$B$204,MATCH(C149,取引先マスタ!$A$5:$A$204,0)),"コード誤り"))</f>
        <v/>
      </c>
      <c r="E149" s="26"/>
      <c r="F149" s="18"/>
      <c r="G149" s="25" t="str">
        <f aca="false">IF(OR(B149="",C149="",D149="コード誤り"),"",IFERROR(IF(OR(INDEX(取引先マスタ!$E$5:$E$204,MATCH(C149,取引先マスタ!$A$5:$A$204,0))="",INDEX(取引先マスタ!$F$5:$F$204,MATCH(C149,取引先マスタ!$A$5:$A$204,0))=""),"",DATE(YEAR(B149),MONTH(B149)+INDEX(取引先マスタ!$E$5:$E$204,MATCH(C149,取引先マスタ!$A$5:$A$204,0)),MIN(INDEX(取引先マスタ!$F$5:$F$204,MATCH(C149,取引先マスタ!$A$5:$A$204,0)),DAY(EOMONTH(B149,INDEX(取引先マスタ!$E$5:$E$204,MATCH(C149,取引先マスタ!$A$5:$A$204,0))))))),""))</f>
        <v/>
      </c>
      <c r="H149" s="22"/>
      <c r="I149" s="25" t="str">
        <f aca="false">IF(H149&lt;&gt;"",H149,G149)</f>
        <v/>
      </c>
      <c r="J149" s="26"/>
      <c r="K149" s="22"/>
      <c r="L149" s="26"/>
      <c r="M149" s="27" t="str">
        <f aca="false">IF(A149="","",SUMIF(入金明細!$F$5:$F$1004,A149,入金明細!$E$5:$E$1004))</f>
        <v/>
      </c>
      <c r="N149" s="25" t="str">
        <f aca="false">IF(OR(A149="",N(M149)=0),"",SUMPRODUCT(MAX((入金明細!$F$5:$F$1004=A149)*入金明細!$B$5:$B$1004)))</f>
        <v/>
      </c>
      <c r="O149" s="18"/>
      <c r="P149" s="27" t="str">
        <f aca="false">IF(OR(A149="",F149=""),"",F149-N(M149)-N(O149))</f>
        <v/>
      </c>
      <c r="Q149" s="26"/>
      <c r="R149" s="28" t="str">
        <f aca="false">IF(A149="","",IF(Q149="取消","取消",IF(T149&lt;&gt;"","要入力",IF(K149="","未送付",IF(P149=0,"入金済",IF(P149&lt;0,"過入金",IF(設定!$C$5&gt;I149,IF(N(M149)&gt;0,"一部入金・超過","期日超過"),IF(N(M149)&gt;0,"一部入金",IF(I149-設定!$C$5&lt;=設定!$C$6,"期日間近","入金待ち")))))))))</f>
        <v/>
      </c>
      <c r="S149" s="29" t="str">
        <f aca="false">IF(OR(R149="期日超過",R149="一部入金・超過"),設定!$C$5-I149,"")</f>
        <v/>
      </c>
      <c r="T149" s="21" t="str">
        <f aca="false">IF(A149="","",TRIM(IF(B149="","請求日 ","")&amp;IF(C149="","取引先 ",IF(D149="コード誤り","取引先コード誤り ",""))&amp;IF(E149="","件名 ","")&amp;IF(F149="","請求額 ","")&amp;IF(AND(F149&lt;&gt;"",I149=""),"入金期日(マスタの支払条件が未登録) ","")&amp;IF(J149="","送付方法 ","")&amp;IF(AND(K149&lt;&gt;"",L149=""),"送付者 ","")&amp;IF(AND(K149&lt;&gt;"",N(K149)&gt;設定!$C$5),"送付日が未来の日付 ","")&amp;IF(AND(K149&lt;&gt;"",N(M149)&gt;0,N(P149)&lt;=0,U149=""),"消込確認者 ","")))</f>
        <v/>
      </c>
      <c r="U149" s="26"/>
      <c r="V149" s="26"/>
    </row>
    <row r="150" customFormat="false" ht="15" hidden="false" customHeight="false" outlineLevel="0" collapsed="false">
      <c r="A150" s="21" t="str">
        <f aca="false">IF(COUNTA(B150,C150,E150,F150)=0,"",設定!$C$4&amp;TEXT(ROW()-4,"00000"))</f>
        <v/>
      </c>
      <c r="B150" s="22"/>
      <c r="C150" s="23"/>
      <c r="D150" s="21" t="str">
        <f aca="false">IF(C150="","",IFERROR(INDEX(取引先マスタ!$B$5:$B$204,MATCH(C150,取引先マスタ!$A$5:$A$204,0)),"コード誤り"))</f>
        <v/>
      </c>
      <c r="E150" s="26"/>
      <c r="F150" s="18"/>
      <c r="G150" s="25" t="str">
        <f aca="false">IF(OR(B150="",C150="",D150="コード誤り"),"",IFERROR(IF(OR(INDEX(取引先マスタ!$E$5:$E$204,MATCH(C150,取引先マスタ!$A$5:$A$204,0))="",INDEX(取引先マスタ!$F$5:$F$204,MATCH(C150,取引先マスタ!$A$5:$A$204,0))=""),"",DATE(YEAR(B150),MONTH(B150)+INDEX(取引先マスタ!$E$5:$E$204,MATCH(C150,取引先マスタ!$A$5:$A$204,0)),MIN(INDEX(取引先マスタ!$F$5:$F$204,MATCH(C150,取引先マスタ!$A$5:$A$204,0)),DAY(EOMONTH(B150,INDEX(取引先マスタ!$E$5:$E$204,MATCH(C150,取引先マスタ!$A$5:$A$204,0))))))),""))</f>
        <v/>
      </c>
      <c r="H150" s="22"/>
      <c r="I150" s="25" t="str">
        <f aca="false">IF(H150&lt;&gt;"",H150,G150)</f>
        <v/>
      </c>
      <c r="J150" s="26"/>
      <c r="K150" s="22"/>
      <c r="L150" s="26"/>
      <c r="M150" s="27" t="str">
        <f aca="false">IF(A150="","",SUMIF(入金明細!$F$5:$F$1004,A150,入金明細!$E$5:$E$1004))</f>
        <v/>
      </c>
      <c r="N150" s="25" t="str">
        <f aca="false">IF(OR(A150="",N(M150)=0),"",SUMPRODUCT(MAX((入金明細!$F$5:$F$1004=A150)*入金明細!$B$5:$B$1004)))</f>
        <v/>
      </c>
      <c r="O150" s="18"/>
      <c r="P150" s="27" t="str">
        <f aca="false">IF(OR(A150="",F150=""),"",F150-N(M150)-N(O150))</f>
        <v/>
      </c>
      <c r="Q150" s="26"/>
      <c r="R150" s="28" t="str">
        <f aca="false">IF(A150="","",IF(Q150="取消","取消",IF(T150&lt;&gt;"","要入力",IF(K150="","未送付",IF(P150=0,"入金済",IF(P150&lt;0,"過入金",IF(設定!$C$5&gt;I150,IF(N(M150)&gt;0,"一部入金・超過","期日超過"),IF(N(M150)&gt;0,"一部入金",IF(I150-設定!$C$5&lt;=設定!$C$6,"期日間近","入金待ち")))))))))</f>
        <v/>
      </c>
      <c r="S150" s="29" t="str">
        <f aca="false">IF(OR(R150="期日超過",R150="一部入金・超過"),設定!$C$5-I150,"")</f>
        <v/>
      </c>
      <c r="T150" s="21" t="str">
        <f aca="false">IF(A150="","",TRIM(IF(B150="","請求日 ","")&amp;IF(C150="","取引先 ",IF(D150="コード誤り","取引先コード誤り ",""))&amp;IF(E150="","件名 ","")&amp;IF(F150="","請求額 ","")&amp;IF(AND(F150&lt;&gt;"",I150=""),"入金期日(マスタの支払条件が未登録) ","")&amp;IF(J150="","送付方法 ","")&amp;IF(AND(K150&lt;&gt;"",L150=""),"送付者 ","")&amp;IF(AND(K150&lt;&gt;"",N(K150)&gt;設定!$C$5),"送付日が未来の日付 ","")&amp;IF(AND(K150&lt;&gt;"",N(M150)&gt;0,N(P150)&lt;=0,U150=""),"消込確認者 ","")))</f>
        <v/>
      </c>
      <c r="U150" s="26"/>
      <c r="V150" s="26"/>
    </row>
    <row r="151" customFormat="false" ht="15" hidden="false" customHeight="false" outlineLevel="0" collapsed="false">
      <c r="A151" s="21" t="str">
        <f aca="false">IF(COUNTA(B151,C151,E151,F151)=0,"",設定!$C$4&amp;TEXT(ROW()-4,"00000"))</f>
        <v/>
      </c>
      <c r="B151" s="22"/>
      <c r="C151" s="23"/>
      <c r="D151" s="21" t="str">
        <f aca="false">IF(C151="","",IFERROR(INDEX(取引先マスタ!$B$5:$B$204,MATCH(C151,取引先マスタ!$A$5:$A$204,0)),"コード誤り"))</f>
        <v/>
      </c>
      <c r="E151" s="26"/>
      <c r="F151" s="18"/>
      <c r="G151" s="25" t="str">
        <f aca="false">IF(OR(B151="",C151="",D151="コード誤り"),"",IFERROR(IF(OR(INDEX(取引先マスタ!$E$5:$E$204,MATCH(C151,取引先マスタ!$A$5:$A$204,0))="",INDEX(取引先マスタ!$F$5:$F$204,MATCH(C151,取引先マスタ!$A$5:$A$204,0))=""),"",DATE(YEAR(B151),MONTH(B151)+INDEX(取引先マスタ!$E$5:$E$204,MATCH(C151,取引先マスタ!$A$5:$A$204,0)),MIN(INDEX(取引先マスタ!$F$5:$F$204,MATCH(C151,取引先マスタ!$A$5:$A$204,0)),DAY(EOMONTH(B151,INDEX(取引先マスタ!$E$5:$E$204,MATCH(C151,取引先マスタ!$A$5:$A$204,0))))))),""))</f>
        <v/>
      </c>
      <c r="H151" s="22"/>
      <c r="I151" s="25" t="str">
        <f aca="false">IF(H151&lt;&gt;"",H151,G151)</f>
        <v/>
      </c>
      <c r="J151" s="26"/>
      <c r="K151" s="22"/>
      <c r="L151" s="26"/>
      <c r="M151" s="27" t="str">
        <f aca="false">IF(A151="","",SUMIF(入金明細!$F$5:$F$1004,A151,入金明細!$E$5:$E$1004))</f>
        <v/>
      </c>
      <c r="N151" s="25" t="str">
        <f aca="false">IF(OR(A151="",N(M151)=0),"",SUMPRODUCT(MAX((入金明細!$F$5:$F$1004=A151)*入金明細!$B$5:$B$1004)))</f>
        <v/>
      </c>
      <c r="O151" s="18"/>
      <c r="P151" s="27" t="str">
        <f aca="false">IF(OR(A151="",F151=""),"",F151-N(M151)-N(O151))</f>
        <v/>
      </c>
      <c r="Q151" s="26"/>
      <c r="R151" s="28" t="str">
        <f aca="false">IF(A151="","",IF(Q151="取消","取消",IF(T151&lt;&gt;"","要入力",IF(K151="","未送付",IF(P151=0,"入金済",IF(P151&lt;0,"過入金",IF(設定!$C$5&gt;I151,IF(N(M151)&gt;0,"一部入金・超過","期日超過"),IF(N(M151)&gt;0,"一部入金",IF(I151-設定!$C$5&lt;=設定!$C$6,"期日間近","入金待ち")))))))))</f>
        <v/>
      </c>
      <c r="S151" s="29" t="str">
        <f aca="false">IF(OR(R151="期日超過",R151="一部入金・超過"),設定!$C$5-I151,"")</f>
        <v/>
      </c>
      <c r="T151" s="21" t="str">
        <f aca="false">IF(A151="","",TRIM(IF(B151="","請求日 ","")&amp;IF(C151="","取引先 ",IF(D151="コード誤り","取引先コード誤り ",""))&amp;IF(E151="","件名 ","")&amp;IF(F151="","請求額 ","")&amp;IF(AND(F151&lt;&gt;"",I151=""),"入金期日(マスタの支払条件が未登録) ","")&amp;IF(J151="","送付方法 ","")&amp;IF(AND(K151&lt;&gt;"",L151=""),"送付者 ","")&amp;IF(AND(K151&lt;&gt;"",N(K151)&gt;設定!$C$5),"送付日が未来の日付 ","")&amp;IF(AND(K151&lt;&gt;"",N(M151)&gt;0,N(P151)&lt;=0,U151=""),"消込確認者 ","")))</f>
        <v/>
      </c>
      <c r="U151" s="26"/>
      <c r="V151" s="26"/>
    </row>
    <row r="152" customFormat="false" ht="15" hidden="false" customHeight="false" outlineLevel="0" collapsed="false">
      <c r="A152" s="21" t="str">
        <f aca="false">IF(COUNTA(B152,C152,E152,F152)=0,"",設定!$C$4&amp;TEXT(ROW()-4,"00000"))</f>
        <v/>
      </c>
      <c r="B152" s="22"/>
      <c r="C152" s="23"/>
      <c r="D152" s="21" t="str">
        <f aca="false">IF(C152="","",IFERROR(INDEX(取引先マスタ!$B$5:$B$204,MATCH(C152,取引先マスタ!$A$5:$A$204,0)),"コード誤り"))</f>
        <v/>
      </c>
      <c r="E152" s="26"/>
      <c r="F152" s="18"/>
      <c r="G152" s="25" t="str">
        <f aca="false">IF(OR(B152="",C152="",D152="コード誤り"),"",IFERROR(IF(OR(INDEX(取引先マスタ!$E$5:$E$204,MATCH(C152,取引先マスタ!$A$5:$A$204,0))="",INDEX(取引先マスタ!$F$5:$F$204,MATCH(C152,取引先マスタ!$A$5:$A$204,0))=""),"",DATE(YEAR(B152),MONTH(B152)+INDEX(取引先マスタ!$E$5:$E$204,MATCH(C152,取引先マスタ!$A$5:$A$204,0)),MIN(INDEX(取引先マスタ!$F$5:$F$204,MATCH(C152,取引先マスタ!$A$5:$A$204,0)),DAY(EOMONTH(B152,INDEX(取引先マスタ!$E$5:$E$204,MATCH(C152,取引先マスタ!$A$5:$A$204,0))))))),""))</f>
        <v/>
      </c>
      <c r="H152" s="22"/>
      <c r="I152" s="25" t="str">
        <f aca="false">IF(H152&lt;&gt;"",H152,G152)</f>
        <v/>
      </c>
      <c r="J152" s="26"/>
      <c r="K152" s="22"/>
      <c r="L152" s="26"/>
      <c r="M152" s="27" t="str">
        <f aca="false">IF(A152="","",SUMIF(入金明細!$F$5:$F$1004,A152,入金明細!$E$5:$E$1004))</f>
        <v/>
      </c>
      <c r="N152" s="25" t="str">
        <f aca="false">IF(OR(A152="",N(M152)=0),"",SUMPRODUCT(MAX((入金明細!$F$5:$F$1004=A152)*入金明細!$B$5:$B$1004)))</f>
        <v/>
      </c>
      <c r="O152" s="18"/>
      <c r="P152" s="27" t="str">
        <f aca="false">IF(OR(A152="",F152=""),"",F152-N(M152)-N(O152))</f>
        <v/>
      </c>
      <c r="Q152" s="26"/>
      <c r="R152" s="28" t="str">
        <f aca="false">IF(A152="","",IF(Q152="取消","取消",IF(T152&lt;&gt;"","要入力",IF(K152="","未送付",IF(P152=0,"入金済",IF(P152&lt;0,"過入金",IF(設定!$C$5&gt;I152,IF(N(M152)&gt;0,"一部入金・超過","期日超過"),IF(N(M152)&gt;0,"一部入金",IF(I152-設定!$C$5&lt;=設定!$C$6,"期日間近","入金待ち")))))))))</f>
        <v/>
      </c>
      <c r="S152" s="29" t="str">
        <f aca="false">IF(OR(R152="期日超過",R152="一部入金・超過"),設定!$C$5-I152,"")</f>
        <v/>
      </c>
      <c r="T152" s="21" t="str">
        <f aca="false">IF(A152="","",TRIM(IF(B152="","請求日 ","")&amp;IF(C152="","取引先 ",IF(D152="コード誤り","取引先コード誤り ",""))&amp;IF(E152="","件名 ","")&amp;IF(F152="","請求額 ","")&amp;IF(AND(F152&lt;&gt;"",I152=""),"入金期日(マスタの支払条件が未登録) ","")&amp;IF(J152="","送付方法 ","")&amp;IF(AND(K152&lt;&gt;"",L152=""),"送付者 ","")&amp;IF(AND(K152&lt;&gt;"",N(K152)&gt;設定!$C$5),"送付日が未来の日付 ","")&amp;IF(AND(K152&lt;&gt;"",N(M152)&gt;0,N(P152)&lt;=0,U152=""),"消込確認者 ","")))</f>
        <v/>
      </c>
      <c r="U152" s="26"/>
      <c r="V152" s="26"/>
    </row>
    <row r="153" customFormat="false" ht="15" hidden="false" customHeight="false" outlineLevel="0" collapsed="false">
      <c r="A153" s="21" t="str">
        <f aca="false">IF(COUNTA(B153,C153,E153,F153)=0,"",設定!$C$4&amp;TEXT(ROW()-4,"00000"))</f>
        <v/>
      </c>
      <c r="B153" s="22"/>
      <c r="C153" s="23"/>
      <c r="D153" s="21" t="str">
        <f aca="false">IF(C153="","",IFERROR(INDEX(取引先マスタ!$B$5:$B$204,MATCH(C153,取引先マスタ!$A$5:$A$204,0)),"コード誤り"))</f>
        <v/>
      </c>
      <c r="E153" s="26"/>
      <c r="F153" s="18"/>
      <c r="G153" s="25" t="str">
        <f aca="false">IF(OR(B153="",C153="",D153="コード誤り"),"",IFERROR(IF(OR(INDEX(取引先マスタ!$E$5:$E$204,MATCH(C153,取引先マスタ!$A$5:$A$204,0))="",INDEX(取引先マスタ!$F$5:$F$204,MATCH(C153,取引先マスタ!$A$5:$A$204,0))=""),"",DATE(YEAR(B153),MONTH(B153)+INDEX(取引先マスタ!$E$5:$E$204,MATCH(C153,取引先マスタ!$A$5:$A$204,0)),MIN(INDEX(取引先マスタ!$F$5:$F$204,MATCH(C153,取引先マスタ!$A$5:$A$204,0)),DAY(EOMONTH(B153,INDEX(取引先マスタ!$E$5:$E$204,MATCH(C153,取引先マスタ!$A$5:$A$204,0))))))),""))</f>
        <v/>
      </c>
      <c r="H153" s="22"/>
      <c r="I153" s="25" t="str">
        <f aca="false">IF(H153&lt;&gt;"",H153,G153)</f>
        <v/>
      </c>
      <c r="J153" s="26"/>
      <c r="K153" s="22"/>
      <c r="L153" s="26"/>
      <c r="M153" s="27" t="str">
        <f aca="false">IF(A153="","",SUMIF(入金明細!$F$5:$F$1004,A153,入金明細!$E$5:$E$1004))</f>
        <v/>
      </c>
      <c r="N153" s="25" t="str">
        <f aca="false">IF(OR(A153="",N(M153)=0),"",SUMPRODUCT(MAX((入金明細!$F$5:$F$1004=A153)*入金明細!$B$5:$B$1004)))</f>
        <v/>
      </c>
      <c r="O153" s="18"/>
      <c r="P153" s="27" t="str">
        <f aca="false">IF(OR(A153="",F153=""),"",F153-N(M153)-N(O153))</f>
        <v/>
      </c>
      <c r="Q153" s="26"/>
      <c r="R153" s="28" t="str">
        <f aca="false">IF(A153="","",IF(Q153="取消","取消",IF(T153&lt;&gt;"","要入力",IF(K153="","未送付",IF(P153=0,"入金済",IF(P153&lt;0,"過入金",IF(設定!$C$5&gt;I153,IF(N(M153)&gt;0,"一部入金・超過","期日超過"),IF(N(M153)&gt;0,"一部入金",IF(I153-設定!$C$5&lt;=設定!$C$6,"期日間近","入金待ち")))))))))</f>
        <v/>
      </c>
      <c r="S153" s="29" t="str">
        <f aca="false">IF(OR(R153="期日超過",R153="一部入金・超過"),設定!$C$5-I153,"")</f>
        <v/>
      </c>
      <c r="T153" s="21" t="str">
        <f aca="false">IF(A153="","",TRIM(IF(B153="","請求日 ","")&amp;IF(C153="","取引先 ",IF(D153="コード誤り","取引先コード誤り ",""))&amp;IF(E153="","件名 ","")&amp;IF(F153="","請求額 ","")&amp;IF(AND(F153&lt;&gt;"",I153=""),"入金期日(マスタの支払条件が未登録) ","")&amp;IF(J153="","送付方法 ","")&amp;IF(AND(K153&lt;&gt;"",L153=""),"送付者 ","")&amp;IF(AND(K153&lt;&gt;"",N(K153)&gt;設定!$C$5),"送付日が未来の日付 ","")&amp;IF(AND(K153&lt;&gt;"",N(M153)&gt;0,N(P153)&lt;=0,U153=""),"消込確認者 ","")))</f>
        <v/>
      </c>
      <c r="U153" s="26"/>
      <c r="V153" s="26"/>
    </row>
    <row r="154" customFormat="false" ht="15" hidden="false" customHeight="false" outlineLevel="0" collapsed="false">
      <c r="A154" s="21" t="str">
        <f aca="false">IF(COUNTA(B154,C154,E154,F154)=0,"",設定!$C$4&amp;TEXT(ROW()-4,"00000"))</f>
        <v/>
      </c>
      <c r="B154" s="22"/>
      <c r="C154" s="23"/>
      <c r="D154" s="21" t="str">
        <f aca="false">IF(C154="","",IFERROR(INDEX(取引先マスタ!$B$5:$B$204,MATCH(C154,取引先マスタ!$A$5:$A$204,0)),"コード誤り"))</f>
        <v/>
      </c>
      <c r="E154" s="26"/>
      <c r="F154" s="18"/>
      <c r="G154" s="25" t="str">
        <f aca="false">IF(OR(B154="",C154="",D154="コード誤り"),"",IFERROR(IF(OR(INDEX(取引先マスタ!$E$5:$E$204,MATCH(C154,取引先マスタ!$A$5:$A$204,0))="",INDEX(取引先マスタ!$F$5:$F$204,MATCH(C154,取引先マスタ!$A$5:$A$204,0))=""),"",DATE(YEAR(B154),MONTH(B154)+INDEX(取引先マスタ!$E$5:$E$204,MATCH(C154,取引先マスタ!$A$5:$A$204,0)),MIN(INDEX(取引先マスタ!$F$5:$F$204,MATCH(C154,取引先マスタ!$A$5:$A$204,0)),DAY(EOMONTH(B154,INDEX(取引先マスタ!$E$5:$E$204,MATCH(C154,取引先マスタ!$A$5:$A$204,0))))))),""))</f>
        <v/>
      </c>
      <c r="H154" s="22"/>
      <c r="I154" s="25" t="str">
        <f aca="false">IF(H154&lt;&gt;"",H154,G154)</f>
        <v/>
      </c>
      <c r="J154" s="26"/>
      <c r="K154" s="22"/>
      <c r="L154" s="26"/>
      <c r="M154" s="27" t="str">
        <f aca="false">IF(A154="","",SUMIF(入金明細!$F$5:$F$1004,A154,入金明細!$E$5:$E$1004))</f>
        <v/>
      </c>
      <c r="N154" s="25" t="str">
        <f aca="false">IF(OR(A154="",N(M154)=0),"",SUMPRODUCT(MAX((入金明細!$F$5:$F$1004=A154)*入金明細!$B$5:$B$1004)))</f>
        <v/>
      </c>
      <c r="O154" s="18"/>
      <c r="P154" s="27" t="str">
        <f aca="false">IF(OR(A154="",F154=""),"",F154-N(M154)-N(O154))</f>
        <v/>
      </c>
      <c r="Q154" s="26"/>
      <c r="R154" s="28" t="str">
        <f aca="false">IF(A154="","",IF(Q154="取消","取消",IF(T154&lt;&gt;"","要入力",IF(K154="","未送付",IF(P154=0,"入金済",IF(P154&lt;0,"過入金",IF(設定!$C$5&gt;I154,IF(N(M154)&gt;0,"一部入金・超過","期日超過"),IF(N(M154)&gt;0,"一部入金",IF(I154-設定!$C$5&lt;=設定!$C$6,"期日間近","入金待ち")))))))))</f>
        <v/>
      </c>
      <c r="S154" s="29" t="str">
        <f aca="false">IF(OR(R154="期日超過",R154="一部入金・超過"),設定!$C$5-I154,"")</f>
        <v/>
      </c>
      <c r="T154" s="21" t="str">
        <f aca="false">IF(A154="","",TRIM(IF(B154="","請求日 ","")&amp;IF(C154="","取引先 ",IF(D154="コード誤り","取引先コード誤り ",""))&amp;IF(E154="","件名 ","")&amp;IF(F154="","請求額 ","")&amp;IF(AND(F154&lt;&gt;"",I154=""),"入金期日(マスタの支払条件が未登録) ","")&amp;IF(J154="","送付方法 ","")&amp;IF(AND(K154&lt;&gt;"",L154=""),"送付者 ","")&amp;IF(AND(K154&lt;&gt;"",N(K154)&gt;設定!$C$5),"送付日が未来の日付 ","")&amp;IF(AND(K154&lt;&gt;"",N(M154)&gt;0,N(P154)&lt;=0,U154=""),"消込確認者 ","")))</f>
        <v/>
      </c>
      <c r="U154" s="26"/>
      <c r="V154" s="26"/>
    </row>
    <row r="155" customFormat="false" ht="15" hidden="false" customHeight="false" outlineLevel="0" collapsed="false">
      <c r="A155" s="21" t="str">
        <f aca="false">IF(COUNTA(B155,C155,E155,F155)=0,"",設定!$C$4&amp;TEXT(ROW()-4,"00000"))</f>
        <v/>
      </c>
      <c r="B155" s="22"/>
      <c r="C155" s="23"/>
      <c r="D155" s="21" t="str">
        <f aca="false">IF(C155="","",IFERROR(INDEX(取引先マスタ!$B$5:$B$204,MATCH(C155,取引先マスタ!$A$5:$A$204,0)),"コード誤り"))</f>
        <v/>
      </c>
      <c r="E155" s="26"/>
      <c r="F155" s="18"/>
      <c r="G155" s="25" t="str">
        <f aca="false">IF(OR(B155="",C155="",D155="コード誤り"),"",IFERROR(IF(OR(INDEX(取引先マスタ!$E$5:$E$204,MATCH(C155,取引先マスタ!$A$5:$A$204,0))="",INDEX(取引先マスタ!$F$5:$F$204,MATCH(C155,取引先マスタ!$A$5:$A$204,0))=""),"",DATE(YEAR(B155),MONTH(B155)+INDEX(取引先マスタ!$E$5:$E$204,MATCH(C155,取引先マスタ!$A$5:$A$204,0)),MIN(INDEX(取引先マスタ!$F$5:$F$204,MATCH(C155,取引先マスタ!$A$5:$A$204,0)),DAY(EOMONTH(B155,INDEX(取引先マスタ!$E$5:$E$204,MATCH(C155,取引先マスタ!$A$5:$A$204,0))))))),""))</f>
        <v/>
      </c>
      <c r="H155" s="22"/>
      <c r="I155" s="25" t="str">
        <f aca="false">IF(H155&lt;&gt;"",H155,G155)</f>
        <v/>
      </c>
      <c r="J155" s="26"/>
      <c r="K155" s="22"/>
      <c r="L155" s="26"/>
      <c r="M155" s="27" t="str">
        <f aca="false">IF(A155="","",SUMIF(入金明細!$F$5:$F$1004,A155,入金明細!$E$5:$E$1004))</f>
        <v/>
      </c>
      <c r="N155" s="25" t="str">
        <f aca="false">IF(OR(A155="",N(M155)=0),"",SUMPRODUCT(MAX((入金明細!$F$5:$F$1004=A155)*入金明細!$B$5:$B$1004)))</f>
        <v/>
      </c>
      <c r="O155" s="18"/>
      <c r="P155" s="27" t="str">
        <f aca="false">IF(OR(A155="",F155=""),"",F155-N(M155)-N(O155))</f>
        <v/>
      </c>
      <c r="Q155" s="26"/>
      <c r="R155" s="28" t="str">
        <f aca="false">IF(A155="","",IF(Q155="取消","取消",IF(T155&lt;&gt;"","要入力",IF(K155="","未送付",IF(P155=0,"入金済",IF(P155&lt;0,"過入金",IF(設定!$C$5&gt;I155,IF(N(M155)&gt;0,"一部入金・超過","期日超過"),IF(N(M155)&gt;0,"一部入金",IF(I155-設定!$C$5&lt;=設定!$C$6,"期日間近","入金待ち")))))))))</f>
        <v/>
      </c>
      <c r="S155" s="29" t="str">
        <f aca="false">IF(OR(R155="期日超過",R155="一部入金・超過"),設定!$C$5-I155,"")</f>
        <v/>
      </c>
      <c r="T155" s="21" t="str">
        <f aca="false">IF(A155="","",TRIM(IF(B155="","請求日 ","")&amp;IF(C155="","取引先 ",IF(D155="コード誤り","取引先コード誤り ",""))&amp;IF(E155="","件名 ","")&amp;IF(F155="","請求額 ","")&amp;IF(AND(F155&lt;&gt;"",I155=""),"入金期日(マスタの支払条件が未登録) ","")&amp;IF(J155="","送付方法 ","")&amp;IF(AND(K155&lt;&gt;"",L155=""),"送付者 ","")&amp;IF(AND(K155&lt;&gt;"",N(K155)&gt;設定!$C$5),"送付日が未来の日付 ","")&amp;IF(AND(K155&lt;&gt;"",N(M155)&gt;0,N(P155)&lt;=0,U155=""),"消込確認者 ","")))</f>
        <v/>
      </c>
      <c r="U155" s="26"/>
      <c r="V155" s="26"/>
    </row>
    <row r="156" customFormat="false" ht="15" hidden="false" customHeight="false" outlineLevel="0" collapsed="false">
      <c r="A156" s="21" t="str">
        <f aca="false">IF(COUNTA(B156,C156,E156,F156)=0,"",設定!$C$4&amp;TEXT(ROW()-4,"00000"))</f>
        <v/>
      </c>
      <c r="B156" s="22"/>
      <c r="C156" s="23"/>
      <c r="D156" s="21" t="str">
        <f aca="false">IF(C156="","",IFERROR(INDEX(取引先マスタ!$B$5:$B$204,MATCH(C156,取引先マスタ!$A$5:$A$204,0)),"コード誤り"))</f>
        <v/>
      </c>
      <c r="E156" s="26"/>
      <c r="F156" s="18"/>
      <c r="G156" s="25" t="str">
        <f aca="false">IF(OR(B156="",C156="",D156="コード誤り"),"",IFERROR(IF(OR(INDEX(取引先マスタ!$E$5:$E$204,MATCH(C156,取引先マスタ!$A$5:$A$204,0))="",INDEX(取引先マスタ!$F$5:$F$204,MATCH(C156,取引先マスタ!$A$5:$A$204,0))=""),"",DATE(YEAR(B156),MONTH(B156)+INDEX(取引先マスタ!$E$5:$E$204,MATCH(C156,取引先マスタ!$A$5:$A$204,0)),MIN(INDEX(取引先マスタ!$F$5:$F$204,MATCH(C156,取引先マスタ!$A$5:$A$204,0)),DAY(EOMONTH(B156,INDEX(取引先マスタ!$E$5:$E$204,MATCH(C156,取引先マスタ!$A$5:$A$204,0))))))),""))</f>
        <v/>
      </c>
      <c r="H156" s="22"/>
      <c r="I156" s="25" t="str">
        <f aca="false">IF(H156&lt;&gt;"",H156,G156)</f>
        <v/>
      </c>
      <c r="J156" s="26"/>
      <c r="K156" s="22"/>
      <c r="L156" s="26"/>
      <c r="M156" s="27" t="str">
        <f aca="false">IF(A156="","",SUMIF(入金明細!$F$5:$F$1004,A156,入金明細!$E$5:$E$1004))</f>
        <v/>
      </c>
      <c r="N156" s="25" t="str">
        <f aca="false">IF(OR(A156="",N(M156)=0),"",SUMPRODUCT(MAX((入金明細!$F$5:$F$1004=A156)*入金明細!$B$5:$B$1004)))</f>
        <v/>
      </c>
      <c r="O156" s="18"/>
      <c r="P156" s="27" t="str">
        <f aca="false">IF(OR(A156="",F156=""),"",F156-N(M156)-N(O156))</f>
        <v/>
      </c>
      <c r="Q156" s="26"/>
      <c r="R156" s="28" t="str">
        <f aca="false">IF(A156="","",IF(Q156="取消","取消",IF(T156&lt;&gt;"","要入力",IF(K156="","未送付",IF(P156=0,"入金済",IF(P156&lt;0,"過入金",IF(設定!$C$5&gt;I156,IF(N(M156)&gt;0,"一部入金・超過","期日超過"),IF(N(M156)&gt;0,"一部入金",IF(I156-設定!$C$5&lt;=設定!$C$6,"期日間近","入金待ち")))))))))</f>
        <v/>
      </c>
      <c r="S156" s="29" t="str">
        <f aca="false">IF(OR(R156="期日超過",R156="一部入金・超過"),設定!$C$5-I156,"")</f>
        <v/>
      </c>
      <c r="T156" s="21" t="str">
        <f aca="false">IF(A156="","",TRIM(IF(B156="","請求日 ","")&amp;IF(C156="","取引先 ",IF(D156="コード誤り","取引先コード誤り ",""))&amp;IF(E156="","件名 ","")&amp;IF(F156="","請求額 ","")&amp;IF(AND(F156&lt;&gt;"",I156=""),"入金期日(マスタの支払条件が未登録) ","")&amp;IF(J156="","送付方法 ","")&amp;IF(AND(K156&lt;&gt;"",L156=""),"送付者 ","")&amp;IF(AND(K156&lt;&gt;"",N(K156)&gt;設定!$C$5),"送付日が未来の日付 ","")&amp;IF(AND(K156&lt;&gt;"",N(M156)&gt;0,N(P156)&lt;=0,U156=""),"消込確認者 ","")))</f>
        <v/>
      </c>
      <c r="U156" s="26"/>
      <c r="V156" s="26"/>
    </row>
    <row r="157" customFormat="false" ht="15" hidden="false" customHeight="false" outlineLevel="0" collapsed="false">
      <c r="A157" s="21" t="str">
        <f aca="false">IF(COUNTA(B157,C157,E157,F157)=0,"",設定!$C$4&amp;TEXT(ROW()-4,"00000"))</f>
        <v/>
      </c>
      <c r="B157" s="22"/>
      <c r="C157" s="23"/>
      <c r="D157" s="21" t="str">
        <f aca="false">IF(C157="","",IFERROR(INDEX(取引先マスタ!$B$5:$B$204,MATCH(C157,取引先マスタ!$A$5:$A$204,0)),"コード誤り"))</f>
        <v/>
      </c>
      <c r="E157" s="26"/>
      <c r="F157" s="18"/>
      <c r="G157" s="25" t="str">
        <f aca="false">IF(OR(B157="",C157="",D157="コード誤り"),"",IFERROR(IF(OR(INDEX(取引先マスタ!$E$5:$E$204,MATCH(C157,取引先マスタ!$A$5:$A$204,0))="",INDEX(取引先マスタ!$F$5:$F$204,MATCH(C157,取引先マスタ!$A$5:$A$204,0))=""),"",DATE(YEAR(B157),MONTH(B157)+INDEX(取引先マスタ!$E$5:$E$204,MATCH(C157,取引先マスタ!$A$5:$A$204,0)),MIN(INDEX(取引先マスタ!$F$5:$F$204,MATCH(C157,取引先マスタ!$A$5:$A$204,0)),DAY(EOMONTH(B157,INDEX(取引先マスタ!$E$5:$E$204,MATCH(C157,取引先マスタ!$A$5:$A$204,0))))))),""))</f>
        <v/>
      </c>
      <c r="H157" s="22"/>
      <c r="I157" s="25" t="str">
        <f aca="false">IF(H157&lt;&gt;"",H157,G157)</f>
        <v/>
      </c>
      <c r="J157" s="26"/>
      <c r="K157" s="22"/>
      <c r="L157" s="26"/>
      <c r="M157" s="27" t="str">
        <f aca="false">IF(A157="","",SUMIF(入金明細!$F$5:$F$1004,A157,入金明細!$E$5:$E$1004))</f>
        <v/>
      </c>
      <c r="N157" s="25" t="str">
        <f aca="false">IF(OR(A157="",N(M157)=0),"",SUMPRODUCT(MAX((入金明細!$F$5:$F$1004=A157)*入金明細!$B$5:$B$1004)))</f>
        <v/>
      </c>
      <c r="O157" s="18"/>
      <c r="P157" s="27" t="str">
        <f aca="false">IF(OR(A157="",F157=""),"",F157-N(M157)-N(O157))</f>
        <v/>
      </c>
      <c r="Q157" s="26"/>
      <c r="R157" s="28" t="str">
        <f aca="false">IF(A157="","",IF(Q157="取消","取消",IF(T157&lt;&gt;"","要入力",IF(K157="","未送付",IF(P157=0,"入金済",IF(P157&lt;0,"過入金",IF(設定!$C$5&gt;I157,IF(N(M157)&gt;0,"一部入金・超過","期日超過"),IF(N(M157)&gt;0,"一部入金",IF(I157-設定!$C$5&lt;=設定!$C$6,"期日間近","入金待ち")))))))))</f>
        <v/>
      </c>
      <c r="S157" s="29" t="str">
        <f aca="false">IF(OR(R157="期日超過",R157="一部入金・超過"),設定!$C$5-I157,"")</f>
        <v/>
      </c>
      <c r="T157" s="21" t="str">
        <f aca="false">IF(A157="","",TRIM(IF(B157="","請求日 ","")&amp;IF(C157="","取引先 ",IF(D157="コード誤り","取引先コード誤り ",""))&amp;IF(E157="","件名 ","")&amp;IF(F157="","請求額 ","")&amp;IF(AND(F157&lt;&gt;"",I157=""),"入金期日(マスタの支払条件が未登録) ","")&amp;IF(J157="","送付方法 ","")&amp;IF(AND(K157&lt;&gt;"",L157=""),"送付者 ","")&amp;IF(AND(K157&lt;&gt;"",N(K157)&gt;設定!$C$5),"送付日が未来の日付 ","")&amp;IF(AND(K157&lt;&gt;"",N(M157)&gt;0,N(P157)&lt;=0,U157=""),"消込確認者 ","")))</f>
        <v/>
      </c>
      <c r="U157" s="26"/>
      <c r="V157" s="26"/>
    </row>
    <row r="158" customFormat="false" ht="15" hidden="false" customHeight="false" outlineLevel="0" collapsed="false">
      <c r="A158" s="21" t="str">
        <f aca="false">IF(COUNTA(B158,C158,E158,F158)=0,"",設定!$C$4&amp;TEXT(ROW()-4,"00000"))</f>
        <v/>
      </c>
      <c r="B158" s="22"/>
      <c r="C158" s="23"/>
      <c r="D158" s="21" t="str">
        <f aca="false">IF(C158="","",IFERROR(INDEX(取引先マスタ!$B$5:$B$204,MATCH(C158,取引先マスタ!$A$5:$A$204,0)),"コード誤り"))</f>
        <v/>
      </c>
      <c r="E158" s="26"/>
      <c r="F158" s="18"/>
      <c r="G158" s="25" t="str">
        <f aca="false">IF(OR(B158="",C158="",D158="コード誤り"),"",IFERROR(IF(OR(INDEX(取引先マスタ!$E$5:$E$204,MATCH(C158,取引先マスタ!$A$5:$A$204,0))="",INDEX(取引先マスタ!$F$5:$F$204,MATCH(C158,取引先マスタ!$A$5:$A$204,0))=""),"",DATE(YEAR(B158),MONTH(B158)+INDEX(取引先マスタ!$E$5:$E$204,MATCH(C158,取引先マスタ!$A$5:$A$204,0)),MIN(INDEX(取引先マスタ!$F$5:$F$204,MATCH(C158,取引先マスタ!$A$5:$A$204,0)),DAY(EOMONTH(B158,INDEX(取引先マスタ!$E$5:$E$204,MATCH(C158,取引先マスタ!$A$5:$A$204,0))))))),""))</f>
        <v/>
      </c>
      <c r="H158" s="22"/>
      <c r="I158" s="25" t="str">
        <f aca="false">IF(H158&lt;&gt;"",H158,G158)</f>
        <v/>
      </c>
      <c r="J158" s="26"/>
      <c r="K158" s="22"/>
      <c r="L158" s="26"/>
      <c r="M158" s="27" t="str">
        <f aca="false">IF(A158="","",SUMIF(入金明細!$F$5:$F$1004,A158,入金明細!$E$5:$E$1004))</f>
        <v/>
      </c>
      <c r="N158" s="25" t="str">
        <f aca="false">IF(OR(A158="",N(M158)=0),"",SUMPRODUCT(MAX((入金明細!$F$5:$F$1004=A158)*入金明細!$B$5:$B$1004)))</f>
        <v/>
      </c>
      <c r="O158" s="18"/>
      <c r="P158" s="27" t="str">
        <f aca="false">IF(OR(A158="",F158=""),"",F158-N(M158)-N(O158))</f>
        <v/>
      </c>
      <c r="Q158" s="26"/>
      <c r="R158" s="28" t="str">
        <f aca="false">IF(A158="","",IF(Q158="取消","取消",IF(T158&lt;&gt;"","要入力",IF(K158="","未送付",IF(P158=0,"入金済",IF(P158&lt;0,"過入金",IF(設定!$C$5&gt;I158,IF(N(M158)&gt;0,"一部入金・超過","期日超過"),IF(N(M158)&gt;0,"一部入金",IF(I158-設定!$C$5&lt;=設定!$C$6,"期日間近","入金待ち")))))))))</f>
        <v/>
      </c>
      <c r="S158" s="29" t="str">
        <f aca="false">IF(OR(R158="期日超過",R158="一部入金・超過"),設定!$C$5-I158,"")</f>
        <v/>
      </c>
      <c r="T158" s="21" t="str">
        <f aca="false">IF(A158="","",TRIM(IF(B158="","請求日 ","")&amp;IF(C158="","取引先 ",IF(D158="コード誤り","取引先コード誤り ",""))&amp;IF(E158="","件名 ","")&amp;IF(F158="","請求額 ","")&amp;IF(AND(F158&lt;&gt;"",I158=""),"入金期日(マスタの支払条件が未登録) ","")&amp;IF(J158="","送付方法 ","")&amp;IF(AND(K158&lt;&gt;"",L158=""),"送付者 ","")&amp;IF(AND(K158&lt;&gt;"",N(K158)&gt;設定!$C$5),"送付日が未来の日付 ","")&amp;IF(AND(K158&lt;&gt;"",N(M158)&gt;0,N(P158)&lt;=0,U158=""),"消込確認者 ","")))</f>
        <v/>
      </c>
      <c r="U158" s="26"/>
      <c r="V158" s="26"/>
    </row>
    <row r="159" customFormat="false" ht="15" hidden="false" customHeight="false" outlineLevel="0" collapsed="false">
      <c r="A159" s="21" t="str">
        <f aca="false">IF(COUNTA(B159,C159,E159,F159)=0,"",設定!$C$4&amp;TEXT(ROW()-4,"00000"))</f>
        <v/>
      </c>
      <c r="B159" s="22"/>
      <c r="C159" s="23"/>
      <c r="D159" s="21" t="str">
        <f aca="false">IF(C159="","",IFERROR(INDEX(取引先マスタ!$B$5:$B$204,MATCH(C159,取引先マスタ!$A$5:$A$204,0)),"コード誤り"))</f>
        <v/>
      </c>
      <c r="E159" s="26"/>
      <c r="F159" s="18"/>
      <c r="G159" s="25" t="str">
        <f aca="false">IF(OR(B159="",C159="",D159="コード誤り"),"",IFERROR(IF(OR(INDEX(取引先マスタ!$E$5:$E$204,MATCH(C159,取引先マスタ!$A$5:$A$204,0))="",INDEX(取引先マスタ!$F$5:$F$204,MATCH(C159,取引先マスタ!$A$5:$A$204,0))=""),"",DATE(YEAR(B159),MONTH(B159)+INDEX(取引先マスタ!$E$5:$E$204,MATCH(C159,取引先マスタ!$A$5:$A$204,0)),MIN(INDEX(取引先マスタ!$F$5:$F$204,MATCH(C159,取引先マスタ!$A$5:$A$204,0)),DAY(EOMONTH(B159,INDEX(取引先マスタ!$E$5:$E$204,MATCH(C159,取引先マスタ!$A$5:$A$204,0))))))),""))</f>
        <v/>
      </c>
      <c r="H159" s="22"/>
      <c r="I159" s="25" t="str">
        <f aca="false">IF(H159&lt;&gt;"",H159,G159)</f>
        <v/>
      </c>
      <c r="J159" s="26"/>
      <c r="K159" s="22"/>
      <c r="L159" s="26"/>
      <c r="M159" s="27" t="str">
        <f aca="false">IF(A159="","",SUMIF(入金明細!$F$5:$F$1004,A159,入金明細!$E$5:$E$1004))</f>
        <v/>
      </c>
      <c r="N159" s="25" t="str">
        <f aca="false">IF(OR(A159="",N(M159)=0),"",SUMPRODUCT(MAX((入金明細!$F$5:$F$1004=A159)*入金明細!$B$5:$B$1004)))</f>
        <v/>
      </c>
      <c r="O159" s="18"/>
      <c r="P159" s="27" t="str">
        <f aca="false">IF(OR(A159="",F159=""),"",F159-N(M159)-N(O159))</f>
        <v/>
      </c>
      <c r="Q159" s="26"/>
      <c r="R159" s="28" t="str">
        <f aca="false">IF(A159="","",IF(Q159="取消","取消",IF(T159&lt;&gt;"","要入力",IF(K159="","未送付",IF(P159=0,"入金済",IF(P159&lt;0,"過入金",IF(設定!$C$5&gt;I159,IF(N(M159)&gt;0,"一部入金・超過","期日超過"),IF(N(M159)&gt;0,"一部入金",IF(I159-設定!$C$5&lt;=設定!$C$6,"期日間近","入金待ち")))))))))</f>
        <v/>
      </c>
      <c r="S159" s="29" t="str">
        <f aca="false">IF(OR(R159="期日超過",R159="一部入金・超過"),設定!$C$5-I159,"")</f>
        <v/>
      </c>
      <c r="T159" s="21" t="str">
        <f aca="false">IF(A159="","",TRIM(IF(B159="","請求日 ","")&amp;IF(C159="","取引先 ",IF(D159="コード誤り","取引先コード誤り ",""))&amp;IF(E159="","件名 ","")&amp;IF(F159="","請求額 ","")&amp;IF(AND(F159&lt;&gt;"",I159=""),"入金期日(マスタの支払条件が未登録) ","")&amp;IF(J159="","送付方法 ","")&amp;IF(AND(K159&lt;&gt;"",L159=""),"送付者 ","")&amp;IF(AND(K159&lt;&gt;"",N(K159)&gt;設定!$C$5),"送付日が未来の日付 ","")&amp;IF(AND(K159&lt;&gt;"",N(M159)&gt;0,N(P159)&lt;=0,U159=""),"消込確認者 ","")))</f>
        <v/>
      </c>
      <c r="U159" s="26"/>
      <c r="V159" s="26"/>
    </row>
    <row r="160" customFormat="false" ht="15" hidden="false" customHeight="false" outlineLevel="0" collapsed="false">
      <c r="A160" s="21" t="str">
        <f aca="false">IF(COUNTA(B160,C160,E160,F160)=0,"",設定!$C$4&amp;TEXT(ROW()-4,"00000"))</f>
        <v/>
      </c>
      <c r="B160" s="22"/>
      <c r="C160" s="23"/>
      <c r="D160" s="21" t="str">
        <f aca="false">IF(C160="","",IFERROR(INDEX(取引先マスタ!$B$5:$B$204,MATCH(C160,取引先マスタ!$A$5:$A$204,0)),"コード誤り"))</f>
        <v/>
      </c>
      <c r="E160" s="26"/>
      <c r="F160" s="18"/>
      <c r="G160" s="25" t="str">
        <f aca="false">IF(OR(B160="",C160="",D160="コード誤り"),"",IFERROR(IF(OR(INDEX(取引先マスタ!$E$5:$E$204,MATCH(C160,取引先マスタ!$A$5:$A$204,0))="",INDEX(取引先マスタ!$F$5:$F$204,MATCH(C160,取引先マスタ!$A$5:$A$204,0))=""),"",DATE(YEAR(B160),MONTH(B160)+INDEX(取引先マスタ!$E$5:$E$204,MATCH(C160,取引先マスタ!$A$5:$A$204,0)),MIN(INDEX(取引先マスタ!$F$5:$F$204,MATCH(C160,取引先マスタ!$A$5:$A$204,0)),DAY(EOMONTH(B160,INDEX(取引先マスタ!$E$5:$E$204,MATCH(C160,取引先マスタ!$A$5:$A$204,0))))))),""))</f>
        <v/>
      </c>
      <c r="H160" s="22"/>
      <c r="I160" s="25" t="str">
        <f aca="false">IF(H160&lt;&gt;"",H160,G160)</f>
        <v/>
      </c>
      <c r="J160" s="26"/>
      <c r="K160" s="22"/>
      <c r="L160" s="26"/>
      <c r="M160" s="27" t="str">
        <f aca="false">IF(A160="","",SUMIF(入金明細!$F$5:$F$1004,A160,入金明細!$E$5:$E$1004))</f>
        <v/>
      </c>
      <c r="N160" s="25" t="str">
        <f aca="false">IF(OR(A160="",N(M160)=0),"",SUMPRODUCT(MAX((入金明細!$F$5:$F$1004=A160)*入金明細!$B$5:$B$1004)))</f>
        <v/>
      </c>
      <c r="O160" s="18"/>
      <c r="P160" s="27" t="str">
        <f aca="false">IF(OR(A160="",F160=""),"",F160-N(M160)-N(O160))</f>
        <v/>
      </c>
      <c r="Q160" s="26"/>
      <c r="R160" s="28" t="str">
        <f aca="false">IF(A160="","",IF(Q160="取消","取消",IF(T160&lt;&gt;"","要入力",IF(K160="","未送付",IF(P160=0,"入金済",IF(P160&lt;0,"過入金",IF(設定!$C$5&gt;I160,IF(N(M160)&gt;0,"一部入金・超過","期日超過"),IF(N(M160)&gt;0,"一部入金",IF(I160-設定!$C$5&lt;=設定!$C$6,"期日間近","入金待ち")))))))))</f>
        <v/>
      </c>
      <c r="S160" s="29" t="str">
        <f aca="false">IF(OR(R160="期日超過",R160="一部入金・超過"),設定!$C$5-I160,"")</f>
        <v/>
      </c>
      <c r="T160" s="21" t="str">
        <f aca="false">IF(A160="","",TRIM(IF(B160="","請求日 ","")&amp;IF(C160="","取引先 ",IF(D160="コード誤り","取引先コード誤り ",""))&amp;IF(E160="","件名 ","")&amp;IF(F160="","請求額 ","")&amp;IF(AND(F160&lt;&gt;"",I160=""),"入金期日(マスタの支払条件が未登録) ","")&amp;IF(J160="","送付方法 ","")&amp;IF(AND(K160&lt;&gt;"",L160=""),"送付者 ","")&amp;IF(AND(K160&lt;&gt;"",N(K160)&gt;設定!$C$5),"送付日が未来の日付 ","")&amp;IF(AND(K160&lt;&gt;"",N(M160)&gt;0,N(P160)&lt;=0,U160=""),"消込確認者 ","")))</f>
        <v/>
      </c>
      <c r="U160" s="26"/>
      <c r="V160" s="26"/>
    </row>
    <row r="161" customFormat="false" ht="15" hidden="false" customHeight="false" outlineLevel="0" collapsed="false">
      <c r="A161" s="21" t="str">
        <f aca="false">IF(COUNTA(B161,C161,E161,F161)=0,"",設定!$C$4&amp;TEXT(ROW()-4,"00000"))</f>
        <v/>
      </c>
      <c r="B161" s="22"/>
      <c r="C161" s="23"/>
      <c r="D161" s="21" t="str">
        <f aca="false">IF(C161="","",IFERROR(INDEX(取引先マスタ!$B$5:$B$204,MATCH(C161,取引先マスタ!$A$5:$A$204,0)),"コード誤り"))</f>
        <v/>
      </c>
      <c r="E161" s="26"/>
      <c r="F161" s="18"/>
      <c r="G161" s="25" t="str">
        <f aca="false">IF(OR(B161="",C161="",D161="コード誤り"),"",IFERROR(IF(OR(INDEX(取引先マスタ!$E$5:$E$204,MATCH(C161,取引先マスタ!$A$5:$A$204,0))="",INDEX(取引先マスタ!$F$5:$F$204,MATCH(C161,取引先マスタ!$A$5:$A$204,0))=""),"",DATE(YEAR(B161),MONTH(B161)+INDEX(取引先マスタ!$E$5:$E$204,MATCH(C161,取引先マスタ!$A$5:$A$204,0)),MIN(INDEX(取引先マスタ!$F$5:$F$204,MATCH(C161,取引先マスタ!$A$5:$A$204,0)),DAY(EOMONTH(B161,INDEX(取引先マスタ!$E$5:$E$204,MATCH(C161,取引先マスタ!$A$5:$A$204,0))))))),""))</f>
        <v/>
      </c>
      <c r="H161" s="22"/>
      <c r="I161" s="25" t="str">
        <f aca="false">IF(H161&lt;&gt;"",H161,G161)</f>
        <v/>
      </c>
      <c r="J161" s="26"/>
      <c r="K161" s="22"/>
      <c r="L161" s="26"/>
      <c r="M161" s="27" t="str">
        <f aca="false">IF(A161="","",SUMIF(入金明細!$F$5:$F$1004,A161,入金明細!$E$5:$E$1004))</f>
        <v/>
      </c>
      <c r="N161" s="25" t="str">
        <f aca="false">IF(OR(A161="",N(M161)=0),"",SUMPRODUCT(MAX((入金明細!$F$5:$F$1004=A161)*入金明細!$B$5:$B$1004)))</f>
        <v/>
      </c>
      <c r="O161" s="18"/>
      <c r="P161" s="27" t="str">
        <f aca="false">IF(OR(A161="",F161=""),"",F161-N(M161)-N(O161))</f>
        <v/>
      </c>
      <c r="Q161" s="26"/>
      <c r="R161" s="28" t="str">
        <f aca="false">IF(A161="","",IF(Q161="取消","取消",IF(T161&lt;&gt;"","要入力",IF(K161="","未送付",IF(P161=0,"入金済",IF(P161&lt;0,"過入金",IF(設定!$C$5&gt;I161,IF(N(M161)&gt;0,"一部入金・超過","期日超過"),IF(N(M161)&gt;0,"一部入金",IF(I161-設定!$C$5&lt;=設定!$C$6,"期日間近","入金待ち")))))))))</f>
        <v/>
      </c>
      <c r="S161" s="29" t="str">
        <f aca="false">IF(OR(R161="期日超過",R161="一部入金・超過"),設定!$C$5-I161,"")</f>
        <v/>
      </c>
      <c r="T161" s="21" t="str">
        <f aca="false">IF(A161="","",TRIM(IF(B161="","請求日 ","")&amp;IF(C161="","取引先 ",IF(D161="コード誤り","取引先コード誤り ",""))&amp;IF(E161="","件名 ","")&amp;IF(F161="","請求額 ","")&amp;IF(AND(F161&lt;&gt;"",I161=""),"入金期日(マスタの支払条件が未登録) ","")&amp;IF(J161="","送付方法 ","")&amp;IF(AND(K161&lt;&gt;"",L161=""),"送付者 ","")&amp;IF(AND(K161&lt;&gt;"",N(K161)&gt;設定!$C$5),"送付日が未来の日付 ","")&amp;IF(AND(K161&lt;&gt;"",N(M161)&gt;0,N(P161)&lt;=0,U161=""),"消込確認者 ","")))</f>
        <v/>
      </c>
      <c r="U161" s="26"/>
      <c r="V161" s="26"/>
    </row>
    <row r="162" customFormat="false" ht="15" hidden="false" customHeight="false" outlineLevel="0" collapsed="false">
      <c r="A162" s="21" t="str">
        <f aca="false">IF(COUNTA(B162,C162,E162,F162)=0,"",設定!$C$4&amp;TEXT(ROW()-4,"00000"))</f>
        <v/>
      </c>
      <c r="B162" s="22"/>
      <c r="C162" s="23"/>
      <c r="D162" s="21" t="str">
        <f aca="false">IF(C162="","",IFERROR(INDEX(取引先マスタ!$B$5:$B$204,MATCH(C162,取引先マスタ!$A$5:$A$204,0)),"コード誤り"))</f>
        <v/>
      </c>
      <c r="E162" s="26"/>
      <c r="F162" s="18"/>
      <c r="G162" s="25" t="str">
        <f aca="false">IF(OR(B162="",C162="",D162="コード誤り"),"",IFERROR(IF(OR(INDEX(取引先マスタ!$E$5:$E$204,MATCH(C162,取引先マスタ!$A$5:$A$204,0))="",INDEX(取引先マスタ!$F$5:$F$204,MATCH(C162,取引先マスタ!$A$5:$A$204,0))=""),"",DATE(YEAR(B162),MONTH(B162)+INDEX(取引先マスタ!$E$5:$E$204,MATCH(C162,取引先マスタ!$A$5:$A$204,0)),MIN(INDEX(取引先マスタ!$F$5:$F$204,MATCH(C162,取引先マスタ!$A$5:$A$204,0)),DAY(EOMONTH(B162,INDEX(取引先マスタ!$E$5:$E$204,MATCH(C162,取引先マスタ!$A$5:$A$204,0))))))),""))</f>
        <v/>
      </c>
      <c r="H162" s="22"/>
      <c r="I162" s="25" t="str">
        <f aca="false">IF(H162&lt;&gt;"",H162,G162)</f>
        <v/>
      </c>
      <c r="J162" s="26"/>
      <c r="K162" s="22"/>
      <c r="L162" s="26"/>
      <c r="M162" s="27" t="str">
        <f aca="false">IF(A162="","",SUMIF(入金明細!$F$5:$F$1004,A162,入金明細!$E$5:$E$1004))</f>
        <v/>
      </c>
      <c r="N162" s="25" t="str">
        <f aca="false">IF(OR(A162="",N(M162)=0),"",SUMPRODUCT(MAX((入金明細!$F$5:$F$1004=A162)*入金明細!$B$5:$B$1004)))</f>
        <v/>
      </c>
      <c r="O162" s="18"/>
      <c r="P162" s="27" t="str">
        <f aca="false">IF(OR(A162="",F162=""),"",F162-N(M162)-N(O162))</f>
        <v/>
      </c>
      <c r="Q162" s="26"/>
      <c r="R162" s="28" t="str">
        <f aca="false">IF(A162="","",IF(Q162="取消","取消",IF(T162&lt;&gt;"","要入力",IF(K162="","未送付",IF(P162=0,"入金済",IF(P162&lt;0,"過入金",IF(設定!$C$5&gt;I162,IF(N(M162)&gt;0,"一部入金・超過","期日超過"),IF(N(M162)&gt;0,"一部入金",IF(I162-設定!$C$5&lt;=設定!$C$6,"期日間近","入金待ち")))))))))</f>
        <v/>
      </c>
      <c r="S162" s="29" t="str">
        <f aca="false">IF(OR(R162="期日超過",R162="一部入金・超過"),設定!$C$5-I162,"")</f>
        <v/>
      </c>
      <c r="T162" s="21" t="str">
        <f aca="false">IF(A162="","",TRIM(IF(B162="","請求日 ","")&amp;IF(C162="","取引先 ",IF(D162="コード誤り","取引先コード誤り ",""))&amp;IF(E162="","件名 ","")&amp;IF(F162="","請求額 ","")&amp;IF(AND(F162&lt;&gt;"",I162=""),"入金期日(マスタの支払条件が未登録) ","")&amp;IF(J162="","送付方法 ","")&amp;IF(AND(K162&lt;&gt;"",L162=""),"送付者 ","")&amp;IF(AND(K162&lt;&gt;"",N(K162)&gt;設定!$C$5),"送付日が未来の日付 ","")&amp;IF(AND(K162&lt;&gt;"",N(M162)&gt;0,N(P162)&lt;=0,U162=""),"消込確認者 ","")))</f>
        <v/>
      </c>
      <c r="U162" s="26"/>
      <c r="V162" s="26"/>
    </row>
    <row r="163" customFormat="false" ht="15" hidden="false" customHeight="false" outlineLevel="0" collapsed="false">
      <c r="A163" s="21" t="str">
        <f aca="false">IF(COUNTA(B163,C163,E163,F163)=0,"",設定!$C$4&amp;TEXT(ROW()-4,"00000"))</f>
        <v/>
      </c>
      <c r="B163" s="22"/>
      <c r="C163" s="23"/>
      <c r="D163" s="21" t="str">
        <f aca="false">IF(C163="","",IFERROR(INDEX(取引先マスタ!$B$5:$B$204,MATCH(C163,取引先マスタ!$A$5:$A$204,0)),"コード誤り"))</f>
        <v/>
      </c>
      <c r="E163" s="26"/>
      <c r="F163" s="18"/>
      <c r="G163" s="25" t="str">
        <f aca="false">IF(OR(B163="",C163="",D163="コード誤り"),"",IFERROR(IF(OR(INDEX(取引先マスタ!$E$5:$E$204,MATCH(C163,取引先マスタ!$A$5:$A$204,0))="",INDEX(取引先マスタ!$F$5:$F$204,MATCH(C163,取引先マスタ!$A$5:$A$204,0))=""),"",DATE(YEAR(B163),MONTH(B163)+INDEX(取引先マスタ!$E$5:$E$204,MATCH(C163,取引先マスタ!$A$5:$A$204,0)),MIN(INDEX(取引先マスタ!$F$5:$F$204,MATCH(C163,取引先マスタ!$A$5:$A$204,0)),DAY(EOMONTH(B163,INDEX(取引先マスタ!$E$5:$E$204,MATCH(C163,取引先マスタ!$A$5:$A$204,0))))))),""))</f>
        <v/>
      </c>
      <c r="H163" s="22"/>
      <c r="I163" s="25" t="str">
        <f aca="false">IF(H163&lt;&gt;"",H163,G163)</f>
        <v/>
      </c>
      <c r="J163" s="26"/>
      <c r="K163" s="22"/>
      <c r="L163" s="26"/>
      <c r="M163" s="27" t="str">
        <f aca="false">IF(A163="","",SUMIF(入金明細!$F$5:$F$1004,A163,入金明細!$E$5:$E$1004))</f>
        <v/>
      </c>
      <c r="N163" s="25" t="str">
        <f aca="false">IF(OR(A163="",N(M163)=0),"",SUMPRODUCT(MAX((入金明細!$F$5:$F$1004=A163)*入金明細!$B$5:$B$1004)))</f>
        <v/>
      </c>
      <c r="O163" s="18"/>
      <c r="P163" s="27" t="str">
        <f aca="false">IF(OR(A163="",F163=""),"",F163-N(M163)-N(O163))</f>
        <v/>
      </c>
      <c r="Q163" s="26"/>
      <c r="R163" s="28" t="str">
        <f aca="false">IF(A163="","",IF(Q163="取消","取消",IF(T163&lt;&gt;"","要入力",IF(K163="","未送付",IF(P163=0,"入金済",IF(P163&lt;0,"過入金",IF(設定!$C$5&gt;I163,IF(N(M163)&gt;0,"一部入金・超過","期日超過"),IF(N(M163)&gt;0,"一部入金",IF(I163-設定!$C$5&lt;=設定!$C$6,"期日間近","入金待ち")))))))))</f>
        <v/>
      </c>
      <c r="S163" s="29" t="str">
        <f aca="false">IF(OR(R163="期日超過",R163="一部入金・超過"),設定!$C$5-I163,"")</f>
        <v/>
      </c>
      <c r="T163" s="21" t="str">
        <f aca="false">IF(A163="","",TRIM(IF(B163="","請求日 ","")&amp;IF(C163="","取引先 ",IF(D163="コード誤り","取引先コード誤り ",""))&amp;IF(E163="","件名 ","")&amp;IF(F163="","請求額 ","")&amp;IF(AND(F163&lt;&gt;"",I163=""),"入金期日(マスタの支払条件が未登録) ","")&amp;IF(J163="","送付方法 ","")&amp;IF(AND(K163&lt;&gt;"",L163=""),"送付者 ","")&amp;IF(AND(K163&lt;&gt;"",N(K163)&gt;設定!$C$5),"送付日が未来の日付 ","")&amp;IF(AND(K163&lt;&gt;"",N(M163)&gt;0,N(P163)&lt;=0,U163=""),"消込確認者 ","")))</f>
        <v/>
      </c>
      <c r="U163" s="26"/>
      <c r="V163" s="26"/>
    </row>
    <row r="164" customFormat="false" ht="15" hidden="false" customHeight="false" outlineLevel="0" collapsed="false">
      <c r="A164" s="21" t="str">
        <f aca="false">IF(COUNTA(B164,C164,E164,F164)=0,"",設定!$C$4&amp;TEXT(ROW()-4,"00000"))</f>
        <v/>
      </c>
      <c r="B164" s="22"/>
      <c r="C164" s="23"/>
      <c r="D164" s="21" t="str">
        <f aca="false">IF(C164="","",IFERROR(INDEX(取引先マスタ!$B$5:$B$204,MATCH(C164,取引先マスタ!$A$5:$A$204,0)),"コード誤り"))</f>
        <v/>
      </c>
      <c r="E164" s="26"/>
      <c r="F164" s="18"/>
      <c r="G164" s="25" t="str">
        <f aca="false">IF(OR(B164="",C164="",D164="コード誤り"),"",IFERROR(IF(OR(INDEX(取引先マスタ!$E$5:$E$204,MATCH(C164,取引先マスタ!$A$5:$A$204,0))="",INDEX(取引先マスタ!$F$5:$F$204,MATCH(C164,取引先マスタ!$A$5:$A$204,0))=""),"",DATE(YEAR(B164),MONTH(B164)+INDEX(取引先マスタ!$E$5:$E$204,MATCH(C164,取引先マスタ!$A$5:$A$204,0)),MIN(INDEX(取引先マスタ!$F$5:$F$204,MATCH(C164,取引先マスタ!$A$5:$A$204,0)),DAY(EOMONTH(B164,INDEX(取引先マスタ!$E$5:$E$204,MATCH(C164,取引先マスタ!$A$5:$A$204,0))))))),""))</f>
        <v/>
      </c>
      <c r="H164" s="22"/>
      <c r="I164" s="25" t="str">
        <f aca="false">IF(H164&lt;&gt;"",H164,G164)</f>
        <v/>
      </c>
      <c r="J164" s="26"/>
      <c r="K164" s="22"/>
      <c r="L164" s="26"/>
      <c r="M164" s="27" t="str">
        <f aca="false">IF(A164="","",SUMIF(入金明細!$F$5:$F$1004,A164,入金明細!$E$5:$E$1004))</f>
        <v/>
      </c>
      <c r="N164" s="25" t="str">
        <f aca="false">IF(OR(A164="",N(M164)=0),"",SUMPRODUCT(MAX((入金明細!$F$5:$F$1004=A164)*入金明細!$B$5:$B$1004)))</f>
        <v/>
      </c>
      <c r="O164" s="18"/>
      <c r="P164" s="27" t="str">
        <f aca="false">IF(OR(A164="",F164=""),"",F164-N(M164)-N(O164))</f>
        <v/>
      </c>
      <c r="Q164" s="26"/>
      <c r="R164" s="28" t="str">
        <f aca="false">IF(A164="","",IF(Q164="取消","取消",IF(T164&lt;&gt;"","要入力",IF(K164="","未送付",IF(P164=0,"入金済",IF(P164&lt;0,"過入金",IF(設定!$C$5&gt;I164,IF(N(M164)&gt;0,"一部入金・超過","期日超過"),IF(N(M164)&gt;0,"一部入金",IF(I164-設定!$C$5&lt;=設定!$C$6,"期日間近","入金待ち")))))))))</f>
        <v/>
      </c>
      <c r="S164" s="29" t="str">
        <f aca="false">IF(OR(R164="期日超過",R164="一部入金・超過"),設定!$C$5-I164,"")</f>
        <v/>
      </c>
      <c r="T164" s="21" t="str">
        <f aca="false">IF(A164="","",TRIM(IF(B164="","請求日 ","")&amp;IF(C164="","取引先 ",IF(D164="コード誤り","取引先コード誤り ",""))&amp;IF(E164="","件名 ","")&amp;IF(F164="","請求額 ","")&amp;IF(AND(F164&lt;&gt;"",I164=""),"入金期日(マスタの支払条件が未登録) ","")&amp;IF(J164="","送付方法 ","")&amp;IF(AND(K164&lt;&gt;"",L164=""),"送付者 ","")&amp;IF(AND(K164&lt;&gt;"",N(K164)&gt;設定!$C$5),"送付日が未来の日付 ","")&amp;IF(AND(K164&lt;&gt;"",N(M164)&gt;0,N(P164)&lt;=0,U164=""),"消込確認者 ","")))</f>
        <v/>
      </c>
      <c r="U164" s="26"/>
      <c r="V164" s="26"/>
    </row>
    <row r="165" customFormat="false" ht="15" hidden="false" customHeight="false" outlineLevel="0" collapsed="false">
      <c r="A165" s="21" t="str">
        <f aca="false">IF(COUNTA(B165,C165,E165,F165)=0,"",設定!$C$4&amp;TEXT(ROW()-4,"00000"))</f>
        <v/>
      </c>
      <c r="B165" s="22"/>
      <c r="C165" s="23"/>
      <c r="D165" s="21" t="str">
        <f aca="false">IF(C165="","",IFERROR(INDEX(取引先マスタ!$B$5:$B$204,MATCH(C165,取引先マスタ!$A$5:$A$204,0)),"コード誤り"))</f>
        <v/>
      </c>
      <c r="E165" s="26"/>
      <c r="F165" s="18"/>
      <c r="G165" s="25" t="str">
        <f aca="false">IF(OR(B165="",C165="",D165="コード誤り"),"",IFERROR(IF(OR(INDEX(取引先マスタ!$E$5:$E$204,MATCH(C165,取引先マスタ!$A$5:$A$204,0))="",INDEX(取引先マスタ!$F$5:$F$204,MATCH(C165,取引先マスタ!$A$5:$A$204,0))=""),"",DATE(YEAR(B165),MONTH(B165)+INDEX(取引先マスタ!$E$5:$E$204,MATCH(C165,取引先マスタ!$A$5:$A$204,0)),MIN(INDEX(取引先マスタ!$F$5:$F$204,MATCH(C165,取引先マスタ!$A$5:$A$204,0)),DAY(EOMONTH(B165,INDEX(取引先マスタ!$E$5:$E$204,MATCH(C165,取引先マスタ!$A$5:$A$204,0))))))),""))</f>
        <v/>
      </c>
      <c r="H165" s="22"/>
      <c r="I165" s="25" t="str">
        <f aca="false">IF(H165&lt;&gt;"",H165,G165)</f>
        <v/>
      </c>
      <c r="J165" s="26"/>
      <c r="K165" s="22"/>
      <c r="L165" s="26"/>
      <c r="M165" s="27" t="str">
        <f aca="false">IF(A165="","",SUMIF(入金明細!$F$5:$F$1004,A165,入金明細!$E$5:$E$1004))</f>
        <v/>
      </c>
      <c r="N165" s="25" t="str">
        <f aca="false">IF(OR(A165="",N(M165)=0),"",SUMPRODUCT(MAX((入金明細!$F$5:$F$1004=A165)*入金明細!$B$5:$B$1004)))</f>
        <v/>
      </c>
      <c r="O165" s="18"/>
      <c r="P165" s="27" t="str">
        <f aca="false">IF(OR(A165="",F165=""),"",F165-N(M165)-N(O165))</f>
        <v/>
      </c>
      <c r="Q165" s="26"/>
      <c r="R165" s="28" t="str">
        <f aca="false">IF(A165="","",IF(Q165="取消","取消",IF(T165&lt;&gt;"","要入力",IF(K165="","未送付",IF(P165=0,"入金済",IF(P165&lt;0,"過入金",IF(設定!$C$5&gt;I165,IF(N(M165)&gt;0,"一部入金・超過","期日超過"),IF(N(M165)&gt;0,"一部入金",IF(I165-設定!$C$5&lt;=設定!$C$6,"期日間近","入金待ち")))))))))</f>
        <v/>
      </c>
      <c r="S165" s="29" t="str">
        <f aca="false">IF(OR(R165="期日超過",R165="一部入金・超過"),設定!$C$5-I165,"")</f>
        <v/>
      </c>
      <c r="T165" s="21" t="str">
        <f aca="false">IF(A165="","",TRIM(IF(B165="","請求日 ","")&amp;IF(C165="","取引先 ",IF(D165="コード誤り","取引先コード誤り ",""))&amp;IF(E165="","件名 ","")&amp;IF(F165="","請求額 ","")&amp;IF(AND(F165&lt;&gt;"",I165=""),"入金期日(マスタの支払条件が未登録) ","")&amp;IF(J165="","送付方法 ","")&amp;IF(AND(K165&lt;&gt;"",L165=""),"送付者 ","")&amp;IF(AND(K165&lt;&gt;"",N(K165)&gt;設定!$C$5),"送付日が未来の日付 ","")&amp;IF(AND(K165&lt;&gt;"",N(M165)&gt;0,N(P165)&lt;=0,U165=""),"消込確認者 ","")))</f>
        <v/>
      </c>
      <c r="U165" s="26"/>
      <c r="V165" s="26"/>
    </row>
    <row r="166" customFormat="false" ht="15" hidden="false" customHeight="false" outlineLevel="0" collapsed="false">
      <c r="A166" s="21" t="str">
        <f aca="false">IF(COUNTA(B166,C166,E166,F166)=0,"",設定!$C$4&amp;TEXT(ROW()-4,"00000"))</f>
        <v/>
      </c>
      <c r="B166" s="22"/>
      <c r="C166" s="23"/>
      <c r="D166" s="21" t="str">
        <f aca="false">IF(C166="","",IFERROR(INDEX(取引先マスタ!$B$5:$B$204,MATCH(C166,取引先マスタ!$A$5:$A$204,0)),"コード誤り"))</f>
        <v/>
      </c>
      <c r="E166" s="26"/>
      <c r="F166" s="18"/>
      <c r="G166" s="25" t="str">
        <f aca="false">IF(OR(B166="",C166="",D166="コード誤り"),"",IFERROR(IF(OR(INDEX(取引先マスタ!$E$5:$E$204,MATCH(C166,取引先マスタ!$A$5:$A$204,0))="",INDEX(取引先マスタ!$F$5:$F$204,MATCH(C166,取引先マスタ!$A$5:$A$204,0))=""),"",DATE(YEAR(B166),MONTH(B166)+INDEX(取引先マスタ!$E$5:$E$204,MATCH(C166,取引先マスタ!$A$5:$A$204,0)),MIN(INDEX(取引先マスタ!$F$5:$F$204,MATCH(C166,取引先マスタ!$A$5:$A$204,0)),DAY(EOMONTH(B166,INDEX(取引先マスタ!$E$5:$E$204,MATCH(C166,取引先マスタ!$A$5:$A$204,0))))))),""))</f>
        <v/>
      </c>
      <c r="H166" s="22"/>
      <c r="I166" s="25" t="str">
        <f aca="false">IF(H166&lt;&gt;"",H166,G166)</f>
        <v/>
      </c>
      <c r="J166" s="26"/>
      <c r="K166" s="22"/>
      <c r="L166" s="26"/>
      <c r="M166" s="27" t="str">
        <f aca="false">IF(A166="","",SUMIF(入金明細!$F$5:$F$1004,A166,入金明細!$E$5:$E$1004))</f>
        <v/>
      </c>
      <c r="N166" s="25" t="str">
        <f aca="false">IF(OR(A166="",N(M166)=0),"",SUMPRODUCT(MAX((入金明細!$F$5:$F$1004=A166)*入金明細!$B$5:$B$1004)))</f>
        <v/>
      </c>
      <c r="O166" s="18"/>
      <c r="P166" s="27" t="str">
        <f aca="false">IF(OR(A166="",F166=""),"",F166-N(M166)-N(O166))</f>
        <v/>
      </c>
      <c r="Q166" s="26"/>
      <c r="R166" s="28" t="str">
        <f aca="false">IF(A166="","",IF(Q166="取消","取消",IF(T166&lt;&gt;"","要入力",IF(K166="","未送付",IF(P166=0,"入金済",IF(P166&lt;0,"過入金",IF(設定!$C$5&gt;I166,IF(N(M166)&gt;0,"一部入金・超過","期日超過"),IF(N(M166)&gt;0,"一部入金",IF(I166-設定!$C$5&lt;=設定!$C$6,"期日間近","入金待ち")))))))))</f>
        <v/>
      </c>
      <c r="S166" s="29" t="str">
        <f aca="false">IF(OR(R166="期日超過",R166="一部入金・超過"),設定!$C$5-I166,"")</f>
        <v/>
      </c>
      <c r="T166" s="21" t="str">
        <f aca="false">IF(A166="","",TRIM(IF(B166="","請求日 ","")&amp;IF(C166="","取引先 ",IF(D166="コード誤り","取引先コード誤り ",""))&amp;IF(E166="","件名 ","")&amp;IF(F166="","請求額 ","")&amp;IF(AND(F166&lt;&gt;"",I166=""),"入金期日(マスタの支払条件が未登録) ","")&amp;IF(J166="","送付方法 ","")&amp;IF(AND(K166&lt;&gt;"",L166=""),"送付者 ","")&amp;IF(AND(K166&lt;&gt;"",N(K166)&gt;設定!$C$5),"送付日が未来の日付 ","")&amp;IF(AND(K166&lt;&gt;"",N(M166)&gt;0,N(P166)&lt;=0,U166=""),"消込確認者 ","")))</f>
        <v/>
      </c>
      <c r="U166" s="26"/>
      <c r="V166" s="26"/>
    </row>
    <row r="167" customFormat="false" ht="15" hidden="false" customHeight="false" outlineLevel="0" collapsed="false">
      <c r="A167" s="21" t="str">
        <f aca="false">IF(COUNTA(B167,C167,E167,F167)=0,"",設定!$C$4&amp;TEXT(ROW()-4,"00000"))</f>
        <v/>
      </c>
      <c r="B167" s="22"/>
      <c r="C167" s="23"/>
      <c r="D167" s="21" t="str">
        <f aca="false">IF(C167="","",IFERROR(INDEX(取引先マスタ!$B$5:$B$204,MATCH(C167,取引先マスタ!$A$5:$A$204,0)),"コード誤り"))</f>
        <v/>
      </c>
      <c r="E167" s="26"/>
      <c r="F167" s="18"/>
      <c r="G167" s="25" t="str">
        <f aca="false">IF(OR(B167="",C167="",D167="コード誤り"),"",IFERROR(IF(OR(INDEX(取引先マスタ!$E$5:$E$204,MATCH(C167,取引先マスタ!$A$5:$A$204,0))="",INDEX(取引先マスタ!$F$5:$F$204,MATCH(C167,取引先マスタ!$A$5:$A$204,0))=""),"",DATE(YEAR(B167),MONTH(B167)+INDEX(取引先マスタ!$E$5:$E$204,MATCH(C167,取引先マスタ!$A$5:$A$204,0)),MIN(INDEX(取引先マスタ!$F$5:$F$204,MATCH(C167,取引先マスタ!$A$5:$A$204,0)),DAY(EOMONTH(B167,INDEX(取引先マスタ!$E$5:$E$204,MATCH(C167,取引先マスタ!$A$5:$A$204,0))))))),""))</f>
        <v/>
      </c>
      <c r="H167" s="22"/>
      <c r="I167" s="25" t="str">
        <f aca="false">IF(H167&lt;&gt;"",H167,G167)</f>
        <v/>
      </c>
      <c r="J167" s="26"/>
      <c r="K167" s="22"/>
      <c r="L167" s="26"/>
      <c r="M167" s="27" t="str">
        <f aca="false">IF(A167="","",SUMIF(入金明細!$F$5:$F$1004,A167,入金明細!$E$5:$E$1004))</f>
        <v/>
      </c>
      <c r="N167" s="25" t="str">
        <f aca="false">IF(OR(A167="",N(M167)=0),"",SUMPRODUCT(MAX((入金明細!$F$5:$F$1004=A167)*入金明細!$B$5:$B$1004)))</f>
        <v/>
      </c>
      <c r="O167" s="18"/>
      <c r="P167" s="27" t="str">
        <f aca="false">IF(OR(A167="",F167=""),"",F167-N(M167)-N(O167))</f>
        <v/>
      </c>
      <c r="Q167" s="26"/>
      <c r="R167" s="28" t="str">
        <f aca="false">IF(A167="","",IF(Q167="取消","取消",IF(T167&lt;&gt;"","要入力",IF(K167="","未送付",IF(P167=0,"入金済",IF(P167&lt;0,"過入金",IF(設定!$C$5&gt;I167,IF(N(M167)&gt;0,"一部入金・超過","期日超過"),IF(N(M167)&gt;0,"一部入金",IF(I167-設定!$C$5&lt;=設定!$C$6,"期日間近","入金待ち")))))))))</f>
        <v/>
      </c>
      <c r="S167" s="29" t="str">
        <f aca="false">IF(OR(R167="期日超過",R167="一部入金・超過"),設定!$C$5-I167,"")</f>
        <v/>
      </c>
      <c r="T167" s="21" t="str">
        <f aca="false">IF(A167="","",TRIM(IF(B167="","請求日 ","")&amp;IF(C167="","取引先 ",IF(D167="コード誤り","取引先コード誤り ",""))&amp;IF(E167="","件名 ","")&amp;IF(F167="","請求額 ","")&amp;IF(AND(F167&lt;&gt;"",I167=""),"入金期日(マスタの支払条件が未登録) ","")&amp;IF(J167="","送付方法 ","")&amp;IF(AND(K167&lt;&gt;"",L167=""),"送付者 ","")&amp;IF(AND(K167&lt;&gt;"",N(K167)&gt;設定!$C$5),"送付日が未来の日付 ","")&amp;IF(AND(K167&lt;&gt;"",N(M167)&gt;0,N(P167)&lt;=0,U167=""),"消込確認者 ","")))</f>
        <v/>
      </c>
      <c r="U167" s="26"/>
      <c r="V167" s="26"/>
    </row>
    <row r="168" customFormat="false" ht="15" hidden="false" customHeight="false" outlineLevel="0" collapsed="false">
      <c r="A168" s="21" t="str">
        <f aca="false">IF(COUNTA(B168,C168,E168,F168)=0,"",設定!$C$4&amp;TEXT(ROW()-4,"00000"))</f>
        <v/>
      </c>
      <c r="B168" s="22"/>
      <c r="C168" s="23"/>
      <c r="D168" s="21" t="str">
        <f aca="false">IF(C168="","",IFERROR(INDEX(取引先マスタ!$B$5:$B$204,MATCH(C168,取引先マスタ!$A$5:$A$204,0)),"コード誤り"))</f>
        <v/>
      </c>
      <c r="E168" s="26"/>
      <c r="F168" s="18"/>
      <c r="G168" s="25" t="str">
        <f aca="false">IF(OR(B168="",C168="",D168="コード誤り"),"",IFERROR(IF(OR(INDEX(取引先マスタ!$E$5:$E$204,MATCH(C168,取引先マスタ!$A$5:$A$204,0))="",INDEX(取引先マスタ!$F$5:$F$204,MATCH(C168,取引先マスタ!$A$5:$A$204,0))=""),"",DATE(YEAR(B168),MONTH(B168)+INDEX(取引先マスタ!$E$5:$E$204,MATCH(C168,取引先マスタ!$A$5:$A$204,0)),MIN(INDEX(取引先マスタ!$F$5:$F$204,MATCH(C168,取引先マスタ!$A$5:$A$204,0)),DAY(EOMONTH(B168,INDEX(取引先マスタ!$E$5:$E$204,MATCH(C168,取引先マスタ!$A$5:$A$204,0))))))),""))</f>
        <v/>
      </c>
      <c r="H168" s="22"/>
      <c r="I168" s="25" t="str">
        <f aca="false">IF(H168&lt;&gt;"",H168,G168)</f>
        <v/>
      </c>
      <c r="J168" s="26"/>
      <c r="K168" s="22"/>
      <c r="L168" s="26"/>
      <c r="M168" s="27" t="str">
        <f aca="false">IF(A168="","",SUMIF(入金明細!$F$5:$F$1004,A168,入金明細!$E$5:$E$1004))</f>
        <v/>
      </c>
      <c r="N168" s="25" t="str">
        <f aca="false">IF(OR(A168="",N(M168)=0),"",SUMPRODUCT(MAX((入金明細!$F$5:$F$1004=A168)*入金明細!$B$5:$B$1004)))</f>
        <v/>
      </c>
      <c r="O168" s="18"/>
      <c r="P168" s="27" t="str">
        <f aca="false">IF(OR(A168="",F168=""),"",F168-N(M168)-N(O168))</f>
        <v/>
      </c>
      <c r="Q168" s="26"/>
      <c r="R168" s="28" t="str">
        <f aca="false">IF(A168="","",IF(Q168="取消","取消",IF(T168&lt;&gt;"","要入力",IF(K168="","未送付",IF(P168=0,"入金済",IF(P168&lt;0,"過入金",IF(設定!$C$5&gt;I168,IF(N(M168)&gt;0,"一部入金・超過","期日超過"),IF(N(M168)&gt;0,"一部入金",IF(I168-設定!$C$5&lt;=設定!$C$6,"期日間近","入金待ち")))))))))</f>
        <v/>
      </c>
      <c r="S168" s="29" t="str">
        <f aca="false">IF(OR(R168="期日超過",R168="一部入金・超過"),設定!$C$5-I168,"")</f>
        <v/>
      </c>
      <c r="T168" s="21" t="str">
        <f aca="false">IF(A168="","",TRIM(IF(B168="","請求日 ","")&amp;IF(C168="","取引先 ",IF(D168="コード誤り","取引先コード誤り ",""))&amp;IF(E168="","件名 ","")&amp;IF(F168="","請求額 ","")&amp;IF(AND(F168&lt;&gt;"",I168=""),"入金期日(マスタの支払条件が未登録) ","")&amp;IF(J168="","送付方法 ","")&amp;IF(AND(K168&lt;&gt;"",L168=""),"送付者 ","")&amp;IF(AND(K168&lt;&gt;"",N(K168)&gt;設定!$C$5),"送付日が未来の日付 ","")&amp;IF(AND(K168&lt;&gt;"",N(M168)&gt;0,N(P168)&lt;=0,U168=""),"消込確認者 ","")))</f>
        <v/>
      </c>
      <c r="U168" s="26"/>
      <c r="V168" s="26"/>
    </row>
    <row r="169" customFormat="false" ht="15" hidden="false" customHeight="false" outlineLevel="0" collapsed="false">
      <c r="A169" s="21" t="str">
        <f aca="false">IF(COUNTA(B169,C169,E169,F169)=0,"",設定!$C$4&amp;TEXT(ROW()-4,"00000"))</f>
        <v/>
      </c>
      <c r="B169" s="22"/>
      <c r="C169" s="23"/>
      <c r="D169" s="21" t="str">
        <f aca="false">IF(C169="","",IFERROR(INDEX(取引先マスタ!$B$5:$B$204,MATCH(C169,取引先マスタ!$A$5:$A$204,0)),"コード誤り"))</f>
        <v/>
      </c>
      <c r="E169" s="26"/>
      <c r="F169" s="18"/>
      <c r="G169" s="25" t="str">
        <f aca="false">IF(OR(B169="",C169="",D169="コード誤り"),"",IFERROR(IF(OR(INDEX(取引先マスタ!$E$5:$E$204,MATCH(C169,取引先マスタ!$A$5:$A$204,0))="",INDEX(取引先マスタ!$F$5:$F$204,MATCH(C169,取引先マスタ!$A$5:$A$204,0))=""),"",DATE(YEAR(B169),MONTH(B169)+INDEX(取引先マスタ!$E$5:$E$204,MATCH(C169,取引先マスタ!$A$5:$A$204,0)),MIN(INDEX(取引先マスタ!$F$5:$F$204,MATCH(C169,取引先マスタ!$A$5:$A$204,0)),DAY(EOMONTH(B169,INDEX(取引先マスタ!$E$5:$E$204,MATCH(C169,取引先マスタ!$A$5:$A$204,0))))))),""))</f>
        <v/>
      </c>
      <c r="H169" s="22"/>
      <c r="I169" s="25" t="str">
        <f aca="false">IF(H169&lt;&gt;"",H169,G169)</f>
        <v/>
      </c>
      <c r="J169" s="26"/>
      <c r="K169" s="22"/>
      <c r="L169" s="26"/>
      <c r="M169" s="27" t="str">
        <f aca="false">IF(A169="","",SUMIF(入金明細!$F$5:$F$1004,A169,入金明細!$E$5:$E$1004))</f>
        <v/>
      </c>
      <c r="N169" s="25" t="str">
        <f aca="false">IF(OR(A169="",N(M169)=0),"",SUMPRODUCT(MAX((入金明細!$F$5:$F$1004=A169)*入金明細!$B$5:$B$1004)))</f>
        <v/>
      </c>
      <c r="O169" s="18"/>
      <c r="P169" s="27" t="str">
        <f aca="false">IF(OR(A169="",F169=""),"",F169-N(M169)-N(O169))</f>
        <v/>
      </c>
      <c r="Q169" s="26"/>
      <c r="R169" s="28" t="str">
        <f aca="false">IF(A169="","",IF(Q169="取消","取消",IF(T169&lt;&gt;"","要入力",IF(K169="","未送付",IF(P169=0,"入金済",IF(P169&lt;0,"過入金",IF(設定!$C$5&gt;I169,IF(N(M169)&gt;0,"一部入金・超過","期日超過"),IF(N(M169)&gt;0,"一部入金",IF(I169-設定!$C$5&lt;=設定!$C$6,"期日間近","入金待ち")))))))))</f>
        <v/>
      </c>
      <c r="S169" s="29" t="str">
        <f aca="false">IF(OR(R169="期日超過",R169="一部入金・超過"),設定!$C$5-I169,"")</f>
        <v/>
      </c>
      <c r="T169" s="21" t="str">
        <f aca="false">IF(A169="","",TRIM(IF(B169="","請求日 ","")&amp;IF(C169="","取引先 ",IF(D169="コード誤り","取引先コード誤り ",""))&amp;IF(E169="","件名 ","")&amp;IF(F169="","請求額 ","")&amp;IF(AND(F169&lt;&gt;"",I169=""),"入金期日(マスタの支払条件が未登録) ","")&amp;IF(J169="","送付方法 ","")&amp;IF(AND(K169&lt;&gt;"",L169=""),"送付者 ","")&amp;IF(AND(K169&lt;&gt;"",N(K169)&gt;設定!$C$5),"送付日が未来の日付 ","")&amp;IF(AND(K169&lt;&gt;"",N(M169)&gt;0,N(P169)&lt;=0,U169=""),"消込確認者 ","")))</f>
        <v/>
      </c>
      <c r="U169" s="26"/>
      <c r="V169" s="26"/>
    </row>
    <row r="170" customFormat="false" ht="15" hidden="false" customHeight="false" outlineLevel="0" collapsed="false">
      <c r="A170" s="21" t="str">
        <f aca="false">IF(COUNTA(B170,C170,E170,F170)=0,"",設定!$C$4&amp;TEXT(ROW()-4,"00000"))</f>
        <v/>
      </c>
      <c r="B170" s="22"/>
      <c r="C170" s="23"/>
      <c r="D170" s="21" t="str">
        <f aca="false">IF(C170="","",IFERROR(INDEX(取引先マスタ!$B$5:$B$204,MATCH(C170,取引先マスタ!$A$5:$A$204,0)),"コード誤り"))</f>
        <v/>
      </c>
      <c r="E170" s="26"/>
      <c r="F170" s="18"/>
      <c r="G170" s="25" t="str">
        <f aca="false">IF(OR(B170="",C170="",D170="コード誤り"),"",IFERROR(IF(OR(INDEX(取引先マスタ!$E$5:$E$204,MATCH(C170,取引先マスタ!$A$5:$A$204,0))="",INDEX(取引先マスタ!$F$5:$F$204,MATCH(C170,取引先マスタ!$A$5:$A$204,0))=""),"",DATE(YEAR(B170),MONTH(B170)+INDEX(取引先マスタ!$E$5:$E$204,MATCH(C170,取引先マスタ!$A$5:$A$204,0)),MIN(INDEX(取引先マスタ!$F$5:$F$204,MATCH(C170,取引先マスタ!$A$5:$A$204,0)),DAY(EOMONTH(B170,INDEX(取引先マスタ!$E$5:$E$204,MATCH(C170,取引先マスタ!$A$5:$A$204,0))))))),""))</f>
        <v/>
      </c>
      <c r="H170" s="22"/>
      <c r="I170" s="25" t="str">
        <f aca="false">IF(H170&lt;&gt;"",H170,G170)</f>
        <v/>
      </c>
      <c r="J170" s="26"/>
      <c r="K170" s="22"/>
      <c r="L170" s="26"/>
      <c r="M170" s="27" t="str">
        <f aca="false">IF(A170="","",SUMIF(入金明細!$F$5:$F$1004,A170,入金明細!$E$5:$E$1004))</f>
        <v/>
      </c>
      <c r="N170" s="25" t="str">
        <f aca="false">IF(OR(A170="",N(M170)=0),"",SUMPRODUCT(MAX((入金明細!$F$5:$F$1004=A170)*入金明細!$B$5:$B$1004)))</f>
        <v/>
      </c>
      <c r="O170" s="18"/>
      <c r="P170" s="27" t="str">
        <f aca="false">IF(OR(A170="",F170=""),"",F170-N(M170)-N(O170))</f>
        <v/>
      </c>
      <c r="Q170" s="26"/>
      <c r="R170" s="28" t="str">
        <f aca="false">IF(A170="","",IF(Q170="取消","取消",IF(T170&lt;&gt;"","要入力",IF(K170="","未送付",IF(P170=0,"入金済",IF(P170&lt;0,"過入金",IF(設定!$C$5&gt;I170,IF(N(M170)&gt;0,"一部入金・超過","期日超過"),IF(N(M170)&gt;0,"一部入金",IF(I170-設定!$C$5&lt;=設定!$C$6,"期日間近","入金待ち")))))))))</f>
        <v/>
      </c>
      <c r="S170" s="29" t="str">
        <f aca="false">IF(OR(R170="期日超過",R170="一部入金・超過"),設定!$C$5-I170,"")</f>
        <v/>
      </c>
      <c r="T170" s="21" t="str">
        <f aca="false">IF(A170="","",TRIM(IF(B170="","請求日 ","")&amp;IF(C170="","取引先 ",IF(D170="コード誤り","取引先コード誤り ",""))&amp;IF(E170="","件名 ","")&amp;IF(F170="","請求額 ","")&amp;IF(AND(F170&lt;&gt;"",I170=""),"入金期日(マスタの支払条件が未登録) ","")&amp;IF(J170="","送付方法 ","")&amp;IF(AND(K170&lt;&gt;"",L170=""),"送付者 ","")&amp;IF(AND(K170&lt;&gt;"",N(K170)&gt;設定!$C$5),"送付日が未来の日付 ","")&amp;IF(AND(K170&lt;&gt;"",N(M170)&gt;0,N(P170)&lt;=0,U170=""),"消込確認者 ","")))</f>
        <v/>
      </c>
      <c r="U170" s="26"/>
      <c r="V170" s="26"/>
    </row>
    <row r="171" customFormat="false" ht="15" hidden="false" customHeight="false" outlineLevel="0" collapsed="false">
      <c r="A171" s="21" t="str">
        <f aca="false">IF(COUNTA(B171,C171,E171,F171)=0,"",設定!$C$4&amp;TEXT(ROW()-4,"00000"))</f>
        <v/>
      </c>
      <c r="B171" s="22"/>
      <c r="C171" s="23"/>
      <c r="D171" s="21" t="str">
        <f aca="false">IF(C171="","",IFERROR(INDEX(取引先マスタ!$B$5:$B$204,MATCH(C171,取引先マスタ!$A$5:$A$204,0)),"コード誤り"))</f>
        <v/>
      </c>
      <c r="E171" s="26"/>
      <c r="F171" s="18"/>
      <c r="G171" s="25" t="str">
        <f aca="false">IF(OR(B171="",C171="",D171="コード誤り"),"",IFERROR(IF(OR(INDEX(取引先マスタ!$E$5:$E$204,MATCH(C171,取引先マスタ!$A$5:$A$204,0))="",INDEX(取引先マスタ!$F$5:$F$204,MATCH(C171,取引先マスタ!$A$5:$A$204,0))=""),"",DATE(YEAR(B171),MONTH(B171)+INDEX(取引先マスタ!$E$5:$E$204,MATCH(C171,取引先マスタ!$A$5:$A$204,0)),MIN(INDEX(取引先マスタ!$F$5:$F$204,MATCH(C171,取引先マスタ!$A$5:$A$204,0)),DAY(EOMONTH(B171,INDEX(取引先マスタ!$E$5:$E$204,MATCH(C171,取引先マスタ!$A$5:$A$204,0))))))),""))</f>
        <v/>
      </c>
      <c r="H171" s="22"/>
      <c r="I171" s="25" t="str">
        <f aca="false">IF(H171&lt;&gt;"",H171,G171)</f>
        <v/>
      </c>
      <c r="J171" s="26"/>
      <c r="K171" s="22"/>
      <c r="L171" s="26"/>
      <c r="M171" s="27" t="str">
        <f aca="false">IF(A171="","",SUMIF(入金明細!$F$5:$F$1004,A171,入金明細!$E$5:$E$1004))</f>
        <v/>
      </c>
      <c r="N171" s="25" t="str">
        <f aca="false">IF(OR(A171="",N(M171)=0),"",SUMPRODUCT(MAX((入金明細!$F$5:$F$1004=A171)*入金明細!$B$5:$B$1004)))</f>
        <v/>
      </c>
      <c r="O171" s="18"/>
      <c r="P171" s="27" t="str">
        <f aca="false">IF(OR(A171="",F171=""),"",F171-N(M171)-N(O171))</f>
        <v/>
      </c>
      <c r="Q171" s="26"/>
      <c r="R171" s="28" t="str">
        <f aca="false">IF(A171="","",IF(Q171="取消","取消",IF(T171&lt;&gt;"","要入力",IF(K171="","未送付",IF(P171=0,"入金済",IF(P171&lt;0,"過入金",IF(設定!$C$5&gt;I171,IF(N(M171)&gt;0,"一部入金・超過","期日超過"),IF(N(M171)&gt;0,"一部入金",IF(I171-設定!$C$5&lt;=設定!$C$6,"期日間近","入金待ち")))))))))</f>
        <v/>
      </c>
      <c r="S171" s="29" t="str">
        <f aca="false">IF(OR(R171="期日超過",R171="一部入金・超過"),設定!$C$5-I171,"")</f>
        <v/>
      </c>
      <c r="T171" s="21" t="str">
        <f aca="false">IF(A171="","",TRIM(IF(B171="","請求日 ","")&amp;IF(C171="","取引先 ",IF(D171="コード誤り","取引先コード誤り ",""))&amp;IF(E171="","件名 ","")&amp;IF(F171="","請求額 ","")&amp;IF(AND(F171&lt;&gt;"",I171=""),"入金期日(マスタの支払条件が未登録) ","")&amp;IF(J171="","送付方法 ","")&amp;IF(AND(K171&lt;&gt;"",L171=""),"送付者 ","")&amp;IF(AND(K171&lt;&gt;"",N(K171)&gt;設定!$C$5),"送付日が未来の日付 ","")&amp;IF(AND(K171&lt;&gt;"",N(M171)&gt;0,N(P171)&lt;=0,U171=""),"消込確認者 ","")))</f>
        <v/>
      </c>
      <c r="U171" s="26"/>
      <c r="V171" s="26"/>
    </row>
    <row r="172" customFormat="false" ht="15" hidden="false" customHeight="false" outlineLevel="0" collapsed="false">
      <c r="A172" s="21" t="str">
        <f aca="false">IF(COUNTA(B172,C172,E172,F172)=0,"",設定!$C$4&amp;TEXT(ROW()-4,"00000"))</f>
        <v/>
      </c>
      <c r="B172" s="22"/>
      <c r="C172" s="23"/>
      <c r="D172" s="21" t="str">
        <f aca="false">IF(C172="","",IFERROR(INDEX(取引先マスタ!$B$5:$B$204,MATCH(C172,取引先マスタ!$A$5:$A$204,0)),"コード誤り"))</f>
        <v/>
      </c>
      <c r="E172" s="26"/>
      <c r="F172" s="18"/>
      <c r="G172" s="25" t="str">
        <f aca="false">IF(OR(B172="",C172="",D172="コード誤り"),"",IFERROR(IF(OR(INDEX(取引先マスタ!$E$5:$E$204,MATCH(C172,取引先マスタ!$A$5:$A$204,0))="",INDEX(取引先マスタ!$F$5:$F$204,MATCH(C172,取引先マスタ!$A$5:$A$204,0))=""),"",DATE(YEAR(B172),MONTH(B172)+INDEX(取引先マスタ!$E$5:$E$204,MATCH(C172,取引先マスタ!$A$5:$A$204,0)),MIN(INDEX(取引先マスタ!$F$5:$F$204,MATCH(C172,取引先マスタ!$A$5:$A$204,0)),DAY(EOMONTH(B172,INDEX(取引先マスタ!$E$5:$E$204,MATCH(C172,取引先マスタ!$A$5:$A$204,0))))))),""))</f>
        <v/>
      </c>
      <c r="H172" s="22"/>
      <c r="I172" s="25" t="str">
        <f aca="false">IF(H172&lt;&gt;"",H172,G172)</f>
        <v/>
      </c>
      <c r="J172" s="26"/>
      <c r="K172" s="22"/>
      <c r="L172" s="26"/>
      <c r="M172" s="27" t="str">
        <f aca="false">IF(A172="","",SUMIF(入金明細!$F$5:$F$1004,A172,入金明細!$E$5:$E$1004))</f>
        <v/>
      </c>
      <c r="N172" s="25" t="str">
        <f aca="false">IF(OR(A172="",N(M172)=0),"",SUMPRODUCT(MAX((入金明細!$F$5:$F$1004=A172)*入金明細!$B$5:$B$1004)))</f>
        <v/>
      </c>
      <c r="O172" s="18"/>
      <c r="P172" s="27" t="str">
        <f aca="false">IF(OR(A172="",F172=""),"",F172-N(M172)-N(O172))</f>
        <v/>
      </c>
      <c r="Q172" s="26"/>
      <c r="R172" s="28" t="str">
        <f aca="false">IF(A172="","",IF(Q172="取消","取消",IF(T172&lt;&gt;"","要入力",IF(K172="","未送付",IF(P172=0,"入金済",IF(P172&lt;0,"過入金",IF(設定!$C$5&gt;I172,IF(N(M172)&gt;0,"一部入金・超過","期日超過"),IF(N(M172)&gt;0,"一部入金",IF(I172-設定!$C$5&lt;=設定!$C$6,"期日間近","入金待ち")))))))))</f>
        <v/>
      </c>
      <c r="S172" s="29" t="str">
        <f aca="false">IF(OR(R172="期日超過",R172="一部入金・超過"),設定!$C$5-I172,"")</f>
        <v/>
      </c>
      <c r="T172" s="21" t="str">
        <f aca="false">IF(A172="","",TRIM(IF(B172="","請求日 ","")&amp;IF(C172="","取引先 ",IF(D172="コード誤り","取引先コード誤り ",""))&amp;IF(E172="","件名 ","")&amp;IF(F172="","請求額 ","")&amp;IF(AND(F172&lt;&gt;"",I172=""),"入金期日(マスタの支払条件が未登録) ","")&amp;IF(J172="","送付方法 ","")&amp;IF(AND(K172&lt;&gt;"",L172=""),"送付者 ","")&amp;IF(AND(K172&lt;&gt;"",N(K172)&gt;設定!$C$5),"送付日が未来の日付 ","")&amp;IF(AND(K172&lt;&gt;"",N(M172)&gt;0,N(P172)&lt;=0,U172=""),"消込確認者 ","")))</f>
        <v/>
      </c>
      <c r="U172" s="26"/>
      <c r="V172" s="26"/>
    </row>
    <row r="173" customFormat="false" ht="15" hidden="false" customHeight="false" outlineLevel="0" collapsed="false">
      <c r="A173" s="21" t="str">
        <f aca="false">IF(COUNTA(B173,C173,E173,F173)=0,"",設定!$C$4&amp;TEXT(ROW()-4,"00000"))</f>
        <v/>
      </c>
      <c r="B173" s="22"/>
      <c r="C173" s="23"/>
      <c r="D173" s="21" t="str">
        <f aca="false">IF(C173="","",IFERROR(INDEX(取引先マスタ!$B$5:$B$204,MATCH(C173,取引先マスタ!$A$5:$A$204,0)),"コード誤り"))</f>
        <v/>
      </c>
      <c r="E173" s="26"/>
      <c r="F173" s="18"/>
      <c r="G173" s="25" t="str">
        <f aca="false">IF(OR(B173="",C173="",D173="コード誤り"),"",IFERROR(IF(OR(INDEX(取引先マスタ!$E$5:$E$204,MATCH(C173,取引先マスタ!$A$5:$A$204,0))="",INDEX(取引先マスタ!$F$5:$F$204,MATCH(C173,取引先マスタ!$A$5:$A$204,0))=""),"",DATE(YEAR(B173),MONTH(B173)+INDEX(取引先マスタ!$E$5:$E$204,MATCH(C173,取引先マスタ!$A$5:$A$204,0)),MIN(INDEX(取引先マスタ!$F$5:$F$204,MATCH(C173,取引先マスタ!$A$5:$A$204,0)),DAY(EOMONTH(B173,INDEX(取引先マスタ!$E$5:$E$204,MATCH(C173,取引先マスタ!$A$5:$A$204,0))))))),""))</f>
        <v/>
      </c>
      <c r="H173" s="22"/>
      <c r="I173" s="25" t="str">
        <f aca="false">IF(H173&lt;&gt;"",H173,G173)</f>
        <v/>
      </c>
      <c r="J173" s="26"/>
      <c r="K173" s="22"/>
      <c r="L173" s="26"/>
      <c r="M173" s="27" t="str">
        <f aca="false">IF(A173="","",SUMIF(入金明細!$F$5:$F$1004,A173,入金明細!$E$5:$E$1004))</f>
        <v/>
      </c>
      <c r="N173" s="25" t="str">
        <f aca="false">IF(OR(A173="",N(M173)=0),"",SUMPRODUCT(MAX((入金明細!$F$5:$F$1004=A173)*入金明細!$B$5:$B$1004)))</f>
        <v/>
      </c>
      <c r="O173" s="18"/>
      <c r="P173" s="27" t="str">
        <f aca="false">IF(OR(A173="",F173=""),"",F173-N(M173)-N(O173))</f>
        <v/>
      </c>
      <c r="Q173" s="26"/>
      <c r="R173" s="28" t="str">
        <f aca="false">IF(A173="","",IF(Q173="取消","取消",IF(T173&lt;&gt;"","要入力",IF(K173="","未送付",IF(P173=0,"入金済",IF(P173&lt;0,"過入金",IF(設定!$C$5&gt;I173,IF(N(M173)&gt;0,"一部入金・超過","期日超過"),IF(N(M173)&gt;0,"一部入金",IF(I173-設定!$C$5&lt;=設定!$C$6,"期日間近","入金待ち")))))))))</f>
        <v/>
      </c>
      <c r="S173" s="29" t="str">
        <f aca="false">IF(OR(R173="期日超過",R173="一部入金・超過"),設定!$C$5-I173,"")</f>
        <v/>
      </c>
      <c r="T173" s="21" t="str">
        <f aca="false">IF(A173="","",TRIM(IF(B173="","請求日 ","")&amp;IF(C173="","取引先 ",IF(D173="コード誤り","取引先コード誤り ",""))&amp;IF(E173="","件名 ","")&amp;IF(F173="","請求額 ","")&amp;IF(AND(F173&lt;&gt;"",I173=""),"入金期日(マスタの支払条件が未登録) ","")&amp;IF(J173="","送付方法 ","")&amp;IF(AND(K173&lt;&gt;"",L173=""),"送付者 ","")&amp;IF(AND(K173&lt;&gt;"",N(K173)&gt;設定!$C$5),"送付日が未来の日付 ","")&amp;IF(AND(K173&lt;&gt;"",N(M173)&gt;0,N(P173)&lt;=0,U173=""),"消込確認者 ","")))</f>
        <v/>
      </c>
      <c r="U173" s="26"/>
      <c r="V173" s="26"/>
    </row>
    <row r="174" customFormat="false" ht="15" hidden="false" customHeight="false" outlineLevel="0" collapsed="false">
      <c r="A174" s="21" t="str">
        <f aca="false">IF(COUNTA(B174,C174,E174,F174)=0,"",設定!$C$4&amp;TEXT(ROW()-4,"00000"))</f>
        <v/>
      </c>
      <c r="B174" s="22"/>
      <c r="C174" s="23"/>
      <c r="D174" s="21" t="str">
        <f aca="false">IF(C174="","",IFERROR(INDEX(取引先マスタ!$B$5:$B$204,MATCH(C174,取引先マスタ!$A$5:$A$204,0)),"コード誤り"))</f>
        <v/>
      </c>
      <c r="E174" s="26"/>
      <c r="F174" s="18"/>
      <c r="G174" s="25" t="str">
        <f aca="false">IF(OR(B174="",C174="",D174="コード誤り"),"",IFERROR(IF(OR(INDEX(取引先マスタ!$E$5:$E$204,MATCH(C174,取引先マスタ!$A$5:$A$204,0))="",INDEX(取引先マスタ!$F$5:$F$204,MATCH(C174,取引先マスタ!$A$5:$A$204,0))=""),"",DATE(YEAR(B174),MONTH(B174)+INDEX(取引先マスタ!$E$5:$E$204,MATCH(C174,取引先マスタ!$A$5:$A$204,0)),MIN(INDEX(取引先マスタ!$F$5:$F$204,MATCH(C174,取引先マスタ!$A$5:$A$204,0)),DAY(EOMONTH(B174,INDEX(取引先マスタ!$E$5:$E$204,MATCH(C174,取引先マスタ!$A$5:$A$204,0))))))),""))</f>
        <v/>
      </c>
      <c r="H174" s="22"/>
      <c r="I174" s="25" t="str">
        <f aca="false">IF(H174&lt;&gt;"",H174,G174)</f>
        <v/>
      </c>
      <c r="J174" s="26"/>
      <c r="K174" s="22"/>
      <c r="L174" s="26"/>
      <c r="M174" s="27" t="str">
        <f aca="false">IF(A174="","",SUMIF(入金明細!$F$5:$F$1004,A174,入金明細!$E$5:$E$1004))</f>
        <v/>
      </c>
      <c r="N174" s="25" t="str">
        <f aca="false">IF(OR(A174="",N(M174)=0),"",SUMPRODUCT(MAX((入金明細!$F$5:$F$1004=A174)*入金明細!$B$5:$B$1004)))</f>
        <v/>
      </c>
      <c r="O174" s="18"/>
      <c r="P174" s="27" t="str">
        <f aca="false">IF(OR(A174="",F174=""),"",F174-N(M174)-N(O174))</f>
        <v/>
      </c>
      <c r="Q174" s="26"/>
      <c r="R174" s="28" t="str">
        <f aca="false">IF(A174="","",IF(Q174="取消","取消",IF(T174&lt;&gt;"","要入力",IF(K174="","未送付",IF(P174=0,"入金済",IF(P174&lt;0,"過入金",IF(設定!$C$5&gt;I174,IF(N(M174)&gt;0,"一部入金・超過","期日超過"),IF(N(M174)&gt;0,"一部入金",IF(I174-設定!$C$5&lt;=設定!$C$6,"期日間近","入金待ち")))))))))</f>
        <v/>
      </c>
      <c r="S174" s="29" t="str">
        <f aca="false">IF(OR(R174="期日超過",R174="一部入金・超過"),設定!$C$5-I174,"")</f>
        <v/>
      </c>
      <c r="T174" s="21" t="str">
        <f aca="false">IF(A174="","",TRIM(IF(B174="","請求日 ","")&amp;IF(C174="","取引先 ",IF(D174="コード誤り","取引先コード誤り ",""))&amp;IF(E174="","件名 ","")&amp;IF(F174="","請求額 ","")&amp;IF(AND(F174&lt;&gt;"",I174=""),"入金期日(マスタの支払条件が未登録) ","")&amp;IF(J174="","送付方法 ","")&amp;IF(AND(K174&lt;&gt;"",L174=""),"送付者 ","")&amp;IF(AND(K174&lt;&gt;"",N(K174)&gt;設定!$C$5),"送付日が未来の日付 ","")&amp;IF(AND(K174&lt;&gt;"",N(M174)&gt;0,N(P174)&lt;=0,U174=""),"消込確認者 ","")))</f>
        <v/>
      </c>
      <c r="U174" s="26"/>
      <c r="V174" s="26"/>
    </row>
    <row r="175" customFormat="false" ht="15" hidden="false" customHeight="false" outlineLevel="0" collapsed="false">
      <c r="A175" s="21" t="str">
        <f aca="false">IF(COUNTA(B175,C175,E175,F175)=0,"",設定!$C$4&amp;TEXT(ROW()-4,"00000"))</f>
        <v/>
      </c>
      <c r="B175" s="22"/>
      <c r="C175" s="23"/>
      <c r="D175" s="21" t="str">
        <f aca="false">IF(C175="","",IFERROR(INDEX(取引先マスタ!$B$5:$B$204,MATCH(C175,取引先マスタ!$A$5:$A$204,0)),"コード誤り"))</f>
        <v/>
      </c>
      <c r="E175" s="26"/>
      <c r="F175" s="18"/>
      <c r="G175" s="25" t="str">
        <f aca="false">IF(OR(B175="",C175="",D175="コード誤り"),"",IFERROR(IF(OR(INDEX(取引先マスタ!$E$5:$E$204,MATCH(C175,取引先マスタ!$A$5:$A$204,0))="",INDEX(取引先マスタ!$F$5:$F$204,MATCH(C175,取引先マスタ!$A$5:$A$204,0))=""),"",DATE(YEAR(B175),MONTH(B175)+INDEX(取引先マスタ!$E$5:$E$204,MATCH(C175,取引先マスタ!$A$5:$A$204,0)),MIN(INDEX(取引先マスタ!$F$5:$F$204,MATCH(C175,取引先マスタ!$A$5:$A$204,0)),DAY(EOMONTH(B175,INDEX(取引先マスタ!$E$5:$E$204,MATCH(C175,取引先マスタ!$A$5:$A$204,0))))))),""))</f>
        <v/>
      </c>
      <c r="H175" s="22"/>
      <c r="I175" s="25" t="str">
        <f aca="false">IF(H175&lt;&gt;"",H175,G175)</f>
        <v/>
      </c>
      <c r="J175" s="26"/>
      <c r="K175" s="22"/>
      <c r="L175" s="26"/>
      <c r="M175" s="27" t="str">
        <f aca="false">IF(A175="","",SUMIF(入金明細!$F$5:$F$1004,A175,入金明細!$E$5:$E$1004))</f>
        <v/>
      </c>
      <c r="N175" s="25" t="str">
        <f aca="false">IF(OR(A175="",N(M175)=0),"",SUMPRODUCT(MAX((入金明細!$F$5:$F$1004=A175)*入金明細!$B$5:$B$1004)))</f>
        <v/>
      </c>
      <c r="O175" s="18"/>
      <c r="P175" s="27" t="str">
        <f aca="false">IF(OR(A175="",F175=""),"",F175-N(M175)-N(O175))</f>
        <v/>
      </c>
      <c r="Q175" s="26"/>
      <c r="R175" s="28" t="str">
        <f aca="false">IF(A175="","",IF(Q175="取消","取消",IF(T175&lt;&gt;"","要入力",IF(K175="","未送付",IF(P175=0,"入金済",IF(P175&lt;0,"過入金",IF(設定!$C$5&gt;I175,IF(N(M175)&gt;0,"一部入金・超過","期日超過"),IF(N(M175)&gt;0,"一部入金",IF(I175-設定!$C$5&lt;=設定!$C$6,"期日間近","入金待ち")))))))))</f>
        <v/>
      </c>
      <c r="S175" s="29" t="str">
        <f aca="false">IF(OR(R175="期日超過",R175="一部入金・超過"),設定!$C$5-I175,"")</f>
        <v/>
      </c>
      <c r="T175" s="21" t="str">
        <f aca="false">IF(A175="","",TRIM(IF(B175="","請求日 ","")&amp;IF(C175="","取引先 ",IF(D175="コード誤り","取引先コード誤り ",""))&amp;IF(E175="","件名 ","")&amp;IF(F175="","請求額 ","")&amp;IF(AND(F175&lt;&gt;"",I175=""),"入金期日(マスタの支払条件が未登録) ","")&amp;IF(J175="","送付方法 ","")&amp;IF(AND(K175&lt;&gt;"",L175=""),"送付者 ","")&amp;IF(AND(K175&lt;&gt;"",N(K175)&gt;設定!$C$5),"送付日が未来の日付 ","")&amp;IF(AND(K175&lt;&gt;"",N(M175)&gt;0,N(P175)&lt;=0,U175=""),"消込確認者 ","")))</f>
        <v/>
      </c>
      <c r="U175" s="26"/>
      <c r="V175" s="26"/>
    </row>
    <row r="176" customFormat="false" ht="15" hidden="false" customHeight="false" outlineLevel="0" collapsed="false">
      <c r="A176" s="21" t="str">
        <f aca="false">IF(COUNTA(B176,C176,E176,F176)=0,"",設定!$C$4&amp;TEXT(ROW()-4,"00000"))</f>
        <v/>
      </c>
      <c r="B176" s="22"/>
      <c r="C176" s="23"/>
      <c r="D176" s="21" t="str">
        <f aca="false">IF(C176="","",IFERROR(INDEX(取引先マスタ!$B$5:$B$204,MATCH(C176,取引先マスタ!$A$5:$A$204,0)),"コード誤り"))</f>
        <v/>
      </c>
      <c r="E176" s="26"/>
      <c r="F176" s="18"/>
      <c r="G176" s="25" t="str">
        <f aca="false">IF(OR(B176="",C176="",D176="コード誤り"),"",IFERROR(IF(OR(INDEX(取引先マスタ!$E$5:$E$204,MATCH(C176,取引先マスタ!$A$5:$A$204,0))="",INDEX(取引先マスタ!$F$5:$F$204,MATCH(C176,取引先マスタ!$A$5:$A$204,0))=""),"",DATE(YEAR(B176),MONTH(B176)+INDEX(取引先マスタ!$E$5:$E$204,MATCH(C176,取引先マスタ!$A$5:$A$204,0)),MIN(INDEX(取引先マスタ!$F$5:$F$204,MATCH(C176,取引先マスタ!$A$5:$A$204,0)),DAY(EOMONTH(B176,INDEX(取引先マスタ!$E$5:$E$204,MATCH(C176,取引先マスタ!$A$5:$A$204,0))))))),""))</f>
        <v/>
      </c>
      <c r="H176" s="22"/>
      <c r="I176" s="25" t="str">
        <f aca="false">IF(H176&lt;&gt;"",H176,G176)</f>
        <v/>
      </c>
      <c r="J176" s="26"/>
      <c r="K176" s="22"/>
      <c r="L176" s="26"/>
      <c r="M176" s="27" t="str">
        <f aca="false">IF(A176="","",SUMIF(入金明細!$F$5:$F$1004,A176,入金明細!$E$5:$E$1004))</f>
        <v/>
      </c>
      <c r="N176" s="25" t="str">
        <f aca="false">IF(OR(A176="",N(M176)=0),"",SUMPRODUCT(MAX((入金明細!$F$5:$F$1004=A176)*入金明細!$B$5:$B$1004)))</f>
        <v/>
      </c>
      <c r="O176" s="18"/>
      <c r="P176" s="27" t="str">
        <f aca="false">IF(OR(A176="",F176=""),"",F176-N(M176)-N(O176))</f>
        <v/>
      </c>
      <c r="Q176" s="26"/>
      <c r="R176" s="28" t="str">
        <f aca="false">IF(A176="","",IF(Q176="取消","取消",IF(T176&lt;&gt;"","要入力",IF(K176="","未送付",IF(P176=0,"入金済",IF(P176&lt;0,"過入金",IF(設定!$C$5&gt;I176,IF(N(M176)&gt;0,"一部入金・超過","期日超過"),IF(N(M176)&gt;0,"一部入金",IF(I176-設定!$C$5&lt;=設定!$C$6,"期日間近","入金待ち")))))))))</f>
        <v/>
      </c>
      <c r="S176" s="29" t="str">
        <f aca="false">IF(OR(R176="期日超過",R176="一部入金・超過"),設定!$C$5-I176,"")</f>
        <v/>
      </c>
      <c r="T176" s="21" t="str">
        <f aca="false">IF(A176="","",TRIM(IF(B176="","請求日 ","")&amp;IF(C176="","取引先 ",IF(D176="コード誤り","取引先コード誤り ",""))&amp;IF(E176="","件名 ","")&amp;IF(F176="","請求額 ","")&amp;IF(AND(F176&lt;&gt;"",I176=""),"入金期日(マスタの支払条件が未登録) ","")&amp;IF(J176="","送付方法 ","")&amp;IF(AND(K176&lt;&gt;"",L176=""),"送付者 ","")&amp;IF(AND(K176&lt;&gt;"",N(K176)&gt;設定!$C$5),"送付日が未来の日付 ","")&amp;IF(AND(K176&lt;&gt;"",N(M176)&gt;0,N(P176)&lt;=0,U176=""),"消込確認者 ","")))</f>
        <v/>
      </c>
      <c r="U176" s="26"/>
      <c r="V176" s="26"/>
    </row>
    <row r="177" customFormat="false" ht="15" hidden="false" customHeight="false" outlineLevel="0" collapsed="false">
      <c r="A177" s="21" t="str">
        <f aca="false">IF(COUNTA(B177,C177,E177,F177)=0,"",設定!$C$4&amp;TEXT(ROW()-4,"00000"))</f>
        <v/>
      </c>
      <c r="B177" s="22"/>
      <c r="C177" s="23"/>
      <c r="D177" s="21" t="str">
        <f aca="false">IF(C177="","",IFERROR(INDEX(取引先マスタ!$B$5:$B$204,MATCH(C177,取引先マスタ!$A$5:$A$204,0)),"コード誤り"))</f>
        <v/>
      </c>
      <c r="E177" s="26"/>
      <c r="F177" s="18"/>
      <c r="G177" s="25" t="str">
        <f aca="false">IF(OR(B177="",C177="",D177="コード誤り"),"",IFERROR(IF(OR(INDEX(取引先マスタ!$E$5:$E$204,MATCH(C177,取引先マスタ!$A$5:$A$204,0))="",INDEX(取引先マスタ!$F$5:$F$204,MATCH(C177,取引先マスタ!$A$5:$A$204,0))=""),"",DATE(YEAR(B177),MONTH(B177)+INDEX(取引先マスタ!$E$5:$E$204,MATCH(C177,取引先マスタ!$A$5:$A$204,0)),MIN(INDEX(取引先マスタ!$F$5:$F$204,MATCH(C177,取引先マスタ!$A$5:$A$204,0)),DAY(EOMONTH(B177,INDEX(取引先マスタ!$E$5:$E$204,MATCH(C177,取引先マスタ!$A$5:$A$204,0))))))),""))</f>
        <v/>
      </c>
      <c r="H177" s="22"/>
      <c r="I177" s="25" t="str">
        <f aca="false">IF(H177&lt;&gt;"",H177,G177)</f>
        <v/>
      </c>
      <c r="J177" s="26"/>
      <c r="K177" s="22"/>
      <c r="L177" s="26"/>
      <c r="M177" s="27" t="str">
        <f aca="false">IF(A177="","",SUMIF(入金明細!$F$5:$F$1004,A177,入金明細!$E$5:$E$1004))</f>
        <v/>
      </c>
      <c r="N177" s="25" t="str">
        <f aca="false">IF(OR(A177="",N(M177)=0),"",SUMPRODUCT(MAX((入金明細!$F$5:$F$1004=A177)*入金明細!$B$5:$B$1004)))</f>
        <v/>
      </c>
      <c r="O177" s="18"/>
      <c r="P177" s="27" t="str">
        <f aca="false">IF(OR(A177="",F177=""),"",F177-N(M177)-N(O177))</f>
        <v/>
      </c>
      <c r="Q177" s="26"/>
      <c r="R177" s="28" t="str">
        <f aca="false">IF(A177="","",IF(Q177="取消","取消",IF(T177&lt;&gt;"","要入力",IF(K177="","未送付",IF(P177=0,"入金済",IF(P177&lt;0,"過入金",IF(設定!$C$5&gt;I177,IF(N(M177)&gt;0,"一部入金・超過","期日超過"),IF(N(M177)&gt;0,"一部入金",IF(I177-設定!$C$5&lt;=設定!$C$6,"期日間近","入金待ち")))))))))</f>
        <v/>
      </c>
      <c r="S177" s="29" t="str">
        <f aca="false">IF(OR(R177="期日超過",R177="一部入金・超過"),設定!$C$5-I177,"")</f>
        <v/>
      </c>
      <c r="T177" s="21" t="str">
        <f aca="false">IF(A177="","",TRIM(IF(B177="","請求日 ","")&amp;IF(C177="","取引先 ",IF(D177="コード誤り","取引先コード誤り ",""))&amp;IF(E177="","件名 ","")&amp;IF(F177="","請求額 ","")&amp;IF(AND(F177&lt;&gt;"",I177=""),"入金期日(マスタの支払条件が未登録) ","")&amp;IF(J177="","送付方法 ","")&amp;IF(AND(K177&lt;&gt;"",L177=""),"送付者 ","")&amp;IF(AND(K177&lt;&gt;"",N(K177)&gt;設定!$C$5),"送付日が未来の日付 ","")&amp;IF(AND(K177&lt;&gt;"",N(M177)&gt;0,N(P177)&lt;=0,U177=""),"消込確認者 ","")))</f>
        <v/>
      </c>
      <c r="U177" s="26"/>
      <c r="V177" s="26"/>
    </row>
    <row r="178" customFormat="false" ht="15" hidden="false" customHeight="false" outlineLevel="0" collapsed="false">
      <c r="A178" s="21" t="str">
        <f aca="false">IF(COUNTA(B178,C178,E178,F178)=0,"",設定!$C$4&amp;TEXT(ROW()-4,"00000"))</f>
        <v/>
      </c>
      <c r="B178" s="22"/>
      <c r="C178" s="23"/>
      <c r="D178" s="21" t="str">
        <f aca="false">IF(C178="","",IFERROR(INDEX(取引先マスタ!$B$5:$B$204,MATCH(C178,取引先マスタ!$A$5:$A$204,0)),"コード誤り"))</f>
        <v/>
      </c>
      <c r="E178" s="26"/>
      <c r="F178" s="18"/>
      <c r="G178" s="25" t="str">
        <f aca="false">IF(OR(B178="",C178="",D178="コード誤り"),"",IFERROR(IF(OR(INDEX(取引先マスタ!$E$5:$E$204,MATCH(C178,取引先マスタ!$A$5:$A$204,0))="",INDEX(取引先マスタ!$F$5:$F$204,MATCH(C178,取引先マスタ!$A$5:$A$204,0))=""),"",DATE(YEAR(B178),MONTH(B178)+INDEX(取引先マスタ!$E$5:$E$204,MATCH(C178,取引先マスタ!$A$5:$A$204,0)),MIN(INDEX(取引先マスタ!$F$5:$F$204,MATCH(C178,取引先マスタ!$A$5:$A$204,0)),DAY(EOMONTH(B178,INDEX(取引先マスタ!$E$5:$E$204,MATCH(C178,取引先マスタ!$A$5:$A$204,0))))))),""))</f>
        <v/>
      </c>
      <c r="H178" s="22"/>
      <c r="I178" s="25" t="str">
        <f aca="false">IF(H178&lt;&gt;"",H178,G178)</f>
        <v/>
      </c>
      <c r="J178" s="26"/>
      <c r="K178" s="22"/>
      <c r="L178" s="26"/>
      <c r="M178" s="27" t="str">
        <f aca="false">IF(A178="","",SUMIF(入金明細!$F$5:$F$1004,A178,入金明細!$E$5:$E$1004))</f>
        <v/>
      </c>
      <c r="N178" s="25" t="str">
        <f aca="false">IF(OR(A178="",N(M178)=0),"",SUMPRODUCT(MAX((入金明細!$F$5:$F$1004=A178)*入金明細!$B$5:$B$1004)))</f>
        <v/>
      </c>
      <c r="O178" s="18"/>
      <c r="P178" s="27" t="str">
        <f aca="false">IF(OR(A178="",F178=""),"",F178-N(M178)-N(O178))</f>
        <v/>
      </c>
      <c r="Q178" s="26"/>
      <c r="R178" s="28" t="str">
        <f aca="false">IF(A178="","",IF(Q178="取消","取消",IF(T178&lt;&gt;"","要入力",IF(K178="","未送付",IF(P178=0,"入金済",IF(P178&lt;0,"過入金",IF(設定!$C$5&gt;I178,IF(N(M178)&gt;0,"一部入金・超過","期日超過"),IF(N(M178)&gt;0,"一部入金",IF(I178-設定!$C$5&lt;=設定!$C$6,"期日間近","入金待ち")))))))))</f>
        <v/>
      </c>
      <c r="S178" s="29" t="str">
        <f aca="false">IF(OR(R178="期日超過",R178="一部入金・超過"),設定!$C$5-I178,"")</f>
        <v/>
      </c>
      <c r="T178" s="21" t="str">
        <f aca="false">IF(A178="","",TRIM(IF(B178="","請求日 ","")&amp;IF(C178="","取引先 ",IF(D178="コード誤り","取引先コード誤り ",""))&amp;IF(E178="","件名 ","")&amp;IF(F178="","請求額 ","")&amp;IF(AND(F178&lt;&gt;"",I178=""),"入金期日(マスタの支払条件が未登録) ","")&amp;IF(J178="","送付方法 ","")&amp;IF(AND(K178&lt;&gt;"",L178=""),"送付者 ","")&amp;IF(AND(K178&lt;&gt;"",N(K178)&gt;設定!$C$5),"送付日が未来の日付 ","")&amp;IF(AND(K178&lt;&gt;"",N(M178)&gt;0,N(P178)&lt;=0,U178=""),"消込確認者 ","")))</f>
        <v/>
      </c>
      <c r="U178" s="26"/>
      <c r="V178" s="26"/>
    </row>
    <row r="179" customFormat="false" ht="15" hidden="false" customHeight="false" outlineLevel="0" collapsed="false">
      <c r="A179" s="21" t="str">
        <f aca="false">IF(COUNTA(B179,C179,E179,F179)=0,"",設定!$C$4&amp;TEXT(ROW()-4,"00000"))</f>
        <v/>
      </c>
      <c r="B179" s="22"/>
      <c r="C179" s="23"/>
      <c r="D179" s="21" t="str">
        <f aca="false">IF(C179="","",IFERROR(INDEX(取引先マスタ!$B$5:$B$204,MATCH(C179,取引先マスタ!$A$5:$A$204,0)),"コード誤り"))</f>
        <v/>
      </c>
      <c r="E179" s="26"/>
      <c r="F179" s="18"/>
      <c r="G179" s="25" t="str">
        <f aca="false">IF(OR(B179="",C179="",D179="コード誤り"),"",IFERROR(IF(OR(INDEX(取引先マスタ!$E$5:$E$204,MATCH(C179,取引先マスタ!$A$5:$A$204,0))="",INDEX(取引先マスタ!$F$5:$F$204,MATCH(C179,取引先マスタ!$A$5:$A$204,0))=""),"",DATE(YEAR(B179),MONTH(B179)+INDEX(取引先マスタ!$E$5:$E$204,MATCH(C179,取引先マスタ!$A$5:$A$204,0)),MIN(INDEX(取引先マスタ!$F$5:$F$204,MATCH(C179,取引先マスタ!$A$5:$A$204,0)),DAY(EOMONTH(B179,INDEX(取引先マスタ!$E$5:$E$204,MATCH(C179,取引先マスタ!$A$5:$A$204,0))))))),""))</f>
        <v/>
      </c>
      <c r="H179" s="22"/>
      <c r="I179" s="25" t="str">
        <f aca="false">IF(H179&lt;&gt;"",H179,G179)</f>
        <v/>
      </c>
      <c r="J179" s="26"/>
      <c r="K179" s="22"/>
      <c r="L179" s="26"/>
      <c r="M179" s="27" t="str">
        <f aca="false">IF(A179="","",SUMIF(入金明細!$F$5:$F$1004,A179,入金明細!$E$5:$E$1004))</f>
        <v/>
      </c>
      <c r="N179" s="25" t="str">
        <f aca="false">IF(OR(A179="",N(M179)=0),"",SUMPRODUCT(MAX((入金明細!$F$5:$F$1004=A179)*入金明細!$B$5:$B$1004)))</f>
        <v/>
      </c>
      <c r="O179" s="18"/>
      <c r="P179" s="27" t="str">
        <f aca="false">IF(OR(A179="",F179=""),"",F179-N(M179)-N(O179))</f>
        <v/>
      </c>
      <c r="Q179" s="26"/>
      <c r="R179" s="28" t="str">
        <f aca="false">IF(A179="","",IF(Q179="取消","取消",IF(T179&lt;&gt;"","要入力",IF(K179="","未送付",IF(P179=0,"入金済",IF(P179&lt;0,"過入金",IF(設定!$C$5&gt;I179,IF(N(M179)&gt;0,"一部入金・超過","期日超過"),IF(N(M179)&gt;0,"一部入金",IF(I179-設定!$C$5&lt;=設定!$C$6,"期日間近","入金待ち")))))))))</f>
        <v/>
      </c>
      <c r="S179" s="29" t="str">
        <f aca="false">IF(OR(R179="期日超過",R179="一部入金・超過"),設定!$C$5-I179,"")</f>
        <v/>
      </c>
      <c r="T179" s="21" t="str">
        <f aca="false">IF(A179="","",TRIM(IF(B179="","請求日 ","")&amp;IF(C179="","取引先 ",IF(D179="コード誤り","取引先コード誤り ",""))&amp;IF(E179="","件名 ","")&amp;IF(F179="","請求額 ","")&amp;IF(AND(F179&lt;&gt;"",I179=""),"入金期日(マスタの支払条件が未登録) ","")&amp;IF(J179="","送付方法 ","")&amp;IF(AND(K179&lt;&gt;"",L179=""),"送付者 ","")&amp;IF(AND(K179&lt;&gt;"",N(K179)&gt;設定!$C$5),"送付日が未来の日付 ","")&amp;IF(AND(K179&lt;&gt;"",N(M179)&gt;0,N(P179)&lt;=0,U179=""),"消込確認者 ","")))</f>
        <v/>
      </c>
      <c r="U179" s="26"/>
      <c r="V179" s="26"/>
    </row>
    <row r="180" customFormat="false" ht="15" hidden="false" customHeight="false" outlineLevel="0" collapsed="false">
      <c r="A180" s="21" t="str">
        <f aca="false">IF(COUNTA(B180,C180,E180,F180)=0,"",設定!$C$4&amp;TEXT(ROW()-4,"00000"))</f>
        <v/>
      </c>
      <c r="B180" s="22"/>
      <c r="C180" s="23"/>
      <c r="D180" s="21" t="str">
        <f aca="false">IF(C180="","",IFERROR(INDEX(取引先マスタ!$B$5:$B$204,MATCH(C180,取引先マスタ!$A$5:$A$204,0)),"コード誤り"))</f>
        <v/>
      </c>
      <c r="E180" s="26"/>
      <c r="F180" s="18"/>
      <c r="G180" s="25" t="str">
        <f aca="false">IF(OR(B180="",C180="",D180="コード誤り"),"",IFERROR(IF(OR(INDEX(取引先マスタ!$E$5:$E$204,MATCH(C180,取引先マスタ!$A$5:$A$204,0))="",INDEX(取引先マスタ!$F$5:$F$204,MATCH(C180,取引先マスタ!$A$5:$A$204,0))=""),"",DATE(YEAR(B180),MONTH(B180)+INDEX(取引先マスタ!$E$5:$E$204,MATCH(C180,取引先マスタ!$A$5:$A$204,0)),MIN(INDEX(取引先マスタ!$F$5:$F$204,MATCH(C180,取引先マスタ!$A$5:$A$204,0)),DAY(EOMONTH(B180,INDEX(取引先マスタ!$E$5:$E$204,MATCH(C180,取引先マスタ!$A$5:$A$204,0))))))),""))</f>
        <v/>
      </c>
      <c r="H180" s="22"/>
      <c r="I180" s="25" t="str">
        <f aca="false">IF(H180&lt;&gt;"",H180,G180)</f>
        <v/>
      </c>
      <c r="J180" s="26"/>
      <c r="K180" s="22"/>
      <c r="L180" s="26"/>
      <c r="M180" s="27" t="str">
        <f aca="false">IF(A180="","",SUMIF(入金明細!$F$5:$F$1004,A180,入金明細!$E$5:$E$1004))</f>
        <v/>
      </c>
      <c r="N180" s="25" t="str">
        <f aca="false">IF(OR(A180="",N(M180)=0),"",SUMPRODUCT(MAX((入金明細!$F$5:$F$1004=A180)*入金明細!$B$5:$B$1004)))</f>
        <v/>
      </c>
      <c r="O180" s="18"/>
      <c r="P180" s="27" t="str">
        <f aca="false">IF(OR(A180="",F180=""),"",F180-N(M180)-N(O180))</f>
        <v/>
      </c>
      <c r="Q180" s="26"/>
      <c r="R180" s="28" t="str">
        <f aca="false">IF(A180="","",IF(Q180="取消","取消",IF(T180&lt;&gt;"","要入力",IF(K180="","未送付",IF(P180=0,"入金済",IF(P180&lt;0,"過入金",IF(設定!$C$5&gt;I180,IF(N(M180)&gt;0,"一部入金・超過","期日超過"),IF(N(M180)&gt;0,"一部入金",IF(I180-設定!$C$5&lt;=設定!$C$6,"期日間近","入金待ち")))))))))</f>
        <v/>
      </c>
      <c r="S180" s="29" t="str">
        <f aca="false">IF(OR(R180="期日超過",R180="一部入金・超過"),設定!$C$5-I180,"")</f>
        <v/>
      </c>
      <c r="T180" s="21" t="str">
        <f aca="false">IF(A180="","",TRIM(IF(B180="","請求日 ","")&amp;IF(C180="","取引先 ",IF(D180="コード誤り","取引先コード誤り ",""))&amp;IF(E180="","件名 ","")&amp;IF(F180="","請求額 ","")&amp;IF(AND(F180&lt;&gt;"",I180=""),"入金期日(マスタの支払条件が未登録) ","")&amp;IF(J180="","送付方法 ","")&amp;IF(AND(K180&lt;&gt;"",L180=""),"送付者 ","")&amp;IF(AND(K180&lt;&gt;"",N(K180)&gt;設定!$C$5),"送付日が未来の日付 ","")&amp;IF(AND(K180&lt;&gt;"",N(M180)&gt;0,N(P180)&lt;=0,U180=""),"消込確認者 ","")))</f>
        <v/>
      </c>
      <c r="U180" s="26"/>
      <c r="V180" s="26"/>
    </row>
    <row r="181" customFormat="false" ht="15" hidden="false" customHeight="false" outlineLevel="0" collapsed="false">
      <c r="A181" s="21" t="str">
        <f aca="false">IF(COUNTA(B181,C181,E181,F181)=0,"",設定!$C$4&amp;TEXT(ROW()-4,"00000"))</f>
        <v/>
      </c>
      <c r="B181" s="22"/>
      <c r="C181" s="23"/>
      <c r="D181" s="21" t="str">
        <f aca="false">IF(C181="","",IFERROR(INDEX(取引先マスタ!$B$5:$B$204,MATCH(C181,取引先マスタ!$A$5:$A$204,0)),"コード誤り"))</f>
        <v/>
      </c>
      <c r="E181" s="26"/>
      <c r="F181" s="18"/>
      <c r="G181" s="25" t="str">
        <f aca="false">IF(OR(B181="",C181="",D181="コード誤り"),"",IFERROR(IF(OR(INDEX(取引先マスタ!$E$5:$E$204,MATCH(C181,取引先マスタ!$A$5:$A$204,0))="",INDEX(取引先マスタ!$F$5:$F$204,MATCH(C181,取引先マスタ!$A$5:$A$204,0))=""),"",DATE(YEAR(B181),MONTH(B181)+INDEX(取引先マスタ!$E$5:$E$204,MATCH(C181,取引先マスタ!$A$5:$A$204,0)),MIN(INDEX(取引先マスタ!$F$5:$F$204,MATCH(C181,取引先マスタ!$A$5:$A$204,0)),DAY(EOMONTH(B181,INDEX(取引先マスタ!$E$5:$E$204,MATCH(C181,取引先マスタ!$A$5:$A$204,0))))))),""))</f>
        <v/>
      </c>
      <c r="H181" s="22"/>
      <c r="I181" s="25" t="str">
        <f aca="false">IF(H181&lt;&gt;"",H181,G181)</f>
        <v/>
      </c>
      <c r="J181" s="26"/>
      <c r="K181" s="22"/>
      <c r="L181" s="26"/>
      <c r="M181" s="27" t="str">
        <f aca="false">IF(A181="","",SUMIF(入金明細!$F$5:$F$1004,A181,入金明細!$E$5:$E$1004))</f>
        <v/>
      </c>
      <c r="N181" s="25" t="str">
        <f aca="false">IF(OR(A181="",N(M181)=0),"",SUMPRODUCT(MAX((入金明細!$F$5:$F$1004=A181)*入金明細!$B$5:$B$1004)))</f>
        <v/>
      </c>
      <c r="O181" s="18"/>
      <c r="P181" s="27" t="str">
        <f aca="false">IF(OR(A181="",F181=""),"",F181-N(M181)-N(O181))</f>
        <v/>
      </c>
      <c r="Q181" s="26"/>
      <c r="R181" s="28" t="str">
        <f aca="false">IF(A181="","",IF(Q181="取消","取消",IF(T181&lt;&gt;"","要入力",IF(K181="","未送付",IF(P181=0,"入金済",IF(P181&lt;0,"過入金",IF(設定!$C$5&gt;I181,IF(N(M181)&gt;0,"一部入金・超過","期日超過"),IF(N(M181)&gt;0,"一部入金",IF(I181-設定!$C$5&lt;=設定!$C$6,"期日間近","入金待ち")))))))))</f>
        <v/>
      </c>
      <c r="S181" s="29" t="str">
        <f aca="false">IF(OR(R181="期日超過",R181="一部入金・超過"),設定!$C$5-I181,"")</f>
        <v/>
      </c>
      <c r="T181" s="21" t="str">
        <f aca="false">IF(A181="","",TRIM(IF(B181="","請求日 ","")&amp;IF(C181="","取引先 ",IF(D181="コード誤り","取引先コード誤り ",""))&amp;IF(E181="","件名 ","")&amp;IF(F181="","請求額 ","")&amp;IF(AND(F181&lt;&gt;"",I181=""),"入金期日(マスタの支払条件が未登録) ","")&amp;IF(J181="","送付方法 ","")&amp;IF(AND(K181&lt;&gt;"",L181=""),"送付者 ","")&amp;IF(AND(K181&lt;&gt;"",N(K181)&gt;設定!$C$5),"送付日が未来の日付 ","")&amp;IF(AND(K181&lt;&gt;"",N(M181)&gt;0,N(P181)&lt;=0,U181=""),"消込確認者 ","")))</f>
        <v/>
      </c>
      <c r="U181" s="26"/>
      <c r="V181" s="26"/>
    </row>
    <row r="182" customFormat="false" ht="15" hidden="false" customHeight="false" outlineLevel="0" collapsed="false">
      <c r="A182" s="21" t="str">
        <f aca="false">IF(COUNTA(B182,C182,E182,F182)=0,"",設定!$C$4&amp;TEXT(ROW()-4,"00000"))</f>
        <v/>
      </c>
      <c r="B182" s="22"/>
      <c r="C182" s="23"/>
      <c r="D182" s="21" t="str">
        <f aca="false">IF(C182="","",IFERROR(INDEX(取引先マスタ!$B$5:$B$204,MATCH(C182,取引先マスタ!$A$5:$A$204,0)),"コード誤り"))</f>
        <v/>
      </c>
      <c r="E182" s="26"/>
      <c r="F182" s="18"/>
      <c r="G182" s="25" t="str">
        <f aca="false">IF(OR(B182="",C182="",D182="コード誤り"),"",IFERROR(IF(OR(INDEX(取引先マスタ!$E$5:$E$204,MATCH(C182,取引先マスタ!$A$5:$A$204,0))="",INDEX(取引先マスタ!$F$5:$F$204,MATCH(C182,取引先マスタ!$A$5:$A$204,0))=""),"",DATE(YEAR(B182),MONTH(B182)+INDEX(取引先マスタ!$E$5:$E$204,MATCH(C182,取引先マスタ!$A$5:$A$204,0)),MIN(INDEX(取引先マスタ!$F$5:$F$204,MATCH(C182,取引先マスタ!$A$5:$A$204,0)),DAY(EOMONTH(B182,INDEX(取引先マスタ!$E$5:$E$204,MATCH(C182,取引先マスタ!$A$5:$A$204,0))))))),""))</f>
        <v/>
      </c>
      <c r="H182" s="22"/>
      <c r="I182" s="25" t="str">
        <f aca="false">IF(H182&lt;&gt;"",H182,G182)</f>
        <v/>
      </c>
      <c r="J182" s="26"/>
      <c r="K182" s="22"/>
      <c r="L182" s="26"/>
      <c r="M182" s="27" t="str">
        <f aca="false">IF(A182="","",SUMIF(入金明細!$F$5:$F$1004,A182,入金明細!$E$5:$E$1004))</f>
        <v/>
      </c>
      <c r="N182" s="25" t="str">
        <f aca="false">IF(OR(A182="",N(M182)=0),"",SUMPRODUCT(MAX((入金明細!$F$5:$F$1004=A182)*入金明細!$B$5:$B$1004)))</f>
        <v/>
      </c>
      <c r="O182" s="18"/>
      <c r="P182" s="27" t="str">
        <f aca="false">IF(OR(A182="",F182=""),"",F182-N(M182)-N(O182))</f>
        <v/>
      </c>
      <c r="Q182" s="26"/>
      <c r="R182" s="28" t="str">
        <f aca="false">IF(A182="","",IF(Q182="取消","取消",IF(T182&lt;&gt;"","要入力",IF(K182="","未送付",IF(P182=0,"入金済",IF(P182&lt;0,"過入金",IF(設定!$C$5&gt;I182,IF(N(M182)&gt;0,"一部入金・超過","期日超過"),IF(N(M182)&gt;0,"一部入金",IF(I182-設定!$C$5&lt;=設定!$C$6,"期日間近","入金待ち")))))))))</f>
        <v/>
      </c>
      <c r="S182" s="29" t="str">
        <f aca="false">IF(OR(R182="期日超過",R182="一部入金・超過"),設定!$C$5-I182,"")</f>
        <v/>
      </c>
      <c r="T182" s="21" t="str">
        <f aca="false">IF(A182="","",TRIM(IF(B182="","請求日 ","")&amp;IF(C182="","取引先 ",IF(D182="コード誤り","取引先コード誤り ",""))&amp;IF(E182="","件名 ","")&amp;IF(F182="","請求額 ","")&amp;IF(AND(F182&lt;&gt;"",I182=""),"入金期日(マスタの支払条件が未登録) ","")&amp;IF(J182="","送付方法 ","")&amp;IF(AND(K182&lt;&gt;"",L182=""),"送付者 ","")&amp;IF(AND(K182&lt;&gt;"",N(K182)&gt;設定!$C$5),"送付日が未来の日付 ","")&amp;IF(AND(K182&lt;&gt;"",N(M182)&gt;0,N(P182)&lt;=0,U182=""),"消込確認者 ","")))</f>
        <v/>
      </c>
      <c r="U182" s="26"/>
      <c r="V182" s="26"/>
    </row>
    <row r="183" customFormat="false" ht="15" hidden="false" customHeight="false" outlineLevel="0" collapsed="false">
      <c r="A183" s="21" t="str">
        <f aca="false">IF(COUNTA(B183,C183,E183,F183)=0,"",設定!$C$4&amp;TEXT(ROW()-4,"00000"))</f>
        <v/>
      </c>
      <c r="B183" s="22"/>
      <c r="C183" s="23"/>
      <c r="D183" s="21" t="str">
        <f aca="false">IF(C183="","",IFERROR(INDEX(取引先マスタ!$B$5:$B$204,MATCH(C183,取引先マスタ!$A$5:$A$204,0)),"コード誤り"))</f>
        <v/>
      </c>
      <c r="E183" s="26"/>
      <c r="F183" s="18"/>
      <c r="G183" s="25" t="str">
        <f aca="false">IF(OR(B183="",C183="",D183="コード誤り"),"",IFERROR(IF(OR(INDEX(取引先マスタ!$E$5:$E$204,MATCH(C183,取引先マスタ!$A$5:$A$204,0))="",INDEX(取引先マスタ!$F$5:$F$204,MATCH(C183,取引先マスタ!$A$5:$A$204,0))=""),"",DATE(YEAR(B183),MONTH(B183)+INDEX(取引先マスタ!$E$5:$E$204,MATCH(C183,取引先マスタ!$A$5:$A$204,0)),MIN(INDEX(取引先マスタ!$F$5:$F$204,MATCH(C183,取引先マスタ!$A$5:$A$204,0)),DAY(EOMONTH(B183,INDEX(取引先マスタ!$E$5:$E$204,MATCH(C183,取引先マスタ!$A$5:$A$204,0))))))),""))</f>
        <v/>
      </c>
      <c r="H183" s="22"/>
      <c r="I183" s="25" t="str">
        <f aca="false">IF(H183&lt;&gt;"",H183,G183)</f>
        <v/>
      </c>
      <c r="J183" s="26"/>
      <c r="K183" s="22"/>
      <c r="L183" s="26"/>
      <c r="M183" s="27" t="str">
        <f aca="false">IF(A183="","",SUMIF(入金明細!$F$5:$F$1004,A183,入金明細!$E$5:$E$1004))</f>
        <v/>
      </c>
      <c r="N183" s="25" t="str">
        <f aca="false">IF(OR(A183="",N(M183)=0),"",SUMPRODUCT(MAX((入金明細!$F$5:$F$1004=A183)*入金明細!$B$5:$B$1004)))</f>
        <v/>
      </c>
      <c r="O183" s="18"/>
      <c r="P183" s="27" t="str">
        <f aca="false">IF(OR(A183="",F183=""),"",F183-N(M183)-N(O183))</f>
        <v/>
      </c>
      <c r="Q183" s="26"/>
      <c r="R183" s="28" t="str">
        <f aca="false">IF(A183="","",IF(Q183="取消","取消",IF(T183&lt;&gt;"","要入力",IF(K183="","未送付",IF(P183=0,"入金済",IF(P183&lt;0,"過入金",IF(設定!$C$5&gt;I183,IF(N(M183)&gt;0,"一部入金・超過","期日超過"),IF(N(M183)&gt;0,"一部入金",IF(I183-設定!$C$5&lt;=設定!$C$6,"期日間近","入金待ち")))))))))</f>
        <v/>
      </c>
      <c r="S183" s="29" t="str">
        <f aca="false">IF(OR(R183="期日超過",R183="一部入金・超過"),設定!$C$5-I183,"")</f>
        <v/>
      </c>
      <c r="T183" s="21" t="str">
        <f aca="false">IF(A183="","",TRIM(IF(B183="","請求日 ","")&amp;IF(C183="","取引先 ",IF(D183="コード誤り","取引先コード誤り ",""))&amp;IF(E183="","件名 ","")&amp;IF(F183="","請求額 ","")&amp;IF(AND(F183&lt;&gt;"",I183=""),"入金期日(マスタの支払条件が未登録) ","")&amp;IF(J183="","送付方法 ","")&amp;IF(AND(K183&lt;&gt;"",L183=""),"送付者 ","")&amp;IF(AND(K183&lt;&gt;"",N(K183)&gt;設定!$C$5),"送付日が未来の日付 ","")&amp;IF(AND(K183&lt;&gt;"",N(M183)&gt;0,N(P183)&lt;=0,U183=""),"消込確認者 ","")))</f>
        <v/>
      </c>
      <c r="U183" s="26"/>
      <c r="V183" s="26"/>
    </row>
    <row r="184" customFormat="false" ht="15" hidden="false" customHeight="false" outlineLevel="0" collapsed="false">
      <c r="A184" s="21" t="str">
        <f aca="false">IF(COUNTA(B184,C184,E184,F184)=0,"",設定!$C$4&amp;TEXT(ROW()-4,"00000"))</f>
        <v/>
      </c>
      <c r="B184" s="22"/>
      <c r="C184" s="23"/>
      <c r="D184" s="21" t="str">
        <f aca="false">IF(C184="","",IFERROR(INDEX(取引先マスタ!$B$5:$B$204,MATCH(C184,取引先マスタ!$A$5:$A$204,0)),"コード誤り"))</f>
        <v/>
      </c>
      <c r="E184" s="26"/>
      <c r="F184" s="18"/>
      <c r="G184" s="25" t="str">
        <f aca="false">IF(OR(B184="",C184="",D184="コード誤り"),"",IFERROR(IF(OR(INDEX(取引先マスタ!$E$5:$E$204,MATCH(C184,取引先マスタ!$A$5:$A$204,0))="",INDEX(取引先マスタ!$F$5:$F$204,MATCH(C184,取引先マスタ!$A$5:$A$204,0))=""),"",DATE(YEAR(B184),MONTH(B184)+INDEX(取引先マスタ!$E$5:$E$204,MATCH(C184,取引先マスタ!$A$5:$A$204,0)),MIN(INDEX(取引先マスタ!$F$5:$F$204,MATCH(C184,取引先マスタ!$A$5:$A$204,0)),DAY(EOMONTH(B184,INDEX(取引先マスタ!$E$5:$E$204,MATCH(C184,取引先マスタ!$A$5:$A$204,0))))))),""))</f>
        <v/>
      </c>
      <c r="H184" s="22"/>
      <c r="I184" s="25" t="str">
        <f aca="false">IF(H184&lt;&gt;"",H184,G184)</f>
        <v/>
      </c>
      <c r="J184" s="26"/>
      <c r="K184" s="22"/>
      <c r="L184" s="26"/>
      <c r="M184" s="27" t="str">
        <f aca="false">IF(A184="","",SUMIF(入金明細!$F$5:$F$1004,A184,入金明細!$E$5:$E$1004))</f>
        <v/>
      </c>
      <c r="N184" s="25" t="str">
        <f aca="false">IF(OR(A184="",N(M184)=0),"",SUMPRODUCT(MAX((入金明細!$F$5:$F$1004=A184)*入金明細!$B$5:$B$1004)))</f>
        <v/>
      </c>
      <c r="O184" s="18"/>
      <c r="P184" s="27" t="str">
        <f aca="false">IF(OR(A184="",F184=""),"",F184-N(M184)-N(O184))</f>
        <v/>
      </c>
      <c r="Q184" s="26"/>
      <c r="R184" s="28" t="str">
        <f aca="false">IF(A184="","",IF(Q184="取消","取消",IF(T184&lt;&gt;"","要入力",IF(K184="","未送付",IF(P184=0,"入金済",IF(P184&lt;0,"過入金",IF(設定!$C$5&gt;I184,IF(N(M184)&gt;0,"一部入金・超過","期日超過"),IF(N(M184)&gt;0,"一部入金",IF(I184-設定!$C$5&lt;=設定!$C$6,"期日間近","入金待ち")))))))))</f>
        <v/>
      </c>
      <c r="S184" s="29" t="str">
        <f aca="false">IF(OR(R184="期日超過",R184="一部入金・超過"),設定!$C$5-I184,"")</f>
        <v/>
      </c>
      <c r="T184" s="21" t="str">
        <f aca="false">IF(A184="","",TRIM(IF(B184="","請求日 ","")&amp;IF(C184="","取引先 ",IF(D184="コード誤り","取引先コード誤り ",""))&amp;IF(E184="","件名 ","")&amp;IF(F184="","請求額 ","")&amp;IF(AND(F184&lt;&gt;"",I184=""),"入金期日(マスタの支払条件が未登録) ","")&amp;IF(J184="","送付方法 ","")&amp;IF(AND(K184&lt;&gt;"",L184=""),"送付者 ","")&amp;IF(AND(K184&lt;&gt;"",N(K184)&gt;設定!$C$5),"送付日が未来の日付 ","")&amp;IF(AND(K184&lt;&gt;"",N(M184)&gt;0,N(P184)&lt;=0,U184=""),"消込確認者 ","")))</f>
        <v/>
      </c>
      <c r="U184" s="26"/>
      <c r="V184" s="26"/>
    </row>
    <row r="185" customFormat="false" ht="15" hidden="false" customHeight="false" outlineLevel="0" collapsed="false">
      <c r="A185" s="21" t="str">
        <f aca="false">IF(COUNTA(B185,C185,E185,F185)=0,"",設定!$C$4&amp;TEXT(ROW()-4,"00000"))</f>
        <v/>
      </c>
      <c r="B185" s="22"/>
      <c r="C185" s="23"/>
      <c r="D185" s="21" t="str">
        <f aca="false">IF(C185="","",IFERROR(INDEX(取引先マスタ!$B$5:$B$204,MATCH(C185,取引先マスタ!$A$5:$A$204,0)),"コード誤り"))</f>
        <v/>
      </c>
      <c r="E185" s="26"/>
      <c r="F185" s="18"/>
      <c r="G185" s="25" t="str">
        <f aca="false">IF(OR(B185="",C185="",D185="コード誤り"),"",IFERROR(IF(OR(INDEX(取引先マスタ!$E$5:$E$204,MATCH(C185,取引先マスタ!$A$5:$A$204,0))="",INDEX(取引先マスタ!$F$5:$F$204,MATCH(C185,取引先マスタ!$A$5:$A$204,0))=""),"",DATE(YEAR(B185),MONTH(B185)+INDEX(取引先マスタ!$E$5:$E$204,MATCH(C185,取引先マスタ!$A$5:$A$204,0)),MIN(INDEX(取引先マスタ!$F$5:$F$204,MATCH(C185,取引先マスタ!$A$5:$A$204,0)),DAY(EOMONTH(B185,INDEX(取引先マスタ!$E$5:$E$204,MATCH(C185,取引先マスタ!$A$5:$A$204,0))))))),""))</f>
        <v/>
      </c>
      <c r="H185" s="22"/>
      <c r="I185" s="25" t="str">
        <f aca="false">IF(H185&lt;&gt;"",H185,G185)</f>
        <v/>
      </c>
      <c r="J185" s="26"/>
      <c r="K185" s="22"/>
      <c r="L185" s="26"/>
      <c r="M185" s="27" t="str">
        <f aca="false">IF(A185="","",SUMIF(入金明細!$F$5:$F$1004,A185,入金明細!$E$5:$E$1004))</f>
        <v/>
      </c>
      <c r="N185" s="25" t="str">
        <f aca="false">IF(OR(A185="",N(M185)=0),"",SUMPRODUCT(MAX((入金明細!$F$5:$F$1004=A185)*入金明細!$B$5:$B$1004)))</f>
        <v/>
      </c>
      <c r="O185" s="18"/>
      <c r="P185" s="27" t="str">
        <f aca="false">IF(OR(A185="",F185=""),"",F185-N(M185)-N(O185))</f>
        <v/>
      </c>
      <c r="Q185" s="26"/>
      <c r="R185" s="28" t="str">
        <f aca="false">IF(A185="","",IF(Q185="取消","取消",IF(T185&lt;&gt;"","要入力",IF(K185="","未送付",IF(P185=0,"入金済",IF(P185&lt;0,"過入金",IF(設定!$C$5&gt;I185,IF(N(M185)&gt;0,"一部入金・超過","期日超過"),IF(N(M185)&gt;0,"一部入金",IF(I185-設定!$C$5&lt;=設定!$C$6,"期日間近","入金待ち")))))))))</f>
        <v/>
      </c>
      <c r="S185" s="29" t="str">
        <f aca="false">IF(OR(R185="期日超過",R185="一部入金・超過"),設定!$C$5-I185,"")</f>
        <v/>
      </c>
      <c r="T185" s="21" t="str">
        <f aca="false">IF(A185="","",TRIM(IF(B185="","請求日 ","")&amp;IF(C185="","取引先 ",IF(D185="コード誤り","取引先コード誤り ",""))&amp;IF(E185="","件名 ","")&amp;IF(F185="","請求額 ","")&amp;IF(AND(F185&lt;&gt;"",I185=""),"入金期日(マスタの支払条件が未登録) ","")&amp;IF(J185="","送付方法 ","")&amp;IF(AND(K185&lt;&gt;"",L185=""),"送付者 ","")&amp;IF(AND(K185&lt;&gt;"",N(K185)&gt;設定!$C$5),"送付日が未来の日付 ","")&amp;IF(AND(K185&lt;&gt;"",N(M185)&gt;0,N(P185)&lt;=0,U185=""),"消込確認者 ","")))</f>
        <v/>
      </c>
      <c r="U185" s="26"/>
      <c r="V185" s="26"/>
    </row>
    <row r="186" customFormat="false" ht="15" hidden="false" customHeight="false" outlineLevel="0" collapsed="false">
      <c r="A186" s="21" t="str">
        <f aca="false">IF(COUNTA(B186,C186,E186,F186)=0,"",設定!$C$4&amp;TEXT(ROW()-4,"00000"))</f>
        <v/>
      </c>
      <c r="B186" s="22"/>
      <c r="C186" s="23"/>
      <c r="D186" s="21" t="str">
        <f aca="false">IF(C186="","",IFERROR(INDEX(取引先マスタ!$B$5:$B$204,MATCH(C186,取引先マスタ!$A$5:$A$204,0)),"コード誤り"))</f>
        <v/>
      </c>
      <c r="E186" s="26"/>
      <c r="F186" s="18"/>
      <c r="G186" s="25" t="str">
        <f aca="false">IF(OR(B186="",C186="",D186="コード誤り"),"",IFERROR(IF(OR(INDEX(取引先マスタ!$E$5:$E$204,MATCH(C186,取引先マスタ!$A$5:$A$204,0))="",INDEX(取引先マスタ!$F$5:$F$204,MATCH(C186,取引先マスタ!$A$5:$A$204,0))=""),"",DATE(YEAR(B186),MONTH(B186)+INDEX(取引先マスタ!$E$5:$E$204,MATCH(C186,取引先マスタ!$A$5:$A$204,0)),MIN(INDEX(取引先マスタ!$F$5:$F$204,MATCH(C186,取引先マスタ!$A$5:$A$204,0)),DAY(EOMONTH(B186,INDEX(取引先マスタ!$E$5:$E$204,MATCH(C186,取引先マスタ!$A$5:$A$204,0))))))),""))</f>
        <v/>
      </c>
      <c r="H186" s="22"/>
      <c r="I186" s="25" t="str">
        <f aca="false">IF(H186&lt;&gt;"",H186,G186)</f>
        <v/>
      </c>
      <c r="J186" s="26"/>
      <c r="K186" s="22"/>
      <c r="L186" s="26"/>
      <c r="M186" s="27" t="str">
        <f aca="false">IF(A186="","",SUMIF(入金明細!$F$5:$F$1004,A186,入金明細!$E$5:$E$1004))</f>
        <v/>
      </c>
      <c r="N186" s="25" t="str">
        <f aca="false">IF(OR(A186="",N(M186)=0),"",SUMPRODUCT(MAX((入金明細!$F$5:$F$1004=A186)*入金明細!$B$5:$B$1004)))</f>
        <v/>
      </c>
      <c r="O186" s="18"/>
      <c r="P186" s="27" t="str">
        <f aca="false">IF(OR(A186="",F186=""),"",F186-N(M186)-N(O186))</f>
        <v/>
      </c>
      <c r="Q186" s="26"/>
      <c r="R186" s="28" t="str">
        <f aca="false">IF(A186="","",IF(Q186="取消","取消",IF(T186&lt;&gt;"","要入力",IF(K186="","未送付",IF(P186=0,"入金済",IF(P186&lt;0,"過入金",IF(設定!$C$5&gt;I186,IF(N(M186)&gt;0,"一部入金・超過","期日超過"),IF(N(M186)&gt;0,"一部入金",IF(I186-設定!$C$5&lt;=設定!$C$6,"期日間近","入金待ち")))))))))</f>
        <v/>
      </c>
      <c r="S186" s="29" t="str">
        <f aca="false">IF(OR(R186="期日超過",R186="一部入金・超過"),設定!$C$5-I186,"")</f>
        <v/>
      </c>
      <c r="T186" s="21" t="str">
        <f aca="false">IF(A186="","",TRIM(IF(B186="","請求日 ","")&amp;IF(C186="","取引先 ",IF(D186="コード誤り","取引先コード誤り ",""))&amp;IF(E186="","件名 ","")&amp;IF(F186="","請求額 ","")&amp;IF(AND(F186&lt;&gt;"",I186=""),"入金期日(マスタの支払条件が未登録) ","")&amp;IF(J186="","送付方法 ","")&amp;IF(AND(K186&lt;&gt;"",L186=""),"送付者 ","")&amp;IF(AND(K186&lt;&gt;"",N(K186)&gt;設定!$C$5),"送付日が未来の日付 ","")&amp;IF(AND(K186&lt;&gt;"",N(M186)&gt;0,N(P186)&lt;=0,U186=""),"消込確認者 ","")))</f>
        <v/>
      </c>
      <c r="U186" s="26"/>
      <c r="V186" s="26"/>
    </row>
    <row r="187" customFormat="false" ht="15" hidden="false" customHeight="false" outlineLevel="0" collapsed="false">
      <c r="A187" s="21" t="str">
        <f aca="false">IF(COUNTA(B187,C187,E187,F187)=0,"",設定!$C$4&amp;TEXT(ROW()-4,"00000"))</f>
        <v/>
      </c>
      <c r="B187" s="22"/>
      <c r="C187" s="23"/>
      <c r="D187" s="21" t="str">
        <f aca="false">IF(C187="","",IFERROR(INDEX(取引先マスタ!$B$5:$B$204,MATCH(C187,取引先マスタ!$A$5:$A$204,0)),"コード誤り"))</f>
        <v/>
      </c>
      <c r="E187" s="26"/>
      <c r="F187" s="18"/>
      <c r="G187" s="25" t="str">
        <f aca="false">IF(OR(B187="",C187="",D187="コード誤り"),"",IFERROR(IF(OR(INDEX(取引先マスタ!$E$5:$E$204,MATCH(C187,取引先マスタ!$A$5:$A$204,0))="",INDEX(取引先マスタ!$F$5:$F$204,MATCH(C187,取引先マスタ!$A$5:$A$204,0))=""),"",DATE(YEAR(B187),MONTH(B187)+INDEX(取引先マスタ!$E$5:$E$204,MATCH(C187,取引先マスタ!$A$5:$A$204,0)),MIN(INDEX(取引先マスタ!$F$5:$F$204,MATCH(C187,取引先マスタ!$A$5:$A$204,0)),DAY(EOMONTH(B187,INDEX(取引先マスタ!$E$5:$E$204,MATCH(C187,取引先マスタ!$A$5:$A$204,0))))))),""))</f>
        <v/>
      </c>
      <c r="H187" s="22"/>
      <c r="I187" s="25" t="str">
        <f aca="false">IF(H187&lt;&gt;"",H187,G187)</f>
        <v/>
      </c>
      <c r="J187" s="26"/>
      <c r="K187" s="22"/>
      <c r="L187" s="26"/>
      <c r="M187" s="27" t="str">
        <f aca="false">IF(A187="","",SUMIF(入金明細!$F$5:$F$1004,A187,入金明細!$E$5:$E$1004))</f>
        <v/>
      </c>
      <c r="N187" s="25" t="str">
        <f aca="false">IF(OR(A187="",N(M187)=0),"",SUMPRODUCT(MAX((入金明細!$F$5:$F$1004=A187)*入金明細!$B$5:$B$1004)))</f>
        <v/>
      </c>
      <c r="O187" s="18"/>
      <c r="P187" s="27" t="str">
        <f aca="false">IF(OR(A187="",F187=""),"",F187-N(M187)-N(O187))</f>
        <v/>
      </c>
      <c r="Q187" s="26"/>
      <c r="R187" s="28" t="str">
        <f aca="false">IF(A187="","",IF(Q187="取消","取消",IF(T187&lt;&gt;"","要入力",IF(K187="","未送付",IF(P187=0,"入金済",IF(P187&lt;0,"過入金",IF(設定!$C$5&gt;I187,IF(N(M187)&gt;0,"一部入金・超過","期日超過"),IF(N(M187)&gt;0,"一部入金",IF(I187-設定!$C$5&lt;=設定!$C$6,"期日間近","入金待ち")))))))))</f>
        <v/>
      </c>
      <c r="S187" s="29" t="str">
        <f aca="false">IF(OR(R187="期日超過",R187="一部入金・超過"),設定!$C$5-I187,"")</f>
        <v/>
      </c>
      <c r="T187" s="21" t="str">
        <f aca="false">IF(A187="","",TRIM(IF(B187="","請求日 ","")&amp;IF(C187="","取引先 ",IF(D187="コード誤り","取引先コード誤り ",""))&amp;IF(E187="","件名 ","")&amp;IF(F187="","請求額 ","")&amp;IF(AND(F187&lt;&gt;"",I187=""),"入金期日(マスタの支払条件が未登録) ","")&amp;IF(J187="","送付方法 ","")&amp;IF(AND(K187&lt;&gt;"",L187=""),"送付者 ","")&amp;IF(AND(K187&lt;&gt;"",N(K187)&gt;設定!$C$5),"送付日が未来の日付 ","")&amp;IF(AND(K187&lt;&gt;"",N(M187)&gt;0,N(P187)&lt;=0,U187=""),"消込確認者 ","")))</f>
        <v/>
      </c>
      <c r="U187" s="26"/>
      <c r="V187" s="26"/>
    </row>
    <row r="188" customFormat="false" ht="15" hidden="false" customHeight="false" outlineLevel="0" collapsed="false">
      <c r="A188" s="21" t="str">
        <f aca="false">IF(COUNTA(B188,C188,E188,F188)=0,"",設定!$C$4&amp;TEXT(ROW()-4,"00000"))</f>
        <v/>
      </c>
      <c r="B188" s="22"/>
      <c r="C188" s="23"/>
      <c r="D188" s="21" t="str">
        <f aca="false">IF(C188="","",IFERROR(INDEX(取引先マスタ!$B$5:$B$204,MATCH(C188,取引先マスタ!$A$5:$A$204,0)),"コード誤り"))</f>
        <v/>
      </c>
      <c r="E188" s="26"/>
      <c r="F188" s="18"/>
      <c r="G188" s="25" t="str">
        <f aca="false">IF(OR(B188="",C188="",D188="コード誤り"),"",IFERROR(IF(OR(INDEX(取引先マスタ!$E$5:$E$204,MATCH(C188,取引先マスタ!$A$5:$A$204,0))="",INDEX(取引先マスタ!$F$5:$F$204,MATCH(C188,取引先マスタ!$A$5:$A$204,0))=""),"",DATE(YEAR(B188),MONTH(B188)+INDEX(取引先マスタ!$E$5:$E$204,MATCH(C188,取引先マスタ!$A$5:$A$204,0)),MIN(INDEX(取引先マスタ!$F$5:$F$204,MATCH(C188,取引先マスタ!$A$5:$A$204,0)),DAY(EOMONTH(B188,INDEX(取引先マスタ!$E$5:$E$204,MATCH(C188,取引先マスタ!$A$5:$A$204,0))))))),""))</f>
        <v/>
      </c>
      <c r="H188" s="22"/>
      <c r="I188" s="25" t="str">
        <f aca="false">IF(H188&lt;&gt;"",H188,G188)</f>
        <v/>
      </c>
      <c r="J188" s="26"/>
      <c r="K188" s="22"/>
      <c r="L188" s="26"/>
      <c r="M188" s="27" t="str">
        <f aca="false">IF(A188="","",SUMIF(入金明細!$F$5:$F$1004,A188,入金明細!$E$5:$E$1004))</f>
        <v/>
      </c>
      <c r="N188" s="25" t="str">
        <f aca="false">IF(OR(A188="",N(M188)=0),"",SUMPRODUCT(MAX((入金明細!$F$5:$F$1004=A188)*入金明細!$B$5:$B$1004)))</f>
        <v/>
      </c>
      <c r="O188" s="18"/>
      <c r="P188" s="27" t="str">
        <f aca="false">IF(OR(A188="",F188=""),"",F188-N(M188)-N(O188))</f>
        <v/>
      </c>
      <c r="Q188" s="26"/>
      <c r="R188" s="28" t="str">
        <f aca="false">IF(A188="","",IF(Q188="取消","取消",IF(T188&lt;&gt;"","要入力",IF(K188="","未送付",IF(P188=0,"入金済",IF(P188&lt;0,"過入金",IF(設定!$C$5&gt;I188,IF(N(M188)&gt;0,"一部入金・超過","期日超過"),IF(N(M188)&gt;0,"一部入金",IF(I188-設定!$C$5&lt;=設定!$C$6,"期日間近","入金待ち")))))))))</f>
        <v/>
      </c>
      <c r="S188" s="29" t="str">
        <f aca="false">IF(OR(R188="期日超過",R188="一部入金・超過"),設定!$C$5-I188,"")</f>
        <v/>
      </c>
      <c r="T188" s="21" t="str">
        <f aca="false">IF(A188="","",TRIM(IF(B188="","請求日 ","")&amp;IF(C188="","取引先 ",IF(D188="コード誤り","取引先コード誤り ",""))&amp;IF(E188="","件名 ","")&amp;IF(F188="","請求額 ","")&amp;IF(AND(F188&lt;&gt;"",I188=""),"入金期日(マスタの支払条件が未登録) ","")&amp;IF(J188="","送付方法 ","")&amp;IF(AND(K188&lt;&gt;"",L188=""),"送付者 ","")&amp;IF(AND(K188&lt;&gt;"",N(K188)&gt;設定!$C$5),"送付日が未来の日付 ","")&amp;IF(AND(K188&lt;&gt;"",N(M188)&gt;0,N(P188)&lt;=0,U188=""),"消込確認者 ","")))</f>
        <v/>
      </c>
      <c r="U188" s="26"/>
      <c r="V188" s="26"/>
    </row>
    <row r="189" customFormat="false" ht="15" hidden="false" customHeight="false" outlineLevel="0" collapsed="false">
      <c r="A189" s="21" t="str">
        <f aca="false">IF(COUNTA(B189,C189,E189,F189)=0,"",設定!$C$4&amp;TEXT(ROW()-4,"00000"))</f>
        <v/>
      </c>
      <c r="B189" s="22"/>
      <c r="C189" s="23"/>
      <c r="D189" s="21" t="str">
        <f aca="false">IF(C189="","",IFERROR(INDEX(取引先マスタ!$B$5:$B$204,MATCH(C189,取引先マスタ!$A$5:$A$204,0)),"コード誤り"))</f>
        <v/>
      </c>
      <c r="E189" s="26"/>
      <c r="F189" s="18"/>
      <c r="G189" s="25" t="str">
        <f aca="false">IF(OR(B189="",C189="",D189="コード誤り"),"",IFERROR(IF(OR(INDEX(取引先マスタ!$E$5:$E$204,MATCH(C189,取引先マスタ!$A$5:$A$204,0))="",INDEX(取引先マスタ!$F$5:$F$204,MATCH(C189,取引先マスタ!$A$5:$A$204,0))=""),"",DATE(YEAR(B189),MONTH(B189)+INDEX(取引先マスタ!$E$5:$E$204,MATCH(C189,取引先マスタ!$A$5:$A$204,0)),MIN(INDEX(取引先マスタ!$F$5:$F$204,MATCH(C189,取引先マスタ!$A$5:$A$204,0)),DAY(EOMONTH(B189,INDEX(取引先マスタ!$E$5:$E$204,MATCH(C189,取引先マスタ!$A$5:$A$204,0))))))),""))</f>
        <v/>
      </c>
      <c r="H189" s="22"/>
      <c r="I189" s="25" t="str">
        <f aca="false">IF(H189&lt;&gt;"",H189,G189)</f>
        <v/>
      </c>
      <c r="J189" s="26"/>
      <c r="K189" s="22"/>
      <c r="L189" s="26"/>
      <c r="M189" s="27" t="str">
        <f aca="false">IF(A189="","",SUMIF(入金明細!$F$5:$F$1004,A189,入金明細!$E$5:$E$1004))</f>
        <v/>
      </c>
      <c r="N189" s="25" t="str">
        <f aca="false">IF(OR(A189="",N(M189)=0),"",SUMPRODUCT(MAX((入金明細!$F$5:$F$1004=A189)*入金明細!$B$5:$B$1004)))</f>
        <v/>
      </c>
      <c r="O189" s="18"/>
      <c r="P189" s="27" t="str">
        <f aca="false">IF(OR(A189="",F189=""),"",F189-N(M189)-N(O189))</f>
        <v/>
      </c>
      <c r="Q189" s="26"/>
      <c r="R189" s="28" t="str">
        <f aca="false">IF(A189="","",IF(Q189="取消","取消",IF(T189&lt;&gt;"","要入力",IF(K189="","未送付",IF(P189=0,"入金済",IF(P189&lt;0,"過入金",IF(設定!$C$5&gt;I189,IF(N(M189)&gt;0,"一部入金・超過","期日超過"),IF(N(M189)&gt;0,"一部入金",IF(I189-設定!$C$5&lt;=設定!$C$6,"期日間近","入金待ち")))))))))</f>
        <v/>
      </c>
      <c r="S189" s="29" t="str">
        <f aca="false">IF(OR(R189="期日超過",R189="一部入金・超過"),設定!$C$5-I189,"")</f>
        <v/>
      </c>
      <c r="T189" s="21" t="str">
        <f aca="false">IF(A189="","",TRIM(IF(B189="","請求日 ","")&amp;IF(C189="","取引先 ",IF(D189="コード誤り","取引先コード誤り ",""))&amp;IF(E189="","件名 ","")&amp;IF(F189="","請求額 ","")&amp;IF(AND(F189&lt;&gt;"",I189=""),"入金期日(マスタの支払条件が未登録) ","")&amp;IF(J189="","送付方法 ","")&amp;IF(AND(K189&lt;&gt;"",L189=""),"送付者 ","")&amp;IF(AND(K189&lt;&gt;"",N(K189)&gt;設定!$C$5),"送付日が未来の日付 ","")&amp;IF(AND(K189&lt;&gt;"",N(M189)&gt;0,N(P189)&lt;=0,U189=""),"消込確認者 ","")))</f>
        <v/>
      </c>
      <c r="U189" s="26"/>
      <c r="V189" s="26"/>
    </row>
    <row r="190" customFormat="false" ht="15" hidden="false" customHeight="false" outlineLevel="0" collapsed="false">
      <c r="A190" s="21" t="str">
        <f aca="false">IF(COUNTA(B190,C190,E190,F190)=0,"",設定!$C$4&amp;TEXT(ROW()-4,"00000"))</f>
        <v/>
      </c>
      <c r="B190" s="22"/>
      <c r="C190" s="23"/>
      <c r="D190" s="21" t="str">
        <f aca="false">IF(C190="","",IFERROR(INDEX(取引先マスタ!$B$5:$B$204,MATCH(C190,取引先マスタ!$A$5:$A$204,0)),"コード誤り"))</f>
        <v/>
      </c>
      <c r="E190" s="26"/>
      <c r="F190" s="18"/>
      <c r="G190" s="25" t="str">
        <f aca="false">IF(OR(B190="",C190="",D190="コード誤り"),"",IFERROR(IF(OR(INDEX(取引先マスタ!$E$5:$E$204,MATCH(C190,取引先マスタ!$A$5:$A$204,0))="",INDEX(取引先マスタ!$F$5:$F$204,MATCH(C190,取引先マスタ!$A$5:$A$204,0))=""),"",DATE(YEAR(B190),MONTH(B190)+INDEX(取引先マスタ!$E$5:$E$204,MATCH(C190,取引先マスタ!$A$5:$A$204,0)),MIN(INDEX(取引先マスタ!$F$5:$F$204,MATCH(C190,取引先マスタ!$A$5:$A$204,0)),DAY(EOMONTH(B190,INDEX(取引先マスタ!$E$5:$E$204,MATCH(C190,取引先マスタ!$A$5:$A$204,0))))))),""))</f>
        <v/>
      </c>
      <c r="H190" s="22"/>
      <c r="I190" s="25" t="str">
        <f aca="false">IF(H190&lt;&gt;"",H190,G190)</f>
        <v/>
      </c>
      <c r="J190" s="26"/>
      <c r="K190" s="22"/>
      <c r="L190" s="26"/>
      <c r="M190" s="27" t="str">
        <f aca="false">IF(A190="","",SUMIF(入金明細!$F$5:$F$1004,A190,入金明細!$E$5:$E$1004))</f>
        <v/>
      </c>
      <c r="N190" s="25" t="str">
        <f aca="false">IF(OR(A190="",N(M190)=0),"",SUMPRODUCT(MAX((入金明細!$F$5:$F$1004=A190)*入金明細!$B$5:$B$1004)))</f>
        <v/>
      </c>
      <c r="O190" s="18"/>
      <c r="P190" s="27" t="str">
        <f aca="false">IF(OR(A190="",F190=""),"",F190-N(M190)-N(O190))</f>
        <v/>
      </c>
      <c r="Q190" s="26"/>
      <c r="R190" s="28" t="str">
        <f aca="false">IF(A190="","",IF(Q190="取消","取消",IF(T190&lt;&gt;"","要入力",IF(K190="","未送付",IF(P190=0,"入金済",IF(P190&lt;0,"過入金",IF(設定!$C$5&gt;I190,IF(N(M190)&gt;0,"一部入金・超過","期日超過"),IF(N(M190)&gt;0,"一部入金",IF(I190-設定!$C$5&lt;=設定!$C$6,"期日間近","入金待ち")))))))))</f>
        <v/>
      </c>
      <c r="S190" s="29" t="str">
        <f aca="false">IF(OR(R190="期日超過",R190="一部入金・超過"),設定!$C$5-I190,"")</f>
        <v/>
      </c>
      <c r="T190" s="21" t="str">
        <f aca="false">IF(A190="","",TRIM(IF(B190="","請求日 ","")&amp;IF(C190="","取引先 ",IF(D190="コード誤り","取引先コード誤り ",""))&amp;IF(E190="","件名 ","")&amp;IF(F190="","請求額 ","")&amp;IF(AND(F190&lt;&gt;"",I190=""),"入金期日(マスタの支払条件が未登録) ","")&amp;IF(J190="","送付方法 ","")&amp;IF(AND(K190&lt;&gt;"",L190=""),"送付者 ","")&amp;IF(AND(K190&lt;&gt;"",N(K190)&gt;設定!$C$5),"送付日が未来の日付 ","")&amp;IF(AND(K190&lt;&gt;"",N(M190)&gt;0,N(P190)&lt;=0,U190=""),"消込確認者 ","")))</f>
        <v/>
      </c>
      <c r="U190" s="26"/>
      <c r="V190" s="26"/>
    </row>
    <row r="191" customFormat="false" ht="15" hidden="false" customHeight="false" outlineLevel="0" collapsed="false">
      <c r="A191" s="21" t="str">
        <f aca="false">IF(COUNTA(B191,C191,E191,F191)=0,"",設定!$C$4&amp;TEXT(ROW()-4,"00000"))</f>
        <v/>
      </c>
      <c r="B191" s="22"/>
      <c r="C191" s="23"/>
      <c r="D191" s="21" t="str">
        <f aca="false">IF(C191="","",IFERROR(INDEX(取引先マスタ!$B$5:$B$204,MATCH(C191,取引先マスタ!$A$5:$A$204,0)),"コード誤り"))</f>
        <v/>
      </c>
      <c r="E191" s="26"/>
      <c r="F191" s="18"/>
      <c r="G191" s="25" t="str">
        <f aca="false">IF(OR(B191="",C191="",D191="コード誤り"),"",IFERROR(IF(OR(INDEX(取引先マスタ!$E$5:$E$204,MATCH(C191,取引先マスタ!$A$5:$A$204,0))="",INDEX(取引先マスタ!$F$5:$F$204,MATCH(C191,取引先マスタ!$A$5:$A$204,0))=""),"",DATE(YEAR(B191),MONTH(B191)+INDEX(取引先マスタ!$E$5:$E$204,MATCH(C191,取引先マスタ!$A$5:$A$204,0)),MIN(INDEX(取引先マスタ!$F$5:$F$204,MATCH(C191,取引先マスタ!$A$5:$A$204,0)),DAY(EOMONTH(B191,INDEX(取引先マスタ!$E$5:$E$204,MATCH(C191,取引先マスタ!$A$5:$A$204,0))))))),""))</f>
        <v/>
      </c>
      <c r="H191" s="22"/>
      <c r="I191" s="25" t="str">
        <f aca="false">IF(H191&lt;&gt;"",H191,G191)</f>
        <v/>
      </c>
      <c r="J191" s="26"/>
      <c r="K191" s="22"/>
      <c r="L191" s="26"/>
      <c r="M191" s="27" t="str">
        <f aca="false">IF(A191="","",SUMIF(入金明細!$F$5:$F$1004,A191,入金明細!$E$5:$E$1004))</f>
        <v/>
      </c>
      <c r="N191" s="25" t="str">
        <f aca="false">IF(OR(A191="",N(M191)=0),"",SUMPRODUCT(MAX((入金明細!$F$5:$F$1004=A191)*入金明細!$B$5:$B$1004)))</f>
        <v/>
      </c>
      <c r="O191" s="18"/>
      <c r="P191" s="27" t="str">
        <f aca="false">IF(OR(A191="",F191=""),"",F191-N(M191)-N(O191))</f>
        <v/>
      </c>
      <c r="Q191" s="26"/>
      <c r="R191" s="28" t="str">
        <f aca="false">IF(A191="","",IF(Q191="取消","取消",IF(T191&lt;&gt;"","要入力",IF(K191="","未送付",IF(P191=0,"入金済",IF(P191&lt;0,"過入金",IF(設定!$C$5&gt;I191,IF(N(M191)&gt;0,"一部入金・超過","期日超過"),IF(N(M191)&gt;0,"一部入金",IF(I191-設定!$C$5&lt;=設定!$C$6,"期日間近","入金待ち")))))))))</f>
        <v/>
      </c>
      <c r="S191" s="29" t="str">
        <f aca="false">IF(OR(R191="期日超過",R191="一部入金・超過"),設定!$C$5-I191,"")</f>
        <v/>
      </c>
      <c r="T191" s="21" t="str">
        <f aca="false">IF(A191="","",TRIM(IF(B191="","請求日 ","")&amp;IF(C191="","取引先 ",IF(D191="コード誤り","取引先コード誤り ",""))&amp;IF(E191="","件名 ","")&amp;IF(F191="","請求額 ","")&amp;IF(AND(F191&lt;&gt;"",I191=""),"入金期日(マスタの支払条件が未登録) ","")&amp;IF(J191="","送付方法 ","")&amp;IF(AND(K191&lt;&gt;"",L191=""),"送付者 ","")&amp;IF(AND(K191&lt;&gt;"",N(K191)&gt;設定!$C$5),"送付日が未来の日付 ","")&amp;IF(AND(K191&lt;&gt;"",N(M191)&gt;0,N(P191)&lt;=0,U191=""),"消込確認者 ","")))</f>
        <v/>
      </c>
      <c r="U191" s="26"/>
      <c r="V191" s="26"/>
    </row>
    <row r="192" customFormat="false" ht="15" hidden="false" customHeight="false" outlineLevel="0" collapsed="false">
      <c r="A192" s="21" t="str">
        <f aca="false">IF(COUNTA(B192,C192,E192,F192)=0,"",設定!$C$4&amp;TEXT(ROW()-4,"00000"))</f>
        <v/>
      </c>
      <c r="B192" s="22"/>
      <c r="C192" s="23"/>
      <c r="D192" s="21" t="str">
        <f aca="false">IF(C192="","",IFERROR(INDEX(取引先マスタ!$B$5:$B$204,MATCH(C192,取引先マスタ!$A$5:$A$204,0)),"コード誤り"))</f>
        <v/>
      </c>
      <c r="E192" s="26"/>
      <c r="F192" s="18"/>
      <c r="G192" s="25" t="str">
        <f aca="false">IF(OR(B192="",C192="",D192="コード誤り"),"",IFERROR(IF(OR(INDEX(取引先マスタ!$E$5:$E$204,MATCH(C192,取引先マスタ!$A$5:$A$204,0))="",INDEX(取引先マスタ!$F$5:$F$204,MATCH(C192,取引先マスタ!$A$5:$A$204,0))=""),"",DATE(YEAR(B192),MONTH(B192)+INDEX(取引先マスタ!$E$5:$E$204,MATCH(C192,取引先マスタ!$A$5:$A$204,0)),MIN(INDEX(取引先マスタ!$F$5:$F$204,MATCH(C192,取引先マスタ!$A$5:$A$204,0)),DAY(EOMONTH(B192,INDEX(取引先マスタ!$E$5:$E$204,MATCH(C192,取引先マスタ!$A$5:$A$204,0))))))),""))</f>
        <v/>
      </c>
      <c r="H192" s="22"/>
      <c r="I192" s="25" t="str">
        <f aca="false">IF(H192&lt;&gt;"",H192,G192)</f>
        <v/>
      </c>
      <c r="J192" s="26"/>
      <c r="K192" s="22"/>
      <c r="L192" s="26"/>
      <c r="M192" s="27" t="str">
        <f aca="false">IF(A192="","",SUMIF(入金明細!$F$5:$F$1004,A192,入金明細!$E$5:$E$1004))</f>
        <v/>
      </c>
      <c r="N192" s="25" t="str">
        <f aca="false">IF(OR(A192="",N(M192)=0),"",SUMPRODUCT(MAX((入金明細!$F$5:$F$1004=A192)*入金明細!$B$5:$B$1004)))</f>
        <v/>
      </c>
      <c r="O192" s="18"/>
      <c r="P192" s="27" t="str">
        <f aca="false">IF(OR(A192="",F192=""),"",F192-N(M192)-N(O192))</f>
        <v/>
      </c>
      <c r="Q192" s="26"/>
      <c r="R192" s="28" t="str">
        <f aca="false">IF(A192="","",IF(Q192="取消","取消",IF(T192&lt;&gt;"","要入力",IF(K192="","未送付",IF(P192=0,"入金済",IF(P192&lt;0,"過入金",IF(設定!$C$5&gt;I192,IF(N(M192)&gt;0,"一部入金・超過","期日超過"),IF(N(M192)&gt;0,"一部入金",IF(I192-設定!$C$5&lt;=設定!$C$6,"期日間近","入金待ち")))))))))</f>
        <v/>
      </c>
      <c r="S192" s="29" t="str">
        <f aca="false">IF(OR(R192="期日超過",R192="一部入金・超過"),設定!$C$5-I192,"")</f>
        <v/>
      </c>
      <c r="T192" s="21" t="str">
        <f aca="false">IF(A192="","",TRIM(IF(B192="","請求日 ","")&amp;IF(C192="","取引先 ",IF(D192="コード誤り","取引先コード誤り ",""))&amp;IF(E192="","件名 ","")&amp;IF(F192="","請求額 ","")&amp;IF(AND(F192&lt;&gt;"",I192=""),"入金期日(マスタの支払条件が未登録) ","")&amp;IF(J192="","送付方法 ","")&amp;IF(AND(K192&lt;&gt;"",L192=""),"送付者 ","")&amp;IF(AND(K192&lt;&gt;"",N(K192)&gt;設定!$C$5),"送付日が未来の日付 ","")&amp;IF(AND(K192&lt;&gt;"",N(M192)&gt;0,N(P192)&lt;=0,U192=""),"消込確認者 ","")))</f>
        <v/>
      </c>
      <c r="U192" s="26"/>
      <c r="V192" s="26"/>
    </row>
    <row r="193" customFormat="false" ht="15" hidden="false" customHeight="false" outlineLevel="0" collapsed="false">
      <c r="A193" s="21" t="str">
        <f aca="false">IF(COUNTA(B193,C193,E193,F193)=0,"",設定!$C$4&amp;TEXT(ROW()-4,"00000"))</f>
        <v/>
      </c>
      <c r="B193" s="22"/>
      <c r="C193" s="23"/>
      <c r="D193" s="21" t="str">
        <f aca="false">IF(C193="","",IFERROR(INDEX(取引先マスタ!$B$5:$B$204,MATCH(C193,取引先マスタ!$A$5:$A$204,0)),"コード誤り"))</f>
        <v/>
      </c>
      <c r="E193" s="26"/>
      <c r="F193" s="18"/>
      <c r="G193" s="25" t="str">
        <f aca="false">IF(OR(B193="",C193="",D193="コード誤り"),"",IFERROR(IF(OR(INDEX(取引先マスタ!$E$5:$E$204,MATCH(C193,取引先マスタ!$A$5:$A$204,0))="",INDEX(取引先マスタ!$F$5:$F$204,MATCH(C193,取引先マスタ!$A$5:$A$204,0))=""),"",DATE(YEAR(B193),MONTH(B193)+INDEX(取引先マスタ!$E$5:$E$204,MATCH(C193,取引先マスタ!$A$5:$A$204,0)),MIN(INDEX(取引先マスタ!$F$5:$F$204,MATCH(C193,取引先マスタ!$A$5:$A$204,0)),DAY(EOMONTH(B193,INDEX(取引先マスタ!$E$5:$E$204,MATCH(C193,取引先マスタ!$A$5:$A$204,0))))))),""))</f>
        <v/>
      </c>
      <c r="H193" s="22"/>
      <c r="I193" s="25" t="str">
        <f aca="false">IF(H193&lt;&gt;"",H193,G193)</f>
        <v/>
      </c>
      <c r="J193" s="26"/>
      <c r="K193" s="22"/>
      <c r="L193" s="26"/>
      <c r="M193" s="27" t="str">
        <f aca="false">IF(A193="","",SUMIF(入金明細!$F$5:$F$1004,A193,入金明細!$E$5:$E$1004))</f>
        <v/>
      </c>
      <c r="N193" s="25" t="str">
        <f aca="false">IF(OR(A193="",N(M193)=0),"",SUMPRODUCT(MAX((入金明細!$F$5:$F$1004=A193)*入金明細!$B$5:$B$1004)))</f>
        <v/>
      </c>
      <c r="O193" s="18"/>
      <c r="P193" s="27" t="str">
        <f aca="false">IF(OR(A193="",F193=""),"",F193-N(M193)-N(O193))</f>
        <v/>
      </c>
      <c r="Q193" s="26"/>
      <c r="R193" s="28" t="str">
        <f aca="false">IF(A193="","",IF(Q193="取消","取消",IF(T193&lt;&gt;"","要入力",IF(K193="","未送付",IF(P193=0,"入金済",IF(P193&lt;0,"過入金",IF(設定!$C$5&gt;I193,IF(N(M193)&gt;0,"一部入金・超過","期日超過"),IF(N(M193)&gt;0,"一部入金",IF(I193-設定!$C$5&lt;=設定!$C$6,"期日間近","入金待ち")))))))))</f>
        <v/>
      </c>
      <c r="S193" s="29" t="str">
        <f aca="false">IF(OR(R193="期日超過",R193="一部入金・超過"),設定!$C$5-I193,"")</f>
        <v/>
      </c>
      <c r="T193" s="21" t="str">
        <f aca="false">IF(A193="","",TRIM(IF(B193="","請求日 ","")&amp;IF(C193="","取引先 ",IF(D193="コード誤り","取引先コード誤り ",""))&amp;IF(E193="","件名 ","")&amp;IF(F193="","請求額 ","")&amp;IF(AND(F193&lt;&gt;"",I193=""),"入金期日(マスタの支払条件が未登録) ","")&amp;IF(J193="","送付方法 ","")&amp;IF(AND(K193&lt;&gt;"",L193=""),"送付者 ","")&amp;IF(AND(K193&lt;&gt;"",N(K193)&gt;設定!$C$5),"送付日が未来の日付 ","")&amp;IF(AND(K193&lt;&gt;"",N(M193)&gt;0,N(P193)&lt;=0,U193=""),"消込確認者 ","")))</f>
        <v/>
      </c>
      <c r="U193" s="26"/>
      <c r="V193" s="26"/>
    </row>
    <row r="194" customFormat="false" ht="15" hidden="false" customHeight="false" outlineLevel="0" collapsed="false">
      <c r="A194" s="21" t="str">
        <f aca="false">IF(COUNTA(B194,C194,E194,F194)=0,"",設定!$C$4&amp;TEXT(ROW()-4,"00000"))</f>
        <v/>
      </c>
      <c r="B194" s="22"/>
      <c r="C194" s="23"/>
      <c r="D194" s="21" t="str">
        <f aca="false">IF(C194="","",IFERROR(INDEX(取引先マスタ!$B$5:$B$204,MATCH(C194,取引先マスタ!$A$5:$A$204,0)),"コード誤り"))</f>
        <v/>
      </c>
      <c r="E194" s="26"/>
      <c r="F194" s="18"/>
      <c r="G194" s="25" t="str">
        <f aca="false">IF(OR(B194="",C194="",D194="コード誤り"),"",IFERROR(IF(OR(INDEX(取引先マスタ!$E$5:$E$204,MATCH(C194,取引先マスタ!$A$5:$A$204,0))="",INDEX(取引先マスタ!$F$5:$F$204,MATCH(C194,取引先マスタ!$A$5:$A$204,0))=""),"",DATE(YEAR(B194),MONTH(B194)+INDEX(取引先マスタ!$E$5:$E$204,MATCH(C194,取引先マスタ!$A$5:$A$204,0)),MIN(INDEX(取引先マスタ!$F$5:$F$204,MATCH(C194,取引先マスタ!$A$5:$A$204,0)),DAY(EOMONTH(B194,INDEX(取引先マスタ!$E$5:$E$204,MATCH(C194,取引先マスタ!$A$5:$A$204,0))))))),""))</f>
        <v/>
      </c>
      <c r="H194" s="22"/>
      <c r="I194" s="25" t="str">
        <f aca="false">IF(H194&lt;&gt;"",H194,G194)</f>
        <v/>
      </c>
      <c r="J194" s="26"/>
      <c r="K194" s="22"/>
      <c r="L194" s="26"/>
      <c r="M194" s="27" t="str">
        <f aca="false">IF(A194="","",SUMIF(入金明細!$F$5:$F$1004,A194,入金明細!$E$5:$E$1004))</f>
        <v/>
      </c>
      <c r="N194" s="25" t="str">
        <f aca="false">IF(OR(A194="",N(M194)=0),"",SUMPRODUCT(MAX((入金明細!$F$5:$F$1004=A194)*入金明細!$B$5:$B$1004)))</f>
        <v/>
      </c>
      <c r="O194" s="18"/>
      <c r="P194" s="27" t="str">
        <f aca="false">IF(OR(A194="",F194=""),"",F194-N(M194)-N(O194))</f>
        <v/>
      </c>
      <c r="Q194" s="26"/>
      <c r="R194" s="28" t="str">
        <f aca="false">IF(A194="","",IF(Q194="取消","取消",IF(T194&lt;&gt;"","要入力",IF(K194="","未送付",IF(P194=0,"入金済",IF(P194&lt;0,"過入金",IF(設定!$C$5&gt;I194,IF(N(M194)&gt;0,"一部入金・超過","期日超過"),IF(N(M194)&gt;0,"一部入金",IF(I194-設定!$C$5&lt;=設定!$C$6,"期日間近","入金待ち")))))))))</f>
        <v/>
      </c>
      <c r="S194" s="29" t="str">
        <f aca="false">IF(OR(R194="期日超過",R194="一部入金・超過"),設定!$C$5-I194,"")</f>
        <v/>
      </c>
      <c r="T194" s="21" t="str">
        <f aca="false">IF(A194="","",TRIM(IF(B194="","請求日 ","")&amp;IF(C194="","取引先 ",IF(D194="コード誤り","取引先コード誤り ",""))&amp;IF(E194="","件名 ","")&amp;IF(F194="","請求額 ","")&amp;IF(AND(F194&lt;&gt;"",I194=""),"入金期日(マスタの支払条件が未登録) ","")&amp;IF(J194="","送付方法 ","")&amp;IF(AND(K194&lt;&gt;"",L194=""),"送付者 ","")&amp;IF(AND(K194&lt;&gt;"",N(K194)&gt;設定!$C$5),"送付日が未来の日付 ","")&amp;IF(AND(K194&lt;&gt;"",N(M194)&gt;0,N(P194)&lt;=0,U194=""),"消込確認者 ","")))</f>
        <v/>
      </c>
      <c r="U194" s="26"/>
      <c r="V194" s="26"/>
    </row>
    <row r="195" customFormat="false" ht="15" hidden="false" customHeight="false" outlineLevel="0" collapsed="false">
      <c r="A195" s="21" t="str">
        <f aca="false">IF(COUNTA(B195,C195,E195,F195)=0,"",設定!$C$4&amp;TEXT(ROW()-4,"00000"))</f>
        <v/>
      </c>
      <c r="B195" s="22"/>
      <c r="C195" s="23"/>
      <c r="D195" s="21" t="str">
        <f aca="false">IF(C195="","",IFERROR(INDEX(取引先マスタ!$B$5:$B$204,MATCH(C195,取引先マスタ!$A$5:$A$204,0)),"コード誤り"))</f>
        <v/>
      </c>
      <c r="E195" s="26"/>
      <c r="F195" s="18"/>
      <c r="G195" s="25" t="str">
        <f aca="false">IF(OR(B195="",C195="",D195="コード誤り"),"",IFERROR(IF(OR(INDEX(取引先マスタ!$E$5:$E$204,MATCH(C195,取引先マスタ!$A$5:$A$204,0))="",INDEX(取引先マスタ!$F$5:$F$204,MATCH(C195,取引先マスタ!$A$5:$A$204,0))=""),"",DATE(YEAR(B195),MONTH(B195)+INDEX(取引先マスタ!$E$5:$E$204,MATCH(C195,取引先マスタ!$A$5:$A$204,0)),MIN(INDEX(取引先マスタ!$F$5:$F$204,MATCH(C195,取引先マスタ!$A$5:$A$204,0)),DAY(EOMONTH(B195,INDEX(取引先マスタ!$E$5:$E$204,MATCH(C195,取引先マスタ!$A$5:$A$204,0))))))),""))</f>
        <v/>
      </c>
      <c r="H195" s="22"/>
      <c r="I195" s="25" t="str">
        <f aca="false">IF(H195&lt;&gt;"",H195,G195)</f>
        <v/>
      </c>
      <c r="J195" s="26"/>
      <c r="K195" s="22"/>
      <c r="L195" s="26"/>
      <c r="M195" s="27" t="str">
        <f aca="false">IF(A195="","",SUMIF(入金明細!$F$5:$F$1004,A195,入金明細!$E$5:$E$1004))</f>
        <v/>
      </c>
      <c r="N195" s="25" t="str">
        <f aca="false">IF(OR(A195="",N(M195)=0),"",SUMPRODUCT(MAX((入金明細!$F$5:$F$1004=A195)*入金明細!$B$5:$B$1004)))</f>
        <v/>
      </c>
      <c r="O195" s="18"/>
      <c r="P195" s="27" t="str">
        <f aca="false">IF(OR(A195="",F195=""),"",F195-N(M195)-N(O195))</f>
        <v/>
      </c>
      <c r="Q195" s="26"/>
      <c r="R195" s="28" t="str">
        <f aca="false">IF(A195="","",IF(Q195="取消","取消",IF(T195&lt;&gt;"","要入力",IF(K195="","未送付",IF(P195=0,"入金済",IF(P195&lt;0,"過入金",IF(設定!$C$5&gt;I195,IF(N(M195)&gt;0,"一部入金・超過","期日超過"),IF(N(M195)&gt;0,"一部入金",IF(I195-設定!$C$5&lt;=設定!$C$6,"期日間近","入金待ち")))))))))</f>
        <v/>
      </c>
      <c r="S195" s="29" t="str">
        <f aca="false">IF(OR(R195="期日超過",R195="一部入金・超過"),設定!$C$5-I195,"")</f>
        <v/>
      </c>
      <c r="T195" s="21" t="str">
        <f aca="false">IF(A195="","",TRIM(IF(B195="","請求日 ","")&amp;IF(C195="","取引先 ",IF(D195="コード誤り","取引先コード誤り ",""))&amp;IF(E195="","件名 ","")&amp;IF(F195="","請求額 ","")&amp;IF(AND(F195&lt;&gt;"",I195=""),"入金期日(マスタの支払条件が未登録) ","")&amp;IF(J195="","送付方法 ","")&amp;IF(AND(K195&lt;&gt;"",L195=""),"送付者 ","")&amp;IF(AND(K195&lt;&gt;"",N(K195)&gt;設定!$C$5),"送付日が未来の日付 ","")&amp;IF(AND(K195&lt;&gt;"",N(M195)&gt;0,N(P195)&lt;=0,U195=""),"消込確認者 ","")))</f>
        <v/>
      </c>
      <c r="U195" s="26"/>
      <c r="V195" s="26"/>
    </row>
    <row r="196" customFormat="false" ht="15" hidden="false" customHeight="false" outlineLevel="0" collapsed="false">
      <c r="A196" s="21" t="str">
        <f aca="false">IF(COUNTA(B196,C196,E196,F196)=0,"",設定!$C$4&amp;TEXT(ROW()-4,"00000"))</f>
        <v/>
      </c>
      <c r="B196" s="22"/>
      <c r="C196" s="23"/>
      <c r="D196" s="21" t="str">
        <f aca="false">IF(C196="","",IFERROR(INDEX(取引先マスタ!$B$5:$B$204,MATCH(C196,取引先マスタ!$A$5:$A$204,0)),"コード誤り"))</f>
        <v/>
      </c>
      <c r="E196" s="26"/>
      <c r="F196" s="18"/>
      <c r="G196" s="25" t="str">
        <f aca="false">IF(OR(B196="",C196="",D196="コード誤り"),"",IFERROR(IF(OR(INDEX(取引先マスタ!$E$5:$E$204,MATCH(C196,取引先マスタ!$A$5:$A$204,0))="",INDEX(取引先マスタ!$F$5:$F$204,MATCH(C196,取引先マスタ!$A$5:$A$204,0))=""),"",DATE(YEAR(B196),MONTH(B196)+INDEX(取引先マスタ!$E$5:$E$204,MATCH(C196,取引先マスタ!$A$5:$A$204,0)),MIN(INDEX(取引先マスタ!$F$5:$F$204,MATCH(C196,取引先マスタ!$A$5:$A$204,0)),DAY(EOMONTH(B196,INDEX(取引先マスタ!$E$5:$E$204,MATCH(C196,取引先マスタ!$A$5:$A$204,0))))))),""))</f>
        <v/>
      </c>
      <c r="H196" s="22"/>
      <c r="I196" s="25" t="str">
        <f aca="false">IF(H196&lt;&gt;"",H196,G196)</f>
        <v/>
      </c>
      <c r="J196" s="26"/>
      <c r="K196" s="22"/>
      <c r="L196" s="26"/>
      <c r="M196" s="27" t="str">
        <f aca="false">IF(A196="","",SUMIF(入金明細!$F$5:$F$1004,A196,入金明細!$E$5:$E$1004))</f>
        <v/>
      </c>
      <c r="N196" s="25" t="str">
        <f aca="false">IF(OR(A196="",N(M196)=0),"",SUMPRODUCT(MAX((入金明細!$F$5:$F$1004=A196)*入金明細!$B$5:$B$1004)))</f>
        <v/>
      </c>
      <c r="O196" s="18"/>
      <c r="P196" s="27" t="str">
        <f aca="false">IF(OR(A196="",F196=""),"",F196-N(M196)-N(O196))</f>
        <v/>
      </c>
      <c r="Q196" s="26"/>
      <c r="R196" s="28" t="str">
        <f aca="false">IF(A196="","",IF(Q196="取消","取消",IF(T196&lt;&gt;"","要入力",IF(K196="","未送付",IF(P196=0,"入金済",IF(P196&lt;0,"過入金",IF(設定!$C$5&gt;I196,IF(N(M196)&gt;0,"一部入金・超過","期日超過"),IF(N(M196)&gt;0,"一部入金",IF(I196-設定!$C$5&lt;=設定!$C$6,"期日間近","入金待ち")))))))))</f>
        <v/>
      </c>
      <c r="S196" s="29" t="str">
        <f aca="false">IF(OR(R196="期日超過",R196="一部入金・超過"),設定!$C$5-I196,"")</f>
        <v/>
      </c>
      <c r="T196" s="21" t="str">
        <f aca="false">IF(A196="","",TRIM(IF(B196="","請求日 ","")&amp;IF(C196="","取引先 ",IF(D196="コード誤り","取引先コード誤り ",""))&amp;IF(E196="","件名 ","")&amp;IF(F196="","請求額 ","")&amp;IF(AND(F196&lt;&gt;"",I196=""),"入金期日(マスタの支払条件が未登録) ","")&amp;IF(J196="","送付方法 ","")&amp;IF(AND(K196&lt;&gt;"",L196=""),"送付者 ","")&amp;IF(AND(K196&lt;&gt;"",N(K196)&gt;設定!$C$5),"送付日が未来の日付 ","")&amp;IF(AND(K196&lt;&gt;"",N(M196)&gt;0,N(P196)&lt;=0,U196=""),"消込確認者 ","")))</f>
        <v/>
      </c>
      <c r="U196" s="26"/>
      <c r="V196" s="26"/>
    </row>
    <row r="197" customFormat="false" ht="15" hidden="false" customHeight="false" outlineLevel="0" collapsed="false">
      <c r="A197" s="21" t="str">
        <f aca="false">IF(COUNTA(B197,C197,E197,F197)=0,"",設定!$C$4&amp;TEXT(ROW()-4,"00000"))</f>
        <v/>
      </c>
      <c r="B197" s="22"/>
      <c r="C197" s="23"/>
      <c r="D197" s="21" t="str">
        <f aca="false">IF(C197="","",IFERROR(INDEX(取引先マスタ!$B$5:$B$204,MATCH(C197,取引先マスタ!$A$5:$A$204,0)),"コード誤り"))</f>
        <v/>
      </c>
      <c r="E197" s="26"/>
      <c r="F197" s="18"/>
      <c r="G197" s="25" t="str">
        <f aca="false">IF(OR(B197="",C197="",D197="コード誤り"),"",IFERROR(IF(OR(INDEX(取引先マスタ!$E$5:$E$204,MATCH(C197,取引先マスタ!$A$5:$A$204,0))="",INDEX(取引先マスタ!$F$5:$F$204,MATCH(C197,取引先マスタ!$A$5:$A$204,0))=""),"",DATE(YEAR(B197),MONTH(B197)+INDEX(取引先マスタ!$E$5:$E$204,MATCH(C197,取引先マスタ!$A$5:$A$204,0)),MIN(INDEX(取引先マスタ!$F$5:$F$204,MATCH(C197,取引先マスタ!$A$5:$A$204,0)),DAY(EOMONTH(B197,INDEX(取引先マスタ!$E$5:$E$204,MATCH(C197,取引先マスタ!$A$5:$A$204,0))))))),""))</f>
        <v/>
      </c>
      <c r="H197" s="22"/>
      <c r="I197" s="25" t="str">
        <f aca="false">IF(H197&lt;&gt;"",H197,G197)</f>
        <v/>
      </c>
      <c r="J197" s="26"/>
      <c r="K197" s="22"/>
      <c r="L197" s="26"/>
      <c r="M197" s="27" t="str">
        <f aca="false">IF(A197="","",SUMIF(入金明細!$F$5:$F$1004,A197,入金明細!$E$5:$E$1004))</f>
        <v/>
      </c>
      <c r="N197" s="25" t="str">
        <f aca="false">IF(OR(A197="",N(M197)=0),"",SUMPRODUCT(MAX((入金明細!$F$5:$F$1004=A197)*入金明細!$B$5:$B$1004)))</f>
        <v/>
      </c>
      <c r="O197" s="18"/>
      <c r="P197" s="27" t="str">
        <f aca="false">IF(OR(A197="",F197=""),"",F197-N(M197)-N(O197))</f>
        <v/>
      </c>
      <c r="Q197" s="26"/>
      <c r="R197" s="28" t="str">
        <f aca="false">IF(A197="","",IF(Q197="取消","取消",IF(T197&lt;&gt;"","要入力",IF(K197="","未送付",IF(P197=0,"入金済",IF(P197&lt;0,"過入金",IF(設定!$C$5&gt;I197,IF(N(M197)&gt;0,"一部入金・超過","期日超過"),IF(N(M197)&gt;0,"一部入金",IF(I197-設定!$C$5&lt;=設定!$C$6,"期日間近","入金待ち")))))))))</f>
        <v/>
      </c>
      <c r="S197" s="29" t="str">
        <f aca="false">IF(OR(R197="期日超過",R197="一部入金・超過"),設定!$C$5-I197,"")</f>
        <v/>
      </c>
      <c r="T197" s="21" t="str">
        <f aca="false">IF(A197="","",TRIM(IF(B197="","請求日 ","")&amp;IF(C197="","取引先 ",IF(D197="コード誤り","取引先コード誤り ",""))&amp;IF(E197="","件名 ","")&amp;IF(F197="","請求額 ","")&amp;IF(AND(F197&lt;&gt;"",I197=""),"入金期日(マスタの支払条件が未登録) ","")&amp;IF(J197="","送付方法 ","")&amp;IF(AND(K197&lt;&gt;"",L197=""),"送付者 ","")&amp;IF(AND(K197&lt;&gt;"",N(K197)&gt;設定!$C$5),"送付日が未来の日付 ","")&amp;IF(AND(K197&lt;&gt;"",N(M197)&gt;0,N(P197)&lt;=0,U197=""),"消込確認者 ","")))</f>
        <v/>
      </c>
      <c r="U197" s="26"/>
      <c r="V197" s="26"/>
    </row>
    <row r="198" customFormat="false" ht="15" hidden="false" customHeight="false" outlineLevel="0" collapsed="false">
      <c r="A198" s="21" t="str">
        <f aca="false">IF(COUNTA(B198,C198,E198,F198)=0,"",設定!$C$4&amp;TEXT(ROW()-4,"00000"))</f>
        <v/>
      </c>
      <c r="B198" s="22"/>
      <c r="C198" s="23"/>
      <c r="D198" s="21" t="str">
        <f aca="false">IF(C198="","",IFERROR(INDEX(取引先マスタ!$B$5:$B$204,MATCH(C198,取引先マスタ!$A$5:$A$204,0)),"コード誤り"))</f>
        <v/>
      </c>
      <c r="E198" s="26"/>
      <c r="F198" s="18"/>
      <c r="G198" s="25" t="str">
        <f aca="false">IF(OR(B198="",C198="",D198="コード誤り"),"",IFERROR(IF(OR(INDEX(取引先マスタ!$E$5:$E$204,MATCH(C198,取引先マスタ!$A$5:$A$204,0))="",INDEX(取引先マスタ!$F$5:$F$204,MATCH(C198,取引先マスタ!$A$5:$A$204,0))=""),"",DATE(YEAR(B198),MONTH(B198)+INDEX(取引先マスタ!$E$5:$E$204,MATCH(C198,取引先マスタ!$A$5:$A$204,0)),MIN(INDEX(取引先マスタ!$F$5:$F$204,MATCH(C198,取引先マスタ!$A$5:$A$204,0)),DAY(EOMONTH(B198,INDEX(取引先マスタ!$E$5:$E$204,MATCH(C198,取引先マスタ!$A$5:$A$204,0))))))),""))</f>
        <v/>
      </c>
      <c r="H198" s="22"/>
      <c r="I198" s="25" t="str">
        <f aca="false">IF(H198&lt;&gt;"",H198,G198)</f>
        <v/>
      </c>
      <c r="J198" s="26"/>
      <c r="K198" s="22"/>
      <c r="L198" s="26"/>
      <c r="M198" s="27" t="str">
        <f aca="false">IF(A198="","",SUMIF(入金明細!$F$5:$F$1004,A198,入金明細!$E$5:$E$1004))</f>
        <v/>
      </c>
      <c r="N198" s="25" t="str">
        <f aca="false">IF(OR(A198="",N(M198)=0),"",SUMPRODUCT(MAX((入金明細!$F$5:$F$1004=A198)*入金明細!$B$5:$B$1004)))</f>
        <v/>
      </c>
      <c r="O198" s="18"/>
      <c r="P198" s="27" t="str">
        <f aca="false">IF(OR(A198="",F198=""),"",F198-N(M198)-N(O198))</f>
        <v/>
      </c>
      <c r="Q198" s="26"/>
      <c r="R198" s="28" t="str">
        <f aca="false">IF(A198="","",IF(Q198="取消","取消",IF(T198&lt;&gt;"","要入力",IF(K198="","未送付",IF(P198=0,"入金済",IF(P198&lt;0,"過入金",IF(設定!$C$5&gt;I198,IF(N(M198)&gt;0,"一部入金・超過","期日超過"),IF(N(M198)&gt;0,"一部入金",IF(I198-設定!$C$5&lt;=設定!$C$6,"期日間近","入金待ち")))))))))</f>
        <v/>
      </c>
      <c r="S198" s="29" t="str">
        <f aca="false">IF(OR(R198="期日超過",R198="一部入金・超過"),設定!$C$5-I198,"")</f>
        <v/>
      </c>
      <c r="T198" s="21" t="str">
        <f aca="false">IF(A198="","",TRIM(IF(B198="","請求日 ","")&amp;IF(C198="","取引先 ",IF(D198="コード誤り","取引先コード誤り ",""))&amp;IF(E198="","件名 ","")&amp;IF(F198="","請求額 ","")&amp;IF(AND(F198&lt;&gt;"",I198=""),"入金期日(マスタの支払条件が未登録) ","")&amp;IF(J198="","送付方法 ","")&amp;IF(AND(K198&lt;&gt;"",L198=""),"送付者 ","")&amp;IF(AND(K198&lt;&gt;"",N(K198)&gt;設定!$C$5),"送付日が未来の日付 ","")&amp;IF(AND(K198&lt;&gt;"",N(M198)&gt;0,N(P198)&lt;=0,U198=""),"消込確認者 ","")))</f>
        <v/>
      </c>
      <c r="U198" s="26"/>
      <c r="V198" s="26"/>
    </row>
    <row r="199" customFormat="false" ht="15" hidden="false" customHeight="false" outlineLevel="0" collapsed="false">
      <c r="A199" s="21" t="str">
        <f aca="false">IF(COUNTA(B199,C199,E199,F199)=0,"",設定!$C$4&amp;TEXT(ROW()-4,"00000"))</f>
        <v/>
      </c>
      <c r="B199" s="22"/>
      <c r="C199" s="23"/>
      <c r="D199" s="21" t="str">
        <f aca="false">IF(C199="","",IFERROR(INDEX(取引先マスタ!$B$5:$B$204,MATCH(C199,取引先マスタ!$A$5:$A$204,0)),"コード誤り"))</f>
        <v/>
      </c>
      <c r="E199" s="26"/>
      <c r="F199" s="18"/>
      <c r="G199" s="25" t="str">
        <f aca="false">IF(OR(B199="",C199="",D199="コード誤り"),"",IFERROR(IF(OR(INDEX(取引先マスタ!$E$5:$E$204,MATCH(C199,取引先マスタ!$A$5:$A$204,0))="",INDEX(取引先マスタ!$F$5:$F$204,MATCH(C199,取引先マスタ!$A$5:$A$204,0))=""),"",DATE(YEAR(B199),MONTH(B199)+INDEX(取引先マスタ!$E$5:$E$204,MATCH(C199,取引先マスタ!$A$5:$A$204,0)),MIN(INDEX(取引先マスタ!$F$5:$F$204,MATCH(C199,取引先マスタ!$A$5:$A$204,0)),DAY(EOMONTH(B199,INDEX(取引先マスタ!$E$5:$E$204,MATCH(C199,取引先マスタ!$A$5:$A$204,0))))))),""))</f>
        <v/>
      </c>
      <c r="H199" s="22"/>
      <c r="I199" s="25" t="str">
        <f aca="false">IF(H199&lt;&gt;"",H199,G199)</f>
        <v/>
      </c>
      <c r="J199" s="26"/>
      <c r="K199" s="22"/>
      <c r="L199" s="26"/>
      <c r="M199" s="27" t="str">
        <f aca="false">IF(A199="","",SUMIF(入金明細!$F$5:$F$1004,A199,入金明細!$E$5:$E$1004))</f>
        <v/>
      </c>
      <c r="N199" s="25" t="str">
        <f aca="false">IF(OR(A199="",N(M199)=0),"",SUMPRODUCT(MAX((入金明細!$F$5:$F$1004=A199)*入金明細!$B$5:$B$1004)))</f>
        <v/>
      </c>
      <c r="O199" s="18"/>
      <c r="P199" s="27" t="str">
        <f aca="false">IF(OR(A199="",F199=""),"",F199-N(M199)-N(O199))</f>
        <v/>
      </c>
      <c r="Q199" s="26"/>
      <c r="R199" s="28" t="str">
        <f aca="false">IF(A199="","",IF(Q199="取消","取消",IF(T199&lt;&gt;"","要入力",IF(K199="","未送付",IF(P199=0,"入金済",IF(P199&lt;0,"過入金",IF(設定!$C$5&gt;I199,IF(N(M199)&gt;0,"一部入金・超過","期日超過"),IF(N(M199)&gt;0,"一部入金",IF(I199-設定!$C$5&lt;=設定!$C$6,"期日間近","入金待ち")))))))))</f>
        <v/>
      </c>
      <c r="S199" s="29" t="str">
        <f aca="false">IF(OR(R199="期日超過",R199="一部入金・超過"),設定!$C$5-I199,"")</f>
        <v/>
      </c>
      <c r="T199" s="21" t="str">
        <f aca="false">IF(A199="","",TRIM(IF(B199="","請求日 ","")&amp;IF(C199="","取引先 ",IF(D199="コード誤り","取引先コード誤り ",""))&amp;IF(E199="","件名 ","")&amp;IF(F199="","請求額 ","")&amp;IF(AND(F199&lt;&gt;"",I199=""),"入金期日(マスタの支払条件が未登録) ","")&amp;IF(J199="","送付方法 ","")&amp;IF(AND(K199&lt;&gt;"",L199=""),"送付者 ","")&amp;IF(AND(K199&lt;&gt;"",N(K199)&gt;設定!$C$5),"送付日が未来の日付 ","")&amp;IF(AND(K199&lt;&gt;"",N(M199)&gt;0,N(P199)&lt;=0,U199=""),"消込確認者 ","")))</f>
        <v/>
      </c>
      <c r="U199" s="26"/>
      <c r="V199" s="26"/>
    </row>
    <row r="200" customFormat="false" ht="15" hidden="false" customHeight="false" outlineLevel="0" collapsed="false">
      <c r="A200" s="21" t="str">
        <f aca="false">IF(COUNTA(B200,C200,E200,F200)=0,"",設定!$C$4&amp;TEXT(ROW()-4,"00000"))</f>
        <v/>
      </c>
      <c r="B200" s="22"/>
      <c r="C200" s="23"/>
      <c r="D200" s="21" t="str">
        <f aca="false">IF(C200="","",IFERROR(INDEX(取引先マスタ!$B$5:$B$204,MATCH(C200,取引先マスタ!$A$5:$A$204,0)),"コード誤り"))</f>
        <v/>
      </c>
      <c r="E200" s="26"/>
      <c r="F200" s="18"/>
      <c r="G200" s="25" t="str">
        <f aca="false">IF(OR(B200="",C200="",D200="コード誤り"),"",IFERROR(IF(OR(INDEX(取引先マスタ!$E$5:$E$204,MATCH(C200,取引先マスタ!$A$5:$A$204,0))="",INDEX(取引先マスタ!$F$5:$F$204,MATCH(C200,取引先マスタ!$A$5:$A$204,0))=""),"",DATE(YEAR(B200),MONTH(B200)+INDEX(取引先マスタ!$E$5:$E$204,MATCH(C200,取引先マスタ!$A$5:$A$204,0)),MIN(INDEX(取引先マスタ!$F$5:$F$204,MATCH(C200,取引先マスタ!$A$5:$A$204,0)),DAY(EOMONTH(B200,INDEX(取引先マスタ!$E$5:$E$204,MATCH(C200,取引先マスタ!$A$5:$A$204,0))))))),""))</f>
        <v/>
      </c>
      <c r="H200" s="22"/>
      <c r="I200" s="25" t="str">
        <f aca="false">IF(H200&lt;&gt;"",H200,G200)</f>
        <v/>
      </c>
      <c r="J200" s="26"/>
      <c r="K200" s="22"/>
      <c r="L200" s="26"/>
      <c r="M200" s="27" t="str">
        <f aca="false">IF(A200="","",SUMIF(入金明細!$F$5:$F$1004,A200,入金明細!$E$5:$E$1004))</f>
        <v/>
      </c>
      <c r="N200" s="25" t="str">
        <f aca="false">IF(OR(A200="",N(M200)=0),"",SUMPRODUCT(MAX((入金明細!$F$5:$F$1004=A200)*入金明細!$B$5:$B$1004)))</f>
        <v/>
      </c>
      <c r="O200" s="18"/>
      <c r="P200" s="27" t="str">
        <f aca="false">IF(OR(A200="",F200=""),"",F200-N(M200)-N(O200))</f>
        <v/>
      </c>
      <c r="Q200" s="26"/>
      <c r="R200" s="28" t="str">
        <f aca="false">IF(A200="","",IF(Q200="取消","取消",IF(T200&lt;&gt;"","要入力",IF(K200="","未送付",IF(P200=0,"入金済",IF(P200&lt;0,"過入金",IF(設定!$C$5&gt;I200,IF(N(M200)&gt;0,"一部入金・超過","期日超過"),IF(N(M200)&gt;0,"一部入金",IF(I200-設定!$C$5&lt;=設定!$C$6,"期日間近","入金待ち")))))))))</f>
        <v/>
      </c>
      <c r="S200" s="29" t="str">
        <f aca="false">IF(OR(R200="期日超過",R200="一部入金・超過"),設定!$C$5-I200,"")</f>
        <v/>
      </c>
      <c r="T200" s="21" t="str">
        <f aca="false">IF(A200="","",TRIM(IF(B200="","請求日 ","")&amp;IF(C200="","取引先 ",IF(D200="コード誤り","取引先コード誤り ",""))&amp;IF(E200="","件名 ","")&amp;IF(F200="","請求額 ","")&amp;IF(AND(F200&lt;&gt;"",I200=""),"入金期日(マスタの支払条件が未登録) ","")&amp;IF(J200="","送付方法 ","")&amp;IF(AND(K200&lt;&gt;"",L200=""),"送付者 ","")&amp;IF(AND(K200&lt;&gt;"",N(K200)&gt;設定!$C$5),"送付日が未来の日付 ","")&amp;IF(AND(K200&lt;&gt;"",N(M200)&gt;0,N(P200)&lt;=0,U200=""),"消込確認者 ","")))</f>
        <v/>
      </c>
      <c r="U200" s="26"/>
      <c r="V200" s="26"/>
    </row>
    <row r="201" customFormat="false" ht="15" hidden="false" customHeight="false" outlineLevel="0" collapsed="false">
      <c r="A201" s="21" t="str">
        <f aca="false">IF(COUNTA(B201,C201,E201,F201)=0,"",設定!$C$4&amp;TEXT(ROW()-4,"00000"))</f>
        <v/>
      </c>
      <c r="B201" s="22"/>
      <c r="C201" s="23"/>
      <c r="D201" s="21" t="str">
        <f aca="false">IF(C201="","",IFERROR(INDEX(取引先マスタ!$B$5:$B$204,MATCH(C201,取引先マスタ!$A$5:$A$204,0)),"コード誤り"))</f>
        <v/>
      </c>
      <c r="E201" s="26"/>
      <c r="F201" s="18"/>
      <c r="G201" s="25" t="str">
        <f aca="false">IF(OR(B201="",C201="",D201="コード誤り"),"",IFERROR(IF(OR(INDEX(取引先マスタ!$E$5:$E$204,MATCH(C201,取引先マスタ!$A$5:$A$204,0))="",INDEX(取引先マスタ!$F$5:$F$204,MATCH(C201,取引先マスタ!$A$5:$A$204,0))=""),"",DATE(YEAR(B201),MONTH(B201)+INDEX(取引先マスタ!$E$5:$E$204,MATCH(C201,取引先マスタ!$A$5:$A$204,0)),MIN(INDEX(取引先マスタ!$F$5:$F$204,MATCH(C201,取引先マスタ!$A$5:$A$204,0)),DAY(EOMONTH(B201,INDEX(取引先マスタ!$E$5:$E$204,MATCH(C201,取引先マスタ!$A$5:$A$204,0))))))),""))</f>
        <v/>
      </c>
      <c r="H201" s="22"/>
      <c r="I201" s="25" t="str">
        <f aca="false">IF(H201&lt;&gt;"",H201,G201)</f>
        <v/>
      </c>
      <c r="J201" s="26"/>
      <c r="K201" s="22"/>
      <c r="L201" s="26"/>
      <c r="M201" s="27" t="str">
        <f aca="false">IF(A201="","",SUMIF(入金明細!$F$5:$F$1004,A201,入金明細!$E$5:$E$1004))</f>
        <v/>
      </c>
      <c r="N201" s="25" t="str">
        <f aca="false">IF(OR(A201="",N(M201)=0),"",SUMPRODUCT(MAX((入金明細!$F$5:$F$1004=A201)*入金明細!$B$5:$B$1004)))</f>
        <v/>
      </c>
      <c r="O201" s="18"/>
      <c r="P201" s="27" t="str">
        <f aca="false">IF(OR(A201="",F201=""),"",F201-N(M201)-N(O201))</f>
        <v/>
      </c>
      <c r="Q201" s="26"/>
      <c r="R201" s="28" t="str">
        <f aca="false">IF(A201="","",IF(Q201="取消","取消",IF(T201&lt;&gt;"","要入力",IF(K201="","未送付",IF(P201=0,"入金済",IF(P201&lt;0,"過入金",IF(設定!$C$5&gt;I201,IF(N(M201)&gt;0,"一部入金・超過","期日超過"),IF(N(M201)&gt;0,"一部入金",IF(I201-設定!$C$5&lt;=設定!$C$6,"期日間近","入金待ち")))))))))</f>
        <v/>
      </c>
      <c r="S201" s="29" t="str">
        <f aca="false">IF(OR(R201="期日超過",R201="一部入金・超過"),設定!$C$5-I201,"")</f>
        <v/>
      </c>
      <c r="T201" s="21" t="str">
        <f aca="false">IF(A201="","",TRIM(IF(B201="","請求日 ","")&amp;IF(C201="","取引先 ",IF(D201="コード誤り","取引先コード誤り ",""))&amp;IF(E201="","件名 ","")&amp;IF(F201="","請求額 ","")&amp;IF(AND(F201&lt;&gt;"",I201=""),"入金期日(マスタの支払条件が未登録) ","")&amp;IF(J201="","送付方法 ","")&amp;IF(AND(K201&lt;&gt;"",L201=""),"送付者 ","")&amp;IF(AND(K201&lt;&gt;"",N(K201)&gt;設定!$C$5),"送付日が未来の日付 ","")&amp;IF(AND(K201&lt;&gt;"",N(M201)&gt;0,N(P201)&lt;=0,U201=""),"消込確認者 ","")))</f>
        <v/>
      </c>
      <c r="U201" s="26"/>
      <c r="V201" s="26"/>
    </row>
    <row r="202" customFormat="false" ht="15" hidden="false" customHeight="false" outlineLevel="0" collapsed="false">
      <c r="A202" s="21" t="str">
        <f aca="false">IF(COUNTA(B202,C202,E202,F202)=0,"",設定!$C$4&amp;TEXT(ROW()-4,"00000"))</f>
        <v/>
      </c>
      <c r="B202" s="22"/>
      <c r="C202" s="23"/>
      <c r="D202" s="21" t="str">
        <f aca="false">IF(C202="","",IFERROR(INDEX(取引先マスタ!$B$5:$B$204,MATCH(C202,取引先マスタ!$A$5:$A$204,0)),"コード誤り"))</f>
        <v/>
      </c>
      <c r="E202" s="26"/>
      <c r="F202" s="18"/>
      <c r="G202" s="25" t="str">
        <f aca="false">IF(OR(B202="",C202="",D202="コード誤り"),"",IFERROR(IF(OR(INDEX(取引先マスタ!$E$5:$E$204,MATCH(C202,取引先マスタ!$A$5:$A$204,0))="",INDEX(取引先マスタ!$F$5:$F$204,MATCH(C202,取引先マスタ!$A$5:$A$204,0))=""),"",DATE(YEAR(B202),MONTH(B202)+INDEX(取引先マスタ!$E$5:$E$204,MATCH(C202,取引先マスタ!$A$5:$A$204,0)),MIN(INDEX(取引先マスタ!$F$5:$F$204,MATCH(C202,取引先マスタ!$A$5:$A$204,0)),DAY(EOMONTH(B202,INDEX(取引先マスタ!$E$5:$E$204,MATCH(C202,取引先マスタ!$A$5:$A$204,0))))))),""))</f>
        <v/>
      </c>
      <c r="H202" s="22"/>
      <c r="I202" s="25" t="str">
        <f aca="false">IF(H202&lt;&gt;"",H202,G202)</f>
        <v/>
      </c>
      <c r="J202" s="26"/>
      <c r="K202" s="22"/>
      <c r="L202" s="26"/>
      <c r="M202" s="27" t="str">
        <f aca="false">IF(A202="","",SUMIF(入金明細!$F$5:$F$1004,A202,入金明細!$E$5:$E$1004))</f>
        <v/>
      </c>
      <c r="N202" s="25" t="str">
        <f aca="false">IF(OR(A202="",N(M202)=0),"",SUMPRODUCT(MAX((入金明細!$F$5:$F$1004=A202)*入金明細!$B$5:$B$1004)))</f>
        <v/>
      </c>
      <c r="O202" s="18"/>
      <c r="P202" s="27" t="str">
        <f aca="false">IF(OR(A202="",F202=""),"",F202-N(M202)-N(O202))</f>
        <v/>
      </c>
      <c r="Q202" s="26"/>
      <c r="R202" s="28" t="str">
        <f aca="false">IF(A202="","",IF(Q202="取消","取消",IF(T202&lt;&gt;"","要入力",IF(K202="","未送付",IF(P202=0,"入金済",IF(P202&lt;0,"過入金",IF(設定!$C$5&gt;I202,IF(N(M202)&gt;0,"一部入金・超過","期日超過"),IF(N(M202)&gt;0,"一部入金",IF(I202-設定!$C$5&lt;=設定!$C$6,"期日間近","入金待ち")))))))))</f>
        <v/>
      </c>
      <c r="S202" s="29" t="str">
        <f aca="false">IF(OR(R202="期日超過",R202="一部入金・超過"),設定!$C$5-I202,"")</f>
        <v/>
      </c>
      <c r="T202" s="21" t="str">
        <f aca="false">IF(A202="","",TRIM(IF(B202="","請求日 ","")&amp;IF(C202="","取引先 ",IF(D202="コード誤り","取引先コード誤り ",""))&amp;IF(E202="","件名 ","")&amp;IF(F202="","請求額 ","")&amp;IF(AND(F202&lt;&gt;"",I202=""),"入金期日(マスタの支払条件が未登録) ","")&amp;IF(J202="","送付方法 ","")&amp;IF(AND(K202&lt;&gt;"",L202=""),"送付者 ","")&amp;IF(AND(K202&lt;&gt;"",N(K202)&gt;設定!$C$5),"送付日が未来の日付 ","")&amp;IF(AND(K202&lt;&gt;"",N(M202)&gt;0,N(P202)&lt;=0,U202=""),"消込確認者 ","")))</f>
        <v/>
      </c>
      <c r="U202" s="26"/>
      <c r="V202" s="26"/>
    </row>
    <row r="203" customFormat="false" ht="15" hidden="false" customHeight="false" outlineLevel="0" collapsed="false">
      <c r="A203" s="21" t="str">
        <f aca="false">IF(COUNTA(B203,C203,E203,F203)=0,"",設定!$C$4&amp;TEXT(ROW()-4,"00000"))</f>
        <v/>
      </c>
      <c r="B203" s="22"/>
      <c r="C203" s="23"/>
      <c r="D203" s="21" t="str">
        <f aca="false">IF(C203="","",IFERROR(INDEX(取引先マスタ!$B$5:$B$204,MATCH(C203,取引先マスタ!$A$5:$A$204,0)),"コード誤り"))</f>
        <v/>
      </c>
      <c r="E203" s="26"/>
      <c r="F203" s="18"/>
      <c r="G203" s="25" t="str">
        <f aca="false">IF(OR(B203="",C203="",D203="コード誤り"),"",IFERROR(IF(OR(INDEX(取引先マスタ!$E$5:$E$204,MATCH(C203,取引先マスタ!$A$5:$A$204,0))="",INDEX(取引先マスタ!$F$5:$F$204,MATCH(C203,取引先マスタ!$A$5:$A$204,0))=""),"",DATE(YEAR(B203),MONTH(B203)+INDEX(取引先マスタ!$E$5:$E$204,MATCH(C203,取引先マスタ!$A$5:$A$204,0)),MIN(INDEX(取引先マスタ!$F$5:$F$204,MATCH(C203,取引先マスタ!$A$5:$A$204,0)),DAY(EOMONTH(B203,INDEX(取引先マスタ!$E$5:$E$204,MATCH(C203,取引先マスタ!$A$5:$A$204,0))))))),""))</f>
        <v/>
      </c>
      <c r="H203" s="22"/>
      <c r="I203" s="25" t="str">
        <f aca="false">IF(H203&lt;&gt;"",H203,G203)</f>
        <v/>
      </c>
      <c r="J203" s="26"/>
      <c r="K203" s="22"/>
      <c r="L203" s="26"/>
      <c r="M203" s="27" t="str">
        <f aca="false">IF(A203="","",SUMIF(入金明細!$F$5:$F$1004,A203,入金明細!$E$5:$E$1004))</f>
        <v/>
      </c>
      <c r="N203" s="25" t="str">
        <f aca="false">IF(OR(A203="",N(M203)=0),"",SUMPRODUCT(MAX((入金明細!$F$5:$F$1004=A203)*入金明細!$B$5:$B$1004)))</f>
        <v/>
      </c>
      <c r="O203" s="18"/>
      <c r="P203" s="27" t="str">
        <f aca="false">IF(OR(A203="",F203=""),"",F203-N(M203)-N(O203))</f>
        <v/>
      </c>
      <c r="Q203" s="26"/>
      <c r="R203" s="28" t="str">
        <f aca="false">IF(A203="","",IF(Q203="取消","取消",IF(T203&lt;&gt;"","要入力",IF(K203="","未送付",IF(P203=0,"入金済",IF(P203&lt;0,"過入金",IF(設定!$C$5&gt;I203,IF(N(M203)&gt;0,"一部入金・超過","期日超過"),IF(N(M203)&gt;0,"一部入金",IF(I203-設定!$C$5&lt;=設定!$C$6,"期日間近","入金待ち")))))))))</f>
        <v/>
      </c>
      <c r="S203" s="29" t="str">
        <f aca="false">IF(OR(R203="期日超過",R203="一部入金・超過"),設定!$C$5-I203,"")</f>
        <v/>
      </c>
      <c r="T203" s="21" t="str">
        <f aca="false">IF(A203="","",TRIM(IF(B203="","請求日 ","")&amp;IF(C203="","取引先 ",IF(D203="コード誤り","取引先コード誤り ",""))&amp;IF(E203="","件名 ","")&amp;IF(F203="","請求額 ","")&amp;IF(AND(F203&lt;&gt;"",I203=""),"入金期日(マスタの支払条件が未登録) ","")&amp;IF(J203="","送付方法 ","")&amp;IF(AND(K203&lt;&gt;"",L203=""),"送付者 ","")&amp;IF(AND(K203&lt;&gt;"",N(K203)&gt;設定!$C$5),"送付日が未来の日付 ","")&amp;IF(AND(K203&lt;&gt;"",N(M203)&gt;0,N(P203)&lt;=0,U203=""),"消込確認者 ","")))</f>
        <v/>
      </c>
      <c r="U203" s="26"/>
      <c r="V203" s="26"/>
    </row>
    <row r="204" customFormat="false" ht="15" hidden="false" customHeight="false" outlineLevel="0" collapsed="false">
      <c r="A204" s="21" t="str">
        <f aca="false">IF(COUNTA(B204,C204,E204,F204)=0,"",設定!$C$4&amp;TEXT(ROW()-4,"00000"))</f>
        <v/>
      </c>
      <c r="B204" s="22"/>
      <c r="C204" s="23"/>
      <c r="D204" s="21" t="str">
        <f aca="false">IF(C204="","",IFERROR(INDEX(取引先マスタ!$B$5:$B$204,MATCH(C204,取引先マスタ!$A$5:$A$204,0)),"コード誤り"))</f>
        <v/>
      </c>
      <c r="E204" s="26"/>
      <c r="F204" s="18"/>
      <c r="G204" s="25" t="str">
        <f aca="false">IF(OR(B204="",C204="",D204="コード誤り"),"",IFERROR(IF(OR(INDEX(取引先マスタ!$E$5:$E$204,MATCH(C204,取引先マスタ!$A$5:$A$204,0))="",INDEX(取引先マスタ!$F$5:$F$204,MATCH(C204,取引先マスタ!$A$5:$A$204,0))=""),"",DATE(YEAR(B204),MONTH(B204)+INDEX(取引先マスタ!$E$5:$E$204,MATCH(C204,取引先マスタ!$A$5:$A$204,0)),MIN(INDEX(取引先マスタ!$F$5:$F$204,MATCH(C204,取引先マスタ!$A$5:$A$204,0)),DAY(EOMONTH(B204,INDEX(取引先マスタ!$E$5:$E$204,MATCH(C204,取引先マスタ!$A$5:$A$204,0))))))),""))</f>
        <v/>
      </c>
      <c r="H204" s="22"/>
      <c r="I204" s="25" t="str">
        <f aca="false">IF(H204&lt;&gt;"",H204,G204)</f>
        <v/>
      </c>
      <c r="J204" s="26"/>
      <c r="K204" s="22"/>
      <c r="L204" s="26"/>
      <c r="M204" s="27" t="str">
        <f aca="false">IF(A204="","",SUMIF(入金明細!$F$5:$F$1004,A204,入金明細!$E$5:$E$1004))</f>
        <v/>
      </c>
      <c r="N204" s="25" t="str">
        <f aca="false">IF(OR(A204="",N(M204)=0),"",SUMPRODUCT(MAX((入金明細!$F$5:$F$1004=A204)*入金明細!$B$5:$B$1004)))</f>
        <v/>
      </c>
      <c r="O204" s="18"/>
      <c r="P204" s="27" t="str">
        <f aca="false">IF(OR(A204="",F204=""),"",F204-N(M204)-N(O204))</f>
        <v/>
      </c>
      <c r="Q204" s="26"/>
      <c r="R204" s="28" t="str">
        <f aca="false">IF(A204="","",IF(Q204="取消","取消",IF(T204&lt;&gt;"","要入力",IF(K204="","未送付",IF(P204=0,"入金済",IF(P204&lt;0,"過入金",IF(設定!$C$5&gt;I204,IF(N(M204)&gt;0,"一部入金・超過","期日超過"),IF(N(M204)&gt;0,"一部入金",IF(I204-設定!$C$5&lt;=設定!$C$6,"期日間近","入金待ち")))))))))</f>
        <v/>
      </c>
      <c r="S204" s="29" t="str">
        <f aca="false">IF(OR(R204="期日超過",R204="一部入金・超過"),設定!$C$5-I204,"")</f>
        <v/>
      </c>
      <c r="T204" s="21" t="str">
        <f aca="false">IF(A204="","",TRIM(IF(B204="","請求日 ","")&amp;IF(C204="","取引先 ",IF(D204="コード誤り","取引先コード誤り ",""))&amp;IF(E204="","件名 ","")&amp;IF(F204="","請求額 ","")&amp;IF(AND(F204&lt;&gt;"",I204=""),"入金期日(マスタの支払条件が未登録) ","")&amp;IF(J204="","送付方法 ","")&amp;IF(AND(K204&lt;&gt;"",L204=""),"送付者 ","")&amp;IF(AND(K204&lt;&gt;"",N(K204)&gt;設定!$C$5),"送付日が未来の日付 ","")&amp;IF(AND(K204&lt;&gt;"",N(M204)&gt;0,N(P204)&lt;=0,U204=""),"消込確認者 ","")))</f>
        <v/>
      </c>
      <c r="U204" s="26"/>
      <c r="V204" s="26"/>
    </row>
    <row r="205" customFormat="false" ht="15" hidden="false" customHeight="false" outlineLevel="0" collapsed="false">
      <c r="A205" s="21" t="str">
        <f aca="false">IF(COUNTA(B205,C205,E205,F205)=0,"",設定!$C$4&amp;TEXT(ROW()-4,"00000"))</f>
        <v/>
      </c>
      <c r="B205" s="22"/>
      <c r="C205" s="23"/>
      <c r="D205" s="21" t="str">
        <f aca="false">IF(C205="","",IFERROR(INDEX(取引先マスタ!$B$5:$B$204,MATCH(C205,取引先マスタ!$A$5:$A$204,0)),"コード誤り"))</f>
        <v/>
      </c>
      <c r="E205" s="26"/>
      <c r="F205" s="18"/>
      <c r="G205" s="25" t="str">
        <f aca="false">IF(OR(B205="",C205="",D205="コード誤り"),"",IFERROR(IF(OR(INDEX(取引先マスタ!$E$5:$E$204,MATCH(C205,取引先マスタ!$A$5:$A$204,0))="",INDEX(取引先マスタ!$F$5:$F$204,MATCH(C205,取引先マスタ!$A$5:$A$204,0))=""),"",DATE(YEAR(B205),MONTH(B205)+INDEX(取引先マスタ!$E$5:$E$204,MATCH(C205,取引先マスタ!$A$5:$A$204,0)),MIN(INDEX(取引先マスタ!$F$5:$F$204,MATCH(C205,取引先マスタ!$A$5:$A$204,0)),DAY(EOMONTH(B205,INDEX(取引先マスタ!$E$5:$E$204,MATCH(C205,取引先マスタ!$A$5:$A$204,0))))))),""))</f>
        <v/>
      </c>
      <c r="H205" s="22"/>
      <c r="I205" s="25" t="str">
        <f aca="false">IF(H205&lt;&gt;"",H205,G205)</f>
        <v/>
      </c>
      <c r="J205" s="26"/>
      <c r="K205" s="22"/>
      <c r="L205" s="26"/>
      <c r="M205" s="27" t="str">
        <f aca="false">IF(A205="","",SUMIF(入金明細!$F$5:$F$1004,A205,入金明細!$E$5:$E$1004))</f>
        <v/>
      </c>
      <c r="N205" s="25" t="str">
        <f aca="false">IF(OR(A205="",N(M205)=0),"",SUMPRODUCT(MAX((入金明細!$F$5:$F$1004=A205)*入金明細!$B$5:$B$1004)))</f>
        <v/>
      </c>
      <c r="O205" s="18"/>
      <c r="P205" s="27" t="str">
        <f aca="false">IF(OR(A205="",F205=""),"",F205-N(M205)-N(O205))</f>
        <v/>
      </c>
      <c r="Q205" s="26"/>
      <c r="R205" s="28" t="str">
        <f aca="false">IF(A205="","",IF(Q205="取消","取消",IF(T205&lt;&gt;"","要入力",IF(K205="","未送付",IF(P205=0,"入金済",IF(P205&lt;0,"過入金",IF(設定!$C$5&gt;I205,IF(N(M205)&gt;0,"一部入金・超過","期日超過"),IF(N(M205)&gt;0,"一部入金",IF(I205-設定!$C$5&lt;=設定!$C$6,"期日間近","入金待ち")))))))))</f>
        <v/>
      </c>
      <c r="S205" s="29" t="str">
        <f aca="false">IF(OR(R205="期日超過",R205="一部入金・超過"),設定!$C$5-I205,"")</f>
        <v/>
      </c>
      <c r="T205" s="21" t="str">
        <f aca="false">IF(A205="","",TRIM(IF(B205="","請求日 ","")&amp;IF(C205="","取引先 ",IF(D205="コード誤り","取引先コード誤り ",""))&amp;IF(E205="","件名 ","")&amp;IF(F205="","請求額 ","")&amp;IF(AND(F205&lt;&gt;"",I205=""),"入金期日(マスタの支払条件が未登録) ","")&amp;IF(J205="","送付方法 ","")&amp;IF(AND(K205&lt;&gt;"",L205=""),"送付者 ","")&amp;IF(AND(K205&lt;&gt;"",N(K205)&gt;設定!$C$5),"送付日が未来の日付 ","")&amp;IF(AND(K205&lt;&gt;"",N(M205)&gt;0,N(P205)&lt;=0,U205=""),"消込確認者 ","")))</f>
        <v/>
      </c>
      <c r="U205" s="26"/>
      <c r="V205" s="26"/>
    </row>
    <row r="206" customFormat="false" ht="15" hidden="false" customHeight="false" outlineLevel="0" collapsed="false">
      <c r="A206" s="21" t="str">
        <f aca="false">IF(COUNTA(B206,C206,E206,F206)=0,"",設定!$C$4&amp;TEXT(ROW()-4,"00000"))</f>
        <v/>
      </c>
      <c r="B206" s="22"/>
      <c r="C206" s="23"/>
      <c r="D206" s="21" t="str">
        <f aca="false">IF(C206="","",IFERROR(INDEX(取引先マスタ!$B$5:$B$204,MATCH(C206,取引先マスタ!$A$5:$A$204,0)),"コード誤り"))</f>
        <v/>
      </c>
      <c r="E206" s="26"/>
      <c r="F206" s="18"/>
      <c r="G206" s="25" t="str">
        <f aca="false">IF(OR(B206="",C206="",D206="コード誤り"),"",IFERROR(IF(OR(INDEX(取引先マスタ!$E$5:$E$204,MATCH(C206,取引先マスタ!$A$5:$A$204,0))="",INDEX(取引先マスタ!$F$5:$F$204,MATCH(C206,取引先マスタ!$A$5:$A$204,0))=""),"",DATE(YEAR(B206),MONTH(B206)+INDEX(取引先マスタ!$E$5:$E$204,MATCH(C206,取引先マスタ!$A$5:$A$204,0)),MIN(INDEX(取引先マスタ!$F$5:$F$204,MATCH(C206,取引先マスタ!$A$5:$A$204,0)),DAY(EOMONTH(B206,INDEX(取引先マスタ!$E$5:$E$204,MATCH(C206,取引先マスタ!$A$5:$A$204,0))))))),""))</f>
        <v/>
      </c>
      <c r="H206" s="22"/>
      <c r="I206" s="25" t="str">
        <f aca="false">IF(H206&lt;&gt;"",H206,G206)</f>
        <v/>
      </c>
      <c r="J206" s="26"/>
      <c r="K206" s="22"/>
      <c r="L206" s="26"/>
      <c r="M206" s="27" t="str">
        <f aca="false">IF(A206="","",SUMIF(入金明細!$F$5:$F$1004,A206,入金明細!$E$5:$E$1004))</f>
        <v/>
      </c>
      <c r="N206" s="25" t="str">
        <f aca="false">IF(OR(A206="",N(M206)=0),"",SUMPRODUCT(MAX((入金明細!$F$5:$F$1004=A206)*入金明細!$B$5:$B$1004)))</f>
        <v/>
      </c>
      <c r="O206" s="18"/>
      <c r="P206" s="27" t="str">
        <f aca="false">IF(OR(A206="",F206=""),"",F206-N(M206)-N(O206))</f>
        <v/>
      </c>
      <c r="Q206" s="26"/>
      <c r="R206" s="28" t="str">
        <f aca="false">IF(A206="","",IF(Q206="取消","取消",IF(T206&lt;&gt;"","要入力",IF(K206="","未送付",IF(P206=0,"入金済",IF(P206&lt;0,"過入金",IF(設定!$C$5&gt;I206,IF(N(M206)&gt;0,"一部入金・超過","期日超過"),IF(N(M206)&gt;0,"一部入金",IF(I206-設定!$C$5&lt;=設定!$C$6,"期日間近","入金待ち")))))))))</f>
        <v/>
      </c>
      <c r="S206" s="29" t="str">
        <f aca="false">IF(OR(R206="期日超過",R206="一部入金・超過"),設定!$C$5-I206,"")</f>
        <v/>
      </c>
      <c r="T206" s="21" t="str">
        <f aca="false">IF(A206="","",TRIM(IF(B206="","請求日 ","")&amp;IF(C206="","取引先 ",IF(D206="コード誤り","取引先コード誤り ",""))&amp;IF(E206="","件名 ","")&amp;IF(F206="","請求額 ","")&amp;IF(AND(F206&lt;&gt;"",I206=""),"入金期日(マスタの支払条件が未登録) ","")&amp;IF(J206="","送付方法 ","")&amp;IF(AND(K206&lt;&gt;"",L206=""),"送付者 ","")&amp;IF(AND(K206&lt;&gt;"",N(K206)&gt;設定!$C$5),"送付日が未来の日付 ","")&amp;IF(AND(K206&lt;&gt;"",N(M206)&gt;0,N(P206)&lt;=0,U206=""),"消込確認者 ","")))</f>
        <v/>
      </c>
      <c r="U206" s="26"/>
      <c r="V206" s="26"/>
    </row>
    <row r="207" customFormat="false" ht="15" hidden="false" customHeight="false" outlineLevel="0" collapsed="false">
      <c r="A207" s="21" t="str">
        <f aca="false">IF(COUNTA(B207,C207,E207,F207)=0,"",設定!$C$4&amp;TEXT(ROW()-4,"00000"))</f>
        <v/>
      </c>
      <c r="B207" s="22"/>
      <c r="C207" s="23"/>
      <c r="D207" s="21" t="str">
        <f aca="false">IF(C207="","",IFERROR(INDEX(取引先マスタ!$B$5:$B$204,MATCH(C207,取引先マスタ!$A$5:$A$204,0)),"コード誤り"))</f>
        <v/>
      </c>
      <c r="E207" s="26"/>
      <c r="F207" s="18"/>
      <c r="G207" s="25" t="str">
        <f aca="false">IF(OR(B207="",C207="",D207="コード誤り"),"",IFERROR(IF(OR(INDEX(取引先マスタ!$E$5:$E$204,MATCH(C207,取引先マスタ!$A$5:$A$204,0))="",INDEX(取引先マスタ!$F$5:$F$204,MATCH(C207,取引先マスタ!$A$5:$A$204,0))=""),"",DATE(YEAR(B207),MONTH(B207)+INDEX(取引先マスタ!$E$5:$E$204,MATCH(C207,取引先マスタ!$A$5:$A$204,0)),MIN(INDEX(取引先マスタ!$F$5:$F$204,MATCH(C207,取引先マスタ!$A$5:$A$204,0)),DAY(EOMONTH(B207,INDEX(取引先マスタ!$E$5:$E$204,MATCH(C207,取引先マスタ!$A$5:$A$204,0))))))),""))</f>
        <v/>
      </c>
      <c r="H207" s="22"/>
      <c r="I207" s="25" t="str">
        <f aca="false">IF(H207&lt;&gt;"",H207,G207)</f>
        <v/>
      </c>
      <c r="J207" s="26"/>
      <c r="K207" s="22"/>
      <c r="L207" s="26"/>
      <c r="M207" s="27" t="str">
        <f aca="false">IF(A207="","",SUMIF(入金明細!$F$5:$F$1004,A207,入金明細!$E$5:$E$1004))</f>
        <v/>
      </c>
      <c r="N207" s="25" t="str">
        <f aca="false">IF(OR(A207="",N(M207)=0),"",SUMPRODUCT(MAX((入金明細!$F$5:$F$1004=A207)*入金明細!$B$5:$B$1004)))</f>
        <v/>
      </c>
      <c r="O207" s="18"/>
      <c r="P207" s="27" t="str">
        <f aca="false">IF(OR(A207="",F207=""),"",F207-N(M207)-N(O207))</f>
        <v/>
      </c>
      <c r="Q207" s="26"/>
      <c r="R207" s="28" t="str">
        <f aca="false">IF(A207="","",IF(Q207="取消","取消",IF(T207&lt;&gt;"","要入力",IF(K207="","未送付",IF(P207=0,"入金済",IF(P207&lt;0,"過入金",IF(設定!$C$5&gt;I207,IF(N(M207)&gt;0,"一部入金・超過","期日超過"),IF(N(M207)&gt;0,"一部入金",IF(I207-設定!$C$5&lt;=設定!$C$6,"期日間近","入金待ち")))))))))</f>
        <v/>
      </c>
      <c r="S207" s="29" t="str">
        <f aca="false">IF(OR(R207="期日超過",R207="一部入金・超過"),設定!$C$5-I207,"")</f>
        <v/>
      </c>
      <c r="T207" s="21" t="str">
        <f aca="false">IF(A207="","",TRIM(IF(B207="","請求日 ","")&amp;IF(C207="","取引先 ",IF(D207="コード誤り","取引先コード誤り ",""))&amp;IF(E207="","件名 ","")&amp;IF(F207="","請求額 ","")&amp;IF(AND(F207&lt;&gt;"",I207=""),"入金期日(マスタの支払条件が未登録) ","")&amp;IF(J207="","送付方法 ","")&amp;IF(AND(K207&lt;&gt;"",L207=""),"送付者 ","")&amp;IF(AND(K207&lt;&gt;"",N(K207)&gt;設定!$C$5),"送付日が未来の日付 ","")&amp;IF(AND(K207&lt;&gt;"",N(M207)&gt;0,N(P207)&lt;=0,U207=""),"消込確認者 ","")))</f>
        <v/>
      </c>
      <c r="U207" s="26"/>
      <c r="V207" s="26"/>
    </row>
    <row r="208" customFormat="false" ht="15" hidden="false" customHeight="false" outlineLevel="0" collapsed="false">
      <c r="A208" s="21" t="str">
        <f aca="false">IF(COUNTA(B208,C208,E208,F208)=0,"",設定!$C$4&amp;TEXT(ROW()-4,"00000"))</f>
        <v/>
      </c>
      <c r="B208" s="22"/>
      <c r="C208" s="23"/>
      <c r="D208" s="21" t="str">
        <f aca="false">IF(C208="","",IFERROR(INDEX(取引先マスタ!$B$5:$B$204,MATCH(C208,取引先マスタ!$A$5:$A$204,0)),"コード誤り"))</f>
        <v/>
      </c>
      <c r="E208" s="26"/>
      <c r="F208" s="18"/>
      <c r="G208" s="25" t="str">
        <f aca="false">IF(OR(B208="",C208="",D208="コード誤り"),"",IFERROR(IF(OR(INDEX(取引先マスタ!$E$5:$E$204,MATCH(C208,取引先マスタ!$A$5:$A$204,0))="",INDEX(取引先マスタ!$F$5:$F$204,MATCH(C208,取引先マスタ!$A$5:$A$204,0))=""),"",DATE(YEAR(B208),MONTH(B208)+INDEX(取引先マスタ!$E$5:$E$204,MATCH(C208,取引先マスタ!$A$5:$A$204,0)),MIN(INDEX(取引先マスタ!$F$5:$F$204,MATCH(C208,取引先マスタ!$A$5:$A$204,0)),DAY(EOMONTH(B208,INDEX(取引先マスタ!$E$5:$E$204,MATCH(C208,取引先マスタ!$A$5:$A$204,0))))))),""))</f>
        <v/>
      </c>
      <c r="H208" s="22"/>
      <c r="I208" s="25" t="str">
        <f aca="false">IF(H208&lt;&gt;"",H208,G208)</f>
        <v/>
      </c>
      <c r="J208" s="26"/>
      <c r="K208" s="22"/>
      <c r="L208" s="26"/>
      <c r="M208" s="27" t="str">
        <f aca="false">IF(A208="","",SUMIF(入金明細!$F$5:$F$1004,A208,入金明細!$E$5:$E$1004))</f>
        <v/>
      </c>
      <c r="N208" s="25" t="str">
        <f aca="false">IF(OR(A208="",N(M208)=0),"",SUMPRODUCT(MAX((入金明細!$F$5:$F$1004=A208)*入金明細!$B$5:$B$1004)))</f>
        <v/>
      </c>
      <c r="O208" s="18"/>
      <c r="P208" s="27" t="str">
        <f aca="false">IF(OR(A208="",F208=""),"",F208-N(M208)-N(O208))</f>
        <v/>
      </c>
      <c r="Q208" s="26"/>
      <c r="R208" s="28" t="str">
        <f aca="false">IF(A208="","",IF(Q208="取消","取消",IF(T208&lt;&gt;"","要入力",IF(K208="","未送付",IF(P208=0,"入金済",IF(P208&lt;0,"過入金",IF(設定!$C$5&gt;I208,IF(N(M208)&gt;0,"一部入金・超過","期日超過"),IF(N(M208)&gt;0,"一部入金",IF(I208-設定!$C$5&lt;=設定!$C$6,"期日間近","入金待ち")))))))))</f>
        <v/>
      </c>
      <c r="S208" s="29" t="str">
        <f aca="false">IF(OR(R208="期日超過",R208="一部入金・超過"),設定!$C$5-I208,"")</f>
        <v/>
      </c>
      <c r="T208" s="21" t="str">
        <f aca="false">IF(A208="","",TRIM(IF(B208="","請求日 ","")&amp;IF(C208="","取引先 ",IF(D208="コード誤り","取引先コード誤り ",""))&amp;IF(E208="","件名 ","")&amp;IF(F208="","請求額 ","")&amp;IF(AND(F208&lt;&gt;"",I208=""),"入金期日(マスタの支払条件が未登録) ","")&amp;IF(J208="","送付方法 ","")&amp;IF(AND(K208&lt;&gt;"",L208=""),"送付者 ","")&amp;IF(AND(K208&lt;&gt;"",N(K208)&gt;設定!$C$5),"送付日が未来の日付 ","")&amp;IF(AND(K208&lt;&gt;"",N(M208)&gt;0,N(P208)&lt;=0,U208=""),"消込確認者 ","")))</f>
        <v/>
      </c>
      <c r="U208" s="26"/>
      <c r="V208" s="26"/>
    </row>
    <row r="209" customFormat="false" ht="15" hidden="false" customHeight="false" outlineLevel="0" collapsed="false">
      <c r="A209" s="21" t="str">
        <f aca="false">IF(COUNTA(B209,C209,E209,F209)=0,"",設定!$C$4&amp;TEXT(ROW()-4,"00000"))</f>
        <v/>
      </c>
      <c r="B209" s="22"/>
      <c r="C209" s="23"/>
      <c r="D209" s="21" t="str">
        <f aca="false">IF(C209="","",IFERROR(INDEX(取引先マスタ!$B$5:$B$204,MATCH(C209,取引先マスタ!$A$5:$A$204,0)),"コード誤り"))</f>
        <v/>
      </c>
      <c r="E209" s="26"/>
      <c r="F209" s="18"/>
      <c r="G209" s="25" t="str">
        <f aca="false">IF(OR(B209="",C209="",D209="コード誤り"),"",IFERROR(IF(OR(INDEX(取引先マスタ!$E$5:$E$204,MATCH(C209,取引先マスタ!$A$5:$A$204,0))="",INDEX(取引先マスタ!$F$5:$F$204,MATCH(C209,取引先マスタ!$A$5:$A$204,0))=""),"",DATE(YEAR(B209),MONTH(B209)+INDEX(取引先マスタ!$E$5:$E$204,MATCH(C209,取引先マスタ!$A$5:$A$204,0)),MIN(INDEX(取引先マスタ!$F$5:$F$204,MATCH(C209,取引先マスタ!$A$5:$A$204,0)),DAY(EOMONTH(B209,INDEX(取引先マスタ!$E$5:$E$204,MATCH(C209,取引先マスタ!$A$5:$A$204,0))))))),""))</f>
        <v/>
      </c>
      <c r="H209" s="22"/>
      <c r="I209" s="25" t="str">
        <f aca="false">IF(H209&lt;&gt;"",H209,G209)</f>
        <v/>
      </c>
      <c r="J209" s="26"/>
      <c r="K209" s="22"/>
      <c r="L209" s="26"/>
      <c r="M209" s="27" t="str">
        <f aca="false">IF(A209="","",SUMIF(入金明細!$F$5:$F$1004,A209,入金明細!$E$5:$E$1004))</f>
        <v/>
      </c>
      <c r="N209" s="25" t="str">
        <f aca="false">IF(OR(A209="",N(M209)=0),"",SUMPRODUCT(MAX((入金明細!$F$5:$F$1004=A209)*入金明細!$B$5:$B$1004)))</f>
        <v/>
      </c>
      <c r="O209" s="18"/>
      <c r="P209" s="27" t="str">
        <f aca="false">IF(OR(A209="",F209=""),"",F209-N(M209)-N(O209))</f>
        <v/>
      </c>
      <c r="Q209" s="26"/>
      <c r="R209" s="28" t="str">
        <f aca="false">IF(A209="","",IF(Q209="取消","取消",IF(T209&lt;&gt;"","要入力",IF(K209="","未送付",IF(P209=0,"入金済",IF(P209&lt;0,"過入金",IF(設定!$C$5&gt;I209,IF(N(M209)&gt;0,"一部入金・超過","期日超過"),IF(N(M209)&gt;0,"一部入金",IF(I209-設定!$C$5&lt;=設定!$C$6,"期日間近","入金待ち")))))))))</f>
        <v/>
      </c>
      <c r="S209" s="29" t="str">
        <f aca="false">IF(OR(R209="期日超過",R209="一部入金・超過"),設定!$C$5-I209,"")</f>
        <v/>
      </c>
      <c r="T209" s="21" t="str">
        <f aca="false">IF(A209="","",TRIM(IF(B209="","請求日 ","")&amp;IF(C209="","取引先 ",IF(D209="コード誤り","取引先コード誤り ",""))&amp;IF(E209="","件名 ","")&amp;IF(F209="","請求額 ","")&amp;IF(AND(F209&lt;&gt;"",I209=""),"入金期日(マスタの支払条件が未登録) ","")&amp;IF(J209="","送付方法 ","")&amp;IF(AND(K209&lt;&gt;"",L209=""),"送付者 ","")&amp;IF(AND(K209&lt;&gt;"",N(K209)&gt;設定!$C$5),"送付日が未来の日付 ","")&amp;IF(AND(K209&lt;&gt;"",N(M209)&gt;0,N(P209)&lt;=0,U209=""),"消込確認者 ","")))</f>
        <v/>
      </c>
      <c r="U209" s="26"/>
      <c r="V209" s="26"/>
    </row>
    <row r="210" customFormat="false" ht="15" hidden="false" customHeight="false" outlineLevel="0" collapsed="false">
      <c r="A210" s="21" t="str">
        <f aca="false">IF(COUNTA(B210,C210,E210,F210)=0,"",設定!$C$4&amp;TEXT(ROW()-4,"00000"))</f>
        <v/>
      </c>
      <c r="B210" s="22"/>
      <c r="C210" s="23"/>
      <c r="D210" s="21" t="str">
        <f aca="false">IF(C210="","",IFERROR(INDEX(取引先マスタ!$B$5:$B$204,MATCH(C210,取引先マスタ!$A$5:$A$204,0)),"コード誤り"))</f>
        <v/>
      </c>
      <c r="E210" s="26"/>
      <c r="F210" s="18"/>
      <c r="G210" s="25" t="str">
        <f aca="false">IF(OR(B210="",C210="",D210="コード誤り"),"",IFERROR(IF(OR(INDEX(取引先マスタ!$E$5:$E$204,MATCH(C210,取引先マスタ!$A$5:$A$204,0))="",INDEX(取引先マスタ!$F$5:$F$204,MATCH(C210,取引先マスタ!$A$5:$A$204,0))=""),"",DATE(YEAR(B210),MONTH(B210)+INDEX(取引先マスタ!$E$5:$E$204,MATCH(C210,取引先マスタ!$A$5:$A$204,0)),MIN(INDEX(取引先マスタ!$F$5:$F$204,MATCH(C210,取引先マスタ!$A$5:$A$204,0)),DAY(EOMONTH(B210,INDEX(取引先マスタ!$E$5:$E$204,MATCH(C210,取引先マスタ!$A$5:$A$204,0))))))),""))</f>
        <v/>
      </c>
      <c r="H210" s="22"/>
      <c r="I210" s="25" t="str">
        <f aca="false">IF(H210&lt;&gt;"",H210,G210)</f>
        <v/>
      </c>
      <c r="J210" s="26"/>
      <c r="K210" s="22"/>
      <c r="L210" s="26"/>
      <c r="M210" s="27" t="str">
        <f aca="false">IF(A210="","",SUMIF(入金明細!$F$5:$F$1004,A210,入金明細!$E$5:$E$1004))</f>
        <v/>
      </c>
      <c r="N210" s="25" t="str">
        <f aca="false">IF(OR(A210="",N(M210)=0),"",SUMPRODUCT(MAX((入金明細!$F$5:$F$1004=A210)*入金明細!$B$5:$B$1004)))</f>
        <v/>
      </c>
      <c r="O210" s="18"/>
      <c r="P210" s="27" t="str">
        <f aca="false">IF(OR(A210="",F210=""),"",F210-N(M210)-N(O210))</f>
        <v/>
      </c>
      <c r="Q210" s="26"/>
      <c r="R210" s="28" t="str">
        <f aca="false">IF(A210="","",IF(Q210="取消","取消",IF(T210&lt;&gt;"","要入力",IF(K210="","未送付",IF(P210=0,"入金済",IF(P210&lt;0,"過入金",IF(設定!$C$5&gt;I210,IF(N(M210)&gt;0,"一部入金・超過","期日超過"),IF(N(M210)&gt;0,"一部入金",IF(I210-設定!$C$5&lt;=設定!$C$6,"期日間近","入金待ち")))))))))</f>
        <v/>
      </c>
      <c r="S210" s="29" t="str">
        <f aca="false">IF(OR(R210="期日超過",R210="一部入金・超過"),設定!$C$5-I210,"")</f>
        <v/>
      </c>
      <c r="T210" s="21" t="str">
        <f aca="false">IF(A210="","",TRIM(IF(B210="","請求日 ","")&amp;IF(C210="","取引先 ",IF(D210="コード誤り","取引先コード誤り ",""))&amp;IF(E210="","件名 ","")&amp;IF(F210="","請求額 ","")&amp;IF(AND(F210&lt;&gt;"",I210=""),"入金期日(マスタの支払条件が未登録) ","")&amp;IF(J210="","送付方法 ","")&amp;IF(AND(K210&lt;&gt;"",L210=""),"送付者 ","")&amp;IF(AND(K210&lt;&gt;"",N(K210)&gt;設定!$C$5),"送付日が未来の日付 ","")&amp;IF(AND(K210&lt;&gt;"",N(M210)&gt;0,N(P210)&lt;=0,U210=""),"消込確認者 ","")))</f>
        <v/>
      </c>
      <c r="U210" s="26"/>
      <c r="V210" s="26"/>
    </row>
    <row r="211" customFormat="false" ht="15" hidden="false" customHeight="false" outlineLevel="0" collapsed="false">
      <c r="A211" s="21" t="str">
        <f aca="false">IF(COUNTA(B211,C211,E211,F211)=0,"",設定!$C$4&amp;TEXT(ROW()-4,"00000"))</f>
        <v/>
      </c>
      <c r="B211" s="22"/>
      <c r="C211" s="23"/>
      <c r="D211" s="21" t="str">
        <f aca="false">IF(C211="","",IFERROR(INDEX(取引先マスタ!$B$5:$B$204,MATCH(C211,取引先マスタ!$A$5:$A$204,0)),"コード誤り"))</f>
        <v/>
      </c>
      <c r="E211" s="26"/>
      <c r="F211" s="18"/>
      <c r="G211" s="25" t="str">
        <f aca="false">IF(OR(B211="",C211="",D211="コード誤り"),"",IFERROR(IF(OR(INDEX(取引先マスタ!$E$5:$E$204,MATCH(C211,取引先マスタ!$A$5:$A$204,0))="",INDEX(取引先マスタ!$F$5:$F$204,MATCH(C211,取引先マスタ!$A$5:$A$204,0))=""),"",DATE(YEAR(B211),MONTH(B211)+INDEX(取引先マスタ!$E$5:$E$204,MATCH(C211,取引先マスタ!$A$5:$A$204,0)),MIN(INDEX(取引先マスタ!$F$5:$F$204,MATCH(C211,取引先マスタ!$A$5:$A$204,0)),DAY(EOMONTH(B211,INDEX(取引先マスタ!$E$5:$E$204,MATCH(C211,取引先マスタ!$A$5:$A$204,0))))))),""))</f>
        <v/>
      </c>
      <c r="H211" s="22"/>
      <c r="I211" s="25" t="str">
        <f aca="false">IF(H211&lt;&gt;"",H211,G211)</f>
        <v/>
      </c>
      <c r="J211" s="26"/>
      <c r="K211" s="22"/>
      <c r="L211" s="26"/>
      <c r="M211" s="27" t="str">
        <f aca="false">IF(A211="","",SUMIF(入金明細!$F$5:$F$1004,A211,入金明細!$E$5:$E$1004))</f>
        <v/>
      </c>
      <c r="N211" s="25" t="str">
        <f aca="false">IF(OR(A211="",N(M211)=0),"",SUMPRODUCT(MAX((入金明細!$F$5:$F$1004=A211)*入金明細!$B$5:$B$1004)))</f>
        <v/>
      </c>
      <c r="O211" s="18"/>
      <c r="P211" s="27" t="str">
        <f aca="false">IF(OR(A211="",F211=""),"",F211-N(M211)-N(O211))</f>
        <v/>
      </c>
      <c r="Q211" s="26"/>
      <c r="R211" s="28" t="str">
        <f aca="false">IF(A211="","",IF(Q211="取消","取消",IF(T211&lt;&gt;"","要入力",IF(K211="","未送付",IF(P211=0,"入金済",IF(P211&lt;0,"過入金",IF(設定!$C$5&gt;I211,IF(N(M211)&gt;0,"一部入金・超過","期日超過"),IF(N(M211)&gt;0,"一部入金",IF(I211-設定!$C$5&lt;=設定!$C$6,"期日間近","入金待ち")))))))))</f>
        <v/>
      </c>
      <c r="S211" s="29" t="str">
        <f aca="false">IF(OR(R211="期日超過",R211="一部入金・超過"),設定!$C$5-I211,"")</f>
        <v/>
      </c>
      <c r="T211" s="21" t="str">
        <f aca="false">IF(A211="","",TRIM(IF(B211="","請求日 ","")&amp;IF(C211="","取引先 ",IF(D211="コード誤り","取引先コード誤り ",""))&amp;IF(E211="","件名 ","")&amp;IF(F211="","請求額 ","")&amp;IF(AND(F211&lt;&gt;"",I211=""),"入金期日(マスタの支払条件が未登録) ","")&amp;IF(J211="","送付方法 ","")&amp;IF(AND(K211&lt;&gt;"",L211=""),"送付者 ","")&amp;IF(AND(K211&lt;&gt;"",N(K211)&gt;設定!$C$5),"送付日が未来の日付 ","")&amp;IF(AND(K211&lt;&gt;"",N(M211)&gt;0,N(P211)&lt;=0,U211=""),"消込確認者 ","")))</f>
        <v/>
      </c>
      <c r="U211" s="26"/>
      <c r="V211" s="26"/>
    </row>
    <row r="212" customFormat="false" ht="15" hidden="false" customHeight="false" outlineLevel="0" collapsed="false">
      <c r="A212" s="21" t="str">
        <f aca="false">IF(COUNTA(B212,C212,E212,F212)=0,"",設定!$C$4&amp;TEXT(ROW()-4,"00000"))</f>
        <v/>
      </c>
      <c r="B212" s="22"/>
      <c r="C212" s="23"/>
      <c r="D212" s="21" t="str">
        <f aca="false">IF(C212="","",IFERROR(INDEX(取引先マスタ!$B$5:$B$204,MATCH(C212,取引先マスタ!$A$5:$A$204,0)),"コード誤り"))</f>
        <v/>
      </c>
      <c r="E212" s="26"/>
      <c r="F212" s="18"/>
      <c r="G212" s="25" t="str">
        <f aca="false">IF(OR(B212="",C212="",D212="コード誤り"),"",IFERROR(IF(OR(INDEX(取引先マスタ!$E$5:$E$204,MATCH(C212,取引先マスタ!$A$5:$A$204,0))="",INDEX(取引先マスタ!$F$5:$F$204,MATCH(C212,取引先マスタ!$A$5:$A$204,0))=""),"",DATE(YEAR(B212),MONTH(B212)+INDEX(取引先マスタ!$E$5:$E$204,MATCH(C212,取引先マスタ!$A$5:$A$204,0)),MIN(INDEX(取引先マスタ!$F$5:$F$204,MATCH(C212,取引先マスタ!$A$5:$A$204,0)),DAY(EOMONTH(B212,INDEX(取引先マスタ!$E$5:$E$204,MATCH(C212,取引先マスタ!$A$5:$A$204,0))))))),""))</f>
        <v/>
      </c>
      <c r="H212" s="22"/>
      <c r="I212" s="25" t="str">
        <f aca="false">IF(H212&lt;&gt;"",H212,G212)</f>
        <v/>
      </c>
      <c r="J212" s="26"/>
      <c r="K212" s="22"/>
      <c r="L212" s="26"/>
      <c r="M212" s="27" t="str">
        <f aca="false">IF(A212="","",SUMIF(入金明細!$F$5:$F$1004,A212,入金明細!$E$5:$E$1004))</f>
        <v/>
      </c>
      <c r="N212" s="25" t="str">
        <f aca="false">IF(OR(A212="",N(M212)=0),"",SUMPRODUCT(MAX((入金明細!$F$5:$F$1004=A212)*入金明細!$B$5:$B$1004)))</f>
        <v/>
      </c>
      <c r="O212" s="18"/>
      <c r="P212" s="27" t="str">
        <f aca="false">IF(OR(A212="",F212=""),"",F212-N(M212)-N(O212))</f>
        <v/>
      </c>
      <c r="Q212" s="26"/>
      <c r="R212" s="28" t="str">
        <f aca="false">IF(A212="","",IF(Q212="取消","取消",IF(T212&lt;&gt;"","要入力",IF(K212="","未送付",IF(P212=0,"入金済",IF(P212&lt;0,"過入金",IF(設定!$C$5&gt;I212,IF(N(M212)&gt;0,"一部入金・超過","期日超過"),IF(N(M212)&gt;0,"一部入金",IF(I212-設定!$C$5&lt;=設定!$C$6,"期日間近","入金待ち")))))))))</f>
        <v/>
      </c>
      <c r="S212" s="29" t="str">
        <f aca="false">IF(OR(R212="期日超過",R212="一部入金・超過"),設定!$C$5-I212,"")</f>
        <v/>
      </c>
      <c r="T212" s="21" t="str">
        <f aca="false">IF(A212="","",TRIM(IF(B212="","請求日 ","")&amp;IF(C212="","取引先 ",IF(D212="コード誤り","取引先コード誤り ",""))&amp;IF(E212="","件名 ","")&amp;IF(F212="","請求額 ","")&amp;IF(AND(F212&lt;&gt;"",I212=""),"入金期日(マスタの支払条件が未登録) ","")&amp;IF(J212="","送付方法 ","")&amp;IF(AND(K212&lt;&gt;"",L212=""),"送付者 ","")&amp;IF(AND(K212&lt;&gt;"",N(K212)&gt;設定!$C$5),"送付日が未来の日付 ","")&amp;IF(AND(K212&lt;&gt;"",N(M212)&gt;0,N(P212)&lt;=0,U212=""),"消込確認者 ","")))</f>
        <v/>
      </c>
      <c r="U212" s="26"/>
      <c r="V212" s="26"/>
    </row>
    <row r="213" customFormat="false" ht="15" hidden="false" customHeight="false" outlineLevel="0" collapsed="false">
      <c r="A213" s="21" t="str">
        <f aca="false">IF(COUNTA(B213,C213,E213,F213)=0,"",設定!$C$4&amp;TEXT(ROW()-4,"00000"))</f>
        <v/>
      </c>
      <c r="B213" s="22"/>
      <c r="C213" s="23"/>
      <c r="D213" s="21" t="str">
        <f aca="false">IF(C213="","",IFERROR(INDEX(取引先マスタ!$B$5:$B$204,MATCH(C213,取引先マスタ!$A$5:$A$204,0)),"コード誤り"))</f>
        <v/>
      </c>
      <c r="E213" s="26"/>
      <c r="F213" s="18"/>
      <c r="G213" s="25" t="str">
        <f aca="false">IF(OR(B213="",C213="",D213="コード誤り"),"",IFERROR(IF(OR(INDEX(取引先マスタ!$E$5:$E$204,MATCH(C213,取引先マスタ!$A$5:$A$204,0))="",INDEX(取引先マスタ!$F$5:$F$204,MATCH(C213,取引先マスタ!$A$5:$A$204,0))=""),"",DATE(YEAR(B213),MONTH(B213)+INDEX(取引先マスタ!$E$5:$E$204,MATCH(C213,取引先マスタ!$A$5:$A$204,0)),MIN(INDEX(取引先マスタ!$F$5:$F$204,MATCH(C213,取引先マスタ!$A$5:$A$204,0)),DAY(EOMONTH(B213,INDEX(取引先マスタ!$E$5:$E$204,MATCH(C213,取引先マスタ!$A$5:$A$204,0))))))),""))</f>
        <v/>
      </c>
      <c r="H213" s="22"/>
      <c r="I213" s="25" t="str">
        <f aca="false">IF(H213&lt;&gt;"",H213,G213)</f>
        <v/>
      </c>
      <c r="J213" s="26"/>
      <c r="K213" s="22"/>
      <c r="L213" s="26"/>
      <c r="M213" s="27" t="str">
        <f aca="false">IF(A213="","",SUMIF(入金明細!$F$5:$F$1004,A213,入金明細!$E$5:$E$1004))</f>
        <v/>
      </c>
      <c r="N213" s="25" t="str">
        <f aca="false">IF(OR(A213="",N(M213)=0),"",SUMPRODUCT(MAX((入金明細!$F$5:$F$1004=A213)*入金明細!$B$5:$B$1004)))</f>
        <v/>
      </c>
      <c r="O213" s="18"/>
      <c r="P213" s="27" t="str">
        <f aca="false">IF(OR(A213="",F213=""),"",F213-N(M213)-N(O213))</f>
        <v/>
      </c>
      <c r="Q213" s="26"/>
      <c r="R213" s="28" t="str">
        <f aca="false">IF(A213="","",IF(Q213="取消","取消",IF(T213&lt;&gt;"","要入力",IF(K213="","未送付",IF(P213=0,"入金済",IF(P213&lt;0,"過入金",IF(設定!$C$5&gt;I213,IF(N(M213)&gt;0,"一部入金・超過","期日超過"),IF(N(M213)&gt;0,"一部入金",IF(I213-設定!$C$5&lt;=設定!$C$6,"期日間近","入金待ち")))))))))</f>
        <v/>
      </c>
      <c r="S213" s="29" t="str">
        <f aca="false">IF(OR(R213="期日超過",R213="一部入金・超過"),設定!$C$5-I213,"")</f>
        <v/>
      </c>
      <c r="T213" s="21" t="str">
        <f aca="false">IF(A213="","",TRIM(IF(B213="","請求日 ","")&amp;IF(C213="","取引先 ",IF(D213="コード誤り","取引先コード誤り ",""))&amp;IF(E213="","件名 ","")&amp;IF(F213="","請求額 ","")&amp;IF(AND(F213&lt;&gt;"",I213=""),"入金期日(マスタの支払条件が未登録) ","")&amp;IF(J213="","送付方法 ","")&amp;IF(AND(K213&lt;&gt;"",L213=""),"送付者 ","")&amp;IF(AND(K213&lt;&gt;"",N(K213)&gt;設定!$C$5),"送付日が未来の日付 ","")&amp;IF(AND(K213&lt;&gt;"",N(M213)&gt;0,N(P213)&lt;=0,U213=""),"消込確認者 ","")))</f>
        <v/>
      </c>
      <c r="U213" s="26"/>
      <c r="V213" s="26"/>
    </row>
    <row r="214" customFormat="false" ht="15" hidden="false" customHeight="false" outlineLevel="0" collapsed="false">
      <c r="A214" s="21" t="str">
        <f aca="false">IF(COUNTA(B214,C214,E214,F214)=0,"",設定!$C$4&amp;TEXT(ROW()-4,"00000"))</f>
        <v/>
      </c>
      <c r="B214" s="22"/>
      <c r="C214" s="23"/>
      <c r="D214" s="21" t="str">
        <f aca="false">IF(C214="","",IFERROR(INDEX(取引先マスタ!$B$5:$B$204,MATCH(C214,取引先マスタ!$A$5:$A$204,0)),"コード誤り"))</f>
        <v/>
      </c>
      <c r="E214" s="26"/>
      <c r="F214" s="18"/>
      <c r="G214" s="25" t="str">
        <f aca="false">IF(OR(B214="",C214="",D214="コード誤り"),"",IFERROR(IF(OR(INDEX(取引先マスタ!$E$5:$E$204,MATCH(C214,取引先マスタ!$A$5:$A$204,0))="",INDEX(取引先マスタ!$F$5:$F$204,MATCH(C214,取引先マスタ!$A$5:$A$204,0))=""),"",DATE(YEAR(B214),MONTH(B214)+INDEX(取引先マスタ!$E$5:$E$204,MATCH(C214,取引先マスタ!$A$5:$A$204,0)),MIN(INDEX(取引先マスタ!$F$5:$F$204,MATCH(C214,取引先マスタ!$A$5:$A$204,0)),DAY(EOMONTH(B214,INDEX(取引先マスタ!$E$5:$E$204,MATCH(C214,取引先マスタ!$A$5:$A$204,0))))))),""))</f>
        <v/>
      </c>
      <c r="H214" s="22"/>
      <c r="I214" s="25" t="str">
        <f aca="false">IF(H214&lt;&gt;"",H214,G214)</f>
        <v/>
      </c>
      <c r="J214" s="26"/>
      <c r="K214" s="22"/>
      <c r="L214" s="26"/>
      <c r="M214" s="27" t="str">
        <f aca="false">IF(A214="","",SUMIF(入金明細!$F$5:$F$1004,A214,入金明細!$E$5:$E$1004))</f>
        <v/>
      </c>
      <c r="N214" s="25" t="str">
        <f aca="false">IF(OR(A214="",N(M214)=0),"",SUMPRODUCT(MAX((入金明細!$F$5:$F$1004=A214)*入金明細!$B$5:$B$1004)))</f>
        <v/>
      </c>
      <c r="O214" s="18"/>
      <c r="P214" s="27" t="str">
        <f aca="false">IF(OR(A214="",F214=""),"",F214-N(M214)-N(O214))</f>
        <v/>
      </c>
      <c r="Q214" s="26"/>
      <c r="R214" s="28" t="str">
        <f aca="false">IF(A214="","",IF(Q214="取消","取消",IF(T214&lt;&gt;"","要入力",IF(K214="","未送付",IF(P214=0,"入金済",IF(P214&lt;0,"過入金",IF(設定!$C$5&gt;I214,IF(N(M214)&gt;0,"一部入金・超過","期日超過"),IF(N(M214)&gt;0,"一部入金",IF(I214-設定!$C$5&lt;=設定!$C$6,"期日間近","入金待ち")))))))))</f>
        <v/>
      </c>
      <c r="S214" s="29" t="str">
        <f aca="false">IF(OR(R214="期日超過",R214="一部入金・超過"),設定!$C$5-I214,"")</f>
        <v/>
      </c>
      <c r="T214" s="21" t="str">
        <f aca="false">IF(A214="","",TRIM(IF(B214="","請求日 ","")&amp;IF(C214="","取引先 ",IF(D214="コード誤り","取引先コード誤り ",""))&amp;IF(E214="","件名 ","")&amp;IF(F214="","請求額 ","")&amp;IF(AND(F214&lt;&gt;"",I214=""),"入金期日(マスタの支払条件が未登録) ","")&amp;IF(J214="","送付方法 ","")&amp;IF(AND(K214&lt;&gt;"",L214=""),"送付者 ","")&amp;IF(AND(K214&lt;&gt;"",N(K214)&gt;設定!$C$5),"送付日が未来の日付 ","")&amp;IF(AND(K214&lt;&gt;"",N(M214)&gt;0,N(P214)&lt;=0,U214=""),"消込確認者 ","")))</f>
        <v/>
      </c>
      <c r="U214" s="26"/>
      <c r="V214" s="26"/>
    </row>
    <row r="215" customFormat="false" ht="15" hidden="false" customHeight="false" outlineLevel="0" collapsed="false">
      <c r="A215" s="21" t="str">
        <f aca="false">IF(COUNTA(B215,C215,E215,F215)=0,"",設定!$C$4&amp;TEXT(ROW()-4,"00000"))</f>
        <v/>
      </c>
      <c r="B215" s="22"/>
      <c r="C215" s="23"/>
      <c r="D215" s="21" t="str">
        <f aca="false">IF(C215="","",IFERROR(INDEX(取引先マスタ!$B$5:$B$204,MATCH(C215,取引先マスタ!$A$5:$A$204,0)),"コード誤り"))</f>
        <v/>
      </c>
      <c r="E215" s="26"/>
      <c r="F215" s="18"/>
      <c r="G215" s="25" t="str">
        <f aca="false">IF(OR(B215="",C215="",D215="コード誤り"),"",IFERROR(IF(OR(INDEX(取引先マスタ!$E$5:$E$204,MATCH(C215,取引先マスタ!$A$5:$A$204,0))="",INDEX(取引先マスタ!$F$5:$F$204,MATCH(C215,取引先マスタ!$A$5:$A$204,0))=""),"",DATE(YEAR(B215),MONTH(B215)+INDEX(取引先マスタ!$E$5:$E$204,MATCH(C215,取引先マスタ!$A$5:$A$204,0)),MIN(INDEX(取引先マスタ!$F$5:$F$204,MATCH(C215,取引先マスタ!$A$5:$A$204,0)),DAY(EOMONTH(B215,INDEX(取引先マスタ!$E$5:$E$204,MATCH(C215,取引先マスタ!$A$5:$A$204,0))))))),""))</f>
        <v/>
      </c>
      <c r="H215" s="22"/>
      <c r="I215" s="25" t="str">
        <f aca="false">IF(H215&lt;&gt;"",H215,G215)</f>
        <v/>
      </c>
      <c r="J215" s="26"/>
      <c r="K215" s="22"/>
      <c r="L215" s="26"/>
      <c r="M215" s="27" t="str">
        <f aca="false">IF(A215="","",SUMIF(入金明細!$F$5:$F$1004,A215,入金明細!$E$5:$E$1004))</f>
        <v/>
      </c>
      <c r="N215" s="25" t="str">
        <f aca="false">IF(OR(A215="",N(M215)=0),"",SUMPRODUCT(MAX((入金明細!$F$5:$F$1004=A215)*入金明細!$B$5:$B$1004)))</f>
        <v/>
      </c>
      <c r="O215" s="18"/>
      <c r="P215" s="27" t="str">
        <f aca="false">IF(OR(A215="",F215=""),"",F215-N(M215)-N(O215))</f>
        <v/>
      </c>
      <c r="Q215" s="26"/>
      <c r="R215" s="28" t="str">
        <f aca="false">IF(A215="","",IF(Q215="取消","取消",IF(T215&lt;&gt;"","要入力",IF(K215="","未送付",IF(P215=0,"入金済",IF(P215&lt;0,"過入金",IF(設定!$C$5&gt;I215,IF(N(M215)&gt;0,"一部入金・超過","期日超過"),IF(N(M215)&gt;0,"一部入金",IF(I215-設定!$C$5&lt;=設定!$C$6,"期日間近","入金待ち")))))))))</f>
        <v/>
      </c>
      <c r="S215" s="29" t="str">
        <f aca="false">IF(OR(R215="期日超過",R215="一部入金・超過"),設定!$C$5-I215,"")</f>
        <v/>
      </c>
      <c r="T215" s="21" t="str">
        <f aca="false">IF(A215="","",TRIM(IF(B215="","請求日 ","")&amp;IF(C215="","取引先 ",IF(D215="コード誤り","取引先コード誤り ",""))&amp;IF(E215="","件名 ","")&amp;IF(F215="","請求額 ","")&amp;IF(AND(F215&lt;&gt;"",I215=""),"入金期日(マスタの支払条件が未登録) ","")&amp;IF(J215="","送付方法 ","")&amp;IF(AND(K215&lt;&gt;"",L215=""),"送付者 ","")&amp;IF(AND(K215&lt;&gt;"",N(K215)&gt;設定!$C$5),"送付日が未来の日付 ","")&amp;IF(AND(K215&lt;&gt;"",N(M215)&gt;0,N(P215)&lt;=0,U215=""),"消込確認者 ","")))</f>
        <v/>
      </c>
      <c r="U215" s="26"/>
      <c r="V215" s="26"/>
    </row>
    <row r="216" customFormat="false" ht="15" hidden="false" customHeight="false" outlineLevel="0" collapsed="false">
      <c r="A216" s="21" t="str">
        <f aca="false">IF(COUNTA(B216,C216,E216,F216)=0,"",設定!$C$4&amp;TEXT(ROW()-4,"00000"))</f>
        <v/>
      </c>
      <c r="B216" s="22"/>
      <c r="C216" s="23"/>
      <c r="D216" s="21" t="str">
        <f aca="false">IF(C216="","",IFERROR(INDEX(取引先マスタ!$B$5:$B$204,MATCH(C216,取引先マスタ!$A$5:$A$204,0)),"コード誤り"))</f>
        <v/>
      </c>
      <c r="E216" s="26"/>
      <c r="F216" s="18"/>
      <c r="G216" s="25" t="str">
        <f aca="false">IF(OR(B216="",C216="",D216="コード誤り"),"",IFERROR(IF(OR(INDEX(取引先マスタ!$E$5:$E$204,MATCH(C216,取引先マスタ!$A$5:$A$204,0))="",INDEX(取引先マスタ!$F$5:$F$204,MATCH(C216,取引先マスタ!$A$5:$A$204,0))=""),"",DATE(YEAR(B216),MONTH(B216)+INDEX(取引先マスタ!$E$5:$E$204,MATCH(C216,取引先マスタ!$A$5:$A$204,0)),MIN(INDEX(取引先マスタ!$F$5:$F$204,MATCH(C216,取引先マスタ!$A$5:$A$204,0)),DAY(EOMONTH(B216,INDEX(取引先マスタ!$E$5:$E$204,MATCH(C216,取引先マスタ!$A$5:$A$204,0))))))),""))</f>
        <v/>
      </c>
      <c r="H216" s="22"/>
      <c r="I216" s="25" t="str">
        <f aca="false">IF(H216&lt;&gt;"",H216,G216)</f>
        <v/>
      </c>
      <c r="J216" s="26"/>
      <c r="K216" s="22"/>
      <c r="L216" s="26"/>
      <c r="M216" s="27" t="str">
        <f aca="false">IF(A216="","",SUMIF(入金明細!$F$5:$F$1004,A216,入金明細!$E$5:$E$1004))</f>
        <v/>
      </c>
      <c r="N216" s="25" t="str">
        <f aca="false">IF(OR(A216="",N(M216)=0),"",SUMPRODUCT(MAX((入金明細!$F$5:$F$1004=A216)*入金明細!$B$5:$B$1004)))</f>
        <v/>
      </c>
      <c r="O216" s="18"/>
      <c r="P216" s="27" t="str">
        <f aca="false">IF(OR(A216="",F216=""),"",F216-N(M216)-N(O216))</f>
        <v/>
      </c>
      <c r="Q216" s="26"/>
      <c r="R216" s="28" t="str">
        <f aca="false">IF(A216="","",IF(Q216="取消","取消",IF(T216&lt;&gt;"","要入力",IF(K216="","未送付",IF(P216=0,"入金済",IF(P216&lt;0,"過入金",IF(設定!$C$5&gt;I216,IF(N(M216)&gt;0,"一部入金・超過","期日超過"),IF(N(M216)&gt;0,"一部入金",IF(I216-設定!$C$5&lt;=設定!$C$6,"期日間近","入金待ち")))))))))</f>
        <v/>
      </c>
      <c r="S216" s="29" t="str">
        <f aca="false">IF(OR(R216="期日超過",R216="一部入金・超過"),設定!$C$5-I216,"")</f>
        <v/>
      </c>
      <c r="T216" s="21" t="str">
        <f aca="false">IF(A216="","",TRIM(IF(B216="","請求日 ","")&amp;IF(C216="","取引先 ",IF(D216="コード誤り","取引先コード誤り ",""))&amp;IF(E216="","件名 ","")&amp;IF(F216="","請求額 ","")&amp;IF(AND(F216&lt;&gt;"",I216=""),"入金期日(マスタの支払条件が未登録) ","")&amp;IF(J216="","送付方法 ","")&amp;IF(AND(K216&lt;&gt;"",L216=""),"送付者 ","")&amp;IF(AND(K216&lt;&gt;"",N(K216)&gt;設定!$C$5),"送付日が未来の日付 ","")&amp;IF(AND(K216&lt;&gt;"",N(M216)&gt;0,N(P216)&lt;=0,U216=""),"消込確認者 ","")))</f>
        <v/>
      </c>
      <c r="U216" s="26"/>
      <c r="V216" s="26"/>
    </row>
    <row r="217" customFormat="false" ht="15" hidden="false" customHeight="false" outlineLevel="0" collapsed="false">
      <c r="A217" s="21" t="str">
        <f aca="false">IF(COUNTA(B217,C217,E217,F217)=0,"",設定!$C$4&amp;TEXT(ROW()-4,"00000"))</f>
        <v/>
      </c>
      <c r="B217" s="22"/>
      <c r="C217" s="23"/>
      <c r="D217" s="21" t="str">
        <f aca="false">IF(C217="","",IFERROR(INDEX(取引先マスタ!$B$5:$B$204,MATCH(C217,取引先マスタ!$A$5:$A$204,0)),"コード誤り"))</f>
        <v/>
      </c>
      <c r="E217" s="26"/>
      <c r="F217" s="18"/>
      <c r="G217" s="25" t="str">
        <f aca="false">IF(OR(B217="",C217="",D217="コード誤り"),"",IFERROR(IF(OR(INDEX(取引先マスタ!$E$5:$E$204,MATCH(C217,取引先マスタ!$A$5:$A$204,0))="",INDEX(取引先マスタ!$F$5:$F$204,MATCH(C217,取引先マスタ!$A$5:$A$204,0))=""),"",DATE(YEAR(B217),MONTH(B217)+INDEX(取引先マスタ!$E$5:$E$204,MATCH(C217,取引先マスタ!$A$5:$A$204,0)),MIN(INDEX(取引先マスタ!$F$5:$F$204,MATCH(C217,取引先マスタ!$A$5:$A$204,0)),DAY(EOMONTH(B217,INDEX(取引先マスタ!$E$5:$E$204,MATCH(C217,取引先マスタ!$A$5:$A$204,0))))))),""))</f>
        <v/>
      </c>
      <c r="H217" s="22"/>
      <c r="I217" s="25" t="str">
        <f aca="false">IF(H217&lt;&gt;"",H217,G217)</f>
        <v/>
      </c>
      <c r="J217" s="26"/>
      <c r="K217" s="22"/>
      <c r="L217" s="26"/>
      <c r="M217" s="27" t="str">
        <f aca="false">IF(A217="","",SUMIF(入金明細!$F$5:$F$1004,A217,入金明細!$E$5:$E$1004))</f>
        <v/>
      </c>
      <c r="N217" s="25" t="str">
        <f aca="false">IF(OR(A217="",N(M217)=0),"",SUMPRODUCT(MAX((入金明細!$F$5:$F$1004=A217)*入金明細!$B$5:$B$1004)))</f>
        <v/>
      </c>
      <c r="O217" s="18"/>
      <c r="P217" s="27" t="str">
        <f aca="false">IF(OR(A217="",F217=""),"",F217-N(M217)-N(O217))</f>
        <v/>
      </c>
      <c r="Q217" s="26"/>
      <c r="R217" s="28" t="str">
        <f aca="false">IF(A217="","",IF(Q217="取消","取消",IF(T217&lt;&gt;"","要入力",IF(K217="","未送付",IF(P217=0,"入金済",IF(P217&lt;0,"過入金",IF(設定!$C$5&gt;I217,IF(N(M217)&gt;0,"一部入金・超過","期日超過"),IF(N(M217)&gt;0,"一部入金",IF(I217-設定!$C$5&lt;=設定!$C$6,"期日間近","入金待ち")))))))))</f>
        <v/>
      </c>
      <c r="S217" s="29" t="str">
        <f aca="false">IF(OR(R217="期日超過",R217="一部入金・超過"),設定!$C$5-I217,"")</f>
        <v/>
      </c>
      <c r="T217" s="21" t="str">
        <f aca="false">IF(A217="","",TRIM(IF(B217="","請求日 ","")&amp;IF(C217="","取引先 ",IF(D217="コード誤り","取引先コード誤り ",""))&amp;IF(E217="","件名 ","")&amp;IF(F217="","請求額 ","")&amp;IF(AND(F217&lt;&gt;"",I217=""),"入金期日(マスタの支払条件が未登録) ","")&amp;IF(J217="","送付方法 ","")&amp;IF(AND(K217&lt;&gt;"",L217=""),"送付者 ","")&amp;IF(AND(K217&lt;&gt;"",N(K217)&gt;設定!$C$5),"送付日が未来の日付 ","")&amp;IF(AND(K217&lt;&gt;"",N(M217)&gt;0,N(P217)&lt;=0,U217=""),"消込確認者 ","")))</f>
        <v/>
      </c>
      <c r="U217" s="26"/>
      <c r="V217" s="26"/>
    </row>
    <row r="218" customFormat="false" ht="15" hidden="false" customHeight="false" outlineLevel="0" collapsed="false">
      <c r="A218" s="21" t="str">
        <f aca="false">IF(COUNTA(B218,C218,E218,F218)=0,"",設定!$C$4&amp;TEXT(ROW()-4,"00000"))</f>
        <v/>
      </c>
      <c r="B218" s="22"/>
      <c r="C218" s="23"/>
      <c r="D218" s="21" t="str">
        <f aca="false">IF(C218="","",IFERROR(INDEX(取引先マスタ!$B$5:$B$204,MATCH(C218,取引先マスタ!$A$5:$A$204,0)),"コード誤り"))</f>
        <v/>
      </c>
      <c r="E218" s="26"/>
      <c r="F218" s="18"/>
      <c r="G218" s="25" t="str">
        <f aca="false">IF(OR(B218="",C218="",D218="コード誤り"),"",IFERROR(IF(OR(INDEX(取引先マスタ!$E$5:$E$204,MATCH(C218,取引先マスタ!$A$5:$A$204,0))="",INDEX(取引先マスタ!$F$5:$F$204,MATCH(C218,取引先マスタ!$A$5:$A$204,0))=""),"",DATE(YEAR(B218),MONTH(B218)+INDEX(取引先マスタ!$E$5:$E$204,MATCH(C218,取引先マスタ!$A$5:$A$204,0)),MIN(INDEX(取引先マスタ!$F$5:$F$204,MATCH(C218,取引先マスタ!$A$5:$A$204,0)),DAY(EOMONTH(B218,INDEX(取引先マスタ!$E$5:$E$204,MATCH(C218,取引先マスタ!$A$5:$A$204,0))))))),""))</f>
        <v/>
      </c>
      <c r="H218" s="22"/>
      <c r="I218" s="25" t="str">
        <f aca="false">IF(H218&lt;&gt;"",H218,G218)</f>
        <v/>
      </c>
      <c r="J218" s="26"/>
      <c r="K218" s="22"/>
      <c r="L218" s="26"/>
      <c r="M218" s="27" t="str">
        <f aca="false">IF(A218="","",SUMIF(入金明細!$F$5:$F$1004,A218,入金明細!$E$5:$E$1004))</f>
        <v/>
      </c>
      <c r="N218" s="25" t="str">
        <f aca="false">IF(OR(A218="",N(M218)=0),"",SUMPRODUCT(MAX((入金明細!$F$5:$F$1004=A218)*入金明細!$B$5:$B$1004)))</f>
        <v/>
      </c>
      <c r="O218" s="18"/>
      <c r="P218" s="27" t="str">
        <f aca="false">IF(OR(A218="",F218=""),"",F218-N(M218)-N(O218))</f>
        <v/>
      </c>
      <c r="Q218" s="26"/>
      <c r="R218" s="28" t="str">
        <f aca="false">IF(A218="","",IF(Q218="取消","取消",IF(T218&lt;&gt;"","要入力",IF(K218="","未送付",IF(P218=0,"入金済",IF(P218&lt;0,"過入金",IF(設定!$C$5&gt;I218,IF(N(M218)&gt;0,"一部入金・超過","期日超過"),IF(N(M218)&gt;0,"一部入金",IF(I218-設定!$C$5&lt;=設定!$C$6,"期日間近","入金待ち")))))))))</f>
        <v/>
      </c>
      <c r="S218" s="29" t="str">
        <f aca="false">IF(OR(R218="期日超過",R218="一部入金・超過"),設定!$C$5-I218,"")</f>
        <v/>
      </c>
      <c r="T218" s="21" t="str">
        <f aca="false">IF(A218="","",TRIM(IF(B218="","請求日 ","")&amp;IF(C218="","取引先 ",IF(D218="コード誤り","取引先コード誤り ",""))&amp;IF(E218="","件名 ","")&amp;IF(F218="","請求額 ","")&amp;IF(AND(F218&lt;&gt;"",I218=""),"入金期日(マスタの支払条件が未登録) ","")&amp;IF(J218="","送付方法 ","")&amp;IF(AND(K218&lt;&gt;"",L218=""),"送付者 ","")&amp;IF(AND(K218&lt;&gt;"",N(K218)&gt;設定!$C$5),"送付日が未来の日付 ","")&amp;IF(AND(K218&lt;&gt;"",N(M218)&gt;0,N(P218)&lt;=0,U218=""),"消込確認者 ","")))</f>
        <v/>
      </c>
      <c r="U218" s="26"/>
      <c r="V218" s="26"/>
    </row>
    <row r="219" customFormat="false" ht="15" hidden="false" customHeight="false" outlineLevel="0" collapsed="false">
      <c r="A219" s="21" t="str">
        <f aca="false">IF(COUNTA(B219,C219,E219,F219)=0,"",設定!$C$4&amp;TEXT(ROW()-4,"00000"))</f>
        <v/>
      </c>
      <c r="B219" s="22"/>
      <c r="C219" s="23"/>
      <c r="D219" s="21" t="str">
        <f aca="false">IF(C219="","",IFERROR(INDEX(取引先マスタ!$B$5:$B$204,MATCH(C219,取引先マスタ!$A$5:$A$204,0)),"コード誤り"))</f>
        <v/>
      </c>
      <c r="E219" s="26"/>
      <c r="F219" s="18"/>
      <c r="G219" s="25" t="str">
        <f aca="false">IF(OR(B219="",C219="",D219="コード誤り"),"",IFERROR(IF(OR(INDEX(取引先マスタ!$E$5:$E$204,MATCH(C219,取引先マスタ!$A$5:$A$204,0))="",INDEX(取引先マスタ!$F$5:$F$204,MATCH(C219,取引先マスタ!$A$5:$A$204,0))=""),"",DATE(YEAR(B219),MONTH(B219)+INDEX(取引先マスタ!$E$5:$E$204,MATCH(C219,取引先マスタ!$A$5:$A$204,0)),MIN(INDEX(取引先マスタ!$F$5:$F$204,MATCH(C219,取引先マスタ!$A$5:$A$204,0)),DAY(EOMONTH(B219,INDEX(取引先マスタ!$E$5:$E$204,MATCH(C219,取引先マスタ!$A$5:$A$204,0))))))),""))</f>
        <v/>
      </c>
      <c r="H219" s="22"/>
      <c r="I219" s="25" t="str">
        <f aca="false">IF(H219&lt;&gt;"",H219,G219)</f>
        <v/>
      </c>
      <c r="J219" s="26"/>
      <c r="K219" s="22"/>
      <c r="L219" s="26"/>
      <c r="M219" s="27" t="str">
        <f aca="false">IF(A219="","",SUMIF(入金明細!$F$5:$F$1004,A219,入金明細!$E$5:$E$1004))</f>
        <v/>
      </c>
      <c r="N219" s="25" t="str">
        <f aca="false">IF(OR(A219="",N(M219)=0),"",SUMPRODUCT(MAX((入金明細!$F$5:$F$1004=A219)*入金明細!$B$5:$B$1004)))</f>
        <v/>
      </c>
      <c r="O219" s="18"/>
      <c r="P219" s="27" t="str">
        <f aca="false">IF(OR(A219="",F219=""),"",F219-N(M219)-N(O219))</f>
        <v/>
      </c>
      <c r="Q219" s="26"/>
      <c r="R219" s="28" t="str">
        <f aca="false">IF(A219="","",IF(Q219="取消","取消",IF(T219&lt;&gt;"","要入力",IF(K219="","未送付",IF(P219=0,"入金済",IF(P219&lt;0,"過入金",IF(設定!$C$5&gt;I219,IF(N(M219)&gt;0,"一部入金・超過","期日超過"),IF(N(M219)&gt;0,"一部入金",IF(I219-設定!$C$5&lt;=設定!$C$6,"期日間近","入金待ち")))))))))</f>
        <v/>
      </c>
      <c r="S219" s="29" t="str">
        <f aca="false">IF(OR(R219="期日超過",R219="一部入金・超過"),設定!$C$5-I219,"")</f>
        <v/>
      </c>
      <c r="T219" s="21" t="str">
        <f aca="false">IF(A219="","",TRIM(IF(B219="","請求日 ","")&amp;IF(C219="","取引先 ",IF(D219="コード誤り","取引先コード誤り ",""))&amp;IF(E219="","件名 ","")&amp;IF(F219="","請求額 ","")&amp;IF(AND(F219&lt;&gt;"",I219=""),"入金期日(マスタの支払条件が未登録) ","")&amp;IF(J219="","送付方法 ","")&amp;IF(AND(K219&lt;&gt;"",L219=""),"送付者 ","")&amp;IF(AND(K219&lt;&gt;"",N(K219)&gt;設定!$C$5),"送付日が未来の日付 ","")&amp;IF(AND(K219&lt;&gt;"",N(M219)&gt;0,N(P219)&lt;=0,U219=""),"消込確認者 ","")))</f>
        <v/>
      </c>
      <c r="U219" s="26"/>
      <c r="V219" s="26"/>
    </row>
    <row r="220" customFormat="false" ht="15" hidden="false" customHeight="false" outlineLevel="0" collapsed="false">
      <c r="A220" s="21" t="str">
        <f aca="false">IF(COUNTA(B220,C220,E220,F220)=0,"",設定!$C$4&amp;TEXT(ROW()-4,"00000"))</f>
        <v/>
      </c>
      <c r="B220" s="22"/>
      <c r="C220" s="23"/>
      <c r="D220" s="21" t="str">
        <f aca="false">IF(C220="","",IFERROR(INDEX(取引先マスタ!$B$5:$B$204,MATCH(C220,取引先マスタ!$A$5:$A$204,0)),"コード誤り"))</f>
        <v/>
      </c>
      <c r="E220" s="26"/>
      <c r="F220" s="18"/>
      <c r="G220" s="25" t="str">
        <f aca="false">IF(OR(B220="",C220="",D220="コード誤り"),"",IFERROR(IF(OR(INDEX(取引先マスタ!$E$5:$E$204,MATCH(C220,取引先マスタ!$A$5:$A$204,0))="",INDEX(取引先マスタ!$F$5:$F$204,MATCH(C220,取引先マスタ!$A$5:$A$204,0))=""),"",DATE(YEAR(B220),MONTH(B220)+INDEX(取引先マスタ!$E$5:$E$204,MATCH(C220,取引先マスタ!$A$5:$A$204,0)),MIN(INDEX(取引先マスタ!$F$5:$F$204,MATCH(C220,取引先マスタ!$A$5:$A$204,0)),DAY(EOMONTH(B220,INDEX(取引先マスタ!$E$5:$E$204,MATCH(C220,取引先マスタ!$A$5:$A$204,0))))))),""))</f>
        <v/>
      </c>
      <c r="H220" s="22"/>
      <c r="I220" s="25" t="str">
        <f aca="false">IF(H220&lt;&gt;"",H220,G220)</f>
        <v/>
      </c>
      <c r="J220" s="26"/>
      <c r="K220" s="22"/>
      <c r="L220" s="26"/>
      <c r="M220" s="27" t="str">
        <f aca="false">IF(A220="","",SUMIF(入金明細!$F$5:$F$1004,A220,入金明細!$E$5:$E$1004))</f>
        <v/>
      </c>
      <c r="N220" s="25" t="str">
        <f aca="false">IF(OR(A220="",N(M220)=0),"",SUMPRODUCT(MAX((入金明細!$F$5:$F$1004=A220)*入金明細!$B$5:$B$1004)))</f>
        <v/>
      </c>
      <c r="O220" s="18"/>
      <c r="P220" s="27" t="str">
        <f aca="false">IF(OR(A220="",F220=""),"",F220-N(M220)-N(O220))</f>
        <v/>
      </c>
      <c r="Q220" s="26"/>
      <c r="R220" s="28" t="str">
        <f aca="false">IF(A220="","",IF(Q220="取消","取消",IF(T220&lt;&gt;"","要入力",IF(K220="","未送付",IF(P220=0,"入金済",IF(P220&lt;0,"過入金",IF(設定!$C$5&gt;I220,IF(N(M220)&gt;0,"一部入金・超過","期日超過"),IF(N(M220)&gt;0,"一部入金",IF(I220-設定!$C$5&lt;=設定!$C$6,"期日間近","入金待ち")))))))))</f>
        <v/>
      </c>
      <c r="S220" s="29" t="str">
        <f aca="false">IF(OR(R220="期日超過",R220="一部入金・超過"),設定!$C$5-I220,"")</f>
        <v/>
      </c>
      <c r="T220" s="21" t="str">
        <f aca="false">IF(A220="","",TRIM(IF(B220="","請求日 ","")&amp;IF(C220="","取引先 ",IF(D220="コード誤り","取引先コード誤り ",""))&amp;IF(E220="","件名 ","")&amp;IF(F220="","請求額 ","")&amp;IF(AND(F220&lt;&gt;"",I220=""),"入金期日(マスタの支払条件が未登録) ","")&amp;IF(J220="","送付方法 ","")&amp;IF(AND(K220&lt;&gt;"",L220=""),"送付者 ","")&amp;IF(AND(K220&lt;&gt;"",N(K220)&gt;設定!$C$5),"送付日が未来の日付 ","")&amp;IF(AND(K220&lt;&gt;"",N(M220)&gt;0,N(P220)&lt;=0,U220=""),"消込確認者 ","")))</f>
        <v/>
      </c>
      <c r="U220" s="26"/>
      <c r="V220" s="26"/>
    </row>
    <row r="221" customFormat="false" ht="15" hidden="false" customHeight="false" outlineLevel="0" collapsed="false">
      <c r="A221" s="21" t="str">
        <f aca="false">IF(COUNTA(B221,C221,E221,F221)=0,"",設定!$C$4&amp;TEXT(ROW()-4,"00000"))</f>
        <v/>
      </c>
      <c r="B221" s="22"/>
      <c r="C221" s="23"/>
      <c r="D221" s="21" t="str">
        <f aca="false">IF(C221="","",IFERROR(INDEX(取引先マスタ!$B$5:$B$204,MATCH(C221,取引先マスタ!$A$5:$A$204,0)),"コード誤り"))</f>
        <v/>
      </c>
      <c r="E221" s="26"/>
      <c r="F221" s="18"/>
      <c r="G221" s="25" t="str">
        <f aca="false">IF(OR(B221="",C221="",D221="コード誤り"),"",IFERROR(IF(OR(INDEX(取引先マスタ!$E$5:$E$204,MATCH(C221,取引先マスタ!$A$5:$A$204,0))="",INDEX(取引先マスタ!$F$5:$F$204,MATCH(C221,取引先マスタ!$A$5:$A$204,0))=""),"",DATE(YEAR(B221),MONTH(B221)+INDEX(取引先マスタ!$E$5:$E$204,MATCH(C221,取引先マスタ!$A$5:$A$204,0)),MIN(INDEX(取引先マスタ!$F$5:$F$204,MATCH(C221,取引先マスタ!$A$5:$A$204,0)),DAY(EOMONTH(B221,INDEX(取引先マスタ!$E$5:$E$204,MATCH(C221,取引先マスタ!$A$5:$A$204,0))))))),""))</f>
        <v/>
      </c>
      <c r="H221" s="22"/>
      <c r="I221" s="25" t="str">
        <f aca="false">IF(H221&lt;&gt;"",H221,G221)</f>
        <v/>
      </c>
      <c r="J221" s="26"/>
      <c r="K221" s="22"/>
      <c r="L221" s="26"/>
      <c r="M221" s="27" t="str">
        <f aca="false">IF(A221="","",SUMIF(入金明細!$F$5:$F$1004,A221,入金明細!$E$5:$E$1004))</f>
        <v/>
      </c>
      <c r="N221" s="25" t="str">
        <f aca="false">IF(OR(A221="",N(M221)=0),"",SUMPRODUCT(MAX((入金明細!$F$5:$F$1004=A221)*入金明細!$B$5:$B$1004)))</f>
        <v/>
      </c>
      <c r="O221" s="18"/>
      <c r="P221" s="27" t="str">
        <f aca="false">IF(OR(A221="",F221=""),"",F221-N(M221)-N(O221))</f>
        <v/>
      </c>
      <c r="Q221" s="26"/>
      <c r="R221" s="28" t="str">
        <f aca="false">IF(A221="","",IF(Q221="取消","取消",IF(T221&lt;&gt;"","要入力",IF(K221="","未送付",IF(P221=0,"入金済",IF(P221&lt;0,"過入金",IF(設定!$C$5&gt;I221,IF(N(M221)&gt;0,"一部入金・超過","期日超過"),IF(N(M221)&gt;0,"一部入金",IF(I221-設定!$C$5&lt;=設定!$C$6,"期日間近","入金待ち")))))))))</f>
        <v/>
      </c>
      <c r="S221" s="29" t="str">
        <f aca="false">IF(OR(R221="期日超過",R221="一部入金・超過"),設定!$C$5-I221,"")</f>
        <v/>
      </c>
      <c r="T221" s="21" t="str">
        <f aca="false">IF(A221="","",TRIM(IF(B221="","請求日 ","")&amp;IF(C221="","取引先 ",IF(D221="コード誤り","取引先コード誤り ",""))&amp;IF(E221="","件名 ","")&amp;IF(F221="","請求額 ","")&amp;IF(AND(F221&lt;&gt;"",I221=""),"入金期日(マスタの支払条件が未登録) ","")&amp;IF(J221="","送付方法 ","")&amp;IF(AND(K221&lt;&gt;"",L221=""),"送付者 ","")&amp;IF(AND(K221&lt;&gt;"",N(K221)&gt;設定!$C$5),"送付日が未来の日付 ","")&amp;IF(AND(K221&lt;&gt;"",N(M221)&gt;0,N(P221)&lt;=0,U221=""),"消込確認者 ","")))</f>
        <v/>
      </c>
      <c r="U221" s="26"/>
      <c r="V221" s="26"/>
    </row>
    <row r="222" customFormat="false" ht="15" hidden="false" customHeight="false" outlineLevel="0" collapsed="false">
      <c r="A222" s="21" t="str">
        <f aca="false">IF(COUNTA(B222,C222,E222,F222)=0,"",設定!$C$4&amp;TEXT(ROW()-4,"00000"))</f>
        <v/>
      </c>
      <c r="B222" s="22"/>
      <c r="C222" s="23"/>
      <c r="D222" s="21" t="str">
        <f aca="false">IF(C222="","",IFERROR(INDEX(取引先マスタ!$B$5:$B$204,MATCH(C222,取引先マスタ!$A$5:$A$204,0)),"コード誤り"))</f>
        <v/>
      </c>
      <c r="E222" s="26"/>
      <c r="F222" s="18"/>
      <c r="G222" s="25" t="str">
        <f aca="false">IF(OR(B222="",C222="",D222="コード誤り"),"",IFERROR(IF(OR(INDEX(取引先マスタ!$E$5:$E$204,MATCH(C222,取引先マスタ!$A$5:$A$204,0))="",INDEX(取引先マスタ!$F$5:$F$204,MATCH(C222,取引先マスタ!$A$5:$A$204,0))=""),"",DATE(YEAR(B222),MONTH(B222)+INDEX(取引先マスタ!$E$5:$E$204,MATCH(C222,取引先マスタ!$A$5:$A$204,0)),MIN(INDEX(取引先マスタ!$F$5:$F$204,MATCH(C222,取引先マスタ!$A$5:$A$204,0)),DAY(EOMONTH(B222,INDEX(取引先マスタ!$E$5:$E$204,MATCH(C222,取引先マスタ!$A$5:$A$204,0))))))),""))</f>
        <v/>
      </c>
      <c r="H222" s="22"/>
      <c r="I222" s="25" t="str">
        <f aca="false">IF(H222&lt;&gt;"",H222,G222)</f>
        <v/>
      </c>
      <c r="J222" s="26"/>
      <c r="K222" s="22"/>
      <c r="L222" s="26"/>
      <c r="M222" s="27" t="str">
        <f aca="false">IF(A222="","",SUMIF(入金明細!$F$5:$F$1004,A222,入金明細!$E$5:$E$1004))</f>
        <v/>
      </c>
      <c r="N222" s="25" t="str">
        <f aca="false">IF(OR(A222="",N(M222)=0),"",SUMPRODUCT(MAX((入金明細!$F$5:$F$1004=A222)*入金明細!$B$5:$B$1004)))</f>
        <v/>
      </c>
      <c r="O222" s="18"/>
      <c r="P222" s="27" t="str">
        <f aca="false">IF(OR(A222="",F222=""),"",F222-N(M222)-N(O222))</f>
        <v/>
      </c>
      <c r="Q222" s="26"/>
      <c r="R222" s="28" t="str">
        <f aca="false">IF(A222="","",IF(Q222="取消","取消",IF(T222&lt;&gt;"","要入力",IF(K222="","未送付",IF(P222=0,"入金済",IF(P222&lt;0,"過入金",IF(設定!$C$5&gt;I222,IF(N(M222)&gt;0,"一部入金・超過","期日超過"),IF(N(M222)&gt;0,"一部入金",IF(I222-設定!$C$5&lt;=設定!$C$6,"期日間近","入金待ち")))))))))</f>
        <v/>
      </c>
      <c r="S222" s="29" t="str">
        <f aca="false">IF(OR(R222="期日超過",R222="一部入金・超過"),設定!$C$5-I222,"")</f>
        <v/>
      </c>
      <c r="T222" s="21" t="str">
        <f aca="false">IF(A222="","",TRIM(IF(B222="","請求日 ","")&amp;IF(C222="","取引先 ",IF(D222="コード誤り","取引先コード誤り ",""))&amp;IF(E222="","件名 ","")&amp;IF(F222="","請求額 ","")&amp;IF(AND(F222&lt;&gt;"",I222=""),"入金期日(マスタの支払条件が未登録) ","")&amp;IF(J222="","送付方法 ","")&amp;IF(AND(K222&lt;&gt;"",L222=""),"送付者 ","")&amp;IF(AND(K222&lt;&gt;"",N(K222)&gt;設定!$C$5),"送付日が未来の日付 ","")&amp;IF(AND(K222&lt;&gt;"",N(M222)&gt;0,N(P222)&lt;=0,U222=""),"消込確認者 ","")))</f>
        <v/>
      </c>
      <c r="U222" s="26"/>
      <c r="V222" s="26"/>
    </row>
    <row r="223" customFormat="false" ht="15" hidden="false" customHeight="false" outlineLevel="0" collapsed="false">
      <c r="A223" s="21" t="str">
        <f aca="false">IF(COUNTA(B223,C223,E223,F223)=0,"",設定!$C$4&amp;TEXT(ROW()-4,"00000"))</f>
        <v/>
      </c>
      <c r="B223" s="22"/>
      <c r="C223" s="23"/>
      <c r="D223" s="21" t="str">
        <f aca="false">IF(C223="","",IFERROR(INDEX(取引先マスタ!$B$5:$B$204,MATCH(C223,取引先マスタ!$A$5:$A$204,0)),"コード誤り"))</f>
        <v/>
      </c>
      <c r="E223" s="26"/>
      <c r="F223" s="18"/>
      <c r="G223" s="25" t="str">
        <f aca="false">IF(OR(B223="",C223="",D223="コード誤り"),"",IFERROR(IF(OR(INDEX(取引先マスタ!$E$5:$E$204,MATCH(C223,取引先マスタ!$A$5:$A$204,0))="",INDEX(取引先マスタ!$F$5:$F$204,MATCH(C223,取引先マスタ!$A$5:$A$204,0))=""),"",DATE(YEAR(B223),MONTH(B223)+INDEX(取引先マスタ!$E$5:$E$204,MATCH(C223,取引先マスタ!$A$5:$A$204,0)),MIN(INDEX(取引先マスタ!$F$5:$F$204,MATCH(C223,取引先マスタ!$A$5:$A$204,0)),DAY(EOMONTH(B223,INDEX(取引先マスタ!$E$5:$E$204,MATCH(C223,取引先マスタ!$A$5:$A$204,0))))))),""))</f>
        <v/>
      </c>
      <c r="H223" s="22"/>
      <c r="I223" s="25" t="str">
        <f aca="false">IF(H223&lt;&gt;"",H223,G223)</f>
        <v/>
      </c>
      <c r="J223" s="26"/>
      <c r="K223" s="22"/>
      <c r="L223" s="26"/>
      <c r="M223" s="27" t="str">
        <f aca="false">IF(A223="","",SUMIF(入金明細!$F$5:$F$1004,A223,入金明細!$E$5:$E$1004))</f>
        <v/>
      </c>
      <c r="N223" s="25" t="str">
        <f aca="false">IF(OR(A223="",N(M223)=0),"",SUMPRODUCT(MAX((入金明細!$F$5:$F$1004=A223)*入金明細!$B$5:$B$1004)))</f>
        <v/>
      </c>
      <c r="O223" s="18"/>
      <c r="P223" s="27" t="str">
        <f aca="false">IF(OR(A223="",F223=""),"",F223-N(M223)-N(O223))</f>
        <v/>
      </c>
      <c r="Q223" s="26"/>
      <c r="R223" s="28" t="str">
        <f aca="false">IF(A223="","",IF(Q223="取消","取消",IF(T223&lt;&gt;"","要入力",IF(K223="","未送付",IF(P223=0,"入金済",IF(P223&lt;0,"過入金",IF(設定!$C$5&gt;I223,IF(N(M223)&gt;0,"一部入金・超過","期日超過"),IF(N(M223)&gt;0,"一部入金",IF(I223-設定!$C$5&lt;=設定!$C$6,"期日間近","入金待ち")))))))))</f>
        <v/>
      </c>
      <c r="S223" s="29" t="str">
        <f aca="false">IF(OR(R223="期日超過",R223="一部入金・超過"),設定!$C$5-I223,"")</f>
        <v/>
      </c>
      <c r="T223" s="21" t="str">
        <f aca="false">IF(A223="","",TRIM(IF(B223="","請求日 ","")&amp;IF(C223="","取引先 ",IF(D223="コード誤り","取引先コード誤り ",""))&amp;IF(E223="","件名 ","")&amp;IF(F223="","請求額 ","")&amp;IF(AND(F223&lt;&gt;"",I223=""),"入金期日(マスタの支払条件が未登録) ","")&amp;IF(J223="","送付方法 ","")&amp;IF(AND(K223&lt;&gt;"",L223=""),"送付者 ","")&amp;IF(AND(K223&lt;&gt;"",N(K223)&gt;設定!$C$5),"送付日が未来の日付 ","")&amp;IF(AND(K223&lt;&gt;"",N(M223)&gt;0,N(P223)&lt;=0,U223=""),"消込確認者 ","")))</f>
        <v/>
      </c>
      <c r="U223" s="26"/>
      <c r="V223" s="26"/>
    </row>
    <row r="224" customFormat="false" ht="15" hidden="false" customHeight="false" outlineLevel="0" collapsed="false">
      <c r="A224" s="21" t="str">
        <f aca="false">IF(COUNTA(B224,C224,E224,F224)=0,"",設定!$C$4&amp;TEXT(ROW()-4,"00000"))</f>
        <v/>
      </c>
      <c r="B224" s="22"/>
      <c r="C224" s="23"/>
      <c r="D224" s="21" t="str">
        <f aca="false">IF(C224="","",IFERROR(INDEX(取引先マスタ!$B$5:$B$204,MATCH(C224,取引先マスタ!$A$5:$A$204,0)),"コード誤り"))</f>
        <v/>
      </c>
      <c r="E224" s="26"/>
      <c r="F224" s="18"/>
      <c r="G224" s="25" t="str">
        <f aca="false">IF(OR(B224="",C224="",D224="コード誤り"),"",IFERROR(IF(OR(INDEX(取引先マスタ!$E$5:$E$204,MATCH(C224,取引先マスタ!$A$5:$A$204,0))="",INDEX(取引先マスタ!$F$5:$F$204,MATCH(C224,取引先マスタ!$A$5:$A$204,0))=""),"",DATE(YEAR(B224),MONTH(B224)+INDEX(取引先マスタ!$E$5:$E$204,MATCH(C224,取引先マスタ!$A$5:$A$204,0)),MIN(INDEX(取引先マスタ!$F$5:$F$204,MATCH(C224,取引先マスタ!$A$5:$A$204,0)),DAY(EOMONTH(B224,INDEX(取引先マスタ!$E$5:$E$204,MATCH(C224,取引先マスタ!$A$5:$A$204,0))))))),""))</f>
        <v/>
      </c>
      <c r="H224" s="22"/>
      <c r="I224" s="25" t="str">
        <f aca="false">IF(H224&lt;&gt;"",H224,G224)</f>
        <v/>
      </c>
      <c r="J224" s="26"/>
      <c r="K224" s="22"/>
      <c r="L224" s="26"/>
      <c r="M224" s="27" t="str">
        <f aca="false">IF(A224="","",SUMIF(入金明細!$F$5:$F$1004,A224,入金明細!$E$5:$E$1004))</f>
        <v/>
      </c>
      <c r="N224" s="25" t="str">
        <f aca="false">IF(OR(A224="",N(M224)=0),"",SUMPRODUCT(MAX((入金明細!$F$5:$F$1004=A224)*入金明細!$B$5:$B$1004)))</f>
        <v/>
      </c>
      <c r="O224" s="18"/>
      <c r="P224" s="27" t="str">
        <f aca="false">IF(OR(A224="",F224=""),"",F224-N(M224)-N(O224))</f>
        <v/>
      </c>
      <c r="Q224" s="26"/>
      <c r="R224" s="28" t="str">
        <f aca="false">IF(A224="","",IF(Q224="取消","取消",IF(T224&lt;&gt;"","要入力",IF(K224="","未送付",IF(P224=0,"入金済",IF(P224&lt;0,"過入金",IF(設定!$C$5&gt;I224,IF(N(M224)&gt;0,"一部入金・超過","期日超過"),IF(N(M224)&gt;0,"一部入金",IF(I224-設定!$C$5&lt;=設定!$C$6,"期日間近","入金待ち")))))))))</f>
        <v/>
      </c>
      <c r="S224" s="29" t="str">
        <f aca="false">IF(OR(R224="期日超過",R224="一部入金・超過"),設定!$C$5-I224,"")</f>
        <v/>
      </c>
      <c r="T224" s="21" t="str">
        <f aca="false">IF(A224="","",TRIM(IF(B224="","請求日 ","")&amp;IF(C224="","取引先 ",IF(D224="コード誤り","取引先コード誤り ",""))&amp;IF(E224="","件名 ","")&amp;IF(F224="","請求額 ","")&amp;IF(AND(F224&lt;&gt;"",I224=""),"入金期日(マスタの支払条件が未登録) ","")&amp;IF(J224="","送付方法 ","")&amp;IF(AND(K224&lt;&gt;"",L224=""),"送付者 ","")&amp;IF(AND(K224&lt;&gt;"",N(K224)&gt;設定!$C$5),"送付日が未来の日付 ","")&amp;IF(AND(K224&lt;&gt;"",N(M224)&gt;0,N(P224)&lt;=0,U224=""),"消込確認者 ","")))</f>
        <v/>
      </c>
      <c r="U224" s="26"/>
      <c r="V224" s="26"/>
    </row>
    <row r="225" customFormat="false" ht="15" hidden="false" customHeight="false" outlineLevel="0" collapsed="false">
      <c r="A225" s="21" t="str">
        <f aca="false">IF(COUNTA(B225,C225,E225,F225)=0,"",設定!$C$4&amp;TEXT(ROW()-4,"00000"))</f>
        <v/>
      </c>
      <c r="B225" s="22"/>
      <c r="C225" s="23"/>
      <c r="D225" s="21" t="str">
        <f aca="false">IF(C225="","",IFERROR(INDEX(取引先マスタ!$B$5:$B$204,MATCH(C225,取引先マスタ!$A$5:$A$204,0)),"コード誤り"))</f>
        <v/>
      </c>
      <c r="E225" s="26"/>
      <c r="F225" s="18"/>
      <c r="G225" s="25" t="str">
        <f aca="false">IF(OR(B225="",C225="",D225="コード誤り"),"",IFERROR(IF(OR(INDEX(取引先マスタ!$E$5:$E$204,MATCH(C225,取引先マスタ!$A$5:$A$204,0))="",INDEX(取引先マスタ!$F$5:$F$204,MATCH(C225,取引先マスタ!$A$5:$A$204,0))=""),"",DATE(YEAR(B225),MONTH(B225)+INDEX(取引先マスタ!$E$5:$E$204,MATCH(C225,取引先マスタ!$A$5:$A$204,0)),MIN(INDEX(取引先マスタ!$F$5:$F$204,MATCH(C225,取引先マスタ!$A$5:$A$204,0)),DAY(EOMONTH(B225,INDEX(取引先マスタ!$E$5:$E$204,MATCH(C225,取引先マスタ!$A$5:$A$204,0))))))),""))</f>
        <v/>
      </c>
      <c r="H225" s="22"/>
      <c r="I225" s="25" t="str">
        <f aca="false">IF(H225&lt;&gt;"",H225,G225)</f>
        <v/>
      </c>
      <c r="J225" s="26"/>
      <c r="K225" s="22"/>
      <c r="L225" s="26"/>
      <c r="M225" s="27" t="str">
        <f aca="false">IF(A225="","",SUMIF(入金明細!$F$5:$F$1004,A225,入金明細!$E$5:$E$1004))</f>
        <v/>
      </c>
      <c r="N225" s="25" t="str">
        <f aca="false">IF(OR(A225="",N(M225)=0),"",SUMPRODUCT(MAX((入金明細!$F$5:$F$1004=A225)*入金明細!$B$5:$B$1004)))</f>
        <v/>
      </c>
      <c r="O225" s="18"/>
      <c r="P225" s="27" t="str">
        <f aca="false">IF(OR(A225="",F225=""),"",F225-N(M225)-N(O225))</f>
        <v/>
      </c>
      <c r="Q225" s="26"/>
      <c r="R225" s="28" t="str">
        <f aca="false">IF(A225="","",IF(Q225="取消","取消",IF(T225&lt;&gt;"","要入力",IF(K225="","未送付",IF(P225=0,"入金済",IF(P225&lt;0,"過入金",IF(設定!$C$5&gt;I225,IF(N(M225)&gt;0,"一部入金・超過","期日超過"),IF(N(M225)&gt;0,"一部入金",IF(I225-設定!$C$5&lt;=設定!$C$6,"期日間近","入金待ち")))))))))</f>
        <v/>
      </c>
      <c r="S225" s="29" t="str">
        <f aca="false">IF(OR(R225="期日超過",R225="一部入金・超過"),設定!$C$5-I225,"")</f>
        <v/>
      </c>
      <c r="T225" s="21" t="str">
        <f aca="false">IF(A225="","",TRIM(IF(B225="","請求日 ","")&amp;IF(C225="","取引先 ",IF(D225="コード誤り","取引先コード誤り ",""))&amp;IF(E225="","件名 ","")&amp;IF(F225="","請求額 ","")&amp;IF(AND(F225&lt;&gt;"",I225=""),"入金期日(マスタの支払条件が未登録) ","")&amp;IF(J225="","送付方法 ","")&amp;IF(AND(K225&lt;&gt;"",L225=""),"送付者 ","")&amp;IF(AND(K225&lt;&gt;"",N(K225)&gt;設定!$C$5),"送付日が未来の日付 ","")&amp;IF(AND(K225&lt;&gt;"",N(M225)&gt;0,N(P225)&lt;=0,U225=""),"消込確認者 ","")))</f>
        <v/>
      </c>
      <c r="U225" s="26"/>
      <c r="V225" s="26"/>
    </row>
    <row r="226" customFormat="false" ht="15" hidden="false" customHeight="false" outlineLevel="0" collapsed="false">
      <c r="A226" s="21" t="str">
        <f aca="false">IF(COUNTA(B226,C226,E226,F226)=0,"",設定!$C$4&amp;TEXT(ROW()-4,"00000"))</f>
        <v/>
      </c>
      <c r="B226" s="22"/>
      <c r="C226" s="23"/>
      <c r="D226" s="21" t="str">
        <f aca="false">IF(C226="","",IFERROR(INDEX(取引先マスタ!$B$5:$B$204,MATCH(C226,取引先マスタ!$A$5:$A$204,0)),"コード誤り"))</f>
        <v/>
      </c>
      <c r="E226" s="26"/>
      <c r="F226" s="18"/>
      <c r="G226" s="25" t="str">
        <f aca="false">IF(OR(B226="",C226="",D226="コード誤り"),"",IFERROR(IF(OR(INDEX(取引先マスタ!$E$5:$E$204,MATCH(C226,取引先マスタ!$A$5:$A$204,0))="",INDEX(取引先マスタ!$F$5:$F$204,MATCH(C226,取引先マスタ!$A$5:$A$204,0))=""),"",DATE(YEAR(B226),MONTH(B226)+INDEX(取引先マスタ!$E$5:$E$204,MATCH(C226,取引先マスタ!$A$5:$A$204,0)),MIN(INDEX(取引先マスタ!$F$5:$F$204,MATCH(C226,取引先マスタ!$A$5:$A$204,0)),DAY(EOMONTH(B226,INDEX(取引先マスタ!$E$5:$E$204,MATCH(C226,取引先マスタ!$A$5:$A$204,0))))))),""))</f>
        <v/>
      </c>
      <c r="H226" s="22"/>
      <c r="I226" s="25" t="str">
        <f aca="false">IF(H226&lt;&gt;"",H226,G226)</f>
        <v/>
      </c>
      <c r="J226" s="26"/>
      <c r="K226" s="22"/>
      <c r="L226" s="26"/>
      <c r="M226" s="27" t="str">
        <f aca="false">IF(A226="","",SUMIF(入金明細!$F$5:$F$1004,A226,入金明細!$E$5:$E$1004))</f>
        <v/>
      </c>
      <c r="N226" s="25" t="str">
        <f aca="false">IF(OR(A226="",N(M226)=0),"",SUMPRODUCT(MAX((入金明細!$F$5:$F$1004=A226)*入金明細!$B$5:$B$1004)))</f>
        <v/>
      </c>
      <c r="O226" s="18"/>
      <c r="P226" s="27" t="str">
        <f aca="false">IF(OR(A226="",F226=""),"",F226-N(M226)-N(O226))</f>
        <v/>
      </c>
      <c r="Q226" s="26"/>
      <c r="R226" s="28" t="str">
        <f aca="false">IF(A226="","",IF(Q226="取消","取消",IF(T226&lt;&gt;"","要入力",IF(K226="","未送付",IF(P226=0,"入金済",IF(P226&lt;0,"過入金",IF(設定!$C$5&gt;I226,IF(N(M226)&gt;0,"一部入金・超過","期日超過"),IF(N(M226)&gt;0,"一部入金",IF(I226-設定!$C$5&lt;=設定!$C$6,"期日間近","入金待ち")))))))))</f>
        <v/>
      </c>
      <c r="S226" s="29" t="str">
        <f aca="false">IF(OR(R226="期日超過",R226="一部入金・超過"),設定!$C$5-I226,"")</f>
        <v/>
      </c>
      <c r="T226" s="21" t="str">
        <f aca="false">IF(A226="","",TRIM(IF(B226="","請求日 ","")&amp;IF(C226="","取引先 ",IF(D226="コード誤り","取引先コード誤り ",""))&amp;IF(E226="","件名 ","")&amp;IF(F226="","請求額 ","")&amp;IF(AND(F226&lt;&gt;"",I226=""),"入金期日(マスタの支払条件が未登録) ","")&amp;IF(J226="","送付方法 ","")&amp;IF(AND(K226&lt;&gt;"",L226=""),"送付者 ","")&amp;IF(AND(K226&lt;&gt;"",N(K226)&gt;設定!$C$5),"送付日が未来の日付 ","")&amp;IF(AND(K226&lt;&gt;"",N(M226)&gt;0,N(P226)&lt;=0,U226=""),"消込確認者 ","")))</f>
        <v/>
      </c>
      <c r="U226" s="26"/>
      <c r="V226" s="26"/>
    </row>
    <row r="227" customFormat="false" ht="15" hidden="false" customHeight="false" outlineLevel="0" collapsed="false">
      <c r="A227" s="21" t="str">
        <f aca="false">IF(COUNTA(B227,C227,E227,F227)=0,"",設定!$C$4&amp;TEXT(ROW()-4,"00000"))</f>
        <v/>
      </c>
      <c r="B227" s="22"/>
      <c r="C227" s="23"/>
      <c r="D227" s="21" t="str">
        <f aca="false">IF(C227="","",IFERROR(INDEX(取引先マスタ!$B$5:$B$204,MATCH(C227,取引先マスタ!$A$5:$A$204,0)),"コード誤り"))</f>
        <v/>
      </c>
      <c r="E227" s="26"/>
      <c r="F227" s="18"/>
      <c r="G227" s="25" t="str">
        <f aca="false">IF(OR(B227="",C227="",D227="コード誤り"),"",IFERROR(IF(OR(INDEX(取引先マスタ!$E$5:$E$204,MATCH(C227,取引先マスタ!$A$5:$A$204,0))="",INDEX(取引先マスタ!$F$5:$F$204,MATCH(C227,取引先マスタ!$A$5:$A$204,0))=""),"",DATE(YEAR(B227),MONTH(B227)+INDEX(取引先マスタ!$E$5:$E$204,MATCH(C227,取引先マスタ!$A$5:$A$204,0)),MIN(INDEX(取引先マスタ!$F$5:$F$204,MATCH(C227,取引先マスタ!$A$5:$A$204,0)),DAY(EOMONTH(B227,INDEX(取引先マスタ!$E$5:$E$204,MATCH(C227,取引先マスタ!$A$5:$A$204,0))))))),""))</f>
        <v/>
      </c>
      <c r="H227" s="22"/>
      <c r="I227" s="25" t="str">
        <f aca="false">IF(H227&lt;&gt;"",H227,G227)</f>
        <v/>
      </c>
      <c r="J227" s="26"/>
      <c r="K227" s="22"/>
      <c r="L227" s="26"/>
      <c r="M227" s="27" t="str">
        <f aca="false">IF(A227="","",SUMIF(入金明細!$F$5:$F$1004,A227,入金明細!$E$5:$E$1004))</f>
        <v/>
      </c>
      <c r="N227" s="25" t="str">
        <f aca="false">IF(OR(A227="",N(M227)=0),"",SUMPRODUCT(MAX((入金明細!$F$5:$F$1004=A227)*入金明細!$B$5:$B$1004)))</f>
        <v/>
      </c>
      <c r="O227" s="18"/>
      <c r="P227" s="27" t="str">
        <f aca="false">IF(OR(A227="",F227=""),"",F227-N(M227)-N(O227))</f>
        <v/>
      </c>
      <c r="Q227" s="26"/>
      <c r="R227" s="28" t="str">
        <f aca="false">IF(A227="","",IF(Q227="取消","取消",IF(T227&lt;&gt;"","要入力",IF(K227="","未送付",IF(P227=0,"入金済",IF(P227&lt;0,"過入金",IF(設定!$C$5&gt;I227,IF(N(M227)&gt;0,"一部入金・超過","期日超過"),IF(N(M227)&gt;0,"一部入金",IF(I227-設定!$C$5&lt;=設定!$C$6,"期日間近","入金待ち")))))))))</f>
        <v/>
      </c>
      <c r="S227" s="29" t="str">
        <f aca="false">IF(OR(R227="期日超過",R227="一部入金・超過"),設定!$C$5-I227,"")</f>
        <v/>
      </c>
      <c r="T227" s="21" t="str">
        <f aca="false">IF(A227="","",TRIM(IF(B227="","請求日 ","")&amp;IF(C227="","取引先 ",IF(D227="コード誤り","取引先コード誤り ",""))&amp;IF(E227="","件名 ","")&amp;IF(F227="","請求額 ","")&amp;IF(AND(F227&lt;&gt;"",I227=""),"入金期日(マスタの支払条件が未登録) ","")&amp;IF(J227="","送付方法 ","")&amp;IF(AND(K227&lt;&gt;"",L227=""),"送付者 ","")&amp;IF(AND(K227&lt;&gt;"",N(K227)&gt;設定!$C$5),"送付日が未来の日付 ","")&amp;IF(AND(K227&lt;&gt;"",N(M227)&gt;0,N(P227)&lt;=0,U227=""),"消込確認者 ","")))</f>
        <v/>
      </c>
      <c r="U227" s="26"/>
      <c r="V227" s="26"/>
    </row>
    <row r="228" customFormat="false" ht="15" hidden="false" customHeight="false" outlineLevel="0" collapsed="false">
      <c r="A228" s="21" t="str">
        <f aca="false">IF(COUNTA(B228,C228,E228,F228)=0,"",設定!$C$4&amp;TEXT(ROW()-4,"00000"))</f>
        <v/>
      </c>
      <c r="B228" s="22"/>
      <c r="C228" s="23"/>
      <c r="D228" s="21" t="str">
        <f aca="false">IF(C228="","",IFERROR(INDEX(取引先マスタ!$B$5:$B$204,MATCH(C228,取引先マスタ!$A$5:$A$204,0)),"コード誤り"))</f>
        <v/>
      </c>
      <c r="E228" s="26"/>
      <c r="F228" s="18"/>
      <c r="G228" s="25" t="str">
        <f aca="false">IF(OR(B228="",C228="",D228="コード誤り"),"",IFERROR(IF(OR(INDEX(取引先マスタ!$E$5:$E$204,MATCH(C228,取引先マスタ!$A$5:$A$204,0))="",INDEX(取引先マスタ!$F$5:$F$204,MATCH(C228,取引先マスタ!$A$5:$A$204,0))=""),"",DATE(YEAR(B228),MONTH(B228)+INDEX(取引先マスタ!$E$5:$E$204,MATCH(C228,取引先マスタ!$A$5:$A$204,0)),MIN(INDEX(取引先マスタ!$F$5:$F$204,MATCH(C228,取引先マスタ!$A$5:$A$204,0)),DAY(EOMONTH(B228,INDEX(取引先マスタ!$E$5:$E$204,MATCH(C228,取引先マスタ!$A$5:$A$204,0))))))),""))</f>
        <v/>
      </c>
      <c r="H228" s="22"/>
      <c r="I228" s="25" t="str">
        <f aca="false">IF(H228&lt;&gt;"",H228,G228)</f>
        <v/>
      </c>
      <c r="J228" s="26"/>
      <c r="K228" s="22"/>
      <c r="L228" s="26"/>
      <c r="M228" s="27" t="str">
        <f aca="false">IF(A228="","",SUMIF(入金明細!$F$5:$F$1004,A228,入金明細!$E$5:$E$1004))</f>
        <v/>
      </c>
      <c r="N228" s="25" t="str">
        <f aca="false">IF(OR(A228="",N(M228)=0),"",SUMPRODUCT(MAX((入金明細!$F$5:$F$1004=A228)*入金明細!$B$5:$B$1004)))</f>
        <v/>
      </c>
      <c r="O228" s="18"/>
      <c r="P228" s="27" t="str">
        <f aca="false">IF(OR(A228="",F228=""),"",F228-N(M228)-N(O228))</f>
        <v/>
      </c>
      <c r="Q228" s="26"/>
      <c r="R228" s="28" t="str">
        <f aca="false">IF(A228="","",IF(Q228="取消","取消",IF(T228&lt;&gt;"","要入力",IF(K228="","未送付",IF(P228=0,"入金済",IF(P228&lt;0,"過入金",IF(設定!$C$5&gt;I228,IF(N(M228)&gt;0,"一部入金・超過","期日超過"),IF(N(M228)&gt;0,"一部入金",IF(I228-設定!$C$5&lt;=設定!$C$6,"期日間近","入金待ち")))))))))</f>
        <v/>
      </c>
      <c r="S228" s="29" t="str">
        <f aca="false">IF(OR(R228="期日超過",R228="一部入金・超過"),設定!$C$5-I228,"")</f>
        <v/>
      </c>
      <c r="T228" s="21" t="str">
        <f aca="false">IF(A228="","",TRIM(IF(B228="","請求日 ","")&amp;IF(C228="","取引先 ",IF(D228="コード誤り","取引先コード誤り ",""))&amp;IF(E228="","件名 ","")&amp;IF(F228="","請求額 ","")&amp;IF(AND(F228&lt;&gt;"",I228=""),"入金期日(マスタの支払条件が未登録) ","")&amp;IF(J228="","送付方法 ","")&amp;IF(AND(K228&lt;&gt;"",L228=""),"送付者 ","")&amp;IF(AND(K228&lt;&gt;"",N(K228)&gt;設定!$C$5),"送付日が未来の日付 ","")&amp;IF(AND(K228&lt;&gt;"",N(M228)&gt;0,N(P228)&lt;=0,U228=""),"消込確認者 ","")))</f>
        <v/>
      </c>
      <c r="U228" s="26"/>
      <c r="V228" s="26"/>
    </row>
    <row r="229" customFormat="false" ht="15" hidden="false" customHeight="false" outlineLevel="0" collapsed="false">
      <c r="A229" s="21" t="str">
        <f aca="false">IF(COUNTA(B229,C229,E229,F229)=0,"",設定!$C$4&amp;TEXT(ROW()-4,"00000"))</f>
        <v/>
      </c>
      <c r="B229" s="22"/>
      <c r="C229" s="23"/>
      <c r="D229" s="21" t="str">
        <f aca="false">IF(C229="","",IFERROR(INDEX(取引先マスタ!$B$5:$B$204,MATCH(C229,取引先マスタ!$A$5:$A$204,0)),"コード誤り"))</f>
        <v/>
      </c>
      <c r="E229" s="26"/>
      <c r="F229" s="18"/>
      <c r="G229" s="25" t="str">
        <f aca="false">IF(OR(B229="",C229="",D229="コード誤り"),"",IFERROR(IF(OR(INDEX(取引先マスタ!$E$5:$E$204,MATCH(C229,取引先マスタ!$A$5:$A$204,0))="",INDEX(取引先マスタ!$F$5:$F$204,MATCH(C229,取引先マスタ!$A$5:$A$204,0))=""),"",DATE(YEAR(B229),MONTH(B229)+INDEX(取引先マスタ!$E$5:$E$204,MATCH(C229,取引先マスタ!$A$5:$A$204,0)),MIN(INDEX(取引先マスタ!$F$5:$F$204,MATCH(C229,取引先マスタ!$A$5:$A$204,0)),DAY(EOMONTH(B229,INDEX(取引先マスタ!$E$5:$E$204,MATCH(C229,取引先マスタ!$A$5:$A$204,0))))))),""))</f>
        <v/>
      </c>
      <c r="H229" s="22"/>
      <c r="I229" s="25" t="str">
        <f aca="false">IF(H229&lt;&gt;"",H229,G229)</f>
        <v/>
      </c>
      <c r="J229" s="26"/>
      <c r="K229" s="22"/>
      <c r="L229" s="26"/>
      <c r="M229" s="27" t="str">
        <f aca="false">IF(A229="","",SUMIF(入金明細!$F$5:$F$1004,A229,入金明細!$E$5:$E$1004))</f>
        <v/>
      </c>
      <c r="N229" s="25" t="str">
        <f aca="false">IF(OR(A229="",N(M229)=0),"",SUMPRODUCT(MAX((入金明細!$F$5:$F$1004=A229)*入金明細!$B$5:$B$1004)))</f>
        <v/>
      </c>
      <c r="O229" s="18"/>
      <c r="P229" s="27" t="str">
        <f aca="false">IF(OR(A229="",F229=""),"",F229-N(M229)-N(O229))</f>
        <v/>
      </c>
      <c r="Q229" s="26"/>
      <c r="R229" s="28" t="str">
        <f aca="false">IF(A229="","",IF(Q229="取消","取消",IF(T229&lt;&gt;"","要入力",IF(K229="","未送付",IF(P229=0,"入金済",IF(P229&lt;0,"過入金",IF(設定!$C$5&gt;I229,IF(N(M229)&gt;0,"一部入金・超過","期日超過"),IF(N(M229)&gt;0,"一部入金",IF(I229-設定!$C$5&lt;=設定!$C$6,"期日間近","入金待ち")))))))))</f>
        <v/>
      </c>
      <c r="S229" s="29" t="str">
        <f aca="false">IF(OR(R229="期日超過",R229="一部入金・超過"),設定!$C$5-I229,"")</f>
        <v/>
      </c>
      <c r="T229" s="21" t="str">
        <f aca="false">IF(A229="","",TRIM(IF(B229="","請求日 ","")&amp;IF(C229="","取引先 ",IF(D229="コード誤り","取引先コード誤り ",""))&amp;IF(E229="","件名 ","")&amp;IF(F229="","請求額 ","")&amp;IF(AND(F229&lt;&gt;"",I229=""),"入金期日(マスタの支払条件が未登録) ","")&amp;IF(J229="","送付方法 ","")&amp;IF(AND(K229&lt;&gt;"",L229=""),"送付者 ","")&amp;IF(AND(K229&lt;&gt;"",N(K229)&gt;設定!$C$5),"送付日が未来の日付 ","")&amp;IF(AND(K229&lt;&gt;"",N(M229)&gt;0,N(P229)&lt;=0,U229=""),"消込確認者 ","")))</f>
        <v/>
      </c>
      <c r="U229" s="26"/>
      <c r="V229" s="26"/>
    </row>
    <row r="230" customFormat="false" ht="15" hidden="false" customHeight="false" outlineLevel="0" collapsed="false">
      <c r="A230" s="21" t="str">
        <f aca="false">IF(COUNTA(B230,C230,E230,F230)=0,"",設定!$C$4&amp;TEXT(ROW()-4,"00000"))</f>
        <v/>
      </c>
      <c r="B230" s="22"/>
      <c r="C230" s="23"/>
      <c r="D230" s="21" t="str">
        <f aca="false">IF(C230="","",IFERROR(INDEX(取引先マスタ!$B$5:$B$204,MATCH(C230,取引先マスタ!$A$5:$A$204,0)),"コード誤り"))</f>
        <v/>
      </c>
      <c r="E230" s="26"/>
      <c r="F230" s="18"/>
      <c r="G230" s="25" t="str">
        <f aca="false">IF(OR(B230="",C230="",D230="コード誤り"),"",IFERROR(IF(OR(INDEX(取引先マスタ!$E$5:$E$204,MATCH(C230,取引先マスタ!$A$5:$A$204,0))="",INDEX(取引先マスタ!$F$5:$F$204,MATCH(C230,取引先マスタ!$A$5:$A$204,0))=""),"",DATE(YEAR(B230),MONTH(B230)+INDEX(取引先マスタ!$E$5:$E$204,MATCH(C230,取引先マスタ!$A$5:$A$204,0)),MIN(INDEX(取引先マスタ!$F$5:$F$204,MATCH(C230,取引先マスタ!$A$5:$A$204,0)),DAY(EOMONTH(B230,INDEX(取引先マスタ!$E$5:$E$204,MATCH(C230,取引先マスタ!$A$5:$A$204,0))))))),""))</f>
        <v/>
      </c>
      <c r="H230" s="22"/>
      <c r="I230" s="25" t="str">
        <f aca="false">IF(H230&lt;&gt;"",H230,G230)</f>
        <v/>
      </c>
      <c r="J230" s="26"/>
      <c r="K230" s="22"/>
      <c r="L230" s="26"/>
      <c r="M230" s="27" t="str">
        <f aca="false">IF(A230="","",SUMIF(入金明細!$F$5:$F$1004,A230,入金明細!$E$5:$E$1004))</f>
        <v/>
      </c>
      <c r="N230" s="25" t="str">
        <f aca="false">IF(OR(A230="",N(M230)=0),"",SUMPRODUCT(MAX((入金明細!$F$5:$F$1004=A230)*入金明細!$B$5:$B$1004)))</f>
        <v/>
      </c>
      <c r="O230" s="18"/>
      <c r="P230" s="27" t="str">
        <f aca="false">IF(OR(A230="",F230=""),"",F230-N(M230)-N(O230))</f>
        <v/>
      </c>
      <c r="Q230" s="26"/>
      <c r="R230" s="28" t="str">
        <f aca="false">IF(A230="","",IF(Q230="取消","取消",IF(T230&lt;&gt;"","要入力",IF(K230="","未送付",IF(P230=0,"入金済",IF(P230&lt;0,"過入金",IF(設定!$C$5&gt;I230,IF(N(M230)&gt;0,"一部入金・超過","期日超過"),IF(N(M230)&gt;0,"一部入金",IF(I230-設定!$C$5&lt;=設定!$C$6,"期日間近","入金待ち")))))))))</f>
        <v/>
      </c>
      <c r="S230" s="29" t="str">
        <f aca="false">IF(OR(R230="期日超過",R230="一部入金・超過"),設定!$C$5-I230,"")</f>
        <v/>
      </c>
      <c r="T230" s="21" t="str">
        <f aca="false">IF(A230="","",TRIM(IF(B230="","請求日 ","")&amp;IF(C230="","取引先 ",IF(D230="コード誤り","取引先コード誤り ",""))&amp;IF(E230="","件名 ","")&amp;IF(F230="","請求額 ","")&amp;IF(AND(F230&lt;&gt;"",I230=""),"入金期日(マスタの支払条件が未登録) ","")&amp;IF(J230="","送付方法 ","")&amp;IF(AND(K230&lt;&gt;"",L230=""),"送付者 ","")&amp;IF(AND(K230&lt;&gt;"",N(K230)&gt;設定!$C$5),"送付日が未来の日付 ","")&amp;IF(AND(K230&lt;&gt;"",N(M230)&gt;0,N(P230)&lt;=0,U230=""),"消込確認者 ","")))</f>
        <v/>
      </c>
      <c r="U230" s="26"/>
      <c r="V230" s="26"/>
    </row>
    <row r="231" customFormat="false" ht="15" hidden="false" customHeight="false" outlineLevel="0" collapsed="false">
      <c r="A231" s="21" t="str">
        <f aca="false">IF(COUNTA(B231,C231,E231,F231)=0,"",設定!$C$4&amp;TEXT(ROW()-4,"00000"))</f>
        <v/>
      </c>
      <c r="B231" s="22"/>
      <c r="C231" s="23"/>
      <c r="D231" s="21" t="str">
        <f aca="false">IF(C231="","",IFERROR(INDEX(取引先マスタ!$B$5:$B$204,MATCH(C231,取引先マスタ!$A$5:$A$204,0)),"コード誤り"))</f>
        <v/>
      </c>
      <c r="E231" s="26"/>
      <c r="F231" s="18"/>
      <c r="G231" s="25" t="str">
        <f aca="false">IF(OR(B231="",C231="",D231="コード誤り"),"",IFERROR(IF(OR(INDEX(取引先マスタ!$E$5:$E$204,MATCH(C231,取引先マスタ!$A$5:$A$204,0))="",INDEX(取引先マスタ!$F$5:$F$204,MATCH(C231,取引先マスタ!$A$5:$A$204,0))=""),"",DATE(YEAR(B231),MONTH(B231)+INDEX(取引先マスタ!$E$5:$E$204,MATCH(C231,取引先マスタ!$A$5:$A$204,0)),MIN(INDEX(取引先マスタ!$F$5:$F$204,MATCH(C231,取引先マスタ!$A$5:$A$204,0)),DAY(EOMONTH(B231,INDEX(取引先マスタ!$E$5:$E$204,MATCH(C231,取引先マスタ!$A$5:$A$204,0))))))),""))</f>
        <v/>
      </c>
      <c r="H231" s="22"/>
      <c r="I231" s="25" t="str">
        <f aca="false">IF(H231&lt;&gt;"",H231,G231)</f>
        <v/>
      </c>
      <c r="J231" s="26"/>
      <c r="K231" s="22"/>
      <c r="L231" s="26"/>
      <c r="M231" s="27" t="str">
        <f aca="false">IF(A231="","",SUMIF(入金明細!$F$5:$F$1004,A231,入金明細!$E$5:$E$1004))</f>
        <v/>
      </c>
      <c r="N231" s="25" t="str">
        <f aca="false">IF(OR(A231="",N(M231)=0),"",SUMPRODUCT(MAX((入金明細!$F$5:$F$1004=A231)*入金明細!$B$5:$B$1004)))</f>
        <v/>
      </c>
      <c r="O231" s="18"/>
      <c r="P231" s="27" t="str">
        <f aca="false">IF(OR(A231="",F231=""),"",F231-N(M231)-N(O231))</f>
        <v/>
      </c>
      <c r="Q231" s="26"/>
      <c r="R231" s="28" t="str">
        <f aca="false">IF(A231="","",IF(Q231="取消","取消",IF(T231&lt;&gt;"","要入力",IF(K231="","未送付",IF(P231=0,"入金済",IF(P231&lt;0,"過入金",IF(設定!$C$5&gt;I231,IF(N(M231)&gt;0,"一部入金・超過","期日超過"),IF(N(M231)&gt;0,"一部入金",IF(I231-設定!$C$5&lt;=設定!$C$6,"期日間近","入金待ち")))))))))</f>
        <v/>
      </c>
      <c r="S231" s="29" t="str">
        <f aca="false">IF(OR(R231="期日超過",R231="一部入金・超過"),設定!$C$5-I231,"")</f>
        <v/>
      </c>
      <c r="T231" s="21" t="str">
        <f aca="false">IF(A231="","",TRIM(IF(B231="","請求日 ","")&amp;IF(C231="","取引先 ",IF(D231="コード誤り","取引先コード誤り ",""))&amp;IF(E231="","件名 ","")&amp;IF(F231="","請求額 ","")&amp;IF(AND(F231&lt;&gt;"",I231=""),"入金期日(マスタの支払条件が未登録) ","")&amp;IF(J231="","送付方法 ","")&amp;IF(AND(K231&lt;&gt;"",L231=""),"送付者 ","")&amp;IF(AND(K231&lt;&gt;"",N(K231)&gt;設定!$C$5),"送付日が未来の日付 ","")&amp;IF(AND(K231&lt;&gt;"",N(M231)&gt;0,N(P231)&lt;=0,U231=""),"消込確認者 ","")))</f>
        <v/>
      </c>
      <c r="U231" s="26"/>
      <c r="V231" s="26"/>
    </row>
    <row r="232" customFormat="false" ht="15" hidden="false" customHeight="false" outlineLevel="0" collapsed="false">
      <c r="A232" s="21" t="str">
        <f aca="false">IF(COUNTA(B232,C232,E232,F232)=0,"",設定!$C$4&amp;TEXT(ROW()-4,"00000"))</f>
        <v/>
      </c>
      <c r="B232" s="22"/>
      <c r="C232" s="23"/>
      <c r="D232" s="21" t="str">
        <f aca="false">IF(C232="","",IFERROR(INDEX(取引先マスタ!$B$5:$B$204,MATCH(C232,取引先マスタ!$A$5:$A$204,0)),"コード誤り"))</f>
        <v/>
      </c>
      <c r="E232" s="26"/>
      <c r="F232" s="18"/>
      <c r="G232" s="25" t="str">
        <f aca="false">IF(OR(B232="",C232="",D232="コード誤り"),"",IFERROR(IF(OR(INDEX(取引先マスタ!$E$5:$E$204,MATCH(C232,取引先マスタ!$A$5:$A$204,0))="",INDEX(取引先マスタ!$F$5:$F$204,MATCH(C232,取引先マスタ!$A$5:$A$204,0))=""),"",DATE(YEAR(B232),MONTH(B232)+INDEX(取引先マスタ!$E$5:$E$204,MATCH(C232,取引先マスタ!$A$5:$A$204,0)),MIN(INDEX(取引先マスタ!$F$5:$F$204,MATCH(C232,取引先マスタ!$A$5:$A$204,0)),DAY(EOMONTH(B232,INDEX(取引先マスタ!$E$5:$E$204,MATCH(C232,取引先マスタ!$A$5:$A$204,0))))))),""))</f>
        <v/>
      </c>
      <c r="H232" s="22"/>
      <c r="I232" s="25" t="str">
        <f aca="false">IF(H232&lt;&gt;"",H232,G232)</f>
        <v/>
      </c>
      <c r="J232" s="26"/>
      <c r="K232" s="22"/>
      <c r="L232" s="26"/>
      <c r="M232" s="27" t="str">
        <f aca="false">IF(A232="","",SUMIF(入金明細!$F$5:$F$1004,A232,入金明細!$E$5:$E$1004))</f>
        <v/>
      </c>
      <c r="N232" s="25" t="str">
        <f aca="false">IF(OR(A232="",N(M232)=0),"",SUMPRODUCT(MAX((入金明細!$F$5:$F$1004=A232)*入金明細!$B$5:$B$1004)))</f>
        <v/>
      </c>
      <c r="O232" s="18"/>
      <c r="P232" s="27" t="str">
        <f aca="false">IF(OR(A232="",F232=""),"",F232-N(M232)-N(O232))</f>
        <v/>
      </c>
      <c r="Q232" s="26"/>
      <c r="R232" s="28" t="str">
        <f aca="false">IF(A232="","",IF(Q232="取消","取消",IF(T232&lt;&gt;"","要入力",IF(K232="","未送付",IF(P232=0,"入金済",IF(P232&lt;0,"過入金",IF(設定!$C$5&gt;I232,IF(N(M232)&gt;0,"一部入金・超過","期日超過"),IF(N(M232)&gt;0,"一部入金",IF(I232-設定!$C$5&lt;=設定!$C$6,"期日間近","入金待ち")))))))))</f>
        <v/>
      </c>
      <c r="S232" s="29" t="str">
        <f aca="false">IF(OR(R232="期日超過",R232="一部入金・超過"),設定!$C$5-I232,"")</f>
        <v/>
      </c>
      <c r="T232" s="21" t="str">
        <f aca="false">IF(A232="","",TRIM(IF(B232="","請求日 ","")&amp;IF(C232="","取引先 ",IF(D232="コード誤り","取引先コード誤り ",""))&amp;IF(E232="","件名 ","")&amp;IF(F232="","請求額 ","")&amp;IF(AND(F232&lt;&gt;"",I232=""),"入金期日(マスタの支払条件が未登録) ","")&amp;IF(J232="","送付方法 ","")&amp;IF(AND(K232&lt;&gt;"",L232=""),"送付者 ","")&amp;IF(AND(K232&lt;&gt;"",N(K232)&gt;設定!$C$5),"送付日が未来の日付 ","")&amp;IF(AND(K232&lt;&gt;"",N(M232)&gt;0,N(P232)&lt;=0,U232=""),"消込確認者 ","")))</f>
        <v/>
      </c>
      <c r="U232" s="26"/>
      <c r="V232" s="26"/>
    </row>
    <row r="233" customFormat="false" ht="15" hidden="false" customHeight="false" outlineLevel="0" collapsed="false">
      <c r="A233" s="21" t="str">
        <f aca="false">IF(COUNTA(B233,C233,E233,F233)=0,"",設定!$C$4&amp;TEXT(ROW()-4,"00000"))</f>
        <v/>
      </c>
      <c r="B233" s="22"/>
      <c r="C233" s="23"/>
      <c r="D233" s="21" t="str">
        <f aca="false">IF(C233="","",IFERROR(INDEX(取引先マスタ!$B$5:$B$204,MATCH(C233,取引先マスタ!$A$5:$A$204,0)),"コード誤り"))</f>
        <v/>
      </c>
      <c r="E233" s="26"/>
      <c r="F233" s="18"/>
      <c r="G233" s="25" t="str">
        <f aca="false">IF(OR(B233="",C233="",D233="コード誤り"),"",IFERROR(IF(OR(INDEX(取引先マスタ!$E$5:$E$204,MATCH(C233,取引先マスタ!$A$5:$A$204,0))="",INDEX(取引先マスタ!$F$5:$F$204,MATCH(C233,取引先マスタ!$A$5:$A$204,0))=""),"",DATE(YEAR(B233),MONTH(B233)+INDEX(取引先マスタ!$E$5:$E$204,MATCH(C233,取引先マスタ!$A$5:$A$204,0)),MIN(INDEX(取引先マスタ!$F$5:$F$204,MATCH(C233,取引先マスタ!$A$5:$A$204,0)),DAY(EOMONTH(B233,INDEX(取引先マスタ!$E$5:$E$204,MATCH(C233,取引先マスタ!$A$5:$A$204,0))))))),""))</f>
        <v/>
      </c>
      <c r="H233" s="22"/>
      <c r="I233" s="25" t="str">
        <f aca="false">IF(H233&lt;&gt;"",H233,G233)</f>
        <v/>
      </c>
      <c r="J233" s="26"/>
      <c r="K233" s="22"/>
      <c r="L233" s="26"/>
      <c r="M233" s="27" t="str">
        <f aca="false">IF(A233="","",SUMIF(入金明細!$F$5:$F$1004,A233,入金明細!$E$5:$E$1004))</f>
        <v/>
      </c>
      <c r="N233" s="25" t="str">
        <f aca="false">IF(OR(A233="",N(M233)=0),"",SUMPRODUCT(MAX((入金明細!$F$5:$F$1004=A233)*入金明細!$B$5:$B$1004)))</f>
        <v/>
      </c>
      <c r="O233" s="18"/>
      <c r="P233" s="27" t="str">
        <f aca="false">IF(OR(A233="",F233=""),"",F233-N(M233)-N(O233))</f>
        <v/>
      </c>
      <c r="Q233" s="26"/>
      <c r="R233" s="28" t="str">
        <f aca="false">IF(A233="","",IF(Q233="取消","取消",IF(T233&lt;&gt;"","要入力",IF(K233="","未送付",IF(P233=0,"入金済",IF(P233&lt;0,"過入金",IF(設定!$C$5&gt;I233,IF(N(M233)&gt;0,"一部入金・超過","期日超過"),IF(N(M233)&gt;0,"一部入金",IF(I233-設定!$C$5&lt;=設定!$C$6,"期日間近","入金待ち")))))))))</f>
        <v/>
      </c>
      <c r="S233" s="29" t="str">
        <f aca="false">IF(OR(R233="期日超過",R233="一部入金・超過"),設定!$C$5-I233,"")</f>
        <v/>
      </c>
      <c r="T233" s="21" t="str">
        <f aca="false">IF(A233="","",TRIM(IF(B233="","請求日 ","")&amp;IF(C233="","取引先 ",IF(D233="コード誤り","取引先コード誤り ",""))&amp;IF(E233="","件名 ","")&amp;IF(F233="","請求額 ","")&amp;IF(AND(F233&lt;&gt;"",I233=""),"入金期日(マスタの支払条件が未登録) ","")&amp;IF(J233="","送付方法 ","")&amp;IF(AND(K233&lt;&gt;"",L233=""),"送付者 ","")&amp;IF(AND(K233&lt;&gt;"",N(K233)&gt;設定!$C$5),"送付日が未来の日付 ","")&amp;IF(AND(K233&lt;&gt;"",N(M233)&gt;0,N(P233)&lt;=0,U233=""),"消込確認者 ","")))</f>
        <v/>
      </c>
      <c r="U233" s="26"/>
      <c r="V233" s="26"/>
    </row>
    <row r="234" customFormat="false" ht="15" hidden="false" customHeight="false" outlineLevel="0" collapsed="false">
      <c r="A234" s="21" t="str">
        <f aca="false">IF(COUNTA(B234,C234,E234,F234)=0,"",設定!$C$4&amp;TEXT(ROW()-4,"00000"))</f>
        <v/>
      </c>
      <c r="B234" s="22"/>
      <c r="C234" s="23"/>
      <c r="D234" s="21" t="str">
        <f aca="false">IF(C234="","",IFERROR(INDEX(取引先マスタ!$B$5:$B$204,MATCH(C234,取引先マスタ!$A$5:$A$204,0)),"コード誤り"))</f>
        <v/>
      </c>
      <c r="E234" s="26"/>
      <c r="F234" s="18"/>
      <c r="G234" s="25" t="str">
        <f aca="false">IF(OR(B234="",C234="",D234="コード誤り"),"",IFERROR(IF(OR(INDEX(取引先マスタ!$E$5:$E$204,MATCH(C234,取引先マスタ!$A$5:$A$204,0))="",INDEX(取引先マスタ!$F$5:$F$204,MATCH(C234,取引先マスタ!$A$5:$A$204,0))=""),"",DATE(YEAR(B234),MONTH(B234)+INDEX(取引先マスタ!$E$5:$E$204,MATCH(C234,取引先マスタ!$A$5:$A$204,0)),MIN(INDEX(取引先マスタ!$F$5:$F$204,MATCH(C234,取引先マスタ!$A$5:$A$204,0)),DAY(EOMONTH(B234,INDEX(取引先マスタ!$E$5:$E$204,MATCH(C234,取引先マスタ!$A$5:$A$204,0))))))),""))</f>
        <v/>
      </c>
      <c r="H234" s="22"/>
      <c r="I234" s="25" t="str">
        <f aca="false">IF(H234&lt;&gt;"",H234,G234)</f>
        <v/>
      </c>
      <c r="J234" s="26"/>
      <c r="K234" s="22"/>
      <c r="L234" s="26"/>
      <c r="M234" s="27" t="str">
        <f aca="false">IF(A234="","",SUMIF(入金明細!$F$5:$F$1004,A234,入金明細!$E$5:$E$1004))</f>
        <v/>
      </c>
      <c r="N234" s="25" t="str">
        <f aca="false">IF(OR(A234="",N(M234)=0),"",SUMPRODUCT(MAX((入金明細!$F$5:$F$1004=A234)*入金明細!$B$5:$B$1004)))</f>
        <v/>
      </c>
      <c r="O234" s="18"/>
      <c r="P234" s="27" t="str">
        <f aca="false">IF(OR(A234="",F234=""),"",F234-N(M234)-N(O234))</f>
        <v/>
      </c>
      <c r="Q234" s="26"/>
      <c r="R234" s="28" t="str">
        <f aca="false">IF(A234="","",IF(Q234="取消","取消",IF(T234&lt;&gt;"","要入力",IF(K234="","未送付",IF(P234=0,"入金済",IF(P234&lt;0,"過入金",IF(設定!$C$5&gt;I234,IF(N(M234)&gt;0,"一部入金・超過","期日超過"),IF(N(M234)&gt;0,"一部入金",IF(I234-設定!$C$5&lt;=設定!$C$6,"期日間近","入金待ち")))))))))</f>
        <v/>
      </c>
      <c r="S234" s="29" t="str">
        <f aca="false">IF(OR(R234="期日超過",R234="一部入金・超過"),設定!$C$5-I234,"")</f>
        <v/>
      </c>
      <c r="T234" s="21" t="str">
        <f aca="false">IF(A234="","",TRIM(IF(B234="","請求日 ","")&amp;IF(C234="","取引先 ",IF(D234="コード誤り","取引先コード誤り ",""))&amp;IF(E234="","件名 ","")&amp;IF(F234="","請求額 ","")&amp;IF(AND(F234&lt;&gt;"",I234=""),"入金期日(マスタの支払条件が未登録) ","")&amp;IF(J234="","送付方法 ","")&amp;IF(AND(K234&lt;&gt;"",L234=""),"送付者 ","")&amp;IF(AND(K234&lt;&gt;"",N(K234)&gt;設定!$C$5),"送付日が未来の日付 ","")&amp;IF(AND(K234&lt;&gt;"",N(M234)&gt;0,N(P234)&lt;=0,U234=""),"消込確認者 ","")))</f>
        <v/>
      </c>
      <c r="U234" s="26"/>
      <c r="V234" s="26"/>
    </row>
    <row r="235" customFormat="false" ht="15" hidden="false" customHeight="false" outlineLevel="0" collapsed="false">
      <c r="A235" s="21" t="str">
        <f aca="false">IF(COUNTA(B235,C235,E235,F235)=0,"",設定!$C$4&amp;TEXT(ROW()-4,"00000"))</f>
        <v/>
      </c>
      <c r="B235" s="22"/>
      <c r="C235" s="23"/>
      <c r="D235" s="21" t="str">
        <f aca="false">IF(C235="","",IFERROR(INDEX(取引先マスタ!$B$5:$B$204,MATCH(C235,取引先マスタ!$A$5:$A$204,0)),"コード誤り"))</f>
        <v/>
      </c>
      <c r="E235" s="26"/>
      <c r="F235" s="18"/>
      <c r="G235" s="25" t="str">
        <f aca="false">IF(OR(B235="",C235="",D235="コード誤り"),"",IFERROR(IF(OR(INDEX(取引先マスタ!$E$5:$E$204,MATCH(C235,取引先マスタ!$A$5:$A$204,0))="",INDEX(取引先マスタ!$F$5:$F$204,MATCH(C235,取引先マスタ!$A$5:$A$204,0))=""),"",DATE(YEAR(B235),MONTH(B235)+INDEX(取引先マスタ!$E$5:$E$204,MATCH(C235,取引先マスタ!$A$5:$A$204,0)),MIN(INDEX(取引先マスタ!$F$5:$F$204,MATCH(C235,取引先マスタ!$A$5:$A$204,0)),DAY(EOMONTH(B235,INDEX(取引先マスタ!$E$5:$E$204,MATCH(C235,取引先マスタ!$A$5:$A$204,0))))))),""))</f>
        <v/>
      </c>
      <c r="H235" s="22"/>
      <c r="I235" s="25" t="str">
        <f aca="false">IF(H235&lt;&gt;"",H235,G235)</f>
        <v/>
      </c>
      <c r="J235" s="26"/>
      <c r="K235" s="22"/>
      <c r="L235" s="26"/>
      <c r="M235" s="27" t="str">
        <f aca="false">IF(A235="","",SUMIF(入金明細!$F$5:$F$1004,A235,入金明細!$E$5:$E$1004))</f>
        <v/>
      </c>
      <c r="N235" s="25" t="str">
        <f aca="false">IF(OR(A235="",N(M235)=0),"",SUMPRODUCT(MAX((入金明細!$F$5:$F$1004=A235)*入金明細!$B$5:$B$1004)))</f>
        <v/>
      </c>
      <c r="O235" s="18"/>
      <c r="P235" s="27" t="str">
        <f aca="false">IF(OR(A235="",F235=""),"",F235-N(M235)-N(O235))</f>
        <v/>
      </c>
      <c r="Q235" s="26"/>
      <c r="R235" s="28" t="str">
        <f aca="false">IF(A235="","",IF(Q235="取消","取消",IF(T235&lt;&gt;"","要入力",IF(K235="","未送付",IF(P235=0,"入金済",IF(P235&lt;0,"過入金",IF(設定!$C$5&gt;I235,IF(N(M235)&gt;0,"一部入金・超過","期日超過"),IF(N(M235)&gt;0,"一部入金",IF(I235-設定!$C$5&lt;=設定!$C$6,"期日間近","入金待ち")))))))))</f>
        <v/>
      </c>
      <c r="S235" s="29" t="str">
        <f aca="false">IF(OR(R235="期日超過",R235="一部入金・超過"),設定!$C$5-I235,"")</f>
        <v/>
      </c>
      <c r="T235" s="21" t="str">
        <f aca="false">IF(A235="","",TRIM(IF(B235="","請求日 ","")&amp;IF(C235="","取引先 ",IF(D235="コード誤り","取引先コード誤り ",""))&amp;IF(E235="","件名 ","")&amp;IF(F235="","請求額 ","")&amp;IF(AND(F235&lt;&gt;"",I235=""),"入金期日(マスタの支払条件が未登録) ","")&amp;IF(J235="","送付方法 ","")&amp;IF(AND(K235&lt;&gt;"",L235=""),"送付者 ","")&amp;IF(AND(K235&lt;&gt;"",N(K235)&gt;設定!$C$5),"送付日が未来の日付 ","")&amp;IF(AND(K235&lt;&gt;"",N(M235)&gt;0,N(P235)&lt;=0,U235=""),"消込確認者 ","")))</f>
        <v/>
      </c>
      <c r="U235" s="26"/>
      <c r="V235" s="26"/>
    </row>
    <row r="236" customFormat="false" ht="15" hidden="false" customHeight="false" outlineLevel="0" collapsed="false">
      <c r="A236" s="21" t="str">
        <f aca="false">IF(COUNTA(B236,C236,E236,F236)=0,"",設定!$C$4&amp;TEXT(ROW()-4,"00000"))</f>
        <v/>
      </c>
      <c r="B236" s="22"/>
      <c r="C236" s="23"/>
      <c r="D236" s="21" t="str">
        <f aca="false">IF(C236="","",IFERROR(INDEX(取引先マスタ!$B$5:$B$204,MATCH(C236,取引先マスタ!$A$5:$A$204,0)),"コード誤り"))</f>
        <v/>
      </c>
      <c r="E236" s="26"/>
      <c r="F236" s="18"/>
      <c r="G236" s="25" t="str">
        <f aca="false">IF(OR(B236="",C236="",D236="コード誤り"),"",IFERROR(IF(OR(INDEX(取引先マスタ!$E$5:$E$204,MATCH(C236,取引先マスタ!$A$5:$A$204,0))="",INDEX(取引先マスタ!$F$5:$F$204,MATCH(C236,取引先マスタ!$A$5:$A$204,0))=""),"",DATE(YEAR(B236),MONTH(B236)+INDEX(取引先マスタ!$E$5:$E$204,MATCH(C236,取引先マスタ!$A$5:$A$204,0)),MIN(INDEX(取引先マスタ!$F$5:$F$204,MATCH(C236,取引先マスタ!$A$5:$A$204,0)),DAY(EOMONTH(B236,INDEX(取引先マスタ!$E$5:$E$204,MATCH(C236,取引先マスタ!$A$5:$A$204,0))))))),""))</f>
        <v/>
      </c>
      <c r="H236" s="22"/>
      <c r="I236" s="25" t="str">
        <f aca="false">IF(H236&lt;&gt;"",H236,G236)</f>
        <v/>
      </c>
      <c r="J236" s="26"/>
      <c r="K236" s="22"/>
      <c r="L236" s="26"/>
      <c r="M236" s="27" t="str">
        <f aca="false">IF(A236="","",SUMIF(入金明細!$F$5:$F$1004,A236,入金明細!$E$5:$E$1004))</f>
        <v/>
      </c>
      <c r="N236" s="25" t="str">
        <f aca="false">IF(OR(A236="",N(M236)=0),"",SUMPRODUCT(MAX((入金明細!$F$5:$F$1004=A236)*入金明細!$B$5:$B$1004)))</f>
        <v/>
      </c>
      <c r="O236" s="18"/>
      <c r="P236" s="27" t="str">
        <f aca="false">IF(OR(A236="",F236=""),"",F236-N(M236)-N(O236))</f>
        <v/>
      </c>
      <c r="Q236" s="26"/>
      <c r="R236" s="28" t="str">
        <f aca="false">IF(A236="","",IF(Q236="取消","取消",IF(T236&lt;&gt;"","要入力",IF(K236="","未送付",IF(P236=0,"入金済",IF(P236&lt;0,"過入金",IF(設定!$C$5&gt;I236,IF(N(M236)&gt;0,"一部入金・超過","期日超過"),IF(N(M236)&gt;0,"一部入金",IF(I236-設定!$C$5&lt;=設定!$C$6,"期日間近","入金待ち")))))))))</f>
        <v/>
      </c>
      <c r="S236" s="29" t="str">
        <f aca="false">IF(OR(R236="期日超過",R236="一部入金・超過"),設定!$C$5-I236,"")</f>
        <v/>
      </c>
      <c r="T236" s="21" t="str">
        <f aca="false">IF(A236="","",TRIM(IF(B236="","請求日 ","")&amp;IF(C236="","取引先 ",IF(D236="コード誤り","取引先コード誤り ",""))&amp;IF(E236="","件名 ","")&amp;IF(F236="","請求額 ","")&amp;IF(AND(F236&lt;&gt;"",I236=""),"入金期日(マスタの支払条件が未登録) ","")&amp;IF(J236="","送付方法 ","")&amp;IF(AND(K236&lt;&gt;"",L236=""),"送付者 ","")&amp;IF(AND(K236&lt;&gt;"",N(K236)&gt;設定!$C$5),"送付日が未来の日付 ","")&amp;IF(AND(K236&lt;&gt;"",N(M236)&gt;0,N(P236)&lt;=0,U236=""),"消込確認者 ","")))</f>
        <v/>
      </c>
      <c r="U236" s="26"/>
      <c r="V236" s="26"/>
    </row>
    <row r="237" customFormat="false" ht="15" hidden="false" customHeight="false" outlineLevel="0" collapsed="false">
      <c r="A237" s="21" t="str">
        <f aca="false">IF(COUNTA(B237,C237,E237,F237)=0,"",設定!$C$4&amp;TEXT(ROW()-4,"00000"))</f>
        <v/>
      </c>
      <c r="B237" s="22"/>
      <c r="C237" s="23"/>
      <c r="D237" s="21" t="str">
        <f aca="false">IF(C237="","",IFERROR(INDEX(取引先マスタ!$B$5:$B$204,MATCH(C237,取引先マスタ!$A$5:$A$204,0)),"コード誤り"))</f>
        <v/>
      </c>
      <c r="E237" s="26"/>
      <c r="F237" s="18"/>
      <c r="G237" s="25" t="str">
        <f aca="false">IF(OR(B237="",C237="",D237="コード誤り"),"",IFERROR(IF(OR(INDEX(取引先マスタ!$E$5:$E$204,MATCH(C237,取引先マスタ!$A$5:$A$204,0))="",INDEX(取引先マスタ!$F$5:$F$204,MATCH(C237,取引先マスタ!$A$5:$A$204,0))=""),"",DATE(YEAR(B237),MONTH(B237)+INDEX(取引先マスタ!$E$5:$E$204,MATCH(C237,取引先マスタ!$A$5:$A$204,0)),MIN(INDEX(取引先マスタ!$F$5:$F$204,MATCH(C237,取引先マスタ!$A$5:$A$204,0)),DAY(EOMONTH(B237,INDEX(取引先マスタ!$E$5:$E$204,MATCH(C237,取引先マスタ!$A$5:$A$204,0))))))),""))</f>
        <v/>
      </c>
      <c r="H237" s="22"/>
      <c r="I237" s="25" t="str">
        <f aca="false">IF(H237&lt;&gt;"",H237,G237)</f>
        <v/>
      </c>
      <c r="J237" s="26"/>
      <c r="K237" s="22"/>
      <c r="L237" s="26"/>
      <c r="M237" s="27" t="str">
        <f aca="false">IF(A237="","",SUMIF(入金明細!$F$5:$F$1004,A237,入金明細!$E$5:$E$1004))</f>
        <v/>
      </c>
      <c r="N237" s="25" t="str">
        <f aca="false">IF(OR(A237="",N(M237)=0),"",SUMPRODUCT(MAX((入金明細!$F$5:$F$1004=A237)*入金明細!$B$5:$B$1004)))</f>
        <v/>
      </c>
      <c r="O237" s="18"/>
      <c r="P237" s="27" t="str">
        <f aca="false">IF(OR(A237="",F237=""),"",F237-N(M237)-N(O237))</f>
        <v/>
      </c>
      <c r="Q237" s="26"/>
      <c r="R237" s="28" t="str">
        <f aca="false">IF(A237="","",IF(Q237="取消","取消",IF(T237&lt;&gt;"","要入力",IF(K237="","未送付",IF(P237=0,"入金済",IF(P237&lt;0,"過入金",IF(設定!$C$5&gt;I237,IF(N(M237)&gt;0,"一部入金・超過","期日超過"),IF(N(M237)&gt;0,"一部入金",IF(I237-設定!$C$5&lt;=設定!$C$6,"期日間近","入金待ち")))))))))</f>
        <v/>
      </c>
      <c r="S237" s="29" t="str">
        <f aca="false">IF(OR(R237="期日超過",R237="一部入金・超過"),設定!$C$5-I237,"")</f>
        <v/>
      </c>
      <c r="T237" s="21" t="str">
        <f aca="false">IF(A237="","",TRIM(IF(B237="","請求日 ","")&amp;IF(C237="","取引先 ",IF(D237="コード誤り","取引先コード誤り ",""))&amp;IF(E237="","件名 ","")&amp;IF(F237="","請求額 ","")&amp;IF(AND(F237&lt;&gt;"",I237=""),"入金期日(マスタの支払条件が未登録) ","")&amp;IF(J237="","送付方法 ","")&amp;IF(AND(K237&lt;&gt;"",L237=""),"送付者 ","")&amp;IF(AND(K237&lt;&gt;"",N(K237)&gt;設定!$C$5),"送付日が未来の日付 ","")&amp;IF(AND(K237&lt;&gt;"",N(M237)&gt;0,N(P237)&lt;=0,U237=""),"消込確認者 ","")))</f>
        <v/>
      </c>
      <c r="U237" s="26"/>
      <c r="V237" s="26"/>
    </row>
    <row r="238" customFormat="false" ht="15" hidden="false" customHeight="false" outlineLevel="0" collapsed="false">
      <c r="A238" s="21" t="str">
        <f aca="false">IF(COUNTA(B238,C238,E238,F238)=0,"",設定!$C$4&amp;TEXT(ROW()-4,"00000"))</f>
        <v/>
      </c>
      <c r="B238" s="22"/>
      <c r="C238" s="23"/>
      <c r="D238" s="21" t="str">
        <f aca="false">IF(C238="","",IFERROR(INDEX(取引先マスタ!$B$5:$B$204,MATCH(C238,取引先マスタ!$A$5:$A$204,0)),"コード誤り"))</f>
        <v/>
      </c>
      <c r="E238" s="26"/>
      <c r="F238" s="18"/>
      <c r="G238" s="25" t="str">
        <f aca="false">IF(OR(B238="",C238="",D238="コード誤り"),"",IFERROR(IF(OR(INDEX(取引先マスタ!$E$5:$E$204,MATCH(C238,取引先マスタ!$A$5:$A$204,0))="",INDEX(取引先マスタ!$F$5:$F$204,MATCH(C238,取引先マスタ!$A$5:$A$204,0))=""),"",DATE(YEAR(B238),MONTH(B238)+INDEX(取引先マスタ!$E$5:$E$204,MATCH(C238,取引先マスタ!$A$5:$A$204,0)),MIN(INDEX(取引先マスタ!$F$5:$F$204,MATCH(C238,取引先マスタ!$A$5:$A$204,0)),DAY(EOMONTH(B238,INDEX(取引先マスタ!$E$5:$E$204,MATCH(C238,取引先マスタ!$A$5:$A$204,0))))))),""))</f>
        <v/>
      </c>
      <c r="H238" s="22"/>
      <c r="I238" s="25" t="str">
        <f aca="false">IF(H238&lt;&gt;"",H238,G238)</f>
        <v/>
      </c>
      <c r="J238" s="26"/>
      <c r="K238" s="22"/>
      <c r="L238" s="26"/>
      <c r="M238" s="27" t="str">
        <f aca="false">IF(A238="","",SUMIF(入金明細!$F$5:$F$1004,A238,入金明細!$E$5:$E$1004))</f>
        <v/>
      </c>
      <c r="N238" s="25" t="str">
        <f aca="false">IF(OR(A238="",N(M238)=0),"",SUMPRODUCT(MAX((入金明細!$F$5:$F$1004=A238)*入金明細!$B$5:$B$1004)))</f>
        <v/>
      </c>
      <c r="O238" s="18"/>
      <c r="P238" s="27" t="str">
        <f aca="false">IF(OR(A238="",F238=""),"",F238-N(M238)-N(O238))</f>
        <v/>
      </c>
      <c r="Q238" s="26"/>
      <c r="R238" s="28" t="str">
        <f aca="false">IF(A238="","",IF(Q238="取消","取消",IF(T238&lt;&gt;"","要入力",IF(K238="","未送付",IF(P238=0,"入金済",IF(P238&lt;0,"過入金",IF(設定!$C$5&gt;I238,IF(N(M238)&gt;0,"一部入金・超過","期日超過"),IF(N(M238)&gt;0,"一部入金",IF(I238-設定!$C$5&lt;=設定!$C$6,"期日間近","入金待ち")))))))))</f>
        <v/>
      </c>
      <c r="S238" s="29" t="str">
        <f aca="false">IF(OR(R238="期日超過",R238="一部入金・超過"),設定!$C$5-I238,"")</f>
        <v/>
      </c>
      <c r="T238" s="21" t="str">
        <f aca="false">IF(A238="","",TRIM(IF(B238="","請求日 ","")&amp;IF(C238="","取引先 ",IF(D238="コード誤り","取引先コード誤り ",""))&amp;IF(E238="","件名 ","")&amp;IF(F238="","請求額 ","")&amp;IF(AND(F238&lt;&gt;"",I238=""),"入金期日(マスタの支払条件が未登録) ","")&amp;IF(J238="","送付方法 ","")&amp;IF(AND(K238&lt;&gt;"",L238=""),"送付者 ","")&amp;IF(AND(K238&lt;&gt;"",N(K238)&gt;設定!$C$5),"送付日が未来の日付 ","")&amp;IF(AND(K238&lt;&gt;"",N(M238)&gt;0,N(P238)&lt;=0,U238=""),"消込確認者 ","")))</f>
        <v/>
      </c>
      <c r="U238" s="26"/>
      <c r="V238" s="26"/>
    </row>
    <row r="239" customFormat="false" ht="15" hidden="false" customHeight="false" outlineLevel="0" collapsed="false">
      <c r="A239" s="21" t="str">
        <f aca="false">IF(COUNTA(B239,C239,E239,F239)=0,"",設定!$C$4&amp;TEXT(ROW()-4,"00000"))</f>
        <v/>
      </c>
      <c r="B239" s="22"/>
      <c r="C239" s="23"/>
      <c r="D239" s="21" t="str">
        <f aca="false">IF(C239="","",IFERROR(INDEX(取引先マスタ!$B$5:$B$204,MATCH(C239,取引先マスタ!$A$5:$A$204,0)),"コード誤り"))</f>
        <v/>
      </c>
      <c r="E239" s="26"/>
      <c r="F239" s="18"/>
      <c r="G239" s="25" t="str">
        <f aca="false">IF(OR(B239="",C239="",D239="コード誤り"),"",IFERROR(IF(OR(INDEX(取引先マスタ!$E$5:$E$204,MATCH(C239,取引先マスタ!$A$5:$A$204,0))="",INDEX(取引先マスタ!$F$5:$F$204,MATCH(C239,取引先マスタ!$A$5:$A$204,0))=""),"",DATE(YEAR(B239),MONTH(B239)+INDEX(取引先マスタ!$E$5:$E$204,MATCH(C239,取引先マスタ!$A$5:$A$204,0)),MIN(INDEX(取引先マスタ!$F$5:$F$204,MATCH(C239,取引先マスタ!$A$5:$A$204,0)),DAY(EOMONTH(B239,INDEX(取引先マスタ!$E$5:$E$204,MATCH(C239,取引先マスタ!$A$5:$A$204,0))))))),""))</f>
        <v/>
      </c>
      <c r="H239" s="22"/>
      <c r="I239" s="25" t="str">
        <f aca="false">IF(H239&lt;&gt;"",H239,G239)</f>
        <v/>
      </c>
      <c r="J239" s="26"/>
      <c r="K239" s="22"/>
      <c r="L239" s="26"/>
      <c r="M239" s="27" t="str">
        <f aca="false">IF(A239="","",SUMIF(入金明細!$F$5:$F$1004,A239,入金明細!$E$5:$E$1004))</f>
        <v/>
      </c>
      <c r="N239" s="25" t="str">
        <f aca="false">IF(OR(A239="",N(M239)=0),"",SUMPRODUCT(MAX((入金明細!$F$5:$F$1004=A239)*入金明細!$B$5:$B$1004)))</f>
        <v/>
      </c>
      <c r="O239" s="18"/>
      <c r="P239" s="27" t="str">
        <f aca="false">IF(OR(A239="",F239=""),"",F239-N(M239)-N(O239))</f>
        <v/>
      </c>
      <c r="Q239" s="26"/>
      <c r="R239" s="28" t="str">
        <f aca="false">IF(A239="","",IF(Q239="取消","取消",IF(T239&lt;&gt;"","要入力",IF(K239="","未送付",IF(P239=0,"入金済",IF(P239&lt;0,"過入金",IF(設定!$C$5&gt;I239,IF(N(M239)&gt;0,"一部入金・超過","期日超過"),IF(N(M239)&gt;0,"一部入金",IF(I239-設定!$C$5&lt;=設定!$C$6,"期日間近","入金待ち")))))))))</f>
        <v/>
      </c>
      <c r="S239" s="29" t="str">
        <f aca="false">IF(OR(R239="期日超過",R239="一部入金・超過"),設定!$C$5-I239,"")</f>
        <v/>
      </c>
      <c r="T239" s="21" t="str">
        <f aca="false">IF(A239="","",TRIM(IF(B239="","請求日 ","")&amp;IF(C239="","取引先 ",IF(D239="コード誤り","取引先コード誤り ",""))&amp;IF(E239="","件名 ","")&amp;IF(F239="","請求額 ","")&amp;IF(AND(F239&lt;&gt;"",I239=""),"入金期日(マスタの支払条件が未登録) ","")&amp;IF(J239="","送付方法 ","")&amp;IF(AND(K239&lt;&gt;"",L239=""),"送付者 ","")&amp;IF(AND(K239&lt;&gt;"",N(K239)&gt;設定!$C$5),"送付日が未来の日付 ","")&amp;IF(AND(K239&lt;&gt;"",N(M239)&gt;0,N(P239)&lt;=0,U239=""),"消込確認者 ","")))</f>
        <v/>
      </c>
      <c r="U239" s="26"/>
      <c r="V239" s="26"/>
    </row>
    <row r="240" customFormat="false" ht="15" hidden="false" customHeight="false" outlineLevel="0" collapsed="false">
      <c r="A240" s="21" t="str">
        <f aca="false">IF(COUNTA(B240,C240,E240,F240)=0,"",設定!$C$4&amp;TEXT(ROW()-4,"00000"))</f>
        <v/>
      </c>
      <c r="B240" s="22"/>
      <c r="C240" s="23"/>
      <c r="D240" s="21" t="str">
        <f aca="false">IF(C240="","",IFERROR(INDEX(取引先マスタ!$B$5:$B$204,MATCH(C240,取引先マスタ!$A$5:$A$204,0)),"コード誤り"))</f>
        <v/>
      </c>
      <c r="E240" s="26"/>
      <c r="F240" s="18"/>
      <c r="G240" s="25" t="str">
        <f aca="false">IF(OR(B240="",C240="",D240="コード誤り"),"",IFERROR(IF(OR(INDEX(取引先マスタ!$E$5:$E$204,MATCH(C240,取引先マスタ!$A$5:$A$204,0))="",INDEX(取引先マスタ!$F$5:$F$204,MATCH(C240,取引先マスタ!$A$5:$A$204,0))=""),"",DATE(YEAR(B240),MONTH(B240)+INDEX(取引先マスタ!$E$5:$E$204,MATCH(C240,取引先マスタ!$A$5:$A$204,0)),MIN(INDEX(取引先マスタ!$F$5:$F$204,MATCH(C240,取引先マスタ!$A$5:$A$204,0)),DAY(EOMONTH(B240,INDEX(取引先マスタ!$E$5:$E$204,MATCH(C240,取引先マスタ!$A$5:$A$204,0))))))),""))</f>
        <v/>
      </c>
      <c r="H240" s="22"/>
      <c r="I240" s="25" t="str">
        <f aca="false">IF(H240&lt;&gt;"",H240,G240)</f>
        <v/>
      </c>
      <c r="J240" s="26"/>
      <c r="K240" s="22"/>
      <c r="L240" s="26"/>
      <c r="M240" s="27" t="str">
        <f aca="false">IF(A240="","",SUMIF(入金明細!$F$5:$F$1004,A240,入金明細!$E$5:$E$1004))</f>
        <v/>
      </c>
      <c r="N240" s="25" t="str">
        <f aca="false">IF(OR(A240="",N(M240)=0),"",SUMPRODUCT(MAX((入金明細!$F$5:$F$1004=A240)*入金明細!$B$5:$B$1004)))</f>
        <v/>
      </c>
      <c r="O240" s="18"/>
      <c r="P240" s="27" t="str">
        <f aca="false">IF(OR(A240="",F240=""),"",F240-N(M240)-N(O240))</f>
        <v/>
      </c>
      <c r="Q240" s="26"/>
      <c r="R240" s="28" t="str">
        <f aca="false">IF(A240="","",IF(Q240="取消","取消",IF(T240&lt;&gt;"","要入力",IF(K240="","未送付",IF(P240=0,"入金済",IF(P240&lt;0,"過入金",IF(設定!$C$5&gt;I240,IF(N(M240)&gt;0,"一部入金・超過","期日超過"),IF(N(M240)&gt;0,"一部入金",IF(I240-設定!$C$5&lt;=設定!$C$6,"期日間近","入金待ち")))))))))</f>
        <v/>
      </c>
      <c r="S240" s="29" t="str">
        <f aca="false">IF(OR(R240="期日超過",R240="一部入金・超過"),設定!$C$5-I240,"")</f>
        <v/>
      </c>
      <c r="T240" s="21" t="str">
        <f aca="false">IF(A240="","",TRIM(IF(B240="","請求日 ","")&amp;IF(C240="","取引先 ",IF(D240="コード誤り","取引先コード誤り ",""))&amp;IF(E240="","件名 ","")&amp;IF(F240="","請求額 ","")&amp;IF(AND(F240&lt;&gt;"",I240=""),"入金期日(マスタの支払条件が未登録) ","")&amp;IF(J240="","送付方法 ","")&amp;IF(AND(K240&lt;&gt;"",L240=""),"送付者 ","")&amp;IF(AND(K240&lt;&gt;"",N(K240)&gt;設定!$C$5),"送付日が未来の日付 ","")&amp;IF(AND(K240&lt;&gt;"",N(M240)&gt;0,N(P240)&lt;=0,U240=""),"消込確認者 ","")))</f>
        <v/>
      </c>
      <c r="U240" s="26"/>
      <c r="V240" s="26"/>
    </row>
    <row r="241" customFormat="false" ht="15" hidden="false" customHeight="false" outlineLevel="0" collapsed="false">
      <c r="A241" s="21" t="str">
        <f aca="false">IF(COUNTA(B241,C241,E241,F241)=0,"",設定!$C$4&amp;TEXT(ROW()-4,"00000"))</f>
        <v/>
      </c>
      <c r="B241" s="22"/>
      <c r="C241" s="23"/>
      <c r="D241" s="21" t="str">
        <f aca="false">IF(C241="","",IFERROR(INDEX(取引先マスタ!$B$5:$B$204,MATCH(C241,取引先マスタ!$A$5:$A$204,0)),"コード誤り"))</f>
        <v/>
      </c>
      <c r="E241" s="26"/>
      <c r="F241" s="18"/>
      <c r="G241" s="25" t="str">
        <f aca="false">IF(OR(B241="",C241="",D241="コード誤り"),"",IFERROR(IF(OR(INDEX(取引先マスタ!$E$5:$E$204,MATCH(C241,取引先マスタ!$A$5:$A$204,0))="",INDEX(取引先マスタ!$F$5:$F$204,MATCH(C241,取引先マスタ!$A$5:$A$204,0))=""),"",DATE(YEAR(B241),MONTH(B241)+INDEX(取引先マスタ!$E$5:$E$204,MATCH(C241,取引先マスタ!$A$5:$A$204,0)),MIN(INDEX(取引先マスタ!$F$5:$F$204,MATCH(C241,取引先マスタ!$A$5:$A$204,0)),DAY(EOMONTH(B241,INDEX(取引先マスタ!$E$5:$E$204,MATCH(C241,取引先マスタ!$A$5:$A$204,0))))))),""))</f>
        <v/>
      </c>
      <c r="H241" s="22"/>
      <c r="I241" s="25" t="str">
        <f aca="false">IF(H241&lt;&gt;"",H241,G241)</f>
        <v/>
      </c>
      <c r="J241" s="26"/>
      <c r="K241" s="22"/>
      <c r="L241" s="26"/>
      <c r="M241" s="27" t="str">
        <f aca="false">IF(A241="","",SUMIF(入金明細!$F$5:$F$1004,A241,入金明細!$E$5:$E$1004))</f>
        <v/>
      </c>
      <c r="N241" s="25" t="str">
        <f aca="false">IF(OR(A241="",N(M241)=0),"",SUMPRODUCT(MAX((入金明細!$F$5:$F$1004=A241)*入金明細!$B$5:$B$1004)))</f>
        <v/>
      </c>
      <c r="O241" s="18"/>
      <c r="P241" s="27" t="str">
        <f aca="false">IF(OR(A241="",F241=""),"",F241-N(M241)-N(O241))</f>
        <v/>
      </c>
      <c r="Q241" s="26"/>
      <c r="R241" s="28" t="str">
        <f aca="false">IF(A241="","",IF(Q241="取消","取消",IF(T241&lt;&gt;"","要入力",IF(K241="","未送付",IF(P241=0,"入金済",IF(P241&lt;0,"過入金",IF(設定!$C$5&gt;I241,IF(N(M241)&gt;0,"一部入金・超過","期日超過"),IF(N(M241)&gt;0,"一部入金",IF(I241-設定!$C$5&lt;=設定!$C$6,"期日間近","入金待ち")))))))))</f>
        <v/>
      </c>
      <c r="S241" s="29" t="str">
        <f aca="false">IF(OR(R241="期日超過",R241="一部入金・超過"),設定!$C$5-I241,"")</f>
        <v/>
      </c>
      <c r="T241" s="21" t="str">
        <f aca="false">IF(A241="","",TRIM(IF(B241="","請求日 ","")&amp;IF(C241="","取引先 ",IF(D241="コード誤り","取引先コード誤り ",""))&amp;IF(E241="","件名 ","")&amp;IF(F241="","請求額 ","")&amp;IF(AND(F241&lt;&gt;"",I241=""),"入金期日(マスタの支払条件が未登録) ","")&amp;IF(J241="","送付方法 ","")&amp;IF(AND(K241&lt;&gt;"",L241=""),"送付者 ","")&amp;IF(AND(K241&lt;&gt;"",N(K241)&gt;設定!$C$5),"送付日が未来の日付 ","")&amp;IF(AND(K241&lt;&gt;"",N(M241)&gt;0,N(P241)&lt;=0,U241=""),"消込確認者 ","")))</f>
        <v/>
      </c>
      <c r="U241" s="26"/>
      <c r="V241" s="26"/>
    </row>
    <row r="242" customFormat="false" ht="15" hidden="false" customHeight="false" outlineLevel="0" collapsed="false">
      <c r="A242" s="21" t="str">
        <f aca="false">IF(COUNTA(B242,C242,E242,F242)=0,"",設定!$C$4&amp;TEXT(ROW()-4,"00000"))</f>
        <v/>
      </c>
      <c r="B242" s="22"/>
      <c r="C242" s="23"/>
      <c r="D242" s="21" t="str">
        <f aca="false">IF(C242="","",IFERROR(INDEX(取引先マスタ!$B$5:$B$204,MATCH(C242,取引先マスタ!$A$5:$A$204,0)),"コード誤り"))</f>
        <v/>
      </c>
      <c r="E242" s="26"/>
      <c r="F242" s="18"/>
      <c r="G242" s="25" t="str">
        <f aca="false">IF(OR(B242="",C242="",D242="コード誤り"),"",IFERROR(IF(OR(INDEX(取引先マスタ!$E$5:$E$204,MATCH(C242,取引先マスタ!$A$5:$A$204,0))="",INDEX(取引先マスタ!$F$5:$F$204,MATCH(C242,取引先マスタ!$A$5:$A$204,0))=""),"",DATE(YEAR(B242),MONTH(B242)+INDEX(取引先マスタ!$E$5:$E$204,MATCH(C242,取引先マスタ!$A$5:$A$204,0)),MIN(INDEX(取引先マスタ!$F$5:$F$204,MATCH(C242,取引先マスタ!$A$5:$A$204,0)),DAY(EOMONTH(B242,INDEX(取引先マスタ!$E$5:$E$204,MATCH(C242,取引先マスタ!$A$5:$A$204,0))))))),""))</f>
        <v/>
      </c>
      <c r="H242" s="22"/>
      <c r="I242" s="25" t="str">
        <f aca="false">IF(H242&lt;&gt;"",H242,G242)</f>
        <v/>
      </c>
      <c r="J242" s="26"/>
      <c r="K242" s="22"/>
      <c r="L242" s="26"/>
      <c r="M242" s="27" t="str">
        <f aca="false">IF(A242="","",SUMIF(入金明細!$F$5:$F$1004,A242,入金明細!$E$5:$E$1004))</f>
        <v/>
      </c>
      <c r="N242" s="25" t="str">
        <f aca="false">IF(OR(A242="",N(M242)=0),"",SUMPRODUCT(MAX((入金明細!$F$5:$F$1004=A242)*入金明細!$B$5:$B$1004)))</f>
        <v/>
      </c>
      <c r="O242" s="18"/>
      <c r="P242" s="27" t="str">
        <f aca="false">IF(OR(A242="",F242=""),"",F242-N(M242)-N(O242))</f>
        <v/>
      </c>
      <c r="Q242" s="26"/>
      <c r="R242" s="28" t="str">
        <f aca="false">IF(A242="","",IF(Q242="取消","取消",IF(T242&lt;&gt;"","要入力",IF(K242="","未送付",IF(P242=0,"入金済",IF(P242&lt;0,"過入金",IF(設定!$C$5&gt;I242,IF(N(M242)&gt;0,"一部入金・超過","期日超過"),IF(N(M242)&gt;0,"一部入金",IF(I242-設定!$C$5&lt;=設定!$C$6,"期日間近","入金待ち")))))))))</f>
        <v/>
      </c>
      <c r="S242" s="29" t="str">
        <f aca="false">IF(OR(R242="期日超過",R242="一部入金・超過"),設定!$C$5-I242,"")</f>
        <v/>
      </c>
      <c r="T242" s="21" t="str">
        <f aca="false">IF(A242="","",TRIM(IF(B242="","請求日 ","")&amp;IF(C242="","取引先 ",IF(D242="コード誤り","取引先コード誤り ",""))&amp;IF(E242="","件名 ","")&amp;IF(F242="","請求額 ","")&amp;IF(AND(F242&lt;&gt;"",I242=""),"入金期日(マスタの支払条件が未登録) ","")&amp;IF(J242="","送付方法 ","")&amp;IF(AND(K242&lt;&gt;"",L242=""),"送付者 ","")&amp;IF(AND(K242&lt;&gt;"",N(K242)&gt;設定!$C$5),"送付日が未来の日付 ","")&amp;IF(AND(K242&lt;&gt;"",N(M242)&gt;0,N(P242)&lt;=0,U242=""),"消込確認者 ","")))</f>
        <v/>
      </c>
      <c r="U242" s="26"/>
      <c r="V242" s="26"/>
    </row>
    <row r="243" customFormat="false" ht="15" hidden="false" customHeight="false" outlineLevel="0" collapsed="false">
      <c r="A243" s="21" t="str">
        <f aca="false">IF(COUNTA(B243,C243,E243,F243)=0,"",設定!$C$4&amp;TEXT(ROW()-4,"00000"))</f>
        <v/>
      </c>
      <c r="B243" s="22"/>
      <c r="C243" s="23"/>
      <c r="D243" s="21" t="str">
        <f aca="false">IF(C243="","",IFERROR(INDEX(取引先マスタ!$B$5:$B$204,MATCH(C243,取引先マスタ!$A$5:$A$204,0)),"コード誤り"))</f>
        <v/>
      </c>
      <c r="E243" s="26"/>
      <c r="F243" s="18"/>
      <c r="G243" s="25" t="str">
        <f aca="false">IF(OR(B243="",C243="",D243="コード誤り"),"",IFERROR(IF(OR(INDEX(取引先マスタ!$E$5:$E$204,MATCH(C243,取引先マスタ!$A$5:$A$204,0))="",INDEX(取引先マスタ!$F$5:$F$204,MATCH(C243,取引先マスタ!$A$5:$A$204,0))=""),"",DATE(YEAR(B243),MONTH(B243)+INDEX(取引先マスタ!$E$5:$E$204,MATCH(C243,取引先マスタ!$A$5:$A$204,0)),MIN(INDEX(取引先マスタ!$F$5:$F$204,MATCH(C243,取引先マスタ!$A$5:$A$204,0)),DAY(EOMONTH(B243,INDEX(取引先マスタ!$E$5:$E$204,MATCH(C243,取引先マスタ!$A$5:$A$204,0))))))),""))</f>
        <v/>
      </c>
      <c r="H243" s="22"/>
      <c r="I243" s="25" t="str">
        <f aca="false">IF(H243&lt;&gt;"",H243,G243)</f>
        <v/>
      </c>
      <c r="J243" s="26"/>
      <c r="K243" s="22"/>
      <c r="L243" s="26"/>
      <c r="M243" s="27" t="str">
        <f aca="false">IF(A243="","",SUMIF(入金明細!$F$5:$F$1004,A243,入金明細!$E$5:$E$1004))</f>
        <v/>
      </c>
      <c r="N243" s="25" t="str">
        <f aca="false">IF(OR(A243="",N(M243)=0),"",SUMPRODUCT(MAX((入金明細!$F$5:$F$1004=A243)*入金明細!$B$5:$B$1004)))</f>
        <v/>
      </c>
      <c r="O243" s="18"/>
      <c r="P243" s="27" t="str">
        <f aca="false">IF(OR(A243="",F243=""),"",F243-N(M243)-N(O243))</f>
        <v/>
      </c>
      <c r="Q243" s="26"/>
      <c r="R243" s="28" t="str">
        <f aca="false">IF(A243="","",IF(Q243="取消","取消",IF(T243&lt;&gt;"","要入力",IF(K243="","未送付",IF(P243=0,"入金済",IF(P243&lt;0,"過入金",IF(設定!$C$5&gt;I243,IF(N(M243)&gt;0,"一部入金・超過","期日超過"),IF(N(M243)&gt;0,"一部入金",IF(I243-設定!$C$5&lt;=設定!$C$6,"期日間近","入金待ち")))))))))</f>
        <v/>
      </c>
      <c r="S243" s="29" t="str">
        <f aca="false">IF(OR(R243="期日超過",R243="一部入金・超過"),設定!$C$5-I243,"")</f>
        <v/>
      </c>
      <c r="T243" s="21" t="str">
        <f aca="false">IF(A243="","",TRIM(IF(B243="","請求日 ","")&amp;IF(C243="","取引先 ",IF(D243="コード誤り","取引先コード誤り ",""))&amp;IF(E243="","件名 ","")&amp;IF(F243="","請求額 ","")&amp;IF(AND(F243&lt;&gt;"",I243=""),"入金期日(マスタの支払条件が未登録) ","")&amp;IF(J243="","送付方法 ","")&amp;IF(AND(K243&lt;&gt;"",L243=""),"送付者 ","")&amp;IF(AND(K243&lt;&gt;"",N(K243)&gt;設定!$C$5),"送付日が未来の日付 ","")&amp;IF(AND(K243&lt;&gt;"",N(M243)&gt;0,N(P243)&lt;=0,U243=""),"消込確認者 ","")))</f>
        <v/>
      </c>
      <c r="U243" s="26"/>
      <c r="V243" s="26"/>
    </row>
    <row r="244" customFormat="false" ht="15" hidden="false" customHeight="false" outlineLevel="0" collapsed="false">
      <c r="A244" s="21" t="str">
        <f aca="false">IF(COUNTA(B244,C244,E244,F244)=0,"",設定!$C$4&amp;TEXT(ROW()-4,"00000"))</f>
        <v/>
      </c>
      <c r="B244" s="22"/>
      <c r="C244" s="23"/>
      <c r="D244" s="21" t="str">
        <f aca="false">IF(C244="","",IFERROR(INDEX(取引先マスタ!$B$5:$B$204,MATCH(C244,取引先マスタ!$A$5:$A$204,0)),"コード誤り"))</f>
        <v/>
      </c>
      <c r="E244" s="26"/>
      <c r="F244" s="18"/>
      <c r="G244" s="25" t="str">
        <f aca="false">IF(OR(B244="",C244="",D244="コード誤り"),"",IFERROR(IF(OR(INDEX(取引先マスタ!$E$5:$E$204,MATCH(C244,取引先マスタ!$A$5:$A$204,0))="",INDEX(取引先マスタ!$F$5:$F$204,MATCH(C244,取引先マスタ!$A$5:$A$204,0))=""),"",DATE(YEAR(B244),MONTH(B244)+INDEX(取引先マスタ!$E$5:$E$204,MATCH(C244,取引先マスタ!$A$5:$A$204,0)),MIN(INDEX(取引先マスタ!$F$5:$F$204,MATCH(C244,取引先マスタ!$A$5:$A$204,0)),DAY(EOMONTH(B244,INDEX(取引先マスタ!$E$5:$E$204,MATCH(C244,取引先マスタ!$A$5:$A$204,0))))))),""))</f>
        <v/>
      </c>
      <c r="H244" s="22"/>
      <c r="I244" s="25" t="str">
        <f aca="false">IF(H244&lt;&gt;"",H244,G244)</f>
        <v/>
      </c>
      <c r="J244" s="26"/>
      <c r="K244" s="22"/>
      <c r="L244" s="26"/>
      <c r="M244" s="27" t="str">
        <f aca="false">IF(A244="","",SUMIF(入金明細!$F$5:$F$1004,A244,入金明細!$E$5:$E$1004))</f>
        <v/>
      </c>
      <c r="N244" s="25" t="str">
        <f aca="false">IF(OR(A244="",N(M244)=0),"",SUMPRODUCT(MAX((入金明細!$F$5:$F$1004=A244)*入金明細!$B$5:$B$1004)))</f>
        <v/>
      </c>
      <c r="O244" s="18"/>
      <c r="P244" s="27" t="str">
        <f aca="false">IF(OR(A244="",F244=""),"",F244-N(M244)-N(O244))</f>
        <v/>
      </c>
      <c r="Q244" s="26"/>
      <c r="R244" s="28" t="str">
        <f aca="false">IF(A244="","",IF(Q244="取消","取消",IF(T244&lt;&gt;"","要入力",IF(K244="","未送付",IF(P244=0,"入金済",IF(P244&lt;0,"過入金",IF(設定!$C$5&gt;I244,IF(N(M244)&gt;0,"一部入金・超過","期日超過"),IF(N(M244)&gt;0,"一部入金",IF(I244-設定!$C$5&lt;=設定!$C$6,"期日間近","入金待ち")))))))))</f>
        <v/>
      </c>
      <c r="S244" s="29" t="str">
        <f aca="false">IF(OR(R244="期日超過",R244="一部入金・超過"),設定!$C$5-I244,"")</f>
        <v/>
      </c>
      <c r="T244" s="21" t="str">
        <f aca="false">IF(A244="","",TRIM(IF(B244="","請求日 ","")&amp;IF(C244="","取引先 ",IF(D244="コード誤り","取引先コード誤り ",""))&amp;IF(E244="","件名 ","")&amp;IF(F244="","請求額 ","")&amp;IF(AND(F244&lt;&gt;"",I244=""),"入金期日(マスタの支払条件が未登録) ","")&amp;IF(J244="","送付方法 ","")&amp;IF(AND(K244&lt;&gt;"",L244=""),"送付者 ","")&amp;IF(AND(K244&lt;&gt;"",N(K244)&gt;設定!$C$5),"送付日が未来の日付 ","")&amp;IF(AND(K244&lt;&gt;"",N(M244)&gt;0,N(P244)&lt;=0,U244=""),"消込確認者 ","")))</f>
        <v/>
      </c>
      <c r="U244" s="26"/>
      <c r="V244" s="26"/>
    </row>
    <row r="245" customFormat="false" ht="15" hidden="false" customHeight="false" outlineLevel="0" collapsed="false">
      <c r="A245" s="21" t="str">
        <f aca="false">IF(COUNTA(B245,C245,E245,F245)=0,"",設定!$C$4&amp;TEXT(ROW()-4,"00000"))</f>
        <v/>
      </c>
      <c r="B245" s="22"/>
      <c r="C245" s="23"/>
      <c r="D245" s="21" t="str">
        <f aca="false">IF(C245="","",IFERROR(INDEX(取引先マスタ!$B$5:$B$204,MATCH(C245,取引先マスタ!$A$5:$A$204,0)),"コード誤り"))</f>
        <v/>
      </c>
      <c r="E245" s="26"/>
      <c r="F245" s="18"/>
      <c r="G245" s="25" t="str">
        <f aca="false">IF(OR(B245="",C245="",D245="コード誤り"),"",IFERROR(IF(OR(INDEX(取引先マスタ!$E$5:$E$204,MATCH(C245,取引先マスタ!$A$5:$A$204,0))="",INDEX(取引先マスタ!$F$5:$F$204,MATCH(C245,取引先マスタ!$A$5:$A$204,0))=""),"",DATE(YEAR(B245),MONTH(B245)+INDEX(取引先マスタ!$E$5:$E$204,MATCH(C245,取引先マスタ!$A$5:$A$204,0)),MIN(INDEX(取引先マスタ!$F$5:$F$204,MATCH(C245,取引先マスタ!$A$5:$A$204,0)),DAY(EOMONTH(B245,INDEX(取引先マスタ!$E$5:$E$204,MATCH(C245,取引先マスタ!$A$5:$A$204,0))))))),""))</f>
        <v/>
      </c>
      <c r="H245" s="22"/>
      <c r="I245" s="25" t="str">
        <f aca="false">IF(H245&lt;&gt;"",H245,G245)</f>
        <v/>
      </c>
      <c r="J245" s="26"/>
      <c r="K245" s="22"/>
      <c r="L245" s="26"/>
      <c r="M245" s="27" t="str">
        <f aca="false">IF(A245="","",SUMIF(入金明細!$F$5:$F$1004,A245,入金明細!$E$5:$E$1004))</f>
        <v/>
      </c>
      <c r="N245" s="25" t="str">
        <f aca="false">IF(OR(A245="",N(M245)=0),"",SUMPRODUCT(MAX((入金明細!$F$5:$F$1004=A245)*入金明細!$B$5:$B$1004)))</f>
        <v/>
      </c>
      <c r="O245" s="18"/>
      <c r="P245" s="27" t="str">
        <f aca="false">IF(OR(A245="",F245=""),"",F245-N(M245)-N(O245))</f>
        <v/>
      </c>
      <c r="Q245" s="26"/>
      <c r="R245" s="28" t="str">
        <f aca="false">IF(A245="","",IF(Q245="取消","取消",IF(T245&lt;&gt;"","要入力",IF(K245="","未送付",IF(P245=0,"入金済",IF(P245&lt;0,"過入金",IF(設定!$C$5&gt;I245,IF(N(M245)&gt;0,"一部入金・超過","期日超過"),IF(N(M245)&gt;0,"一部入金",IF(I245-設定!$C$5&lt;=設定!$C$6,"期日間近","入金待ち")))))))))</f>
        <v/>
      </c>
      <c r="S245" s="29" t="str">
        <f aca="false">IF(OR(R245="期日超過",R245="一部入金・超過"),設定!$C$5-I245,"")</f>
        <v/>
      </c>
      <c r="T245" s="21" t="str">
        <f aca="false">IF(A245="","",TRIM(IF(B245="","請求日 ","")&amp;IF(C245="","取引先 ",IF(D245="コード誤り","取引先コード誤り ",""))&amp;IF(E245="","件名 ","")&amp;IF(F245="","請求額 ","")&amp;IF(AND(F245&lt;&gt;"",I245=""),"入金期日(マスタの支払条件が未登録) ","")&amp;IF(J245="","送付方法 ","")&amp;IF(AND(K245&lt;&gt;"",L245=""),"送付者 ","")&amp;IF(AND(K245&lt;&gt;"",N(K245)&gt;設定!$C$5),"送付日が未来の日付 ","")&amp;IF(AND(K245&lt;&gt;"",N(M245)&gt;0,N(P245)&lt;=0,U245=""),"消込確認者 ","")))</f>
        <v/>
      </c>
      <c r="U245" s="26"/>
      <c r="V245" s="26"/>
    </row>
    <row r="246" customFormat="false" ht="15" hidden="false" customHeight="false" outlineLevel="0" collapsed="false">
      <c r="A246" s="21" t="str">
        <f aca="false">IF(COUNTA(B246,C246,E246,F246)=0,"",設定!$C$4&amp;TEXT(ROW()-4,"00000"))</f>
        <v/>
      </c>
      <c r="B246" s="22"/>
      <c r="C246" s="23"/>
      <c r="D246" s="21" t="str">
        <f aca="false">IF(C246="","",IFERROR(INDEX(取引先マスタ!$B$5:$B$204,MATCH(C246,取引先マスタ!$A$5:$A$204,0)),"コード誤り"))</f>
        <v/>
      </c>
      <c r="E246" s="26"/>
      <c r="F246" s="18"/>
      <c r="G246" s="25" t="str">
        <f aca="false">IF(OR(B246="",C246="",D246="コード誤り"),"",IFERROR(IF(OR(INDEX(取引先マスタ!$E$5:$E$204,MATCH(C246,取引先マスタ!$A$5:$A$204,0))="",INDEX(取引先マスタ!$F$5:$F$204,MATCH(C246,取引先マスタ!$A$5:$A$204,0))=""),"",DATE(YEAR(B246),MONTH(B246)+INDEX(取引先マスタ!$E$5:$E$204,MATCH(C246,取引先マスタ!$A$5:$A$204,0)),MIN(INDEX(取引先マスタ!$F$5:$F$204,MATCH(C246,取引先マスタ!$A$5:$A$204,0)),DAY(EOMONTH(B246,INDEX(取引先マスタ!$E$5:$E$204,MATCH(C246,取引先マスタ!$A$5:$A$204,0))))))),""))</f>
        <v/>
      </c>
      <c r="H246" s="22"/>
      <c r="I246" s="25" t="str">
        <f aca="false">IF(H246&lt;&gt;"",H246,G246)</f>
        <v/>
      </c>
      <c r="J246" s="26"/>
      <c r="K246" s="22"/>
      <c r="L246" s="26"/>
      <c r="M246" s="27" t="str">
        <f aca="false">IF(A246="","",SUMIF(入金明細!$F$5:$F$1004,A246,入金明細!$E$5:$E$1004))</f>
        <v/>
      </c>
      <c r="N246" s="25" t="str">
        <f aca="false">IF(OR(A246="",N(M246)=0),"",SUMPRODUCT(MAX((入金明細!$F$5:$F$1004=A246)*入金明細!$B$5:$B$1004)))</f>
        <v/>
      </c>
      <c r="O246" s="18"/>
      <c r="P246" s="27" t="str">
        <f aca="false">IF(OR(A246="",F246=""),"",F246-N(M246)-N(O246))</f>
        <v/>
      </c>
      <c r="Q246" s="26"/>
      <c r="R246" s="28" t="str">
        <f aca="false">IF(A246="","",IF(Q246="取消","取消",IF(T246&lt;&gt;"","要入力",IF(K246="","未送付",IF(P246=0,"入金済",IF(P246&lt;0,"過入金",IF(設定!$C$5&gt;I246,IF(N(M246)&gt;0,"一部入金・超過","期日超過"),IF(N(M246)&gt;0,"一部入金",IF(I246-設定!$C$5&lt;=設定!$C$6,"期日間近","入金待ち")))))))))</f>
        <v/>
      </c>
      <c r="S246" s="29" t="str">
        <f aca="false">IF(OR(R246="期日超過",R246="一部入金・超過"),設定!$C$5-I246,"")</f>
        <v/>
      </c>
      <c r="T246" s="21" t="str">
        <f aca="false">IF(A246="","",TRIM(IF(B246="","請求日 ","")&amp;IF(C246="","取引先 ",IF(D246="コード誤り","取引先コード誤り ",""))&amp;IF(E246="","件名 ","")&amp;IF(F246="","請求額 ","")&amp;IF(AND(F246&lt;&gt;"",I246=""),"入金期日(マスタの支払条件が未登録) ","")&amp;IF(J246="","送付方法 ","")&amp;IF(AND(K246&lt;&gt;"",L246=""),"送付者 ","")&amp;IF(AND(K246&lt;&gt;"",N(K246)&gt;設定!$C$5),"送付日が未来の日付 ","")&amp;IF(AND(K246&lt;&gt;"",N(M246)&gt;0,N(P246)&lt;=0,U246=""),"消込確認者 ","")))</f>
        <v/>
      </c>
      <c r="U246" s="26"/>
      <c r="V246" s="26"/>
    </row>
    <row r="247" customFormat="false" ht="15" hidden="false" customHeight="false" outlineLevel="0" collapsed="false">
      <c r="A247" s="21" t="str">
        <f aca="false">IF(COUNTA(B247,C247,E247,F247)=0,"",設定!$C$4&amp;TEXT(ROW()-4,"00000"))</f>
        <v/>
      </c>
      <c r="B247" s="22"/>
      <c r="C247" s="23"/>
      <c r="D247" s="21" t="str">
        <f aca="false">IF(C247="","",IFERROR(INDEX(取引先マスタ!$B$5:$B$204,MATCH(C247,取引先マスタ!$A$5:$A$204,0)),"コード誤り"))</f>
        <v/>
      </c>
      <c r="E247" s="26"/>
      <c r="F247" s="18"/>
      <c r="G247" s="25" t="str">
        <f aca="false">IF(OR(B247="",C247="",D247="コード誤り"),"",IFERROR(IF(OR(INDEX(取引先マスタ!$E$5:$E$204,MATCH(C247,取引先マスタ!$A$5:$A$204,0))="",INDEX(取引先マスタ!$F$5:$F$204,MATCH(C247,取引先マスタ!$A$5:$A$204,0))=""),"",DATE(YEAR(B247),MONTH(B247)+INDEX(取引先マスタ!$E$5:$E$204,MATCH(C247,取引先マスタ!$A$5:$A$204,0)),MIN(INDEX(取引先マスタ!$F$5:$F$204,MATCH(C247,取引先マスタ!$A$5:$A$204,0)),DAY(EOMONTH(B247,INDEX(取引先マスタ!$E$5:$E$204,MATCH(C247,取引先マスタ!$A$5:$A$204,0))))))),""))</f>
        <v/>
      </c>
      <c r="H247" s="22"/>
      <c r="I247" s="25" t="str">
        <f aca="false">IF(H247&lt;&gt;"",H247,G247)</f>
        <v/>
      </c>
      <c r="J247" s="26"/>
      <c r="K247" s="22"/>
      <c r="L247" s="26"/>
      <c r="M247" s="27" t="str">
        <f aca="false">IF(A247="","",SUMIF(入金明細!$F$5:$F$1004,A247,入金明細!$E$5:$E$1004))</f>
        <v/>
      </c>
      <c r="N247" s="25" t="str">
        <f aca="false">IF(OR(A247="",N(M247)=0),"",SUMPRODUCT(MAX((入金明細!$F$5:$F$1004=A247)*入金明細!$B$5:$B$1004)))</f>
        <v/>
      </c>
      <c r="O247" s="18"/>
      <c r="P247" s="27" t="str">
        <f aca="false">IF(OR(A247="",F247=""),"",F247-N(M247)-N(O247))</f>
        <v/>
      </c>
      <c r="Q247" s="26"/>
      <c r="R247" s="28" t="str">
        <f aca="false">IF(A247="","",IF(Q247="取消","取消",IF(T247&lt;&gt;"","要入力",IF(K247="","未送付",IF(P247=0,"入金済",IF(P247&lt;0,"過入金",IF(設定!$C$5&gt;I247,IF(N(M247)&gt;0,"一部入金・超過","期日超過"),IF(N(M247)&gt;0,"一部入金",IF(I247-設定!$C$5&lt;=設定!$C$6,"期日間近","入金待ち")))))))))</f>
        <v/>
      </c>
      <c r="S247" s="29" t="str">
        <f aca="false">IF(OR(R247="期日超過",R247="一部入金・超過"),設定!$C$5-I247,"")</f>
        <v/>
      </c>
      <c r="T247" s="21" t="str">
        <f aca="false">IF(A247="","",TRIM(IF(B247="","請求日 ","")&amp;IF(C247="","取引先 ",IF(D247="コード誤り","取引先コード誤り ",""))&amp;IF(E247="","件名 ","")&amp;IF(F247="","請求額 ","")&amp;IF(AND(F247&lt;&gt;"",I247=""),"入金期日(マスタの支払条件が未登録) ","")&amp;IF(J247="","送付方法 ","")&amp;IF(AND(K247&lt;&gt;"",L247=""),"送付者 ","")&amp;IF(AND(K247&lt;&gt;"",N(K247)&gt;設定!$C$5),"送付日が未来の日付 ","")&amp;IF(AND(K247&lt;&gt;"",N(M247)&gt;0,N(P247)&lt;=0,U247=""),"消込確認者 ","")))</f>
        <v/>
      </c>
      <c r="U247" s="26"/>
      <c r="V247" s="26"/>
    </row>
    <row r="248" customFormat="false" ht="15" hidden="false" customHeight="false" outlineLevel="0" collapsed="false">
      <c r="A248" s="21" t="str">
        <f aca="false">IF(COUNTA(B248,C248,E248,F248)=0,"",設定!$C$4&amp;TEXT(ROW()-4,"00000"))</f>
        <v/>
      </c>
      <c r="B248" s="22"/>
      <c r="C248" s="23"/>
      <c r="D248" s="21" t="str">
        <f aca="false">IF(C248="","",IFERROR(INDEX(取引先マスタ!$B$5:$B$204,MATCH(C248,取引先マスタ!$A$5:$A$204,0)),"コード誤り"))</f>
        <v/>
      </c>
      <c r="E248" s="26"/>
      <c r="F248" s="18"/>
      <c r="G248" s="25" t="str">
        <f aca="false">IF(OR(B248="",C248="",D248="コード誤り"),"",IFERROR(IF(OR(INDEX(取引先マスタ!$E$5:$E$204,MATCH(C248,取引先マスタ!$A$5:$A$204,0))="",INDEX(取引先マスタ!$F$5:$F$204,MATCH(C248,取引先マスタ!$A$5:$A$204,0))=""),"",DATE(YEAR(B248),MONTH(B248)+INDEX(取引先マスタ!$E$5:$E$204,MATCH(C248,取引先マスタ!$A$5:$A$204,0)),MIN(INDEX(取引先マスタ!$F$5:$F$204,MATCH(C248,取引先マスタ!$A$5:$A$204,0)),DAY(EOMONTH(B248,INDEX(取引先マスタ!$E$5:$E$204,MATCH(C248,取引先マスタ!$A$5:$A$204,0))))))),""))</f>
        <v/>
      </c>
      <c r="H248" s="22"/>
      <c r="I248" s="25" t="str">
        <f aca="false">IF(H248&lt;&gt;"",H248,G248)</f>
        <v/>
      </c>
      <c r="J248" s="26"/>
      <c r="K248" s="22"/>
      <c r="L248" s="26"/>
      <c r="M248" s="27" t="str">
        <f aca="false">IF(A248="","",SUMIF(入金明細!$F$5:$F$1004,A248,入金明細!$E$5:$E$1004))</f>
        <v/>
      </c>
      <c r="N248" s="25" t="str">
        <f aca="false">IF(OR(A248="",N(M248)=0),"",SUMPRODUCT(MAX((入金明細!$F$5:$F$1004=A248)*入金明細!$B$5:$B$1004)))</f>
        <v/>
      </c>
      <c r="O248" s="18"/>
      <c r="P248" s="27" t="str">
        <f aca="false">IF(OR(A248="",F248=""),"",F248-N(M248)-N(O248))</f>
        <v/>
      </c>
      <c r="Q248" s="26"/>
      <c r="R248" s="28" t="str">
        <f aca="false">IF(A248="","",IF(Q248="取消","取消",IF(T248&lt;&gt;"","要入力",IF(K248="","未送付",IF(P248=0,"入金済",IF(P248&lt;0,"過入金",IF(設定!$C$5&gt;I248,IF(N(M248)&gt;0,"一部入金・超過","期日超過"),IF(N(M248)&gt;0,"一部入金",IF(I248-設定!$C$5&lt;=設定!$C$6,"期日間近","入金待ち")))))))))</f>
        <v/>
      </c>
      <c r="S248" s="29" t="str">
        <f aca="false">IF(OR(R248="期日超過",R248="一部入金・超過"),設定!$C$5-I248,"")</f>
        <v/>
      </c>
      <c r="T248" s="21" t="str">
        <f aca="false">IF(A248="","",TRIM(IF(B248="","請求日 ","")&amp;IF(C248="","取引先 ",IF(D248="コード誤り","取引先コード誤り ",""))&amp;IF(E248="","件名 ","")&amp;IF(F248="","請求額 ","")&amp;IF(AND(F248&lt;&gt;"",I248=""),"入金期日(マスタの支払条件が未登録) ","")&amp;IF(J248="","送付方法 ","")&amp;IF(AND(K248&lt;&gt;"",L248=""),"送付者 ","")&amp;IF(AND(K248&lt;&gt;"",N(K248)&gt;設定!$C$5),"送付日が未来の日付 ","")&amp;IF(AND(K248&lt;&gt;"",N(M248)&gt;0,N(P248)&lt;=0,U248=""),"消込確認者 ","")))</f>
        <v/>
      </c>
      <c r="U248" s="26"/>
      <c r="V248" s="26"/>
    </row>
    <row r="249" customFormat="false" ht="15" hidden="false" customHeight="false" outlineLevel="0" collapsed="false">
      <c r="A249" s="21" t="str">
        <f aca="false">IF(COUNTA(B249,C249,E249,F249)=0,"",設定!$C$4&amp;TEXT(ROW()-4,"00000"))</f>
        <v/>
      </c>
      <c r="B249" s="22"/>
      <c r="C249" s="23"/>
      <c r="D249" s="21" t="str">
        <f aca="false">IF(C249="","",IFERROR(INDEX(取引先マスタ!$B$5:$B$204,MATCH(C249,取引先マスタ!$A$5:$A$204,0)),"コード誤り"))</f>
        <v/>
      </c>
      <c r="E249" s="26"/>
      <c r="F249" s="18"/>
      <c r="G249" s="25" t="str">
        <f aca="false">IF(OR(B249="",C249="",D249="コード誤り"),"",IFERROR(IF(OR(INDEX(取引先マスタ!$E$5:$E$204,MATCH(C249,取引先マスタ!$A$5:$A$204,0))="",INDEX(取引先マスタ!$F$5:$F$204,MATCH(C249,取引先マスタ!$A$5:$A$204,0))=""),"",DATE(YEAR(B249),MONTH(B249)+INDEX(取引先マスタ!$E$5:$E$204,MATCH(C249,取引先マスタ!$A$5:$A$204,0)),MIN(INDEX(取引先マスタ!$F$5:$F$204,MATCH(C249,取引先マスタ!$A$5:$A$204,0)),DAY(EOMONTH(B249,INDEX(取引先マスタ!$E$5:$E$204,MATCH(C249,取引先マスタ!$A$5:$A$204,0))))))),""))</f>
        <v/>
      </c>
      <c r="H249" s="22"/>
      <c r="I249" s="25" t="str">
        <f aca="false">IF(H249&lt;&gt;"",H249,G249)</f>
        <v/>
      </c>
      <c r="J249" s="26"/>
      <c r="K249" s="22"/>
      <c r="L249" s="26"/>
      <c r="M249" s="27" t="str">
        <f aca="false">IF(A249="","",SUMIF(入金明細!$F$5:$F$1004,A249,入金明細!$E$5:$E$1004))</f>
        <v/>
      </c>
      <c r="N249" s="25" t="str">
        <f aca="false">IF(OR(A249="",N(M249)=0),"",SUMPRODUCT(MAX((入金明細!$F$5:$F$1004=A249)*入金明細!$B$5:$B$1004)))</f>
        <v/>
      </c>
      <c r="O249" s="18"/>
      <c r="P249" s="27" t="str">
        <f aca="false">IF(OR(A249="",F249=""),"",F249-N(M249)-N(O249))</f>
        <v/>
      </c>
      <c r="Q249" s="26"/>
      <c r="R249" s="28" t="str">
        <f aca="false">IF(A249="","",IF(Q249="取消","取消",IF(T249&lt;&gt;"","要入力",IF(K249="","未送付",IF(P249=0,"入金済",IF(P249&lt;0,"過入金",IF(設定!$C$5&gt;I249,IF(N(M249)&gt;0,"一部入金・超過","期日超過"),IF(N(M249)&gt;0,"一部入金",IF(I249-設定!$C$5&lt;=設定!$C$6,"期日間近","入金待ち")))))))))</f>
        <v/>
      </c>
      <c r="S249" s="29" t="str">
        <f aca="false">IF(OR(R249="期日超過",R249="一部入金・超過"),設定!$C$5-I249,"")</f>
        <v/>
      </c>
      <c r="T249" s="21" t="str">
        <f aca="false">IF(A249="","",TRIM(IF(B249="","請求日 ","")&amp;IF(C249="","取引先 ",IF(D249="コード誤り","取引先コード誤り ",""))&amp;IF(E249="","件名 ","")&amp;IF(F249="","請求額 ","")&amp;IF(AND(F249&lt;&gt;"",I249=""),"入金期日(マスタの支払条件が未登録) ","")&amp;IF(J249="","送付方法 ","")&amp;IF(AND(K249&lt;&gt;"",L249=""),"送付者 ","")&amp;IF(AND(K249&lt;&gt;"",N(K249)&gt;設定!$C$5),"送付日が未来の日付 ","")&amp;IF(AND(K249&lt;&gt;"",N(M249)&gt;0,N(P249)&lt;=0,U249=""),"消込確認者 ","")))</f>
        <v/>
      </c>
      <c r="U249" s="26"/>
      <c r="V249" s="26"/>
    </row>
    <row r="250" customFormat="false" ht="15" hidden="false" customHeight="false" outlineLevel="0" collapsed="false">
      <c r="A250" s="21" t="str">
        <f aca="false">IF(COUNTA(B250,C250,E250,F250)=0,"",設定!$C$4&amp;TEXT(ROW()-4,"00000"))</f>
        <v/>
      </c>
      <c r="B250" s="22"/>
      <c r="C250" s="23"/>
      <c r="D250" s="21" t="str">
        <f aca="false">IF(C250="","",IFERROR(INDEX(取引先マスタ!$B$5:$B$204,MATCH(C250,取引先マスタ!$A$5:$A$204,0)),"コード誤り"))</f>
        <v/>
      </c>
      <c r="E250" s="26"/>
      <c r="F250" s="18"/>
      <c r="G250" s="25" t="str">
        <f aca="false">IF(OR(B250="",C250="",D250="コード誤り"),"",IFERROR(IF(OR(INDEX(取引先マスタ!$E$5:$E$204,MATCH(C250,取引先マスタ!$A$5:$A$204,0))="",INDEX(取引先マスタ!$F$5:$F$204,MATCH(C250,取引先マスタ!$A$5:$A$204,0))=""),"",DATE(YEAR(B250),MONTH(B250)+INDEX(取引先マスタ!$E$5:$E$204,MATCH(C250,取引先マスタ!$A$5:$A$204,0)),MIN(INDEX(取引先マスタ!$F$5:$F$204,MATCH(C250,取引先マスタ!$A$5:$A$204,0)),DAY(EOMONTH(B250,INDEX(取引先マスタ!$E$5:$E$204,MATCH(C250,取引先マスタ!$A$5:$A$204,0))))))),""))</f>
        <v/>
      </c>
      <c r="H250" s="22"/>
      <c r="I250" s="25" t="str">
        <f aca="false">IF(H250&lt;&gt;"",H250,G250)</f>
        <v/>
      </c>
      <c r="J250" s="26"/>
      <c r="K250" s="22"/>
      <c r="L250" s="26"/>
      <c r="M250" s="27" t="str">
        <f aca="false">IF(A250="","",SUMIF(入金明細!$F$5:$F$1004,A250,入金明細!$E$5:$E$1004))</f>
        <v/>
      </c>
      <c r="N250" s="25" t="str">
        <f aca="false">IF(OR(A250="",N(M250)=0),"",SUMPRODUCT(MAX((入金明細!$F$5:$F$1004=A250)*入金明細!$B$5:$B$1004)))</f>
        <v/>
      </c>
      <c r="O250" s="18"/>
      <c r="P250" s="27" t="str">
        <f aca="false">IF(OR(A250="",F250=""),"",F250-N(M250)-N(O250))</f>
        <v/>
      </c>
      <c r="Q250" s="26"/>
      <c r="R250" s="28" t="str">
        <f aca="false">IF(A250="","",IF(Q250="取消","取消",IF(T250&lt;&gt;"","要入力",IF(K250="","未送付",IF(P250=0,"入金済",IF(P250&lt;0,"過入金",IF(設定!$C$5&gt;I250,IF(N(M250)&gt;0,"一部入金・超過","期日超過"),IF(N(M250)&gt;0,"一部入金",IF(I250-設定!$C$5&lt;=設定!$C$6,"期日間近","入金待ち")))))))))</f>
        <v/>
      </c>
      <c r="S250" s="29" t="str">
        <f aca="false">IF(OR(R250="期日超過",R250="一部入金・超過"),設定!$C$5-I250,"")</f>
        <v/>
      </c>
      <c r="T250" s="21" t="str">
        <f aca="false">IF(A250="","",TRIM(IF(B250="","請求日 ","")&amp;IF(C250="","取引先 ",IF(D250="コード誤り","取引先コード誤り ",""))&amp;IF(E250="","件名 ","")&amp;IF(F250="","請求額 ","")&amp;IF(AND(F250&lt;&gt;"",I250=""),"入金期日(マスタの支払条件が未登録) ","")&amp;IF(J250="","送付方法 ","")&amp;IF(AND(K250&lt;&gt;"",L250=""),"送付者 ","")&amp;IF(AND(K250&lt;&gt;"",N(K250)&gt;設定!$C$5),"送付日が未来の日付 ","")&amp;IF(AND(K250&lt;&gt;"",N(M250)&gt;0,N(P250)&lt;=0,U250=""),"消込確認者 ","")))</f>
        <v/>
      </c>
      <c r="U250" s="26"/>
      <c r="V250" s="26"/>
    </row>
    <row r="251" customFormat="false" ht="15" hidden="false" customHeight="false" outlineLevel="0" collapsed="false">
      <c r="A251" s="21" t="str">
        <f aca="false">IF(COUNTA(B251,C251,E251,F251)=0,"",設定!$C$4&amp;TEXT(ROW()-4,"00000"))</f>
        <v/>
      </c>
      <c r="B251" s="22"/>
      <c r="C251" s="23"/>
      <c r="D251" s="21" t="str">
        <f aca="false">IF(C251="","",IFERROR(INDEX(取引先マスタ!$B$5:$B$204,MATCH(C251,取引先マスタ!$A$5:$A$204,0)),"コード誤り"))</f>
        <v/>
      </c>
      <c r="E251" s="26"/>
      <c r="F251" s="18"/>
      <c r="G251" s="25" t="str">
        <f aca="false">IF(OR(B251="",C251="",D251="コード誤り"),"",IFERROR(IF(OR(INDEX(取引先マスタ!$E$5:$E$204,MATCH(C251,取引先マスタ!$A$5:$A$204,0))="",INDEX(取引先マスタ!$F$5:$F$204,MATCH(C251,取引先マスタ!$A$5:$A$204,0))=""),"",DATE(YEAR(B251),MONTH(B251)+INDEX(取引先マスタ!$E$5:$E$204,MATCH(C251,取引先マスタ!$A$5:$A$204,0)),MIN(INDEX(取引先マスタ!$F$5:$F$204,MATCH(C251,取引先マスタ!$A$5:$A$204,0)),DAY(EOMONTH(B251,INDEX(取引先マスタ!$E$5:$E$204,MATCH(C251,取引先マスタ!$A$5:$A$204,0))))))),""))</f>
        <v/>
      </c>
      <c r="H251" s="22"/>
      <c r="I251" s="25" t="str">
        <f aca="false">IF(H251&lt;&gt;"",H251,G251)</f>
        <v/>
      </c>
      <c r="J251" s="26"/>
      <c r="K251" s="22"/>
      <c r="L251" s="26"/>
      <c r="M251" s="27" t="str">
        <f aca="false">IF(A251="","",SUMIF(入金明細!$F$5:$F$1004,A251,入金明細!$E$5:$E$1004))</f>
        <v/>
      </c>
      <c r="N251" s="25" t="str">
        <f aca="false">IF(OR(A251="",N(M251)=0),"",SUMPRODUCT(MAX((入金明細!$F$5:$F$1004=A251)*入金明細!$B$5:$B$1004)))</f>
        <v/>
      </c>
      <c r="O251" s="18"/>
      <c r="P251" s="27" t="str">
        <f aca="false">IF(OR(A251="",F251=""),"",F251-N(M251)-N(O251))</f>
        <v/>
      </c>
      <c r="Q251" s="26"/>
      <c r="R251" s="28" t="str">
        <f aca="false">IF(A251="","",IF(Q251="取消","取消",IF(T251&lt;&gt;"","要入力",IF(K251="","未送付",IF(P251=0,"入金済",IF(P251&lt;0,"過入金",IF(設定!$C$5&gt;I251,IF(N(M251)&gt;0,"一部入金・超過","期日超過"),IF(N(M251)&gt;0,"一部入金",IF(I251-設定!$C$5&lt;=設定!$C$6,"期日間近","入金待ち")))))))))</f>
        <v/>
      </c>
      <c r="S251" s="29" t="str">
        <f aca="false">IF(OR(R251="期日超過",R251="一部入金・超過"),設定!$C$5-I251,"")</f>
        <v/>
      </c>
      <c r="T251" s="21" t="str">
        <f aca="false">IF(A251="","",TRIM(IF(B251="","請求日 ","")&amp;IF(C251="","取引先 ",IF(D251="コード誤り","取引先コード誤り ",""))&amp;IF(E251="","件名 ","")&amp;IF(F251="","請求額 ","")&amp;IF(AND(F251&lt;&gt;"",I251=""),"入金期日(マスタの支払条件が未登録) ","")&amp;IF(J251="","送付方法 ","")&amp;IF(AND(K251&lt;&gt;"",L251=""),"送付者 ","")&amp;IF(AND(K251&lt;&gt;"",N(K251)&gt;設定!$C$5),"送付日が未来の日付 ","")&amp;IF(AND(K251&lt;&gt;"",N(M251)&gt;0,N(P251)&lt;=0,U251=""),"消込確認者 ","")))</f>
        <v/>
      </c>
      <c r="U251" s="26"/>
      <c r="V251" s="26"/>
    </row>
    <row r="252" customFormat="false" ht="15" hidden="false" customHeight="false" outlineLevel="0" collapsed="false">
      <c r="A252" s="21" t="str">
        <f aca="false">IF(COUNTA(B252,C252,E252,F252)=0,"",設定!$C$4&amp;TEXT(ROW()-4,"00000"))</f>
        <v/>
      </c>
      <c r="B252" s="22"/>
      <c r="C252" s="23"/>
      <c r="D252" s="21" t="str">
        <f aca="false">IF(C252="","",IFERROR(INDEX(取引先マスタ!$B$5:$B$204,MATCH(C252,取引先マスタ!$A$5:$A$204,0)),"コード誤り"))</f>
        <v/>
      </c>
      <c r="E252" s="26"/>
      <c r="F252" s="18"/>
      <c r="G252" s="25" t="str">
        <f aca="false">IF(OR(B252="",C252="",D252="コード誤り"),"",IFERROR(IF(OR(INDEX(取引先マスタ!$E$5:$E$204,MATCH(C252,取引先マスタ!$A$5:$A$204,0))="",INDEX(取引先マスタ!$F$5:$F$204,MATCH(C252,取引先マスタ!$A$5:$A$204,0))=""),"",DATE(YEAR(B252),MONTH(B252)+INDEX(取引先マスタ!$E$5:$E$204,MATCH(C252,取引先マスタ!$A$5:$A$204,0)),MIN(INDEX(取引先マスタ!$F$5:$F$204,MATCH(C252,取引先マスタ!$A$5:$A$204,0)),DAY(EOMONTH(B252,INDEX(取引先マスタ!$E$5:$E$204,MATCH(C252,取引先マスタ!$A$5:$A$204,0))))))),""))</f>
        <v/>
      </c>
      <c r="H252" s="22"/>
      <c r="I252" s="25" t="str">
        <f aca="false">IF(H252&lt;&gt;"",H252,G252)</f>
        <v/>
      </c>
      <c r="J252" s="26"/>
      <c r="K252" s="22"/>
      <c r="L252" s="26"/>
      <c r="M252" s="27" t="str">
        <f aca="false">IF(A252="","",SUMIF(入金明細!$F$5:$F$1004,A252,入金明細!$E$5:$E$1004))</f>
        <v/>
      </c>
      <c r="N252" s="25" t="str">
        <f aca="false">IF(OR(A252="",N(M252)=0),"",SUMPRODUCT(MAX((入金明細!$F$5:$F$1004=A252)*入金明細!$B$5:$B$1004)))</f>
        <v/>
      </c>
      <c r="O252" s="18"/>
      <c r="P252" s="27" t="str">
        <f aca="false">IF(OR(A252="",F252=""),"",F252-N(M252)-N(O252))</f>
        <v/>
      </c>
      <c r="Q252" s="26"/>
      <c r="R252" s="28" t="str">
        <f aca="false">IF(A252="","",IF(Q252="取消","取消",IF(T252&lt;&gt;"","要入力",IF(K252="","未送付",IF(P252=0,"入金済",IF(P252&lt;0,"過入金",IF(設定!$C$5&gt;I252,IF(N(M252)&gt;0,"一部入金・超過","期日超過"),IF(N(M252)&gt;0,"一部入金",IF(I252-設定!$C$5&lt;=設定!$C$6,"期日間近","入金待ち")))))))))</f>
        <v/>
      </c>
      <c r="S252" s="29" t="str">
        <f aca="false">IF(OR(R252="期日超過",R252="一部入金・超過"),設定!$C$5-I252,"")</f>
        <v/>
      </c>
      <c r="T252" s="21" t="str">
        <f aca="false">IF(A252="","",TRIM(IF(B252="","請求日 ","")&amp;IF(C252="","取引先 ",IF(D252="コード誤り","取引先コード誤り ",""))&amp;IF(E252="","件名 ","")&amp;IF(F252="","請求額 ","")&amp;IF(AND(F252&lt;&gt;"",I252=""),"入金期日(マスタの支払条件が未登録) ","")&amp;IF(J252="","送付方法 ","")&amp;IF(AND(K252&lt;&gt;"",L252=""),"送付者 ","")&amp;IF(AND(K252&lt;&gt;"",N(K252)&gt;設定!$C$5),"送付日が未来の日付 ","")&amp;IF(AND(K252&lt;&gt;"",N(M252)&gt;0,N(P252)&lt;=0,U252=""),"消込確認者 ","")))</f>
        <v/>
      </c>
      <c r="U252" s="26"/>
      <c r="V252" s="26"/>
    </row>
    <row r="253" customFormat="false" ht="15" hidden="false" customHeight="false" outlineLevel="0" collapsed="false">
      <c r="A253" s="21" t="str">
        <f aca="false">IF(COUNTA(B253,C253,E253,F253)=0,"",設定!$C$4&amp;TEXT(ROW()-4,"00000"))</f>
        <v/>
      </c>
      <c r="B253" s="22"/>
      <c r="C253" s="23"/>
      <c r="D253" s="21" t="str">
        <f aca="false">IF(C253="","",IFERROR(INDEX(取引先マスタ!$B$5:$B$204,MATCH(C253,取引先マスタ!$A$5:$A$204,0)),"コード誤り"))</f>
        <v/>
      </c>
      <c r="E253" s="26"/>
      <c r="F253" s="18"/>
      <c r="G253" s="25" t="str">
        <f aca="false">IF(OR(B253="",C253="",D253="コード誤り"),"",IFERROR(IF(OR(INDEX(取引先マスタ!$E$5:$E$204,MATCH(C253,取引先マスタ!$A$5:$A$204,0))="",INDEX(取引先マスタ!$F$5:$F$204,MATCH(C253,取引先マスタ!$A$5:$A$204,0))=""),"",DATE(YEAR(B253),MONTH(B253)+INDEX(取引先マスタ!$E$5:$E$204,MATCH(C253,取引先マスタ!$A$5:$A$204,0)),MIN(INDEX(取引先マスタ!$F$5:$F$204,MATCH(C253,取引先マスタ!$A$5:$A$204,0)),DAY(EOMONTH(B253,INDEX(取引先マスタ!$E$5:$E$204,MATCH(C253,取引先マスタ!$A$5:$A$204,0))))))),""))</f>
        <v/>
      </c>
      <c r="H253" s="22"/>
      <c r="I253" s="25" t="str">
        <f aca="false">IF(H253&lt;&gt;"",H253,G253)</f>
        <v/>
      </c>
      <c r="J253" s="26"/>
      <c r="K253" s="22"/>
      <c r="L253" s="26"/>
      <c r="M253" s="27" t="str">
        <f aca="false">IF(A253="","",SUMIF(入金明細!$F$5:$F$1004,A253,入金明細!$E$5:$E$1004))</f>
        <v/>
      </c>
      <c r="N253" s="25" t="str">
        <f aca="false">IF(OR(A253="",N(M253)=0),"",SUMPRODUCT(MAX((入金明細!$F$5:$F$1004=A253)*入金明細!$B$5:$B$1004)))</f>
        <v/>
      </c>
      <c r="O253" s="18"/>
      <c r="P253" s="27" t="str">
        <f aca="false">IF(OR(A253="",F253=""),"",F253-N(M253)-N(O253))</f>
        <v/>
      </c>
      <c r="Q253" s="26"/>
      <c r="R253" s="28" t="str">
        <f aca="false">IF(A253="","",IF(Q253="取消","取消",IF(T253&lt;&gt;"","要入力",IF(K253="","未送付",IF(P253=0,"入金済",IF(P253&lt;0,"過入金",IF(設定!$C$5&gt;I253,IF(N(M253)&gt;0,"一部入金・超過","期日超過"),IF(N(M253)&gt;0,"一部入金",IF(I253-設定!$C$5&lt;=設定!$C$6,"期日間近","入金待ち")))))))))</f>
        <v/>
      </c>
      <c r="S253" s="29" t="str">
        <f aca="false">IF(OR(R253="期日超過",R253="一部入金・超過"),設定!$C$5-I253,"")</f>
        <v/>
      </c>
      <c r="T253" s="21" t="str">
        <f aca="false">IF(A253="","",TRIM(IF(B253="","請求日 ","")&amp;IF(C253="","取引先 ",IF(D253="コード誤り","取引先コード誤り ",""))&amp;IF(E253="","件名 ","")&amp;IF(F253="","請求額 ","")&amp;IF(AND(F253&lt;&gt;"",I253=""),"入金期日(マスタの支払条件が未登録) ","")&amp;IF(J253="","送付方法 ","")&amp;IF(AND(K253&lt;&gt;"",L253=""),"送付者 ","")&amp;IF(AND(K253&lt;&gt;"",N(K253)&gt;設定!$C$5),"送付日が未来の日付 ","")&amp;IF(AND(K253&lt;&gt;"",N(M253)&gt;0,N(P253)&lt;=0,U253=""),"消込確認者 ","")))</f>
        <v/>
      </c>
      <c r="U253" s="26"/>
      <c r="V253" s="26"/>
    </row>
    <row r="254" customFormat="false" ht="15" hidden="false" customHeight="false" outlineLevel="0" collapsed="false">
      <c r="A254" s="21" t="str">
        <f aca="false">IF(COUNTA(B254,C254,E254,F254)=0,"",設定!$C$4&amp;TEXT(ROW()-4,"00000"))</f>
        <v/>
      </c>
      <c r="B254" s="22"/>
      <c r="C254" s="23"/>
      <c r="D254" s="21" t="str">
        <f aca="false">IF(C254="","",IFERROR(INDEX(取引先マスタ!$B$5:$B$204,MATCH(C254,取引先マスタ!$A$5:$A$204,0)),"コード誤り"))</f>
        <v/>
      </c>
      <c r="E254" s="26"/>
      <c r="F254" s="18"/>
      <c r="G254" s="25" t="str">
        <f aca="false">IF(OR(B254="",C254="",D254="コード誤り"),"",IFERROR(IF(OR(INDEX(取引先マスタ!$E$5:$E$204,MATCH(C254,取引先マスタ!$A$5:$A$204,0))="",INDEX(取引先マスタ!$F$5:$F$204,MATCH(C254,取引先マスタ!$A$5:$A$204,0))=""),"",DATE(YEAR(B254),MONTH(B254)+INDEX(取引先マスタ!$E$5:$E$204,MATCH(C254,取引先マスタ!$A$5:$A$204,0)),MIN(INDEX(取引先マスタ!$F$5:$F$204,MATCH(C254,取引先マスタ!$A$5:$A$204,0)),DAY(EOMONTH(B254,INDEX(取引先マスタ!$E$5:$E$204,MATCH(C254,取引先マスタ!$A$5:$A$204,0))))))),""))</f>
        <v/>
      </c>
      <c r="H254" s="22"/>
      <c r="I254" s="25" t="str">
        <f aca="false">IF(H254&lt;&gt;"",H254,G254)</f>
        <v/>
      </c>
      <c r="J254" s="26"/>
      <c r="K254" s="22"/>
      <c r="L254" s="26"/>
      <c r="M254" s="27" t="str">
        <f aca="false">IF(A254="","",SUMIF(入金明細!$F$5:$F$1004,A254,入金明細!$E$5:$E$1004))</f>
        <v/>
      </c>
      <c r="N254" s="25" t="str">
        <f aca="false">IF(OR(A254="",N(M254)=0),"",SUMPRODUCT(MAX((入金明細!$F$5:$F$1004=A254)*入金明細!$B$5:$B$1004)))</f>
        <v/>
      </c>
      <c r="O254" s="18"/>
      <c r="P254" s="27" t="str">
        <f aca="false">IF(OR(A254="",F254=""),"",F254-N(M254)-N(O254))</f>
        <v/>
      </c>
      <c r="Q254" s="26"/>
      <c r="R254" s="28" t="str">
        <f aca="false">IF(A254="","",IF(Q254="取消","取消",IF(T254&lt;&gt;"","要入力",IF(K254="","未送付",IF(P254=0,"入金済",IF(P254&lt;0,"過入金",IF(設定!$C$5&gt;I254,IF(N(M254)&gt;0,"一部入金・超過","期日超過"),IF(N(M254)&gt;0,"一部入金",IF(I254-設定!$C$5&lt;=設定!$C$6,"期日間近","入金待ち")))))))))</f>
        <v/>
      </c>
      <c r="S254" s="29" t="str">
        <f aca="false">IF(OR(R254="期日超過",R254="一部入金・超過"),設定!$C$5-I254,"")</f>
        <v/>
      </c>
      <c r="T254" s="21" t="str">
        <f aca="false">IF(A254="","",TRIM(IF(B254="","請求日 ","")&amp;IF(C254="","取引先 ",IF(D254="コード誤り","取引先コード誤り ",""))&amp;IF(E254="","件名 ","")&amp;IF(F254="","請求額 ","")&amp;IF(AND(F254&lt;&gt;"",I254=""),"入金期日(マスタの支払条件が未登録) ","")&amp;IF(J254="","送付方法 ","")&amp;IF(AND(K254&lt;&gt;"",L254=""),"送付者 ","")&amp;IF(AND(K254&lt;&gt;"",N(K254)&gt;設定!$C$5),"送付日が未来の日付 ","")&amp;IF(AND(K254&lt;&gt;"",N(M254)&gt;0,N(P254)&lt;=0,U254=""),"消込確認者 ","")))</f>
        <v/>
      </c>
      <c r="U254" s="26"/>
      <c r="V254" s="26"/>
    </row>
    <row r="255" customFormat="false" ht="15" hidden="false" customHeight="false" outlineLevel="0" collapsed="false">
      <c r="A255" s="21" t="str">
        <f aca="false">IF(COUNTA(B255,C255,E255,F255)=0,"",設定!$C$4&amp;TEXT(ROW()-4,"00000"))</f>
        <v/>
      </c>
      <c r="B255" s="22"/>
      <c r="C255" s="23"/>
      <c r="D255" s="21" t="str">
        <f aca="false">IF(C255="","",IFERROR(INDEX(取引先マスタ!$B$5:$B$204,MATCH(C255,取引先マスタ!$A$5:$A$204,0)),"コード誤り"))</f>
        <v/>
      </c>
      <c r="E255" s="26"/>
      <c r="F255" s="18"/>
      <c r="G255" s="25" t="str">
        <f aca="false">IF(OR(B255="",C255="",D255="コード誤り"),"",IFERROR(IF(OR(INDEX(取引先マスタ!$E$5:$E$204,MATCH(C255,取引先マスタ!$A$5:$A$204,0))="",INDEX(取引先マスタ!$F$5:$F$204,MATCH(C255,取引先マスタ!$A$5:$A$204,0))=""),"",DATE(YEAR(B255),MONTH(B255)+INDEX(取引先マスタ!$E$5:$E$204,MATCH(C255,取引先マスタ!$A$5:$A$204,0)),MIN(INDEX(取引先マスタ!$F$5:$F$204,MATCH(C255,取引先マスタ!$A$5:$A$204,0)),DAY(EOMONTH(B255,INDEX(取引先マスタ!$E$5:$E$204,MATCH(C255,取引先マスタ!$A$5:$A$204,0))))))),""))</f>
        <v/>
      </c>
      <c r="H255" s="22"/>
      <c r="I255" s="25" t="str">
        <f aca="false">IF(H255&lt;&gt;"",H255,G255)</f>
        <v/>
      </c>
      <c r="J255" s="26"/>
      <c r="K255" s="22"/>
      <c r="L255" s="26"/>
      <c r="M255" s="27" t="str">
        <f aca="false">IF(A255="","",SUMIF(入金明細!$F$5:$F$1004,A255,入金明細!$E$5:$E$1004))</f>
        <v/>
      </c>
      <c r="N255" s="25" t="str">
        <f aca="false">IF(OR(A255="",N(M255)=0),"",SUMPRODUCT(MAX((入金明細!$F$5:$F$1004=A255)*入金明細!$B$5:$B$1004)))</f>
        <v/>
      </c>
      <c r="O255" s="18"/>
      <c r="P255" s="27" t="str">
        <f aca="false">IF(OR(A255="",F255=""),"",F255-N(M255)-N(O255))</f>
        <v/>
      </c>
      <c r="Q255" s="26"/>
      <c r="R255" s="28" t="str">
        <f aca="false">IF(A255="","",IF(Q255="取消","取消",IF(T255&lt;&gt;"","要入力",IF(K255="","未送付",IF(P255=0,"入金済",IF(P255&lt;0,"過入金",IF(設定!$C$5&gt;I255,IF(N(M255)&gt;0,"一部入金・超過","期日超過"),IF(N(M255)&gt;0,"一部入金",IF(I255-設定!$C$5&lt;=設定!$C$6,"期日間近","入金待ち")))))))))</f>
        <v/>
      </c>
      <c r="S255" s="29" t="str">
        <f aca="false">IF(OR(R255="期日超過",R255="一部入金・超過"),設定!$C$5-I255,"")</f>
        <v/>
      </c>
      <c r="T255" s="21" t="str">
        <f aca="false">IF(A255="","",TRIM(IF(B255="","請求日 ","")&amp;IF(C255="","取引先 ",IF(D255="コード誤り","取引先コード誤り ",""))&amp;IF(E255="","件名 ","")&amp;IF(F255="","請求額 ","")&amp;IF(AND(F255&lt;&gt;"",I255=""),"入金期日(マスタの支払条件が未登録) ","")&amp;IF(J255="","送付方法 ","")&amp;IF(AND(K255&lt;&gt;"",L255=""),"送付者 ","")&amp;IF(AND(K255&lt;&gt;"",N(K255)&gt;設定!$C$5),"送付日が未来の日付 ","")&amp;IF(AND(K255&lt;&gt;"",N(M255)&gt;0,N(P255)&lt;=0,U255=""),"消込確認者 ","")))</f>
        <v/>
      </c>
      <c r="U255" s="26"/>
      <c r="V255" s="26"/>
    </row>
    <row r="256" customFormat="false" ht="15" hidden="false" customHeight="false" outlineLevel="0" collapsed="false">
      <c r="A256" s="21" t="str">
        <f aca="false">IF(COUNTA(B256,C256,E256,F256)=0,"",設定!$C$4&amp;TEXT(ROW()-4,"00000"))</f>
        <v/>
      </c>
      <c r="B256" s="22"/>
      <c r="C256" s="23"/>
      <c r="D256" s="21" t="str">
        <f aca="false">IF(C256="","",IFERROR(INDEX(取引先マスタ!$B$5:$B$204,MATCH(C256,取引先マスタ!$A$5:$A$204,0)),"コード誤り"))</f>
        <v/>
      </c>
      <c r="E256" s="26"/>
      <c r="F256" s="18"/>
      <c r="G256" s="25" t="str">
        <f aca="false">IF(OR(B256="",C256="",D256="コード誤り"),"",IFERROR(IF(OR(INDEX(取引先マスタ!$E$5:$E$204,MATCH(C256,取引先マスタ!$A$5:$A$204,0))="",INDEX(取引先マスタ!$F$5:$F$204,MATCH(C256,取引先マスタ!$A$5:$A$204,0))=""),"",DATE(YEAR(B256),MONTH(B256)+INDEX(取引先マスタ!$E$5:$E$204,MATCH(C256,取引先マスタ!$A$5:$A$204,0)),MIN(INDEX(取引先マスタ!$F$5:$F$204,MATCH(C256,取引先マスタ!$A$5:$A$204,0)),DAY(EOMONTH(B256,INDEX(取引先マスタ!$E$5:$E$204,MATCH(C256,取引先マスタ!$A$5:$A$204,0))))))),""))</f>
        <v/>
      </c>
      <c r="H256" s="22"/>
      <c r="I256" s="25" t="str">
        <f aca="false">IF(H256&lt;&gt;"",H256,G256)</f>
        <v/>
      </c>
      <c r="J256" s="26"/>
      <c r="K256" s="22"/>
      <c r="L256" s="26"/>
      <c r="M256" s="27" t="str">
        <f aca="false">IF(A256="","",SUMIF(入金明細!$F$5:$F$1004,A256,入金明細!$E$5:$E$1004))</f>
        <v/>
      </c>
      <c r="N256" s="25" t="str">
        <f aca="false">IF(OR(A256="",N(M256)=0),"",SUMPRODUCT(MAX((入金明細!$F$5:$F$1004=A256)*入金明細!$B$5:$B$1004)))</f>
        <v/>
      </c>
      <c r="O256" s="18"/>
      <c r="P256" s="27" t="str">
        <f aca="false">IF(OR(A256="",F256=""),"",F256-N(M256)-N(O256))</f>
        <v/>
      </c>
      <c r="Q256" s="26"/>
      <c r="R256" s="28" t="str">
        <f aca="false">IF(A256="","",IF(Q256="取消","取消",IF(T256&lt;&gt;"","要入力",IF(K256="","未送付",IF(P256=0,"入金済",IF(P256&lt;0,"過入金",IF(設定!$C$5&gt;I256,IF(N(M256)&gt;0,"一部入金・超過","期日超過"),IF(N(M256)&gt;0,"一部入金",IF(I256-設定!$C$5&lt;=設定!$C$6,"期日間近","入金待ち")))))))))</f>
        <v/>
      </c>
      <c r="S256" s="29" t="str">
        <f aca="false">IF(OR(R256="期日超過",R256="一部入金・超過"),設定!$C$5-I256,"")</f>
        <v/>
      </c>
      <c r="T256" s="21" t="str">
        <f aca="false">IF(A256="","",TRIM(IF(B256="","請求日 ","")&amp;IF(C256="","取引先 ",IF(D256="コード誤り","取引先コード誤り ",""))&amp;IF(E256="","件名 ","")&amp;IF(F256="","請求額 ","")&amp;IF(AND(F256&lt;&gt;"",I256=""),"入金期日(マスタの支払条件が未登録) ","")&amp;IF(J256="","送付方法 ","")&amp;IF(AND(K256&lt;&gt;"",L256=""),"送付者 ","")&amp;IF(AND(K256&lt;&gt;"",N(K256)&gt;設定!$C$5),"送付日が未来の日付 ","")&amp;IF(AND(K256&lt;&gt;"",N(M256)&gt;0,N(P256)&lt;=0,U256=""),"消込確認者 ","")))</f>
        <v/>
      </c>
      <c r="U256" s="26"/>
      <c r="V256" s="26"/>
    </row>
    <row r="257" customFormat="false" ht="15" hidden="false" customHeight="false" outlineLevel="0" collapsed="false">
      <c r="A257" s="21" t="str">
        <f aca="false">IF(COUNTA(B257,C257,E257,F257)=0,"",設定!$C$4&amp;TEXT(ROW()-4,"00000"))</f>
        <v/>
      </c>
      <c r="B257" s="22"/>
      <c r="C257" s="23"/>
      <c r="D257" s="21" t="str">
        <f aca="false">IF(C257="","",IFERROR(INDEX(取引先マスタ!$B$5:$B$204,MATCH(C257,取引先マスタ!$A$5:$A$204,0)),"コード誤り"))</f>
        <v/>
      </c>
      <c r="E257" s="26"/>
      <c r="F257" s="18"/>
      <c r="G257" s="25" t="str">
        <f aca="false">IF(OR(B257="",C257="",D257="コード誤り"),"",IFERROR(IF(OR(INDEX(取引先マスタ!$E$5:$E$204,MATCH(C257,取引先マスタ!$A$5:$A$204,0))="",INDEX(取引先マスタ!$F$5:$F$204,MATCH(C257,取引先マスタ!$A$5:$A$204,0))=""),"",DATE(YEAR(B257),MONTH(B257)+INDEX(取引先マスタ!$E$5:$E$204,MATCH(C257,取引先マスタ!$A$5:$A$204,0)),MIN(INDEX(取引先マスタ!$F$5:$F$204,MATCH(C257,取引先マスタ!$A$5:$A$204,0)),DAY(EOMONTH(B257,INDEX(取引先マスタ!$E$5:$E$204,MATCH(C257,取引先マスタ!$A$5:$A$204,0))))))),""))</f>
        <v/>
      </c>
      <c r="H257" s="22"/>
      <c r="I257" s="25" t="str">
        <f aca="false">IF(H257&lt;&gt;"",H257,G257)</f>
        <v/>
      </c>
      <c r="J257" s="26"/>
      <c r="K257" s="22"/>
      <c r="L257" s="26"/>
      <c r="M257" s="27" t="str">
        <f aca="false">IF(A257="","",SUMIF(入金明細!$F$5:$F$1004,A257,入金明細!$E$5:$E$1004))</f>
        <v/>
      </c>
      <c r="N257" s="25" t="str">
        <f aca="false">IF(OR(A257="",N(M257)=0),"",SUMPRODUCT(MAX((入金明細!$F$5:$F$1004=A257)*入金明細!$B$5:$B$1004)))</f>
        <v/>
      </c>
      <c r="O257" s="18"/>
      <c r="P257" s="27" t="str">
        <f aca="false">IF(OR(A257="",F257=""),"",F257-N(M257)-N(O257))</f>
        <v/>
      </c>
      <c r="Q257" s="26"/>
      <c r="R257" s="28" t="str">
        <f aca="false">IF(A257="","",IF(Q257="取消","取消",IF(T257&lt;&gt;"","要入力",IF(K257="","未送付",IF(P257=0,"入金済",IF(P257&lt;0,"過入金",IF(設定!$C$5&gt;I257,IF(N(M257)&gt;0,"一部入金・超過","期日超過"),IF(N(M257)&gt;0,"一部入金",IF(I257-設定!$C$5&lt;=設定!$C$6,"期日間近","入金待ち")))))))))</f>
        <v/>
      </c>
      <c r="S257" s="29" t="str">
        <f aca="false">IF(OR(R257="期日超過",R257="一部入金・超過"),設定!$C$5-I257,"")</f>
        <v/>
      </c>
      <c r="T257" s="21" t="str">
        <f aca="false">IF(A257="","",TRIM(IF(B257="","請求日 ","")&amp;IF(C257="","取引先 ",IF(D257="コード誤り","取引先コード誤り ",""))&amp;IF(E257="","件名 ","")&amp;IF(F257="","請求額 ","")&amp;IF(AND(F257&lt;&gt;"",I257=""),"入金期日(マスタの支払条件が未登録) ","")&amp;IF(J257="","送付方法 ","")&amp;IF(AND(K257&lt;&gt;"",L257=""),"送付者 ","")&amp;IF(AND(K257&lt;&gt;"",N(K257)&gt;設定!$C$5),"送付日が未来の日付 ","")&amp;IF(AND(K257&lt;&gt;"",N(M257)&gt;0,N(P257)&lt;=0,U257=""),"消込確認者 ","")))</f>
        <v/>
      </c>
      <c r="U257" s="26"/>
      <c r="V257" s="26"/>
    </row>
    <row r="258" customFormat="false" ht="15" hidden="false" customHeight="false" outlineLevel="0" collapsed="false">
      <c r="A258" s="21" t="str">
        <f aca="false">IF(COUNTA(B258,C258,E258,F258)=0,"",設定!$C$4&amp;TEXT(ROW()-4,"00000"))</f>
        <v/>
      </c>
      <c r="B258" s="22"/>
      <c r="C258" s="23"/>
      <c r="D258" s="21" t="str">
        <f aca="false">IF(C258="","",IFERROR(INDEX(取引先マスタ!$B$5:$B$204,MATCH(C258,取引先マスタ!$A$5:$A$204,0)),"コード誤り"))</f>
        <v/>
      </c>
      <c r="E258" s="26"/>
      <c r="F258" s="18"/>
      <c r="G258" s="25" t="str">
        <f aca="false">IF(OR(B258="",C258="",D258="コード誤り"),"",IFERROR(IF(OR(INDEX(取引先マスタ!$E$5:$E$204,MATCH(C258,取引先マスタ!$A$5:$A$204,0))="",INDEX(取引先マスタ!$F$5:$F$204,MATCH(C258,取引先マスタ!$A$5:$A$204,0))=""),"",DATE(YEAR(B258),MONTH(B258)+INDEX(取引先マスタ!$E$5:$E$204,MATCH(C258,取引先マスタ!$A$5:$A$204,0)),MIN(INDEX(取引先マスタ!$F$5:$F$204,MATCH(C258,取引先マスタ!$A$5:$A$204,0)),DAY(EOMONTH(B258,INDEX(取引先マスタ!$E$5:$E$204,MATCH(C258,取引先マスタ!$A$5:$A$204,0))))))),""))</f>
        <v/>
      </c>
      <c r="H258" s="22"/>
      <c r="I258" s="25" t="str">
        <f aca="false">IF(H258&lt;&gt;"",H258,G258)</f>
        <v/>
      </c>
      <c r="J258" s="26"/>
      <c r="K258" s="22"/>
      <c r="L258" s="26"/>
      <c r="M258" s="27" t="str">
        <f aca="false">IF(A258="","",SUMIF(入金明細!$F$5:$F$1004,A258,入金明細!$E$5:$E$1004))</f>
        <v/>
      </c>
      <c r="N258" s="25" t="str">
        <f aca="false">IF(OR(A258="",N(M258)=0),"",SUMPRODUCT(MAX((入金明細!$F$5:$F$1004=A258)*入金明細!$B$5:$B$1004)))</f>
        <v/>
      </c>
      <c r="O258" s="18"/>
      <c r="P258" s="27" t="str">
        <f aca="false">IF(OR(A258="",F258=""),"",F258-N(M258)-N(O258))</f>
        <v/>
      </c>
      <c r="Q258" s="26"/>
      <c r="R258" s="28" t="str">
        <f aca="false">IF(A258="","",IF(Q258="取消","取消",IF(T258&lt;&gt;"","要入力",IF(K258="","未送付",IF(P258=0,"入金済",IF(P258&lt;0,"過入金",IF(設定!$C$5&gt;I258,IF(N(M258)&gt;0,"一部入金・超過","期日超過"),IF(N(M258)&gt;0,"一部入金",IF(I258-設定!$C$5&lt;=設定!$C$6,"期日間近","入金待ち")))))))))</f>
        <v/>
      </c>
      <c r="S258" s="29" t="str">
        <f aca="false">IF(OR(R258="期日超過",R258="一部入金・超過"),設定!$C$5-I258,"")</f>
        <v/>
      </c>
      <c r="T258" s="21" t="str">
        <f aca="false">IF(A258="","",TRIM(IF(B258="","請求日 ","")&amp;IF(C258="","取引先 ",IF(D258="コード誤り","取引先コード誤り ",""))&amp;IF(E258="","件名 ","")&amp;IF(F258="","請求額 ","")&amp;IF(AND(F258&lt;&gt;"",I258=""),"入金期日(マスタの支払条件が未登録) ","")&amp;IF(J258="","送付方法 ","")&amp;IF(AND(K258&lt;&gt;"",L258=""),"送付者 ","")&amp;IF(AND(K258&lt;&gt;"",N(K258)&gt;設定!$C$5),"送付日が未来の日付 ","")&amp;IF(AND(K258&lt;&gt;"",N(M258)&gt;0,N(P258)&lt;=0,U258=""),"消込確認者 ","")))</f>
        <v/>
      </c>
      <c r="U258" s="26"/>
      <c r="V258" s="26"/>
    </row>
    <row r="259" customFormat="false" ht="15" hidden="false" customHeight="false" outlineLevel="0" collapsed="false">
      <c r="A259" s="21" t="str">
        <f aca="false">IF(COUNTA(B259,C259,E259,F259)=0,"",設定!$C$4&amp;TEXT(ROW()-4,"00000"))</f>
        <v/>
      </c>
      <c r="B259" s="22"/>
      <c r="C259" s="23"/>
      <c r="D259" s="21" t="str">
        <f aca="false">IF(C259="","",IFERROR(INDEX(取引先マスタ!$B$5:$B$204,MATCH(C259,取引先マスタ!$A$5:$A$204,0)),"コード誤り"))</f>
        <v/>
      </c>
      <c r="E259" s="26"/>
      <c r="F259" s="18"/>
      <c r="G259" s="25" t="str">
        <f aca="false">IF(OR(B259="",C259="",D259="コード誤り"),"",IFERROR(IF(OR(INDEX(取引先マスタ!$E$5:$E$204,MATCH(C259,取引先マスタ!$A$5:$A$204,0))="",INDEX(取引先マスタ!$F$5:$F$204,MATCH(C259,取引先マスタ!$A$5:$A$204,0))=""),"",DATE(YEAR(B259),MONTH(B259)+INDEX(取引先マスタ!$E$5:$E$204,MATCH(C259,取引先マスタ!$A$5:$A$204,0)),MIN(INDEX(取引先マスタ!$F$5:$F$204,MATCH(C259,取引先マスタ!$A$5:$A$204,0)),DAY(EOMONTH(B259,INDEX(取引先マスタ!$E$5:$E$204,MATCH(C259,取引先マスタ!$A$5:$A$204,0))))))),""))</f>
        <v/>
      </c>
      <c r="H259" s="22"/>
      <c r="I259" s="25" t="str">
        <f aca="false">IF(H259&lt;&gt;"",H259,G259)</f>
        <v/>
      </c>
      <c r="J259" s="26"/>
      <c r="K259" s="22"/>
      <c r="L259" s="26"/>
      <c r="M259" s="27" t="str">
        <f aca="false">IF(A259="","",SUMIF(入金明細!$F$5:$F$1004,A259,入金明細!$E$5:$E$1004))</f>
        <v/>
      </c>
      <c r="N259" s="25" t="str">
        <f aca="false">IF(OR(A259="",N(M259)=0),"",SUMPRODUCT(MAX((入金明細!$F$5:$F$1004=A259)*入金明細!$B$5:$B$1004)))</f>
        <v/>
      </c>
      <c r="O259" s="18"/>
      <c r="P259" s="27" t="str">
        <f aca="false">IF(OR(A259="",F259=""),"",F259-N(M259)-N(O259))</f>
        <v/>
      </c>
      <c r="Q259" s="26"/>
      <c r="R259" s="28" t="str">
        <f aca="false">IF(A259="","",IF(Q259="取消","取消",IF(T259&lt;&gt;"","要入力",IF(K259="","未送付",IF(P259=0,"入金済",IF(P259&lt;0,"過入金",IF(設定!$C$5&gt;I259,IF(N(M259)&gt;0,"一部入金・超過","期日超過"),IF(N(M259)&gt;0,"一部入金",IF(I259-設定!$C$5&lt;=設定!$C$6,"期日間近","入金待ち")))))))))</f>
        <v/>
      </c>
      <c r="S259" s="29" t="str">
        <f aca="false">IF(OR(R259="期日超過",R259="一部入金・超過"),設定!$C$5-I259,"")</f>
        <v/>
      </c>
      <c r="T259" s="21" t="str">
        <f aca="false">IF(A259="","",TRIM(IF(B259="","請求日 ","")&amp;IF(C259="","取引先 ",IF(D259="コード誤り","取引先コード誤り ",""))&amp;IF(E259="","件名 ","")&amp;IF(F259="","請求額 ","")&amp;IF(AND(F259&lt;&gt;"",I259=""),"入金期日(マスタの支払条件が未登録) ","")&amp;IF(J259="","送付方法 ","")&amp;IF(AND(K259&lt;&gt;"",L259=""),"送付者 ","")&amp;IF(AND(K259&lt;&gt;"",N(K259)&gt;設定!$C$5),"送付日が未来の日付 ","")&amp;IF(AND(K259&lt;&gt;"",N(M259)&gt;0,N(P259)&lt;=0,U259=""),"消込確認者 ","")))</f>
        <v/>
      </c>
      <c r="U259" s="26"/>
      <c r="V259" s="26"/>
    </row>
    <row r="260" customFormat="false" ht="15" hidden="false" customHeight="false" outlineLevel="0" collapsed="false">
      <c r="A260" s="21" t="str">
        <f aca="false">IF(COUNTA(B260,C260,E260,F260)=0,"",設定!$C$4&amp;TEXT(ROW()-4,"00000"))</f>
        <v/>
      </c>
      <c r="B260" s="22"/>
      <c r="C260" s="23"/>
      <c r="D260" s="21" t="str">
        <f aca="false">IF(C260="","",IFERROR(INDEX(取引先マスタ!$B$5:$B$204,MATCH(C260,取引先マスタ!$A$5:$A$204,0)),"コード誤り"))</f>
        <v/>
      </c>
      <c r="E260" s="26"/>
      <c r="F260" s="18"/>
      <c r="G260" s="25" t="str">
        <f aca="false">IF(OR(B260="",C260="",D260="コード誤り"),"",IFERROR(IF(OR(INDEX(取引先マスタ!$E$5:$E$204,MATCH(C260,取引先マスタ!$A$5:$A$204,0))="",INDEX(取引先マスタ!$F$5:$F$204,MATCH(C260,取引先マスタ!$A$5:$A$204,0))=""),"",DATE(YEAR(B260),MONTH(B260)+INDEX(取引先マスタ!$E$5:$E$204,MATCH(C260,取引先マスタ!$A$5:$A$204,0)),MIN(INDEX(取引先マスタ!$F$5:$F$204,MATCH(C260,取引先マスタ!$A$5:$A$204,0)),DAY(EOMONTH(B260,INDEX(取引先マスタ!$E$5:$E$204,MATCH(C260,取引先マスタ!$A$5:$A$204,0))))))),""))</f>
        <v/>
      </c>
      <c r="H260" s="22"/>
      <c r="I260" s="25" t="str">
        <f aca="false">IF(H260&lt;&gt;"",H260,G260)</f>
        <v/>
      </c>
      <c r="J260" s="26"/>
      <c r="K260" s="22"/>
      <c r="L260" s="26"/>
      <c r="M260" s="27" t="str">
        <f aca="false">IF(A260="","",SUMIF(入金明細!$F$5:$F$1004,A260,入金明細!$E$5:$E$1004))</f>
        <v/>
      </c>
      <c r="N260" s="25" t="str">
        <f aca="false">IF(OR(A260="",N(M260)=0),"",SUMPRODUCT(MAX((入金明細!$F$5:$F$1004=A260)*入金明細!$B$5:$B$1004)))</f>
        <v/>
      </c>
      <c r="O260" s="18"/>
      <c r="P260" s="27" t="str">
        <f aca="false">IF(OR(A260="",F260=""),"",F260-N(M260)-N(O260))</f>
        <v/>
      </c>
      <c r="Q260" s="26"/>
      <c r="R260" s="28" t="str">
        <f aca="false">IF(A260="","",IF(Q260="取消","取消",IF(T260&lt;&gt;"","要入力",IF(K260="","未送付",IF(P260=0,"入金済",IF(P260&lt;0,"過入金",IF(設定!$C$5&gt;I260,IF(N(M260)&gt;0,"一部入金・超過","期日超過"),IF(N(M260)&gt;0,"一部入金",IF(I260-設定!$C$5&lt;=設定!$C$6,"期日間近","入金待ち")))))))))</f>
        <v/>
      </c>
      <c r="S260" s="29" t="str">
        <f aca="false">IF(OR(R260="期日超過",R260="一部入金・超過"),設定!$C$5-I260,"")</f>
        <v/>
      </c>
      <c r="T260" s="21" t="str">
        <f aca="false">IF(A260="","",TRIM(IF(B260="","請求日 ","")&amp;IF(C260="","取引先 ",IF(D260="コード誤り","取引先コード誤り ",""))&amp;IF(E260="","件名 ","")&amp;IF(F260="","請求額 ","")&amp;IF(AND(F260&lt;&gt;"",I260=""),"入金期日(マスタの支払条件が未登録) ","")&amp;IF(J260="","送付方法 ","")&amp;IF(AND(K260&lt;&gt;"",L260=""),"送付者 ","")&amp;IF(AND(K260&lt;&gt;"",N(K260)&gt;設定!$C$5),"送付日が未来の日付 ","")&amp;IF(AND(K260&lt;&gt;"",N(M260)&gt;0,N(P260)&lt;=0,U260=""),"消込確認者 ","")))</f>
        <v/>
      </c>
      <c r="U260" s="26"/>
      <c r="V260" s="26"/>
    </row>
    <row r="261" customFormat="false" ht="15" hidden="false" customHeight="false" outlineLevel="0" collapsed="false">
      <c r="A261" s="21" t="str">
        <f aca="false">IF(COUNTA(B261,C261,E261,F261)=0,"",設定!$C$4&amp;TEXT(ROW()-4,"00000"))</f>
        <v/>
      </c>
      <c r="B261" s="22"/>
      <c r="C261" s="23"/>
      <c r="D261" s="21" t="str">
        <f aca="false">IF(C261="","",IFERROR(INDEX(取引先マスタ!$B$5:$B$204,MATCH(C261,取引先マスタ!$A$5:$A$204,0)),"コード誤り"))</f>
        <v/>
      </c>
      <c r="E261" s="26"/>
      <c r="F261" s="18"/>
      <c r="G261" s="25" t="str">
        <f aca="false">IF(OR(B261="",C261="",D261="コード誤り"),"",IFERROR(IF(OR(INDEX(取引先マスタ!$E$5:$E$204,MATCH(C261,取引先マスタ!$A$5:$A$204,0))="",INDEX(取引先マスタ!$F$5:$F$204,MATCH(C261,取引先マスタ!$A$5:$A$204,0))=""),"",DATE(YEAR(B261),MONTH(B261)+INDEX(取引先マスタ!$E$5:$E$204,MATCH(C261,取引先マスタ!$A$5:$A$204,0)),MIN(INDEX(取引先マスタ!$F$5:$F$204,MATCH(C261,取引先マスタ!$A$5:$A$204,0)),DAY(EOMONTH(B261,INDEX(取引先マスタ!$E$5:$E$204,MATCH(C261,取引先マスタ!$A$5:$A$204,0))))))),""))</f>
        <v/>
      </c>
      <c r="H261" s="22"/>
      <c r="I261" s="25" t="str">
        <f aca="false">IF(H261&lt;&gt;"",H261,G261)</f>
        <v/>
      </c>
      <c r="J261" s="26"/>
      <c r="K261" s="22"/>
      <c r="L261" s="26"/>
      <c r="M261" s="27" t="str">
        <f aca="false">IF(A261="","",SUMIF(入金明細!$F$5:$F$1004,A261,入金明細!$E$5:$E$1004))</f>
        <v/>
      </c>
      <c r="N261" s="25" t="str">
        <f aca="false">IF(OR(A261="",N(M261)=0),"",SUMPRODUCT(MAX((入金明細!$F$5:$F$1004=A261)*入金明細!$B$5:$B$1004)))</f>
        <v/>
      </c>
      <c r="O261" s="18"/>
      <c r="P261" s="27" t="str">
        <f aca="false">IF(OR(A261="",F261=""),"",F261-N(M261)-N(O261))</f>
        <v/>
      </c>
      <c r="Q261" s="26"/>
      <c r="R261" s="28" t="str">
        <f aca="false">IF(A261="","",IF(Q261="取消","取消",IF(T261&lt;&gt;"","要入力",IF(K261="","未送付",IF(P261=0,"入金済",IF(P261&lt;0,"過入金",IF(設定!$C$5&gt;I261,IF(N(M261)&gt;0,"一部入金・超過","期日超過"),IF(N(M261)&gt;0,"一部入金",IF(I261-設定!$C$5&lt;=設定!$C$6,"期日間近","入金待ち")))))))))</f>
        <v/>
      </c>
      <c r="S261" s="29" t="str">
        <f aca="false">IF(OR(R261="期日超過",R261="一部入金・超過"),設定!$C$5-I261,"")</f>
        <v/>
      </c>
      <c r="T261" s="21" t="str">
        <f aca="false">IF(A261="","",TRIM(IF(B261="","請求日 ","")&amp;IF(C261="","取引先 ",IF(D261="コード誤り","取引先コード誤り ",""))&amp;IF(E261="","件名 ","")&amp;IF(F261="","請求額 ","")&amp;IF(AND(F261&lt;&gt;"",I261=""),"入金期日(マスタの支払条件が未登録) ","")&amp;IF(J261="","送付方法 ","")&amp;IF(AND(K261&lt;&gt;"",L261=""),"送付者 ","")&amp;IF(AND(K261&lt;&gt;"",N(K261)&gt;設定!$C$5),"送付日が未来の日付 ","")&amp;IF(AND(K261&lt;&gt;"",N(M261)&gt;0,N(P261)&lt;=0,U261=""),"消込確認者 ","")))</f>
        <v/>
      </c>
      <c r="U261" s="26"/>
      <c r="V261" s="26"/>
    </row>
    <row r="262" customFormat="false" ht="15" hidden="false" customHeight="false" outlineLevel="0" collapsed="false">
      <c r="A262" s="21" t="str">
        <f aca="false">IF(COUNTA(B262,C262,E262,F262)=0,"",設定!$C$4&amp;TEXT(ROW()-4,"00000"))</f>
        <v/>
      </c>
      <c r="B262" s="22"/>
      <c r="C262" s="23"/>
      <c r="D262" s="21" t="str">
        <f aca="false">IF(C262="","",IFERROR(INDEX(取引先マスタ!$B$5:$B$204,MATCH(C262,取引先マスタ!$A$5:$A$204,0)),"コード誤り"))</f>
        <v/>
      </c>
      <c r="E262" s="26"/>
      <c r="F262" s="18"/>
      <c r="G262" s="25" t="str">
        <f aca="false">IF(OR(B262="",C262="",D262="コード誤り"),"",IFERROR(IF(OR(INDEX(取引先マスタ!$E$5:$E$204,MATCH(C262,取引先マスタ!$A$5:$A$204,0))="",INDEX(取引先マスタ!$F$5:$F$204,MATCH(C262,取引先マスタ!$A$5:$A$204,0))=""),"",DATE(YEAR(B262),MONTH(B262)+INDEX(取引先マスタ!$E$5:$E$204,MATCH(C262,取引先マスタ!$A$5:$A$204,0)),MIN(INDEX(取引先マスタ!$F$5:$F$204,MATCH(C262,取引先マスタ!$A$5:$A$204,0)),DAY(EOMONTH(B262,INDEX(取引先マスタ!$E$5:$E$204,MATCH(C262,取引先マスタ!$A$5:$A$204,0))))))),""))</f>
        <v/>
      </c>
      <c r="H262" s="22"/>
      <c r="I262" s="25" t="str">
        <f aca="false">IF(H262&lt;&gt;"",H262,G262)</f>
        <v/>
      </c>
      <c r="J262" s="26"/>
      <c r="K262" s="22"/>
      <c r="L262" s="26"/>
      <c r="M262" s="27" t="str">
        <f aca="false">IF(A262="","",SUMIF(入金明細!$F$5:$F$1004,A262,入金明細!$E$5:$E$1004))</f>
        <v/>
      </c>
      <c r="N262" s="25" t="str">
        <f aca="false">IF(OR(A262="",N(M262)=0),"",SUMPRODUCT(MAX((入金明細!$F$5:$F$1004=A262)*入金明細!$B$5:$B$1004)))</f>
        <v/>
      </c>
      <c r="O262" s="18"/>
      <c r="P262" s="27" t="str">
        <f aca="false">IF(OR(A262="",F262=""),"",F262-N(M262)-N(O262))</f>
        <v/>
      </c>
      <c r="Q262" s="26"/>
      <c r="R262" s="28" t="str">
        <f aca="false">IF(A262="","",IF(Q262="取消","取消",IF(T262&lt;&gt;"","要入力",IF(K262="","未送付",IF(P262=0,"入金済",IF(P262&lt;0,"過入金",IF(設定!$C$5&gt;I262,IF(N(M262)&gt;0,"一部入金・超過","期日超過"),IF(N(M262)&gt;0,"一部入金",IF(I262-設定!$C$5&lt;=設定!$C$6,"期日間近","入金待ち")))))))))</f>
        <v/>
      </c>
      <c r="S262" s="29" t="str">
        <f aca="false">IF(OR(R262="期日超過",R262="一部入金・超過"),設定!$C$5-I262,"")</f>
        <v/>
      </c>
      <c r="T262" s="21" t="str">
        <f aca="false">IF(A262="","",TRIM(IF(B262="","請求日 ","")&amp;IF(C262="","取引先 ",IF(D262="コード誤り","取引先コード誤り ",""))&amp;IF(E262="","件名 ","")&amp;IF(F262="","請求額 ","")&amp;IF(AND(F262&lt;&gt;"",I262=""),"入金期日(マスタの支払条件が未登録) ","")&amp;IF(J262="","送付方法 ","")&amp;IF(AND(K262&lt;&gt;"",L262=""),"送付者 ","")&amp;IF(AND(K262&lt;&gt;"",N(K262)&gt;設定!$C$5),"送付日が未来の日付 ","")&amp;IF(AND(K262&lt;&gt;"",N(M262)&gt;0,N(P262)&lt;=0,U262=""),"消込確認者 ","")))</f>
        <v/>
      </c>
      <c r="U262" s="26"/>
      <c r="V262" s="26"/>
    </row>
    <row r="263" customFormat="false" ht="15" hidden="false" customHeight="false" outlineLevel="0" collapsed="false">
      <c r="A263" s="21" t="str">
        <f aca="false">IF(COUNTA(B263,C263,E263,F263)=0,"",設定!$C$4&amp;TEXT(ROW()-4,"00000"))</f>
        <v/>
      </c>
      <c r="B263" s="22"/>
      <c r="C263" s="23"/>
      <c r="D263" s="21" t="str">
        <f aca="false">IF(C263="","",IFERROR(INDEX(取引先マスタ!$B$5:$B$204,MATCH(C263,取引先マスタ!$A$5:$A$204,0)),"コード誤り"))</f>
        <v/>
      </c>
      <c r="E263" s="26"/>
      <c r="F263" s="18"/>
      <c r="G263" s="25" t="str">
        <f aca="false">IF(OR(B263="",C263="",D263="コード誤り"),"",IFERROR(IF(OR(INDEX(取引先マスタ!$E$5:$E$204,MATCH(C263,取引先マスタ!$A$5:$A$204,0))="",INDEX(取引先マスタ!$F$5:$F$204,MATCH(C263,取引先マスタ!$A$5:$A$204,0))=""),"",DATE(YEAR(B263),MONTH(B263)+INDEX(取引先マスタ!$E$5:$E$204,MATCH(C263,取引先マスタ!$A$5:$A$204,0)),MIN(INDEX(取引先マスタ!$F$5:$F$204,MATCH(C263,取引先マスタ!$A$5:$A$204,0)),DAY(EOMONTH(B263,INDEX(取引先マスタ!$E$5:$E$204,MATCH(C263,取引先マスタ!$A$5:$A$204,0))))))),""))</f>
        <v/>
      </c>
      <c r="H263" s="22"/>
      <c r="I263" s="25" t="str">
        <f aca="false">IF(H263&lt;&gt;"",H263,G263)</f>
        <v/>
      </c>
      <c r="J263" s="26"/>
      <c r="K263" s="22"/>
      <c r="L263" s="26"/>
      <c r="M263" s="27" t="str">
        <f aca="false">IF(A263="","",SUMIF(入金明細!$F$5:$F$1004,A263,入金明細!$E$5:$E$1004))</f>
        <v/>
      </c>
      <c r="N263" s="25" t="str">
        <f aca="false">IF(OR(A263="",N(M263)=0),"",SUMPRODUCT(MAX((入金明細!$F$5:$F$1004=A263)*入金明細!$B$5:$B$1004)))</f>
        <v/>
      </c>
      <c r="O263" s="18"/>
      <c r="P263" s="27" t="str">
        <f aca="false">IF(OR(A263="",F263=""),"",F263-N(M263)-N(O263))</f>
        <v/>
      </c>
      <c r="Q263" s="26"/>
      <c r="R263" s="28" t="str">
        <f aca="false">IF(A263="","",IF(Q263="取消","取消",IF(T263&lt;&gt;"","要入力",IF(K263="","未送付",IF(P263=0,"入金済",IF(P263&lt;0,"過入金",IF(設定!$C$5&gt;I263,IF(N(M263)&gt;0,"一部入金・超過","期日超過"),IF(N(M263)&gt;0,"一部入金",IF(I263-設定!$C$5&lt;=設定!$C$6,"期日間近","入金待ち")))))))))</f>
        <v/>
      </c>
      <c r="S263" s="29" t="str">
        <f aca="false">IF(OR(R263="期日超過",R263="一部入金・超過"),設定!$C$5-I263,"")</f>
        <v/>
      </c>
      <c r="T263" s="21" t="str">
        <f aca="false">IF(A263="","",TRIM(IF(B263="","請求日 ","")&amp;IF(C263="","取引先 ",IF(D263="コード誤り","取引先コード誤り ",""))&amp;IF(E263="","件名 ","")&amp;IF(F263="","請求額 ","")&amp;IF(AND(F263&lt;&gt;"",I263=""),"入金期日(マスタの支払条件が未登録) ","")&amp;IF(J263="","送付方法 ","")&amp;IF(AND(K263&lt;&gt;"",L263=""),"送付者 ","")&amp;IF(AND(K263&lt;&gt;"",N(K263)&gt;設定!$C$5),"送付日が未来の日付 ","")&amp;IF(AND(K263&lt;&gt;"",N(M263)&gt;0,N(P263)&lt;=0,U263=""),"消込確認者 ","")))</f>
        <v/>
      </c>
      <c r="U263" s="26"/>
      <c r="V263" s="26"/>
    </row>
    <row r="264" customFormat="false" ht="15" hidden="false" customHeight="false" outlineLevel="0" collapsed="false">
      <c r="A264" s="21" t="str">
        <f aca="false">IF(COUNTA(B264,C264,E264,F264)=0,"",設定!$C$4&amp;TEXT(ROW()-4,"00000"))</f>
        <v/>
      </c>
      <c r="B264" s="22"/>
      <c r="C264" s="23"/>
      <c r="D264" s="21" t="str">
        <f aca="false">IF(C264="","",IFERROR(INDEX(取引先マスタ!$B$5:$B$204,MATCH(C264,取引先マスタ!$A$5:$A$204,0)),"コード誤り"))</f>
        <v/>
      </c>
      <c r="E264" s="26"/>
      <c r="F264" s="18"/>
      <c r="G264" s="25" t="str">
        <f aca="false">IF(OR(B264="",C264="",D264="コード誤り"),"",IFERROR(IF(OR(INDEX(取引先マスタ!$E$5:$E$204,MATCH(C264,取引先マスタ!$A$5:$A$204,0))="",INDEX(取引先マスタ!$F$5:$F$204,MATCH(C264,取引先マスタ!$A$5:$A$204,0))=""),"",DATE(YEAR(B264),MONTH(B264)+INDEX(取引先マスタ!$E$5:$E$204,MATCH(C264,取引先マスタ!$A$5:$A$204,0)),MIN(INDEX(取引先マスタ!$F$5:$F$204,MATCH(C264,取引先マスタ!$A$5:$A$204,0)),DAY(EOMONTH(B264,INDEX(取引先マスタ!$E$5:$E$204,MATCH(C264,取引先マスタ!$A$5:$A$204,0))))))),""))</f>
        <v/>
      </c>
      <c r="H264" s="22"/>
      <c r="I264" s="25" t="str">
        <f aca="false">IF(H264&lt;&gt;"",H264,G264)</f>
        <v/>
      </c>
      <c r="J264" s="26"/>
      <c r="K264" s="22"/>
      <c r="L264" s="26"/>
      <c r="M264" s="27" t="str">
        <f aca="false">IF(A264="","",SUMIF(入金明細!$F$5:$F$1004,A264,入金明細!$E$5:$E$1004))</f>
        <v/>
      </c>
      <c r="N264" s="25" t="str">
        <f aca="false">IF(OR(A264="",N(M264)=0),"",SUMPRODUCT(MAX((入金明細!$F$5:$F$1004=A264)*入金明細!$B$5:$B$1004)))</f>
        <v/>
      </c>
      <c r="O264" s="18"/>
      <c r="P264" s="27" t="str">
        <f aca="false">IF(OR(A264="",F264=""),"",F264-N(M264)-N(O264))</f>
        <v/>
      </c>
      <c r="Q264" s="26"/>
      <c r="R264" s="28" t="str">
        <f aca="false">IF(A264="","",IF(Q264="取消","取消",IF(T264&lt;&gt;"","要入力",IF(K264="","未送付",IF(P264=0,"入金済",IF(P264&lt;0,"過入金",IF(設定!$C$5&gt;I264,IF(N(M264)&gt;0,"一部入金・超過","期日超過"),IF(N(M264)&gt;0,"一部入金",IF(I264-設定!$C$5&lt;=設定!$C$6,"期日間近","入金待ち")))))))))</f>
        <v/>
      </c>
      <c r="S264" s="29" t="str">
        <f aca="false">IF(OR(R264="期日超過",R264="一部入金・超過"),設定!$C$5-I264,"")</f>
        <v/>
      </c>
      <c r="T264" s="21" t="str">
        <f aca="false">IF(A264="","",TRIM(IF(B264="","請求日 ","")&amp;IF(C264="","取引先 ",IF(D264="コード誤り","取引先コード誤り ",""))&amp;IF(E264="","件名 ","")&amp;IF(F264="","請求額 ","")&amp;IF(AND(F264&lt;&gt;"",I264=""),"入金期日(マスタの支払条件が未登録) ","")&amp;IF(J264="","送付方法 ","")&amp;IF(AND(K264&lt;&gt;"",L264=""),"送付者 ","")&amp;IF(AND(K264&lt;&gt;"",N(K264)&gt;設定!$C$5),"送付日が未来の日付 ","")&amp;IF(AND(K264&lt;&gt;"",N(M264)&gt;0,N(P264)&lt;=0,U264=""),"消込確認者 ","")))</f>
        <v/>
      </c>
      <c r="U264" s="26"/>
      <c r="V264" s="26"/>
    </row>
    <row r="265" customFormat="false" ht="15" hidden="false" customHeight="false" outlineLevel="0" collapsed="false">
      <c r="A265" s="21" t="str">
        <f aca="false">IF(COUNTA(B265,C265,E265,F265)=0,"",設定!$C$4&amp;TEXT(ROW()-4,"00000"))</f>
        <v/>
      </c>
      <c r="B265" s="22"/>
      <c r="C265" s="23"/>
      <c r="D265" s="21" t="str">
        <f aca="false">IF(C265="","",IFERROR(INDEX(取引先マスタ!$B$5:$B$204,MATCH(C265,取引先マスタ!$A$5:$A$204,0)),"コード誤り"))</f>
        <v/>
      </c>
      <c r="E265" s="26"/>
      <c r="F265" s="18"/>
      <c r="G265" s="25" t="str">
        <f aca="false">IF(OR(B265="",C265="",D265="コード誤り"),"",IFERROR(IF(OR(INDEX(取引先マスタ!$E$5:$E$204,MATCH(C265,取引先マスタ!$A$5:$A$204,0))="",INDEX(取引先マスタ!$F$5:$F$204,MATCH(C265,取引先マスタ!$A$5:$A$204,0))=""),"",DATE(YEAR(B265),MONTH(B265)+INDEX(取引先マスタ!$E$5:$E$204,MATCH(C265,取引先マスタ!$A$5:$A$204,0)),MIN(INDEX(取引先マスタ!$F$5:$F$204,MATCH(C265,取引先マスタ!$A$5:$A$204,0)),DAY(EOMONTH(B265,INDEX(取引先マスタ!$E$5:$E$204,MATCH(C265,取引先マスタ!$A$5:$A$204,0))))))),""))</f>
        <v/>
      </c>
      <c r="H265" s="22"/>
      <c r="I265" s="25" t="str">
        <f aca="false">IF(H265&lt;&gt;"",H265,G265)</f>
        <v/>
      </c>
      <c r="J265" s="26"/>
      <c r="K265" s="22"/>
      <c r="L265" s="26"/>
      <c r="M265" s="27" t="str">
        <f aca="false">IF(A265="","",SUMIF(入金明細!$F$5:$F$1004,A265,入金明細!$E$5:$E$1004))</f>
        <v/>
      </c>
      <c r="N265" s="25" t="str">
        <f aca="false">IF(OR(A265="",N(M265)=0),"",SUMPRODUCT(MAX((入金明細!$F$5:$F$1004=A265)*入金明細!$B$5:$B$1004)))</f>
        <v/>
      </c>
      <c r="O265" s="18"/>
      <c r="P265" s="27" t="str">
        <f aca="false">IF(OR(A265="",F265=""),"",F265-N(M265)-N(O265))</f>
        <v/>
      </c>
      <c r="Q265" s="26"/>
      <c r="R265" s="28" t="str">
        <f aca="false">IF(A265="","",IF(Q265="取消","取消",IF(T265&lt;&gt;"","要入力",IF(K265="","未送付",IF(P265=0,"入金済",IF(P265&lt;0,"過入金",IF(設定!$C$5&gt;I265,IF(N(M265)&gt;0,"一部入金・超過","期日超過"),IF(N(M265)&gt;0,"一部入金",IF(I265-設定!$C$5&lt;=設定!$C$6,"期日間近","入金待ち")))))))))</f>
        <v/>
      </c>
      <c r="S265" s="29" t="str">
        <f aca="false">IF(OR(R265="期日超過",R265="一部入金・超過"),設定!$C$5-I265,"")</f>
        <v/>
      </c>
      <c r="T265" s="21" t="str">
        <f aca="false">IF(A265="","",TRIM(IF(B265="","請求日 ","")&amp;IF(C265="","取引先 ",IF(D265="コード誤り","取引先コード誤り ",""))&amp;IF(E265="","件名 ","")&amp;IF(F265="","請求額 ","")&amp;IF(AND(F265&lt;&gt;"",I265=""),"入金期日(マスタの支払条件が未登録) ","")&amp;IF(J265="","送付方法 ","")&amp;IF(AND(K265&lt;&gt;"",L265=""),"送付者 ","")&amp;IF(AND(K265&lt;&gt;"",N(K265)&gt;設定!$C$5),"送付日が未来の日付 ","")&amp;IF(AND(K265&lt;&gt;"",N(M265)&gt;0,N(P265)&lt;=0,U265=""),"消込確認者 ","")))</f>
        <v/>
      </c>
      <c r="U265" s="26"/>
      <c r="V265" s="26"/>
    </row>
    <row r="266" customFormat="false" ht="15" hidden="false" customHeight="false" outlineLevel="0" collapsed="false">
      <c r="A266" s="21" t="str">
        <f aca="false">IF(COUNTA(B266,C266,E266,F266)=0,"",設定!$C$4&amp;TEXT(ROW()-4,"00000"))</f>
        <v/>
      </c>
      <c r="B266" s="22"/>
      <c r="C266" s="23"/>
      <c r="D266" s="21" t="str">
        <f aca="false">IF(C266="","",IFERROR(INDEX(取引先マスタ!$B$5:$B$204,MATCH(C266,取引先マスタ!$A$5:$A$204,0)),"コード誤り"))</f>
        <v/>
      </c>
      <c r="E266" s="26"/>
      <c r="F266" s="18"/>
      <c r="G266" s="25" t="str">
        <f aca="false">IF(OR(B266="",C266="",D266="コード誤り"),"",IFERROR(IF(OR(INDEX(取引先マスタ!$E$5:$E$204,MATCH(C266,取引先マスタ!$A$5:$A$204,0))="",INDEX(取引先マスタ!$F$5:$F$204,MATCH(C266,取引先マスタ!$A$5:$A$204,0))=""),"",DATE(YEAR(B266),MONTH(B266)+INDEX(取引先マスタ!$E$5:$E$204,MATCH(C266,取引先マスタ!$A$5:$A$204,0)),MIN(INDEX(取引先マスタ!$F$5:$F$204,MATCH(C266,取引先マスタ!$A$5:$A$204,0)),DAY(EOMONTH(B266,INDEX(取引先マスタ!$E$5:$E$204,MATCH(C266,取引先マスタ!$A$5:$A$204,0))))))),""))</f>
        <v/>
      </c>
      <c r="H266" s="22"/>
      <c r="I266" s="25" t="str">
        <f aca="false">IF(H266&lt;&gt;"",H266,G266)</f>
        <v/>
      </c>
      <c r="J266" s="26"/>
      <c r="K266" s="22"/>
      <c r="L266" s="26"/>
      <c r="M266" s="27" t="str">
        <f aca="false">IF(A266="","",SUMIF(入金明細!$F$5:$F$1004,A266,入金明細!$E$5:$E$1004))</f>
        <v/>
      </c>
      <c r="N266" s="25" t="str">
        <f aca="false">IF(OR(A266="",N(M266)=0),"",SUMPRODUCT(MAX((入金明細!$F$5:$F$1004=A266)*入金明細!$B$5:$B$1004)))</f>
        <v/>
      </c>
      <c r="O266" s="18"/>
      <c r="P266" s="27" t="str">
        <f aca="false">IF(OR(A266="",F266=""),"",F266-N(M266)-N(O266))</f>
        <v/>
      </c>
      <c r="Q266" s="26"/>
      <c r="R266" s="28" t="str">
        <f aca="false">IF(A266="","",IF(Q266="取消","取消",IF(T266&lt;&gt;"","要入力",IF(K266="","未送付",IF(P266=0,"入金済",IF(P266&lt;0,"過入金",IF(設定!$C$5&gt;I266,IF(N(M266)&gt;0,"一部入金・超過","期日超過"),IF(N(M266)&gt;0,"一部入金",IF(I266-設定!$C$5&lt;=設定!$C$6,"期日間近","入金待ち")))))))))</f>
        <v/>
      </c>
      <c r="S266" s="29" t="str">
        <f aca="false">IF(OR(R266="期日超過",R266="一部入金・超過"),設定!$C$5-I266,"")</f>
        <v/>
      </c>
      <c r="T266" s="21" t="str">
        <f aca="false">IF(A266="","",TRIM(IF(B266="","請求日 ","")&amp;IF(C266="","取引先 ",IF(D266="コード誤り","取引先コード誤り ",""))&amp;IF(E266="","件名 ","")&amp;IF(F266="","請求額 ","")&amp;IF(AND(F266&lt;&gt;"",I266=""),"入金期日(マスタの支払条件が未登録) ","")&amp;IF(J266="","送付方法 ","")&amp;IF(AND(K266&lt;&gt;"",L266=""),"送付者 ","")&amp;IF(AND(K266&lt;&gt;"",N(K266)&gt;設定!$C$5),"送付日が未来の日付 ","")&amp;IF(AND(K266&lt;&gt;"",N(M266)&gt;0,N(P266)&lt;=0,U266=""),"消込確認者 ","")))</f>
        <v/>
      </c>
      <c r="U266" s="26"/>
      <c r="V266" s="26"/>
    </row>
    <row r="267" customFormat="false" ht="15" hidden="false" customHeight="false" outlineLevel="0" collapsed="false">
      <c r="A267" s="21" t="str">
        <f aca="false">IF(COUNTA(B267,C267,E267,F267)=0,"",設定!$C$4&amp;TEXT(ROW()-4,"00000"))</f>
        <v/>
      </c>
      <c r="B267" s="22"/>
      <c r="C267" s="23"/>
      <c r="D267" s="21" t="str">
        <f aca="false">IF(C267="","",IFERROR(INDEX(取引先マスタ!$B$5:$B$204,MATCH(C267,取引先マスタ!$A$5:$A$204,0)),"コード誤り"))</f>
        <v/>
      </c>
      <c r="E267" s="26"/>
      <c r="F267" s="18"/>
      <c r="G267" s="25" t="str">
        <f aca="false">IF(OR(B267="",C267="",D267="コード誤り"),"",IFERROR(IF(OR(INDEX(取引先マスタ!$E$5:$E$204,MATCH(C267,取引先マスタ!$A$5:$A$204,0))="",INDEX(取引先マスタ!$F$5:$F$204,MATCH(C267,取引先マスタ!$A$5:$A$204,0))=""),"",DATE(YEAR(B267),MONTH(B267)+INDEX(取引先マスタ!$E$5:$E$204,MATCH(C267,取引先マスタ!$A$5:$A$204,0)),MIN(INDEX(取引先マスタ!$F$5:$F$204,MATCH(C267,取引先マスタ!$A$5:$A$204,0)),DAY(EOMONTH(B267,INDEX(取引先マスタ!$E$5:$E$204,MATCH(C267,取引先マスタ!$A$5:$A$204,0))))))),""))</f>
        <v/>
      </c>
      <c r="H267" s="22"/>
      <c r="I267" s="25" t="str">
        <f aca="false">IF(H267&lt;&gt;"",H267,G267)</f>
        <v/>
      </c>
      <c r="J267" s="26"/>
      <c r="K267" s="22"/>
      <c r="L267" s="26"/>
      <c r="M267" s="27" t="str">
        <f aca="false">IF(A267="","",SUMIF(入金明細!$F$5:$F$1004,A267,入金明細!$E$5:$E$1004))</f>
        <v/>
      </c>
      <c r="N267" s="25" t="str">
        <f aca="false">IF(OR(A267="",N(M267)=0),"",SUMPRODUCT(MAX((入金明細!$F$5:$F$1004=A267)*入金明細!$B$5:$B$1004)))</f>
        <v/>
      </c>
      <c r="O267" s="18"/>
      <c r="P267" s="27" t="str">
        <f aca="false">IF(OR(A267="",F267=""),"",F267-N(M267)-N(O267))</f>
        <v/>
      </c>
      <c r="Q267" s="26"/>
      <c r="R267" s="28" t="str">
        <f aca="false">IF(A267="","",IF(Q267="取消","取消",IF(T267&lt;&gt;"","要入力",IF(K267="","未送付",IF(P267=0,"入金済",IF(P267&lt;0,"過入金",IF(設定!$C$5&gt;I267,IF(N(M267)&gt;0,"一部入金・超過","期日超過"),IF(N(M267)&gt;0,"一部入金",IF(I267-設定!$C$5&lt;=設定!$C$6,"期日間近","入金待ち")))))))))</f>
        <v/>
      </c>
      <c r="S267" s="29" t="str">
        <f aca="false">IF(OR(R267="期日超過",R267="一部入金・超過"),設定!$C$5-I267,"")</f>
        <v/>
      </c>
      <c r="T267" s="21" t="str">
        <f aca="false">IF(A267="","",TRIM(IF(B267="","請求日 ","")&amp;IF(C267="","取引先 ",IF(D267="コード誤り","取引先コード誤り ",""))&amp;IF(E267="","件名 ","")&amp;IF(F267="","請求額 ","")&amp;IF(AND(F267&lt;&gt;"",I267=""),"入金期日(マスタの支払条件が未登録) ","")&amp;IF(J267="","送付方法 ","")&amp;IF(AND(K267&lt;&gt;"",L267=""),"送付者 ","")&amp;IF(AND(K267&lt;&gt;"",N(K267)&gt;設定!$C$5),"送付日が未来の日付 ","")&amp;IF(AND(K267&lt;&gt;"",N(M267)&gt;0,N(P267)&lt;=0,U267=""),"消込確認者 ","")))</f>
        <v/>
      </c>
      <c r="U267" s="26"/>
      <c r="V267" s="26"/>
    </row>
    <row r="268" customFormat="false" ht="15" hidden="false" customHeight="false" outlineLevel="0" collapsed="false">
      <c r="A268" s="21" t="str">
        <f aca="false">IF(COUNTA(B268,C268,E268,F268)=0,"",設定!$C$4&amp;TEXT(ROW()-4,"00000"))</f>
        <v/>
      </c>
      <c r="B268" s="22"/>
      <c r="C268" s="23"/>
      <c r="D268" s="21" t="str">
        <f aca="false">IF(C268="","",IFERROR(INDEX(取引先マスタ!$B$5:$B$204,MATCH(C268,取引先マスタ!$A$5:$A$204,0)),"コード誤り"))</f>
        <v/>
      </c>
      <c r="E268" s="26"/>
      <c r="F268" s="18"/>
      <c r="G268" s="25" t="str">
        <f aca="false">IF(OR(B268="",C268="",D268="コード誤り"),"",IFERROR(IF(OR(INDEX(取引先マスタ!$E$5:$E$204,MATCH(C268,取引先マスタ!$A$5:$A$204,0))="",INDEX(取引先マスタ!$F$5:$F$204,MATCH(C268,取引先マスタ!$A$5:$A$204,0))=""),"",DATE(YEAR(B268),MONTH(B268)+INDEX(取引先マスタ!$E$5:$E$204,MATCH(C268,取引先マスタ!$A$5:$A$204,0)),MIN(INDEX(取引先マスタ!$F$5:$F$204,MATCH(C268,取引先マスタ!$A$5:$A$204,0)),DAY(EOMONTH(B268,INDEX(取引先マスタ!$E$5:$E$204,MATCH(C268,取引先マスタ!$A$5:$A$204,0))))))),""))</f>
        <v/>
      </c>
      <c r="H268" s="22"/>
      <c r="I268" s="25" t="str">
        <f aca="false">IF(H268&lt;&gt;"",H268,G268)</f>
        <v/>
      </c>
      <c r="J268" s="26"/>
      <c r="K268" s="22"/>
      <c r="L268" s="26"/>
      <c r="M268" s="27" t="str">
        <f aca="false">IF(A268="","",SUMIF(入金明細!$F$5:$F$1004,A268,入金明細!$E$5:$E$1004))</f>
        <v/>
      </c>
      <c r="N268" s="25" t="str">
        <f aca="false">IF(OR(A268="",N(M268)=0),"",SUMPRODUCT(MAX((入金明細!$F$5:$F$1004=A268)*入金明細!$B$5:$B$1004)))</f>
        <v/>
      </c>
      <c r="O268" s="18"/>
      <c r="P268" s="27" t="str">
        <f aca="false">IF(OR(A268="",F268=""),"",F268-N(M268)-N(O268))</f>
        <v/>
      </c>
      <c r="Q268" s="26"/>
      <c r="R268" s="28" t="str">
        <f aca="false">IF(A268="","",IF(Q268="取消","取消",IF(T268&lt;&gt;"","要入力",IF(K268="","未送付",IF(P268=0,"入金済",IF(P268&lt;0,"過入金",IF(設定!$C$5&gt;I268,IF(N(M268)&gt;0,"一部入金・超過","期日超過"),IF(N(M268)&gt;0,"一部入金",IF(I268-設定!$C$5&lt;=設定!$C$6,"期日間近","入金待ち")))))))))</f>
        <v/>
      </c>
      <c r="S268" s="29" t="str">
        <f aca="false">IF(OR(R268="期日超過",R268="一部入金・超過"),設定!$C$5-I268,"")</f>
        <v/>
      </c>
      <c r="T268" s="21" t="str">
        <f aca="false">IF(A268="","",TRIM(IF(B268="","請求日 ","")&amp;IF(C268="","取引先 ",IF(D268="コード誤り","取引先コード誤り ",""))&amp;IF(E268="","件名 ","")&amp;IF(F268="","請求額 ","")&amp;IF(AND(F268&lt;&gt;"",I268=""),"入金期日(マスタの支払条件が未登録) ","")&amp;IF(J268="","送付方法 ","")&amp;IF(AND(K268&lt;&gt;"",L268=""),"送付者 ","")&amp;IF(AND(K268&lt;&gt;"",N(K268)&gt;設定!$C$5),"送付日が未来の日付 ","")&amp;IF(AND(K268&lt;&gt;"",N(M268)&gt;0,N(P268)&lt;=0,U268=""),"消込確認者 ","")))</f>
        <v/>
      </c>
      <c r="U268" s="26"/>
      <c r="V268" s="26"/>
    </row>
    <row r="269" customFormat="false" ht="15" hidden="false" customHeight="false" outlineLevel="0" collapsed="false">
      <c r="A269" s="21" t="str">
        <f aca="false">IF(COUNTA(B269,C269,E269,F269)=0,"",設定!$C$4&amp;TEXT(ROW()-4,"00000"))</f>
        <v/>
      </c>
      <c r="B269" s="22"/>
      <c r="C269" s="23"/>
      <c r="D269" s="21" t="str">
        <f aca="false">IF(C269="","",IFERROR(INDEX(取引先マスタ!$B$5:$B$204,MATCH(C269,取引先マスタ!$A$5:$A$204,0)),"コード誤り"))</f>
        <v/>
      </c>
      <c r="E269" s="26"/>
      <c r="F269" s="18"/>
      <c r="G269" s="25" t="str">
        <f aca="false">IF(OR(B269="",C269="",D269="コード誤り"),"",IFERROR(IF(OR(INDEX(取引先マスタ!$E$5:$E$204,MATCH(C269,取引先マスタ!$A$5:$A$204,0))="",INDEX(取引先マスタ!$F$5:$F$204,MATCH(C269,取引先マスタ!$A$5:$A$204,0))=""),"",DATE(YEAR(B269),MONTH(B269)+INDEX(取引先マスタ!$E$5:$E$204,MATCH(C269,取引先マスタ!$A$5:$A$204,0)),MIN(INDEX(取引先マスタ!$F$5:$F$204,MATCH(C269,取引先マスタ!$A$5:$A$204,0)),DAY(EOMONTH(B269,INDEX(取引先マスタ!$E$5:$E$204,MATCH(C269,取引先マスタ!$A$5:$A$204,0))))))),""))</f>
        <v/>
      </c>
      <c r="H269" s="22"/>
      <c r="I269" s="25" t="str">
        <f aca="false">IF(H269&lt;&gt;"",H269,G269)</f>
        <v/>
      </c>
      <c r="J269" s="26"/>
      <c r="K269" s="22"/>
      <c r="L269" s="26"/>
      <c r="M269" s="27" t="str">
        <f aca="false">IF(A269="","",SUMIF(入金明細!$F$5:$F$1004,A269,入金明細!$E$5:$E$1004))</f>
        <v/>
      </c>
      <c r="N269" s="25" t="str">
        <f aca="false">IF(OR(A269="",N(M269)=0),"",SUMPRODUCT(MAX((入金明細!$F$5:$F$1004=A269)*入金明細!$B$5:$B$1004)))</f>
        <v/>
      </c>
      <c r="O269" s="18"/>
      <c r="P269" s="27" t="str">
        <f aca="false">IF(OR(A269="",F269=""),"",F269-N(M269)-N(O269))</f>
        <v/>
      </c>
      <c r="Q269" s="26"/>
      <c r="R269" s="28" t="str">
        <f aca="false">IF(A269="","",IF(Q269="取消","取消",IF(T269&lt;&gt;"","要入力",IF(K269="","未送付",IF(P269=0,"入金済",IF(P269&lt;0,"過入金",IF(設定!$C$5&gt;I269,IF(N(M269)&gt;0,"一部入金・超過","期日超過"),IF(N(M269)&gt;0,"一部入金",IF(I269-設定!$C$5&lt;=設定!$C$6,"期日間近","入金待ち")))))))))</f>
        <v/>
      </c>
      <c r="S269" s="29" t="str">
        <f aca="false">IF(OR(R269="期日超過",R269="一部入金・超過"),設定!$C$5-I269,"")</f>
        <v/>
      </c>
      <c r="T269" s="21" t="str">
        <f aca="false">IF(A269="","",TRIM(IF(B269="","請求日 ","")&amp;IF(C269="","取引先 ",IF(D269="コード誤り","取引先コード誤り ",""))&amp;IF(E269="","件名 ","")&amp;IF(F269="","請求額 ","")&amp;IF(AND(F269&lt;&gt;"",I269=""),"入金期日(マスタの支払条件が未登録) ","")&amp;IF(J269="","送付方法 ","")&amp;IF(AND(K269&lt;&gt;"",L269=""),"送付者 ","")&amp;IF(AND(K269&lt;&gt;"",N(K269)&gt;設定!$C$5),"送付日が未来の日付 ","")&amp;IF(AND(K269&lt;&gt;"",N(M269)&gt;0,N(P269)&lt;=0,U269=""),"消込確認者 ","")))</f>
        <v/>
      </c>
      <c r="U269" s="26"/>
      <c r="V269" s="26"/>
    </row>
    <row r="270" customFormat="false" ht="15" hidden="false" customHeight="false" outlineLevel="0" collapsed="false">
      <c r="A270" s="21" t="str">
        <f aca="false">IF(COUNTA(B270,C270,E270,F270)=0,"",設定!$C$4&amp;TEXT(ROW()-4,"00000"))</f>
        <v/>
      </c>
      <c r="B270" s="22"/>
      <c r="C270" s="23"/>
      <c r="D270" s="21" t="str">
        <f aca="false">IF(C270="","",IFERROR(INDEX(取引先マスタ!$B$5:$B$204,MATCH(C270,取引先マスタ!$A$5:$A$204,0)),"コード誤り"))</f>
        <v/>
      </c>
      <c r="E270" s="26"/>
      <c r="F270" s="18"/>
      <c r="G270" s="25" t="str">
        <f aca="false">IF(OR(B270="",C270="",D270="コード誤り"),"",IFERROR(IF(OR(INDEX(取引先マスタ!$E$5:$E$204,MATCH(C270,取引先マスタ!$A$5:$A$204,0))="",INDEX(取引先マスタ!$F$5:$F$204,MATCH(C270,取引先マスタ!$A$5:$A$204,0))=""),"",DATE(YEAR(B270),MONTH(B270)+INDEX(取引先マスタ!$E$5:$E$204,MATCH(C270,取引先マスタ!$A$5:$A$204,0)),MIN(INDEX(取引先マスタ!$F$5:$F$204,MATCH(C270,取引先マスタ!$A$5:$A$204,0)),DAY(EOMONTH(B270,INDEX(取引先マスタ!$E$5:$E$204,MATCH(C270,取引先マスタ!$A$5:$A$204,0))))))),""))</f>
        <v/>
      </c>
      <c r="H270" s="22"/>
      <c r="I270" s="25" t="str">
        <f aca="false">IF(H270&lt;&gt;"",H270,G270)</f>
        <v/>
      </c>
      <c r="J270" s="26"/>
      <c r="K270" s="22"/>
      <c r="L270" s="26"/>
      <c r="M270" s="27" t="str">
        <f aca="false">IF(A270="","",SUMIF(入金明細!$F$5:$F$1004,A270,入金明細!$E$5:$E$1004))</f>
        <v/>
      </c>
      <c r="N270" s="25" t="str">
        <f aca="false">IF(OR(A270="",N(M270)=0),"",SUMPRODUCT(MAX((入金明細!$F$5:$F$1004=A270)*入金明細!$B$5:$B$1004)))</f>
        <v/>
      </c>
      <c r="O270" s="18"/>
      <c r="P270" s="27" t="str">
        <f aca="false">IF(OR(A270="",F270=""),"",F270-N(M270)-N(O270))</f>
        <v/>
      </c>
      <c r="Q270" s="26"/>
      <c r="R270" s="28" t="str">
        <f aca="false">IF(A270="","",IF(Q270="取消","取消",IF(T270&lt;&gt;"","要入力",IF(K270="","未送付",IF(P270=0,"入金済",IF(P270&lt;0,"過入金",IF(設定!$C$5&gt;I270,IF(N(M270)&gt;0,"一部入金・超過","期日超過"),IF(N(M270)&gt;0,"一部入金",IF(I270-設定!$C$5&lt;=設定!$C$6,"期日間近","入金待ち")))))))))</f>
        <v/>
      </c>
      <c r="S270" s="29" t="str">
        <f aca="false">IF(OR(R270="期日超過",R270="一部入金・超過"),設定!$C$5-I270,"")</f>
        <v/>
      </c>
      <c r="T270" s="21" t="str">
        <f aca="false">IF(A270="","",TRIM(IF(B270="","請求日 ","")&amp;IF(C270="","取引先 ",IF(D270="コード誤り","取引先コード誤り ",""))&amp;IF(E270="","件名 ","")&amp;IF(F270="","請求額 ","")&amp;IF(AND(F270&lt;&gt;"",I270=""),"入金期日(マスタの支払条件が未登録) ","")&amp;IF(J270="","送付方法 ","")&amp;IF(AND(K270&lt;&gt;"",L270=""),"送付者 ","")&amp;IF(AND(K270&lt;&gt;"",N(K270)&gt;設定!$C$5),"送付日が未来の日付 ","")&amp;IF(AND(K270&lt;&gt;"",N(M270)&gt;0,N(P270)&lt;=0,U270=""),"消込確認者 ","")))</f>
        <v/>
      </c>
      <c r="U270" s="26"/>
      <c r="V270" s="26"/>
    </row>
    <row r="271" customFormat="false" ht="15" hidden="false" customHeight="false" outlineLevel="0" collapsed="false">
      <c r="A271" s="21" t="str">
        <f aca="false">IF(COUNTA(B271,C271,E271,F271)=0,"",設定!$C$4&amp;TEXT(ROW()-4,"00000"))</f>
        <v/>
      </c>
      <c r="B271" s="22"/>
      <c r="C271" s="23"/>
      <c r="D271" s="21" t="str">
        <f aca="false">IF(C271="","",IFERROR(INDEX(取引先マスタ!$B$5:$B$204,MATCH(C271,取引先マスタ!$A$5:$A$204,0)),"コード誤り"))</f>
        <v/>
      </c>
      <c r="E271" s="26"/>
      <c r="F271" s="18"/>
      <c r="G271" s="25" t="str">
        <f aca="false">IF(OR(B271="",C271="",D271="コード誤り"),"",IFERROR(IF(OR(INDEX(取引先マスタ!$E$5:$E$204,MATCH(C271,取引先マスタ!$A$5:$A$204,0))="",INDEX(取引先マスタ!$F$5:$F$204,MATCH(C271,取引先マスタ!$A$5:$A$204,0))=""),"",DATE(YEAR(B271),MONTH(B271)+INDEX(取引先マスタ!$E$5:$E$204,MATCH(C271,取引先マスタ!$A$5:$A$204,0)),MIN(INDEX(取引先マスタ!$F$5:$F$204,MATCH(C271,取引先マスタ!$A$5:$A$204,0)),DAY(EOMONTH(B271,INDEX(取引先マスタ!$E$5:$E$204,MATCH(C271,取引先マスタ!$A$5:$A$204,0))))))),""))</f>
        <v/>
      </c>
      <c r="H271" s="22"/>
      <c r="I271" s="25" t="str">
        <f aca="false">IF(H271&lt;&gt;"",H271,G271)</f>
        <v/>
      </c>
      <c r="J271" s="26"/>
      <c r="K271" s="22"/>
      <c r="L271" s="26"/>
      <c r="M271" s="27" t="str">
        <f aca="false">IF(A271="","",SUMIF(入金明細!$F$5:$F$1004,A271,入金明細!$E$5:$E$1004))</f>
        <v/>
      </c>
      <c r="N271" s="25" t="str">
        <f aca="false">IF(OR(A271="",N(M271)=0),"",SUMPRODUCT(MAX((入金明細!$F$5:$F$1004=A271)*入金明細!$B$5:$B$1004)))</f>
        <v/>
      </c>
      <c r="O271" s="18"/>
      <c r="P271" s="27" t="str">
        <f aca="false">IF(OR(A271="",F271=""),"",F271-N(M271)-N(O271))</f>
        <v/>
      </c>
      <c r="Q271" s="26"/>
      <c r="R271" s="28" t="str">
        <f aca="false">IF(A271="","",IF(Q271="取消","取消",IF(T271&lt;&gt;"","要入力",IF(K271="","未送付",IF(P271=0,"入金済",IF(P271&lt;0,"過入金",IF(設定!$C$5&gt;I271,IF(N(M271)&gt;0,"一部入金・超過","期日超過"),IF(N(M271)&gt;0,"一部入金",IF(I271-設定!$C$5&lt;=設定!$C$6,"期日間近","入金待ち")))))))))</f>
        <v/>
      </c>
      <c r="S271" s="29" t="str">
        <f aca="false">IF(OR(R271="期日超過",R271="一部入金・超過"),設定!$C$5-I271,"")</f>
        <v/>
      </c>
      <c r="T271" s="21" t="str">
        <f aca="false">IF(A271="","",TRIM(IF(B271="","請求日 ","")&amp;IF(C271="","取引先 ",IF(D271="コード誤り","取引先コード誤り ",""))&amp;IF(E271="","件名 ","")&amp;IF(F271="","請求額 ","")&amp;IF(AND(F271&lt;&gt;"",I271=""),"入金期日(マスタの支払条件が未登録) ","")&amp;IF(J271="","送付方法 ","")&amp;IF(AND(K271&lt;&gt;"",L271=""),"送付者 ","")&amp;IF(AND(K271&lt;&gt;"",N(K271)&gt;設定!$C$5),"送付日が未来の日付 ","")&amp;IF(AND(K271&lt;&gt;"",N(M271)&gt;0,N(P271)&lt;=0,U271=""),"消込確認者 ","")))</f>
        <v/>
      </c>
      <c r="U271" s="26"/>
      <c r="V271" s="26"/>
    </row>
    <row r="272" customFormat="false" ht="15" hidden="false" customHeight="false" outlineLevel="0" collapsed="false">
      <c r="A272" s="21" t="str">
        <f aca="false">IF(COUNTA(B272,C272,E272,F272)=0,"",設定!$C$4&amp;TEXT(ROW()-4,"00000"))</f>
        <v/>
      </c>
      <c r="B272" s="22"/>
      <c r="C272" s="23"/>
      <c r="D272" s="21" t="str">
        <f aca="false">IF(C272="","",IFERROR(INDEX(取引先マスタ!$B$5:$B$204,MATCH(C272,取引先マスタ!$A$5:$A$204,0)),"コード誤り"))</f>
        <v/>
      </c>
      <c r="E272" s="26"/>
      <c r="F272" s="18"/>
      <c r="G272" s="25" t="str">
        <f aca="false">IF(OR(B272="",C272="",D272="コード誤り"),"",IFERROR(IF(OR(INDEX(取引先マスタ!$E$5:$E$204,MATCH(C272,取引先マスタ!$A$5:$A$204,0))="",INDEX(取引先マスタ!$F$5:$F$204,MATCH(C272,取引先マスタ!$A$5:$A$204,0))=""),"",DATE(YEAR(B272),MONTH(B272)+INDEX(取引先マスタ!$E$5:$E$204,MATCH(C272,取引先マスタ!$A$5:$A$204,0)),MIN(INDEX(取引先マスタ!$F$5:$F$204,MATCH(C272,取引先マスタ!$A$5:$A$204,0)),DAY(EOMONTH(B272,INDEX(取引先マスタ!$E$5:$E$204,MATCH(C272,取引先マスタ!$A$5:$A$204,0))))))),""))</f>
        <v/>
      </c>
      <c r="H272" s="22"/>
      <c r="I272" s="25" t="str">
        <f aca="false">IF(H272&lt;&gt;"",H272,G272)</f>
        <v/>
      </c>
      <c r="J272" s="26"/>
      <c r="K272" s="22"/>
      <c r="L272" s="26"/>
      <c r="M272" s="27" t="str">
        <f aca="false">IF(A272="","",SUMIF(入金明細!$F$5:$F$1004,A272,入金明細!$E$5:$E$1004))</f>
        <v/>
      </c>
      <c r="N272" s="25" t="str">
        <f aca="false">IF(OR(A272="",N(M272)=0),"",SUMPRODUCT(MAX((入金明細!$F$5:$F$1004=A272)*入金明細!$B$5:$B$1004)))</f>
        <v/>
      </c>
      <c r="O272" s="18"/>
      <c r="P272" s="27" t="str">
        <f aca="false">IF(OR(A272="",F272=""),"",F272-N(M272)-N(O272))</f>
        <v/>
      </c>
      <c r="Q272" s="26"/>
      <c r="R272" s="28" t="str">
        <f aca="false">IF(A272="","",IF(Q272="取消","取消",IF(T272&lt;&gt;"","要入力",IF(K272="","未送付",IF(P272=0,"入金済",IF(P272&lt;0,"過入金",IF(設定!$C$5&gt;I272,IF(N(M272)&gt;0,"一部入金・超過","期日超過"),IF(N(M272)&gt;0,"一部入金",IF(I272-設定!$C$5&lt;=設定!$C$6,"期日間近","入金待ち")))))))))</f>
        <v/>
      </c>
      <c r="S272" s="29" t="str">
        <f aca="false">IF(OR(R272="期日超過",R272="一部入金・超過"),設定!$C$5-I272,"")</f>
        <v/>
      </c>
      <c r="T272" s="21" t="str">
        <f aca="false">IF(A272="","",TRIM(IF(B272="","請求日 ","")&amp;IF(C272="","取引先 ",IF(D272="コード誤り","取引先コード誤り ",""))&amp;IF(E272="","件名 ","")&amp;IF(F272="","請求額 ","")&amp;IF(AND(F272&lt;&gt;"",I272=""),"入金期日(マスタの支払条件が未登録) ","")&amp;IF(J272="","送付方法 ","")&amp;IF(AND(K272&lt;&gt;"",L272=""),"送付者 ","")&amp;IF(AND(K272&lt;&gt;"",N(K272)&gt;設定!$C$5),"送付日が未来の日付 ","")&amp;IF(AND(K272&lt;&gt;"",N(M272)&gt;0,N(P272)&lt;=0,U272=""),"消込確認者 ","")))</f>
        <v/>
      </c>
      <c r="U272" s="26"/>
      <c r="V272" s="26"/>
    </row>
    <row r="273" customFormat="false" ht="15" hidden="false" customHeight="false" outlineLevel="0" collapsed="false">
      <c r="A273" s="21" t="str">
        <f aca="false">IF(COUNTA(B273,C273,E273,F273)=0,"",設定!$C$4&amp;TEXT(ROW()-4,"00000"))</f>
        <v/>
      </c>
      <c r="B273" s="22"/>
      <c r="C273" s="23"/>
      <c r="D273" s="21" t="str">
        <f aca="false">IF(C273="","",IFERROR(INDEX(取引先マスタ!$B$5:$B$204,MATCH(C273,取引先マスタ!$A$5:$A$204,0)),"コード誤り"))</f>
        <v/>
      </c>
      <c r="E273" s="26"/>
      <c r="F273" s="18"/>
      <c r="G273" s="25" t="str">
        <f aca="false">IF(OR(B273="",C273="",D273="コード誤り"),"",IFERROR(IF(OR(INDEX(取引先マスタ!$E$5:$E$204,MATCH(C273,取引先マスタ!$A$5:$A$204,0))="",INDEX(取引先マスタ!$F$5:$F$204,MATCH(C273,取引先マスタ!$A$5:$A$204,0))=""),"",DATE(YEAR(B273),MONTH(B273)+INDEX(取引先マスタ!$E$5:$E$204,MATCH(C273,取引先マスタ!$A$5:$A$204,0)),MIN(INDEX(取引先マスタ!$F$5:$F$204,MATCH(C273,取引先マスタ!$A$5:$A$204,0)),DAY(EOMONTH(B273,INDEX(取引先マスタ!$E$5:$E$204,MATCH(C273,取引先マスタ!$A$5:$A$204,0))))))),""))</f>
        <v/>
      </c>
      <c r="H273" s="22"/>
      <c r="I273" s="25" t="str">
        <f aca="false">IF(H273&lt;&gt;"",H273,G273)</f>
        <v/>
      </c>
      <c r="J273" s="26"/>
      <c r="K273" s="22"/>
      <c r="L273" s="26"/>
      <c r="M273" s="27" t="str">
        <f aca="false">IF(A273="","",SUMIF(入金明細!$F$5:$F$1004,A273,入金明細!$E$5:$E$1004))</f>
        <v/>
      </c>
      <c r="N273" s="25" t="str">
        <f aca="false">IF(OR(A273="",N(M273)=0),"",SUMPRODUCT(MAX((入金明細!$F$5:$F$1004=A273)*入金明細!$B$5:$B$1004)))</f>
        <v/>
      </c>
      <c r="O273" s="18"/>
      <c r="P273" s="27" t="str">
        <f aca="false">IF(OR(A273="",F273=""),"",F273-N(M273)-N(O273))</f>
        <v/>
      </c>
      <c r="Q273" s="26"/>
      <c r="R273" s="28" t="str">
        <f aca="false">IF(A273="","",IF(Q273="取消","取消",IF(T273&lt;&gt;"","要入力",IF(K273="","未送付",IF(P273=0,"入金済",IF(P273&lt;0,"過入金",IF(設定!$C$5&gt;I273,IF(N(M273)&gt;0,"一部入金・超過","期日超過"),IF(N(M273)&gt;0,"一部入金",IF(I273-設定!$C$5&lt;=設定!$C$6,"期日間近","入金待ち")))))))))</f>
        <v/>
      </c>
      <c r="S273" s="29" t="str">
        <f aca="false">IF(OR(R273="期日超過",R273="一部入金・超過"),設定!$C$5-I273,"")</f>
        <v/>
      </c>
      <c r="T273" s="21" t="str">
        <f aca="false">IF(A273="","",TRIM(IF(B273="","請求日 ","")&amp;IF(C273="","取引先 ",IF(D273="コード誤り","取引先コード誤り ",""))&amp;IF(E273="","件名 ","")&amp;IF(F273="","請求額 ","")&amp;IF(AND(F273&lt;&gt;"",I273=""),"入金期日(マスタの支払条件が未登録) ","")&amp;IF(J273="","送付方法 ","")&amp;IF(AND(K273&lt;&gt;"",L273=""),"送付者 ","")&amp;IF(AND(K273&lt;&gt;"",N(K273)&gt;設定!$C$5),"送付日が未来の日付 ","")&amp;IF(AND(K273&lt;&gt;"",N(M273)&gt;0,N(P273)&lt;=0,U273=""),"消込確認者 ","")))</f>
        <v/>
      </c>
      <c r="U273" s="26"/>
      <c r="V273" s="26"/>
    </row>
    <row r="274" customFormat="false" ht="15" hidden="false" customHeight="false" outlineLevel="0" collapsed="false">
      <c r="A274" s="21" t="str">
        <f aca="false">IF(COUNTA(B274,C274,E274,F274)=0,"",設定!$C$4&amp;TEXT(ROW()-4,"00000"))</f>
        <v/>
      </c>
      <c r="B274" s="22"/>
      <c r="C274" s="23"/>
      <c r="D274" s="21" t="str">
        <f aca="false">IF(C274="","",IFERROR(INDEX(取引先マスタ!$B$5:$B$204,MATCH(C274,取引先マスタ!$A$5:$A$204,0)),"コード誤り"))</f>
        <v/>
      </c>
      <c r="E274" s="26"/>
      <c r="F274" s="18"/>
      <c r="G274" s="25" t="str">
        <f aca="false">IF(OR(B274="",C274="",D274="コード誤り"),"",IFERROR(IF(OR(INDEX(取引先マスタ!$E$5:$E$204,MATCH(C274,取引先マスタ!$A$5:$A$204,0))="",INDEX(取引先マスタ!$F$5:$F$204,MATCH(C274,取引先マスタ!$A$5:$A$204,0))=""),"",DATE(YEAR(B274),MONTH(B274)+INDEX(取引先マスタ!$E$5:$E$204,MATCH(C274,取引先マスタ!$A$5:$A$204,0)),MIN(INDEX(取引先マスタ!$F$5:$F$204,MATCH(C274,取引先マスタ!$A$5:$A$204,0)),DAY(EOMONTH(B274,INDEX(取引先マスタ!$E$5:$E$204,MATCH(C274,取引先マスタ!$A$5:$A$204,0))))))),""))</f>
        <v/>
      </c>
      <c r="H274" s="22"/>
      <c r="I274" s="25" t="str">
        <f aca="false">IF(H274&lt;&gt;"",H274,G274)</f>
        <v/>
      </c>
      <c r="J274" s="26"/>
      <c r="K274" s="22"/>
      <c r="L274" s="26"/>
      <c r="M274" s="27" t="str">
        <f aca="false">IF(A274="","",SUMIF(入金明細!$F$5:$F$1004,A274,入金明細!$E$5:$E$1004))</f>
        <v/>
      </c>
      <c r="N274" s="25" t="str">
        <f aca="false">IF(OR(A274="",N(M274)=0),"",SUMPRODUCT(MAX((入金明細!$F$5:$F$1004=A274)*入金明細!$B$5:$B$1004)))</f>
        <v/>
      </c>
      <c r="O274" s="18"/>
      <c r="P274" s="27" t="str">
        <f aca="false">IF(OR(A274="",F274=""),"",F274-N(M274)-N(O274))</f>
        <v/>
      </c>
      <c r="Q274" s="26"/>
      <c r="R274" s="28" t="str">
        <f aca="false">IF(A274="","",IF(Q274="取消","取消",IF(T274&lt;&gt;"","要入力",IF(K274="","未送付",IF(P274=0,"入金済",IF(P274&lt;0,"過入金",IF(設定!$C$5&gt;I274,IF(N(M274)&gt;0,"一部入金・超過","期日超過"),IF(N(M274)&gt;0,"一部入金",IF(I274-設定!$C$5&lt;=設定!$C$6,"期日間近","入金待ち")))))))))</f>
        <v/>
      </c>
      <c r="S274" s="29" t="str">
        <f aca="false">IF(OR(R274="期日超過",R274="一部入金・超過"),設定!$C$5-I274,"")</f>
        <v/>
      </c>
      <c r="T274" s="21" t="str">
        <f aca="false">IF(A274="","",TRIM(IF(B274="","請求日 ","")&amp;IF(C274="","取引先 ",IF(D274="コード誤り","取引先コード誤り ",""))&amp;IF(E274="","件名 ","")&amp;IF(F274="","請求額 ","")&amp;IF(AND(F274&lt;&gt;"",I274=""),"入金期日(マスタの支払条件が未登録) ","")&amp;IF(J274="","送付方法 ","")&amp;IF(AND(K274&lt;&gt;"",L274=""),"送付者 ","")&amp;IF(AND(K274&lt;&gt;"",N(K274)&gt;設定!$C$5),"送付日が未来の日付 ","")&amp;IF(AND(K274&lt;&gt;"",N(M274)&gt;0,N(P274)&lt;=0,U274=""),"消込確認者 ","")))</f>
        <v/>
      </c>
      <c r="U274" s="26"/>
      <c r="V274" s="26"/>
    </row>
    <row r="275" customFormat="false" ht="15" hidden="false" customHeight="false" outlineLevel="0" collapsed="false">
      <c r="A275" s="21" t="str">
        <f aca="false">IF(COUNTA(B275,C275,E275,F275)=0,"",設定!$C$4&amp;TEXT(ROW()-4,"00000"))</f>
        <v/>
      </c>
      <c r="B275" s="22"/>
      <c r="C275" s="23"/>
      <c r="D275" s="21" t="str">
        <f aca="false">IF(C275="","",IFERROR(INDEX(取引先マスタ!$B$5:$B$204,MATCH(C275,取引先マスタ!$A$5:$A$204,0)),"コード誤り"))</f>
        <v/>
      </c>
      <c r="E275" s="26"/>
      <c r="F275" s="18"/>
      <c r="G275" s="25" t="str">
        <f aca="false">IF(OR(B275="",C275="",D275="コード誤り"),"",IFERROR(IF(OR(INDEX(取引先マスタ!$E$5:$E$204,MATCH(C275,取引先マスタ!$A$5:$A$204,0))="",INDEX(取引先マスタ!$F$5:$F$204,MATCH(C275,取引先マスタ!$A$5:$A$204,0))=""),"",DATE(YEAR(B275),MONTH(B275)+INDEX(取引先マスタ!$E$5:$E$204,MATCH(C275,取引先マスタ!$A$5:$A$204,0)),MIN(INDEX(取引先マスタ!$F$5:$F$204,MATCH(C275,取引先マスタ!$A$5:$A$204,0)),DAY(EOMONTH(B275,INDEX(取引先マスタ!$E$5:$E$204,MATCH(C275,取引先マスタ!$A$5:$A$204,0))))))),""))</f>
        <v/>
      </c>
      <c r="H275" s="22"/>
      <c r="I275" s="25" t="str">
        <f aca="false">IF(H275&lt;&gt;"",H275,G275)</f>
        <v/>
      </c>
      <c r="J275" s="26"/>
      <c r="K275" s="22"/>
      <c r="L275" s="26"/>
      <c r="M275" s="27" t="str">
        <f aca="false">IF(A275="","",SUMIF(入金明細!$F$5:$F$1004,A275,入金明細!$E$5:$E$1004))</f>
        <v/>
      </c>
      <c r="N275" s="25" t="str">
        <f aca="false">IF(OR(A275="",N(M275)=0),"",SUMPRODUCT(MAX((入金明細!$F$5:$F$1004=A275)*入金明細!$B$5:$B$1004)))</f>
        <v/>
      </c>
      <c r="O275" s="18"/>
      <c r="P275" s="27" t="str">
        <f aca="false">IF(OR(A275="",F275=""),"",F275-N(M275)-N(O275))</f>
        <v/>
      </c>
      <c r="Q275" s="26"/>
      <c r="R275" s="28" t="str">
        <f aca="false">IF(A275="","",IF(Q275="取消","取消",IF(T275&lt;&gt;"","要入力",IF(K275="","未送付",IF(P275=0,"入金済",IF(P275&lt;0,"過入金",IF(設定!$C$5&gt;I275,IF(N(M275)&gt;0,"一部入金・超過","期日超過"),IF(N(M275)&gt;0,"一部入金",IF(I275-設定!$C$5&lt;=設定!$C$6,"期日間近","入金待ち")))))))))</f>
        <v/>
      </c>
      <c r="S275" s="29" t="str">
        <f aca="false">IF(OR(R275="期日超過",R275="一部入金・超過"),設定!$C$5-I275,"")</f>
        <v/>
      </c>
      <c r="T275" s="21" t="str">
        <f aca="false">IF(A275="","",TRIM(IF(B275="","請求日 ","")&amp;IF(C275="","取引先 ",IF(D275="コード誤り","取引先コード誤り ",""))&amp;IF(E275="","件名 ","")&amp;IF(F275="","請求額 ","")&amp;IF(AND(F275&lt;&gt;"",I275=""),"入金期日(マスタの支払条件が未登録) ","")&amp;IF(J275="","送付方法 ","")&amp;IF(AND(K275&lt;&gt;"",L275=""),"送付者 ","")&amp;IF(AND(K275&lt;&gt;"",N(K275)&gt;設定!$C$5),"送付日が未来の日付 ","")&amp;IF(AND(K275&lt;&gt;"",N(M275)&gt;0,N(P275)&lt;=0,U275=""),"消込確認者 ","")))</f>
        <v/>
      </c>
      <c r="U275" s="26"/>
      <c r="V275" s="26"/>
    </row>
    <row r="276" customFormat="false" ht="15" hidden="false" customHeight="false" outlineLevel="0" collapsed="false">
      <c r="A276" s="21" t="str">
        <f aca="false">IF(COUNTA(B276,C276,E276,F276)=0,"",設定!$C$4&amp;TEXT(ROW()-4,"00000"))</f>
        <v/>
      </c>
      <c r="B276" s="22"/>
      <c r="C276" s="23"/>
      <c r="D276" s="21" t="str">
        <f aca="false">IF(C276="","",IFERROR(INDEX(取引先マスタ!$B$5:$B$204,MATCH(C276,取引先マスタ!$A$5:$A$204,0)),"コード誤り"))</f>
        <v/>
      </c>
      <c r="E276" s="26"/>
      <c r="F276" s="18"/>
      <c r="G276" s="25" t="str">
        <f aca="false">IF(OR(B276="",C276="",D276="コード誤り"),"",IFERROR(IF(OR(INDEX(取引先マスタ!$E$5:$E$204,MATCH(C276,取引先マスタ!$A$5:$A$204,0))="",INDEX(取引先マスタ!$F$5:$F$204,MATCH(C276,取引先マスタ!$A$5:$A$204,0))=""),"",DATE(YEAR(B276),MONTH(B276)+INDEX(取引先マスタ!$E$5:$E$204,MATCH(C276,取引先マスタ!$A$5:$A$204,0)),MIN(INDEX(取引先マスタ!$F$5:$F$204,MATCH(C276,取引先マスタ!$A$5:$A$204,0)),DAY(EOMONTH(B276,INDEX(取引先マスタ!$E$5:$E$204,MATCH(C276,取引先マスタ!$A$5:$A$204,0))))))),""))</f>
        <v/>
      </c>
      <c r="H276" s="22"/>
      <c r="I276" s="25" t="str">
        <f aca="false">IF(H276&lt;&gt;"",H276,G276)</f>
        <v/>
      </c>
      <c r="J276" s="26"/>
      <c r="K276" s="22"/>
      <c r="L276" s="26"/>
      <c r="M276" s="27" t="str">
        <f aca="false">IF(A276="","",SUMIF(入金明細!$F$5:$F$1004,A276,入金明細!$E$5:$E$1004))</f>
        <v/>
      </c>
      <c r="N276" s="25" t="str">
        <f aca="false">IF(OR(A276="",N(M276)=0),"",SUMPRODUCT(MAX((入金明細!$F$5:$F$1004=A276)*入金明細!$B$5:$B$1004)))</f>
        <v/>
      </c>
      <c r="O276" s="18"/>
      <c r="P276" s="27" t="str">
        <f aca="false">IF(OR(A276="",F276=""),"",F276-N(M276)-N(O276))</f>
        <v/>
      </c>
      <c r="Q276" s="26"/>
      <c r="R276" s="28" t="str">
        <f aca="false">IF(A276="","",IF(Q276="取消","取消",IF(T276&lt;&gt;"","要入力",IF(K276="","未送付",IF(P276=0,"入金済",IF(P276&lt;0,"過入金",IF(設定!$C$5&gt;I276,IF(N(M276)&gt;0,"一部入金・超過","期日超過"),IF(N(M276)&gt;0,"一部入金",IF(I276-設定!$C$5&lt;=設定!$C$6,"期日間近","入金待ち")))))))))</f>
        <v/>
      </c>
      <c r="S276" s="29" t="str">
        <f aca="false">IF(OR(R276="期日超過",R276="一部入金・超過"),設定!$C$5-I276,"")</f>
        <v/>
      </c>
      <c r="T276" s="21" t="str">
        <f aca="false">IF(A276="","",TRIM(IF(B276="","請求日 ","")&amp;IF(C276="","取引先 ",IF(D276="コード誤り","取引先コード誤り ",""))&amp;IF(E276="","件名 ","")&amp;IF(F276="","請求額 ","")&amp;IF(AND(F276&lt;&gt;"",I276=""),"入金期日(マスタの支払条件が未登録) ","")&amp;IF(J276="","送付方法 ","")&amp;IF(AND(K276&lt;&gt;"",L276=""),"送付者 ","")&amp;IF(AND(K276&lt;&gt;"",N(K276)&gt;設定!$C$5),"送付日が未来の日付 ","")&amp;IF(AND(K276&lt;&gt;"",N(M276)&gt;0,N(P276)&lt;=0,U276=""),"消込確認者 ","")))</f>
        <v/>
      </c>
      <c r="U276" s="26"/>
      <c r="V276" s="26"/>
    </row>
    <row r="277" customFormat="false" ht="15" hidden="false" customHeight="false" outlineLevel="0" collapsed="false">
      <c r="A277" s="21" t="str">
        <f aca="false">IF(COUNTA(B277,C277,E277,F277)=0,"",設定!$C$4&amp;TEXT(ROW()-4,"00000"))</f>
        <v/>
      </c>
      <c r="B277" s="22"/>
      <c r="C277" s="23"/>
      <c r="D277" s="21" t="str">
        <f aca="false">IF(C277="","",IFERROR(INDEX(取引先マスタ!$B$5:$B$204,MATCH(C277,取引先マスタ!$A$5:$A$204,0)),"コード誤り"))</f>
        <v/>
      </c>
      <c r="E277" s="26"/>
      <c r="F277" s="18"/>
      <c r="G277" s="25" t="str">
        <f aca="false">IF(OR(B277="",C277="",D277="コード誤り"),"",IFERROR(IF(OR(INDEX(取引先マスタ!$E$5:$E$204,MATCH(C277,取引先マスタ!$A$5:$A$204,0))="",INDEX(取引先マスタ!$F$5:$F$204,MATCH(C277,取引先マスタ!$A$5:$A$204,0))=""),"",DATE(YEAR(B277),MONTH(B277)+INDEX(取引先マスタ!$E$5:$E$204,MATCH(C277,取引先マスタ!$A$5:$A$204,0)),MIN(INDEX(取引先マスタ!$F$5:$F$204,MATCH(C277,取引先マスタ!$A$5:$A$204,0)),DAY(EOMONTH(B277,INDEX(取引先マスタ!$E$5:$E$204,MATCH(C277,取引先マスタ!$A$5:$A$204,0))))))),""))</f>
        <v/>
      </c>
      <c r="H277" s="22"/>
      <c r="I277" s="25" t="str">
        <f aca="false">IF(H277&lt;&gt;"",H277,G277)</f>
        <v/>
      </c>
      <c r="J277" s="26"/>
      <c r="K277" s="22"/>
      <c r="L277" s="26"/>
      <c r="M277" s="27" t="str">
        <f aca="false">IF(A277="","",SUMIF(入金明細!$F$5:$F$1004,A277,入金明細!$E$5:$E$1004))</f>
        <v/>
      </c>
      <c r="N277" s="25" t="str">
        <f aca="false">IF(OR(A277="",N(M277)=0),"",SUMPRODUCT(MAX((入金明細!$F$5:$F$1004=A277)*入金明細!$B$5:$B$1004)))</f>
        <v/>
      </c>
      <c r="O277" s="18"/>
      <c r="P277" s="27" t="str">
        <f aca="false">IF(OR(A277="",F277=""),"",F277-N(M277)-N(O277))</f>
        <v/>
      </c>
      <c r="Q277" s="26"/>
      <c r="R277" s="28" t="str">
        <f aca="false">IF(A277="","",IF(Q277="取消","取消",IF(T277&lt;&gt;"","要入力",IF(K277="","未送付",IF(P277=0,"入金済",IF(P277&lt;0,"過入金",IF(設定!$C$5&gt;I277,IF(N(M277)&gt;0,"一部入金・超過","期日超過"),IF(N(M277)&gt;0,"一部入金",IF(I277-設定!$C$5&lt;=設定!$C$6,"期日間近","入金待ち")))))))))</f>
        <v/>
      </c>
      <c r="S277" s="29" t="str">
        <f aca="false">IF(OR(R277="期日超過",R277="一部入金・超過"),設定!$C$5-I277,"")</f>
        <v/>
      </c>
      <c r="T277" s="21" t="str">
        <f aca="false">IF(A277="","",TRIM(IF(B277="","請求日 ","")&amp;IF(C277="","取引先 ",IF(D277="コード誤り","取引先コード誤り ",""))&amp;IF(E277="","件名 ","")&amp;IF(F277="","請求額 ","")&amp;IF(AND(F277&lt;&gt;"",I277=""),"入金期日(マスタの支払条件が未登録) ","")&amp;IF(J277="","送付方法 ","")&amp;IF(AND(K277&lt;&gt;"",L277=""),"送付者 ","")&amp;IF(AND(K277&lt;&gt;"",N(K277)&gt;設定!$C$5),"送付日が未来の日付 ","")&amp;IF(AND(K277&lt;&gt;"",N(M277)&gt;0,N(P277)&lt;=0,U277=""),"消込確認者 ","")))</f>
        <v/>
      </c>
      <c r="U277" s="26"/>
      <c r="V277" s="26"/>
    </row>
    <row r="278" customFormat="false" ht="15" hidden="false" customHeight="false" outlineLevel="0" collapsed="false">
      <c r="A278" s="21" t="str">
        <f aca="false">IF(COUNTA(B278,C278,E278,F278)=0,"",設定!$C$4&amp;TEXT(ROW()-4,"00000"))</f>
        <v/>
      </c>
      <c r="B278" s="22"/>
      <c r="C278" s="23"/>
      <c r="D278" s="21" t="str">
        <f aca="false">IF(C278="","",IFERROR(INDEX(取引先マスタ!$B$5:$B$204,MATCH(C278,取引先マスタ!$A$5:$A$204,0)),"コード誤り"))</f>
        <v/>
      </c>
      <c r="E278" s="26"/>
      <c r="F278" s="18"/>
      <c r="G278" s="25" t="str">
        <f aca="false">IF(OR(B278="",C278="",D278="コード誤り"),"",IFERROR(IF(OR(INDEX(取引先マスタ!$E$5:$E$204,MATCH(C278,取引先マスタ!$A$5:$A$204,0))="",INDEX(取引先マスタ!$F$5:$F$204,MATCH(C278,取引先マスタ!$A$5:$A$204,0))=""),"",DATE(YEAR(B278),MONTH(B278)+INDEX(取引先マスタ!$E$5:$E$204,MATCH(C278,取引先マスタ!$A$5:$A$204,0)),MIN(INDEX(取引先マスタ!$F$5:$F$204,MATCH(C278,取引先マスタ!$A$5:$A$204,0)),DAY(EOMONTH(B278,INDEX(取引先マスタ!$E$5:$E$204,MATCH(C278,取引先マスタ!$A$5:$A$204,0))))))),""))</f>
        <v/>
      </c>
      <c r="H278" s="22"/>
      <c r="I278" s="25" t="str">
        <f aca="false">IF(H278&lt;&gt;"",H278,G278)</f>
        <v/>
      </c>
      <c r="J278" s="26"/>
      <c r="K278" s="22"/>
      <c r="L278" s="26"/>
      <c r="M278" s="27" t="str">
        <f aca="false">IF(A278="","",SUMIF(入金明細!$F$5:$F$1004,A278,入金明細!$E$5:$E$1004))</f>
        <v/>
      </c>
      <c r="N278" s="25" t="str">
        <f aca="false">IF(OR(A278="",N(M278)=0),"",SUMPRODUCT(MAX((入金明細!$F$5:$F$1004=A278)*入金明細!$B$5:$B$1004)))</f>
        <v/>
      </c>
      <c r="O278" s="18"/>
      <c r="P278" s="27" t="str">
        <f aca="false">IF(OR(A278="",F278=""),"",F278-N(M278)-N(O278))</f>
        <v/>
      </c>
      <c r="Q278" s="26"/>
      <c r="R278" s="28" t="str">
        <f aca="false">IF(A278="","",IF(Q278="取消","取消",IF(T278&lt;&gt;"","要入力",IF(K278="","未送付",IF(P278=0,"入金済",IF(P278&lt;0,"過入金",IF(設定!$C$5&gt;I278,IF(N(M278)&gt;0,"一部入金・超過","期日超過"),IF(N(M278)&gt;0,"一部入金",IF(I278-設定!$C$5&lt;=設定!$C$6,"期日間近","入金待ち")))))))))</f>
        <v/>
      </c>
      <c r="S278" s="29" t="str">
        <f aca="false">IF(OR(R278="期日超過",R278="一部入金・超過"),設定!$C$5-I278,"")</f>
        <v/>
      </c>
      <c r="T278" s="21" t="str">
        <f aca="false">IF(A278="","",TRIM(IF(B278="","請求日 ","")&amp;IF(C278="","取引先 ",IF(D278="コード誤り","取引先コード誤り ",""))&amp;IF(E278="","件名 ","")&amp;IF(F278="","請求額 ","")&amp;IF(AND(F278&lt;&gt;"",I278=""),"入金期日(マスタの支払条件が未登録) ","")&amp;IF(J278="","送付方法 ","")&amp;IF(AND(K278&lt;&gt;"",L278=""),"送付者 ","")&amp;IF(AND(K278&lt;&gt;"",N(K278)&gt;設定!$C$5),"送付日が未来の日付 ","")&amp;IF(AND(K278&lt;&gt;"",N(M278)&gt;0,N(P278)&lt;=0,U278=""),"消込確認者 ","")))</f>
        <v/>
      </c>
      <c r="U278" s="26"/>
      <c r="V278" s="26"/>
    </row>
    <row r="279" customFormat="false" ht="15" hidden="false" customHeight="false" outlineLevel="0" collapsed="false">
      <c r="A279" s="21" t="str">
        <f aca="false">IF(COUNTA(B279,C279,E279,F279)=0,"",設定!$C$4&amp;TEXT(ROW()-4,"00000"))</f>
        <v/>
      </c>
      <c r="B279" s="22"/>
      <c r="C279" s="23"/>
      <c r="D279" s="21" t="str">
        <f aca="false">IF(C279="","",IFERROR(INDEX(取引先マスタ!$B$5:$B$204,MATCH(C279,取引先マスタ!$A$5:$A$204,0)),"コード誤り"))</f>
        <v/>
      </c>
      <c r="E279" s="26"/>
      <c r="F279" s="18"/>
      <c r="G279" s="25" t="str">
        <f aca="false">IF(OR(B279="",C279="",D279="コード誤り"),"",IFERROR(IF(OR(INDEX(取引先マスタ!$E$5:$E$204,MATCH(C279,取引先マスタ!$A$5:$A$204,0))="",INDEX(取引先マスタ!$F$5:$F$204,MATCH(C279,取引先マスタ!$A$5:$A$204,0))=""),"",DATE(YEAR(B279),MONTH(B279)+INDEX(取引先マスタ!$E$5:$E$204,MATCH(C279,取引先マスタ!$A$5:$A$204,0)),MIN(INDEX(取引先マスタ!$F$5:$F$204,MATCH(C279,取引先マスタ!$A$5:$A$204,0)),DAY(EOMONTH(B279,INDEX(取引先マスタ!$E$5:$E$204,MATCH(C279,取引先マスタ!$A$5:$A$204,0))))))),""))</f>
        <v/>
      </c>
      <c r="H279" s="22"/>
      <c r="I279" s="25" t="str">
        <f aca="false">IF(H279&lt;&gt;"",H279,G279)</f>
        <v/>
      </c>
      <c r="J279" s="26"/>
      <c r="K279" s="22"/>
      <c r="L279" s="26"/>
      <c r="M279" s="27" t="str">
        <f aca="false">IF(A279="","",SUMIF(入金明細!$F$5:$F$1004,A279,入金明細!$E$5:$E$1004))</f>
        <v/>
      </c>
      <c r="N279" s="25" t="str">
        <f aca="false">IF(OR(A279="",N(M279)=0),"",SUMPRODUCT(MAX((入金明細!$F$5:$F$1004=A279)*入金明細!$B$5:$B$1004)))</f>
        <v/>
      </c>
      <c r="O279" s="18"/>
      <c r="P279" s="27" t="str">
        <f aca="false">IF(OR(A279="",F279=""),"",F279-N(M279)-N(O279))</f>
        <v/>
      </c>
      <c r="Q279" s="26"/>
      <c r="R279" s="28" t="str">
        <f aca="false">IF(A279="","",IF(Q279="取消","取消",IF(T279&lt;&gt;"","要入力",IF(K279="","未送付",IF(P279=0,"入金済",IF(P279&lt;0,"過入金",IF(設定!$C$5&gt;I279,IF(N(M279)&gt;0,"一部入金・超過","期日超過"),IF(N(M279)&gt;0,"一部入金",IF(I279-設定!$C$5&lt;=設定!$C$6,"期日間近","入金待ち")))))))))</f>
        <v/>
      </c>
      <c r="S279" s="29" t="str">
        <f aca="false">IF(OR(R279="期日超過",R279="一部入金・超過"),設定!$C$5-I279,"")</f>
        <v/>
      </c>
      <c r="T279" s="21" t="str">
        <f aca="false">IF(A279="","",TRIM(IF(B279="","請求日 ","")&amp;IF(C279="","取引先 ",IF(D279="コード誤り","取引先コード誤り ",""))&amp;IF(E279="","件名 ","")&amp;IF(F279="","請求額 ","")&amp;IF(AND(F279&lt;&gt;"",I279=""),"入金期日(マスタの支払条件が未登録) ","")&amp;IF(J279="","送付方法 ","")&amp;IF(AND(K279&lt;&gt;"",L279=""),"送付者 ","")&amp;IF(AND(K279&lt;&gt;"",N(K279)&gt;設定!$C$5),"送付日が未来の日付 ","")&amp;IF(AND(K279&lt;&gt;"",N(M279)&gt;0,N(P279)&lt;=0,U279=""),"消込確認者 ","")))</f>
        <v/>
      </c>
      <c r="U279" s="26"/>
      <c r="V279" s="26"/>
    </row>
    <row r="280" customFormat="false" ht="15" hidden="false" customHeight="false" outlineLevel="0" collapsed="false">
      <c r="A280" s="21" t="str">
        <f aca="false">IF(COUNTA(B280,C280,E280,F280)=0,"",設定!$C$4&amp;TEXT(ROW()-4,"00000"))</f>
        <v/>
      </c>
      <c r="B280" s="22"/>
      <c r="C280" s="23"/>
      <c r="D280" s="21" t="str">
        <f aca="false">IF(C280="","",IFERROR(INDEX(取引先マスタ!$B$5:$B$204,MATCH(C280,取引先マスタ!$A$5:$A$204,0)),"コード誤り"))</f>
        <v/>
      </c>
      <c r="E280" s="26"/>
      <c r="F280" s="18"/>
      <c r="G280" s="25" t="str">
        <f aca="false">IF(OR(B280="",C280="",D280="コード誤り"),"",IFERROR(IF(OR(INDEX(取引先マスタ!$E$5:$E$204,MATCH(C280,取引先マスタ!$A$5:$A$204,0))="",INDEX(取引先マスタ!$F$5:$F$204,MATCH(C280,取引先マスタ!$A$5:$A$204,0))=""),"",DATE(YEAR(B280),MONTH(B280)+INDEX(取引先マスタ!$E$5:$E$204,MATCH(C280,取引先マスタ!$A$5:$A$204,0)),MIN(INDEX(取引先マスタ!$F$5:$F$204,MATCH(C280,取引先マスタ!$A$5:$A$204,0)),DAY(EOMONTH(B280,INDEX(取引先マスタ!$E$5:$E$204,MATCH(C280,取引先マスタ!$A$5:$A$204,0))))))),""))</f>
        <v/>
      </c>
      <c r="H280" s="22"/>
      <c r="I280" s="25" t="str">
        <f aca="false">IF(H280&lt;&gt;"",H280,G280)</f>
        <v/>
      </c>
      <c r="J280" s="26"/>
      <c r="K280" s="22"/>
      <c r="L280" s="26"/>
      <c r="M280" s="27" t="str">
        <f aca="false">IF(A280="","",SUMIF(入金明細!$F$5:$F$1004,A280,入金明細!$E$5:$E$1004))</f>
        <v/>
      </c>
      <c r="N280" s="25" t="str">
        <f aca="false">IF(OR(A280="",N(M280)=0),"",SUMPRODUCT(MAX((入金明細!$F$5:$F$1004=A280)*入金明細!$B$5:$B$1004)))</f>
        <v/>
      </c>
      <c r="O280" s="18"/>
      <c r="P280" s="27" t="str">
        <f aca="false">IF(OR(A280="",F280=""),"",F280-N(M280)-N(O280))</f>
        <v/>
      </c>
      <c r="Q280" s="26"/>
      <c r="R280" s="28" t="str">
        <f aca="false">IF(A280="","",IF(Q280="取消","取消",IF(T280&lt;&gt;"","要入力",IF(K280="","未送付",IF(P280=0,"入金済",IF(P280&lt;0,"過入金",IF(設定!$C$5&gt;I280,IF(N(M280)&gt;0,"一部入金・超過","期日超過"),IF(N(M280)&gt;0,"一部入金",IF(I280-設定!$C$5&lt;=設定!$C$6,"期日間近","入金待ち")))))))))</f>
        <v/>
      </c>
      <c r="S280" s="29" t="str">
        <f aca="false">IF(OR(R280="期日超過",R280="一部入金・超過"),設定!$C$5-I280,"")</f>
        <v/>
      </c>
      <c r="T280" s="21" t="str">
        <f aca="false">IF(A280="","",TRIM(IF(B280="","請求日 ","")&amp;IF(C280="","取引先 ",IF(D280="コード誤り","取引先コード誤り ",""))&amp;IF(E280="","件名 ","")&amp;IF(F280="","請求額 ","")&amp;IF(AND(F280&lt;&gt;"",I280=""),"入金期日(マスタの支払条件が未登録) ","")&amp;IF(J280="","送付方法 ","")&amp;IF(AND(K280&lt;&gt;"",L280=""),"送付者 ","")&amp;IF(AND(K280&lt;&gt;"",N(K280)&gt;設定!$C$5),"送付日が未来の日付 ","")&amp;IF(AND(K280&lt;&gt;"",N(M280)&gt;0,N(P280)&lt;=0,U280=""),"消込確認者 ","")))</f>
        <v/>
      </c>
      <c r="U280" s="26"/>
      <c r="V280" s="26"/>
    </row>
    <row r="281" customFormat="false" ht="15" hidden="false" customHeight="false" outlineLevel="0" collapsed="false">
      <c r="A281" s="21" t="str">
        <f aca="false">IF(COUNTA(B281,C281,E281,F281)=0,"",設定!$C$4&amp;TEXT(ROW()-4,"00000"))</f>
        <v/>
      </c>
      <c r="B281" s="22"/>
      <c r="C281" s="23"/>
      <c r="D281" s="21" t="str">
        <f aca="false">IF(C281="","",IFERROR(INDEX(取引先マスタ!$B$5:$B$204,MATCH(C281,取引先マスタ!$A$5:$A$204,0)),"コード誤り"))</f>
        <v/>
      </c>
      <c r="E281" s="26"/>
      <c r="F281" s="18"/>
      <c r="G281" s="25" t="str">
        <f aca="false">IF(OR(B281="",C281="",D281="コード誤り"),"",IFERROR(IF(OR(INDEX(取引先マスタ!$E$5:$E$204,MATCH(C281,取引先マスタ!$A$5:$A$204,0))="",INDEX(取引先マスタ!$F$5:$F$204,MATCH(C281,取引先マスタ!$A$5:$A$204,0))=""),"",DATE(YEAR(B281),MONTH(B281)+INDEX(取引先マスタ!$E$5:$E$204,MATCH(C281,取引先マスタ!$A$5:$A$204,0)),MIN(INDEX(取引先マスタ!$F$5:$F$204,MATCH(C281,取引先マスタ!$A$5:$A$204,0)),DAY(EOMONTH(B281,INDEX(取引先マスタ!$E$5:$E$204,MATCH(C281,取引先マスタ!$A$5:$A$204,0))))))),""))</f>
        <v/>
      </c>
      <c r="H281" s="22"/>
      <c r="I281" s="25" t="str">
        <f aca="false">IF(H281&lt;&gt;"",H281,G281)</f>
        <v/>
      </c>
      <c r="J281" s="26"/>
      <c r="K281" s="22"/>
      <c r="L281" s="26"/>
      <c r="M281" s="27" t="str">
        <f aca="false">IF(A281="","",SUMIF(入金明細!$F$5:$F$1004,A281,入金明細!$E$5:$E$1004))</f>
        <v/>
      </c>
      <c r="N281" s="25" t="str">
        <f aca="false">IF(OR(A281="",N(M281)=0),"",SUMPRODUCT(MAX((入金明細!$F$5:$F$1004=A281)*入金明細!$B$5:$B$1004)))</f>
        <v/>
      </c>
      <c r="O281" s="18"/>
      <c r="P281" s="27" t="str">
        <f aca="false">IF(OR(A281="",F281=""),"",F281-N(M281)-N(O281))</f>
        <v/>
      </c>
      <c r="Q281" s="26"/>
      <c r="R281" s="28" t="str">
        <f aca="false">IF(A281="","",IF(Q281="取消","取消",IF(T281&lt;&gt;"","要入力",IF(K281="","未送付",IF(P281=0,"入金済",IF(P281&lt;0,"過入金",IF(設定!$C$5&gt;I281,IF(N(M281)&gt;0,"一部入金・超過","期日超過"),IF(N(M281)&gt;0,"一部入金",IF(I281-設定!$C$5&lt;=設定!$C$6,"期日間近","入金待ち")))))))))</f>
        <v/>
      </c>
      <c r="S281" s="29" t="str">
        <f aca="false">IF(OR(R281="期日超過",R281="一部入金・超過"),設定!$C$5-I281,"")</f>
        <v/>
      </c>
      <c r="T281" s="21" t="str">
        <f aca="false">IF(A281="","",TRIM(IF(B281="","請求日 ","")&amp;IF(C281="","取引先 ",IF(D281="コード誤り","取引先コード誤り ",""))&amp;IF(E281="","件名 ","")&amp;IF(F281="","請求額 ","")&amp;IF(AND(F281&lt;&gt;"",I281=""),"入金期日(マスタの支払条件が未登録) ","")&amp;IF(J281="","送付方法 ","")&amp;IF(AND(K281&lt;&gt;"",L281=""),"送付者 ","")&amp;IF(AND(K281&lt;&gt;"",N(K281)&gt;設定!$C$5),"送付日が未来の日付 ","")&amp;IF(AND(K281&lt;&gt;"",N(M281)&gt;0,N(P281)&lt;=0,U281=""),"消込確認者 ","")))</f>
        <v/>
      </c>
      <c r="U281" s="26"/>
      <c r="V281" s="26"/>
    </row>
    <row r="282" customFormat="false" ht="15" hidden="false" customHeight="false" outlineLevel="0" collapsed="false">
      <c r="A282" s="21" t="str">
        <f aca="false">IF(COUNTA(B282,C282,E282,F282)=0,"",設定!$C$4&amp;TEXT(ROW()-4,"00000"))</f>
        <v/>
      </c>
      <c r="B282" s="22"/>
      <c r="C282" s="23"/>
      <c r="D282" s="21" t="str">
        <f aca="false">IF(C282="","",IFERROR(INDEX(取引先マスタ!$B$5:$B$204,MATCH(C282,取引先マスタ!$A$5:$A$204,0)),"コード誤り"))</f>
        <v/>
      </c>
      <c r="E282" s="26"/>
      <c r="F282" s="18"/>
      <c r="G282" s="25" t="str">
        <f aca="false">IF(OR(B282="",C282="",D282="コード誤り"),"",IFERROR(IF(OR(INDEX(取引先マスタ!$E$5:$E$204,MATCH(C282,取引先マスタ!$A$5:$A$204,0))="",INDEX(取引先マスタ!$F$5:$F$204,MATCH(C282,取引先マスタ!$A$5:$A$204,0))=""),"",DATE(YEAR(B282),MONTH(B282)+INDEX(取引先マスタ!$E$5:$E$204,MATCH(C282,取引先マスタ!$A$5:$A$204,0)),MIN(INDEX(取引先マスタ!$F$5:$F$204,MATCH(C282,取引先マスタ!$A$5:$A$204,0)),DAY(EOMONTH(B282,INDEX(取引先マスタ!$E$5:$E$204,MATCH(C282,取引先マスタ!$A$5:$A$204,0))))))),""))</f>
        <v/>
      </c>
      <c r="H282" s="22"/>
      <c r="I282" s="25" t="str">
        <f aca="false">IF(H282&lt;&gt;"",H282,G282)</f>
        <v/>
      </c>
      <c r="J282" s="26"/>
      <c r="K282" s="22"/>
      <c r="L282" s="26"/>
      <c r="M282" s="27" t="str">
        <f aca="false">IF(A282="","",SUMIF(入金明細!$F$5:$F$1004,A282,入金明細!$E$5:$E$1004))</f>
        <v/>
      </c>
      <c r="N282" s="25" t="str">
        <f aca="false">IF(OR(A282="",N(M282)=0),"",SUMPRODUCT(MAX((入金明細!$F$5:$F$1004=A282)*入金明細!$B$5:$B$1004)))</f>
        <v/>
      </c>
      <c r="O282" s="18"/>
      <c r="P282" s="27" t="str">
        <f aca="false">IF(OR(A282="",F282=""),"",F282-N(M282)-N(O282))</f>
        <v/>
      </c>
      <c r="Q282" s="26"/>
      <c r="R282" s="28" t="str">
        <f aca="false">IF(A282="","",IF(Q282="取消","取消",IF(T282&lt;&gt;"","要入力",IF(K282="","未送付",IF(P282=0,"入金済",IF(P282&lt;0,"過入金",IF(設定!$C$5&gt;I282,IF(N(M282)&gt;0,"一部入金・超過","期日超過"),IF(N(M282)&gt;0,"一部入金",IF(I282-設定!$C$5&lt;=設定!$C$6,"期日間近","入金待ち")))))))))</f>
        <v/>
      </c>
      <c r="S282" s="29" t="str">
        <f aca="false">IF(OR(R282="期日超過",R282="一部入金・超過"),設定!$C$5-I282,"")</f>
        <v/>
      </c>
      <c r="T282" s="21" t="str">
        <f aca="false">IF(A282="","",TRIM(IF(B282="","請求日 ","")&amp;IF(C282="","取引先 ",IF(D282="コード誤り","取引先コード誤り ",""))&amp;IF(E282="","件名 ","")&amp;IF(F282="","請求額 ","")&amp;IF(AND(F282&lt;&gt;"",I282=""),"入金期日(マスタの支払条件が未登録) ","")&amp;IF(J282="","送付方法 ","")&amp;IF(AND(K282&lt;&gt;"",L282=""),"送付者 ","")&amp;IF(AND(K282&lt;&gt;"",N(K282)&gt;設定!$C$5),"送付日が未来の日付 ","")&amp;IF(AND(K282&lt;&gt;"",N(M282)&gt;0,N(P282)&lt;=0,U282=""),"消込確認者 ","")))</f>
        <v/>
      </c>
      <c r="U282" s="26"/>
      <c r="V282" s="26"/>
    </row>
    <row r="283" customFormat="false" ht="15" hidden="false" customHeight="false" outlineLevel="0" collapsed="false">
      <c r="A283" s="21" t="str">
        <f aca="false">IF(COUNTA(B283,C283,E283,F283)=0,"",設定!$C$4&amp;TEXT(ROW()-4,"00000"))</f>
        <v/>
      </c>
      <c r="B283" s="22"/>
      <c r="C283" s="23"/>
      <c r="D283" s="21" t="str">
        <f aca="false">IF(C283="","",IFERROR(INDEX(取引先マスタ!$B$5:$B$204,MATCH(C283,取引先マスタ!$A$5:$A$204,0)),"コード誤り"))</f>
        <v/>
      </c>
      <c r="E283" s="26"/>
      <c r="F283" s="18"/>
      <c r="G283" s="25" t="str">
        <f aca="false">IF(OR(B283="",C283="",D283="コード誤り"),"",IFERROR(IF(OR(INDEX(取引先マスタ!$E$5:$E$204,MATCH(C283,取引先マスタ!$A$5:$A$204,0))="",INDEX(取引先マスタ!$F$5:$F$204,MATCH(C283,取引先マスタ!$A$5:$A$204,0))=""),"",DATE(YEAR(B283),MONTH(B283)+INDEX(取引先マスタ!$E$5:$E$204,MATCH(C283,取引先マスタ!$A$5:$A$204,0)),MIN(INDEX(取引先マスタ!$F$5:$F$204,MATCH(C283,取引先マスタ!$A$5:$A$204,0)),DAY(EOMONTH(B283,INDEX(取引先マスタ!$E$5:$E$204,MATCH(C283,取引先マスタ!$A$5:$A$204,0))))))),""))</f>
        <v/>
      </c>
      <c r="H283" s="22"/>
      <c r="I283" s="25" t="str">
        <f aca="false">IF(H283&lt;&gt;"",H283,G283)</f>
        <v/>
      </c>
      <c r="J283" s="26"/>
      <c r="K283" s="22"/>
      <c r="L283" s="26"/>
      <c r="M283" s="27" t="str">
        <f aca="false">IF(A283="","",SUMIF(入金明細!$F$5:$F$1004,A283,入金明細!$E$5:$E$1004))</f>
        <v/>
      </c>
      <c r="N283" s="25" t="str">
        <f aca="false">IF(OR(A283="",N(M283)=0),"",SUMPRODUCT(MAX((入金明細!$F$5:$F$1004=A283)*入金明細!$B$5:$B$1004)))</f>
        <v/>
      </c>
      <c r="O283" s="18"/>
      <c r="P283" s="27" t="str">
        <f aca="false">IF(OR(A283="",F283=""),"",F283-N(M283)-N(O283))</f>
        <v/>
      </c>
      <c r="Q283" s="26"/>
      <c r="R283" s="28" t="str">
        <f aca="false">IF(A283="","",IF(Q283="取消","取消",IF(T283&lt;&gt;"","要入力",IF(K283="","未送付",IF(P283=0,"入金済",IF(P283&lt;0,"過入金",IF(設定!$C$5&gt;I283,IF(N(M283)&gt;0,"一部入金・超過","期日超過"),IF(N(M283)&gt;0,"一部入金",IF(I283-設定!$C$5&lt;=設定!$C$6,"期日間近","入金待ち")))))))))</f>
        <v/>
      </c>
      <c r="S283" s="29" t="str">
        <f aca="false">IF(OR(R283="期日超過",R283="一部入金・超過"),設定!$C$5-I283,"")</f>
        <v/>
      </c>
      <c r="T283" s="21" t="str">
        <f aca="false">IF(A283="","",TRIM(IF(B283="","請求日 ","")&amp;IF(C283="","取引先 ",IF(D283="コード誤り","取引先コード誤り ",""))&amp;IF(E283="","件名 ","")&amp;IF(F283="","請求額 ","")&amp;IF(AND(F283&lt;&gt;"",I283=""),"入金期日(マスタの支払条件が未登録) ","")&amp;IF(J283="","送付方法 ","")&amp;IF(AND(K283&lt;&gt;"",L283=""),"送付者 ","")&amp;IF(AND(K283&lt;&gt;"",N(K283)&gt;設定!$C$5),"送付日が未来の日付 ","")&amp;IF(AND(K283&lt;&gt;"",N(M283)&gt;0,N(P283)&lt;=0,U283=""),"消込確認者 ","")))</f>
        <v/>
      </c>
      <c r="U283" s="26"/>
      <c r="V283" s="26"/>
    </row>
    <row r="284" customFormat="false" ht="15" hidden="false" customHeight="false" outlineLevel="0" collapsed="false">
      <c r="A284" s="21" t="str">
        <f aca="false">IF(COUNTA(B284,C284,E284,F284)=0,"",設定!$C$4&amp;TEXT(ROW()-4,"00000"))</f>
        <v/>
      </c>
      <c r="B284" s="22"/>
      <c r="C284" s="23"/>
      <c r="D284" s="21" t="str">
        <f aca="false">IF(C284="","",IFERROR(INDEX(取引先マスタ!$B$5:$B$204,MATCH(C284,取引先マスタ!$A$5:$A$204,0)),"コード誤り"))</f>
        <v/>
      </c>
      <c r="E284" s="26"/>
      <c r="F284" s="18"/>
      <c r="G284" s="25" t="str">
        <f aca="false">IF(OR(B284="",C284="",D284="コード誤り"),"",IFERROR(IF(OR(INDEX(取引先マスタ!$E$5:$E$204,MATCH(C284,取引先マスタ!$A$5:$A$204,0))="",INDEX(取引先マスタ!$F$5:$F$204,MATCH(C284,取引先マスタ!$A$5:$A$204,0))=""),"",DATE(YEAR(B284),MONTH(B284)+INDEX(取引先マスタ!$E$5:$E$204,MATCH(C284,取引先マスタ!$A$5:$A$204,0)),MIN(INDEX(取引先マスタ!$F$5:$F$204,MATCH(C284,取引先マスタ!$A$5:$A$204,0)),DAY(EOMONTH(B284,INDEX(取引先マスタ!$E$5:$E$204,MATCH(C284,取引先マスタ!$A$5:$A$204,0))))))),""))</f>
        <v/>
      </c>
      <c r="H284" s="22"/>
      <c r="I284" s="25" t="str">
        <f aca="false">IF(H284&lt;&gt;"",H284,G284)</f>
        <v/>
      </c>
      <c r="J284" s="26"/>
      <c r="K284" s="22"/>
      <c r="L284" s="26"/>
      <c r="M284" s="27" t="str">
        <f aca="false">IF(A284="","",SUMIF(入金明細!$F$5:$F$1004,A284,入金明細!$E$5:$E$1004))</f>
        <v/>
      </c>
      <c r="N284" s="25" t="str">
        <f aca="false">IF(OR(A284="",N(M284)=0),"",SUMPRODUCT(MAX((入金明細!$F$5:$F$1004=A284)*入金明細!$B$5:$B$1004)))</f>
        <v/>
      </c>
      <c r="O284" s="18"/>
      <c r="P284" s="27" t="str">
        <f aca="false">IF(OR(A284="",F284=""),"",F284-N(M284)-N(O284))</f>
        <v/>
      </c>
      <c r="Q284" s="26"/>
      <c r="R284" s="28" t="str">
        <f aca="false">IF(A284="","",IF(Q284="取消","取消",IF(T284&lt;&gt;"","要入力",IF(K284="","未送付",IF(P284=0,"入金済",IF(P284&lt;0,"過入金",IF(設定!$C$5&gt;I284,IF(N(M284)&gt;0,"一部入金・超過","期日超過"),IF(N(M284)&gt;0,"一部入金",IF(I284-設定!$C$5&lt;=設定!$C$6,"期日間近","入金待ち")))))))))</f>
        <v/>
      </c>
      <c r="S284" s="29" t="str">
        <f aca="false">IF(OR(R284="期日超過",R284="一部入金・超過"),設定!$C$5-I284,"")</f>
        <v/>
      </c>
      <c r="T284" s="21" t="str">
        <f aca="false">IF(A284="","",TRIM(IF(B284="","請求日 ","")&amp;IF(C284="","取引先 ",IF(D284="コード誤り","取引先コード誤り ",""))&amp;IF(E284="","件名 ","")&amp;IF(F284="","請求額 ","")&amp;IF(AND(F284&lt;&gt;"",I284=""),"入金期日(マスタの支払条件が未登録) ","")&amp;IF(J284="","送付方法 ","")&amp;IF(AND(K284&lt;&gt;"",L284=""),"送付者 ","")&amp;IF(AND(K284&lt;&gt;"",N(K284)&gt;設定!$C$5),"送付日が未来の日付 ","")&amp;IF(AND(K284&lt;&gt;"",N(M284)&gt;0,N(P284)&lt;=0,U284=""),"消込確認者 ","")))</f>
        <v/>
      </c>
      <c r="U284" s="26"/>
      <c r="V284" s="26"/>
    </row>
    <row r="285" customFormat="false" ht="15" hidden="false" customHeight="false" outlineLevel="0" collapsed="false">
      <c r="A285" s="21" t="str">
        <f aca="false">IF(COUNTA(B285,C285,E285,F285)=0,"",設定!$C$4&amp;TEXT(ROW()-4,"00000"))</f>
        <v/>
      </c>
      <c r="B285" s="22"/>
      <c r="C285" s="23"/>
      <c r="D285" s="21" t="str">
        <f aca="false">IF(C285="","",IFERROR(INDEX(取引先マスタ!$B$5:$B$204,MATCH(C285,取引先マスタ!$A$5:$A$204,0)),"コード誤り"))</f>
        <v/>
      </c>
      <c r="E285" s="26"/>
      <c r="F285" s="18"/>
      <c r="G285" s="25" t="str">
        <f aca="false">IF(OR(B285="",C285="",D285="コード誤り"),"",IFERROR(IF(OR(INDEX(取引先マスタ!$E$5:$E$204,MATCH(C285,取引先マスタ!$A$5:$A$204,0))="",INDEX(取引先マスタ!$F$5:$F$204,MATCH(C285,取引先マスタ!$A$5:$A$204,0))=""),"",DATE(YEAR(B285),MONTH(B285)+INDEX(取引先マスタ!$E$5:$E$204,MATCH(C285,取引先マスタ!$A$5:$A$204,0)),MIN(INDEX(取引先マスタ!$F$5:$F$204,MATCH(C285,取引先マスタ!$A$5:$A$204,0)),DAY(EOMONTH(B285,INDEX(取引先マスタ!$E$5:$E$204,MATCH(C285,取引先マスタ!$A$5:$A$204,0))))))),""))</f>
        <v/>
      </c>
      <c r="H285" s="22"/>
      <c r="I285" s="25" t="str">
        <f aca="false">IF(H285&lt;&gt;"",H285,G285)</f>
        <v/>
      </c>
      <c r="J285" s="26"/>
      <c r="K285" s="22"/>
      <c r="L285" s="26"/>
      <c r="M285" s="27" t="str">
        <f aca="false">IF(A285="","",SUMIF(入金明細!$F$5:$F$1004,A285,入金明細!$E$5:$E$1004))</f>
        <v/>
      </c>
      <c r="N285" s="25" t="str">
        <f aca="false">IF(OR(A285="",N(M285)=0),"",SUMPRODUCT(MAX((入金明細!$F$5:$F$1004=A285)*入金明細!$B$5:$B$1004)))</f>
        <v/>
      </c>
      <c r="O285" s="18"/>
      <c r="P285" s="27" t="str">
        <f aca="false">IF(OR(A285="",F285=""),"",F285-N(M285)-N(O285))</f>
        <v/>
      </c>
      <c r="Q285" s="26"/>
      <c r="R285" s="28" t="str">
        <f aca="false">IF(A285="","",IF(Q285="取消","取消",IF(T285&lt;&gt;"","要入力",IF(K285="","未送付",IF(P285=0,"入金済",IF(P285&lt;0,"過入金",IF(設定!$C$5&gt;I285,IF(N(M285)&gt;0,"一部入金・超過","期日超過"),IF(N(M285)&gt;0,"一部入金",IF(I285-設定!$C$5&lt;=設定!$C$6,"期日間近","入金待ち")))))))))</f>
        <v/>
      </c>
      <c r="S285" s="29" t="str">
        <f aca="false">IF(OR(R285="期日超過",R285="一部入金・超過"),設定!$C$5-I285,"")</f>
        <v/>
      </c>
      <c r="T285" s="21" t="str">
        <f aca="false">IF(A285="","",TRIM(IF(B285="","請求日 ","")&amp;IF(C285="","取引先 ",IF(D285="コード誤り","取引先コード誤り ",""))&amp;IF(E285="","件名 ","")&amp;IF(F285="","請求額 ","")&amp;IF(AND(F285&lt;&gt;"",I285=""),"入金期日(マスタの支払条件が未登録) ","")&amp;IF(J285="","送付方法 ","")&amp;IF(AND(K285&lt;&gt;"",L285=""),"送付者 ","")&amp;IF(AND(K285&lt;&gt;"",N(K285)&gt;設定!$C$5),"送付日が未来の日付 ","")&amp;IF(AND(K285&lt;&gt;"",N(M285)&gt;0,N(P285)&lt;=0,U285=""),"消込確認者 ","")))</f>
        <v/>
      </c>
      <c r="U285" s="26"/>
      <c r="V285" s="26"/>
    </row>
    <row r="286" customFormat="false" ht="15" hidden="false" customHeight="false" outlineLevel="0" collapsed="false">
      <c r="A286" s="21" t="str">
        <f aca="false">IF(COUNTA(B286,C286,E286,F286)=0,"",設定!$C$4&amp;TEXT(ROW()-4,"00000"))</f>
        <v/>
      </c>
      <c r="B286" s="22"/>
      <c r="C286" s="23"/>
      <c r="D286" s="21" t="str">
        <f aca="false">IF(C286="","",IFERROR(INDEX(取引先マスタ!$B$5:$B$204,MATCH(C286,取引先マスタ!$A$5:$A$204,0)),"コード誤り"))</f>
        <v/>
      </c>
      <c r="E286" s="26"/>
      <c r="F286" s="18"/>
      <c r="G286" s="25" t="str">
        <f aca="false">IF(OR(B286="",C286="",D286="コード誤り"),"",IFERROR(IF(OR(INDEX(取引先マスタ!$E$5:$E$204,MATCH(C286,取引先マスタ!$A$5:$A$204,0))="",INDEX(取引先マスタ!$F$5:$F$204,MATCH(C286,取引先マスタ!$A$5:$A$204,0))=""),"",DATE(YEAR(B286),MONTH(B286)+INDEX(取引先マスタ!$E$5:$E$204,MATCH(C286,取引先マスタ!$A$5:$A$204,0)),MIN(INDEX(取引先マスタ!$F$5:$F$204,MATCH(C286,取引先マスタ!$A$5:$A$204,0)),DAY(EOMONTH(B286,INDEX(取引先マスタ!$E$5:$E$204,MATCH(C286,取引先マスタ!$A$5:$A$204,0))))))),""))</f>
        <v/>
      </c>
      <c r="H286" s="22"/>
      <c r="I286" s="25" t="str">
        <f aca="false">IF(H286&lt;&gt;"",H286,G286)</f>
        <v/>
      </c>
      <c r="J286" s="26"/>
      <c r="K286" s="22"/>
      <c r="L286" s="26"/>
      <c r="M286" s="27" t="str">
        <f aca="false">IF(A286="","",SUMIF(入金明細!$F$5:$F$1004,A286,入金明細!$E$5:$E$1004))</f>
        <v/>
      </c>
      <c r="N286" s="25" t="str">
        <f aca="false">IF(OR(A286="",N(M286)=0),"",SUMPRODUCT(MAX((入金明細!$F$5:$F$1004=A286)*入金明細!$B$5:$B$1004)))</f>
        <v/>
      </c>
      <c r="O286" s="18"/>
      <c r="P286" s="27" t="str">
        <f aca="false">IF(OR(A286="",F286=""),"",F286-N(M286)-N(O286))</f>
        <v/>
      </c>
      <c r="Q286" s="26"/>
      <c r="R286" s="28" t="str">
        <f aca="false">IF(A286="","",IF(Q286="取消","取消",IF(T286&lt;&gt;"","要入力",IF(K286="","未送付",IF(P286=0,"入金済",IF(P286&lt;0,"過入金",IF(設定!$C$5&gt;I286,IF(N(M286)&gt;0,"一部入金・超過","期日超過"),IF(N(M286)&gt;0,"一部入金",IF(I286-設定!$C$5&lt;=設定!$C$6,"期日間近","入金待ち")))))))))</f>
        <v/>
      </c>
      <c r="S286" s="29" t="str">
        <f aca="false">IF(OR(R286="期日超過",R286="一部入金・超過"),設定!$C$5-I286,"")</f>
        <v/>
      </c>
      <c r="T286" s="21" t="str">
        <f aca="false">IF(A286="","",TRIM(IF(B286="","請求日 ","")&amp;IF(C286="","取引先 ",IF(D286="コード誤り","取引先コード誤り ",""))&amp;IF(E286="","件名 ","")&amp;IF(F286="","請求額 ","")&amp;IF(AND(F286&lt;&gt;"",I286=""),"入金期日(マスタの支払条件が未登録) ","")&amp;IF(J286="","送付方法 ","")&amp;IF(AND(K286&lt;&gt;"",L286=""),"送付者 ","")&amp;IF(AND(K286&lt;&gt;"",N(K286)&gt;設定!$C$5),"送付日が未来の日付 ","")&amp;IF(AND(K286&lt;&gt;"",N(M286)&gt;0,N(P286)&lt;=0,U286=""),"消込確認者 ","")))</f>
        <v/>
      </c>
      <c r="U286" s="26"/>
      <c r="V286" s="26"/>
    </row>
    <row r="287" customFormat="false" ht="15" hidden="false" customHeight="false" outlineLevel="0" collapsed="false">
      <c r="A287" s="21" t="str">
        <f aca="false">IF(COUNTA(B287,C287,E287,F287)=0,"",設定!$C$4&amp;TEXT(ROW()-4,"00000"))</f>
        <v/>
      </c>
      <c r="B287" s="22"/>
      <c r="C287" s="23"/>
      <c r="D287" s="21" t="str">
        <f aca="false">IF(C287="","",IFERROR(INDEX(取引先マスタ!$B$5:$B$204,MATCH(C287,取引先マスタ!$A$5:$A$204,0)),"コード誤り"))</f>
        <v/>
      </c>
      <c r="E287" s="26"/>
      <c r="F287" s="18"/>
      <c r="G287" s="25" t="str">
        <f aca="false">IF(OR(B287="",C287="",D287="コード誤り"),"",IFERROR(IF(OR(INDEX(取引先マスタ!$E$5:$E$204,MATCH(C287,取引先マスタ!$A$5:$A$204,0))="",INDEX(取引先マスタ!$F$5:$F$204,MATCH(C287,取引先マスタ!$A$5:$A$204,0))=""),"",DATE(YEAR(B287),MONTH(B287)+INDEX(取引先マスタ!$E$5:$E$204,MATCH(C287,取引先マスタ!$A$5:$A$204,0)),MIN(INDEX(取引先マスタ!$F$5:$F$204,MATCH(C287,取引先マスタ!$A$5:$A$204,0)),DAY(EOMONTH(B287,INDEX(取引先マスタ!$E$5:$E$204,MATCH(C287,取引先マスタ!$A$5:$A$204,0))))))),""))</f>
        <v/>
      </c>
      <c r="H287" s="22"/>
      <c r="I287" s="25" t="str">
        <f aca="false">IF(H287&lt;&gt;"",H287,G287)</f>
        <v/>
      </c>
      <c r="J287" s="26"/>
      <c r="K287" s="22"/>
      <c r="L287" s="26"/>
      <c r="M287" s="27" t="str">
        <f aca="false">IF(A287="","",SUMIF(入金明細!$F$5:$F$1004,A287,入金明細!$E$5:$E$1004))</f>
        <v/>
      </c>
      <c r="N287" s="25" t="str">
        <f aca="false">IF(OR(A287="",N(M287)=0),"",SUMPRODUCT(MAX((入金明細!$F$5:$F$1004=A287)*入金明細!$B$5:$B$1004)))</f>
        <v/>
      </c>
      <c r="O287" s="18"/>
      <c r="P287" s="27" t="str">
        <f aca="false">IF(OR(A287="",F287=""),"",F287-N(M287)-N(O287))</f>
        <v/>
      </c>
      <c r="Q287" s="26"/>
      <c r="R287" s="28" t="str">
        <f aca="false">IF(A287="","",IF(Q287="取消","取消",IF(T287&lt;&gt;"","要入力",IF(K287="","未送付",IF(P287=0,"入金済",IF(P287&lt;0,"過入金",IF(設定!$C$5&gt;I287,IF(N(M287)&gt;0,"一部入金・超過","期日超過"),IF(N(M287)&gt;0,"一部入金",IF(I287-設定!$C$5&lt;=設定!$C$6,"期日間近","入金待ち")))))))))</f>
        <v/>
      </c>
      <c r="S287" s="29" t="str">
        <f aca="false">IF(OR(R287="期日超過",R287="一部入金・超過"),設定!$C$5-I287,"")</f>
        <v/>
      </c>
      <c r="T287" s="21" t="str">
        <f aca="false">IF(A287="","",TRIM(IF(B287="","請求日 ","")&amp;IF(C287="","取引先 ",IF(D287="コード誤り","取引先コード誤り ",""))&amp;IF(E287="","件名 ","")&amp;IF(F287="","請求額 ","")&amp;IF(AND(F287&lt;&gt;"",I287=""),"入金期日(マスタの支払条件が未登録) ","")&amp;IF(J287="","送付方法 ","")&amp;IF(AND(K287&lt;&gt;"",L287=""),"送付者 ","")&amp;IF(AND(K287&lt;&gt;"",N(K287)&gt;設定!$C$5),"送付日が未来の日付 ","")&amp;IF(AND(K287&lt;&gt;"",N(M287)&gt;0,N(P287)&lt;=0,U287=""),"消込確認者 ","")))</f>
        <v/>
      </c>
      <c r="U287" s="26"/>
      <c r="V287" s="26"/>
    </row>
    <row r="288" customFormat="false" ht="15" hidden="false" customHeight="false" outlineLevel="0" collapsed="false">
      <c r="A288" s="21" t="str">
        <f aca="false">IF(COUNTA(B288,C288,E288,F288)=0,"",設定!$C$4&amp;TEXT(ROW()-4,"00000"))</f>
        <v/>
      </c>
      <c r="B288" s="22"/>
      <c r="C288" s="23"/>
      <c r="D288" s="21" t="str">
        <f aca="false">IF(C288="","",IFERROR(INDEX(取引先マスタ!$B$5:$B$204,MATCH(C288,取引先マスタ!$A$5:$A$204,0)),"コード誤り"))</f>
        <v/>
      </c>
      <c r="E288" s="26"/>
      <c r="F288" s="18"/>
      <c r="G288" s="25" t="str">
        <f aca="false">IF(OR(B288="",C288="",D288="コード誤り"),"",IFERROR(IF(OR(INDEX(取引先マスタ!$E$5:$E$204,MATCH(C288,取引先マスタ!$A$5:$A$204,0))="",INDEX(取引先マスタ!$F$5:$F$204,MATCH(C288,取引先マスタ!$A$5:$A$204,0))=""),"",DATE(YEAR(B288),MONTH(B288)+INDEX(取引先マスタ!$E$5:$E$204,MATCH(C288,取引先マスタ!$A$5:$A$204,0)),MIN(INDEX(取引先マスタ!$F$5:$F$204,MATCH(C288,取引先マスタ!$A$5:$A$204,0)),DAY(EOMONTH(B288,INDEX(取引先マスタ!$E$5:$E$204,MATCH(C288,取引先マスタ!$A$5:$A$204,0))))))),""))</f>
        <v/>
      </c>
      <c r="H288" s="22"/>
      <c r="I288" s="25" t="str">
        <f aca="false">IF(H288&lt;&gt;"",H288,G288)</f>
        <v/>
      </c>
      <c r="J288" s="26"/>
      <c r="K288" s="22"/>
      <c r="L288" s="26"/>
      <c r="M288" s="27" t="str">
        <f aca="false">IF(A288="","",SUMIF(入金明細!$F$5:$F$1004,A288,入金明細!$E$5:$E$1004))</f>
        <v/>
      </c>
      <c r="N288" s="25" t="str">
        <f aca="false">IF(OR(A288="",N(M288)=0),"",SUMPRODUCT(MAX((入金明細!$F$5:$F$1004=A288)*入金明細!$B$5:$B$1004)))</f>
        <v/>
      </c>
      <c r="O288" s="18"/>
      <c r="P288" s="27" t="str">
        <f aca="false">IF(OR(A288="",F288=""),"",F288-N(M288)-N(O288))</f>
        <v/>
      </c>
      <c r="Q288" s="26"/>
      <c r="R288" s="28" t="str">
        <f aca="false">IF(A288="","",IF(Q288="取消","取消",IF(T288&lt;&gt;"","要入力",IF(K288="","未送付",IF(P288=0,"入金済",IF(P288&lt;0,"過入金",IF(設定!$C$5&gt;I288,IF(N(M288)&gt;0,"一部入金・超過","期日超過"),IF(N(M288)&gt;0,"一部入金",IF(I288-設定!$C$5&lt;=設定!$C$6,"期日間近","入金待ち")))))))))</f>
        <v/>
      </c>
      <c r="S288" s="29" t="str">
        <f aca="false">IF(OR(R288="期日超過",R288="一部入金・超過"),設定!$C$5-I288,"")</f>
        <v/>
      </c>
      <c r="T288" s="21" t="str">
        <f aca="false">IF(A288="","",TRIM(IF(B288="","請求日 ","")&amp;IF(C288="","取引先 ",IF(D288="コード誤り","取引先コード誤り ",""))&amp;IF(E288="","件名 ","")&amp;IF(F288="","請求額 ","")&amp;IF(AND(F288&lt;&gt;"",I288=""),"入金期日(マスタの支払条件が未登録) ","")&amp;IF(J288="","送付方法 ","")&amp;IF(AND(K288&lt;&gt;"",L288=""),"送付者 ","")&amp;IF(AND(K288&lt;&gt;"",N(K288)&gt;設定!$C$5),"送付日が未来の日付 ","")&amp;IF(AND(K288&lt;&gt;"",N(M288)&gt;0,N(P288)&lt;=0,U288=""),"消込確認者 ","")))</f>
        <v/>
      </c>
      <c r="U288" s="26"/>
      <c r="V288" s="26"/>
    </row>
    <row r="289" customFormat="false" ht="15" hidden="false" customHeight="false" outlineLevel="0" collapsed="false">
      <c r="A289" s="21" t="str">
        <f aca="false">IF(COUNTA(B289,C289,E289,F289)=0,"",設定!$C$4&amp;TEXT(ROW()-4,"00000"))</f>
        <v/>
      </c>
      <c r="B289" s="22"/>
      <c r="C289" s="23"/>
      <c r="D289" s="21" t="str">
        <f aca="false">IF(C289="","",IFERROR(INDEX(取引先マスタ!$B$5:$B$204,MATCH(C289,取引先マスタ!$A$5:$A$204,0)),"コード誤り"))</f>
        <v/>
      </c>
      <c r="E289" s="26"/>
      <c r="F289" s="18"/>
      <c r="G289" s="25" t="str">
        <f aca="false">IF(OR(B289="",C289="",D289="コード誤り"),"",IFERROR(IF(OR(INDEX(取引先マスタ!$E$5:$E$204,MATCH(C289,取引先マスタ!$A$5:$A$204,0))="",INDEX(取引先マスタ!$F$5:$F$204,MATCH(C289,取引先マスタ!$A$5:$A$204,0))=""),"",DATE(YEAR(B289),MONTH(B289)+INDEX(取引先マスタ!$E$5:$E$204,MATCH(C289,取引先マスタ!$A$5:$A$204,0)),MIN(INDEX(取引先マスタ!$F$5:$F$204,MATCH(C289,取引先マスタ!$A$5:$A$204,0)),DAY(EOMONTH(B289,INDEX(取引先マスタ!$E$5:$E$204,MATCH(C289,取引先マスタ!$A$5:$A$204,0))))))),""))</f>
        <v/>
      </c>
      <c r="H289" s="22"/>
      <c r="I289" s="25" t="str">
        <f aca="false">IF(H289&lt;&gt;"",H289,G289)</f>
        <v/>
      </c>
      <c r="J289" s="26"/>
      <c r="K289" s="22"/>
      <c r="L289" s="26"/>
      <c r="M289" s="27" t="str">
        <f aca="false">IF(A289="","",SUMIF(入金明細!$F$5:$F$1004,A289,入金明細!$E$5:$E$1004))</f>
        <v/>
      </c>
      <c r="N289" s="25" t="str">
        <f aca="false">IF(OR(A289="",N(M289)=0),"",SUMPRODUCT(MAX((入金明細!$F$5:$F$1004=A289)*入金明細!$B$5:$B$1004)))</f>
        <v/>
      </c>
      <c r="O289" s="18"/>
      <c r="P289" s="27" t="str">
        <f aca="false">IF(OR(A289="",F289=""),"",F289-N(M289)-N(O289))</f>
        <v/>
      </c>
      <c r="Q289" s="26"/>
      <c r="R289" s="28" t="str">
        <f aca="false">IF(A289="","",IF(Q289="取消","取消",IF(T289&lt;&gt;"","要入力",IF(K289="","未送付",IF(P289=0,"入金済",IF(P289&lt;0,"過入金",IF(設定!$C$5&gt;I289,IF(N(M289)&gt;0,"一部入金・超過","期日超過"),IF(N(M289)&gt;0,"一部入金",IF(I289-設定!$C$5&lt;=設定!$C$6,"期日間近","入金待ち")))))))))</f>
        <v/>
      </c>
      <c r="S289" s="29" t="str">
        <f aca="false">IF(OR(R289="期日超過",R289="一部入金・超過"),設定!$C$5-I289,"")</f>
        <v/>
      </c>
      <c r="T289" s="21" t="str">
        <f aca="false">IF(A289="","",TRIM(IF(B289="","請求日 ","")&amp;IF(C289="","取引先 ",IF(D289="コード誤り","取引先コード誤り ",""))&amp;IF(E289="","件名 ","")&amp;IF(F289="","請求額 ","")&amp;IF(AND(F289&lt;&gt;"",I289=""),"入金期日(マスタの支払条件が未登録) ","")&amp;IF(J289="","送付方法 ","")&amp;IF(AND(K289&lt;&gt;"",L289=""),"送付者 ","")&amp;IF(AND(K289&lt;&gt;"",N(K289)&gt;設定!$C$5),"送付日が未来の日付 ","")&amp;IF(AND(K289&lt;&gt;"",N(M289)&gt;0,N(P289)&lt;=0,U289=""),"消込確認者 ","")))</f>
        <v/>
      </c>
      <c r="U289" s="26"/>
      <c r="V289" s="26"/>
    </row>
    <row r="290" customFormat="false" ht="15" hidden="false" customHeight="false" outlineLevel="0" collapsed="false">
      <c r="A290" s="21" t="str">
        <f aca="false">IF(COUNTA(B290,C290,E290,F290)=0,"",設定!$C$4&amp;TEXT(ROW()-4,"00000"))</f>
        <v/>
      </c>
      <c r="B290" s="22"/>
      <c r="C290" s="23"/>
      <c r="D290" s="21" t="str">
        <f aca="false">IF(C290="","",IFERROR(INDEX(取引先マスタ!$B$5:$B$204,MATCH(C290,取引先マスタ!$A$5:$A$204,0)),"コード誤り"))</f>
        <v/>
      </c>
      <c r="E290" s="26"/>
      <c r="F290" s="18"/>
      <c r="G290" s="25" t="str">
        <f aca="false">IF(OR(B290="",C290="",D290="コード誤り"),"",IFERROR(IF(OR(INDEX(取引先マスタ!$E$5:$E$204,MATCH(C290,取引先マスタ!$A$5:$A$204,0))="",INDEX(取引先マスタ!$F$5:$F$204,MATCH(C290,取引先マスタ!$A$5:$A$204,0))=""),"",DATE(YEAR(B290),MONTH(B290)+INDEX(取引先マスタ!$E$5:$E$204,MATCH(C290,取引先マスタ!$A$5:$A$204,0)),MIN(INDEX(取引先マスタ!$F$5:$F$204,MATCH(C290,取引先マスタ!$A$5:$A$204,0)),DAY(EOMONTH(B290,INDEX(取引先マスタ!$E$5:$E$204,MATCH(C290,取引先マスタ!$A$5:$A$204,0))))))),""))</f>
        <v/>
      </c>
      <c r="H290" s="22"/>
      <c r="I290" s="25" t="str">
        <f aca="false">IF(H290&lt;&gt;"",H290,G290)</f>
        <v/>
      </c>
      <c r="J290" s="26"/>
      <c r="K290" s="22"/>
      <c r="L290" s="26"/>
      <c r="M290" s="27" t="str">
        <f aca="false">IF(A290="","",SUMIF(入金明細!$F$5:$F$1004,A290,入金明細!$E$5:$E$1004))</f>
        <v/>
      </c>
      <c r="N290" s="25" t="str">
        <f aca="false">IF(OR(A290="",N(M290)=0),"",SUMPRODUCT(MAX((入金明細!$F$5:$F$1004=A290)*入金明細!$B$5:$B$1004)))</f>
        <v/>
      </c>
      <c r="O290" s="18"/>
      <c r="P290" s="27" t="str">
        <f aca="false">IF(OR(A290="",F290=""),"",F290-N(M290)-N(O290))</f>
        <v/>
      </c>
      <c r="Q290" s="26"/>
      <c r="R290" s="28" t="str">
        <f aca="false">IF(A290="","",IF(Q290="取消","取消",IF(T290&lt;&gt;"","要入力",IF(K290="","未送付",IF(P290=0,"入金済",IF(P290&lt;0,"過入金",IF(設定!$C$5&gt;I290,IF(N(M290)&gt;0,"一部入金・超過","期日超過"),IF(N(M290)&gt;0,"一部入金",IF(I290-設定!$C$5&lt;=設定!$C$6,"期日間近","入金待ち")))))))))</f>
        <v/>
      </c>
      <c r="S290" s="29" t="str">
        <f aca="false">IF(OR(R290="期日超過",R290="一部入金・超過"),設定!$C$5-I290,"")</f>
        <v/>
      </c>
      <c r="T290" s="21" t="str">
        <f aca="false">IF(A290="","",TRIM(IF(B290="","請求日 ","")&amp;IF(C290="","取引先 ",IF(D290="コード誤り","取引先コード誤り ",""))&amp;IF(E290="","件名 ","")&amp;IF(F290="","請求額 ","")&amp;IF(AND(F290&lt;&gt;"",I290=""),"入金期日(マスタの支払条件が未登録) ","")&amp;IF(J290="","送付方法 ","")&amp;IF(AND(K290&lt;&gt;"",L290=""),"送付者 ","")&amp;IF(AND(K290&lt;&gt;"",N(K290)&gt;設定!$C$5),"送付日が未来の日付 ","")&amp;IF(AND(K290&lt;&gt;"",N(M290)&gt;0,N(P290)&lt;=0,U290=""),"消込確認者 ","")))</f>
        <v/>
      </c>
      <c r="U290" s="26"/>
      <c r="V290" s="26"/>
    </row>
    <row r="291" customFormat="false" ht="15" hidden="false" customHeight="false" outlineLevel="0" collapsed="false">
      <c r="A291" s="21" t="str">
        <f aca="false">IF(COUNTA(B291,C291,E291,F291)=0,"",設定!$C$4&amp;TEXT(ROW()-4,"00000"))</f>
        <v/>
      </c>
      <c r="B291" s="22"/>
      <c r="C291" s="23"/>
      <c r="D291" s="21" t="str">
        <f aca="false">IF(C291="","",IFERROR(INDEX(取引先マスタ!$B$5:$B$204,MATCH(C291,取引先マスタ!$A$5:$A$204,0)),"コード誤り"))</f>
        <v/>
      </c>
      <c r="E291" s="26"/>
      <c r="F291" s="18"/>
      <c r="G291" s="25" t="str">
        <f aca="false">IF(OR(B291="",C291="",D291="コード誤り"),"",IFERROR(IF(OR(INDEX(取引先マスタ!$E$5:$E$204,MATCH(C291,取引先マスタ!$A$5:$A$204,0))="",INDEX(取引先マスタ!$F$5:$F$204,MATCH(C291,取引先マスタ!$A$5:$A$204,0))=""),"",DATE(YEAR(B291),MONTH(B291)+INDEX(取引先マスタ!$E$5:$E$204,MATCH(C291,取引先マスタ!$A$5:$A$204,0)),MIN(INDEX(取引先マスタ!$F$5:$F$204,MATCH(C291,取引先マスタ!$A$5:$A$204,0)),DAY(EOMONTH(B291,INDEX(取引先マスタ!$E$5:$E$204,MATCH(C291,取引先マスタ!$A$5:$A$204,0))))))),""))</f>
        <v/>
      </c>
      <c r="H291" s="22"/>
      <c r="I291" s="25" t="str">
        <f aca="false">IF(H291&lt;&gt;"",H291,G291)</f>
        <v/>
      </c>
      <c r="J291" s="26"/>
      <c r="K291" s="22"/>
      <c r="L291" s="26"/>
      <c r="M291" s="27" t="str">
        <f aca="false">IF(A291="","",SUMIF(入金明細!$F$5:$F$1004,A291,入金明細!$E$5:$E$1004))</f>
        <v/>
      </c>
      <c r="N291" s="25" t="str">
        <f aca="false">IF(OR(A291="",N(M291)=0),"",SUMPRODUCT(MAX((入金明細!$F$5:$F$1004=A291)*入金明細!$B$5:$B$1004)))</f>
        <v/>
      </c>
      <c r="O291" s="18"/>
      <c r="P291" s="27" t="str">
        <f aca="false">IF(OR(A291="",F291=""),"",F291-N(M291)-N(O291))</f>
        <v/>
      </c>
      <c r="Q291" s="26"/>
      <c r="R291" s="28" t="str">
        <f aca="false">IF(A291="","",IF(Q291="取消","取消",IF(T291&lt;&gt;"","要入力",IF(K291="","未送付",IF(P291=0,"入金済",IF(P291&lt;0,"過入金",IF(設定!$C$5&gt;I291,IF(N(M291)&gt;0,"一部入金・超過","期日超過"),IF(N(M291)&gt;0,"一部入金",IF(I291-設定!$C$5&lt;=設定!$C$6,"期日間近","入金待ち")))))))))</f>
        <v/>
      </c>
      <c r="S291" s="29" t="str">
        <f aca="false">IF(OR(R291="期日超過",R291="一部入金・超過"),設定!$C$5-I291,"")</f>
        <v/>
      </c>
      <c r="T291" s="21" t="str">
        <f aca="false">IF(A291="","",TRIM(IF(B291="","請求日 ","")&amp;IF(C291="","取引先 ",IF(D291="コード誤り","取引先コード誤り ",""))&amp;IF(E291="","件名 ","")&amp;IF(F291="","請求額 ","")&amp;IF(AND(F291&lt;&gt;"",I291=""),"入金期日(マスタの支払条件が未登録) ","")&amp;IF(J291="","送付方法 ","")&amp;IF(AND(K291&lt;&gt;"",L291=""),"送付者 ","")&amp;IF(AND(K291&lt;&gt;"",N(K291)&gt;設定!$C$5),"送付日が未来の日付 ","")&amp;IF(AND(K291&lt;&gt;"",N(M291)&gt;0,N(P291)&lt;=0,U291=""),"消込確認者 ","")))</f>
        <v/>
      </c>
      <c r="U291" s="26"/>
      <c r="V291" s="26"/>
    </row>
    <row r="292" customFormat="false" ht="15" hidden="false" customHeight="false" outlineLevel="0" collapsed="false">
      <c r="A292" s="21" t="str">
        <f aca="false">IF(COUNTA(B292,C292,E292,F292)=0,"",設定!$C$4&amp;TEXT(ROW()-4,"00000"))</f>
        <v/>
      </c>
      <c r="B292" s="22"/>
      <c r="C292" s="23"/>
      <c r="D292" s="21" t="str">
        <f aca="false">IF(C292="","",IFERROR(INDEX(取引先マスタ!$B$5:$B$204,MATCH(C292,取引先マスタ!$A$5:$A$204,0)),"コード誤り"))</f>
        <v/>
      </c>
      <c r="E292" s="26"/>
      <c r="F292" s="18"/>
      <c r="G292" s="25" t="str">
        <f aca="false">IF(OR(B292="",C292="",D292="コード誤り"),"",IFERROR(IF(OR(INDEX(取引先マスタ!$E$5:$E$204,MATCH(C292,取引先マスタ!$A$5:$A$204,0))="",INDEX(取引先マスタ!$F$5:$F$204,MATCH(C292,取引先マスタ!$A$5:$A$204,0))=""),"",DATE(YEAR(B292),MONTH(B292)+INDEX(取引先マスタ!$E$5:$E$204,MATCH(C292,取引先マスタ!$A$5:$A$204,0)),MIN(INDEX(取引先マスタ!$F$5:$F$204,MATCH(C292,取引先マスタ!$A$5:$A$204,0)),DAY(EOMONTH(B292,INDEX(取引先マスタ!$E$5:$E$204,MATCH(C292,取引先マスタ!$A$5:$A$204,0))))))),""))</f>
        <v/>
      </c>
      <c r="H292" s="22"/>
      <c r="I292" s="25" t="str">
        <f aca="false">IF(H292&lt;&gt;"",H292,G292)</f>
        <v/>
      </c>
      <c r="J292" s="26"/>
      <c r="K292" s="22"/>
      <c r="L292" s="26"/>
      <c r="M292" s="27" t="str">
        <f aca="false">IF(A292="","",SUMIF(入金明細!$F$5:$F$1004,A292,入金明細!$E$5:$E$1004))</f>
        <v/>
      </c>
      <c r="N292" s="25" t="str">
        <f aca="false">IF(OR(A292="",N(M292)=0),"",SUMPRODUCT(MAX((入金明細!$F$5:$F$1004=A292)*入金明細!$B$5:$B$1004)))</f>
        <v/>
      </c>
      <c r="O292" s="18"/>
      <c r="P292" s="27" t="str">
        <f aca="false">IF(OR(A292="",F292=""),"",F292-N(M292)-N(O292))</f>
        <v/>
      </c>
      <c r="Q292" s="26"/>
      <c r="R292" s="28" t="str">
        <f aca="false">IF(A292="","",IF(Q292="取消","取消",IF(T292&lt;&gt;"","要入力",IF(K292="","未送付",IF(P292=0,"入金済",IF(P292&lt;0,"過入金",IF(設定!$C$5&gt;I292,IF(N(M292)&gt;0,"一部入金・超過","期日超過"),IF(N(M292)&gt;0,"一部入金",IF(I292-設定!$C$5&lt;=設定!$C$6,"期日間近","入金待ち")))))))))</f>
        <v/>
      </c>
      <c r="S292" s="29" t="str">
        <f aca="false">IF(OR(R292="期日超過",R292="一部入金・超過"),設定!$C$5-I292,"")</f>
        <v/>
      </c>
      <c r="T292" s="21" t="str">
        <f aca="false">IF(A292="","",TRIM(IF(B292="","請求日 ","")&amp;IF(C292="","取引先 ",IF(D292="コード誤り","取引先コード誤り ",""))&amp;IF(E292="","件名 ","")&amp;IF(F292="","請求額 ","")&amp;IF(AND(F292&lt;&gt;"",I292=""),"入金期日(マスタの支払条件が未登録) ","")&amp;IF(J292="","送付方法 ","")&amp;IF(AND(K292&lt;&gt;"",L292=""),"送付者 ","")&amp;IF(AND(K292&lt;&gt;"",N(K292)&gt;設定!$C$5),"送付日が未来の日付 ","")&amp;IF(AND(K292&lt;&gt;"",N(M292)&gt;0,N(P292)&lt;=0,U292=""),"消込確認者 ","")))</f>
        <v/>
      </c>
      <c r="U292" s="26"/>
      <c r="V292" s="26"/>
    </row>
    <row r="293" customFormat="false" ht="15" hidden="false" customHeight="false" outlineLevel="0" collapsed="false">
      <c r="A293" s="21" t="str">
        <f aca="false">IF(COUNTA(B293,C293,E293,F293)=0,"",設定!$C$4&amp;TEXT(ROW()-4,"00000"))</f>
        <v/>
      </c>
      <c r="B293" s="22"/>
      <c r="C293" s="23"/>
      <c r="D293" s="21" t="str">
        <f aca="false">IF(C293="","",IFERROR(INDEX(取引先マスタ!$B$5:$B$204,MATCH(C293,取引先マスタ!$A$5:$A$204,0)),"コード誤り"))</f>
        <v/>
      </c>
      <c r="E293" s="26"/>
      <c r="F293" s="18"/>
      <c r="G293" s="25" t="str">
        <f aca="false">IF(OR(B293="",C293="",D293="コード誤り"),"",IFERROR(IF(OR(INDEX(取引先マスタ!$E$5:$E$204,MATCH(C293,取引先マスタ!$A$5:$A$204,0))="",INDEX(取引先マスタ!$F$5:$F$204,MATCH(C293,取引先マスタ!$A$5:$A$204,0))=""),"",DATE(YEAR(B293),MONTH(B293)+INDEX(取引先マスタ!$E$5:$E$204,MATCH(C293,取引先マスタ!$A$5:$A$204,0)),MIN(INDEX(取引先マスタ!$F$5:$F$204,MATCH(C293,取引先マスタ!$A$5:$A$204,0)),DAY(EOMONTH(B293,INDEX(取引先マスタ!$E$5:$E$204,MATCH(C293,取引先マスタ!$A$5:$A$204,0))))))),""))</f>
        <v/>
      </c>
      <c r="H293" s="22"/>
      <c r="I293" s="25" t="str">
        <f aca="false">IF(H293&lt;&gt;"",H293,G293)</f>
        <v/>
      </c>
      <c r="J293" s="26"/>
      <c r="K293" s="22"/>
      <c r="L293" s="26"/>
      <c r="M293" s="27" t="str">
        <f aca="false">IF(A293="","",SUMIF(入金明細!$F$5:$F$1004,A293,入金明細!$E$5:$E$1004))</f>
        <v/>
      </c>
      <c r="N293" s="25" t="str">
        <f aca="false">IF(OR(A293="",N(M293)=0),"",SUMPRODUCT(MAX((入金明細!$F$5:$F$1004=A293)*入金明細!$B$5:$B$1004)))</f>
        <v/>
      </c>
      <c r="O293" s="18"/>
      <c r="P293" s="27" t="str">
        <f aca="false">IF(OR(A293="",F293=""),"",F293-N(M293)-N(O293))</f>
        <v/>
      </c>
      <c r="Q293" s="26"/>
      <c r="R293" s="28" t="str">
        <f aca="false">IF(A293="","",IF(Q293="取消","取消",IF(T293&lt;&gt;"","要入力",IF(K293="","未送付",IF(P293=0,"入金済",IF(P293&lt;0,"過入金",IF(設定!$C$5&gt;I293,IF(N(M293)&gt;0,"一部入金・超過","期日超過"),IF(N(M293)&gt;0,"一部入金",IF(I293-設定!$C$5&lt;=設定!$C$6,"期日間近","入金待ち")))))))))</f>
        <v/>
      </c>
      <c r="S293" s="29" t="str">
        <f aca="false">IF(OR(R293="期日超過",R293="一部入金・超過"),設定!$C$5-I293,"")</f>
        <v/>
      </c>
      <c r="T293" s="21" t="str">
        <f aca="false">IF(A293="","",TRIM(IF(B293="","請求日 ","")&amp;IF(C293="","取引先 ",IF(D293="コード誤り","取引先コード誤り ",""))&amp;IF(E293="","件名 ","")&amp;IF(F293="","請求額 ","")&amp;IF(AND(F293&lt;&gt;"",I293=""),"入金期日(マスタの支払条件が未登録) ","")&amp;IF(J293="","送付方法 ","")&amp;IF(AND(K293&lt;&gt;"",L293=""),"送付者 ","")&amp;IF(AND(K293&lt;&gt;"",N(K293)&gt;設定!$C$5),"送付日が未来の日付 ","")&amp;IF(AND(K293&lt;&gt;"",N(M293)&gt;0,N(P293)&lt;=0,U293=""),"消込確認者 ","")))</f>
        <v/>
      </c>
      <c r="U293" s="26"/>
      <c r="V293" s="26"/>
    </row>
    <row r="294" customFormat="false" ht="15" hidden="false" customHeight="false" outlineLevel="0" collapsed="false">
      <c r="A294" s="21" t="str">
        <f aca="false">IF(COUNTA(B294,C294,E294,F294)=0,"",設定!$C$4&amp;TEXT(ROW()-4,"00000"))</f>
        <v/>
      </c>
      <c r="B294" s="22"/>
      <c r="C294" s="23"/>
      <c r="D294" s="21" t="str">
        <f aca="false">IF(C294="","",IFERROR(INDEX(取引先マスタ!$B$5:$B$204,MATCH(C294,取引先マスタ!$A$5:$A$204,0)),"コード誤り"))</f>
        <v/>
      </c>
      <c r="E294" s="26"/>
      <c r="F294" s="18"/>
      <c r="G294" s="25" t="str">
        <f aca="false">IF(OR(B294="",C294="",D294="コード誤り"),"",IFERROR(IF(OR(INDEX(取引先マスタ!$E$5:$E$204,MATCH(C294,取引先マスタ!$A$5:$A$204,0))="",INDEX(取引先マスタ!$F$5:$F$204,MATCH(C294,取引先マスタ!$A$5:$A$204,0))=""),"",DATE(YEAR(B294),MONTH(B294)+INDEX(取引先マスタ!$E$5:$E$204,MATCH(C294,取引先マスタ!$A$5:$A$204,0)),MIN(INDEX(取引先マスタ!$F$5:$F$204,MATCH(C294,取引先マスタ!$A$5:$A$204,0)),DAY(EOMONTH(B294,INDEX(取引先マスタ!$E$5:$E$204,MATCH(C294,取引先マスタ!$A$5:$A$204,0))))))),""))</f>
        <v/>
      </c>
      <c r="H294" s="22"/>
      <c r="I294" s="25" t="str">
        <f aca="false">IF(H294&lt;&gt;"",H294,G294)</f>
        <v/>
      </c>
      <c r="J294" s="26"/>
      <c r="K294" s="22"/>
      <c r="L294" s="26"/>
      <c r="M294" s="27" t="str">
        <f aca="false">IF(A294="","",SUMIF(入金明細!$F$5:$F$1004,A294,入金明細!$E$5:$E$1004))</f>
        <v/>
      </c>
      <c r="N294" s="25" t="str">
        <f aca="false">IF(OR(A294="",N(M294)=0),"",SUMPRODUCT(MAX((入金明細!$F$5:$F$1004=A294)*入金明細!$B$5:$B$1004)))</f>
        <v/>
      </c>
      <c r="O294" s="18"/>
      <c r="P294" s="27" t="str">
        <f aca="false">IF(OR(A294="",F294=""),"",F294-N(M294)-N(O294))</f>
        <v/>
      </c>
      <c r="Q294" s="26"/>
      <c r="R294" s="28" t="str">
        <f aca="false">IF(A294="","",IF(Q294="取消","取消",IF(T294&lt;&gt;"","要入力",IF(K294="","未送付",IF(P294=0,"入金済",IF(P294&lt;0,"過入金",IF(設定!$C$5&gt;I294,IF(N(M294)&gt;0,"一部入金・超過","期日超過"),IF(N(M294)&gt;0,"一部入金",IF(I294-設定!$C$5&lt;=設定!$C$6,"期日間近","入金待ち")))))))))</f>
        <v/>
      </c>
      <c r="S294" s="29" t="str">
        <f aca="false">IF(OR(R294="期日超過",R294="一部入金・超過"),設定!$C$5-I294,"")</f>
        <v/>
      </c>
      <c r="T294" s="21" t="str">
        <f aca="false">IF(A294="","",TRIM(IF(B294="","請求日 ","")&amp;IF(C294="","取引先 ",IF(D294="コード誤り","取引先コード誤り ",""))&amp;IF(E294="","件名 ","")&amp;IF(F294="","請求額 ","")&amp;IF(AND(F294&lt;&gt;"",I294=""),"入金期日(マスタの支払条件が未登録) ","")&amp;IF(J294="","送付方法 ","")&amp;IF(AND(K294&lt;&gt;"",L294=""),"送付者 ","")&amp;IF(AND(K294&lt;&gt;"",N(K294)&gt;設定!$C$5),"送付日が未来の日付 ","")&amp;IF(AND(K294&lt;&gt;"",N(M294)&gt;0,N(P294)&lt;=0,U294=""),"消込確認者 ","")))</f>
        <v/>
      </c>
      <c r="U294" s="26"/>
      <c r="V294" s="26"/>
    </row>
    <row r="295" customFormat="false" ht="15" hidden="false" customHeight="false" outlineLevel="0" collapsed="false">
      <c r="A295" s="21" t="str">
        <f aca="false">IF(COUNTA(B295,C295,E295,F295)=0,"",設定!$C$4&amp;TEXT(ROW()-4,"00000"))</f>
        <v/>
      </c>
      <c r="B295" s="22"/>
      <c r="C295" s="23"/>
      <c r="D295" s="21" t="str">
        <f aca="false">IF(C295="","",IFERROR(INDEX(取引先マスタ!$B$5:$B$204,MATCH(C295,取引先マスタ!$A$5:$A$204,0)),"コード誤り"))</f>
        <v/>
      </c>
      <c r="E295" s="26"/>
      <c r="F295" s="18"/>
      <c r="G295" s="25" t="str">
        <f aca="false">IF(OR(B295="",C295="",D295="コード誤り"),"",IFERROR(IF(OR(INDEX(取引先マスタ!$E$5:$E$204,MATCH(C295,取引先マスタ!$A$5:$A$204,0))="",INDEX(取引先マスタ!$F$5:$F$204,MATCH(C295,取引先マスタ!$A$5:$A$204,0))=""),"",DATE(YEAR(B295),MONTH(B295)+INDEX(取引先マスタ!$E$5:$E$204,MATCH(C295,取引先マスタ!$A$5:$A$204,0)),MIN(INDEX(取引先マスタ!$F$5:$F$204,MATCH(C295,取引先マスタ!$A$5:$A$204,0)),DAY(EOMONTH(B295,INDEX(取引先マスタ!$E$5:$E$204,MATCH(C295,取引先マスタ!$A$5:$A$204,0))))))),""))</f>
        <v/>
      </c>
      <c r="H295" s="22"/>
      <c r="I295" s="25" t="str">
        <f aca="false">IF(H295&lt;&gt;"",H295,G295)</f>
        <v/>
      </c>
      <c r="J295" s="26"/>
      <c r="K295" s="22"/>
      <c r="L295" s="26"/>
      <c r="M295" s="27" t="str">
        <f aca="false">IF(A295="","",SUMIF(入金明細!$F$5:$F$1004,A295,入金明細!$E$5:$E$1004))</f>
        <v/>
      </c>
      <c r="N295" s="25" t="str">
        <f aca="false">IF(OR(A295="",N(M295)=0),"",SUMPRODUCT(MAX((入金明細!$F$5:$F$1004=A295)*入金明細!$B$5:$B$1004)))</f>
        <v/>
      </c>
      <c r="O295" s="18"/>
      <c r="P295" s="27" t="str">
        <f aca="false">IF(OR(A295="",F295=""),"",F295-N(M295)-N(O295))</f>
        <v/>
      </c>
      <c r="Q295" s="26"/>
      <c r="R295" s="28" t="str">
        <f aca="false">IF(A295="","",IF(Q295="取消","取消",IF(T295&lt;&gt;"","要入力",IF(K295="","未送付",IF(P295=0,"入金済",IF(P295&lt;0,"過入金",IF(設定!$C$5&gt;I295,IF(N(M295)&gt;0,"一部入金・超過","期日超過"),IF(N(M295)&gt;0,"一部入金",IF(I295-設定!$C$5&lt;=設定!$C$6,"期日間近","入金待ち")))))))))</f>
        <v/>
      </c>
      <c r="S295" s="29" t="str">
        <f aca="false">IF(OR(R295="期日超過",R295="一部入金・超過"),設定!$C$5-I295,"")</f>
        <v/>
      </c>
      <c r="T295" s="21" t="str">
        <f aca="false">IF(A295="","",TRIM(IF(B295="","請求日 ","")&amp;IF(C295="","取引先 ",IF(D295="コード誤り","取引先コード誤り ",""))&amp;IF(E295="","件名 ","")&amp;IF(F295="","請求額 ","")&amp;IF(AND(F295&lt;&gt;"",I295=""),"入金期日(マスタの支払条件が未登録) ","")&amp;IF(J295="","送付方法 ","")&amp;IF(AND(K295&lt;&gt;"",L295=""),"送付者 ","")&amp;IF(AND(K295&lt;&gt;"",N(K295)&gt;設定!$C$5),"送付日が未来の日付 ","")&amp;IF(AND(K295&lt;&gt;"",N(M295)&gt;0,N(P295)&lt;=0,U295=""),"消込確認者 ","")))</f>
        <v/>
      </c>
      <c r="U295" s="26"/>
      <c r="V295" s="26"/>
    </row>
    <row r="296" customFormat="false" ht="15" hidden="false" customHeight="false" outlineLevel="0" collapsed="false">
      <c r="A296" s="21" t="str">
        <f aca="false">IF(COUNTA(B296,C296,E296,F296)=0,"",設定!$C$4&amp;TEXT(ROW()-4,"00000"))</f>
        <v/>
      </c>
      <c r="B296" s="22"/>
      <c r="C296" s="23"/>
      <c r="D296" s="21" t="str">
        <f aca="false">IF(C296="","",IFERROR(INDEX(取引先マスタ!$B$5:$B$204,MATCH(C296,取引先マスタ!$A$5:$A$204,0)),"コード誤り"))</f>
        <v/>
      </c>
      <c r="E296" s="26"/>
      <c r="F296" s="18"/>
      <c r="G296" s="25" t="str">
        <f aca="false">IF(OR(B296="",C296="",D296="コード誤り"),"",IFERROR(IF(OR(INDEX(取引先マスタ!$E$5:$E$204,MATCH(C296,取引先マスタ!$A$5:$A$204,0))="",INDEX(取引先マスタ!$F$5:$F$204,MATCH(C296,取引先マスタ!$A$5:$A$204,0))=""),"",DATE(YEAR(B296),MONTH(B296)+INDEX(取引先マスタ!$E$5:$E$204,MATCH(C296,取引先マスタ!$A$5:$A$204,0)),MIN(INDEX(取引先マスタ!$F$5:$F$204,MATCH(C296,取引先マスタ!$A$5:$A$204,0)),DAY(EOMONTH(B296,INDEX(取引先マスタ!$E$5:$E$204,MATCH(C296,取引先マスタ!$A$5:$A$204,0))))))),""))</f>
        <v/>
      </c>
      <c r="H296" s="22"/>
      <c r="I296" s="25" t="str">
        <f aca="false">IF(H296&lt;&gt;"",H296,G296)</f>
        <v/>
      </c>
      <c r="J296" s="26"/>
      <c r="K296" s="22"/>
      <c r="L296" s="26"/>
      <c r="M296" s="27" t="str">
        <f aca="false">IF(A296="","",SUMIF(入金明細!$F$5:$F$1004,A296,入金明細!$E$5:$E$1004))</f>
        <v/>
      </c>
      <c r="N296" s="25" t="str">
        <f aca="false">IF(OR(A296="",N(M296)=0),"",SUMPRODUCT(MAX((入金明細!$F$5:$F$1004=A296)*入金明細!$B$5:$B$1004)))</f>
        <v/>
      </c>
      <c r="O296" s="18"/>
      <c r="P296" s="27" t="str">
        <f aca="false">IF(OR(A296="",F296=""),"",F296-N(M296)-N(O296))</f>
        <v/>
      </c>
      <c r="Q296" s="26"/>
      <c r="R296" s="28" t="str">
        <f aca="false">IF(A296="","",IF(Q296="取消","取消",IF(T296&lt;&gt;"","要入力",IF(K296="","未送付",IF(P296=0,"入金済",IF(P296&lt;0,"過入金",IF(設定!$C$5&gt;I296,IF(N(M296)&gt;0,"一部入金・超過","期日超過"),IF(N(M296)&gt;0,"一部入金",IF(I296-設定!$C$5&lt;=設定!$C$6,"期日間近","入金待ち")))))))))</f>
        <v/>
      </c>
      <c r="S296" s="29" t="str">
        <f aca="false">IF(OR(R296="期日超過",R296="一部入金・超過"),設定!$C$5-I296,"")</f>
        <v/>
      </c>
      <c r="T296" s="21" t="str">
        <f aca="false">IF(A296="","",TRIM(IF(B296="","請求日 ","")&amp;IF(C296="","取引先 ",IF(D296="コード誤り","取引先コード誤り ",""))&amp;IF(E296="","件名 ","")&amp;IF(F296="","請求額 ","")&amp;IF(AND(F296&lt;&gt;"",I296=""),"入金期日(マスタの支払条件が未登録) ","")&amp;IF(J296="","送付方法 ","")&amp;IF(AND(K296&lt;&gt;"",L296=""),"送付者 ","")&amp;IF(AND(K296&lt;&gt;"",N(K296)&gt;設定!$C$5),"送付日が未来の日付 ","")&amp;IF(AND(K296&lt;&gt;"",N(M296)&gt;0,N(P296)&lt;=0,U296=""),"消込確認者 ","")))</f>
        <v/>
      </c>
      <c r="U296" s="26"/>
      <c r="V296" s="26"/>
    </row>
    <row r="297" customFormat="false" ht="15" hidden="false" customHeight="false" outlineLevel="0" collapsed="false">
      <c r="A297" s="21" t="str">
        <f aca="false">IF(COUNTA(B297,C297,E297,F297)=0,"",設定!$C$4&amp;TEXT(ROW()-4,"00000"))</f>
        <v/>
      </c>
      <c r="B297" s="22"/>
      <c r="C297" s="23"/>
      <c r="D297" s="21" t="str">
        <f aca="false">IF(C297="","",IFERROR(INDEX(取引先マスタ!$B$5:$B$204,MATCH(C297,取引先マスタ!$A$5:$A$204,0)),"コード誤り"))</f>
        <v/>
      </c>
      <c r="E297" s="26"/>
      <c r="F297" s="18"/>
      <c r="G297" s="25" t="str">
        <f aca="false">IF(OR(B297="",C297="",D297="コード誤り"),"",IFERROR(IF(OR(INDEX(取引先マスタ!$E$5:$E$204,MATCH(C297,取引先マスタ!$A$5:$A$204,0))="",INDEX(取引先マスタ!$F$5:$F$204,MATCH(C297,取引先マスタ!$A$5:$A$204,0))=""),"",DATE(YEAR(B297),MONTH(B297)+INDEX(取引先マスタ!$E$5:$E$204,MATCH(C297,取引先マスタ!$A$5:$A$204,0)),MIN(INDEX(取引先マスタ!$F$5:$F$204,MATCH(C297,取引先マスタ!$A$5:$A$204,0)),DAY(EOMONTH(B297,INDEX(取引先マスタ!$E$5:$E$204,MATCH(C297,取引先マスタ!$A$5:$A$204,0))))))),""))</f>
        <v/>
      </c>
      <c r="H297" s="22"/>
      <c r="I297" s="25" t="str">
        <f aca="false">IF(H297&lt;&gt;"",H297,G297)</f>
        <v/>
      </c>
      <c r="J297" s="26"/>
      <c r="K297" s="22"/>
      <c r="L297" s="26"/>
      <c r="M297" s="27" t="str">
        <f aca="false">IF(A297="","",SUMIF(入金明細!$F$5:$F$1004,A297,入金明細!$E$5:$E$1004))</f>
        <v/>
      </c>
      <c r="N297" s="25" t="str">
        <f aca="false">IF(OR(A297="",N(M297)=0),"",SUMPRODUCT(MAX((入金明細!$F$5:$F$1004=A297)*入金明細!$B$5:$B$1004)))</f>
        <v/>
      </c>
      <c r="O297" s="18"/>
      <c r="P297" s="27" t="str">
        <f aca="false">IF(OR(A297="",F297=""),"",F297-N(M297)-N(O297))</f>
        <v/>
      </c>
      <c r="Q297" s="26"/>
      <c r="R297" s="28" t="str">
        <f aca="false">IF(A297="","",IF(Q297="取消","取消",IF(T297&lt;&gt;"","要入力",IF(K297="","未送付",IF(P297=0,"入金済",IF(P297&lt;0,"過入金",IF(設定!$C$5&gt;I297,IF(N(M297)&gt;0,"一部入金・超過","期日超過"),IF(N(M297)&gt;0,"一部入金",IF(I297-設定!$C$5&lt;=設定!$C$6,"期日間近","入金待ち")))))))))</f>
        <v/>
      </c>
      <c r="S297" s="29" t="str">
        <f aca="false">IF(OR(R297="期日超過",R297="一部入金・超過"),設定!$C$5-I297,"")</f>
        <v/>
      </c>
      <c r="T297" s="21" t="str">
        <f aca="false">IF(A297="","",TRIM(IF(B297="","請求日 ","")&amp;IF(C297="","取引先 ",IF(D297="コード誤り","取引先コード誤り ",""))&amp;IF(E297="","件名 ","")&amp;IF(F297="","請求額 ","")&amp;IF(AND(F297&lt;&gt;"",I297=""),"入金期日(マスタの支払条件が未登録) ","")&amp;IF(J297="","送付方法 ","")&amp;IF(AND(K297&lt;&gt;"",L297=""),"送付者 ","")&amp;IF(AND(K297&lt;&gt;"",N(K297)&gt;設定!$C$5),"送付日が未来の日付 ","")&amp;IF(AND(K297&lt;&gt;"",N(M297)&gt;0,N(P297)&lt;=0,U297=""),"消込確認者 ","")))</f>
        <v/>
      </c>
      <c r="U297" s="26"/>
      <c r="V297" s="26"/>
    </row>
    <row r="298" customFormat="false" ht="15" hidden="false" customHeight="false" outlineLevel="0" collapsed="false">
      <c r="A298" s="21" t="str">
        <f aca="false">IF(COUNTA(B298,C298,E298,F298)=0,"",設定!$C$4&amp;TEXT(ROW()-4,"00000"))</f>
        <v/>
      </c>
      <c r="B298" s="22"/>
      <c r="C298" s="23"/>
      <c r="D298" s="21" t="str">
        <f aca="false">IF(C298="","",IFERROR(INDEX(取引先マスタ!$B$5:$B$204,MATCH(C298,取引先マスタ!$A$5:$A$204,0)),"コード誤り"))</f>
        <v/>
      </c>
      <c r="E298" s="26"/>
      <c r="F298" s="18"/>
      <c r="G298" s="25" t="str">
        <f aca="false">IF(OR(B298="",C298="",D298="コード誤り"),"",IFERROR(IF(OR(INDEX(取引先マスタ!$E$5:$E$204,MATCH(C298,取引先マスタ!$A$5:$A$204,0))="",INDEX(取引先マスタ!$F$5:$F$204,MATCH(C298,取引先マスタ!$A$5:$A$204,0))=""),"",DATE(YEAR(B298),MONTH(B298)+INDEX(取引先マスタ!$E$5:$E$204,MATCH(C298,取引先マスタ!$A$5:$A$204,0)),MIN(INDEX(取引先マスタ!$F$5:$F$204,MATCH(C298,取引先マスタ!$A$5:$A$204,0)),DAY(EOMONTH(B298,INDEX(取引先マスタ!$E$5:$E$204,MATCH(C298,取引先マスタ!$A$5:$A$204,0))))))),""))</f>
        <v/>
      </c>
      <c r="H298" s="22"/>
      <c r="I298" s="25" t="str">
        <f aca="false">IF(H298&lt;&gt;"",H298,G298)</f>
        <v/>
      </c>
      <c r="J298" s="26"/>
      <c r="K298" s="22"/>
      <c r="L298" s="26"/>
      <c r="M298" s="27" t="str">
        <f aca="false">IF(A298="","",SUMIF(入金明細!$F$5:$F$1004,A298,入金明細!$E$5:$E$1004))</f>
        <v/>
      </c>
      <c r="N298" s="25" t="str">
        <f aca="false">IF(OR(A298="",N(M298)=0),"",SUMPRODUCT(MAX((入金明細!$F$5:$F$1004=A298)*入金明細!$B$5:$B$1004)))</f>
        <v/>
      </c>
      <c r="O298" s="18"/>
      <c r="P298" s="27" t="str">
        <f aca="false">IF(OR(A298="",F298=""),"",F298-N(M298)-N(O298))</f>
        <v/>
      </c>
      <c r="Q298" s="26"/>
      <c r="R298" s="28" t="str">
        <f aca="false">IF(A298="","",IF(Q298="取消","取消",IF(T298&lt;&gt;"","要入力",IF(K298="","未送付",IF(P298=0,"入金済",IF(P298&lt;0,"過入金",IF(設定!$C$5&gt;I298,IF(N(M298)&gt;0,"一部入金・超過","期日超過"),IF(N(M298)&gt;0,"一部入金",IF(I298-設定!$C$5&lt;=設定!$C$6,"期日間近","入金待ち")))))))))</f>
        <v/>
      </c>
      <c r="S298" s="29" t="str">
        <f aca="false">IF(OR(R298="期日超過",R298="一部入金・超過"),設定!$C$5-I298,"")</f>
        <v/>
      </c>
      <c r="T298" s="21" t="str">
        <f aca="false">IF(A298="","",TRIM(IF(B298="","請求日 ","")&amp;IF(C298="","取引先 ",IF(D298="コード誤り","取引先コード誤り ",""))&amp;IF(E298="","件名 ","")&amp;IF(F298="","請求額 ","")&amp;IF(AND(F298&lt;&gt;"",I298=""),"入金期日(マスタの支払条件が未登録) ","")&amp;IF(J298="","送付方法 ","")&amp;IF(AND(K298&lt;&gt;"",L298=""),"送付者 ","")&amp;IF(AND(K298&lt;&gt;"",N(K298)&gt;設定!$C$5),"送付日が未来の日付 ","")&amp;IF(AND(K298&lt;&gt;"",N(M298)&gt;0,N(P298)&lt;=0,U298=""),"消込確認者 ","")))</f>
        <v/>
      </c>
      <c r="U298" s="26"/>
      <c r="V298" s="26"/>
    </row>
    <row r="299" customFormat="false" ht="15" hidden="false" customHeight="false" outlineLevel="0" collapsed="false">
      <c r="A299" s="21" t="str">
        <f aca="false">IF(COUNTA(B299,C299,E299,F299)=0,"",設定!$C$4&amp;TEXT(ROW()-4,"00000"))</f>
        <v/>
      </c>
      <c r="B299" s="22"/>
      <c r="C299" s="23"/>
      <c r="D299" s="21" t="str">
        <f aca="false">IF(C299="","",IFERROR(INDEX(取引先マスタ!$B$5:$B$204,MATCH(C299,取引先マスタ!$A$5:$A$204,0)),"コード誤り"))</f>
        <v/>
      </c>
      <c r="E299" s="26"/>
      <c r="F299" s="18"/>
      <c r="G299" s="25" t="str">
        <f aca="false">IF(OR(B299="",C299="",D299="コード誤り"),"",IFERROR(IF(OR(INDEX(取引先マスタ!$E$5:$E$204,MATCH(C299,取引先マスタ!$A$5:$A$204,0))="",INDEX(取引先マスタ!$F$5:$F$204,MATCH(C299,取引先マスタ!$A$5:$A$204,0))=""),"",DATE(YEAR(B299),MONTH(B299)+INDEX(取引先マスタ!$E$5:$E$204,MATCH(C299,取引先マスタ!$A$5:$A$204,0)),MIN(INDEX(取引先マスタ!$F$5:$F$204,MATCH(C299,取引先マスタ!$A$5:$A$204,0)),DAY(EOMONTH(B299,INDEX(取引先マスタ!$E$5:$E$204,MATCH(C299,取引先マスタ!$A$5:$A$204,0))))))),""))</f>
        <v/>
      </c>
      <c r="H299" s="22"/>
      <c r="I299" s="25" t="str">
        <f aca="false">IF(H299&lt;&gt;"",H299,G299)</f>
        <v/>
      </c>
      <c r="J299" s="26"/>
      <c r="K299" s="22"/>
      <c r="L299" s="26"/>
      <c r="M299" s="27" t="str">
        <f aca="false">IF(A299="","",SUMIF(入金明細!$F$5:$F$1004,A299,入金明細!$E$5:$E$1004))</f>
        <v/>
      </c>
      <c r="N299" s="25" t="str">
        <f aca="false">IF(OR(A299="",N(M299)=0),"",SUMPRODUCT(MAX((入金明細!$F$5:$F$1004=A299)*入金明細!$B$5:$B$1004)))</f>
        <v/>
      </c>
      <c r="O299" s="18"/>
      <c r="P299" s="27" t="str">
        <f aca="false">IF(OR(A299="",F299=""),"",F299-N(M299)-N(O299))</f>
        <v/>
      </c>
      <c r="Q299" s="26"/>
      <c r="R299" s="28" t="str">
        <f aca="false">IF(A299="","",IF(Q299="取消","取消",IF(T299&lt;&gt;"","要入力",IF(K299="","未送付",IF(P299=0,"入金済",IF(P299&lt;0,"過入金",IF(設定!$C$5&gt;I299,IF(N(M299)&gt;0,"一部入金・超過","期日超過"),IF(N(M299)&gt;0,"一部入金",IF(I299-設定!$C$5&lt;=設定!$C$6,"期日間近","入金待ち")))))))))</f>
        <v/>
      </c>
      <c r="S299" s="29" t="str">
        <f aca="false">IF(OR(R299="期日超過",R299="一部入金・超過"),設定!$C$5-I299,"")</f>
        <v/>
      </c>
      <c r="T299" s="21" t="str">
        <f aca="false">IF(A299="","",TRIM(IF(B299="","請求日 ","")&amp;IF(C299="","取引先 ",IF(D299="コード誤り","取引先コード誤り ",""))&amp;IF(E299="","件名 ","")&amp;IF(F299="","請求額 ","")&amp;IF(AND(F299&lt;&gt;"",I299=""),"入金期日(マスタの支払条件が未登録) ","")&amp;IF(J299="","送付方法 ","")&amp;IF(AND(K299&lt;&gt;"",L299=""),"送付者 ","")&amp;IF(AND(K299&lt;&gt;"",N(K299)&gt;設定!$C$5),"送付日が未来の日付 ","")&amp;IF(AND(K299&lt;&gt;"",N(M299)&gt;0,N(P299)&lt;=0,U299=""),"消込確認者 ","")))</f>
        <v/>
      </c>
      <c r="U299" s="26"/>
      <c r="V299" s="26"/>
    </row>
    <row r="300" customFormat="false" ht="15" hidden="false" customHeight="false" outlineLevel="0" collapsed="false">
      <c r="A300" s="21" t="str">
        <f aca="false">IF(COUNTA(B300,C300,E300,F300)=0,"",設定!$C$4&amp;TEXT(ROW()-4,"00000"))</f>
        <v/>
      </c>
      <c r="B300" s="22"/>
      <c r="C300" s="23"/>
      <c r="D300" s="21" t="str">
        <f aca="false">IF(C300="","",IFERROR(INDEX(取引先マスタ!$B$5:$B$204,MATCH(C300,取引先マスタ!$A$5:$A$204,0)),"コード誤り"))</f>
        <v/>
      </c>
      <c r="E300" s="26"/>
      <c r="F300" s="18"/>
      <c r="G300" s="25" t="str">
        <f aca="false">IF(OR(B300="",C300="",D300="コード誤り"),"",IFERROR(IF(OR(INDEX(取引先マスタ!$E$5:$E$204,MATCH(C300,取引先マスタ!$A$5:$A$204,0))="",INDEX(取引先マスタ!$F$5:$F$204,MATCH(C300,取引先マスタ!$A$5:$A$204,0))=""),"",DATE(YEAR(B300),MONTH(B300)+INDEX(取引先マスタ!$E$5:$E$204,MATCH(C300,取引先マスタ!$A$5:$A$204,0)),MIN(INDEX(取引先マスタ!$F$5:$F$204,MATCH(C300,取引先マスタ!$A$5:$A$204,0)),DAY(EOMONTH(B300,INDEX(取引先マスタ!$E$5:$E$204,MATCH(C300,取引先マスタ!$A$5:$A$204,0))))))),""))</f>
        <v/>
      </c>
      <c r="H300" s="22"/>
      <c r="I300" s="25" t="str">
        <f aca="false">IF(H300&lt;&gt;"",H300,G300)</f>
        <v/>
      </c>
      <c r="J300" s="26"/>
      <c r="K300" s="22"/>
      <c r="L300" s="26"/>
      <c r="M300" s="27" t="str">
        <f aca="false">IF(A300="","",SUMIF(入金明細!$F$5:$F$1004,A300,入金明細!$E$5:$E$1004))</f>
        <v/>
      </c>
      <c r="N300" s="25" t="str">
        <f aca="false">IF(OR(A300="",N(M300)=0),"",SUMPRODUCT(MAX((入金明細!$F$5:$F$1004=A300)*入金明細!$B$5:$B$1004)))</f>
        <v/>
      </c>
      <c r="O300" s="18"/>
      <c r="P300" s="27" t="str">
        <f aca="false">IF(OR(A300="",F300=""),"",F300-N(M300)-N(O300))</f>
        <v/>
      </c>
      <c r="Q300" s="26"/>
      <c r="R300" s="28" t="str">
        <f aca="false">IF(A300="","",IF(Q300="取消","取消",IF(T300&lt;&gt;"","要入力",IF(K300="","未送付",IF(P300=0,"入金済",IF(P300&lt;0,"過入金",IF(設定!$C$5&gt;I300,IF(N(M300)&gt;0,"一部入金・超過","期日超過"),IF(N(M300)&gt;0,"一部入金",IF(I300-設定!$C$5&lt;=設定!$C$6,"期日間近","入金待ち")))))))))</f>
        <v/>
      </c>
      <c r="S300" s="29" t="str">
        <f aca="false">IF(OR(R300="期日超過",R300="一部入金・超過"),設定!$C$5-I300,"")</f>
        <v/>
      </c>
      <c r="T300" s="21" t="str">
        <f aca="false">IF(A300="","",TRIM(IF(B300="","請求日 ","")&amp;IF(C300="","取引先 ",IF(D300="コード誤り","取引先コード誤り ",""))&amp;IF(E300="","件名 ","")&amp;IF(F300="","請求額 ","")&amp;IF(AND(F300&lt;&gt;"",I300=""),"入金期日(マスタの支払条件が未登録) ","")&amp;IF(J300="","送付方法 ","")&amp;IF(AND(K300&lt;&gt;"",L300=""),"送付者 ","")&amp;IF(AND(K300&lt;&gt;"",N(K300)&gt;設定!$C$5),"送付日が未来の日付 ","")&amp;IF(AND(K300&lt;&gt;"",N(M300)&gt;0,N(P300)&lt;=0,U300=""),"消込確認者 ","")))</f>
        <v/>
      </c>
      <c r="U300" s="26"/>
      <c r="V300" s="26"/>
    </row>
    <row r="301" customFormat="false" ht="15" hidden="false" customHeight="false" outlineLevel="0" collapsed="false">
      <c r="A301" s="21" t="str">
        <f aca="false">IF(COUNTA(B301,C301,E301,F301)=0,"",設定!$C$4&amp;TEXT(ROW()-4,"00000"))</f>
        <v/>
      </c>
      <c r="B301" s="22"/>
      <c r="C301" s="23"/>
      <c r="D301" s="21" t="str">
        <f aca="false">IF(C301="","",IFERROR(INDEX(取引先マスタ!$B$5:$B$204,MATCH(C301,取引先マスタ!$A$5:$A$204,0)),"コード誤り"))</f>
        <v/>
      </c>
      <c r="E301" s="26"/>
      <c r="F301" s="18"/>
      <c r="G301" s="25" t="str">
        <f aca="false">IF(OR(B301="",C301="",D301="コード誤り"),"",IFERROR(IF(OR(INDEX(取引先マスタ!$E$5:$E$204,MATCH(C301,取引先マスタ!$A$5:$A$204,0))="",INDEX(取引先マスタ!$F$5:$F$204,MATCH(C301,取引先マスタ!$A$5:$A$204,0))=""),"",DATE(YEAR(B301),MONTH(B301)+INDEX(取引先マスタ!$E$5:$E$204,MATCH(C301,取引先マスタ!$A$5:$A$204,0)),MIN(INDEX(取引先マスタ!$F$5:$F$204,MATCH(C301,取引先マスタ!$A$5:$A$204,0)),DAY(EOMONTH(B301,INDEX(取引先マスタ!$E$5:$E$204,MATCH(C301,取引先マスタ!$A$5:$A$204,0))))))),""))</f>
        <v/>
      </c>
      <c r="H301" s="22"/>
      <c r="I301" s="25" t="str">
        <f aca="false">IF(H301&lt;&gt;"",H301,G301)</f>
        <v/>
      </c>
      <c r="J301" s="26"/>
      <c r="K301" s="22"/>
      <c r="L301" s="26"/>
      <c r="M301" s="27" t="str">
        <f aca="false">IF(A301="","",SUMIF(入金明細!$F$5:$F$1004,A301,入金明細!$E$5:$E$1004))</f>
        <v/>
      </c>
      <c r="N301" s="25" t="str">
        <f aca="false">IF(OR(A301="",N(M301)=0),"",SUMPRODUCT(MAX((入金明細!$F$5:$F$1004=A301)*入金明細!$B$5:$B$1004)))</f>
        <v/>
      </c>
      <c r="O301" s="18"/>
      <c r="P301" s="27" t="str">
        <f aca="false">IF(OR(A301="",F301=""),"",F301-N(M301)-N(O301))</f>
        <v/>
      </c>
      <c r="Q301" s="26"/>
      <c r="R301" s="28" t="str">
        <f aca="false">IF(A301="","",IF(Q301="取消","取消",IF(T301&lt;&gt;"","要入力",IF(K301="","未送付",IF(P301=0,"入金済",IF(P301&lt;0,"過入金",IF(設定!$C$5&gt;I301,IF(N(M301)&gt;0,"一部入金・超過","期日超過"),IF(N(M301)&gt;0,"一部入金",IF(I301-設定!$C$5&lt;=設定!$C$6,"期日間近","入金待ち")))))))))</f>
        <v/>
      </c>
      <c r="S301" s="29" t="str">
        <f aca="false">IF(OR(R301="期日超過",R301="一部入金・超過"),設定!$C$5-I301,"")</f>
        <v/>
      </c>
      <c r="T301" s="21" t="str">
        <f aca="false">IF(A301="","",TRIM(IF(B301="","請求日 ","")&amp;IF(C301="","取引先 ",IF(D301="コード誤り","取引先コード誤り ",""))&amp;IF(E301="","件名 ","")&amp;IF(F301="","請求額 ","")&amp;IF(AND(F301&lt;&gt;"",I301=""),"入金期日(マスタの支払条件が未登録) ","")&amp;IF(J301="","送付方法 ","")&amp;IF(AND(K301&lt;&gt;"",L301=""),"送付者 ","")&amp;IF(AND(K301&lt;&gt;"",N(K301)&gt;設定!$C$5),"送付日が未来の日付 ","")&amp;IF(AND(K301&lt;&gt;"",N(M301)&gt;0,N(P301)&lt;=0,U301=""),"消込確認者 ","")))</f>
        <v/>
      </c>
      <c r="U301" s="26"/>
      <c r="V301" s="26"/>
    </row>
    <row r="302" customFormat="false" ht="15" hidden="false" customHeight="false" outlineLevel="0" collapsed="false">
      <c r="A302" s="21" t="str">
        <f aca="false">IF(COUNTA(B302,C302,E302,F302)=0,"",設定!$C$4&amp;TEXT(ROW()-4,"00000"))</f>
        <v/>
      </c>
      <c r="B302" s="22"/>
      <c r="C302" s="23"/>
      <c r="D302" s="21" t="str">
        <f aca="false">IF(C302="","",IFERROR(INDEX(取引先マスタ!$B$5:$B$204,MATCH(C302,取引先マスタ!$A$5:$A$204,0)),"コード誤り"))</f>
        <v/>
      </c>
      <c r="E302" s="26"/>
      <c r="F302" s="18"/>
      <c r="G302" s="25" t="str">
        <f aca="false">IF(OR(B302="",C302="",D302="コード誤り"),"",IFERROR(IF(OR(INDEX(取引先マスタ!$E$5:$E$204,MATCH(C302,取引先マスタ!$A$5:$A$204,0))="",INDEX(取引先マスタ!$F$5:$F$204,MATCH(C302,取引先マスタ!$A$5:$A$204,0))=""),"",DATE(YEAR(B302),MONTH(B302)+INDEX(取引先マスタ!$E$5:$E$204,MATCH(C302,取引先マスタ!$A$5:$A$204,0)),MIN(INDEX(取引先マスタ!$F$5:$F$204,MATCH(C302,取引先マスタ!$A$5:$A$204,0)),DAY(EOMONTH(B302,INDEX(取引先マスタ!$E$5:$E$204,MATCH(C302,取引先マスタ!$A$5:$A$204,0))))))),""))</f>
        <v/>
      </c>
      <c r="H302" s="22"/>
      <c r="I302" s="25" t="str">
        <f aca="false">IF(H302&lt;&gt;"",H302,G302)</f>
        <v/>
      </c>
      <c r="J302" s="26"/>
      <c r="K302" s="22"/>
      <c r="L302" s="26"/>
      <c r="M302" s="27" t="str">
        <f aca="false">IF(A302="","",SUMIF(入金明細!$F$5:$F$1004,A302,入金明細!$E$5:$E$1004))</f>
        <v/>
      </c>
      <c r="N302" s="25" t="str">
        <f aca="false">IF(OR(A302="",N(M302)=0),"",SUMPRODUCT(MAX((入金明細!$F$5:$F$1004=A302)*入金明細!$B$5:$B$1004)))</f>
        <v/>
      </c>
      <c r="O302" s="18"/>
      <c r="P302" s="27" t="str">
        <f aca="false">IF(OR(A302="",F302=""),"",F302-N(M302)-N(O302))</f>
        <v/>
      </c>
      <c r="Q302" s="26"/>
      <c r="R302" s="28" t="str">
        <f aca="false">IF(A302="","",IF(Q302="取消","取消",IF(T302&lt;&gt;"","要入力",IF(K302="","未送付",IF(P302=0,"入金済",IF(P302&lt;0,"過入金",IF(設定!$C$5&gt;I302,IF(N(M302)&gt;0,"一部入金・超過","期日超過"),IF(N(M302)&gt;0,"一部入金",IF(I302-設定!$C$5&lt;=設定!$C$6,"期日間近","入金待ち")))))))))</f>
        <v/>
      </c>
      <c r="S302" s="29" t="str">
        <f aca="false">IF(OR(R302="期日超過",R302="一部入金・超過"),設定!$C$5-I302,"")</f>
        <v/>
      </c>
      <c r="T302" s="21" t="str">
        <f aca="false">IF(A302="","",TRIM(IF(B302="","請求日 ","")&amp;IF(C302="","取引先 ",IF(D302="コード誤り","取引先コード誤り ",""))&amp;IF(E302="","件名 ","")&amp;IF(F302="","請求額 ","")&amp;IF(AND(F302&lt;&gt;"",I302=""),"入金期日(マスタの支払条件が未登録) ","")&amp;IF(J302="","送付方法 ","")&amp;IF(AND(K302&lt;&gt;"",L302=""),"送付者 ","")&amp;IF(AND(K302&lt;&gt;"",N(K302)&gt;設定!$C$5),"送付日が未来の日付 ","")&amp;IF(AND(K302&lt;&gt;"",N(M302)&gt;0,N(P302)&lt;=0,U302=""),"消込確認者 ","")))</f>
        <v/>
      </c>
      <c r="U302" s="26"/>
      <c r="V302" s="26"/>
    </row>
    <row r="303" customFormat="false" ht="15" hidden="false" customHeight="false" outlineLevel="0" collapsed="false">
      <c r="A303" s="21" t="str">
        <f aca="false">IF(COUNTA(B303,C303,E303,F303)=0,"",設定!$C$4&amp;TEXT(ROW()-4,"00000"))</f>
        <v/>
      </c>
      <c r="B303" s="22"/>
      <c r="C303" s="23"/>
      <c r="D303" s="21" t="str">
        <f aca="false">IF(C303="","",IFERROR(INDEX(取引先マスタ!$B$5:$B$204,MATCH(C303,取引先マスタ!$A$5:$A$204,0)),"コード誤り"))</f>
        <v/>
      </c>
      <c r="E303" s="26"/>
      <c r="F303" s="18"/>
      <c r="G303" s="25" t="str">
        <f aca="false">IF(OR(B303="",C303="",D303="コード誤り"),"",IFERROR(IF(OR(INDEX(取引先マスタ!$E$5:$E$204,MATCH(C303,取引先マスタ!$A$5:$A$204,0))="",INDEX(取引先マスタ!$F$5:$F$204,MATCH(C303,取引先マスタ!$A$5:$A$204,0))=""),"",DATE(YEAR(B303),MONTH(B303)+INDEX(取引先マスタ!$E$5:$E$204,MATCH(C303,取引先マスタ!$A$5:$A$204,0)),MIN(INDEX(取引先マスタ!$F$5:$F$204,MATCH(C303,取引先マスタ!$A$5:$A$204,0)),DAY(EOMONTH(B303,INDEX(取引先マスタ!$E$5:$E$204,MATCH(C303,取引先マスタ!$A$5:$A$204,0))))))),""))</f>
        <v/>
      </c>
      <c r="H303" s="22"/>
      <c r="I303" s="25" t="str">
        <f aca="false">IF(H303&lt;&gt;"",H303,G303)</f>
        <v/>
      </c>
      <c r="J303" s="26"/>
      <c r="K303" s="22"/>
      <c r="L303" s="26"/>
      <c r="M303" s="27" t="str">
        <f aca="false">IF(A303="","",SUMIF(入金明細!$F$5:$F$1004,A303,入金明細!$E$5:$E$1004))</f>
        <v/>
      </c>
      <c r="N303" s="25" t="str">
        <f aca="false">IF(OR(A303="",N(M303)=0),"",SUMPRODUCT(MAX((入金明細!$F$5:$F$1004=A303)*入金明細!$B$5:$B$1004)))</f>
        <v/>
      </c>
      <c r="O303" s="18"/>
      <c r="P303" s="27" t="str">
        <f aca="false">IF(OR(A303="",F303=""),"",F303-N(M303)-N(O303))</f>
        <v/>
      </c>
      <c r="Q303" s="26"/>
      <c r="R303" s="28" t="str">
        <f aca="false">IF(A303="","",IF(Q303="取消","取消",IF(T303&lt;&gt;"","要入力",IF(K303="","未送付",IF(P303=0,"入金済",IF(P303&lt;0,"過入金",IF(設定!$C$5&gt;I303,IF(N(M303)&gt;0,"一部入金・超過","期日超過"),IF(N(M303)&gt;0,"一部入金",IF(I303-設定!$C$5&lt;=設定!$C$6,"期日間近","入金待ち")))))))))</f>
        <v/>
      </c>
      <c r="S303" s="29" t="str">
        <f aca="false">IF(OR(R303="期日超過",R303="一部入金・超過"),設定!$C$5-I303,"")</f>
        <v/>
      </c>
      <c r="T303" s="21" t="str">
        <f aca="false">IF(A303="","",TRIM(IF(B303="","請求日 ","")&amp;IF(C303="","取引先 ",IF(D303="コード誤り","取引先コード誤り ",""))&amp;IF(E303="","件名 ","")&amp;IF(F303="","請求額 ","")&amp;IF(AND(F303&lt;&gt;"",I303=""),"入金期日(マスタの支払条件が未登録) ","")&amp;IF(J303="","送付方法 ","")&amp;IF(AND(K303&lt;&gt;"",L303=""),"送付者 ","")&amp;IF(AND(K303&lt;&gt;"",N(K303)&gt;設定!$C$5),"送付日が未来の日付 ","")&amp;IF(AND(K303&lt;&gt;"",N(M303)&gt;0,N(P303)&lt;=0,U303=""),"消込確認者 ","")))</f>
        <v/>
      </c>
      <c r="U303" s="26"/>
      <c r="V303" s="26"/>
    </row>
    <row r="304" customFormat="false" ht="15" hidden="false" customHeight="false" outlineLevel="0" collapsed="false">
      <c r="A304" s="21" t="str">
        <f aca="false">IF(COUNTA(B304,C304,E304,F304)=0,"",設定!$C$4&amp;TEXT(ROW()-4,"00000"))</f>
        <v/>
      </c>
      <c r="B304" s="22"/>
      <c r="C304" s="23"/>
      <c r="D304" s="21" t="str">
        <f aca="false">IF(C304="","",IFERROR(INDEX(取引先マスタ!$B$5:$B$204,MATCH(C304,取引先マスタ!$A$5:$A$204,0)),"コード誤り"))</f>
        <v/>
      </c>
      <c r="E304" s="26"/>
      <c r="F304" s="18"/>
      <c r="G304" s="25" t="str">
        <f aca="false">IF(OR(B304="",C304="",D304="コード誤り"),"",IFERROR(IF(OR(INDEX(取引先マスタ!$E$5:$E$204,MATCH(C304,取引先マスタ!$A$5:$A$204,0))="",INDEX(取引先マスタ!$F$5:$F$204,MATCH(C304,取引先マスタ!$A$5:$A$204,0))=""),"",DATE(YEAR(B304),MONTH(B304)+INDEX(取引先マスタ!$E$5:$E$204,MATCH(C304,取引先マスタ!$A$5:$A$204,0)),MIN(INDEX(取引先マスタ!$F$5:$F$204,MATCH(C304,取引先マスタ!$A$5:$A$204,0)),DAY(EOMONTH(B304,INDEX(取引先マスタ!$E$5:$E$204,MATCH(C304,取引先マスタ!$A$5:$A$204,0))))))),""))</f>
        <v/>
      </c>
      <c r="H304" s="22"/>
      <c r="I304" s="25" t="str">
        <f aca="false">IF(H304&lt;&gt;"",H304,G304)</f>
        <v/>
      </c>
      <c r="J304" s="26"/>
      <c r="K304" s="22"/>
      <c r="L304" s="26"/>
      <c r="M304" s="27" t="str">
        <f aca="false">IF(A304="","",SUMIF(入金明細!$F$5:$F$1004,A304,入金明細!$E$5:$E$1004))</f>
        <v/>
      </c>
      <c r="N304" s="25" t="str">
        <f aca="false">IF(OR(A304="",N(M304)=0),"",SUMPRODUCT(MAX((入金明細!$F$5:$F$1004=A304)*入金明細!$B$5:$B$1004)))</f>
        <v/>
      </c>
      <c r="O304" s="18"/>
      <c r="P304" s="27" t="str">
        <f aca="false">IF(OR(A304="",F304=""),"",F304-N(M304)-N(O304))</f>
        <v/>
      </c>
      <c r="Q304" s="26"/>
      <c r="R304" s="28" t="str">
        <f aca="false">IF(A304="","",IF(Q304="取消","取消",IF(T304&lt;&gt;"","要入力",IF(K304="","未送付",IF(P304=0,"入金済",IF(P304&lt;0,"過入金",IF(設定!$C$5&gt;I304,IF(N(M304)&gt;0,"一部入金・超過","期日超過"),IF(N(M304)&gt;0,"一部入金",IF(I304-設定!$C$5&lt;=設定!$C$6,"期日間近","入金待ち")))))))))</f>
        <v/>
      </c>
      <c r="S304" s="29" t="str">
        <f aca="false">IF(OR(R304="期日超過",R304="一部入金・超過"),設定!$C$5-I304,"")</f>
        <v/>
      </c>
      <c r="T304" s="21" t="str">
        <f aca="false">IF(A304="","",TRIM(IF(B304="","請求日 ","")&amp;IF(C304="","取引先 ",IF(D304="コード誤り","取引先コード誤り ",""))&amp;IF(E304="","件名 ","")&amp;IF(F304="","請求額 ","")&amp;IF(AND(F304&lt;&gt;"",I304=""),"入金期日(マスタの支払条件が未登録) ","")&amp;IF(J304="","送付方法 ","")&amp;IF(AND(K304&lt;&gt;"",L304=""),"送付者 ","")&amp;IF(AND(K304&lt;&gt;"",N(K304)&gt;設定!$C$5),"送付日が未来の日付 ","")&amp;IF(AND(K304&lt;&gt;"",N(M304)&gt;0,N(P304)&lt;=0,U304=""),"消込確認者 ","")))</f>
        <v/>
      </c>
      <c r="U304" s="26"/>
      <c r="V304" s="26"/>
    </row>
    <row r="305" customFormat="false" ht="15" hidden="false" customHeight="false" outlineLevel="0" collapsed="false">
      <c r="A305" s="21" t="str">
        <f aca="false">IF(COUNTA(B305,C305,E305,F305)=0,"",設定!$C$4&amp;TEXT(ROW()-4,"00000"))</f>
        <v/>
      </c>
      <c r="B305" s="22"/>
      <c r="C305" s="23"/>
      <c r="D305" s="21" t="str">
        <f aca="false">IF(C305="","",IFERROR(INDEX(取引先マスタ!$B$5:$B$204,MATCH(C305,取引先マスタ!$A$5:$A$204,0)),"コード誤り"))</f>
        <v/>
      </c>
      <c r="E305" s="26"/>
      <c r="F305" s="18"/>
      <c r="G305" s="25" t="str">
        <f aca="false">IF(OR(B305="",C305="",D305="コード誤り"),"",IFERROR(IF(OR(INDEX(取引先マスタ!$E$5:$E$204,MATCH(C305,取引先マスタ!$A$5:$A$204,0))="",INDEX(取引先マスタ!$F$5:$F$204,MATCH(C305,取引先マスタ!$A$5:$A$204,0))=""),"",DATE(YEAR(B305),MONTH(B305)+INDEX(取引先マスタ!$E$5:$E$204,MATCH(C305,取引先マスタ!$A$5:$A$204,0)),MIN(INDEX(取引先マスタ!$F$5:$F$204,MATCH(C305,取引先マスタ!$A$5:$A$204,0)),DAY(EOMONTH(B305,INDEX(取引先マスタ!$E$5:$E$204,MATCH(C305,取引先マスタ!$A$5:$A$204,0))))))),""))</f>
        <v/>
      </c>
      <c r="H305" s="22"/>
      <c r="I305" s="25" t="str">
        <f aca="false">IF(H305&lt;&gt;"",H305,G305)</f>
        <v/>
      </c>
      <c r="J305" s="26"/>
      <c r="K305" s="22"/>
      <c r="L305" s="26"/>
      <c r="M305" s="27" t="str">
        <f aca="false">IF(A305="","",SUMIF(入金明細!$F$5:$F$1004,A305,入金明細!$E$5:$E$1004))</f>
        <v/>
      </c>
      <c r="N305" s="25" t="str">
        <f aca="false">IF(OR(A305="",N(M305)=0),"",SUMPRODUCT(MAX((入金明細!$F$5:$F$1004=A305)*入金明細!$B$5:$B$1004)))</f>
        <v/>
      </c>
      <c r="O305" s="18"/>
      <c r="P305" s="27" t="str">
        <f aca="false">IF(OR(A305="",F305=""),"",F305-N(M305)-N(O305))</f>
        <v/>
      </c>
      <c r="Q305" s="26"/>
      <c r="R305" s="28" t="str">
        <f aca="false">IF(A305="","",IF(Q305="取消","取消",IF(T305&lt;&gt;"","要入力",IF(K305="","未送付",IF(P305=0,"入金済",IF(P305&lt;0,"過入金",IF(設定!$C$5&gt;I305,IF(N(M305)&gt;0,"一部入金・超過","期日超過"),IF(N(M305)&gt;0,"一部入金",IF(I305-設定!$C$5&lt;=設定!$C$6,"期日間近","入金待ち")))))))))</f>
        <v/>
      </c>
      <c r="S305" s="29" t="str">
        <f aca="false">IF(OR(R305="期日超過",R305="一部入金・超過"),設定!$C$5-I305,"")</f>
        <v/>
      </c>
      <c r="T305" s="21" t="str">
        <f aca="false">IF(A305="","",TRIM(IF(B305="","請求日 ","")&amp;IF(C305="","取引先 ",IF(D305="コード誤り","取引先コード誤り ",""))&amp;IF(E305="","件名 ","")&amp;IF(F305="","請求額 ","")&amp;IF(AND(F305&lt;&gt;"",I305=""),"入金期日(マスタの支払条件が未登録) ","")&amp;IF(J305="","送付方法 ","")&amp;IF(AND(K305&lt;&gt;"",L305=""),"送付者 ","")&amp;IF(AND(K305&lt;&gt;"",N(K305)&gt;設定!$C$5),"送付日が未来の日付 ","")&amp;IF(AND(K305&lt;&gt;"",N(M305)&gt;0,N(P305)&lt;=0,U305=""),"消込確認者 ","")))</f>
        <v/>
      </c>
      <c r="U305" s="26"/>
      <c r="V305" s="26"/>
    </row>
    <row r="306" customFormat="false" ht="15" hidden="false" customHeight="false" outlineLevel="0" collapsed="false">
      <c r="A306" s="21" t="str">
        <f aca="false">IF(COUNTA(B306,C306,E306,F306)=0,"",設定!$C$4&amp;TEXT(ROW()-4,"00000"))</f>
        <v/>
      </c>
      <c r="B306" s="22"/>
      <c r="C306" s="23"/>
      <c r="D306" s="21" t="str">
        <f aca="false">IF(C306="","",IFERROR(INDEX(取引先マスタ!$B$5:$B$204,MATCH(C306,取引先マスタ!$A$5:$A$204,0)),"コード誤り"))</f>
        <v/>
      </c>
      <c r="E306" s="26"/>
      <c r="F306" s="18"/>
      <c r="G306" s="25" t="str">
        <f aca="false">IF(OR(B306="",C306="",D306="コード誤り"),"",IFERROR(IF(OR(INDEX(取引先マスタ!$E$5:$E$204,MATCH(C306,取引先マスタ!$A$5:$A$204,0))="",INDEX(取引先マスタ!$F$5:$F$204,MATCH(C306,取引先マスタ!$A$5:$A$204,0))=""),"",DATE(YEAR(B306),MONTH(B306)+INDEX(取引先マスタ!$E$5:$E$204,MATCH(C306,取引先マスタ!$A$5:$A$204,0)),MIN(INDEX(取引先マスタ!$F$5:$F$204,MATCH(C306,取引先マスタ!$A$5:$A$204,0)),DAY(EOMONTH(B306,INDEX(取引先マスタ!$E$5:$E$204,MATCH(C306,取引先マスタ!$A$5:$A$204,0))))))),""))</f>
        <v/>
      </c>
      <c r="H306" s="22"/>
      <c r="I306" s="25" t="str">
        <f aca="false">IF(H306&lt;&gt;"",H306,G306)</f>
        <v/>
      </c>
      <c r="J306" s="26"/>
      <c r="K306" s="22"/>
      <c r="L306" s="26"/>
      <c r="M306" s="27" t="str">
        <f aca="false">IF(A306="","",SUMIF(入金明細!$F$5:$F$1004,A306,入金明細!$E$5:$E$1004))</f>
        <v/>
      </c>
      <c r="N306" s="25" t="str">
        <f aca="false">IF(OR(A306="",N(M306)=0),"",SUMPRODUCT(MAX((入金明細!$F$5:$F$1004=A306)*入金明細!$B$5:$B$1004)))</f>
        <v/>
      </c>
      <c r="O306" s="18"/>
      <c r="P306" s="27" t="str">
        <f aca="false">IF(OR(A306="",F306=""),"",F306-N(M306)-N(O306))</f>
        <v/>
      </c>
      <c r="Q306" s="26"/>
      <c r="R306" s="28" t="str">
        <f aca="false">IF(A306="","",IF(Q306="取消","取消",IF(T306&lt;&gt;"","要入力",IF(K306="","未送付",IF(P306=0,"入金済",IF(P306&lt;0,"過入金",IF(設定!$C$5&gt;I306,IF(N(M306)&gt;0,"一部入金・超過","期日超過"),IF(N(M306)&gt;0,"一部入金",IF(I306-設定!$C$5&lt;=設定!$C$6,"期日間近","入金待ち")))))))))</f>
        <v/>
      </c>
      <c r="S306" s="29" t="str">
        <f aca="false">IF(OR(R306="期日超過",R306="一部入金・超過"),設定!$C$5-I306,"")</f>
        <v/>
      </c>
      <c r="T306" s="21" t="str">
        <f aca="false">IF(A306="","",TRIM(IF(B306="","請求日 ","")&amp;IF(C306="","取引先 ",IF(D306="コード誤り","取引先コード誤り ",""))&amp;IF(E306="","件名 ","")&amp;IF(F306="","請求額 ","")&amp;IF(AND(F306&lt;&gt;"",I306=""),"入金期日(マスタの支払条件が未登録) ","")&amp;IF(J306="","送付方法 ","")&amp;IF(AND(K306&lt;&gt;"",L306=""),"送付者 ","")&amp;IF(AND(K306&lt;&gt;"",N(K306)&gt;設定!$C$5),"送付日が未来の日付 ","")&amp;IF(AND(K306&lt;&gt;"",N(M306)&gt;0,N(P306)&lt;=0,U306=""),"消込確認者 ","")))</f>
        <v/>
      </c>
      <c r="U306" s="26"/>
      <c r="V306" s="26"/>
    </row>
    <row r="307" customFormat="false" ht="15" hidden="false" customHeight="false" outlineLevel="0" collapsed="false">
      <c r="A307" s="21" t="str">
        <f aca="false">IF(COUNTA(B307,C307,E307,F307)=0,"",設定!$C$4&amp;TEXT(ROW()-4,"00000"))</f>
        <v/>
      </c>
      <c r="B307" s="22"/>
      <c r="C307" s="23"/>
      <c r="D307" s="21" t="str">
        <f aca="false">IF(C307="","",IFERROR(INDEX(取引先マスタ!$B$5:$B$204,MATCH(C307,取引先マスタ!$A$5:$A$204,0)),"コード誤り"))</f>
        <v/>
      </c>
      <c r="E307" s="26"/>
      <c r="F307" s="18"/>
      <c r="G307" s="25" t="str">
        <f aca="false">IF(OR(B307="",C307="",D307="コード誤り"),"",IFERROR(IF(OR(INDEX(取引先マスタ!$E$5:$E$204,MATCH(C307,取引先マスタ!$A$5:$A$204,0))="",INDEX(取引先マスタ!$F$5:$F$204,MATCH(C307,取引先マスタ!$A$5:$A$204,0))=""),"",DATE(YEAR(B307),MONTH(B307)+INDEX(取引先マスタ!$E$5:$E$204,MATCH(C307,取引先マスタ!$A$5:$A$204,0)),MIN(INDEX(取引先マスタ!$F$5:$F$204,MATCH(C307,取引先マスタ!$A$5:$A$204,0)),DAY(EOMONTH(B307,INDEX(取引先マスタ!$E$5:$E$204,MATCH(C307,取引先マスタ!$A$5:$A$204,0))))))),""))</f>
        <v/>
      </c>
      <c r="H307" s="22"/>
      <c r="I307" s="25" t="str">
        <f aca="false">IF(H307&lt;&gt;"",H307,G307)</f>
        <v/>
      </c>
      <c r="J307" s="26"/>
      <c r="K307" s="22"/>
      <c r="L307" s="26"/>
      <c r="M307" s="27" t="str">
        <f aca="false">IF(A307="","",SUMIF(入金明細!$F$5:$F$1004,A307,入金明細!$E$5:$E$1004))</f>
        <v/>
      </c>
      <c r="N307" s="25" t="str">
        <f aca="false">IF(OR(A307="",N(M307)=0),"",SUMPRODUCT(MAX((入金明細!$F$5:$F$1004=A307)*入金明細!$B$5:$B$1004)))</f>
        <v/>
      </c>
      <c r="O307" s="18"/>
      <c r="P307" s="27" t="str">
        <f aca="false">IF(OR(A307="",F307=""),"",F307-N(M307)-N(O307))</f>
        <v/>
      </c>
      <c r="Q307" s="26"/>
      <c r="R307" s="28" t="str">
        <f aca="false">IF(A307="","",IF(Q307="取消","取消",IF(T307&lt;&gt;"","要入力",IF(K307="","未送付",IF(P307=0,"入金済",IF(P307&lt;0,"過入金",IF(設定!$C$5&gt;I307,IF(N(M307)&gt;0,"一部入金・超過","期日超過"),IF(N(M307)&gt;0,"一部入金",IF(I307-設定!$C$5&lt;=設定!$C$6,"期日間近","入金待ち")))))))))</f>
        <v/>
      </c>
      <c r="S307" s="29" t="str">
        <f aca="false">IF(OR(R307="期日超過",R307="一部入金・超過"),設定!$C$5-I307,"")</f>
        <v/>
      </c>
      <c r="T307" s="21" t="str">
        <f aca="false">IF(A307="","",TRIM(IF(B307="","請求日 ","")&amp;IF(C307="","取引先 ",IF(D307="コード誤り","取引先コード誤り ",""))&amp;IF(E307="","件名 ","")&amp;IF(F307="","請求額 ","")&amp;IF(AND(F307&lt;&gt;"",I307=""),"入金期日(マスタの支払条件が未登録) ","")&amp;IF(J307="","送付方法 ","")&amp;IF(AND(K307&lt;&gt;"",L307=""),"送付者 ","")&amp;IF(AND(K307&lt;&gt;"",N(K307)&gt;設定!$C$5),"送付日が未来の日付 ","")&amp;IF(AND(K307&lt;&gt;"",N(M307)&gt;0,N(P307)&lt;=0,U307=""),"消込確認者 ","")))</f>
        <v/>
      </c>
      <c r="U307" s="26"/>
      <c r="V307" s="26"/>
    </row>
    <row r="308" customFormat="false" ht="15" hidden="false" customHeight="false" outlineLevel="0" collapsed="false">
      <c r="A308" s="21" t="str">
        <f aca="false">IF(COUNTA(B308,C308,E308,F308)=0,"",設定!$C$4&amp;TEXT(ROW()-4,"00000"))</f>
        <v/>
      </c>
      <c r="B308" s="22"/>
      <c r="C308" s="23"/>
      <c r="D308" s="21" t="str">
        <f aca="false">IF(C308="","",IFERROR(INDEX(取引先マスタ!$B$5:$B$204,MATCH(C308,取引先マスタ!$A$5:$A$204,0)),"コード誤り"))</f>
        <v/>
      </c>
      <c r="E308" s="26"/>
      <c r="F308" s="18"/>
      <c r="G308" s="25" t="str">
        <f aca="false">IF(OR(B308="",C308="",D308="コード誤り"),"",IFERROR(IF(OR(INDEX(取引先マスタ!$E$5:$E$204,MATCH(C308,取引先マスタ!$A$5:$A$204,0))="",INDEX(取引先マスタ!$F$5:$F$204,MATCH(C308,取引先マスタ!$A$5:$A$204,0))=""),"",DATE(YEAR(B308),MONTH(B308)+INDEX(取引先マスタ!$E$5:$E$204,MATCH(C308,取引先マスタ!$A$5:$A$204,0)),MIN(INDEX(取引先マスタ!$F$5:$F$204,MATCH(C308,取引先マスタ!$A$5:$A$204,0)),DAY(EOMONTH(B308,INDEX(取引先マスタ!$E$5:$E$204,MATCH(C308,取引先マスタ!$A$5:$A$204,0))))))),""))</f>
        <v/>
      </c>
      <c r="H308" s="22"/>
      <c r="I308" s="25" t="str">
        <f aca="false">IF(H308&lt;&gt;"",H308,G308)</f>
        <v/>
      </c>
      <c r="J308" s="26"/>
      <c r="K308" s="22"/>
      <c r="L308" s="26"/>
      <c r="M308" s="27" t="str">
        <f aca="false">IF(A308="","",SUMIF(入金明細!$F$5:$F$1004,A308,入金明細!$E$5:$E$1004))</f>
        <v/>
      </c>
      <c r="N308" s="25" t="str">
        <f aca="false">IF(OR(A308="",N(M308)=0),"",SUMPRODUCT(MAX((入金明細!$F$5:$F$1004=A308)*入金明細!$B$5:$B$1004)))</f>
        <v/>
      </c>
      <c r="O308" s="18"/>
      <c r="P308" s="27" t="str">
        <f aca="false">IF(OR(A308="",F308=""),"",F308-N(M308)-N(O308))</f>
        <v/>
      </c>
      <c r="Q308" s="26"/>
      <c r="R308" s="28" t="str">
        <f aca="false">IF(A308="","",IF(Q308="取消","取消",IF(T308&lt;&gt;"","要入力",IF(K308="","未送付",IF(P308=0,"入金済",IF(P308&lt;0,"過入金",IF(設定!$C$5&gt;I308,IF(N(M308)&gt;0,"一部入金・超過","期日超過"),IF(N(M308)&gt;0,"一部入金",IF(I308-設定!$C$5&lt;=設定!$C$6,"期日間近","入金待ち")))))))))</f>
        <v/>
      </c>
      <c r="S308" s="29" t="str">
        <f aca="false">IF(OR(R308="期日超過",R308="一部入金・超過"),設定!$C$5-I308,"")</f>
        <v/>
      </c>
      <c r="T308" s="21" t="str">
        <f aca="false">IF(A308="","",TRIM(IF(B308="","請求日 ","")&amp;IF(C308="","取引先 ",IF(D308="コード誤り","取引先コード誤り ",""))&amp;IF(E308="","件名 ","")&amp;IF(F308="","請求額 ","")&amp;IF(AND(F308&lt;&gt;"",I308=""),"入金期日(マスタの支払条件が未登録) ","")&amp;IF(J308="","送付方法 ","")&amp;IF(AND(K308&lt;&gt;"",L308=""),"送付者 ","")&amp;IF(AND(K308&lt;&gt;"",N(K308)&gt;設定!$C$5),"送付日が未来の日付 ","")&amp;IF(AND(K308&lt;&gt;"",N(M308)&gt;0,N(P308)&lt;=0,U308=""),"消込確認者 ","")))</f>
        <v/>
      </c>
      <c r="U308" s="26"/>
      <c r="V308" s="26"/>
    </row>
    <row r="309" customFormat="false" ht="15" hidden="false" customHeight="false" outlineLevel="0" collapsed="false">
      <c r="A309" s="21" t="str">
        <f aca="false">IF(COUNTA(B309,C309,E309,F309)=0,"",設定!$C$4&amp;TEXT(ROW()-4,"00000"))</f>
        <v/>
      </c>
      <c r="B309" s="22"/>
      <c r="C309" s="23"/>
      <c r="D309" s="21" t="str">
        <f aca="false">IF(C309="","",IFERROR(INDEX(取引先マスタ!$B$5:$B$204,MATCH(C309,取引先マスタ!$A$5:$A$204,0)),"コード誤り"))</f>
        <v/>
      </c>
      <c r="E309" s="26"/>
      <c r="F309" s="18"/>
      <c r="G309" s="25" t="str">
        <f aca="false">IF(OR(B309="",C309="",D309="コード誤り"),"",IFERROR(IF(OR(INDEX(取引先マスタ!$E$5:$E$204,MATCH(C309,取引先マスタ!$A$5:$A$204,0))="",INDEX(取引先マスタ!$F$5:$F$204,MATCH(C309,取引先マスタ!$A$5:$A$204,0))=""),"",DATE(YEAR(B309),MONTH(B309)+INDEX(取引先マスタ!$E$5:$E$204,MATCH(C309,取引先マスタ!$A$5:$A$204,0)),MIN(INDEX(取引先マスタ!$F$5:$F$204,MATCH(C309,取引先マスタ!$A$5:$A$204,0)),DAY(EOMONTH(B309,INDEX(取引先マスタ!$E$5:$E$204,MATCH(C309,取引先マスタ!$A$5:$A$204,0))))))),""))</f>
        <v/>
      </c>
      <c r="H309" s="22"/>
      <c r="I309" s="25" t="str">
        <f aca="false">IF(H309&lt;&gt;"",H309,G309)</f>
        <v/>
      </c>
      <c r="J309" s="26"/>
      <c r="K309" s="22"/>
      <c r="L309" s="26"/>
      <c r="M309" s="27" t="str">
        <f aca="false">IF(A309="","",SUMIF(入金明細!$F$5:$F$1004,A309,入金明細!$E$5:$E$1004))</f>
        <v/>
      </c>
      <c r="N309" s="25" t="str">
        <f aca="false">IF(OR(A309="",N(M309)=0),"",SUMPRODUCT(MAX((入金明細!$F$5:$F$1004=A309)*入金明細!$B$5:$B$1004)))</f>
        <v/>
      </c>
      <c r="O309" s="18"/>
      <c r="P309" s="27" t="str">
        <f aca="false">IF(OR(A309="",F309=""),"",F309-N(M309)-N(O309))</f>
        <v/>
      </c>
      <c r="Q309" s="26"/>
      <c r="R309" s="28" t="str">
        <f aca="false">IF(A309="","",IF(Q309="取消","取消",IF(T309&lt;&gt;"","要入力",IF(K309="","未送付",IF(P309=0,"入金済",IF(P309&lt;0,"過入金",IF(設定!$C$5&gt;I309,IF(N(M309)&gt;0,"一部入金・超過","期日超過"),IF(N(M309)&gt;0,"一部入金",IF(I309-設定!$C$5&lt;=設定!$C$6,"期日間近","入金待ち")))))))))</f>
        <v/>
      </c>
      <c r="S309" s="29" t="str">
        <f aca="false">IF(OR(R309="期日超過",R309="一部入金・超過"),設定!$C$5-I309,"")</f>
        <v/>
      </c>
      <c r="T309" s="21" t="str">
        <f aca="false">IF(A309="","",TRIM(IF(B309="","請求日 ","")&amp;IF(C309="","取引先 ",IF(D309="コード誤り","取引先コード誤り ",""))&amp;IF(E309="","件名 ","")&amp;IF(F309="","請求額 ","")&amp;IF(AND(F309&lt;&gt;"",I309=""),"入金期日(マスタの支払条件が未登録) ","")&amp;IF(J309="","送付方法 ","")&amp;IF(AND(K309&lt;&gt;"",L309=""),"送付者 ","")&amp;IF(AND(K309&lt;&gt;"",N(K309)&gt;設定!$C$5),"送付日が未来の日付 ","")&amp;IF(AND(K309&lt;&gt;"",N(M309)&gt;0,N(P309)&lt;=0,U309=""),"消込確認者 ","")))</f>
        <v/>
      </c>
      <c r="U309" s="26"/>
      <c r="V309" s="26"/>
    </row>
    <row r="310" customFormat="false" ht="15" hidden="false" customHeight="false" outlineLevel="0" collapsed="false">
      <c r="A310" s="21" t="str">
        <f aca="false">IF(COUNTA(B310,C310,E310,F310)=0,"",設定!$C$4&amp;TEXT(ROW()-4,"00000"))</f>
        <v/>
      </c>
      <c r="B310" s="22"/>
      <c r="C310" s="23"/>
      <c r="D310" s="21" t="str">
        <f aca="false">IF(C310="","",IFERROR(INDEX(取引先マスタ!$B$5:$B$204,MATCH(C310,取引先マスタ!$A$5:$A$204,0)),"コード誤り"))</f>
        <v/>
      </c>
      <c r="E310" s="26"/>
      <c r="F310" s="18"/>
      <c r="G310" s="25" t="str">
        <f aca="false">IF(OR(B310="",C310="",D310="コード誤り"),"",IFERROR(IF(OR(INDEX(取引先マスタ!$E$5:$E$204,MATCH(C310,取引先マスタ!$A$5:$A$204,0))="",INDEX(取引先マスタ!$F$5:$F$204,MATCH(C310,取引先マスタ!$A$5:$A$204,0))=""),"",DATE(YEAR(B310),MONTH(B310)+INDEX(取引先マスタ!$E$5:$E$204,MATCH(C310,取引先マスタ!$A$5:$A$204,0)),MIN(INDEX(取引先マスタ!$F$5:$F$204,MATCH(C310,取引先マスタ!$A$5:$A$204,0)),DAY(EOMONTH(B310,INDEX(取引先マスタ!$E$5:$E$204,MATCH(C310,取引先マスタ!$A$5:$A$204,0))))))),""))</f>
        <v/>
      </c>
      <c r="H310" s="22"/>
      <c r="I310" s="25" t="str">
        <f aca="false">IF(H310&lt;&gt;"",H310,G310)</f>
        <v/>
      </c>
      <c r="J310" s="26"/>
      <c r="K310" s="22"/>
      <c r="L310" s="26"/>
      <c r="M310" s="27" t="str">
        <f aca="false">IF(A310="","",SUMIF(入金明細!$F$5:$F$1004,A310,入金明細!$E$5:$E$1004))</f>
        <v/>
      </c>
      <c r="N310" s="25" t="str">
        <f aca="false">IF(OR(A310="",N(M310)=0),"",SUMPRODUCT(MAX((入金明細!$F$5:$F$1004=A310)*入金明細!$B$5:$B$1004)))</f>
        <v/>
      </c>
      <c r="O310" s="18"/>
      <c r="P310" s="27" t="str">
        <f aca="false">IF(OR(A310="",F310=""),"",F310-N(M310)-N(O310))</f>
        <v/>
      </c>
      <c r="Q310" s="26"/>
      <c r="R310" s="28" t="str">
        <f aca="false">IF(A310="","",IF(Q310="取消","取消",IF(T310&lt;&gt;"","要入力",IF(K310="","未送付",IF(P310=0,"入金済",IF(P310&lt;0,"過入金",IF(設定!$C$5&gt;I310,IF(N(M310)&gt;0,"一部入金・超過","期日超過"),IF(N(M310)&gt;0,"一部入金",IF(I310-設定!$C$5&lt;=設定!$C$6,"期日間近","入金待ち")))))))))</f>
        <v/>
      </c>
      <c r="S310" s="29" t="str">
        <f aca="false">IF(OR(R310="期日超過",R310="一部入金・超過"),設定!$C$5-I310,"")</f>
        <v/>
      </c>
      <c r="T310" s="21" t="str">
        <f aca="false">IF(A310="","",TRIM(IF(B310="","請求日 ","")&amp;IF(C310="","取引先 ",IF(D310="コード誤り","取引先コード誤り ",""))&amp;IF(E310="","件名 ","")&amp;IF(F310="","請求額 ","")&amp;IF(AND(F310&lt;&gt;"",I310=""),"入金期日(マスタの支払条件が未登録) ","")&amp;IF(J310="","送付方法 ","")&amp;IF(AND(K310&lt;&gt;"",L310=""),"送付者 ","")&amp;IF(AND(K310&lt;&gt;"",N(K310)&gt;設定!$C$5),"送付日が未来の日付 ","")&amp;IF(AND(K310&lt;&gt;"",N(M310)&gt;0,N(P310)&lt;=0,U310=""),"消込確認者 ","")))</f>
        <v/>
      </c>
      <c r="U310" s="26"/>
      <c r="V310" s="26"/>
    </row>
    <row r="311" customFormat="false" ht="15" hidden="false" customHeight="false" outlineLevel="0" collapsed="false">
      <c r="A311" s="21" t="str">
        <f aca="false">IF(COUNTA(B311,C311,E311,F311)=0,"",設定!$C$4&amp;TEXT(ROW()-4,"00000"))</f>
        <v/>
      </c>
      <c r="B311" s="22"/>
      <c r="C311" s="23"/>
      <c r="D311" s="21" t="str">
        <f aca="false">IF(C311="","",IFERROR(INDEX(取引先マスタ!$B$5:$B$204,MATCH(C311,取引先マスタ!$A$5:$A$204,0)),"コード誤り"))</f>
        <v/>
      </c>
      <c r="E311" s="26"/>
      <c r="F311" s="18"/>
      <c r="G311" s="25" t="str">
        <f aca="false">IF(OR(B311="",C311="",D311="コード誤り"),"",IFERROR(IF(OR(INDEX(取引先マスタ!$E$5:$E$204,MATCH(C311,取引先マスタ!$A$5:$A$204,0))="",INDEX(取引先マスタ!$F$5:$F$204,MATCH(C311,取引先マスタ!$A$5:$A$204,0))=""),"",DATE(YEAR(B311),MONTH(B311)+INDEX(取引先マスタ!$E$5:$E$204,MATCH(C311,取引先マスタ!$A$5:$A$204,0)),MIN(INDEX(取引先マスタ!$F$5:$F$204,MATCH(C311,取引先マスタ!$A$5:$A$204,0)),DAY(EOMONTH(B311,INDEX(取引先マスタ!$E$5:$E$204,MATCH(C311,取引先マスタ!$A$5:$A$204,0))))))),""))</f>
        <v/>
      </c>
      <c r="H311" s="22"/>
      <c r="I311" s="25" t="str">
        <f aca="false">IF(H311&lt;&gt;"",H311,G311)</f>
        <v/>
      </c>
      <c r="J311" s="26"/>
      <c r="K311" s="22"/>
      <c r="L311" s="26"/>
      <c r="M311" s="27" t="str">
        <f aca="false">IF(A311="","",SUMIF(入金明細!$F$5:$F$1004,A311,入金明細!$E$5:$E$1004))</f>
        <v/>
      </c>
      <c r="N311" s="25" t="str">
        <f aca="false">IF(OR(A311="",N(M311)=0),"",SUMPRODUCT(MAX((入金明細!$F$5:$F$1004=A311)*入金明細!$B$5:$B$1004)))</f>
        <v/>
      </c>
      <c r="O311" s="18"/>
      <c r="P311" s="27" t="str">
        <f aca="false">IF(OR(A311="",F311=""),"",F311-N(M311)-N(O311))</f>
        <v/>
      </c>
      <c r="Q311" s="26"/>
      <c r="R311" s="28" t="str">
        <f aca="false">IF(A311="","",IF(Q311="取消","取消",IF(T311&lt;&gt;"","要入力",IF(K311="","未送付",IF(P311=0,"入金済",IF(P311&lt;0,"過入金",IF(設定!$C$5&gt;I311,IF(N(M311)&gt;0,"一部入金・超過","期日超過"),IF(N(M311)&gt;0,"一部入金",IF(I311-設定!$C$5&lt;=設定!$C$6,"期日間近","入金待ち")))))))))</f>
        <v/>
      </c>
      <c r="S311" s="29" t="str">
        <f aca="false">IF(OR(R311="期日超過",R311="一部入金・超過"),設定!$C$5-I311,"")</f>
        <v/>
      </c>
      <c r="T311" s="21" t="str">
        <f aca="false">IF(A311="","",TRIM(IF(B311="","請求日 ","")&amp;IF(C311="","取引先 ",IF(D311="コード誤り","取引先コード誤り ",""))&amp;IF(E311="","件名 ","")&amp;IF(F311="","請求額 ","")&amp;IF(AND(F311&lt;&gt;"",I311=""),"入金期日(マスタの支払条件が未登録) ","")&amp;IF(J311="","送付方法 ","")&amp;IF(AND(K311&lt;&gt;"",L311=""),"送付者 ","")&amp;IF(AND(K311&lt;&gt;"",N(K311)&gt;設定!$C$5),"送付日が未来の日付 ","")&amp;IF(AND(K311&lt;&gt;"",N(M311)&gt;0,N(P311)&lt;=0,U311=""),"消込確認者 ","")))</f>
        <v/>
      </c>
      <c r="U311" s="26"/>
      <c r="V311" s="26"/>
    </row>
    <row r="312" customFormat="false" ht="15" hidden="false" customHeight="false" outlineLevel="0" collapsed="false">
      <c r="A312" s="21" t="str">
        <f aca="false">IF(COUNTA(B312,C312,E312,F312)=0,"",設定!$C$4&amp;TEXT(ROW()-4,"00000"))</f>
        <v/>
      </c>
      <c r="B312" s="22"/>
      <c r="C312" s="23"/>
      <c r="D312" s="21" t="str">
        <f aca="false">IF(C312="","",IFERROR(INDEX(取引先マスタ!$B$5:$B$204,MATCH(C312,取引先マスタ!$A$5:$A$204,0)),"コード誤り"))</f>
        <v/>
      </c>
      <c r="E312" s="26"/>
      <c r="F312" s="18"/>
      <c r="G312" s="25" t="str">
        <f aca="false">IF(OR(B312="",C312="",D312="コード誤り"),"",IFERROR(IF(OR(INDEX(取引先マスタ!$E$5:$E$204,MATCH(C312,取引先マスタ!$A$5:$A$204,0))="",INDEX(取引先マスタ!$F$5:$F$204,MATCH(C312,取引先マスタ!$A$5:$A$204,0))=""),"",DATE(YEAR(B312),MONTH(B312)+INDEX(取引先マスタ!$E$5:$E$204,MATCH(C312,取引先マスタ!$A$5:$A$204,0)),MIN(INDEX(取引先マスタ!$F$5:$F$204,MATCH(C312,取引先マスタ!$A$5:$A$204,0)),DAY(EOMONTH(B312,INDEX(取引先マスタ!$E$5:$E$204,MATCH(C312,取引先マスタ!$A$5:$A$204,0))))))),""))</f>
        <v/>
      </c>
      <c r="H312" s="22"/>
      <c r="I312" s="25" t="str">
        <f aca="false">IF(H312&lt;&gt;"",H312,G312)</f>
        <v/>
      </c>
      <c r="J312" s="26"/>
      <c r="K312" s="22"/>
      <c r="L312" s="26"/>
      <c r="M312" s="27" t="str">
        <f aca="false">IF(A312="","",SUMIF(入金明細!$F$5:$F$1004,A312,入金明細!$E$5:$E$1004))</f>
        <v/>
      </c>
      <c r="N312" s="25" t="str">
        <f aca="false">IF(OR(A312="",N(M312)=0),"",SUMPRODUCT(MAX((入金明細!$F$5:$F$1004=A312)*入金明細!$B$5:$B$1004)))</f>
        <v/>
      </c>
      <c r="O312" s="18"/>
      <c r="P312" s="27" t="str">
        <f aca="false">IF(OR(A312="",F312=""),"",F312-N(M312)-N(O312))</f>
        <v/>
      </c>
      <c r="Q312" s="26"/>
      <c r="R312" s="28" t="str">
        <f aca="false">IF(A312="","",IF(Q312="取消","取消",IF(T312&lt;&gt;"","要入力",IF(K312="","未送付",IF(P312=0,"入金済",IF(P312&lt;0,"過入金",IF(設定!$C$5&gt;I312,IF(N(M312)&gt;0,"一部入金・超過","期日超過"),IF(N(M312)&gt;0,"一部入金",IF(I312-設定!$C$5&lt;=設定!$C$6,"期日間近","入金待ち")))))))))</f>
        <v/>
      </c>
      <c r="S312" s="29" t="str">
        <f aca="false">IF(OR(R312="期日超過",R312="一部入金・超過"),設定!$C$5-I312,"")</f>
        <v/>
      </c>
      <c r="T312" s="21" t="str">
        <f aca="false">IF(A312="","",TRIM(IF(B312="","請求日 ","")&amp;IF(C312="","取引先 ",IF(D312="コード誤り","取引先コード誤り ",""))&amp;IF(E312="","件名 ","")&amp;IF(F312="","請求額 ","")&amp;IF(AND(F312&lt;&gt;"",I312=""),"入金期日(マスタの支払条件が未登録) ","")&amp;IF(J312="","送付方法 ","")&amp;IF(AND(K312&lt;&gt;"",L312=""),"送付者 ","")&amp;IF(AND(K312&lt;&gt;"",N(K312)&gt;設定!$C$5),"送付日が未来の日付 ","")&amp;IF(AND(K312&lt;&gt;"",N(M312)&gt;0,N(P312)&lt;=0,U312=""),"消込確認者 ","")))</f>
        <v/>
      </c>
      <c r="U312" s="26"/>
      <c r="V312" s="26"/>
    </row>
    <row r="313" customFormat="false" ht="15" hidden="false" customHeight="false" outlineLevel="0" collapsed="false">
      <c r="A313" s="21" t="str">
        <f aca="false">IF(COUNTA(B313,C313,E313,F313)=0,"",設定!$C$4&amp;TEXT(ROW()-4,"00000"))</f>
        <v/>
      </c>
      <c r="B313" s="22"/>
      <c r="C313" s="23"/>
      <c r="D313" s="21" t="str">
        <f aca="false">IF(C313="","",IFERROR(INDEX(取引先マスタ!$B$5:$B$204,MATCH(C313,取引先マスタ!$A$5:$A$204,0)),"コード誤り"))</f>
        <v/>
      </c>
      <c r="E313" s="26"/>
      <c r="F313" s="18"/>
      <c r="G313" s="25" t="str">
        <f aca="false">IF(OR(B313="",C313="",D313="コード誤り"),"",IFERROR(IF(OR(INDEX(取引先マスタ!$E$5:$E$204,MATCH(C313,取引先マスタ!$A$5:$A$204,0))="",INDEX(取引先マスタ!$F$5:$F$204,MATCH(C313,取引先マスタ!$A$5:$A$204,0))=""),"",DATE(YEAR(B313),MONTH(B313)+INDEX(取引先マスタ!$E$5:$E$204,MATCH(C313,取引先マスタ!$A$5:$A$204,0)),MIN(INDEX(取引先マスタ!$F$5:$F$204,MATCH(C313,取引先マスタ!$A$5:$A$204,0)),DAY(EOMONTH(B313,INDEX(取引先マスタ!$E$5:$E$204,MATCH(C313,取引先マスタ!$A$5:$A$204,0))))))),""))</f>
        <v/>
      </c>
      <c r="H313" s="22"/>
      <c r="I313" s="25" t="str">
        <f aca="false">IF(H313&lt;&gt;"",H313,G313)</f>
        <v/>
      </c>
      <c r="J313" s="26"/>
      <c r="K313" s="22"/>
      <c r="L313" s="26"/>
      <c r="M313" s="27" t="str">
        <f aca="false">IF(A313="","",SUMIF(入金明細!$F$5:$F$1004,A313,入金明細!$E$5:$E$1004))</f>
        <v/>
      </c>
      <c r="N313" s="25" t="str">
        <f aca="false">IF(OR(A313="",N(M313)=0),"",SUMPRODUCT(MAX((入金明細!$F$5:$F$1004=A313)*入金明細!$B$5:$B$1004)))</f>
        <v/>
      </c>
      <c r="O313" s="18"/>
      <c r="P313" s="27" t="str">
        <f aca="false">IF(OR(A313="",F313=""),"",F313-N(M313)-N(O313))</f>
        <v/>
      </c>
      <c r="Q313" s="26"/>
      <c r="R313" s="28" t="str">
        <f aca="false">IF(A313="","",IF(Q313="取消","取消",IF(T313&lt;&gt;"","要入力",IF(K313="","未送付",IF(P313=0,"入金済",IF(P313&lt;0,"過入金",IF(設定!$C$5&gt;I313,IF(N(M313)&gt;0,"一部入金・超過","期日超過"),IF(N(M313)&gt;0,"一部入金",IF(I313-設定!$C$5&lt;=設定!$C$6,"期日間近","入金待ち")))))))))</f>
        <v/>
      </c>
      <c r="S313" s="29" t="str">
        <f aca="false">IF(OR(R313="期日超過",R313="一部入金・超過"),設定!$C$5-I313,"")</f>
        <v/>
      </c>
      <c r="T313" s="21" t="str">
        <f aca="false">IF(A313="","",TRIM(IF(B313="","請求日 ","")&amp;IF(C313="","取引先 ",IF(D313="コード誤り","取引先コード誤り ",""))&amp;IF(E313="","件名 ","")&amp;IF(F313="","請求額 ","")&amp;IF(AND(F313&lt;&gt;"",I313=""),"入金期日(マスタの支払条件が未登録) ","")&amp;IF(J313="","送付方法 ","")&amp;IF(AND(K313&lt;&gt;"",L313=""),"送付者 ","")&amp;IF(AND(K313&lt;&gt;"",N(K313)&gt;設定!$C$5),"送付日が未来の日付 ","")&amp;IF(AND(K313&lt;&gt;"",N(M313)&gt;0,N(P313)&lt;=0,U313=""),"消込確認者 ","")))</f>
        <v/>
      </c>
      <c r="U313" s="26"/>
      <c r="V313" s="26"/>
    </row>
    <row r="314" customFormat="false" ht="15" hidden="false" customHeight="false" outlineLevel="0" collapsed="false">
      <c r="A314" s="21" t="str">
        <f aca="false">IF(COUNTA(B314,C314,E314,F314)=0,"",設定!$C$4&amp;TEXT(ROW()-4,"00000"))</f>
        <v/>
      </c>
      <c r="B314" s="22"/>
      <c r="C314" s="23"/>
      <c r="D314" s="21" t="str">
        <f aca="false">IF(C314="","",IFERROR(INDEX(取引先マスタ!$B$5:$B$204,MATCH(C314,取引先マスタ!$A$5:$A$204,0)),"コード誤り"))</f>
        <v/>
      </c>
      <c r="E314" s="26"/>
      <c r="F314" s="18"/>
      <c r="G314" s="25" t="str">
        <f aca="false">IF(OR(B314="",C314="",D314="コード誤り"),"",IFERROR(IF(OR(INDEX(取引先マスタ!$E$5:$E$204,MATCH(C314,取引先マスタ!$A$5:$A$204,0))="",INDEX(取引先マスタ!$F$5:$F$204,MATCH(C314,取引先マスタ!$A$5:$A$204,0))=""),"",DATE(YEAR(B314),MONTH(B314)+INDEX(取引先マスタ!$E$5:$E$204,MATCH(C314,取引先マスタ!$A$5:$A$204,0)),MIN(INDEX(取引先マスタ!$F$5:$F$204,MATCH(C314,取引先マスタ!$A$5:$A$204,0)),DAY(EOMONTH(B314,INDEX(取引先マスタ!$E$5:$E$204,MATCH(C314,取引先マスタ!$A$5:$A$204,0))))))),""))</f>
        <v/>
      </c>
      <c r="H314" s="22"/>
      <c r="I314" s="25" t="str">
        <f aca="false">IF(H314&lt;&gt;"",H314,G314)</f>
        <v/>
      </c>
      <c r="J314" s="26"/>
      <c r="K314" s="22"/>
      <c r="L314" s="26"/>
      <c r="M314" s="27" t="str">
        <f aca="false">IF(A314="","",SUMIF(入金明細!$F$5:$F$1004,A314,入金明細!$E$5:$E$1004))</f>
        <v/>
      </c>
      <c r="N314" s="25" t="str">
        <f aca="false">IF(OR(A314="",N(M314)=0),"",SUMPRODUCT(MAX((入金明細!$F$5:$F$1004=A314)*入金明細!$B$5:$B$1004)))</f>
        <v/>
      </c>
      <c r="O314" s="18"/>
      <c r="P314" s="27" t="str">
        <f aca="false">IF(OR(A314="",F314=""),"",F314-N(M314)-N(O314))</f>
        <v/>
      </c>
      <c r="Q314" s="26"/>
      <c r="R314" s="28" t="str">
        <f aca="false">IF(A314="","",IF(Q314="取消","取消",IF(T314&lt;&gt;"","要入力",IF(K314="","未送付",IF(P314=0,"入金済",IF(P314&lt;0,"過入金",IF(設定!$C$5&gt;I314,IF(N(M314)&gt;0,"一部入金・超過","期日超過"),IF(N(M314)&gt;0,"一部入金",IF(I314-設定!$C$5&lt;=設定!$C$6,"期日間近","入金待ち")))))))))</f>
        <v/>
      </c>
      <c r="S314" s="29" t="str">
        <f aca="false">IF(OR(R314="期日超過",R314="一部入金・超過"),設定!$C$5-I314,"")</f>
        <v/>
      </c>
      <c r="T314" s="21" t="str">
        <f aca="false">IF(A314="","",TRIM(IF(B314="","請求日 ","")&amp;IF(C314="","取引先 ",IF(D314="コード誤り","取引先コード誤り ",""))&amp;IF(E314="","件名 ","")&amp;IF(F314="","請求額 ","")&amp;IF(AND(F314&lt;&gt;"",I314=""),"入金期日(マスタの支払条件が未登録) ","")&amp;IF(J314="","送付方法 ","")&amp;IF(AND(K314&lt;&gt;"",L314=""),"送付者 ","")&amp;IF(AND(K314&lt;&gt;"",N(K314)&gt;設定!$C$5),"送付日が未来の日付 ","")&amp;IF(AND(K314&lt;&gt;"",N(M314)&gt;0,N(P314)&lt;=0,U314=""),"消込確認者 ","")))</f>
        <v/>
      </c>
      <c r="U314" s="26"/>
      <c r="V314" s="26"/>
    </row>
    <row r="315" customFormat="false" ht="15" hidden="false" customHeight="false" outlineLevel="0" collapsed="false">
      <c r="A315" s="21" t="str">
        <f aca="false">IF(COUNTA(B315,C315,E315,F315)=0,"",設定!$C$4&amp;TEXT(ROW()-4,"00000"))</f>
        <v/>
      </c>
      <c r="B315" s="22"/>
      <c r="C315" s="23"/>
      <c r="D315" s="21" t="str">
        <f aca="false">IF(C315="","",IFERROR(INDEX(取引先マスタ!$B$5:$B$204,MATCH(C315,取引先マスタ!$A$5:$A$204,0)),"コード誤り"))</f>
        <v/>
      </c>
      <c r="E315" s="26"/>
      <c r="F315" s="18"/>
      <c r="G315" s="25" t="str">
        <f aca="false">IF(OR(B315="",C315="",D315="コード誤り"),"",IFERROR(IF(OR(INDEX(取引先マスタ!$E$5:$E$204,MATCH(C315,取引先マスタ!$A$5:$A$204,0))="",INDEX(取引先マスタ!$F$5:$F$204,MATCH(C315,取引先マスタ!$A$5:$A$204,0))=""),"",DATE(YEAR(B315),MONTH(B315)+INDEX(取引先マスタ!$E$5:$E$204,MATCH(C315,取引先マスタ!$A$5:$A$204,0)),MIN(INDEX(取引先マスタ!$F$5:$F$204,MATCH(C315,取引先マスタ!$A$5:$A$204,0)),DAY(EOMONTH(B315,INDEX(取引先マスタ!$E$5:$E$204,MATCH(C315,取引先マスタ!$A$5:$A$204,0))))))),""))</f>
        <v/>
      </c>
      <c r="H315" s="22"/>
      <c r="I315" s="25" t="str">
        <f aca="false">IF(H315&lt;&gt;"",H315,G315)</f>
        <v/>
      </c>
      <c r="J315" s="26"/>
      <c r="K315" s="22"/>
      <c r="L315" s="26"/>
      <c r="M315" s="27" t="str">
        <f aca="false">IF(A315="","",SUMIF(入金明細!$F$5:$F$1004,A315,入金明細!$E$5:$E$1004))</f>
        <v/>
      </c>
      <c r="N315" s="25" t="str">
        <f aca="false">IF(OR(A315="",N(M315)=0),"",SUMPRODUCT(MAX((入金明細!$F$5:$F$1004=A315)*入金明細!$B$5:$B$1004)))</f>
        <v/>
      </c>
      <c r="O315" s="18"/>
      <c r="P315" s="27" t="str">
        <f aca="false">IF(OR(A315="",F315=""),"",F315-N(M315)-N(O315))</f>
        <v/>
      </c>
      <c r="Q315" s="26"/>
      <c r="R315" s="28" t="str">
        <f aca="false">IF(A315="","",IF(Q315="取消","取消",IF(T315&lt;&gt;"","要入力",IF(K315="","未送付",IF(P315=0,"入金済",IF(P315&lt;0,"過入金",IF(設定!$C$5&gt;I315,IF(N(M315)&gt;0,"一部入金・超過","期日超過"),IF(N(M315)&gt;0,"一部入金",IF(I315-設定!$C$5&lt;=設定!$C$6,"期日間近","入金待ち")))))))))</f>
        <v/>
      </c>
      <c r="S315" s="29" t="str">
        <f aca="false">IF(OR(R315="期日超過",R315="一部入金・超過"),設定!$C$5-I315,"")</f>
        <v/>
      </c>
      <c r="T315" s="21" t="str">
        <f aca="false">IF(A315="","",TRIM(IF(B315="","請求日 ","")&amp;IF(C315="","取引先 ",IF(D315="コード誤り","取引先コード誤り ",""))&amp;IF(E315="","件名 ","")&amp;IF(F315="","請求額 ","")&amp;IF(AND(F315&lt;&gt;"",I315=""),"入金期日(マスタの支払条件が未登録) ","")&amp;IF(J315="","送付方法 ","")&amp;IF(AND(K315&lt;&gt;"",L315=""),"送付者 ","")&amp;IF(AND(K315&lt;&gt;"",N(K315)&gt;設定!$C$5),"送付日が未来の日付 ","")&amp;IF(AND(K315&lt;&gt;"",N(M315)&gt;0,N(P315)&lt;=0,U315=""),"消込確認者 ","")))</f>
        <v/>
      </c>
      <c r="U315" s="26"/>
      <c r="V315" s="26"/>
    </row>
    <row r="316" customFormat="false" ht="15" hidden="false" customHeight="false" outlineLevel="0" collapsed="false">
      <c r="A316" s="21" t="str">
        <f aca="false">IF(COUNTA(B316,C316,E316,F316)=0,"",設定!$C$4&amp;TEXT(ROW()-4,"00000"))</f>
        <v/>
      </c>
      <c r="B316" s="22"/>
      <c r="C316" s="23"/>
      <c r="D316" s="21" t="str">
        <f aca="false">IF(C316="","",IFERROR(INDEX(取引先マスタ!$B$5:$B$204,MATCH(C316,取引先マスタ!$A$5:$A$204,0)),"コード誤り"))</f>
        <v/>
      </c>
      <c r="E316" s="26"/>
      <c r="F316" s="18"/>
      <c r="G316" s="25" t="str">
        <f aca="false">IF(OR(B316="",C316="",D316="コード誤り"),"",IFERROR(IF(OR(INDEX(取引先マスタ!$E$5:$E$204,MATCH(C316,取引先マスタ!$A$5:$A$204,0))="",INDEX(取引先マスタ!$F$5:$F$204,MATCH(C316,取引先マスタ!$A$5:$A$204,0))=""),"",DATE(YEAR(B316),MONTH(B316)+INDEX(取引先マスタ!$E$5:$E$204,MATCH(C316,取引先マスタ!$A$5:$A$204,0)),MIN(INDEX(取引先マスタ!$F$5:$F$204,MATCH(C316,取引先マスタ!$A$5:$A$204,0)),DAY(EOMONTH(B316,INDEX(取引先マスタ!$E$5:$E$204,MATCH(C316,取引先マスタ!$A$5:$A$204,0))))))),""))</f>
        <v/>
      </c>
      <c r="H316" s="22"/>
      <c r="I316" s="25" t="str">
        <f aca="false">IF(H316&lt;&gt;"",H316,G316)</f>
        <v/>
      </c>
      <c r="J316" s="26"/>
      <c r="K316" s="22"/>
      <c r="L316" s="26"/>
      <c r="M316" s="27" t="str">
        <f aca="false">IF(A316="","",SUMIF(入金明細!$F$5:$F$1004,A316,入金明細!$E$5:$E$1004))</f>
        <v/>
      </c>
      <c r="N316" s="25" t="str">
        <f aca="false">IF(OR(A316="",N(M316)=0),"",SUMPRODUCT(MAX((入金明細!$F$5:$F$1004=A316)*入金明細!$B$5:$B$1004)))</f>
        <v/>
      </c>
      <c r="O316" s="18"/>
      <c r="P316" s="27" t="str">
        <f aca="false">IF(OR(A316="",F316=""),"",F316-N(M316)-N(O316))</f>
        <v/>
      </c>
      <c r="Q316" s="26"/>
      <c r="R316" s="28" t="str">
        <f aca="false">IF(A316="","",IF(Q316="取消","取消",IF(T316&lt;&gt;"","要入力",IF(K316="","未送付",IF(P316=0,"入金済",IF(P316&lt;0,"過入金",IF(設定!$C$5&gt;I316,IF(N(M316)&gt;0,"一部入金・超過","期日超過"),IF(N(M316)&gt;0,"一部入金",IF(I316-設定!$C$5&lt;=設定!$C$6,"期日間近","入金待ち")))))))))</f>
        <v/>
      </c>
      <c r="S316" s="29" t="str">
        <f aca="false">IF(OR(R316="期日超過",R316="一部入金・超過"),設定!$C$5-I316,"")</f>
        <v/>
      </c>
      <c r="T316" s="21" t="str">
        <f aca="false">IF(A316="","",TRIM(IF(B316="","請求日 ","")&amp;IF(C316="","取引先 ",IF(D316="コード誤り","取引先コード誤り ",""))&amp;IF(E316="","件名 ","")&amp;IF(F316="","請求額 ","")&amp;IF(AND(F316&lt;&gt;"",I316=""),"入金期日(マスタの支払条件が未登録) ","")&amp;IF(J316="","送付方法 ","")&amp;IF(AND(K316&lt;&gt;"",L316=""),"送付者 ","")&amp;IF(AND(K316&lt;&gt;"",N(K316)&gt;設定!$C$5),"送付日が未来の日付 ","")&amp;IF(AND(K316&lt;&gt;"",N(M316)&gt;0,N(P316)&lt;=0,U316=""),"消込確認者 ","")))</f>
        <v/>
      </c>
      <c r="U316" s="26"/>
      <c r="V316" s="26"/>
    </row>
    <row r="317" customFormat="false" ht="15" hidden="false" customHeight="false" outlineLevel="0" collapsed="false">
      <c r="A317" s="21" t="str">
        <f aca="false">IF(COUNTA(B317,C317,E317,F317)=0,"",設定!$C$4&amp;TEXT(ROW()-4,"00000"))</f>
        <v/>
      </c>
      <c r="B317" s="22"/>
      <c r="C317" s="23"/>
      <c r="D317" s="21" t="str">
        <f aca="false">IF(C317="","",IFERROR(INDEX(取引先マスタ!$B$5:$B$204,MATCH(C317,取引先マスタ!$A$5:$A$204,0)),"コード誤り"))</f>
        <v/>
      </c>
      <c r="E317" s="26"/>
      <c r="F317" s="18"/>
      <c r="G317" s="25" t="str">
        <f aca="false">IF(OR(B317="",C317="",D317="コード誤り"),"",IFERROR(IF(OR(INDEX(取引先マスタ!$E$5:$E$204,MATCH(C317,取引先マスタ!$A$5:$A$204,0))="",INDEX(取引先マスタ!$F$5:$F$204,MATCH(C317,取引先マスタ!$A$5:$A$204,0))=""),"",DATE(YEAR(B317),MONTH(B317)+INDEX(取引先マスタ!$E$5:$E$204,MATCH(C317,取引先マスタ!$A$5:$A$204,0)),MIN(INDEX(取引先マスタ!$F$5:$F$204,MATCH(C317,取引先マスタ!$A$5:$A$204,0)),DAY(EOMONTH(B317,INDEX(取引先マスタ!$E$5:$E$204,MATCH(C317,取引先マスタ!$A$5:$A$204,0))))))),""))</f>
        <v/>
      </c>
      <c r="H317" s="22"/>
      <c r="I317" s="25" t="str">
        <f aca="false">IF(H317&lt;&gt;"",H317,G317)</f>
        <v/>
      </c>
      <c r="J317" s="26"/>
      <c r="K317" s="22"/>
      <c r="L317" s="26"/>
      <c r="M317" s="27" t="str">
        <f aca="false">IF(A317="","",SUMIF(入金明細!$F$5:$F$1004,A317,入金明細!$E$5:$E$1004))</f>
        <v/>
      </c>
      <c r="N317" s="25" t="str">
        <f aca="false">IF(OR(A317="",N(M317)=0),"",SUMPRODUCT(MAX((入金明細!$F$5:$F$1004=A317)*入金明細!$B$5:$B$1004)))</f>
        <v/>
      </c>
      <c r="O317" s="18"/>
      <c r="P317" s="27" t="str">
        <f aca="false">IF(OR(A317="",F317=""),"",F317-N(M317)-N(O317))</f>
        <v/>
      </c>
      <c r="Q317" s="26"/>
      <c r="R317" s="28" t="str">
        <f aca="false">IF(A317="","",IF(Q317="取消","取消",IF(T317&lt;&gt;"","要入力",IF(K317="","未送付",IF(P317=0,"入金済",IF(P317&lt;0,"過入金",IF(設定!$C$5&gt;I317,IF(N(M317)&gt;0,"一部入金・超過","期日超過"),IF(N(M317)&gt;0,"一部入金",IF(I317-設定!$C$5&lt;=設定!$C$6,"期日間近","入金待ち")))))))))</f>
        <v/>
      </c>
      <c r="S317" s="29" t="str">
        <f aca="false">IF(OR(R317="期日超過",R317="一部入金・超過"),設定!$C$5-I317,"")</f>
        <v/>
      </c>
      <c r="T317" s="21" t="str">
        <f aca="false">IF(A317="","",TRIM(IF(B317="","請求日 ","")&amp;IF(C317="","取引先 ",IF(D317="コード誤り","取引先コード誤り ",""))&amp;IF(E317="","件名 ","")&amp;IF(F317="","請求額 ","")&amp;IF(AND(F317&lt;&gt;"",I317=""),"入金期日(マスタの支払条件が未登録) ","")&amp;IF(J317="","送付方法 ","")&amp;IF(AND(K317&lt;&gt;"",L317=""),"送付者 ","")&amp;IF(AND(K317&lt;&gt;"",N(K317)&gt;設定!$C$5),"送付日が未来の日付 ","")&amp;IF(AND(K317&lt;&gt;"",N(M317)&gt;0,N(P317)&lt;=0,U317=""),"消込確認者 ","")))</f>
        <v/>
      </c>
      <c r="U317" s="26"/>
      <c r="V317" s="26"/>
    </row>
    <row r="318" customFormat="false" ht="15" hidden="false" customHeight="false" outlineLevel="0" collapsed="false">
      <c r="A318" s="21" t="str">
        <f aca="false">IF(COUNTA(B318,C318,E318,F318)=0,"",設定!$C$4&amp;TEXT(ROW()-4,"00000"))</f>
        <v/>
      </c>
      <c r="B318" s="22"/>
      <c r="C318" s="23"/>
      <c r="D318" s="21" t="str">
        <f aca="false">IF(C318="","",IFERROR(INDEX(取引先マスタ!$B$5:$B$204,MATCH(C318,取引先マスタ!$A$5:$A$204,0)),"コード誤り"))</f>
        <v/>
      </c>
      <c r="E318" s="26"/>
      <c r="F318" s="18"/>
      <c r="G318" s="25" t="str">
        <f aca="false">IF(OR(B318="",C318="",D318="コード誤り"),"",IFERROR(IF(OR(INDEX(取引先マスタ!$E$5:$E$204,MATCH(C318,取引先マスタ!$A$5:$A$204,0))="",INDEX(取引先マスタ!$F$5:$F$204,MATCH(C318,取引先マスタ!$A$5:$A$204,0))=""),"",DATE(YEAR(B318),MONTH(B318)+INDEX(取引先マスタ!$E$5:$E$204,MATCH(C318,取引先マスタ!$A$5:$A$204,0)),MIN(INDEX(取引先マスタ!$F$5:$F$204,MATCH(C318,取引先マスタ!$A$5:$A$204,0)),DAY(EOMONTH(B318,INDEX(取引先マスタ!$E$5:$E$204,MATCH(C318,取引先マスタ!$A$5:$A$204,0))))))),""))</f>
        <v/>
      </c>
      <c r="H318" s="22"/>
      <c r="I318" s="25" t="str">
        <f aca="false">IF(H318&lt;&gt;"",H318,G318)</f>
        <v/>
      </c>
      <c r="J318" s="26"/>
      <c r="K318" s="22"/>
      <c r="L318" s="26"/>
      <c r="M318" s="27" t="str">
        <f aca="false">IF(A318="","",SUMIF(入金明細!$F$5:$F$1004,A318,入金明細!$E$5:$E$1004))</f>
        <v/>
      </c>
      <c r="N318" s="25" t="str">
        <f aca="false">IF(OR(A318="",N(M318)=0),"",SUMPRODUCT(MAX((入金明細!$F$5:$F$1004=A318)*入金明細!$B$5:$B$1004)))</f>
        <v/>
      </c>
      <c r="O318" s="18"/>
      <c r="P318" s="27" t="str">
        <f aca="false">IF(OR(A318="",F318=""),"",F318-N(M318)-N(O318))</f>
        <v/>
      </c>
      <c r="Q318" s="26"/>
      <c r="R318" s="28" t="str">
        <f aca="false">IF(A318="","",IF(Q318="取消","取消",IF(T318&lt;&gt;"","要入力",IF(K318="","未送付",IF(P318=0,"入金済",IF(P318&lt;0,"過入金",IF(設定!$C$5&gt;I318,IF(N(M318)&gt;0,"一部入金・超過","期日超過"),IF(N(M318)&gt;0,"一部入金",IF(I318-設定!$C$5&lt;=設定!$C$6,"期日間近","入金待ち")))))))))</f>
        <v/>
      </c>
      <c r="S318" s="29" t="str">
        <f aca="false">IF(OR(R318="期日超過",R318="一部入金・超過"),設定!$C$5-I318,"")</f>
        <v/>
      </c>
      <c r="T318" s="21" t="str">
        <f aca="false">IF(A318="","",TRIM(IF(B318="","請求日 ","")&amp;IF(C318="","取引先 ",IF(D318="コード誤り","取引先コード誤り ",""))&amp;IF(E318="","件名 ","")&amp;IF(F318="","請求額 ","")&amp;IF(AND(F318&lt;&gt;"",I318=""),"入金期日(マスタの支払条件が未登録) ","")&amp;IF(J318="","送付方法 ","")&amp;IF(AND(K318&lt;&gt;"",L318=""),"送付者 ","")&amp;IF(AND(K318&lt;&gt;"",N(K318)&gt;設定!$C$5),"送付日が未来の日付 ","")&amp;IF(AND(K318&lt;&gt;"",N(M318)&gt;0,N(P318)&lt;=0,U318=""),"消込確認者 ","")))</f>
        <v/>
      </c>
      <c r="U318" s="26"/>
      <c r="V318" s="26"/>
    </row>
    <row r="319" customFormat="false" ht="15" hidden="false" customHeight="false" outlineLevel="0" collapsed="false">
      <c r="A319" s="21" t="str">
        <f aca="false">IF(COUNTA(B319,C319,E319,F319)=0,"",設定!$C$4&amp;TEXT(ROW()-4,"00000"))</f>
        <v/>
      </c>
      <c r="B319" s="22"/>
      <c r="C319" s="23"/>
      <c r="D319" s="21" t="str">
        <f aca="false">IF(C319="","",IFERROR(INDEX(取引先マスタ!$B$5:$B$204,MATCH(C319,取引先マスタ!$A$5:$A$204,0)),"コード誤り"))</f>
        <v/>
      </c>
      <c r="E319" s="26"/>
      <c r="F319" s="18"/>
      <c r="G319" s="25" t="str">
        <f aca="false">IF(OR(B319="",C319="",D319="コード誤り"),"",IFERROR(IF(OR(INDEX(取引先マスタ!$E$5:$E$204,MATCH(C319,取引先マスタ!$A$5:$A$204,0))="",INDEX(取引先マスタ!$F$5:$F$204,MATCH(C319,取引先マスタ!$A$5:$A$204,0))=""),"",DATE(YEAR(B319),MONTH(B319)+INDEX(取引先マスタ!$E$5:$E$204,MATCH(C319,取引先マスタ!$A$5:$A$204,0)),MIN(INDEX(取引先マスタ!$F$5:$F$204,MATCH(C319,取引先マスタ!$A$5:$A$204,0)),DAY(EOMONTH(B319,INDEX(取引先マスタ!$E$5:$E$204,MATCH(C319,取引先マスタ!$A$5:$A$204,0))))))),""))</f>
        <v/>
      </c>
      <c r="H319" s="22"/>
      <c r="I319" s="25" t="str">
        <f aca="false">IF(H319&lt;&gt;"",H319,G319)</f>
        <v/>
      </c>
      <c r="J319" s="26"/>
      <c r="K319" s="22"/>
      <c r="L319" s="26"/>
      <c r="M319" s="27" t="str">
        <f aca="false">IF(A319="","",SUMIF(入金明細!$F$5:$F$1004,A319,入金明細!$E$5:$E$1004))</f>
        <v/>
      </c>
      <c r="N319" s="25" t="str">
        <f aca="false">IF(OR(A319="",N(M319)=0),"",SUMPRODUCT(MAX((入金明細!$F$5:$F$1004=A319)*入金明細!$B$5:$B$1004)))</f>
        <v/>
      </c>
      <c r="O319" s="18"/>
      <c r="P319" s="27" t="str">
        <f aca="false">IF(OR(A319="",F319=""),"",F319-N(M319)-N(O319))</f>
        <v/>
      </c>
      <c r="Q319" s="26"/>
      <c r="R319" s="28" t="str">
        <f aca="false">IF(A319="","",IF(Q319="取消","取消",IF(T319&lt;&gt;"","要入力",IF(K319="","未送付",IF(P319=0,"入金済",IF(P319&lt;0,"過入金",IF(設定!$C$5&gt;I319,IF(N(M319)&gt;0,"一部入金・超過","期日超過"),IF(N(M319)&gt;0,"一部入金",IF(I319-設定!$C$5&lt;=設定!$C$6,"期日間近","入金待ち")))))))))</f>
        <v/>
      </c>
      <c r="S319" s="29" t="str">
        <f aca="false">IF(OR(R319="期日超過",R319="一部入金・超過"),設定!$C$5-I319,"")</f>
        <v/>
      </c>
      <c r="T319" s="21" t="str">
        <f aca="false">IF(A319="","",TRIM(IF(B319="","請求日 ","")&amp;IF(C319="","取引先 ",IF(D319="コード誤り","取引先コード誤り ",""))&amp;IF(E319="","件名 ","")&amp;IF(F319="","請求額 ","")&amp;IF(AND(F319&lt;&gt;"",I319=""),"入金期日(マスタの支払条件が未登録) ","")&amp;IF(J319="","送付方法 ","")&amp;IF(AND(K319&lt;&gt;"",L319=""),"送付者 ","")&amp;IF(AND(K319&lt;&gt;"",N(K319)&gt;設定!$C$5),"送付日が未来の日付 ","")&amp;IF(AND(K319&lt;&gt;"",N(M319)&gt;0,N(P319)&lt;=0,U319=""),"消込確認者 ","")))</f>
        <v/>
      </c>
      <c r="U319" s="26"/>
      <c r="V319" s="26"/>
    </row>
    <row r="320" customFormat="false" ht="15" hidden="false" customHeight="false" outlineLevel="0" collapsed="false">
      <c r="A320" s="21" t="str">
        <f aca="false">IF(COUNTA(B320,C320,E320,F320)=0,"",設定!$C$4&amp;TEXT(ROW()-4,"00000"))</f>
        <v/>
      </c>
      <c r="B320" s="22"/>
      <c r="C320" s="23"/>
      <c r="D320" s="21" t="str">
        <f aca="false">IF(C320="","",IFERROR(INDEX(取引先マスタ!$B$5:$B$204,MATCH(C320,取引先マスタ!$A$5:$A$204,0)),"コード誤り"))</f>
        <v/>
      </c>
      <c r="E320" s="26"/>
      <c r="F320" s="18"/>
      <c r="G320" s="25" t="str">
        <f aca="false">IF(OR(B320="",C320="",D320="コード誤り"),"",IFERROR(IF(OR(INDEX(取引先マスタ!$E$5:$E$204,MATCH(C320,取引先マスタ!$A$5:$A$204,0))="",INDEX(取引先マスタ!$F$5:$F$204,MATCH(C320,取引先マスタ!$A$5:$A$204,0))=""),"",DATE(YEAR(B320),MONTH(B320)+INDEX(取引先マスタ!$E$5:$E$204,MATCH(C320,取引先マスタ!$A$5:$A$204,0)),MIN(INDEX(取引先マスタ!$F$5:$F$204,MATCH(C320,取引先マスタ!$A$5:$A$204,0)),DAY(EOMONTH(B320,INDEX(取引先マスタ!$E$5:$E$204,MATCH(C320,取引先マスタ!$A$5:$A$204,0))))))),""))</f>
        <v/>
      </c>
      <c r="H320" s="22"/>
      <c r="I320" s="25" t="str">
        <f aca="false">IF(H320&lt;&gt;"",H320,G320)</f>
        <v/>
      </c>
      <c r="J320" s="26"/>
      <c r="K320" s="22"/>
      <c r="L320" s="26"/>
      <c r="M320" s="27" t="str">
        <f aca="false">IF(A320="","",SUMIF(入金明細!$F$5:$F$1004,A320,入金明細!$E$5:$E$1004))</f>
        <v/>
      </c>
      <c r="N320" s="25" t="str">
        <f aca="false">IF(OR(A320="",N(M320)=0),"",SUMPRODUCT(MAX((入金明細!$F$5:$F$1004=A320)*入金明細!$B$5:$B$1004)))</f>
        <v/>
      </c>
      <c r="O320" s="18"/>
      <c r="P320" s="27" t="str">
        <f aca="false">IF(OR(A320="",F320=""),"",F320-N(M320)-N(O320))</f>
        <v/>
      </c>
      <c r="Q320" s="26"/>
      <c r="R320" s="28" t="str">
        <f aca="false">IF(A320="","",IF(Q320="取消","取消",IF(T320&lt;&gt;"","要入力",IF(K320="","未送付",IF(P320=0,"入金済",IF(P320&lt;0,"過入金",IF(設定!$C$5&gt;I320,IF(N(M320)&gt;0,"一部入金・超過","期日超過"),IF(N(M320)&gt;0,"一部入金",IF(I320-設定!$C$5&lt;=設定!$C$6,"期日間近","入金待ち")))))))))</f>
        <v/>
      </c>
      <c r="S320" s="29" t="str">
        <f aca="false">IF(OR(R320="期日超過",R320="一部入金・超過"),設定!$C$5-I320,"")</f>
        <v/>
      </c>
      <c r="T320" s="21" t="str">
        <f aca="false">IF(A320="","",TRIM(IF(B320="","請求日 ","")&amp;IF(C320="","取引先 ",IF(D320="コード誤り","取引先コード誤り ",""))&amp;IF(E320="","件名 ","")&amp;IF(F320="","請求額 ","")&amp;IF(AND(F320&lt;&gt;"",I320=""),"入金期日(マスタの支払条件が未登録) ","")&amp;IF(J320="","送付方法 ","")&amp;IF(AND(K320&lt;&gt;"",L320=""),"送付者 ","")&amp;IF(AND(K320&lt;&gt;"",N(K320)&gt;設定!$C$5),"送付日が未来の日付 ","")&amp;IF(AND(K320&lt;&gt;"",N(M320)&gt;0,N(P320)&lt;=0,U320=""),"消込確認者 ","")))</f>
        <v/>
      </c>
      <c r="U320" s="26"/>
      <c r="V320" s="26"/>
    </row>
    <row r="321" customFormat="false" ht="15" hidden="false" customHeight="false" outlineLevel="0" collapsed="false">
      <c r="A321" s="21" t="str">
        <f aca="false">IF(COUNTA(B321,C321,E321,F321)=0,"",設定!$C$4&amp;TEXT(ROW()-4,"00000"))</f>
        <v/>
      </c>
      <c r="B321" s="22"/>
      <c r="C321" s="23"/>
      <c r="D321" s="21" t="str">
        <f aca="false">IF(C321="","",IFERROR(INDEX(取引先マスタ!$B$5:$B$204,MATCH(C321,取引先マスタ!$A$5:$A$204,0)),"コード誤り"))</f>
        <v/>
      </c>
      <c r="E321" s="26"/>
      <c r="F321" s="18"/>
      <c r="G321" s="25" t="str">
        <f aca="false">IF(OR(B321="",C321="",D321="コード誤り"),"",IFERROR(IF(OR(INDEX(取引先マスタ!$E$5:$E$204,MATCH(C321,取引先マスタ!$A$5:$A$204,0))="",INDEX(取引先マスタ!$F$5:$F$204,MATCH(C321,取引先マスタ!$A$5:$A$204,0))=""),"",DATE(YEAR(B321),MONTH(B321)+INDEX(取引先マスタ!$E$5:$E$204,MATCH(C321,取引先マスタ!$A$5:$A$204,0)),MIN(INDEX(取引先マスタ!$F$5:$F$204,MATCH(C321,取引先マスタ!$A$5:$A$204,0)),DAY(EOMONTH(B321,INDEX(取引先マスタ!$E$5:$E$204,MATCH(C321,取引先マスタ!$A$5:$A$204,0))))))),""))</f>
        <v/>
      </c>
      <c r="H321" s="22"/>
      <c r="I321" s="25" t="str">
        <f aca="false">IF(H321&lt;&gt;"",H321,G321)</f>
        <v/>
      </c>
      <c r="J321" s="26"/>
      <c r="K321" s="22"/>
      <c r="L321" s="26"/>
      <c r="M321" s="27" t="str">
        <f aca="false">IF(A321="","",SUMIF(入金明細!$F$5:$F$1004,A321,入金明細!$E$5:$E$1004))</f>
        <v/>
      </c>
      <c r="N321" s="25" t="str">
        <f aca="false">IF(OR(A321="",N(M321)=0),"",SUMPRODUCT(MAX((入金明細!$F$5:$F$1004=A321)*入金明細!$B$5:$B$1004)))</f>
        <v/>
      </c>
      <c r="O321" s="18"/>
      <c r="P321" s="27" t="str">
        <f aca="false">IF(OR(A321="",F321=""),"",F321-N(M321)-N(O321))</f>
        <v/>
      </c>
      <c r="Q321" s="26"/>
      <c r="R321" s="28" t="str">
        <f aca="false">IF(A321="","",IF(Q321="取消","取消",IF(T321&lt;&gt;"","要入力",IF(K321="","未送付",IF(P321=0,"入金済",IF(P321&lt;0,"過入金",IF(設定!$C$5&gt;I321,IF(N(M321)&gt;0,"一部入金・超過","期日超過"),IF(N(M321)&gt;0,"一部入金",IF(I321-設定!$C$5&lt;=設定!$C$6,"期日間近","入金待ち")))))))))</f>
        <v/>
      </c>
      <c r="S321" s="29" t="str">
        <f aca="false">IF(OR(R321="期日超過",R321="一部入金・超過"),設定!$C$5-I321,"")</f>
        <v/>
      </c>
      <c r="T321" s="21" t="str">
        <f aca="false">IF(A321="","",TRIM(IF(B321="","請求日 ","")&amp;IF(C321="","取引先 ",IF(D321="コード誤り","取引先コード誤り ",""))&amp;IF(E321="","件名 ","")&amp;IF(F321="","請求額 ","")&amp;IF(AND(F321&lt;&gt;"",I321=""),"入金期日(マスタの支払条件が未登録) ","")&amp;IF(J321="","送付方法 ","")&amp;IF(AND(K321&lt;&gt;"",L321=""),"送付者 ","")&amp;IF(AND(K321&lt;&gt;"",N(K321)&gt;設定!$C$5),"送付日が未来の日付 ","")&amp;IF(AND(K321&lt;&gt;"",N(M321)&gt;0,N(P321)&lt;=0,U321=""),"消込確認者 ","")))</f>
        <v/>
      </c>
      <c r="U321" s="26"/>
      <c r="V321" s="26"/>
    </row>
    <row r="322" customFormat="false" ht="15" hidden="false" customHeight="false" outlineLevel="0" collapsed="false">
      <c r="A322" s="21" t="str">
        <f aca="false">IF(COUNTA(B322,C322,E322,F322)=0,"",設定!$C$4&amp;TEXT(ROW()-4,"00000"))</f>
        <v/>
      </c>
      <c r="B322" s="22"/>
      <c r="C322" s="23"/>
      <c r="D322" s="21" t="str">
        <f aca="false">IF(C322="","",IFERROR(INDEX(取引先マスタ!$B$5:$B$204,MATCH(C322,取引先マスタ!$A$5:$A$204,0)),"コード誤り"))</f>
        <v/>
      </c>
      <c r="E322" s="26"/>
      <c r="F322" s="18"/>
      <c r="G322" s="25" t="str">
        <f aca="false">IF(OR(B322="",C322="",D322="コード誤り"),"",IFERROR(IF(OR(INDEX(取引先マスタ!$E$5:$E$204,MATCH(C322,取引先マスタ!$A$5:$A$204,0))="",INDEX(取引先マスタ!$F$5:$F$204,MATCH(C322,取引先マスタ!$A$5:$A$204,0))=""),"",DATE(YEAR(B322),MONTH(B322)+INDEX(取引先マスタ!$E$5:$E$204,MATCH(C322,取引先マスタ!$A$5:$A$204,0)),MIN(INDEX(取引先マスタ!$F$5:$F$204,MATCH(C322,取引先マスタ!$A$5:$A$204,0)),DAY(EOMONTH(B322,INDEX(取引先マスタ!$E$5:$E$204,MATCH(C322,取引先マスタ!$A$5:$A$204,0))))))),""))</f>
        <v/>
      </c>
      <c r="H322" s="22"/>
      <c r="I322" s="25" t="str">
        <f aca="false">IF(H322&lt;&gt;"",H322,G322)</f>
        <v/>
      </c>
      <c r="J322" s="26"/>
      <c r="K322" s="22"/>
      <c r="L322" s="26"/>
      <c r="M322" s="27" t="str">
        <f aca="false">IF(A322="","",SUMIF(入金明細!$F$5:$F$1004,A322,入金明細!$E$5:$E$1004))</f>
        <v/>
      </c>
      <c r="N322" s="25" t="str">
        <f aca="false">IF(OR(A322="",N(M322)=0),"",SUMPRODUCT(MAX((入金明細!$F$5:$F$1004=A322)*入金明細!$B$5:$B$1004)))</f>
        <v/>
      </c>
      <c r="O322" s="18"/>
      <c r="P322" s="27" t="str">
        <f aca="false">IF(OR(A322="",F322=""),"",F322-N(M322)-N(O322))</f>
        <v/>
      </c>
      <c r="Q322" s="26"/>
      <c r="R322" s="28" t="str">
        <f aca="false">IF(A322="","",IF(Q322="取消","取消",IF(T322&lt;&gt;"","要入力",IF(K322="","未送付",IF(P322=0,"入金済",IF(P322&lt;0,"過入金",IF(設定!$C$5&gt;I322,IF(N(M322)&gt;0,"一部入金・超過","期日超過"),IF(N(M322)&gt;0,"一部入金",IF(I322-設定!$C$5&lt;=設定!$C$6,"期日間近","入金待ち")))))))))</f>
        <v/>
      </c>
      <c r="S322" s="29" t="str">
        <f aca="false">IF(OR(R322="期日超過",R322="一部入金・超過"),設定!$C$5-I322,"")</f>
        <v/>
      </c>
      <c r="T322" s="21" t="str">
        <f aca="false">IF(A322="","",TRIM(IF(B322="","請求日 ","")&amp;IF(C322="","取引先 ",IF(D322="コード誤り","取引先コード誤り ",""))&amp;IF(E322="","件名 ","")&amp;IF(F322="","請求額 ","")&amp;IF(AND(F322&lt;&gt;"",I322=""),"入金期日(マスタの支払条件が未登録) ","")&amp;IF(J322="","送付方法 ","")&amp;IF(AND(K322&lt;&gt;"",L322=""),"送付者 ","")&amp;IF(AND(K322&lt;&gt;"",N(K322)&gt;設定!$C$5),"送付日が未来の日付 ","")&amp;IF(AND(K322&lt;&gt;"",N(M322)&gt;0,N(P322)&lt;=0,U322=""),"消込確認者 ","")))</f>
        <v/>
      </c>
      <c r="U322" s="26"/>
      <c r="V322" s="26"/>
    </row>
    <row r="323" customFormat="false" ht="15" hidden="false" customHeight="false" outlineLevel="0" collapsed="false">
      <c r="A323" s="21" t="str">
        <f aca="false">IF(COUNTA(B323,C323,E323,F323)=0,"",設定!$C$4&amp;TEXT(ROW()-4,"00000"))</f>
        <v/>
      </c>
      <c r="B323" s="22"/>
      <c r="C323" s="23"/>
      <c r="D323" s="21" t="str">
        <f aca="false">IF(C323="","",IFERROR(INDEX(取引先マスタ!$B$5:$B$204,MATCH(C323,取引先マスタ!$A$5:$A$204,0)),"コード誤り"))</f>
        <v/>
      </c>
      <c r="E323" s="26"/>
      <c r="F323" s="18"/>
      <c r="G323" s="25" t="str">
        <f aca="false">IF(OR(B323="",C323="",D323="コード誤り"),"",IFERROR(IF(OR(INDEX(取引先マスタ!$E$5:$E$204,MATCH(C323,取引先マスタ!$A$5:$A$204,0))="",INDEX(取引先マスタ!$F$5:$F$204,MATCH(C323,取引先マスタ!$A$5:$A$204,0))=""),"",DATE(YEAR(B323),MONTH(B323)+INDEX(取引先マスタ!$E$5:$E$204,MATCH(C323,取引先マスタ!$A$5:$A$204,0)),MIN(INDEX(取引先マスタ!$F$5:$F$204,MATCH(C323,取引先マスタ!$A$5:$A$204,0)),DAY(EOMONTH(B323,INDEX(取引先マスタ!$E$5:$E$204,MATCH(C323,取引先マスタ!$A$5:$A$204,0))))))),""))</f>
        <v/>
      </c>
      <c r="H323" s="22"/>
      <c r="I323" s="25" t="str">
        <f aca="false">IF(H323&lt;&gt;"",H323,G323)</f>
        <v/>
      </c>
      <c r="J323" s="26"/>
      <c r="K323" s="22"/>
      <c r="L323" s="26"/>
      <c r="M323" s="27" t="str">
        <f aca="false">IF(A323="","",SUMIF(入金明細!$F$5:$F$1004,A323,入金明細!$E$5:$E$1004))</f>
        <v/>
      </c>
      <c r="N323" s="25" t="str">
        <f aca="false">IF(OR(A323="",N(M323)=0),"",SUMPRODUCT(MAX((入金明細!$F$5:$F$1004=A323)*入金明細!$B$5:$B$1004)))</f>
        <v/>
      </c>
      <c r="O323" s="18"/>
      <c r="P323" s="27" t="str">
        <f aca="false">IF(OR(A323="",F323=""),"",F323-N(M323)-N(O323))</f>
        <v/>
      </c>
      <c r="Q323" s="26"/>
      <c r="R323" s="28" t="str">
        <f aca="false">IF(A323="","",IF(Q323="取消","取消",IF(T323&lt;&gt;"","要入力",IF(K323="","未送付",IF(P323=0,"入金済",IF(P323&lt;0,"過入金",IF(設定!$C$5&gt;I323,IF(N(M323)&gt;0,"一部入金・超過","期日超過"),IF(N(M323)&gt;0,"一部入金",IF(I323-設定!$C$5&lt;=設定!$C$6,"期日間近","入金待ち")))))))))</f>
        <v/>
      </c>
      <c r="S323" s="29" t="str">
        <f aca="false">IF(OR(R323="期日超過",R323="一部入金・超過"),設定!$C$5-I323,"")</f>
        <v/>
      </c>
      <c r="T323" s="21" t="str">
        <f aca="false">IF(A323="","",TRIM(IF(B323="","請求日 ","")&amp;IF(C323="","取引先 ",IF(D323="コード誤り","取引先コード誤り ",""))&amp;IF(E323="","件名 ","")&amp;IF(F323="","請求額 ","")&amp;IF(AND(F323&lt;&gt;"",I323=""),"入金期日(マスタの支払条件が未登録) ","")&amp;IF(J323="","送付方法 ","")&amp;IF(AND(K323&lt;&gt;"",L323=""),"送付者 ","")&amp;IF(AND(K323&lt;&gt;"",N(K323)&gt;設定!$C$5),"送付日が未来の日付 ","")&amp;IF(AND(K323&lt;&gt;"",N(M323)&gt;0,N(P323)&lt;=0,U323=""),"消込確認者 ","")))</f>
        <v/>
      </c>
      <c r="U323" s="26"/>
      <c r="V323" s="26"/>
    </row>
    <row r="324" customFormat="false" ht="15" hidden="false" customHeight="false" outlineLevel="0" collapsed="false">
      <c r="A324" s="21" t="str">
        <f aca="false">IF(COUNTA(B324,C324,E324,F324)=0,"",設定!$C$4&amp;TEXT(ROW()-4,"00000"))</f>
        <v/>
      </c>
      <c r="B324" s="22"/>
      <c r="C324" s="23"/>
      <c r="D324" s="21" t="str">
        <f aca="false">IF(C324="","",IFERROR(INDEX(取引先マスタ!$B$5:$B$204,MATCH(C324,取引先マスタ!$A$5:$A$204,0)),"コード誤り"))</f>
        <v/>
      </c>
      <c r="E324" s="26"/>
      <c r="F324" s="18"/>
      <c r="G324" s="25" t="str">
        <f aca="false">IF(OR(B324="",C324="",D324="コード誤り"),"",IFERROR(IF(OR(INDEX(取引先マスタ!$E$5:$E$204,MATCH(C324,取引先マスタ!$A$5:$A$204,0))="",INDEX(取引先マスタ!$F$5:$F$204,MATCH(C324,取引先マスタ!$A$5:$A$204,0))=""),"",DATE(YEAR(B324),MONTH(B324)+INDEX(取引先マスタ!$E$5:$E$204,MATCH(C324,取引先マスタ!$A$5:$A$204,0)),MIN(INDEX(取引先マスタ!$F$5:$F$204,MATCH(C324,取引先マスタ!$A$5:$A$204,0)),DAY(EOMONTH(B324,INDEX(取引先マスタ!$E$5:$E$204,MATCH(C324,取引先マスタ!$A$5:$A$204,0))))))),""))</f>
        <v/>
      </c>
      <c r="H324" s="22"/>
      <c r="I324" s="25" t="str">
        <f aca="false">IF(H324&lt;&gt;"",H324,G324)</f>
        <v/>
      </c>
      <c r="J324" s="26"/>
      <c r="K324" s="22"/>
      <c r="L324" s="26"/>
      <c r="M324" s="27" t="str">
        <f aca="false">IF(A324="","",SUMIF(入金明細!$F$5:$F$1004,A324,入金明細!$E$5:$E$1004))</f>
        <v/>
      </c>
      <c r="N324" s="25" t="str">
        <f aca="false">IF(OR(A324="",N(M324)=0),"",SUMPRODUCT(MAX((入金明細!$F$5:$F$1004=A324)*入金明細!$B$5:$B$1004)))</f>
        <v/>
      </c>
      <c r="O324" s="18"/>
      <c r="P324" s="27" t="str">
        <f aca="false">IF(OR(A324="",F324=""),"",F324-N(M324)-N(O324))</f>
        <v/>
      </c>
      <c r="Q324" s="26"/>
      <c r="R324" s="28" t="str">
        <f aca="false">IF(A324="","",IF(Q324="取消","取消",IF(T324&lt;&gt;"","要入力",IF(K324="","未送付",IF(P324=0,"入金済",IF(P324&lt;0,"過入金",IF(設定!$C$5&gt;I324,IF(N(M324)&gt;0,"一部入金・超過","期日超過"),IF(N(M324)&gt;0,"一部入金",IF(I324-設定!$C$5&lt;=設定!$C$6,"期日間近","入金待ち")))))))))</f>
        <v/>
      </c>
      <c r="S324" s="29" t="str">
        <f aca="false">IF(OR(R324="期日超過",R324="一部入金・超過"),設定!$C$5-I324,"")</f>
        <v/>
      </c>
      <c r="T324" s="21" t="str">
        <f aca="false">IF(A324="","",TRIM(IF(B324="","請求日 ","")&amp;IF(C324="","取引先 ",IF(D324="コード誤り","取引先コード誤り ",""))&amp;IF(E324="","件名 ","")&amp;IF(F324="","請求額 ","")&amp;IF(AND(F324&lt;&gt;"",I324=""),"入金期日(マスタの支払条件が未登録) ","")&amp;IF(J324="","送付方法 ","")&amp;IF(AND(K324&lt;&gt;"",L324=""),"送付者 ","")&amp;IF(AND(K324&lt;&gt;"",N(K324)&gt;設定!$C$5),"送付日が未来の日付 ","")&amp;IF(AND(K324&lt;&gt;"",N(M324)&gt;0,N(P324)&lt;=0,U324=""),"消込確認者 ","")))</f>
        <v/>
      </c>
      <c r="U324" s="26"/>
      <c r="V324" s="26"/>
    </row>
    <row r="325" customFormat="false" ht="15" hidden="false" customHeight="false" outlineLevel="0" collapsed="false">
      <c r="A325" s="21" t="str">
        <f aca="false">IF(COUNTA(B325,C325,E325,F325)=0,"",設定!$C$4&amp;TEXT(ROW()-4,"00000"))</f>
        <v/>
      </c>
      <c r="B325" s="22"/>
      <c r="C325" s="23"/>
      <c r="D325" s="21" t="str">
        <f aca="false">IF(C325="","",IFERROR(INDEX(取引先マスタ!$B$5:$B$204,MATCH(C325,取引先マスタ!$A$5:$A$204,0)),"コード誤り"))</f>
        <v/>
      </c>
      <c r="E325" s="26"/>
      <c r="F325" s="18"/>
      <c r="G325" s="25" t="str">
        <f aca="false">IF(OR(B325="",C325="",D325="コード誤り"),"",IFERROR(IF(OR(INDEX(取引先マスタ!$E$5:$E$204,MATCH(C325,取引先マスタ!$A$5:$A$204,0))="",INDEX(取引先マスタ!$F$5:$F$204,MATCH(C325,取引先マスタ!$A$5:$A$204,0))=""),"",DATE(YEAR(B325),MONTH(B325)+INDEX(取引先マスタ!$E$5:$E$204,MATCH(C325,取引先マスタ!$A$5:$A$204,0)),MIN(INDEX(取引先マスタ!$F$5:$F$204,MATCH(C325,取引先マスタ!$A$5:$A$204,0)),DAY(EOMONTH(B325,INDEX(取引先マスタ!$E$5:$E$204,MATCH(C325,取引先マスタ!$A$5:$A$204,0))))))),""))</f>
        <v/>
      </c>
      <c r="H325" s="22"/>
      <c r="I325" s="25" t="str">
        <f aca="false">IF(H325&lt;&gt;"",H325,G325)</f>
        <v/>
      </c>
      <c r="J325" s="26"/>
      <c r="K325" s="22"/>
      <c r="L325" s="26"/>
      <c r="M325" s="27" t="str">
        <f aca="false">IF(A325="","",SUMIF(入金明細!$F$5:$F$1004,A325,入金明細!$E$5:$E$1004))</f>
        <v/>
      </c>
      <c r="N325" s="25" t="str">
        <f aca="false">IF(OR(A325="",N(M325)=0),"",SUMPRODUCT(MAX((入金明細!$F$5:$F$1004=A325)*入金明細!$B$5:$B$1004)))</f>
        <v/>
      </c>
      <c r="O325" s="18"/>
      <c r="P325" s="27" t="str">
        <f aca="false">IF(OR(A325="",F325=""),"",F325-N(M325)-N(O325))</f>
        <v/>
      </c>
      <c r="Q325" s="26"/>
      <c r="R325" s="28" t="str">
        <f aca="false">IF(A325="","",IF(Q325="取消","取消",IF(T325&lt;&gt;"","要入力",IF(K325="","未送付",IF(P325=0,"入金済",IF(P325&lt;0,"過入金",IF(設定!$C$5&gt;I325,IF(N(M325)&gt;0,"一部入金・超過","期日超過"),IF(N(M325)&gt;0,"一部入金",IF(I325-設定!$C$5&lt;=設定!$C$6,"期日間近","入金待ち")))))))))</f>
        <v/>
      </c>
      <c r="S325" s="29" t="str">
        <f aca="false">IF(OR(R325="期日超過",R325="一部入金・超過"),設定!$C$5-I325,"")</f>
        <v/>
      </c>
      <c r="T325" s="21" t="str">
        <f aca="false">IF(A325="","",TRIM(IF(B325="","請求日 ","")&amp;IF(C325="","取引先 ",IF(D325="コード誤り","取引先コード誤り ",""))&amp;IF(E325="","件名 ","")&amp;IF(F325="","請求額 ","")&amp;IF(AND(F325&lt;&gt;"",I325=""),"入金期日(マスタの支払条件が未登録) ","")&amp;IF(J325="","送付方法 ","")&amp;IF(AND(K325&lt;&gt;"",L325=""),"送付者 ","")&amp;IF(AND(K325&lt;&gt;"",N(K325)&gt;設定!$C$5),"送付日が未来の日付 ","")&amp;IF(AND(K325&lt;&gt;"",N(M325)&gt;0,N(P325)&lt;=0,U325=""),"消込確認者 ","")))</f>
        <v/>
      </c>
      <c r="U325" s="26"/>
      <c r="V325" s="26"/>
    </row>
    <row r="326" customFormat="false" ht="15" hidden="false" customHeight="false" outlineLevel="0" collapsed="false">
      <c r="A326" s="21" t="str">
        <f aca="false">IF(COUNTA(B326,C326,E326,F326)=0,"",設定!$C$4&amp;TEXT(ROW()-4,"00000"))</f>
        <v/>
      </c>
      <c r="B326" s="22"/>
      <c r="C326" s="23"/>
      <c r="D326" s="21" t="str">
        <f aca="false">IF(C326="","",IFERROR(INDEX(取引先マスタ!$B$5:$B$204,MATCH(C326,取引先マスタ!$A$5:$A$204,0)),"コード誤り"))</f>
        <v/>
      </c>
      <c r="E326" s="26"/>
      <c r="F326" s="18"/>
      <c r="G326" s="25" t="str">
        <f aca="false">IF(OR(B326="",C326="",D326="コード誤り"),"",IFERROR(IF(OR(INDEX(取引先マスタ!$E$5:$E$204,MATCH(C326,取引先マスタ!$A$5:$A$204,0))="",INDEX(取引先マスタ!$F$5:$F$204,MATCH(C326,取引先マスタ!$A$5:$A$204,0))=""),"",DATE(YEAR(B326),MONTH(B326)+INDEX(取引先マスタ!$E$5:$E$204,MATCH(C326,取引先マスタ!$A$5:$A$204,0)),MIN(INDEX(取引先マスタ!$F$5:$F$204,MATCH(C326,取引先マスタ!$A$5:$A$204,0)),DAY(EOMONTH(B326,INDEX(取引先マスタ!$E$5:$E$204,MATCH(C326,取引先マスタ!$A$5:$A$204,0))))))),""))</f>
        <v/>
      </c>
      <c r="H326" s="22"/>
      <c r="I326" s="25" t="str">
        <f aca="false">IF(H326&lt;&gt;"",H326,G326)</f>
        <v/>
      </c>
      <c r="J326" s="26"/>
      <c r="K326" s="22"/>
      <c r="L326" s="26"/>
      <c r="M326" s="27" t="str">
        <f aca="false">IF(A326="","",SUMIF(入金明細!$F$5:$F$1004,A326,入金明細!$E$5:$E$1004))</f>
        <v/>
      </c>
      <c r="N326" s="25" t="str">
        <f aca="false">IF(OR(A326="",N(M326)=0),"",SUMPRODUCT(MAX((入金明細!$F$5:$F$1004=A326)*入金明細!$B$5:$B$1004)))</f>
        <v/>
      </c>
      <c r="O326" s="18"/>
      <c r="P326" s="27" t="str">
        <f aca="false">IF(OR(A326="",F326=""),"",F326-N(M326)-N(O326))</f>
        <v/>
      </c>
      <c r="Q326" s="26"/>
      <c r="R326" s="28" t="str">
        <f aca="false">IF(A326="","",IF(Q326="取消","取消",IF(T326&lt;&gt;"","要入力",IF(K326="","未送付",IF(P326=0,"入金済",IF(P326&lt;0,"過入金",IF(設定!$C$5&gt;I326,IF(N(M326)&gt;0,"一部入金・超過","期日超過"),IF(N(M326)&gt;0,"一部入金",IF(I326-設定!$C$5&lt;=設定!$C$6,"期日間近","入金待ち")))))))))</f>
        <v/>
      </c>
      <c r="S326" s="29" t="str">
        <f aca="false">IF(OR(R326="期日超過",R326="一部入金・超過"),設定!$C$5-I326,"")</f>
        <v/>
      </c>
      <c r="T326" s="21" t="str">
        <f aca="false">IF(A326="","",TRIM(IF(B326="","請求日 ","")&amp;IF(C326="","取引先 ",IF(D326="コード誤り","取引先コード誤り ",""))&amp;IF(E326="","件名 ","")&amp;IF(F326="","請求額 ","")&amp;IF(AND(F326&lt;&gt;"",I326=""),"入金期日(マスタの支払条件が未登録) ","")&amp;IF(J326="","送付方法 ","")&amp;IF(AND(K326&lt;&gt;"",L326=""),"送付者 ","")&amp;IF(AND(K326&lt;&gt;"",N(K326)&gt;設定!$C$5),"送付日が未来の日付 ","")&amp;IF(AND(K326&lt;&gt;"",N(M326)&gt;0,N(P326)&lt;=0,U326=""),"消込確認者 ","")))</f>
        <v/>
      </c>
      <c r="U326" s="26"/>
      <c r="V326" s="26"/>
    </row>
    <row r="327" customFormat="false" ht="15" hidden="false" customHeight="false" outlineLevel="0" collapsed="false">
      <c r="A327" s="21" t="str">
        <f aca="false">IF(COUNTA(B327,C327,E327,F327)=0,"",設定!$C$4&amp;TEXT(ROW()-4,"00000"))</f>
        <v/>
      </c>
      <c r="B327" s="22"/>
      <c r="C327" s="23"/>
      <c r="D327" s="21" t="str">
        <f aca="false">IF(C327="","",IFERROR(INDEX(取引先マスタ!$B$5:$B$204,MATCH(C327,取引先マスタ!$A$5:$A$204,0)),"コード誤り"))</f>
        <v/>
      </c>
      <c r="E327" s="26"/>
      <c r="F327" s="18"/>
      <c r="G327" s="25" t="str">
        <f aca="false">IF(OR(B327="",C327="",D327="コード誤り"),"",IFERROR(IF(OR(INDEX(取引先マスタ!$E$5:$E$204,MATCH(C327,取引先マスタ!$A$5:$A$204,0))="",INDEX(取引先マスタ!$F$5:$F$204,MATCH(C327,取引先マスタ!$A$5:$A$204,0))=""),"",DATE(YEAR(B327),MONTH(B327)+INDEX(取引先マスタ!$E$5:$E$204,MATCH(C327,取引先マスタ!$A$5:$A$204,0)),MIN(INDEX(取引先マスタ!$F$5:$F$204,MATCH(C327,取引先マスタ!$A$5:$A$204,0)),DAY(EOMONTH(B327,INDEX(取引先マスタ!$E$5:$E$204,MATCH(C327,取引先マスタ!$A$5:$A$204,0))))))),""))</f>
        <v/>
      </c>
      <c r="H327" s="22"/>
      <c r="I327" s="25" t="str">
        <f aca="false">IF(H327&lt;&gt;"",H327,G327)</f>
        <v/>
      </c>
      <c r="J327" s="26"/>
      <c r="K327" s="22"/>
      <c r="L327" s="26"/>
      <c r="M327" s="27" t="str">
        <f aca="false">IF(A327="","",SUMIF(入金明細!$F$5:$F$1004,A327,入金明細!$E$5:$E$1004))</f>
        <v/>
      </c>
      <c r="N327" s="25" t="str">
        <f aca="false">IF(OR(A327="",N(M327)=0),"",SUMPRODUCT(MAX((入金明細!$F$5:$F$1004=A327)*入金明細!$B$5:$B$1004)))</f>
        <v/>
      </c>
      <c r="O327" s="18"/>
      <c r="P327" s="27" t="str">
        <f aca="false">IF(OR(A327="",F327=""),"",F327-N(M327)-N(O327))</f>
        <v/>
      </c>
      <c r="Q327" s="26"/>
      <c r="R327" s="28" t="str">
        <f aca="false">IF(A327="","",IF(Q327="取消","取消",IF(T327&lt;&gt;"","要入力",IF(K327="","未送付",IF(P327=0,"入金済",IF(P327&lt;0,"過入金",IF(設定!$C$5&gt;I327,IF(N(M327)&gt;0,"一部入金・超過","期日超過"),IF(N(M327)&gt;0,"一部入金",IF(I327-設定!$C$5&lt;=設定!$C$6,"期日間近","入金待ち")))))))))</f>
        <v/>
      </c>
      <c r="S327" s="29" t="str">
        <f aca="false">IF(OR(R327="期日超過",R327="一部入金・超過"),設定!$C$5-I327,"")</f>
        <v/>
      </c>
      <c r="T327" s="21" t="str">
        <f aca="false">IF(A327="","",TRIM(IF(B327="","請求日 ","")&amp;IF(C327="","取引先 ",IF(D327="コード誤り","取引先コード誤り ",""))&amp;IF(E327="","件名 ","")&amp;IF(F327="","請求額 ","")&amp;IF(AND(F327&lt;&gt;"",I327=""),"入金期日(マスタの支払条件が未登録) ","")&amp;IF(J327="","送付方法 ","")&amp;IF(AND(K327&lt;&gt;"",L327=""),"送付者 ","")&amp;IF(AND(K327&lt;&gt;"",N(K327)&gt;設定!$C$5),"送付日が未来の日付 ","")&amp;IF(AND(K327&lt;&gt;"",N(M327)&gt;0,N(P327)&lt;=0,U327=""),"消込確認者 ","")))</f>
        <v/>
      </c>
      <c r="U327" s="26"/>
      <c r="V327" s="26"/>
    </row>
    <row r="328" customFormat="false" ht="15" hidden="false" customHeight="false" outlineLevel="0" collapsed="false">
      <c r="A328" s="21" t="str">
        <f aca="false">IF(COUNTA(B328,C328,E328,F328)=0,"",設定!$C$4&amp;TEXT(ROW()-4,"00000"))</f>
        <v/>
      </c>
      <c r="B328" s="22"/>
      <c r="C328" s="23"/>
      <c r="D328" s="21" t="str">
        <f aca="false">IF(C328="","",IFERROR(INDEX(取引先マスタ!$B$5:$B$204,MATCH(C328,取引先マスタ!$A$5:$A$204,0)),"コード誤り"))</f>
        <v/>
      </c>
      <c r="E328" s="26"/>
      <c r="F328" s="18"/>
      <c r="G328" s="25" t="str">
        <f aca="false">IF(OR(B328="",C328="",D328="コード誤り"),"",IFERROR(IF(OR(INDEX(取引先マスタ!$E$5:$E$204,MATCH(C328,取引先マスタ!$A$5:$A$204,0))="",INDEX(取引先マスタ!$F$5:$F$204,MATCH(C328,取引先マスタ!$A$5:$A$204,0))=""),"",DATE(YEAR(B328),MONTH(B328)+INDEX(取引先マスタ!$E$5:$E$204,MATCH(C328,取引先マスタ!$A$5:$A$204,0)),MIN(INDEX(取引先マスタ!$F$5:$F$204,MATCH(C328,取引先マスタ!$A$5:$A$204,0)),DAY(EOMONTH(B328,INDEX(取引先マスタ!$E$5:$E$204,MATCH(C328,取引先マスタ!$A$5:$A$204,0))))))),""))</f>
        <v/>
      </c>
      <c r="H328" s="22"/>
      <c r="I328" s="25" t="str">
        <f aca="false">IF(H328&lt;&gt;"",H328,G328)</f>
        <v/>
      </c>
      <c r="J328" s="26"/>
      <c r="K328" s="22"/>
      <c r="L328" s="26"/>
      <c r="M328" s="27" t="str">
        <f aca="false">IF(A328="","",SUMIF(入金明細!$F$5:$F$1004,A328,入金明細!$E$5:$E$1004))</f>
        <v/>
      </c>
      <c r="N328" s="25" t="str">
        <f aca="false">IF(OR(A328="",N(M328)=0),"",SUMPRODUCT(MAX((入金明細!$F$5:$F$1004=A328)*入金明細!$B$5:$B$1004)))</f>
        <v/>
      </c>
      <c r="O328" s="18"/>
      <c r="P328" s="27" t="str">
        <f aca="false">IF(OR(A328="",F328=""),"",F328-N(M328)-N(O328))</f>
        <v/>
      </c>
      <c r="Q328" s="26"/>
      <c r="R328" s="28" t="str">
        <f aca="false">IF(A328="","",IF(Q328="取消","取消",IF(T328&lt;&gt;"","要入力",IF(K328="","未送付",IF(P328=0,"入金済",IF(P328&lt;0,"過入金",IF(設定!$C$5&gt;I328,IF(N(M328)&gt;0,"一部入金・超過","期日超過"),IF(N(M328)&gt;0,"一部入金",IF(I328-設定!$C$5&lt;=設定!$C$6,"期日間近","入金待ち")))))))))</f>
        <v/>
      </c>
      <c r="S328" s="29" t="str">
        <f aca="false">IF(OR(R328="期日超過",R328="一部入金・超過"),設定!$C$5-I328,"")</f>
        <v/>
      </c>
      <c r="T328" s="21" t="str">
        <f aca="false">IF(A328="","",TRIM(IF(B328="","請求日 ","")&amp;IF(C328="","取引先 ",IF(D328="コード誤り","取引先コード誤り ",""))&amp;IF(E328="","件名 ","")&amp;IF(F328="","請求額 ","")&amp;IF(AND(F328&lt;&gt;"",I328=""),"入金期日(マスタの支払条件が未登録) ","")&amp;IF(J328="","送付方法 ","")&amp;IF(AND(K328&lt;&gt;"",L328=""),"送付者 ","")&amp;IF(AND(K328&lt;&gt;"",N(K328)&gt;設定!$C$5),"送付日が未来の日付 ","")&amp;IF(AND(K328&lt;&gt;"",N(M328)&gt;0,N(P328)&lt;=0,U328=""),"消込確認者 ","")))</f>
        <v/>
      </c>
      <c r="U328" s="26"/>
      <c r="V328" s="26"/>
    </row>
    <row r="329" customFormat="false" ht="15" hidden="false" customHeight="false" outlineLevel="0" collapsed="false">
      <c r="A329" s="21" t="str">
        <f aca="false">IF(COUNTA(B329,C329,E329,F329)=0,"",設定!$C$4&amp;TEXT(ROW()-4,"00000"))</f>
        <v/>
      </c>
      <c r="B329" s="22"/>
      <c r="C329" s="23"/>
      <c r="D329" s="21" t="str">
        <f aca="false">IF(C329="","",IFERROR(INDEX(取引先マスタ!$B$5:$B$204,MATCH(C329,取引先マスタ!$A$5:$A$204,0)),"コード誤り"))</f>
        <v/>
      </c>
      <c r="E329" s="26"/>
      <c r="F329" s="18"/>
      <c r="G329" s="25" t="str">
        <f aca="false">IF(OR(B329="",C329="",D329="コード誤り"),"",IFERROR(IF(OR(INDEX(取引先マスタ!$E$5:$E$204,MATCH(C329,取引先マスタ!$A$5:$A$204,0))="",INDEX(取引先マスタ!$F$5:$F$204,MATCH(C329,取引先マスタ!$A$5:$A$204,0))=""),"",DATE(YEAR(B329),MONTH(B329)+INDEX(取引先マスタ!$E$5:$E$204,MATCH(C329,取引先マスタ!$A$5:$A$204,0)),MIN(INDEX(取引先マスタ!$F$5:$F$204,MATCH(C329,取引先マスタ!$A$5:$A$204,0)),DAY(EOMONTH(B329,INDEX(取引先マスタ!$E$5:$E$204,MATCH(C329,取引先マスタ!$A$5:$A$204,0))))))),""))</f>
        <v/>
      </c>
      <c r="H329" s="22"/>
      <c r="I329" s="25" t="str">
        <f aca="false">IF(H329&lt;&gt;"",H329,G329)</f>
        <v/>
      </c>
      <c r="J329" s="26"/>
      <c r="K329" s="22"/>
      <c r="L329" s="26"/>
      <c r="M329" s="27" t="str">
        <f aca="false">IF(A329="","",SUMIF(入金明細!$F$5:$F$1004,A329,入金明細!$E$5:$E$1004))</f>
        <v/>
      </c>
      <c r="N329" s="25" t="str">
        <f aca="false">IF(OR(A329="",N(M329)=0),"",SUMPRODUCT(MAX((入金明細!$F$5:$F$1004=A329)*入金明細!$B$5:$B$1004)))</f>
        <v/>
      </c>
      <c r="O329" s="18"/>
      <c r="P329" s="27" t="str">
        <f aca="false">IF(OR(A329="",F329=""),"",F329-N(M329)-N(O329))</f>
        <v/>
      </c>
      <c r="Q329" s="26"/>
      <c r="R329" s="28" t="str">
        <f aca="false">IF(A329="","",IF(Q329="取消","取消",IF(T329&lt;&gt;"","要入力",IF(K329="","未送付",IF(P329=0,"入金済",IF(P329&lt;0,"過入金",IF(設定!$C$5&gt;I329,IF(N(M329)&gt;0,"一部入金・超過","期日超過"),IF(N(M329)&gt;0,"一部入金",IF(I329-設定!$C$5&lt;=設定!$C$6,"期日間近","入金待ち")))))))))</f>
        <v/>
      </c>
      <c r="S329" s="29" t="str">
        <f aca="false">IF(OR(R329="期日超過",R329="一部入金・超過"),設定!$C$5-I329,"")</f>
        <v/>
      </c>
      <c r="T329" s="21" t="str">
        <f aca="false">IF(A329="","",TRIM(IF(B329="","請求日 ","")&amp;IF(C329="","取引先 ",IF(D329="コード誤り","取引先コード誤り ",""))&amp;IF(E329="","件名 ","")&amp;IF(F329="","請求額 ","")&amp;IF(AND(F329&lt;&gt;"",I329=""),"入金期日(マスタの支払条件が未登録) ","")&amp;IF(J329="","送付方法 ","")&amp;IF(AND(K329&lt;&gt;"",L329=""),"送付者 ","")&amp;IF(AND(K329&lt;&gt;"",N(K329)&gt;設定!$C$5),"送付日が未来の日付 ","")&amp;IF(AND(K329&lt;&gt;"",N(M329)&gt;0,N(P329)&lt;=0,U329=""),"消込確認者 ","")))</f>
        <v/>
      </c>
      <c r="U329" s="26"/>
      <c r="V329" s="26"/>
    </row>
    <row r="330" customFormat="false" ht="15" hidden="false" customHeight="false" outlineLevel="0" collapsed="false">
      <c r="A330" s="21" t="str">
        <f aca="false">IF(COUNTA(B330,C330,E330,F330)=0,"",設定!$C$4&amp;TEXT(ROW()-4,"00000"))</f>
        <v/>
      </c>
      <c r="B330" s="22"/>
      <c r="C330" s="23"/>
      <c r="D330" s="21" t="str">
        <f aca="false">IF(C330="","",IFERROR(INDEX(取引先マスタ!$B$5:$B$204,MATCH(C330,取引先マスタ!$A$5:$A$204,0)),"コード誤り"))</f>
        <v/>
      </c>
      <c r="E330" s="26"/>
      <c r="F330" s="18"/>
      <c r="G330" s="25" t="str">
        <f aca="false">IF(OR(B330="",C330="",D330="コード誤り"),"",IFERROR(IF(OR(INDEX(取引先マスタ!$E$5:$E$204,MATCH(C330,取引先マスタ!$A$5:$A$204,0))="",INDEX(取引先マスタ!$F$5:$F$204,MATCH(C330,取引先マスタ!$A$5:$A$204,0))=""),"",DATE(YEAR(B330),MONTH(B330)+INDEX(取引先マスタ!$E$5:$E$204,MATCH(C330,取引先マスタ!$A$5:$A$204,0)),MIN(INDEX(取引先マスタ!$F$5:$F$204,MATCH(C330,取引先マスタ!$A$5:$A$204,0)),DAY(EOMONTH(B330,INDEX(取引先マスタ!$E$5:$E$204,MATCH(C330,取引先マスタ!$A$5:$A$204,0))))))),""))</f>
        <v/>
      </c>
      <c r="H330" s="22"/>
      <c r="I330" s="25" t="str">
        <f aca="false">IF(H330&lt;&gt;"",H330,G330)</f>
        <v/>
      </c>
      <c r="J330" s="26"/>
      <c r="K330" s="22"/>
      <c r="L330" s="26"/>
      <c r="M330" s="27" t="str">
        <f aca="false">IF(A330="","",SUMIF(入金明細!$F$5:$F$1004,A330,入金明細!$E$5:$E$1004))</f>
        <v/>
      </c>
      <c r="N330" s="25" t="str">
        <f aca="false">IF(OR(A330="",N(M330)=0),"",SUMPRODUCT(MAX((入金明細!$F$5:$F$1004=A330)*入金明細!$B$5:$B$1004)))</f>
        <v/>
      </c>
      <c r="O330" s="18"/>
      <c r="P330" s="27" t="str">
        <f aca="false">IF(OR(A330="",F330=""),"",F330-N(M330)-N(O330))</f>
        <v/>
      </c>
      <c r="Q330" s="26"/>
      <c r="R330" s="28" t="str">
        <f aca="false">IF(A330="","",IF(Q330="取消","取消",IF(T330&lt;&gt;"","要入力",IF(K330="","未送付",IF(P330=0,"入金済",IF(P330&lt;0,"過入金",IF(設定!$C$5&gt;I330,IF(N(M330)&gt;0,"一部入金・超過","期日超過"),IF(N(M330)&gt;0,"一部入金",IF(I330-設定!$C$5&lt;=設定!$C$6,"期日間近","入金待ち")))))))))</f>
        <v/>
      </c>
      <c r="S330" s="29" t="str">
        <f aca="false">IF(OR(R330="期日超過",R330="一部入金・超過"),設定!$C$5-I330,"")</f>
        <v/>
      </c>
      <c r="T330" s="21" t="str">
        <f aca="false">IF(A330="","",TRIM(IF(B330="","請求日 ","")&amp;IF(C330="","取引先 ",IF(D330="コード誤り","取引先コード誤り ",""))&amp;IF(E330="","件名 ","")&amp;IF(F330="","請求額 ","")&amp;IF(AND(F330&lt;&gt;"",I330=""),"入金期日(マスタの支払条件が未登録) ","")&amp;IF(J330="","送付方法 ","")&amp;IF(AND(K330&lt;&gt;"",L330=""),"送付者 ","")&amp;IF(AND(K330&lt;&gt;"",N(K330)&gt;設定!$C$5),"送付日が未来の日付 ","")&amp;IF(AND(K330&lt;&gt;"",N(M330)&gt;0,N(P330)&lt;=0,U330=""),"消込確認者 ","")))</f>
        <v/>
      </c>
      <c r="U330" s="26"/>
      <c r="V330" s="26"/>
    </row>
    <row r="331" customFormat="false" ht="15" hidden="false" customHeight="false" outlineLevel="0" collapsed="false">
      <c r="A331" s="21" t="str">
        <f aca="false">IF(COUNTA(B331,C331,E331,F331)=0,"",設定!$C$4&amp;TEXT(ROW()-4,"00000"))</f>
        <v/>
      </c>
      <c r="B331" s="22"/>
      <c r="C331" s="23"/>
      <c r="D331" s="21" t="str">
        <f aca="false">IF(C331="","",IFERROR(INDEX(取引先マスタ!$B$5:$B$204,MATCH(C331,取引先マスタ!$A$5:$A$204,0)),"コード誤り"))</f>
        <v/>
      </c>
      <c r="E331" s="26"/>
      <c r="F331" s="18"/>
      <c r="G331" s="25" t="str">
        <f aca="false">IF(OR(B331="",C331="",D331="コード誤り"),"",IFERROR(IF(OR(INDEX(取引先マスタ!$E$5:$E$204,MATCH(C331,取引先マスタ!$A$5:$A$204,0))="",INDEX(取引先マスタ!$F$5:$F$204,MATCH(C331,取引先マスタ!$A$5:$A$204,0))=""),"",DATE(YEAR(B331),MONTH(B331)+INDEX(取引先マスタ!$E$5:$E$204,MATCH(C331,取引先マスタ!$A$5:$A$204,0)),MIN(INDEX(取引先マスタ!$F$5:$F$204,MATCH(C331,取引先マスタ!$A$5:$A$204,0)),DAY(EOMONTH(B331,INDEX(取引先マスタ!$E$5:$E$204,MATCH(C331,取引先マスタ!$A$5:$A$204,0))))))),""))</f>
        <v/>
      </c>
      <c r="H331" s="22"/>
      <c r="I331" s="25" t="str">
        <f aca="false">IF(H331&lt;&gt;"",H331,G331)</f>
        <v/>
      </c>
      <c r="J331" s="26"/>
      <c r="K331" s="22"/>
      <c r="L331" s="26"/>
      <c r="M331" s="27" t="str">
        <f aca="false">IF(A331="","",SUMIF(入金明細!$F$5:$F$1004,A331,入金明細!$E$5:$E$1004))</f>
        <v/>
      </c>
      <c r="N331" s="25" t="str">
        <f aca="false">IF(OR(A331="",N(M331)=0),"",SUMPRODUCT(MAX((入金明細!$F$5:$F$1004=A331)*入金明細!$B$5:$B$1004)))</f>
        <v/>
      </c>
      <c r="O331" s="18"/>
      <c r="P331" s="27" t="str">
        <f aca="false">IF(OR(A331="",F331=""),"",F331-N(M331)-N(O331))</f>
        <v/>
      </c>
      <c r="Q331" s="26"/>
      <c r="R331" s="28" t="str">
        <f aca="false">IF(A331="","",IF(Q331="取消","取消",IF(T331&lt;&gt;"","要入力",IF(K331="","未送付",IF(P331=0,"入金済",IF(P331&lt;0,"過入金",IF(設定!$C$5&gt;I331,IF(N(M331)&gt;0,"一部入金・超過","期日超過"),IF(N(M331)&gt;0,"一部入金",IF(I331-設定!$C$5&lt;=設定!$C$6,"期日間近","入金待ち")))))))))</f>
        <v/>
      </c>
      <c r="S331" s="29" t="str">
        <f aca="false">IF(OR(R331="期日超過",R331="一部入金・超過"),設定!$C$5-I331,"")</f>
        <v/>
      </c>
      <c r="T331" s="21" t="str">
        <f aca="false">IF(A331="","",TRIM(IF(B331="","請求日 ","")&amp;IF(C331="","取引先 ",IF(D331="コード誤り","取引先コード誤り ",""))&amp;IF(E331="","件名 ","")&amp;IF(F331="","請求額 ","")&amp;IF(AND(F331&lt;&gt;"",I331=""),"入金期日(マスタの支払条件が未登録) ","")&amp;IF(J331="","送付方法 ","")&amp;IF(AND(K331&lt;&gt;"",L331=""),"送付者 ","")&amp;IF(AND(K331&lt;&gt;"",N(K331)&gt;設定!$C$5),"送付日が未来の日付 ","")&amp;IF(AND(K331&lt;&gt;"",N(M331)&gt;0,N(P331)&lt;=0,U331=""),"消込確認者 ","")))</f>
        <v/>
      </c>
      <c r="U331" s="26"/>
      <c r="V331" s="26"/>
    </row>
    <row r="332" customFormat="false" ht="15" hidden="false" customHeight="false" outlineLevel="0" collapsed="false">
      <c r="A332" s="21" t="str">
        <f aca="false">IF(COUNTA(B332,C332,E332,F332)=0,"",設定!$C$4&amp;TEXT(ROW()-4,"00000"))</f>
        <v/>
      </c>
      <c r="B332" s="22"/>
      <c r="C332" s="23"/>
      <c r="D332" s="21" t="str">
        <f aca="false">IF(C332="","",IFERROR(INDEX(取引先マスタ!$B$5:$B$204,MATCH(C332,取引先マスタ!$A$5:$A$204,0)),"コード誤り"))</f>
        <v/>
      </c>
      <c r="E332" s="26"/>
      <c r="F332" s="18"/>
      <c r="G332" s="25" t="str">
        <f aca="false">IF(OR(B332="",C332="",D332="コード誤り"),"",IFERROR(IF(OR(INDEX(取引先マスタ!$E$5:$E$204,MATCH(C332,取引先マスタ!$A$5:$A$204,0))="",INDEX(取引先マスタ!$F$5:$F$204,MATCH(C332,取引先マスタ!$A$5:$A$204,0))=""),"",DATE(YEAR(B332),MONTH(B332)+INDEX(取引先マスタ!$E$5:$E$204,MATCH(C332,取引先マスタ!$A$5:$A$204,0)),MIN(INDEX(取引先マスタ!$F$5:$F$204,MATCH(C332,取引先マスタ!$A$5:$A$204,0)),DAY(EOMONTH(B332,INDEX(取引先マスタ!$E$5:$E$204,MATCH(C332,取引先マスタ!$A$5:$A$204,0))))))),""))</f>
        <v/>
      </c>
      <c r="H332" s="22"/>
      <c r="I332" s="25" t="str">
        <f aca="false">IF(H332&lt;&gt;"",H332,G332)</f>
        <v/>
      </c>
      <c r="J332" s="26"/>
      <c r="K332" s="22"/>
      <c r="L332" s="26"/>
      <c r="M332" s="27" t="str">
        <f aca="false">IF(A332="","",SUMIF(入金明細!$F$5:$F$1004,A332,入金明細!$E$5:$E$1004))</f>
        <v/>
      </c>
      <c r="N332" s="25" t="str">
        <f aca="false">IF(OR(A332="",N(M332)=0),"",SUMPRODUCT(MAX((入金明細!$F$5:$F$1004=A332)*入金明細!$B$5:$B$1004)))</f>
        <v/>
      </c>
      <c r="O332" s="18"/>
      <c r="P332" s="27" t="str">
        <f aca="false">IF(OR(A332="",F332=""),"",F332-N(M332)-N(O332))</f>
        <v/>
      </c>
      <c r="Q332" s="26"/>
      <c r="R332" s="28" t="str">
        <f aca="false">IF(A332="","",IF(Q332="取消","取消",IF(T332&lt;&gt;"","要入力",IF(K332="","未送付",IF(P332=0,"入金済",IF(P332&lt;0,"過入金",IF(設定!$C$5&gt;I332,IF(N(M332)&gt;0,"一部入金・超過","期日超過"),IF(N(M332)&gt;0,"一部入金",IF(I332-設定!$C$5&lt;=設定!$C$6,"期日間近","入金待ち")))))))))</f>
        <v/>
      </c>
      <c r="S332" s="29" t="str">
        <f aca="false">IF(OR(R332="期日超過",R332="一部入金・超過"),設定!$C$5-I332,"")</f>
        <v/>
      </c>
      <c r="T332" s="21" t="str">
        <f aca="false">IF(A332="","",TRIM(IF(B332="","請求日 ","")&amp;IF(C332="","取引先 ",IF(D332="コード誤り","取引先コード誤り ",""))&amp;IF(E332="","件名 ","")&amp;IF(F332="","請求額 ","")&amp;IF(AND(F332&lt;&gt;"",I332=""),"入金期日(マスタの支払条件が未登録) ","")&amp;IF(J332="","送付方法 ","")&amp;IF(AND(K332&lt;&gt;"",L332=""),"送付者 ","")&amp;IF(AND(K332&lt;&gt;"",N(K332)&gt;設定!$C$5),"送付日が未来の日付 ","")&amp;IF(AND(K332&lt;&gt;"",N(M332)&gt;0,N(P332)&lt;=0,U332=""),"消込確認者 ","")))</f>
        <v/>
      </c>
      <c r="U332" s="26"/>
      <c r="V332" s="26"/>
    </row>
    <row r="333" customFormat="false" ht="15" hidden="false" customHeight="false" outlineLevel="0" collapsed="false">
      <c r="A333" s="21" t="str">
        <f aca="false">IF(COUNTA(B333,C333,E333,F333)=0,"",設定!$C$4&amp;TEXT(ROW()-4,"00000"))</f>
        <v/>
      </c>
      <c r="B333" s="22"/>
      <c r="C333" s="23"/>
      <c r="D333" s="21" t="str">
        <f aca="false">IF(C333="","",IFERROR(INDEX(取引先マスタ!$B$5:$B$204,MATCH(C333,取引先マスタ!$A$5:$A$204,0)),"コード誤り"))</f>
        <v/>
      </c>
      <c r="E333" s="26"/>
      <c r="F333" s="18"/>
      <c r="G333" s="25" t="str">
        <f aca="false">IF(OR(B333="",C333="",D333="コード誤り"),"",IFERROR(IF(OR(INDEX(取引先マスタ!$E$5:$E$204,MATCH(C333,取引先マスタ!$A$5:$A$204,0))="",INDEX(取引先マスタ!$F$5:$F$204,MATCH(C333,取引先マスタ!$A$5:$A$204,0))=""),"",DATE(YEAR(B333),MONTH(B333)+INDEX(取引先マスタ!$E$5:$E$204,MATCH(C333,取引先マスタ!$A$5:$A$204,0)),MIN(INDEX(取引先マスタ!$F$5:$F$204,MATCH(C333,取引先マスタ!$A$5:$A$204,0)),DAY(EOMONTH(B333,INDEX(取引先マスタ!$E$5:$E$204,MATCH(C333,取引先マスタ!$A$5:$A$204,0))))))),""))</f>
        <v/>
      </c>
      <c r="H333" s="22"/>
      <c r="I333" s="25" t="str">
        <f aca="false">IF(H333&lt;&gt;"",H333,G333)</f>
        <v/>
      </c>
      <c r="J333" s="26"/>
      <c r="K333" s="22"/>
      <c r="L333" s="26"/>
      <c r="M333" s="27" t="str">
        <f aca="false">IF(A333="","",SUMIF(入金明細!$F$5:$F$1004,A333,入金明細!$E$5:$E$1004))</f>
        <v/>
      </c>
      <c r="N333" s="25" t="str">
        <f aca="false">IF(OR(A333="",N(M333)=0),"",SUMPRODUCT(MAX((入金明細!$F$5:$F$1004=A333)*入金明細!$B$5:$B$1004)))</f>
        <v/>
      </c>
      <c r="O333" s="18"/>
      <c r="P333" s="27" t="str">
        <f aca="false">IF(OR(A333="",F333=""),"",F333-N(M333)-N(O333))</f>
        <v/>
      </c>
      <c r="Q333" s="26"/>
      <c r="R333" s="28" t="str">
        <f aca="false">IF(A333="","",IF(Q333="取消","取消",IF(T333&lt;&gt;"","要入力",IF(K333="","未送付",IF(P333=0,"入金済",IF(P333&lt;0,"過入金",IF(設定!$C$5&gt;I333,IF(N(M333)&gt;0,"一部入金・超過","期日超過"),IF(N(M333)&gt;0,"一部入金",IF(I333-設定!$C$5&lt;=設定!$C$6,"期日間近","入金待ち")))))))))</f>
        <v/>
      </c>
      <c r="S333" s="29" t="str">
        <f aca="false">IF(OR(R333="期日超過",R333="一部入金・超過"),設定!$C$5-I333,"")</f>
        <v/>
      </c>
      <c r="T333" s="21" t="str">
        <f aca="false">IF(A333="","",TRIM(IF(B333="","請求日 ","")&amp;IF(C333="","取引先 ",IF(D333="コード誤り","取引先コード誤り ",""))&amp;IF(E333="","件名 ","")&amp;IF(F333="","請求額 ","")&amp;IF(AND(F333&lt;&gt;"",I333=""),"入金期日(マスタの支払条件が未登録) ","")&amp;IF(J333="","送付方法 ","")&amp;IF(AND(K333&lt;&gt;"",L333=""),"送付者 ","")&amp;IF(AND(K333&lt;&gt;"",N(K333)&gt;設定!$C$5),"送付日が未来の日付 ","")&amp;IF(AND(K333&lt;&gt;"",N(M333)&gt;0,N(P333)&lt;=0,U333=""),"消込確認者 ","")))</f>
        <v/>
      </c>
      <c r="U333" s="26"/>
      <c r="V333" s="26"/>
    </row>
    <row r="334" customFormat="false" ht="15" hidden="false" customHeight="false" outlineLevel="0" collapsed="false">
      <c r="A334" s="21" t="str">
        <f aca="false">IF(COUNTA(B334,C334,E334,F334)=0,"",設定!$C$4&amp;TEXT(ROW()-4,"00000"))</f>
        <v/>
      </c>
      <c r="B334" s="22"/>
      <c r="C334" s="23"/>
      <c r="D334" s="21" t="str">
        <f aca="false">IF(C334="","",IFERROR(INDEX(取引先マスタ!$B$5:$B$204,MATCH(C334,取引先マスタ!$A$5:$A$204,0)),"コード誤り"))</f>
        <v/>
      </c>
      <c r="E334" s="26"/>
      <c r="F334" s="18"/>
      <c r="G334" s="25" t="str">
        <f aca="false">IF(OR(B334="",C334="",D334="コード誤り"),"",IFERROR(IF(OR(INDEX(取引先マスタ!$E$5:$E$204,MATCH(C334,取引先マスタ!$A$5:$A$204,0))="",INDEX(取引先マスタ!$F$5:$F$204,MATCH(C334,取引先マスタ!$A$5:$A$204,0))=""),"",DATE(YEAR(B334),MONTH(B334)+INDEX(取引先マスタ!$E$5:$E$204,MATCH(C334,取引先マスタ!$A$5:$A$204,0)),MIN(INDEX(取引先マスタ!$F$5:$F$204,MATCH(C334,取引先マスタ!$A$5:$A$204,0)),DAY(EOMONTH(B334,INDEX(取引先マスタ!$E$5:$E$204,MATCH(C334,取引先マスタ!$A$5:$A$204,0))))))),""))</f>
        <v/>
      </c>
      <c r="H334" s="22"/>
      <c r="I334" s="25" t="str">
        <f aca="false">IF(H334&lt;&gt;"",H334,G334)</f>
        <v/>
      </c>
      <c r="J334" s="26"/>
      <c r="K334" s="22"/>
      <c r="L334" s="26"/>
      <c r="M334" s="27" t="str">
        <f aca="false">IF(A334="","",SUMIF(入金明細!$F$5:$F$1004,A334,入金明細!$E$5:$E$1004))</f>
        <v/>
      </c>
      <c r="N334" s="25" t="str">
        <f aca="false">IF(OR(A334="",N(M334)=0),"",SUMPRODUCT(MAX((入金明細!$F$5:$F$1004=A334)*入金明細!$B$5:$B$1004)))</f>
        <v/>
      </c>
      <c r="O334" s="18"/>
      <c r="P334" s="27" t="str">
        <f aca="false">IF(OR(A334="",F334=""),"",F334-N(M334)-N(O334))</f>
        <v/>
      </c>
      <c r="Q334" s="26"/>
      <c r="R334" s="28" t="str">
        <f aca="false">IF(A334="","",IF(Q334="取消","取消",IF(T334&lt;&gt;"","要入力",IF(K334="","未送付",IF(P334=0,"入金済",IF(P334&lt;0,"過入金",IF(設定!$C$5&gt;I334,IF(N(M334)&gt;0,"一部入金・超過","期日超過"),IF(N(M334)&gt;0,"一部入金",IF(I334-設定!$C$5&lt;=設定!$C$6,"期日間近","入金待ち")))))))))</f>
        <v/>
      </c>
      <c r="S334" s="29" t="str">
        <f aca="false">IF(OR(R334="期日超過",R334="一部入金・超過"),設定!$C$5-I334,"")</f>
        <v/>
      </c>
      <c r="T334" s="21" t="str">
        <f aca="false">IF(A334="","",TRIM(IF(B334="","請求日 ","")&amp;IF(C334="","取引先 ",IF(D334="コード誤り","取引先コード誤り ",""))&amp;IF(E334="","件名 ","")&amp;IF(F334="","請求額 ","")&amp;IF(AND(F334&lt;&gt;"",I334=""),"入金期日(マスタの支払条件が未登録) ","")&amp;IF(J334="","送付方法 ","")&amp;IF(AND(K334&lt;&gt;"",L334=""),"送付者 ","")&amp;IF(AND(K334&lt;&gt;"",N(K334)&gt;設定!$C$5),"送付日が未来の日付 ","")&amp;IF(AND(K334&lt;&gt;"",N(M334)&gt;0,N(P334)&lt;=0,U334=""),"消込確認者 ","")))</f>
        <v/>
      </c>
      <c r="U334" s="26"/>
      <c r="V334" s="26"/>
    </row>
    <row r="335" customFormat="false" ht="15" hidden="false" customHeight="false" outlineLevel="0" collapsed="false">
      <c r="A335" s="21" t="str">
        <f aca="false">IF(COUNTA(B335,C335,E335,F335)=0,"",設定!$C$4&amp;TEXT(ROW()-4,"00000"))</f>
        <v/>
      </c>
      <c r="B335" s="22"/>
      <c r="C335" s="23"/>
      <c r="D335" s="21" t="str">
        <f aca="false">IF(C335="","",IFERROR(INDEX(取引先マスタ!$B$5:$B$204,MATCH(C335,取引先マスタ!$A$5:$A$204,0)),"コード誤り"))</f>
        <v/>
      </c>
      <c r="E335" s="26"/>
      <c r="F335" s="18"/>
      <c r="G335" s="25" t="str">
        <f aca="false">IF(OR(B335="",C335="",D335="コード誤り"),"",IFERROR(IF(OR(INDEX(取引先マスタ!$E$5:$E$204,MATCH(C335,取引先マスタ!$A$5:$A$204,0))="",INDEX(取引先マスタ!$F$5:$F$204,MATCH(C335,取引先マスタ!$A$5:$A$204,0))=""),"",DATE(YEAR(B335),MONTH(B335)+INDEX(取引先マスタ!$E$5:$E$204,MATCH(C335,取引先マスタ!$A$5:$A$204,0)),MIN(INDEX(取引先マスタ!$F$5:$F$204,MATCH(C335,取引先マスタ!$A$5:$A$204,0)),DAY(EOMONTH(B335,INDEX(取引先マスタ!$E$5:$E$204,MATCH(C335,取引先マスタ!$A$5:$A$204,0))))))),""))</f>
        <v/>
      </c>
      <c r="H335" s="22"/>
      <c r="I335" s="25" t="str">
        <f aca="false">IF(H335&lt;&gt;"",H335,G335)</f>
        <v/>
      </c>
      <c r="J335" s="26"/>
      <c r="K335" s="22"/>
      <c r="L335" s="26"/>
      <c r="M335" s="27" t="str">
        <f aca="false">IF(A335="","",SUMIF(入金明細!$F$5:$F$1004,A335,入金明細!$E$5:$E$1004))</f>
        <v/>
      </c>
      <c r="N335" s="25" t="str">
        <f aca="false">IF(OR(A335="",N(M335)=0),"",SUMPRODUCT(MAX((入金明細!$F$5:$F$1004=A335)*入金明細!$B$5:$B$1004)))</f>
        <v/>
      </c>
      <c r="O335" s="18"/>
      <c r="P335" s="27" t="str">
        <f aca="false">IF(OR(A335="",F335=""),"",F335-N(M335)-N(O335))</f>
        <v/>
      </c>
      <c r="Q335" s="26"/>
      <c r="R335" s="28" t="str">
        <f aca="false">IF(A335="","",IF(Q335="取消","取消",IF(T335&lt;&gt;"","要入力",IF(K335="","未送付",IF(P335=0,"入金済",IF(P335&lt;0,"過入金",IF(設定!$C$5&gt;I335,IF(N(M335)&gt;0,"一部入金・超過","期日超過"),IF(N(M335)&gt;0,"一部入金",IF(I335-設定!$C$5&lt;=設定!$C$6,"期日間近","入金待ち")))))))))</f>
        <v/>
      </c>
      <c r="S335" s="29" t="str">
        <f aca="false">IF(OR(R335="期日超過",R335="一部入金・超過"),設定!$C$5-I335,"")</f>
        <v/>
      </c>
      <c r="T335" s="21" t="str">
        <f aca="false">IF(A335="","",TRIM(IF(B335="","請求日 ","")&amp;IF(C335="","取引先 ",IF(D335="コード誤り","取引先コード誤り ",""))&amp;IF(E335="","件名 ","")&amp;IF(F335="","請求額 ","")&amp;IF(AND(F335&lt;&gt;"",I335=""),"入金期日(マスタの支払条件が未登録) ","")&amp;IF(J335="","送付方法 ","")&amp;IF(AND(K335&lt;&gt;"",L335=""),"送付者 ","")&amp;IF(AND(K335&lt;&gt;"",N(K335)&gt;設定!$C$5),"送付日が未来の日付 ","")&amp;IF(AND(K335&lt;&gt;"",N(M335)&gt;0,N(P335)&lt;=0,U335=""),"消込確認者 ","")))</f>
        <v/>
      </c>
      <c r="U335" s="26"/>
      <c r="V335" s="26"/>
    </row>
    <row r="336" customFormat="false" ht="15" hidden="false" customHeight="false" outlineLevel="0" collapsed="false">
      <c r="A336" s="21" t="str">
        <f aca="false">IF(COUNTA(B336,C336,E336,F336)=0,"",設定!$C$4&amp;TEXT(ROW()-4,"00000"))</f>
        <v/>
      </c>
      <c r="B336" s="22"/>
      <c r="C336" s="23"/>
      <c r="D336" s="21" t="str">
        <f aca="false">IF(C336="","",IFERROR(INDEX(取引先マスタ!$B$5:$B$204,MATCH(C336,取引先マスタ!$A$5:$A$204,0)),"コード誤り"))</f>
        <v/>
      </c>
      <c r="E336" s="26"/>
      <c r="F336" s="18"/>
      <c r="G336" s="25" t="str">
        <f aca="false">IF(OR(B336="",C336="",D336="コード誤り"),"",IFERROR(IF(OR(INDEX(取引先マスタ!$E$5:$E$204,MATCH(C336,取引先マスタ!$A$5:$A$204,0))="",INDEX(取引先マスタ!$F$5:$F$204,MATCH(C336,取引先マスタ!$A$5:$A$204,0))=""),"",DATE(YEAR(B336),MONTH(B336)+INDEX(取引先マスタ!$E$5:$E$204,MATCH(C336,取引先マスタ!$A$5:$A$204,0)),MIN(INDEX(取引先マスタ!$F$5:$F$204,MATCH(C336,取引先マスタ!$A$5:$A$204,0)),DAY(EOMONTH(B336,INDEX(取引先マスタ!$E$5:$E$204,MATCH(C336,取引先マスタ!$A$5:$A$204,0))))))),""))</f>
        <v/>
      </c>
      <c r="H336" s="22"/>
      <c r="I336" s="25" t="str">
        <f aca="false">IF(H336&lt;&gt;"",H336,G336)</f>
        <v/>
      </c>
      <c r="J336" s="26"/>
      <c r="K336" s="22"/>
      <c r="L336" s="26"/>
      <c r="M336" s="27" t="str">
        <f aca="false">IF(A336="","",SUMIF(入金明細!$F$5:$F$1004,A336,入金明細!$E$5:$E$1004))</f>
        <v/>
      </c>
      <c r="N336" s="25" t="str">
        <f aca="false">IF(OR(A336="",N(M336)=0),"",SUMPRODUCT(MAX((入金明細!$F$5:$F$1004=A336)*入金明細!$B$5:$B$1004)))</f>
        <v/>
      </c>
      <c r="O336" s="18"/>
      <c r="P336" s="27" t="str">
        <f aca="false">IF(OR(A336="",F336=""),"",F336-N(M336)-N(O336))</f>
        <v/>
      </c>
      <c r="Q336" s="26"/>
      <c r="R336" s="28" t="str">
        <f aca="false">IF(A336="","",IF(Q336="取消","取消",IF(T336&lt;&gt;"","要入力",IF(K336="","未送付",IF(P336=0,"入金済",IF(P336&lt;0,"過入金",IF(設定!$C$5&gt;I336,IF(N(M336)&gt;0,"一部入金・超過","期日超過"),IF(N(M336)&gt;0,"一部入金",IF(I336-設定!$C$5&lt;=設定!$C$6,"期日間近","入金待ち")))))))))</f>
        <v/>
      </c>
      <c r="S336" s="29" t="str">
        <f aca="false">IF(OR(R336="期日超過",R336="一部入金・超過"),設定!$C$5-I336,"")</f>
        <v/>
      </c>
      <c r="T336" s="21" t="str">
        <f aca="false">IF(A336="","",TRIM(IF(B336="","請求日 ","")&amp;IF(C336="","取引先 ",IF(D336="コード誤り","取引先コード誤り ",""))&amp;IF(E336="","件名 ","")&amp;IF(F336="","請求額 ","")&amp;IF(AND(F336&lt;&gt;"",I336=""),"入金期日(マスタの支払条件が未登録) ","")&amp;IF(J336="","送付方法 ","")&amp;IF(AND(K336&lt;&gt;"",L336=""),"送付者 ","")&amp;IF(AND(K336&lt;&gt;"",N(K336)&gt;設定!$C$5),"送付日が未来の日付 ","")&amp;IF(AND(K336&lt;&gt;"",N(M336)&gt;0,N(P336)&lt;=0,U336=""),"消込確認者 ","")))</f>
        <v/>
      </c>
      <c r="U336" s="26"/>
      <c r="V336" s="26"/>
    </row>
    <row r="337" customFormat="false" ht="15" hidden="false" customHeight="false" outlineLevel="0" collapsed="false">
      <c r="A337" s="21" t="str">
        <f aca="false">IF(COUNTA(B337,C337,E337,F337)=0,"",設定!$C$4&amp;TEXT(ROW()-4,"00000"))</f>
        <v/>
      </c>
      <c r="B337" s="22"/>
      <c r="C337" s="23"/>
      <c r="D337" s="21" t="str">
        <f aca="false">IF(C337="","",IFERROR(INDEX(取引先マスタ!$B$5:$B$204,MATCH(C337,取引先マスタ!$A$5:$A$204,0)),"コード誤り"))</f>
        <v/>
      </c>
      <c r="E337" s="26"/>
      <c r="F337" s="18"/>
      <c r="G337" s="25" t="str">
        <f aca="false">IF(OR(B337="",C337="",D337="コード誤り"),"",IFERROR(IF(OR(INDEX(取引先マスタ!$E$5:$E$204,MATCH(C337,取引先マスタ!$A$5:$A$204,0))="",INDEX(取引先マスタ!$F$5:$F$204,MATCH(C337,取引先マスタ!$A$5:$A$204,0))=""),"",DATE(YEAR(B337),MONTH(B337)+INDEX(取引先マスタ!$E$5:$E$204,MATCH(C337,取引先マスタ!$A$5:$A$204,0)),MIN(INDEX(取引先マスタ!$F$5:$F$204,MATCH(C337,取引先マスタ!$A$5:$A$204,0)),DAY(EOMONTH(B337,INDEX(取引先マスタ!$E$5:$E$204,MATCH(C337,取引先マスタ!$A$5:$A$204,0))))))),""))</f>
        <v/>
      </c>
      <c r="H337" s="22"/>
      <c r="I337" s="25" t="str">
        <f aca="false">IF(H337&lt;&gt;"",H337,G337)</f>
        <v/>
      </c>
      <c r="J337" s="26"/>
      <c r="K337" s="22"/>
      <c r="L337" s="26"/>
      <c r="M337" s="27" t="str">
        <f aca="false">IF(A337="","",SUMIF(入金明細!$F$5:$F$1004,A337,入金明細!$E$5:$E$1004))</f>
        <v/>
      </c>
      <c r="N337" s="25" t="str">
        <f aca="false">IF(OR(A337="",N(M337)=0),"",SUMPRODUCT(MAX((入金明細!$F$5:$F$1004=A337)*入金明細!$B$5:$B$1004)))</f>
        <v/>
      </c>
      <c r="O337" s="18"/>
      <c r="P337" s="27" t="str">
        <f aca="false">IF(OR(A337="",F337=""),"",F337-N(M337)-N(O337))</f>
        <v/>
      </c>
      <c r="Q337" s="26"/>
      <c r="R337" s="28" t="str">
        <f aca="false">IF(A337="","",IF(Q337="取消","取消",IF(T337&lt;&gt;"","要入力",IF(K337="","未送付",IF(P337=0,"入金済",IF(P337&lt;0,"過入金",IF(設定!$C$5&gt;I337,IF(N(M337)&gt;0,"一部入金・超過","期日超過"),IF(N(M337)&gt;0,"一部入金",IF(I337-設定!$C$5&lt;=設定!$C$6,"期日間近","入金待ち")))))))))</f>
        <v/>
      </c>
      <c r="S337" s="29" t="str">
        <f aca="false">IF(OR(R337="期日超過",R337="一部入金・超過"),設定!$C$5-I337,"")</f>
        <v/>
      </c>
      <c r="T337" s="21" t="str">
        <f aca="false">IF(A337="","",TRIM(IF(B337="","請求日 ","")&amp;IF(C337="","取引先 ",IF(D337="コード誤り","取引先コード誤り ",""))&amp;IF(E337="","件名 ","")&amp;IF(F337="","請求額 ","")&amp;IF(AND(F337&lt;&gt;"",I337=""),"入金期日(マスタの支払条件が未登録) ","")&amp;IF(J337="","送付方法 ","")&amp;IF(AND(K337&lt;&gt;"",L337=""),"送付者 ","")&amp;IF(AND(K337&lt;&gt;"",N(K337)&gt;設定!$C$5),"送付日が未来の日付 ","")&amp;IF(AND(K337&lt;&gt;"",N(M337)&gt;0,N(P337)&lt;=0,U337=""),"消込確認者 ","")))</f>
        <v/>
      </c>
      <c r="U337" s="26"/>
      <c r="V337" s="26"/>
    </row>
    <row r="338" customFormat="false" ht="15" hidden="false" customHeight="false" outlineLevel="0" collapsed="false">
      <c r="A338" s="21" t="str">
        <f aca="false">IF(COUNTA(B338,C338,E338,F338)=0,"",設定!$C$4&amp;TEXT(ROW()-4,"00000"))</f>
        <v/>
      </c>
      <c r="B338" s="22"/>
      <c r="C338" s="23"/>
      <c r="D338" s="21" t="str">
        <f aca="false">IF(C338="","",IFERROR(INDEX(取引先マスタ!$B$5:$B$204,MATCH(C338,取引先マスタ!$A$5:$A$204,0)),"コード誤り"))</f>
        <v/>
      </c>
      <c r="E338" s="26"/>
      <c r="F338" s="18"/>
      <c r="G338" s="25" t="str">
        <f aca="false">IF(OR(B338="",C338="",D338="コード誤り"),"",IFERROR(IF(OR(INDEX(取引先マスタ!$E$5:$E$204,MATCH(C338,取引先マスタ!$A$5:$A$204,0))="",INDEX(取引先マスタ!$F$5:$F$204,MATCH(C338,取引先マスタ!$A$5:$A$204,0))=""),"",DATE(YEAR(B338),MONTH(B338)+INDEX(取引先マスタ!$E$5:$E$204,MATCH(C338,取引先マスタ!$A$5:$A$204,0)),MIN(INDEX(取引先マスタ!$F$5:$F$204,MATCH(C338,取引先マスタ!$A$5:$A$204,0)),DAY(EOMONTH(B338,INDEX(取引先マスタ!$E$5:$E$204,MATCH(C338,取引先マスタ!$A$5:$A$204,0))))))),""))</f>
        <v/>
      </c>
      <c r="H338" s="22"/>
      <c r="I338" s="25" t="str">
        <f aca="false">IF(H338&lt;&gt;"",H338,G338)</f>
        <v/>
      </c>
      <c r="J338" s="26"/>
      <c r="K338" s="22"/>
      <c r="L338" s="26"/>
      <c r="M338" s="27" t="str">
        <f aca="false">IF(A338="","",SUMIF(入金明細!$F$5:$F$1004,A338,入金明細!$E$5:$E$1004))</f>
        <v/>
      </c>
      <c r="N338" s="25" t="str">
        <f aca="false">IF(OR(A338="",N(M338)=0),"",SUMPRODUCT(MAX((入金明細!$F$5:$F$1004=A338)*入金明細!$B$5:$B$1004)))</f>
        <v/>
      </c>
      <c r="O338" s="18"/>
      <c r="P338" s="27" t="str">
        <f aca="false">IF(OR(A338="",F338=""),"",F338-N(M338)-N(O338))</f>
        <v/>
      </c>
      <c r="Q338" s="26"/>
      <c r="R338" s="28" t="str">
        <f aca="false">IF(A338="","",IF(Q338="取消","取消",IF(T338&lt;&gt;"","要入力",IF(K338="","未送付",IF(P338=0,"入金済",IF(P338&lt;0,"過入金",IF(設定!$C$5&gt;I338,IF(N(M338)&gt;0,"一部入金・超過","期日超過"),IF(N(M338)&gt;0,"一部入金",IF(I338-設定!$C$5&lt;=設定!$C$6,"期日間近","入金待ち")))))))))</f>
        <v/>
      </c>
      <c r="S338" s="29" t="str">
        <f aca="false">IF(OR(R338="期日超過",R338="一部入金・超過"),設定!$C$5-I338,"")</f>
        <v/>
      </c>
      <c r="T338" s="21" t="str">
        <f aca="false">IF(A338="","",TRIM(IF(B338="","請求日 ","")&amp;IF(C338="","取引先 ",IF(D338="コード誤り","取引先コード誤り ",""))&amp;IF(E338="","件名 ","")&amp;IF(F338="","請求額 ","")&amp;IF(AND(F338&lt;&gt;"",I338=""),"入金期日(マスタの支払条件が未登録) ","")&amp;IF(J338="","送付方法 ","")&amp;IF(AND(K338&lt;&gt;"",L338=""),"送付者 ","")&amp;IF(AND(K338&lt;&gt;"",N(K338)&gt;設定!$C$5),"送付日が未来の日付 ","")&amp;IF(AND(K338&lt;&gt;"",N(M338)&gt;0,N(P338)&lt;=0,U338=""),"消込確認者 ","")))</f>
        <v/>
      </c>
      <c r="U338" s="26"/>
      <c r="V338" s="26"/>
    </row>
    <row r="339" customFormat="false" ht="15" hidden="false" customHeight="false" outlineLevel="0" collapsed="false">
      <c r="A339" s="21" t="str">
        <f aca="false">IF(COUNTA(B339,C339,E339,F339)=0,"",設定!$C$4&amp;TEXT(ROW()-4,"00000"))</f>
        <v/>
      </c>
      <c r="B339" s="22"/>
      <c r="C339" s="23"/>
      <c r="D339" s="21" t="str">
        <f aca="false">IF(C339="","",IFERROR(INDEX(取引先マスタ!$B$5:$B$204,MATCH(C339,取引先マスタ!$A$5:$A$204,0)),"コード誤り"))</f>
        <v/>
      </c>
      <c r="E339" s="26"/>
      <c r="F339" s="18"/>
      <c r="G339" s="25" t="str">
        <f aca="false">IF(OR(B339="",C339="",D339="コード誤り"),"",IFERROR(IF(OR(INDEX(取引先マスタ!$E$5:$E$204,MATCH(C339,取引先マスタ!$A$5:$A$204,0))="",INDEX(取引先マスタ!$F$5:$F$204,MATCH(C339,取引先マスタ!$A$5:$A$204,0))=""),"",DATE(YEAR(B339),MONTH(B339)+INDEX(取引先マスタ!$E$5:$E$204,MATCH(C339,取引先マスタ!$A$5:$A$204,0)),MIN(INDEX(取引先マスタ!$F$5:$F$204,MATCH(C339,取引先マスタ!$A$5:$A$204,0)),DAY(EOMONTH(B339,INDEX(取引先マスタ!$E$5:$E$204,MATCH(C339,取引先マスタ!$A$5:$A$204,0))))))),""))</f>
        <v/>
      </c>
      <c r="H339" s="22"/>
      <c r="I339" s="25" t="str">
        <f aca="false">IF(H339&lt;&gt;"",H339,G339)</f>
        <v/>
      </c>
      <c r="J339" s="26"/>
      <c r="K339" s="22"/>
      <c r="L339" s="26"/>
      <c r="M339" s="27" t="str">
        <f aca="false">IF(A339="","",SUMIF(入金明細!$F$5:$F$1004,A339,入金明細!$E$5:$E$1004))</f>
        <v/>
      </c>
      <c r="N339" s="25" t="str">
        <f aca="false">IF(OR(A339="",N(M339)=0),"",SUMPRODUCT(MAX((入金明細!$F$5:$F$1004=A339)*入金明細!$B$5:$B$1004)))</f>
        <v/>
      </c>
      <c r="O339" s="18"/>
      <c r="P339" s="27" t="str">
        <f aca="false">IF(OR(A339="",F339=""),"",F339-N(M339)-N(O339))</f>
        <v/>
      </c>
      <c r="Q339" s="26"/>
      <c r="R339" s="28" t="str">
        <f aca="false">IF(A339="","",IF(Q339="取消","取消",IF(T339&lt;&gt;"","要入力",IF(K339="","未送付",IF(P339=0,"入金済",IF(P339&lt;0,"過入金",IF(設定!$C$5&gt;I339,IF(N(M339)&gt;0,"一部入金・超過","期日超過"),IF(N(M339)&gt;0,"一部入金",IF(I339-設定!$C$5&lt;=設定!$C$6,"期日間近","入金待ち")))))))))</f>
        <v/>
      </c>
      <c r="S339" s="29" t="str">
        <f aca="false">IF(OR(R339="期日超過",R339="一部入金・超過"),設定!$C$5-I339,"")</f>
        <v/>
      </c>
      <c r="T339" s="21" t="str">
        <f aca="false">IF(A339="","",TRIM(IF(B339="","請求日 ","")&amp;IF(C339="","取引先 ",IF(D339="コード誤り","取引先コード誤り ",""))&amp;IF(E339="","件名 ","")&amp;IF(F339="","請求額 ","")&amp;IF(AND(F339&lt;&gt;"",I339=""),"入金期日(マスタの支払条件が未登録) ","")&amp;IF(J339="","送付方法 ","")&amp;IF(AND(K339&lt;&gt;"",L339=""),"送付者 ","")&amp;IF(AND(K339&lt;&gt;"",N(K339)&gt;設定!$C$5),"送付日が未来の日付 ","")&amp;IF(AND(K339&lt;&gt;"",N(M339)&gt;0,N(P339)&lt;=0,U339=""),"消込確認者 ","")))</f>
        <v/>
      </c>
      <c r="U339" s="26"/>
      <c r="V339" s="26"/>
    </row>
    <row r="340" customFormat="false" ht="15" hidden="false" customHeight="false" outlineLevel="0" collapsed="false">
      <c r="A340" s="21" t="str">
        <f aca="false">IF(COUNTA(B340,C340,E340,F340)=0,"",設定!$C$4&amp;TEXT(ROW()-4,"00000"))</f>
        <v/>
      </c>
      <c r="B340" s="22"/>
      <c r="C340" s="23"/>
      <c r="D340" s="21" t="str">
        <f aca="false">IF(C340="","",IFERROR(INDEX(取引先マスタ!$B$5:$B$204,MATCH(C340,取引先マスタ!$A$5:$A$204,0)),"コード誤り"))</f>
        <v/>
      </c>
      <c r="E340" s="26"/>
      <c r="F340" s="18"/>
      <c r="G340" s="25" t="str">
        <f aca="false">IF(OR(B340="",C340="",D340="コード誤り"),"",IFERROR(IF(OR(INDEX(取引先マスタ!$E$5:$E$204,MATCH(C340,取引先マスタ!$A$5:$A$204,0))="",INDEX(取引先マスタ!$F$5:$F$204,MATCH(C340,取引先マスタ!$A$5:$A$204,0))=""),"",DATE(YEAR(B340),MONTH(B340)+INDEX(取引先マスタ!$E$5:$E$204,MATCH(C340,取引先マスタ!$A$5:$A$204,0)),MIN(INDEX(取引先マスタ!$F$5:$F$204,MATCH(C340,取引先マスタ!$A$5:$A$204,0)),DAY(EOMONTH(B340,INDEX(取引先マスタ!$E$5:$E$204,MATCH(C340,取引先マスタ!$A$5:$A$204,0))))))),""))</f>
        <v/>
      </c>
      <c r="H340" s="22"/>
      <c r="I340" s="25" t="str">
        <f aca="false">IF(H340&lt;&gt;"",H340,G340)</f>
        <v/>
      </c>
      <c r="J340" s="26"/>
      <c r="K340" s="22"/>
      <c r="L340" s="26"/>
      <c r="M340" s="27" t="str">
        <f aca="false">IF(A340="","",SUMIF(入金明細!$F$5:$F$1004,A340,入金明細!$E$5:$E$1004))</f>
        <v/>
      </c>
      <c r="N340" s="25" t="str">
        <f aca="false">IF(OR(A340="",N(M340)=0),"",SUMPRODUCT(MAX((入金明細!$F$5:$F$1004=A340)*入金明細!$B$5:$B$1004)))</f>
        <v/>
      </c>
      <c r="O340" s="18"/>
      <c r="P340" s="27" t="str">
        <f aca="false">IF(OR(A340="",F340=""),"",F340-N(M340)-N(O340))</f>
        <v/>
      </c>
      <c r="Q340" s="26"/>
      <c r="R340" s="28" t="str">
        <f aca="false">IF(A340="","",IF(Q340="取消","取消",IF(T340&lt;&gt;"","要入力",IF(K340="","未送付",IF(P340=0,"入金済",IF(P340&lt;0,"過入金",IF(設定!$C$5&gt;I340,IF(N(M340)&gt;0,"一部入金・超過","期日超過"),IF(N(M340)&gt;0,"一部入金",IF(I340-設定!$C$5&lt;=設定!$C$6,"期日間近","入金待ち")))))))))</f>
        <v/>
      </c>
      <c r="S340" s="29" t="str">
        <f aca="false">IF(OR(R340="期日超過",R340="一部入金・超過"),設定!$C$5-I340,"")</f>
        <v/>
      </c>
      <c r="T340" s="21" t="str">
        <f aca="false">IF(A340="","",TRIM(IF(B340="","請求日 ","")&amp;IF(C340="","取引先 ",IF(D340="コード誤り","取引先コード誤り ",""))&amp;IF(E340="","件名 ","")&amp;IF(F340="","請求額 ","")&amp;IF(AND(F340&lt;&gt;"",I340=""),"入金期日(マスタの支払条件が未登録) ","")&amp;IF(J340="","送付方法 ","")&amp;IF(AND(K340&lt;&gt;"",L340=""),"送付者 ","")&amp;IF(AND(K340&lt;&gt;"",N(K340)&gt;設定!$C$5),"送付日が未来の日付 ","")&amp;IF(AND(K340&lt;&gt;"",N(M340)&gt;0,N(P340)&lt;=0,U340=""),"消込確認者 ","")))</f>
        <v/>
      </c>
      <c r="U340" s="26"/>
      <c r="V340" s="26"/>
    </row>
    <row r="341" customFormat="false" ht="15" hidden="false" customHeight="false" outlineLevel="0" collapsed="false">
      <c r="A341" s="21" t="str">
        <f aca="false">IF(COUNTA(B341,C341,E341,F341)=0,"",設定!$C$4&amp;TEXT(ROW()-4,"00000"))</f>
        <v/>
      </c>
      <c r="B341" s="22"/>
      <c r="C341" s="23"/>
      <c r="D341" s="21" t="str">
        <f aca="false">IF(C341="","",IFERROR(INDEX(取引先マスタ!$B$5:$B$204,MATCH(C341,取引先マスタ!$A$5:$A$204,0)),"コード誤り"))</f>
        <v/>
      </c>
      <c r="E341" s="26"/>
      <c r="F341" s="18"/>
      <c r="G341" s="25" t="str">
        <f aca="false">IF(OR(B341="",C341="",D341="コード誤り"),"",IFERROR(IF(OR(INDEX(取引先マスタ!$E$5:$E$204,MATCH(C341,取引先マスタ!$A$5:$A$204,0))="",INDEX(取引先マスタ!$F$5:$F$204,MATCH(C341,取引先マスタ!$A$5:$A$204,0))=""),"",DATE(YEAR(B341),MONTH(B341)+INDEX(取引先マスタ!$E$5:$E$204,MATCH(C341,取引先マスタ!$A$5:$A$204,0)),MIN(INDEX(取引先マスタ!$F$5:$F$204,MATCH(C341,取引先マスタ!$A$5:$A$204,0)),DAY(EOMONTH(B341,INDEX(取引先マスタ!$E$5:$E$204,MATCH(C341,取引先マスタ!$A$5:$A$204,0))))))),""))</f>
        <v/>
      </c>
      <c r="H341" s="22"/>
      <c r="I341" s="25" t="str">
        <f aca="false">IF(H341&lt;&gt;"",H341,G341)</f>
        <v/>
      </c>
      <c r="J341" s="26"/>
      <c r="K341" s="22"/>
      <c r="L341" s="26"/>
      <c r="M341" s="27" t="str">
        <f aca="false">IF(A341="","",SUMIF(入金明細!$F$5:$F$1004,A341,入金明細!$E$5:$E$1004))</f>
        <v/>
      </c>
      <c r="N341" s="25" t="str">
        <f aca="false">IF(OR(A341="",N(M341)=0),"",SUMPRODUCT(MAX((入金明細!$F$5:$F$1004=A341)*入金明細!$B$5:$B$1004)))</f>
        <v/>
      </c>
      <c r="O341" s="18"/>
      <c r="P341" s="27" t="str">
        <f aca="false">IF(OR(A341="",F341=""),"",F341-N(M341)-N(O341))</f>
        <v/>
      </c>
      <c r="Q341" s="26"/>
      <c r="R341" s="28" t="str">
        <f aca="false">IF(A341="","",IF(Q341="取消","取消",IF(T341&lt;&gt;"","要入力",IF(K341="","未送付",IF(P341=0,"入金済",IF(P341&lt;0,"過入金",IF(設定!$C$5&gt;I341,IF(N(M341)&gt;0,"一部入金・超過","期日超過"),IF(N(M341)&gt;0,"一部入金",IF(I341-設定!$C$5&lt;=設定!$C$6,"期日間近","入金待ち")))))))))</f>
        <v/>
      </c>
      <c r="S341" s="29" t="str">
        <f aca="false">IF(OR(R341="期日超過",R341="一部入金・超過"),設定!$C$5-I341,"")</f>
        <v/>
      </c>
      <c r="T341" s="21" t="str">
        <f aca="false">IF(A341="","",TRIM(IF(B341="","請求日 ","")&amp;IF(C341="","取引先 ",IF(D341="コード誤り","取引先コード誤り ",""))&amp;IF(E341="","件名 ","")&amp;IF(F341="","請求額 ","")&amp;IF(AND(F341&lt;&gt;"",I341=""),"入金期日(マスタの支払条件が未登録) ","")&amp;IF(J341="","送付方法 ","")&amp;IF(AND(K341&lt;&gt;"",L341=""),"送付者 ","")&amp;IF(AND(K341&lt;&gt;"",N(K341)&gt;設定!$C$5),"送付日が未来の日付 ","")&amp;IF(AND(K341&lt;&gt;"",N(M341)&gt;0,N(P341)&lt;=0,U341=""),"消込確認者 ","")))</f>
        <v/>
      </c>
      <c r="U341" s="26"/>
      <c r="V341" s="26"/>
    </row>
    <row r="342" customFormat="false" ht="15" hidden="false" customHeight="false" outlineLevel="0" collapsed="false">
      <c r="A342" s="21" t="str">
        <f aca="false">IF(COUNTA(B342,C342,E342,F342)=0,"",設定!$C$4&amp;TEXT(ROW()-4,"00000"))</f>
        <v/>
      </c>
      <c r="B342" s="22"/>
      <c r="C342" s="23"/>
      <c r="D342" s="21" t="str">
        <f aca="false">IF(C342="","",IFERROR(INDEX(取引先マスタ!$B$5:$B$204,MATCH(C342,取引先マスタ!$A$5:$A$204,0)),"コード誤り"))</f>
        <v/>
      </c>
      <c r="E342" s="26"/>
      <c r="F342" s="18"/>
      <c r="G342" s="25" t="str">
        <f aca="false">IF(OR(B342="",C342="",D342="コード誤り"),"",IFERROR(IF(OR(INDEX(取引先マスタ!$E$5:$E$204,MATCH(C342,取引先マスタ!$A$5:$A$204,0))="",INDEX(取引先マスタ!$F$5:$F$204,MATCH(C342,取引先マスタ!$A$5:$A$204,0))=""),"",DATE(YEAR(B342),MONTH(B342)+INDEX(取引先マスタ!$E$5:$E$204,MATCH(C342,取引先マスタ!$A$5:$A$204,0)),MIN(INDEX(取引先マスタ!$F$5:$F$204,MATCH(C342,取引先マスタ!$A$5:$A$204,0)),DAY(EOMONTH(B342,INDEX(取引先マスタ!$E$5:$E$204,MATCH(C342,取引先マスタ!$A$5:$A$204,0))))))),""))</f>
        <v/>
      </c>
      <c r="H342" s="22"/>
      <c r="I342" s="25" t="str">
        <f aca="false">IF(H342&lt;&gt;"",H342,G342)</f>
        <v/>
      </c>
      <c r="J342" s="26"/>
      <c r="K342" s="22"/>
      <c r="L342" s="26"/>
      <c r="M342" s="27" t="str">
        <f aca="false">IF(A342="","",SUMIF(入金明細!$F$5:$F$1004,A342,入金明細!$E$5:$E$1004))</f>
        <v/>
      </c>
      <c r="N342" s="25" t="str">
        <f aca="false">IF(OR(A342="",N(M342)=0),"",SUMPRODUCT(MAX((入金明細!$F$5:$F$1004=A342)*入金明細!$B$5:$B$1004)))</f>
        <v/>
      </c>
      <c r="O342" s="18"/>
      <c r="P342" s="27" t="str">
        <f aca="false">IF(OR(A342="",F342=""),"",F342-N(M342)-N(O342))</f>
        <v/>
      </c>
      <c r="Q342" s="26"/>
      <c r="R342" s="28" t="str">
        <f aca="false">IF(A342="","",IF(Q342="取消","取消",IF(T342&lt;&gt;"","要入力",IF(K342="","未送付",IF(P342=0,"入金済",IF(P342&lt;0,"過入金",IF(設定!$C$5&gt;I342,IF(N(M342)&gt;0,"一部入金・超過","期日超過"),IF(N(M342)&gt;0,"一部入金",IF(I342-設定!$C$5&lt;=設定!$C$6,"期日間近","入金待ち")))))))))</f>
        <v/>
      </c>
      <c r="S342" s="29" t="str">
        <f aca="false">IF(OR(R342="期日超過",R342="一部入金・超過"),設定!$C$5-I342,"")</f>
        <v/>
      </c>
      <c r="T342" s="21" t="str">
        <f aca="false">IF(A342="","",TRIM(IF(B342="","請求日 ","")&amp;IF(C342="","取引先 ",IF(D342="コード誤り","取引先コード誤り ",""))&amp;IF(E342="","件名 ","")&amp;IF(F342="","請求額 ","")&amp;IF(AND(F342&lt;&gt;"",I342=""),"入金期日(マスタの支払条件が未登録) ","")&amp;IF(J342="","送付方法 ","")&amp;IF(AND(K342&lt;&gt;"",L342=""),"送付者 ","")&amp;IF(AND(K342&lt;&gt;"",N(K342)&gt;設定!$C$5),"送付日が未来の日付 ","")&amp;IF(AND(K342&lt;&gt;"",N(M342)&gt;0,N(P342)&lt;=0,U342=""),"消込確認者 ","")))</f>
        <v/>
      </c>
      <c r="U342" s="26"/>
      <c r="V342" s="26"/>
    </row>
    <row r="343" customFormat="false" ht="15" hidden="false" customHeight="false" outlineLevel="0" collapsed="false">
      <c r="A343" s="21" t="str">
        <f aca="false">IF(COUNTA(B343,C343,E343,F343)=0,"",設定!$C$4&amp;TEXT(ROW()-4,"00000"))</f>
        <v/>
      </c>
      <c r="B343" s="22"/>
      <c r="C343" s="23"/>
      <c r="D343" s="21" t="str">
        <f aca="false">IF(C343="","",IFERROR(INDEX(取引先マスタ!$B$5:$B$204,MATCH(C343,取引先マスタ!$A$5:$A$204,0)),"コード誤り"))</f>
        <v/>
      </c>
      <c r="E343" s="26"/>
      <c r="F343" s="18"/>
      <c r="G343" s="25" t="str">
        <f aca="false">IF(OR(B343="",C343="",D343="コード誤り"),"",IFERROR(IF(OR(INDEX(取引先マスタ!$E$5:$E$204,MATCH(C343,取引先マスタ!$A$5:$A$204,0))="",INDEX(取引先マスタ!$F$5:$F$204,MATCH(C343,取引先マスタ!$A$5:$A$204,0))=""),"",DATE(YEAR(B343),MONTH(B343)+INDEX(取引先マスタ!$E$5:$E$204,MATCH(C343,取引先マスタ!$A$5:$A$204,0)),MIN(INDEX(取引先マスタ!$F$5:$F$204,MATCH(C343,取引先マスタ!$A$5:$A$204,0)),DAY(EOMONTH(B343,INDEX(取引先マスタ!$E$5:$E$204,MATCH(C343,取引先マスタ!$A$5:$A$204,0))))))),""))</f>
        <v/>
      </c>
      <c r="H343" s="22"/>
      <c r="I343" s="25" t="str">
        <f aca="false">IF(H343&lt;&gt;"",H343,G343)</f>
        <v/>
      </c>
      <c r="J343" s="26"/>
      <c r="K343" s="22"/>
      <c r="L343" s="26"/>
      <c r="M343" s="27" t="str">
        <f aca="false">IF(A343="","",SUMIF(入金明細!$F$5:$F$1004,A343,入金明細!$E$5:$E$1004))</f>
        <v/>
      </c>
      <c r="N343" s="25" t="str">
        <f aca="false">IF(OR(A343="",N(M343)=0),"",SUMPRODUCT(MAX((入金明細!$F$5:$F$1004=A343)*入金明細!$B$5:$B$1004)))</f>
        <v/>
      </c>
      <c r="O343" s="18"/>
      <c r="P343" s="27" t="str">
        <f aca="false">IF(OR(A343="",F343=""),"",F343-N(M343)-N(O343))</f>
        <v/>
      </c>
      <c r="Q343" s="26"/>
      <c r="R343" s="28" t="str">
        <f aca="false">IF(A343="","",IF(Q343="取消","取消",IF(T343&lt;&gt;"","要入力",IF(K343="","未送付",IF(P343=0,"入金済",IF(P343&lt;0,"過入金",IF(設定!$C$5&gt;I343,IF(N(M343)&gt;0,"一部入金・超過","期日超過"),IF(N(M343)&gt;0,"一部入金",IF(I343-設定!$C$5&lt;=設定!$C$6,"期日間近","入金待ち")))))))))</f>
        <v/>
      </c>
      <c r="S343" s="29" t="str">
        <f aca="false">IF(OR(R343="期日超過",R343="一部入金・超過"),設定!$C$5-I343,"")</f>
        <v/>
      </c>
      <c r="T343" s="21" t="str">
        <f aca="false">IF(A343="","",TRIM(IF(B343="","請求日 ","")&amp;IF(C343="","取引先 ",IF(D343="コード誤り","取引先コード誤り ",""))&amp;IF(E343="","件名 ","")&amp;IF(F343="","請求額 ","")&amp;IF(AND(F343&lt;&gt;"",I343=""),"入金期日(マスタの支払条件が未登録) ","")&amp;IF(J343="","送付方法 ","")&amp;IF(AND(K343&lt;&gt;"",L343=""),"送付者 ","")&amp;IF(AND(K343&lt;&gt;"",N(K343)&gt;設定!$C$5),"送付日が未来の日付 ","")&amp;IF(AND(K343&lt;&gt;"",N(M343)&gt;0,N(P343)&lt;=0,U343=""),"消込確認者 ","")))</f>
        <v/>
      </c>
      <c r="U343" s="26"/>
      <c r="V343" s="26"/>
    </row>
    <row r="344" customFormat="false" ht="15" hidden="false" customHeight="false" outlineLevel="0" collapsed="false">
      <c r="A344" s="21" t="str">
        <f aca="false">IF(COUNTA(B344,C344,E344,F344)=0,"",設定!$C$4&amp;TEXT(ROW()-4,"00000"))</f>
        <v/>
      </c>
      <c r="B344" s="22"/>
      <c r="C344" s="23"/>
      <c r="D344" s="21" t="str">
        <f aca="false">IF(C344="","",IFERROR(INDEX(取引先マスタ!$B$5:$B$204,MATCH(C344,取引先マスタ!$A$5:$A$204,0)),"コード誤り"))</f>
        <v/>
      </c>
      <c r="E344" s="26"/>
      <c r="F344" s="18"/>
      <c r="G344" s="25" t="str">
        <f aca="false">IF(OR(B344="",C344="",D344="コード誤り"),"",IFERROR(IF(OR(INDEX(取引先マスタ!$E$5:$E$204,MATCH(C344,取引先マスタ!$A$5:$A$204,0))="",INDEX(取引先マスタ!$F$5:$F$204,MATCH(C344,取引先マスタ!$A$5:$A$204,0))=""),"",DATE(YEAR(B344),MONTH(B344)+INDEX(取引先マスタ!$E$5:$E$204,MATCH(C344,取引先マスタ!$A$5:$A$204,0)),MIN(INDEX(取引先マスタ!$F$5:$F$204,MATCH(C344,取引先マスタ!$A$5:$A$204,0)),DAY(EOMONTH(B344,INDEX(取引先マスタ!$E$5:$E$204,MATCH(C344,取引先マスタ!$A$5:$A$204,0))))))),""))</f>
        <v/>
      </c>
      <c r="H344" s="22"/>
      <c r="I344" s="25" t="str">
        <f aca="false">IF(H344&lt;&gt;"",H344,G344)</f>
        <v/>
      </c>
      <c r="J344" s="26"/>
      <c r="K344" s="22"/>
      <c r="L344" s="26"/>
      <c r="M344" s="27" t="str">
        <f aca="false">IF(A344="","",SUMIF(入金明細!$F$5:$F$1004,A344,入金明細!$E$5:$E$1004))</f>
        <v/>
      </c>
      <c r="N344" s="25" t="str">
        <f aca="false">IF(OR(A344="",N(M344)=0),"",SUMPRODUCT(MAX((入金明細!$F$5:$F$1004=A344)*入金明細!$B$5:$B$1004)))</f>
        <v/>
      </c>
      <c r="O344" s="18"/>
      <c r="P344" s="27" t="str">
        <f aca="false">IF(OR(A344="",F344=""),"",F344-N(M344)-N(O344))</f>
        <v/>
      </c>
      <c r="Q344" s="26"/>
      <c r="R344" s="28" t="str">
        <f aca="false">IF(A344="","",IF(Q344="取消","取消",IF(T344&lt;&gt;"","要入力",IF(K344="","未送付",IF(P344=0,"入金済",IF(P344&lt;0,"過入金",IF(設定!$C$5&gt;I344,IF(N(M344)&gt;0,"一部入金・超過","期日超過"),IF(N(M344)&gt;0,"一部入金",IF(I344-設定!$C$5&lt;=設定!$C$6,"期日間近","入金待ち")))))))))</f>
        <v/>
      </c>
      <c r="S344" s="29" t="str">
        <f aca="false">IF(OR(R344="期日超過",R344="一部入金・超過"),設定!$C$5-I344,"")</f>
        <v/>
      </c>
      <c r="T344" s="21" t="str">
        <f aca="false">IF(A344="","",TRIM(IF(B344="","請求日 ","")&amp;IF(C344="","取引先 ",IF(D344="コード誤り","取引先コード誤り ",""))&amp;IF(E344="","件名 ","")&amp;IF(F344="","請求額 ","")&amp;IF(AND(F344&lt;&gt;"",I344=""),"入金期日(マスタの支払条件が未登録) ","")&amp;IF(J344="","送付方法 ","")&amp;IF(AND(K344&lt;&gt;"",L344=""),"送付者 ","")&amp;IF(AND(K344&lt;&gt;"",N(K344)&gt;設定!$C$5),"送付日が未来の日付 ","")&amp;IF(AND(K344&lt;&gt;"",N(M344)&gt;0,N(P344)&lt;=0,U344=""),"消込確認者 ","")))</f>
        <v/>
      </c>
      <c r="U344" s="26"/>
      <c r="V344" s="26"/>
    </row>
    <row r="345" customFormat="false" ht="15" hidden="false" customHeight="false" outlineLevel="0" collapsed="false">
      <c r="A345" s="21" t="str">
        <f aca="false">IF(COUNTA(B345,C345,E345,F345)=0,"",設定!$C$4&amp;TEXT(ROW()-4,"00000"))</f>
        <v/>
      </c>
      <c r="B345" s="22"/>
      <c r="C345" s="23"/>
      <c r="D345" s="21" t="str">
        <f aca="false">IF(C345="","",IFERROR(INDEX(取引先マスタ!$B$5:$B$204,MATCH(C345,取引先マスタ!$A$5:$A$204,0)),"コード誤り"))</f>
        <v/>
      </c>
      <c r="E345" s="26"/>
      <c r="F345" s="18"/>
      <c r="G345" s="25" t="str">
        <f aca="false">IF(OR(B345="",C345="",D345="コード誤り"),"",IFERROR(IF(OR(INDEX(取引先マスタ!$E$5:$E$204,MATCH(C345,取引先マスタ!$A$5:$A$204,0))="",INDEX(取引先マスタ!$F$5:$F$204,MATCH(C345,取引先マスタ!$A$5:$A$204,0))=""),"",DATE(YEAR(B345),MONTH(B345)+INDEX(取引先マスタ!$E$5:$E$204,MATCH(C345,取引先マスタ!$A$5:$A$204,0)),MIN(INDEX(取引先マスタ!$F$5:$F$204,MATCH(C345,取引先マスタ!$A$5:$A$204,0)),DAY(EOMONTH(B345,INDEX(取引先マスタ!$E$5:$E$204,MATCH(C345,取引先マスタ!$A$5:$A$204,0))))))),""))</f>
        <v/>
      </c>
      <c r="H345" s="22"/>
      <c r="I345" s="25" t="str">
        <f aca="false">IF(H345&lt;&gt;"",H345,G345)</f>
        <v/>
      </c>
      <c r="J345" s="26"/>
      <c r="K345" s="22"/>
      <c r="L345" s="26"/>
      <c r="M345" s="27" t="str">
        <f aca="false">IF(A345="","",SUMIF(入金明細!$F$5:$F$1004,A345,入金明細!$E$5:$E$1004))</f>
        <v/>
      </c>
      <c r="N345" s="25" t="str">
        <f aca="false">IF(OR(A345="",N(M345)=0),"",SUMPRODUCT(MAX((入金明細!$F$5:$F$1004=A345)*入金明細!$B$5:$B$1004)))</f>
        <v/>
      </c>
      <c r="O345" s="18"/>
      <c r="P345" s="27" t="str">
        <f aca="false">IF(OR(A345="",F345=""),"",F345-N(M345)-N(O345))</f>
        <v/>
      </c>
      <c r="Q345" s="26"/>
      <c r="R345" s="28" t="str">
        <f aca="false">IF(A345="","",IF(Q345="取消","取消",IF(T345&lt;&gt;"","要入力",IF(K345="","未送付",IF(P345=0,"入金済",IF(P345&lt;0,"過入金",IF(設定!$C$5&gt;I345,IF(N(M345)&gt;0,"一部入金・超過","期日超過"),IF(N(M345)&gt;0,"一部入金",IF(I345-設定!$C$5&lt;=設定!$C$6,"期日間近","入金待ち")))))))))</f>
        <v/>
      </c>
      <c r="S345" s="29" t="str">
        <f aca="false">IF(OR(R345="期日超過",R345="一部入金・超過"),設定!$C$5-I345,"")</f>
        <v/>
      </c>
      <c r="T345" s="21" t="str">
        <f aca="false">IF(A345="","",TRIM(IF(B345="","請求日 ","")&amp;IF(C345="","取引先 ",IF(D345="コード誤り","取引先コード誤り ",""))&amp;IF(E345="","件名 ","")&amp;IF(F345="","請求額 ","")&amp;IF(AND(F345&lt;&gt;"",I345=""),"入金期日(マスタの支払条件が未登録) ","")&amp;IF(J345="","送付方法 ","")&amp;IF(AND(K345&lt;&gt;"",L345=""),"送付者 ","")&amp;IF(AND(K345&lt;&gt;"",N(K345)&gt;設定!$C$5),"送付日が未来の日付 ","")&amp;IF(AND(K345&lt;&gt;"",N(M345)&gt;0,N(P345)&lt;=0,U345=""),"消込確認者 ","")))</f>
        <v/>
      </c>
      <c r="U345" s="26"/>
      <c r="V345" s="26"/>
    </row>
    <row r="346" customFormat="false" ht="15" hidden="false" customHeight="false" outlineLevel="0" collapsed="false">
      <c r="A346" s="21" t="str">
        <f aca="false">IF(COUNTA(B346,C346,E346,F346)=0,"",設定!$C$4&amp;TEXT(ROW()-4,"00000"))</f>
        <v/>
      </c>
      <c r="B346" s="22"/>
      <c r="C346" s="23"/>
      <c r="D346" s="21" t="str">
        <f aca="false">IF(C346="","",IFERROR(INDEX(取引先マスタ!$B$5:$B$204,MATCH(C346,取引先マスタ!$A$5:$A$204,0)),"コード誤り"))</f>
        <v/>
      </c>
      <c r="E346" s="26"/>
      <c r="F346" s="18"/>
      <c r="G346" s="25" t="str">
        <f aca="false">IF(OR(B346="",C346="",D346="コード誤り"),"",IFERROR(IF(OR(INDEX(取引先マスタ!$E$5:$E$204,MATCH(C346,取引先マスタ!$A$5:$A$204,0))="",INDEX(取引先マスタ!$F$5:$F$204,MATCH(C346,取引先マスタ!$A$5:$A$204,0))=""),"",DATE(YEAR(B346),MONTH(B346)+INDEX(取引先マスタ!$E$5:$E$204,MATCH(C346,取引先マスタ!$A$5:$A$204,0)),MIN(INDEX(取引先マスタ!$F$5:$F$204,MATCH(C346,取引先マスタ!$A$5:$A$204,0)),DAY(EOMONTH(B346,INDEX(取引先マスタ!$E$5:$E$204,MATCH(C346,取引先マスタ!$A$5:$A$204,0))))))),""))</f>
        <v/>
      </c>
      <c r="H346" s="22"/>
      <c r="I346" s="25" t="str">
        <f aca="false">IF(H346&lt;&gt;"",H346,G346)</f>
        <v/>
      </c>
      <c r="J346" s="26"/>
      <c r="K346" s="22"/>
      <c r="L346" s="26"/>
      <c r="M346" s="27" t="str">
        <f aca="false">IF(A346="","",SUMIF(入金明細!$F$5:$F$1004,A346,入金明細!$E$5:$E$1004))</f>
        <v/>
      </c>
      <c r="N346" s="25" t="str">
        <f aca="false">IF(OR(A346="",N(M346)=0),"",SUMPRODUCT(MAX((入金明細!$F$5:$F$1004=A346)*入金明細!$B$5:$B$1004)))</f>
        <v/>
      </c>
      <c r="O346" s="18"/>
      <c r="P346" s="27" t="str">
        <f aca="false">IF(OR(A346="",F346=""),"",F346-N(M346)-N(O346))</f>
        <v/>
      </c>
      <c r="Q346" s="26"/>
      <c r="R346" s="28" t="str">
        <f aca="false">IF(A346="","",IF(Q346="取消","取消",IF(T346&lt;&gt;"","要入力",IF(K346="","未送付",IF(P346=0,"入金済",IF(P346&lt;0,"過入金",IF(設定!$C$5&gt;I346,IF(N(M346)&gt;0,"一部入金・超過","期日超過"),IF(N(M346)&gt;0,"一部入金",IF(I346-設定!$C$5&lt;=設定!$C$6,"期日間近","入金待ち")))))))))</f>
        <v/>
      </c>
      <c r="S346" s="29" t="str">
        <f aca="false">IF(OR(R346="期日超過",R346="一部入金・超過"),設定!$C$5-I346,"")</f>
        <v/>
      </c>
      <c r="T346" s="21" t="str">
        <f aca="false">IF(A346="","",TRIM(IF(B346="","請求日 ","")&amp;IF(C346="","取引先 ",IF(D346="コード誤り","取引先コード誤り ",""))&amp;IF(E346="","件名 ","")&amp;IF(F346="","請求額 ","")&amp;IF(AND(F346&lt;&gt;"",I346=""),"入金期日(マスタの支払条件が未登録) ","")&amp;IF(J346="","送付方法 ","")&amp;IF(AND(K346&lt;&gt;"",L346=""),"送付者 ","")&amp;IF(AND(K346&lt;&gt;"",N(K346)&gt;設定!$C$5),"送付日が未来の日付 ","")&amp;IF(AND(K346&lt;&gt;"",N(M346)&gt;0,N(P346)&lt;=0,U346=""),"消込確認者 ","")))</f>
        <v/>
      </c>
      <c r="U346" s="26"/>
      <c r="V346" s="26"/>
    </row>
    <row r="347" customFormat="false" ht="15" hidden="false" customHeight="false" outlineLevel="0" collapsed="false">
      <c r="A347" s="21" t="str">
        <f aca="false">IF(COUNTA(B347,C347,E347,F347)=0,"",設定!$C$4&amp;TEXT(ROW()-4,"00000"))</f>
        <v/>
      </c>
      <c r="B347" s="22"/>
      <c r="C347" s="23"/>
      <c r="D347" s="21" t="str">
        <f aca="false">IF(C347="","",IFERROR(INDEX(取引先マスタ!$B$5:$B$204,MATCH(C347,取引先マスタ!$A$5:$A$204,0)),"コード誤り"))</f>
        <v/>
      </c>
      <c r="E347" s="26"/>
      <c r="F347" s="18"/>
      <c r="G347" s="25" t="str">
        <f aca="false">IF(OR(B347="",C347="",D347="コード誤り"),"",IFERROR(IF(OR(INDEX(取引先マスタ!$E$5:$E$204,MATCH(C347,取引先マスタ!$A$5:$A$204,0))="",INDEX(取引先マスタ!$F$5:$F$204,MATCH(C347,取引先マスタ!$A$5:$A$204,0))=""),"",DATE(YEAR(B347),MONTH(B347)+INDEX(取引先マスタ!$E$5:$E$204,MATCH(C347,取引先マスタ!$A$5:$A$204,0)),MIN(INDEX(取引先マスタ!$F$5:$F$204,MATCH(C347,取引先マスタ!$A$5:$A$204,0)),DAY(EOMONTH(B347,INDEX(取引先マスタ!$E$5:$E$204,MATCH(C347,取引先マスタ!$A$5:$A$204,0))))))),""))</f>
        <v/>
      </c>
      <c r="H347" s="22"/>
      <c r="I347" s="25" t="str">
        <f aca="false">IF(H347&lt;&gt;"",H347,G347)</f>
        <v/>
      </c>
      <c r="J347" s="26"/>
      <c r="K347" s="22"/>
      <c r="L347" s="26"/>
      <c r="M347" s="27" t="str">
        <f aca="false">IF(A347="","",SUMIF(入金明細!$F$5:$F$1004,A347,入金明細!$E$5:$E$1004))</f>
        <v/>
      </c>
      <c r="N347" s="25" t="str">
        <f aca="false">IF(OR(A347="",N(M347)=0),"",SUMPRODUCT(MAX((入金明細!$F$5:$F$1004=A347)*入金明細!$B$5:$B$1004)))</f>
        <v/>
      </c>
      <c r="O347" s="18"/>
      <c r="P347" s="27" t="str">
        <f aca="false">IF(OR(A347="",F347=""),"",F347-N(M347)-N(O347))</f>
        <v/>
      </c>
      <c r="Q347" s="26"/>
      <c r="R347" s="28" t="str">
        <f aca="false">IF(A347="","",IF(Q347="取消","取消",IF(T347&lt;&gt;"","要入力",IF(K347="","未送付",IF(P347=0,"入金済",IF(P347&lt;0,"過入金",IF(設定!$C$5&gt;I347,IF(N(M347)&gt;0,"一部入金・超過","期日超過"),IF(N(M347)&gt;0,"一部入金",IF(I347-設定!$C$5&lt;=設定!$C$6,"期日間近","入金待ち")))))))))</f>
        <v/>
      </c>
      <c r="S347" s="29" t="str">
        <f aca="false">IF(OR(R347="期日超過",R347="一部入金・超過"),設定!$C$5-I347,"")</f>
        <v/>
      </c>
      <c r="T347" s="21" t="str">
        <f aca="false">IF(A347="","",TRIM(IF(B347="","請求日 ","")&amp;IF(C347="","取引先 ",IF(D347="コード誤り","取引先コード誤り ",""))&amp;IF(E347="","件名 ","")&amp;IF(F347="","請求額 ","")&amp;IF(AND(F347&lt;&gt;"",I347=""),"入金期日(マスタの支払条件が未登録) ","")&amp;IF(J347="","送付方法 ","")&amp;IF(AND(K347&lt;&gt;"",L347=""),"送付者 ","")&amp;IF(AND(K347&lt;&gt;"",N(K347)&gt;設定!$C$5),"送付日が未来の日付 ","")&amp;IF(AND(K347&lt;&gt;"",N(M347)&gt;0,N(P347)&lt;=0,U347=""),"消込確認者 ","")))</f>
        <v/>
      </c>
      <c r="U347" s="26"/>
      <c r="V347" s="26"/>
    </row>
    <row r="348" customFormat="false" ht="15" hidden="false" customHeight="false" outlineLevel="0" collapsed="false">
      <c r="A348" s="21" t="str">
        <f aca="false">IF(COUNTA(B348,C348,E348,F348)=0,"",設定!$C$4&amp;TEXT(ROW()-4,"00000"))</f>
        <v/>
      </c>
      <c r="B348" s="22"/>
      <c r="C348" s="23"/>
      <c r="D348" s="21" t="str">
        <f aca="false">IF(C348="","",IFERROR(INDEX(取引先マスタ!$B$5:$B$204,MATCH(C348,取引先マスタ!$A$5:$A$204,0)),"コード誤り"))</f>
        <v/>
      </c>
      <c r="E348" s="26"/>
      <c r="F348" s="18"/>
      <c r="G348" s="25" t="str">
        <f aca="false">IF(OR(B348="",C348="",D348="コード誤り"),"",IFERROR(IF(OR(INDEX(取引先マスタ!$E$5:$E$204,MATCH(C348,取引先マスタ!$A$5:$A$204,0))="",INDEX(取引先マスタ!$F$5:$F$204,MATCH(C348,取引先マスタ!$A$5:$A$204,0))=""),"",DATE(YEAR(B348),MONTH(B348)+INDEX(取引先マスタ!$E$5:$E$204,MATCH(C348,取引先マスタ!$A$5:$A$204,0)),MIN(INDEX(取引先マスタ!$F$5:$F$204,MATCH(C348,取引先マスタ!$A$5:$A$204,0)),DAY(EOMONTH(B348,INDEX(取引先マスタ!$E$5:$E$204,MATCH(C348,取引先マスタ!$A$5:$A$204,0))))))),""))</f>
        <v/>
      </c>
      <c r="H348" s="22"/>
      <c r="I348" s="25" t="str">
        <f aca="false">IF(H348&lt;&gt;"",H348,G348)</f>
        <v/>
      </c>
      <c r="J348" s="26"/>
      <c r="K348" s="22"/>
      <c r="L348" s="26"/>
      <c r="M348" s="27" t="str">
        <f aca="false">IF(A348="","",SUMIF(入金明細!$F$5:$F$1004,A348,入金明細!$E$5:$E$1004))</f>
        <v/>
      </c>
      <c r="N348" s="25" t="str">
        <f aca="false">IF(OR(A348="",N(M348)=0),"",SUMPRODUCT(MAX((入金明細!$F$5:$F$1004=A348)*入金明細!$B$5:$B$1004)))</f>
        <v/>
      </c>
      <c r="O348" s="18"/>
      <c r="P348" s="27" t="str">
        <f aca="false">IF(OR(A348="",F348=""),"",F348-N(M348)-N(O348))</f>
        <v/>
      </c>
      <c r="Q348" s="26"/>
      <c r="R348" s="28" t="str">
        <f aca="false">IF(A348="","",IF(Q348="取消","取消",IF(T348&lt;&gt;"","要入力",IF(K348="","未送付",IF(P348=0,"入金済",IF(P348&lt;0,"過入金",IF(設定!$C$5&gt;I348,IF(N(M348)&gt;0,"一部入金・超過","期日超過"),IF(N(M348)&gt;0,"一部入金",IF(I348-設定!$C$5&lt;=設定!$C$6,"期日間近","入金待ち")))))))))</f>
        <v/>
      </c>
      <c r="S348" s="29" t="str">
        <f aca="false">IF(OR(R348="期日超過",R348="一部入金・超過"),設定!$C$5-I348,"")</f>
        <v/>
      </c>
      <c r="T348" s="21" t="str">
        <f aca="false">IF(A348="","",TRIM(IF(B348="","請求日 ","")&amp;IF(C348="","取引先 ",IF(D348="コード誤り","取引先コード誤り ",""))&amp;IF(E348="","件名 ","")&amp;IF(F348="","請求額 ","")&amp;IF(AND(F348&lt;&gt;"",I348=""),"入金期日(マスタの支払条件が未登録) ","")&amp;IF(J348="","送付方法 ","")&amp;IF(AND(K348&lt;&gt;"",L348=""),"送付者 ","")&amp;IF(AND(K348&lt;&gt;"",N(K348)&gt;設定!$C$5),"送付日が未来の日付 ","")&amp;IF(AND(K348&lt;&gt;"",N(M348)&gt;0,N(P348)&lt;=0,U348=""),"消込確認者 ","")))</f>
        <v/>
      </c>
      <c r="U348" s="26"/>
      <c r="V348" s="26"/>
    </row>
    <row r="349" customFormat="false" ht="15" hidden="false" customHeight="false" outlineLevel="0" collapsed="false">
      <c r="A349" s="21" t="str">
        <f aca="false">IF(COUNTA(B349,C349,E349,F349)=0,"",設定!$C$4&amp;TEXT(ROW()-4,"00000"))</f>
        <v/>
      </c>
      <c r="B349" s="22"/>
      <c r="C349" s="23"/>
      <c r="D349" s="21" t="str">
        <f aca="false">IF(C349="","",IFERROR(INDEX(取引先マスタ!$B$5:$B$204,MATCH(C349,取引先マスタ!$A$5:$A$204,0)),"コード誤り"))</f>
        <v/>
      </c>
      <c r="E349" s="26"/>
      <c r="F349" s="18"/>
      <c r="G349" s="25" t="str">
        <f aca="false">IF(OR(B349="",C349="",D349="コード誤り"),"",IFERROR(IF(OR(INDEX(取引先マスタ!$E$5:$E$204,MATCH(C349,取引先マスタ!$A$5:$A$204,0))="",INDEX(取引先マスタ!$F$5:$F$204,MATCH(C349,取引先マスタ!$A$5:$A$204,0))=""),"",DATE(YEAR(B349),MONTH(B349)+INDEX(取引先マスタ!$E$5:$E$204,MATCH(C349,取引先マスタ!$A$5:$A$204,0)),MIN(INDEX(取引先マスタ!$F$5:$F$204,MATCH(C349,取引先マスタ!$A$5:$A$204,0)),DAY(EOMONTH(B349,INDEX(取引先マスタ!$E$5:$E$204,MATCH(C349,取引先マスタ!$A$5:$A$204,0))))))),""))</f>
        <v/>
      </c>
      <c r="H349" s="22"/>
      <c r="I349" s="25" t="str">
        <f aca="false">IF(H349&lt;&gt;"",H349,G349)</f>
        <v/>
      </c>
      <c r="J349" s="26"/>
      <c r="K349" s="22"/>
      <c r="L349" s="26"/>
      <c r="M349" s="27" t="str">
        <f aca="false">IF(A349="","",SUMIF(入金明細!$F$5:$F$1004,A349,入金明細!$E$5:$E$1004))</f>
        <v/>
      </c>
      <c r="N349" s="25" t="str">
        <f aca="false">IF(OR(A349="",N(M349)=0),"",SUMPRODUCT(MAX((入金明細!$F$5:$F$1004=A349)*入金明細!$B$5:$B$1004)))</f>
        <v/>
      </c>
      <c r="O349" s="18"/>
      <c r="P349" s="27" t="str">
        <f aca="false">IF(OR(A349="",F349=""),"",F349-N(M349)-N(O349))</f>
        <v/>
      </c>
      <c r="Q349" s="26"/>
      <c r="R349" s="28" t="str">
        <f aca="false">IF(A349="","",IF(Q349="取消","取消",IF(T349&lt;&gt;"","要入力",IF(K349="","未送付",IF(P349=0,"入金済",IF(P349&lt;0,"過入金",IF(設定!$C$5&gt;I349,IF(N(M349)&gt;0,"一部入金・超過","期日超過"),IF(N(M349)&gt;0,"一部入金",IF(I349-設定!$C$5&lt;=設定!$C$6,"期日間近","入金待ち")))))))))</f>
        <v/>
      </c>
      <c r="S349" s="29" t="str">
        <f aca="false">IF(OR(R349="期日超過",R349="一部入金・超過"),設定!$C$5-I349,"")</f>
        <v/>
      </c>
      <c r="T349" s="21" t="str">
        <f aca="false">IF(A349="","",TRIM(IF(B349="","請求日 ","")&amp;IF(C349="","取引先 ",IF(D349="コード誤り","取引先コード誤り ",""))&amp;IF(E349="","件名 ","")&amp;IF(F349="","請求額 ","")&amp;IF(AND(F349&lt;&gt;"",I349=""),"入金期日(マスタの支払条件が未登録) ","")&amp;IF(J349="","送付方法 ","")&amp;IF(AND(K349&lt;&gt;"",L349=""),"送付者 ","")&amp;IF(AND(K349&lt;&gt;"",N(K349)&gt;設定!$C$5),"送付日が未来の日付 ","")&amp;IF(AND(K349&lt;&gt;"",N(M349)&gt;0,N(P349)&lt;=0,U349=""),"消込確認者 ","")))</f>
        <v/>
      </c>
      <c r="U349" s="26"/>
      <c r="V349" s="26"/>
    </row>
    <row r="350" customFormat="false" ht="15" hidden="false" customHeight="false" outlineLevel="0" collapsed="false">
      <c r="A350" s="21" t="str">
        <f aca="false">IF(COUNTA(B350,C350,E350,F350)=0,"",設定!$C$4&amp;TEXT(ROW()-4,"00000"))</f>
        <v/>
      </c>
      <c r="B350" s="22"/>
      <c r="C350" s="23"/>
      <c r="D350" s="21" t="str">
        <f aca="false">IF(C350="","",IFERROR(INDEX(取引先マスタ!$B$5:$B$204,MATCH(C350,取引先マスタ!$A$5:$A$204,0)),"コード誤り"))</f>
        <v/>
      </c>
      <c r="E350" s="26"/>
      <c r="F350" s="18"/>
      <c r="G350" s="25" t="str">
        <f aca="false">IF(OR(B350="",C350="",D350="コード誤り"),"",IFERROR(IF(OR(INDEX(取引先マスタ!$E$5:$E$204,MATCH(C350,取引先マスタ!$A$5:$A$204,0))="",INDEX(取引先マスタ!$F$5:$F$204,MATCH(C350,取引先マスタ!$A$5:$A$204,0))=""),"",DATE(YEAR(B350),MONTH(B350)+INDEX(取引先マスタ!$E$5:$E$204,MATCH(C350,取引先マスタ!$A$5:$A$204,0)),MIN(INDEX(取引先マスタ!$F$5:$F$204,MATCH(C350,取引先マスタ!$A$5:$A$204,0)),DAY(EOMONTH(B350,INDEX(取引先マスタ!$E$5:$E$204,MATCH(C350,取引先マスタ!$A$5:$A$204,0))))))),""))</f>
        <v/>
      </c>
      <c r="H350" s="22"/>
      <c r="I350" s="25" t="str">
        <f aca="false">IF(H350&lt;&gt;"",H350,G350)</f>
        <v/>
      </c>
      <c r="J350" s="26"/>
      <c r="K350" s="22"/>
      <c r="L350" s="26"/>
      <c r="M350" s="27" t="str">
        <f aca="false">IF(A350="","",SUMIF(入金明細!$F$5:$F$1004,A350,入金明細!$E$5:$E$1004))</f>
        <v/>
      </c>
      <c r="N350" s="25" t="str">
        <f aca="false">IF(OR(A350="",N(M350)=0),"",SUMPRODUCT(MAX((入金明細!$F$5:$F$1004=A350)*入金明細!$B$5:$B$1004)))</f>
        <v/>
      </c>
      <c r="O350" s="18"/>
      <c r="P350" s="27" t="str">
        <f aca="false">IF(OR(A350="",F350=""),"",F350-N(M350)-N(O350))</f>
        <v/>
      </c>
      <c r="Q350" s="26"/>
      <c r="R350" s="28" t="str">
        <f aca="false">IF(A350="","",IF(Q350="取消","取消",IF(T350&lt;&gt;"","要入力",IF(K350="","未送付",IF(P350=0,"入金済",IF(P350&lt;0,"過入金",IF(設定!$C$5&gt;I350,IF(N(M350)&gt;0,"一部入金・超過","期日超過"),IF(N(M350)&gt;0,"一部入金",IF(I350-設定!$C$5&lt;=設定!$C$6,"期日間近","入金待ち")))))))))</f>
        <v/>
      </c>
      <c r="S350" s="29" t="str">
        <f aca="false">IF(OR(R350="期日超過",R350="一部入金・超過"),設定!$C$5-I350,"")</f>
        <v/>
      </c>
      <c r="T350" s="21" t="str">
        <f aca="false">IF(A350="","",TRIM(IF(B350="","請求日 ","")&amp;IF(C350="","取引先 ",IF(D350="コード誤り","取引先コード誤り ",""))&amp;IF(E350="","件名 ","")&amp;IF(F350="","請求額 ","")&amp;IF(AND(F350&lt;&gt;"",I350=""),"入金期日(マスタの支払条件が未登録) ","")&amp;IF(J350="","送付方法 ","")&amp;IF(AND(K350&lt;&gt;"",L350=""),"送付者 ","")&amp;IF(AND(K350&lt;&gt;"",N(K350)&gt;設定!$C$5),"送付日が未来の日付 ","")&amp;IF(AND(K350&lt;&gt;"",N(M350)&gt;0,N(P350)&lt;=0,U350=""),"消込確認者 ","")))</f>
        <v/>
      </c>
      <c r="U350" s="26"/>
      <c r="V350" s="26"/>
    </row>
    <row r="351" customFormat="false" ht="15" hidden="false" customHeight="false" outlineLevel="0" collapsed="false">
      <c r="A351" s="21" t="str">
        <f aca="false">IF(COUNTA(B351,C351,E351,F351)=0,"",設定!$C$4&amp;TEXT(ROW()-4,"00000"))</f>
        <v/>
      </c>
      <c r="B351" s="22"/>
      <c r="C351" s="23"/>
      <c r="D351" s="21" t="str">
        <f aca="false">IF(C351="","",IFERROR(INDEX(取引先マスタ!$B$5:$B$204,MATCH(C351,取引先マスタ!$A$5:$A$204,0)),"コード誤り"))</f>
        <v/>
      </c>
      <c r="E351" s="26"/>
      <c r="F351" s="18"/>
      <c r="G351" s="25" t="str">
        <f aca="false">IF(OR(B351="",C351="",D351="コード誤り"),"",IFERROR(IF(OR(INDEX(取引先マスタ!$E$5:$E$204,MATCH(C351,取引先マスタ!$A$5:$A$204,0))="",INDEX(取引先マスタ!$F$5:$F$204,MATCH(C351,取引先マスタ!$A$5:$A$204,0))=""),"",DATE(YEAR(B351),MONTH(B351)+INDEX(取引先マスタ!$E$5:$E$204,MATCH(C351,取引先マスタ!$A$5:$A$204,0)),MIN(INDEX(取引先マスタ!$F$5:$F$204,MATCH(C351,取引先マスタ!$A$5:$A$204,0)),DAY(EOMONTH(B351,INDEX(取引先マスタ!$E$5:$E$204,MATCH(C351,取引先マスタ!$A$5:$A$204,0))))))),""))</f>
        <v/>
      </c>
      <c r="H351" s="22"/>
      <c r="I351" s="25" t="str">
        <f aca="false">IF(H351&lt;&gt;"",H351,G351)</f>
        <v/>
      </c>
      <c r="J351" s="26"/>
      <c r="K351" s="22"/>
      <c r="L351" s="26"/>
      <c r="M351" s="27" t="str">
        <f aca="false">IF(A351="","",SUMIF(入金明細!$F$5:$F$1004,A351,入金明細!$E$5:$E$1004))</f>
        <v/>
      </c>
      <c r="N351" s="25" t="str">
        <f aca="false">IF(OR(A351="",N(M351)=0),"",SUMPRODUCT(MAX((入金明細!$F$5:$F$1004=A351)*入金明細!$B$5:$B$1004)))</f>
        <v/>
      </c>
      <c r="O351" s="18"/>
      <c r="P351" s="27" t="str">
        <f aca="false">IF(OR(A351="",F351=""),"",F351-N(M351)-N(O351))</f>
        <v/>
      </c>
      <c r="Q351" s="26"/>
      <c r="R351" s="28" t="str">
        <f aca="false">IF(A351="","",IF(Q351="取消","取消",IF(T351&lt;&gt;"","要入力",IF(K351="","未送付",IF(P351=0,"入金済",IF(P351&lt;0,"過入金",IF(設定!$C$5&gt;I351,IF(N(M351)&gt;0,"一部入金・超過","期日超過"),IF(N(M351)&gt;0,"一部入金",IF(I351-設定!$C$5&lt;=設定!$C$6,"期日間近","入金待ち")))))))))</f>
        <v/>
      </c>
      <c r="S351" s="29" t="str">
        <f aca="false">IF(OR(R351="期日超過",R351="一部入金・超過"),設定!$C$5-I351,"")</f>
        <v/>
      </c>
      <c r="T351" s="21" t="str">
        <f aca="false">IF(A351="","",TRIM(IF(B351="","請求日 ","")&amp;IF(C351="","取引先 ",IF(D351="コード誤り","取引先コード誤り ",""))&amp;IF(E351="","件名 ","")&amp;IF(F351="","請求額 ","")&amp;IF(AND(F351&lt;&gt;"",I351=""),"入金期日(マスタの支払条件が未登録) ","")&amp;IF(J351="","送付方法 ","")&amp;IF(AND(K351&lt;&gt;"",L351=""),"送付者 ","")&amp;IF(AND(K351&lt;&gt;"",N(K351)&gt;設定!$C$5),"送付日が未来の日付 ","")&amp;IF(AND(K351&lt;&gt;"",N(M351)&gt;0,N(P351)&lt;=0,U351=""),"消込確認者 ","")))</f>
        <v/>
      </c>
      <c r="U351" s="26"/>
      <c r="V351" s="26"/>
    </row>
    <row r="352" customFormat="false" ht="15" hidden="false" customHeight="false" outlineLevel="0" collapsed="false">
      <c r="A352" s="21" t="str">
        <f aca="false">IF(COUNTA(B352,C352,E352,F352)=0,"",設定!$C$4&amp;TEXT(ROW()-4,"00000"))</f>
        <v/>
      </c>
      <c r="B352" s="22"/>
      <c r="C352" s="23"/>
      <c r="D352" s="21" t="str">
        <f aca="false">IF(C352="","",IFERROR(INDEX(取引先マスタ!$B$5:$B$204,MATCH(C352,取引先マスタ!$A$5:$A$204,0)),"コード誤り"))</f>
        <v/>
      </c>
      <c r="E352" s="26"/>
      <c r="F352" s="18"/>
      <c r="G352" s="25" t="str">
        <f aca="false">IF(OR(B352="",C352="",D352="コード誤り"),"",IFERROR(IF(OR(INDEX(取引先マスタ!$E$5:$E$204,MATCH(C352,取引先マスタ!$A$5:$A$204,0))="",INDEX(取引先マスタ!$F$5:$F$204,MATCH(C352,取引先マスタ!$A$5:$A$204,0))=""),"",DATE(YEAR(B352),MONTH(B352)+INDEX(取引先マスタ!$E$5:$E$204,MATCH(C352,取引先マスタ!$A$5:$A$204,0)),MIN(INDEX(取引先マスタ!$F$5:$F$204,MATCH(C352,取引先マスタ!$A$5:$A$204,0)),DAY(EOMONTH(B352,INDEX(取引先マスタ!$E$5:$E$204,MATCH(C352,取引先マスタ!$A$5:$A$204,0))))))),""))</f>
        <v/>
      </c>
      <c r="H352" s="22"/>
      <c r="I352" s="25" t="str">
        <f aca="false">IF(H352&lt;&gt;"",H352,G352)</f>
        <v/>
      </c>
      <c r="J352" s="26"/>
      <c r="K352" s="22"/>
      <c r="L352" s="26"/>
      <c r="M352" s="27" t="str">
        <f aca="false">IF(A352="","",SUMIF(入金明細!$F$5:$F$1004,A352,入金明細!$E$5:$E$1004))</f>
        <v/>
      </c>
      <c r="N352" s="25" t="str">
        <f aca="false">IF(OR(A352="",N(M352)=0),"",SUMPRODUCT(MAX((入金明細!$F$5:$F$1004=A352)*入金明細!$B$5:$B$1004)))</f>
        <v/>
      </c>
      <c r="O352" s="18"/>
      <c r="P352" s="27" t="str">
        <f aca="false">IF(OR(A352="",F352=""),"",F352-N(M352)-N(O352))</f>
        <v/>
      </c>
      <c r="Q352" s="26"/>
      <c r="R352" s="28" t="str">
        <f aca="false">IF(A352="","",IF(Q352="取消","取消",IF(T352&lt;&gt;"","要入力",IF(K352="","未送付",IF(P352=0,"入金済",IF(P352&lt;0,"過入金",IF(設定!$C$5&gt;I352,IF(N(M352)&gt;0,"一部入金・超過","期日超過"),IF(N(M352)&gt;0,"一部入金",IF(I352-設定!$C$5&lt;=設定!$C$6,"期日間近","入金待ち")))))))))</f>
        <v/>
      </c>
      <c r="S352" s="29" t="str">
        <f aca="false">IF(OR(R352="期日超過",R352="一部入金・超過"),設定!$C$5-I352,"")</f>
        <v/>
      </c>
      <c r="T352" s="21" t="str">
        <f aca="false">IF(A352="","",TRIM(IF(B352="","請求日 ","")&amp;IF(C352="","取引先 ",IF(D352="コード誤り","取引先コード誤り ",""))&amp;IF(E352="","件名 ","")&amp;IF(F352="","請求額 ","")&amp;IF(AND(F352&lt;&gt;"",I352=""),"入金期日(マスタの支払条件が未登録) ","")&amp;IF(J352="","送付方法 ","")&amp;IF(AND(K352&lt;&gt;"",L352=""),"送付者 ","")&amp;IF(AND(K352&lt;&gt;"",N(K352)&gt;設定!$C$5),"送付日が未来の日付 ","")&amp;IF(AND(K352&lt;&gt;"",N(M352)&gt;0,N(P352)&lt;=0,U352=""),"消込確認者 ","")))</f>
        <v/>
      </c>
      <c r="U352" s="26"/>
      <c r="V352" s="26"/>
    </row>
    <row r="353" customFormat="false" ht="15" hidden="false" customHeight="false" outlineLevel="0" collapsed="false">
      <c r="A353" s="21" t="str">
        <f aca="false">IF(COUNTA(B353,C353,E353,F353)=0,"",設定!$C$4&amp;TEXT(ROW()-4,"00000"))</f>
        <v/>
      </c>
      <c r="B353" s="22"/>
      <c r="C353" s="23"/>
      <c r="D353" s="21" t="str">
        <f aca="false">IF(C353="","",IFERROR(INDEX(取引先マスタ!$B$5:$B$204,MATCH(C353,取引先マスタ!$A$5:$A$204,0)),"コード誤り"))</f>
        <v/>
      </c>
      <c r="E353" s="26"/>
      <c r="F353" s="18"/>
      <c r="G353" s="25" t="str">
        <f aca="false">IF(OR(B353="",C353="",D353="コード誤り"),"",IFERROR(IF(OR(INDEX(取引先マスタ!$E$5:$E$204,MATCH(C353,取引先マスタ!$A$5:$A$204,0))="",INDEX(取引先マスタ!$F$5:$F$204,MATCH(C353,取引先マスタ!$A$5:$A$204,0))=""),"",DATE(YEAR(B353),MONTH(B353)+INDEX(取引先マスタ!$E$5:$E$204,MATCH(C353,取引先マスタ!$A$5:$A$204,0)),MIN(INDEX(取引先マスタ!$F$5:$F$204,MATCH(C353,取引先マスタ!$A$5:$A$204,0)),DAY(EOMONTH(B353,INDEX(取引先マスタ!$E$5:$E$204,MATCH(C353,取引先マスタ!$A$5:$A$204,0))))))),""))</f>
        <v/>
      </c>
      <c r="H353" s="22"/>
      <c r="I353" s="25" t="str">
        <f aca="false">IF(H353&lt;&gt;"",H353,G353)</f>
        <v/>
      </c>
      <c r="J353" s="26"/>
      <c r="K353" s="22"/>
      <c r="L353" s="26"/>
      <c r="M353" s="27" t="str">
        <f aca="false">IF(A353="","",SUMIF(入金明細!$F$5:$F$1004,A353,入金明細!$E$5:$E$1004))</f>
        <v/>
      </c>
      <c r="N353" s="25" t="str">
        <f aca="false">IF(OR(A353="",N(M353)=0),"",SUMPRODUCT(MAX((入金明細!$F$5:$F$1004=A353)*入金明細!$B$5:$B$1004)))</f>
        <v/>
      </c>
      <c r="O353" s="18"/>
      <c r="P353" s="27" t="str">
        <f aca="false">IF(OR(A353="",F353=""),"",F353-N(M353)-N(O353))</f>
        <v/>
      </c>
      <c r="Q353" s="26"/>
      <c r="R353" s="28" t="str">
        <f aca="false">IF(A353="","",IF(Q353="取消","取消",IF(T353&lt;&gt;"","要入力",IF(K353="","未送付",IF(P353=0,"入金済",IF(P353&lt;0,"過入金",IF(設定!$C$5&gt;I353,IF(N(M353)&gt;0,"一部入金・超過","期日超過"),IF(N(M353)&gt;0,"一部入金",IF(I353-設定!$C$5&lt;=設定!$C$6,"期日間近","入金待ち")))))))))</f>
        <v/>
      </c>
      <c r="S353" s="29" t="str">
        <f aca="false">IF(OR(R353="期日超過",R353="一部入金・超過"),設定!$C$5-I353,"")</f>
        <v/>
      </c>
      <c r="T353" s="21" t="str">
        <f aca="false">IF(A353="","",TRIM(IF(B353="","請求日 ","")&amp;IF(C353="","取引先 ",IF(D353="コード誤り","取引先コード誤り ",""))&amp;IF(E353="","件名 ","")&amp;IF(F353="","請求額 ","")&amp;IF(AND(F353&lt;&gt;"",I353=""),"入金期日(マスタの支払条件が未登録) ","")&amp;IF(J353="","送付方法 ","")&amp;IF(AND(K353&lt;&gt;"",L353=""),"送付者 ","")&amp;IF(AND(K353&lt;&gt;"",N(K353)&gt;設定!$C$5),"送付日が未来の日付 ","")&amp;IF(AND(K353&lt;&gt;"",N(M353)&gt;0,N(P353)&lt;=0,U353=""),"消込確認者 ","")))</f>
        <v/>
      </c>
      <c r="U353" s="26"/>
      <c r="V353" s="26"/>
    </row>
    <row r="354" customFormat="false" ht="15" hidden="false" customHeight="false" outlineLevel="0" collapsed="false">
      <c r="A354" s="21" t="str">
        <f aca="false">IF(COUNTA(B354,C354,E354,F354)=0,"",設定!$C$4&amp;TEXT(ROW()-4,"00000"))</f>
        <v/>
      </c>
      <c r="B354" s="22"/>
      <c r="C354" s="23"/>
      <c r="D354" s="21" t="str">
        <f aca="false">IF(C354="","",IFERROR(INDEX(取引先マスタ!$B$5:$B$204,MATCH(C354,取引先マスタ!$A$5:$A$204,0)),"コード誤り"))</f>
        <v/>
      </c>
      <c r="E354" s="26"/>
      <c r="F354" s="18"/>
      <c r="G354" s="25" t="str">
        <f aca="false">IF(OR(B354="",C354="",D354="コード誤り"),"",IFERROR(IF(OR(INDEX(取引先マスタ!$E$5:$E$204,MATCH(C354,取引先マスタ!$A$5:$A$204,0))="",INDEX(取引先マスタ!$F$5:$F$204,MATCH(C354,取引先マスタ!$A$5:$A$204,0))=""),"",DATE(YEAR(B354),MONTH(B354)+INDEX(取引先マスタ!$E$5:$E$204,MATCH(C354,取引先マスタ!$A$5:$A$204,0)),MIN(INDEX(取引先マスタ!$F$5:$F$204,MATCH(C354,取引先マスタ!$A$5:$A$204,0)),DAY(EOMONTH(B354,INDEX(取引先マスタ!$E$5:$E$204,MATCH(C354,取引先マスタ!$A$5:$A$204,0))))))),""))</f>
        <v/>
      </c>
      <c r="H354" s="22"/>
      <c r="I354" s="25" t="str">
        <f aca="false">IF(H354&lt;&gt;"",H354,G354)</f>
        <v/>
      </c>
      <c r="J354" s="26"/>
      <c r="K354" s="22"/>
      <c r="L354" s="26"/>
      <c r="M354" s="27" t="str">
        <f aca="false">IF(A354="","",SUMIF(入金明細!$F$5:$F$1004,A354,入金明細!$E$5:$E$1004))</f>
        <v/>
      </c>
      <c r="N354" s="25" t="str">
        <f aca="false">IF(OR(A354="",N(M354)=0),"",SUMPRODUCT(MAX((入金明細!$F$5:$F$1004=A354)*入金明細!$B$5:$B$1004)))</f>
        <v/>
      </c>
      <c r="O354" s="18"/>
      <c r="P354" s="27" t="str">
        <f aca="false">IF(OR(A354="",F354=""),"",F354-N(M354)-N(O354))</f>
        <v/>
      </c>
      <c r="Q354" s="26"/>
      <c r="R354" s="28" t="str">
        <f aca="false">IF(A354="","",IF(Q354="取消","取消",IF(T354&lt;&gt;"","要入力",IF(K354="","未送付",IF(P354=0,"入金済",IF(P354&lt;0,"過入金",IF(設定!$C$5&gt;I354,IF(N(M354)&gt;0,"一部入金・超過","期日超過"),IF(N(M354)&gt;0,"一部入金",IF(I354-設定!$C$5&lt;=設定!$C$6,"期日間近","入金待ち")))))))))</f>
        <v/>
      </c>
      <c r="S354" s="29" t="str">
        <f aca="false">IF(OR(R354="期日超過",R354="一部入金・超過"),設定!$C$5-I354,"")</f>
        <v/>
      </c>
      <c r="T354" s="21" t="str">
        <f aca="false">IF(A354="","",TRIM(IF(B354="","請求日 ","")&amp;IF(C354="","取引先 ",IF(D354="コード誤り","取引先コード誤り ",""))&amp;IF(E354="","件名 ","")&amp;IF(F354="","請求額 ","")&amp;IF(AND(F354&lt;&gt;"",I354=""),"入金期日(マスタの支払条件が未登録) ","")&amp;IF(J354="","送付方法 ","")&amp;IF(AND(K354&lt;&gt;"",L354=""),"送付者 ","")&amp;IF(AND(K354&lt;&gt;"",N(K354)&gt;設定!$C$5),"送付日が未来の日付 ","")&amp;IF(AND(K354&lt;&gt;"",N(M354)&gt;0,N(P354)&lt;=0,U354=""),"消込確認者 ","")))</f>
        <v/>
      </c>
      <c r="U354" s="26"/>
      <c r="V354" s="26"/>
    </row>
    <row r="355" customFormat="false" ht="15" hidden="false" customHeight="false" outlineLevel="0" collapsed="false">
      <c r="A355" s="21" t="str">
        <f aca="false">IF(COUNTA(B355,C355,E355,F355)=0,"",設定!$C$4&amp;TEXT(ROW()-4,"00000"))</f>
        <v/>
      </c>
      <c r="B355" s="22"/>
      <c r="C355" s="23"/>
      <c r="D355" s="21" t="str">
        <f aca="false">IF(C355="","",IFERROR(INDEX(取引先マスタ!$B$5:$B$204,MATCH(C355,取引先マスタ!$A$5:$A$204,0)),"コード誤り"))</f>
        <v/>
      </c>
      <c r="E355" s="26"/>
      <c r="F355" s="18"/>
      <c r="G355" s="25" t="str">
        <f aca="false">IF(OR(B355="",C355="",D355="コード誤り"),"",IFERROR(IF(OR(INDEX(取引先マスタ!$E$5:$E$204,MATCH(C355,取引先マスタ!$A$5:$A$204,0))="",INDEX(取引先マスタ!$F$5:$F$204,MATCH(C355,取引先マスタ!$A$5:$A$204,0))=""),"",DATE(YEAR(B355),MONTH(B355)+INDEX(取引先マスタ!$E$5:$E$204,MATCH(C355,取引先マスタ!$A$5:$A$204,0)),MIN(INDEX(取引先マスタ!$F$5:$F$204,MATCH(C355,取引先マスタ!$A$5:$A$204,0)),DAY(EOMONTH(B355,INDEX(取引先マスタ!$E$5:$E$204,MATCH(C355,取引先マスタ!$A$5:$A$204,0))))))),""))</f>
        <v/>
      </c>
      <c r="H355" s="22"/>
      <c r="I355" s="25" t="str">
        <f aca="false">IF(H355&lt;&gt;"",H355,G355)</f>
        <v/>
      </c>
      <c r="J355" s="26"/>
      <c r="K355" s="22"/>
      <c r="L355" s="26"/>
      <c r="M355" s="27" t="str">
        <f aca="false">IF(A355="","",SUMIF(入金明細!$F$5:$F$1004,A355,入金明細!$E$5:$E$1004))</f>
        <v/>
      </c>
      <c r="N355" s="25" t="str">
        <f aca="false">IF(OR(A355="",N(M355)=0),"",SUMPRODUCT(MAX((入金明細!$F$5:$F$1004=A355)*入金明細!$B$5:$B$1004)))</f>
        <v/>
      </c>
      <c r="O355" s="18"/>
      <c r="P355" s="27" t="str">
        <f aca="false">IF(OR(A355="",F355=""),"",F355-N(M355)-N(O355))</f>
        <v/>
      </c>
      <c r="Q355" s="26"/>
      <c r="R355" s="28" t="str">
        <f aca="false">IF(A355="","",IF(Q355="取消","取消",IF(T355&lt;&gt;"","要入力",IF(K355="","未送付",IF(P355=0,"入金済",IF(P355&lt;0,"過入金",IF(設定!$C$5&gt;I355,IF(N(M355)&gt;0,"一部入金・超過","期日超過"),IF(N(M355)&gt;0,"一部入金",IF(I355-設定!$C$5&lt;=設定!$C$6,"期日間近","入金待ち")))))))))</f>
        <v/>
      </c>
      <c r="S355" s="29" t="str">
        <f aca="false">IF(OR(R355="期日超過",R355="一部入金・超過"),設定!$C$5-I355,"")</f>
        <v/>
      </c>
      <c r="T355" s="21" t="str">
        <f aca="false">IF(A355="","",TRIM(IF(B355="","請求日 ","")&amp;IF(C355="","取引先 ",IF(D355="コード誤り","取引先コード誤り ",""))&amp;IF(E355="","件名 ","")&amp;IF(F355="","請求額 ","")&amp;IF(AND(F355&lt;&gt;"",I355=""),"入金期日(マスタの支払条件が未登録) ","")&amp;IF(J355="","送付方法 ","")&amp;IF(AND(K355&lt;&gt;"",L355=""),"送付者 ","")&amp;IF(AND(K355&lt;&gt;"",N(K355)&gt;設定!$C$5),"送付日が未来の日付 ","")&amp;IF(AND(K355&lt;&gt;"",N(M355)&gt;0,N(P355)&lt;=0,U355=""),"消込確認者 ","")))</f>
        <v/>
      </c>
      <c r="U355" s="26"/>
      <c r="V355" s="26"/>
    </row>
    <row r="356" customFormat="false" ht="15" hidden="false" customHeight="false" outlineLevel="0" collapsed="false">
      <c r="A356" s="21" t="str">
        <f aca="false">IF(COUNTA(B356,C356,E356,F356)=0,"",設定!$C$4&amp;TEXT(ROW()-4,"00000"))</f>
        <v/>
      </c>
      <c r="B356" s="22"/>
      <c r="C356" s="23"/>
      <c r="D356" s="21" t="str">
        <f aca="false">IF(C356="","",IFERROR(INDEX(取引先マスタ!$B$5:$B$204,MATCH(C356,取引先マスタ!$A$5:$A$204,0)),"コード誤り"))</f>
        <v/>
      </c>
      <c r="E356" s="26"/>
      <c r="F356" s="18"/>
      <c r="G356" s="25" t="str">
        <f aca="false">IF(OR(B356="",C356="",D356="コード誤り"),"",IFERROR(IF(OR(INDEX(取引先マスタ!$E$5:$E$204,MATCH(C356,取引先マスタ!$A$5:$A$204,0))="",INDEX(取引先マスタ!$F$5:$F$204,MATCH(C356,取引先マスタ!$A$5:$A$204,0))=""),"",DATE(YEAR(B356),MONTH(B356)+INDEX(取引先マスタ!$E$5:$E$204,MATCH(C356,取引先マスタ!$A$5:$A$204,0)),MIN(INDEX(取引先マスタ!$F$5:$F$204,MATCH(C356,取引先マスタ!$A$5:$A$204,0)),DAY(EOMONTH(B356,INDEX(取引先マスタ!$E$5:$E$204,MATCH(C356,取引先マスタ!$A$5:$A$204,0))))))),""))</f>
        <v/>
      </c>
      <c r="H356" s="22"/>
      <c r="I356" s="25" t="str">
        <f aca="false">IF(H356&lt;&gt;"",H356,G356)</f>
        <v/>
      </c>
      <c r="J356" s="26"/>
      <c r="K356" s="22"/>
      <c r="L356" s="26"/>
      <c r="M356" s="27" t="str">
        <f aca="false">IF(A356="","",SUMIF(入金明細!$F$5:$F$1004,A356,入金明細!$E$5:$E$1004))</f>
        <v/>
      </c>
      <c r="N356" s="25" t="str">
        <f aca="false">IF(OR(A356="",N(M356)=0),"",SUMPRODUCT(MAX((入金明細!$F$5:$F$1004=A356)*入金明細!$B$5:$B$1004)))</f>
        <v/>
      </c>
      <c r="O356" s="18"/>
      <c r="P356" s="27" t="str">
        <f aca="false">IF(OR(A356="",F356=""),"",F356-N(M356)-N(O356))</f>
        <v/>
      </c>
      <c r="Q356" s="26"/>
      <c r="R356" s="28" t="str">
        <f aca="false">IF(A356="","",IF(Q356="取消","取消",IF(T356&lt;&gt;"","要入力",IF(K356="","未送付",IF(P356=0,"入金済",IF(P356&lt;0,"過入金",IF(設定!$C$5&gt;I356,IF(N(M356)&gt;0,"一部入金・超過","期日超過"),IF(N(M356)&gt;0,"一部入金",IF(I356-設定!$C$5&lt;=設定!$C$6,"期日間近","入金待ち")))))))))</f>
        <v/>
      </c>
      <c r="S356" s="29" t="str">
        <f aca="false">IF(OR(R356="期日超過",R356="一部入金・超過"),設定!$C$5-I356,"")</f>
        <v/>
      </c>
      <c r="T356" s="21" t="str">
        <f aca="false">IF(A356="","",TRIM(IF(B356="","請求日 ","")&amp;IF(C356="","取引先 ",IF(D356="コード誤り","取引先コード誤り ",""))&amp;IF(E356="","件名 ","")&amp;IF(F356="","請求額 ","")&amp;IF(AND(F356&lt;&gt;"",I356=""),"入金期日(マスタの支払条件が未登録) ","")&amp;IF(J356="","送付方法 ","")&amp;IF(AND(K356&lt;&gt;"",L356=""),"送付者 ","")&amp;IF(AND(K356&lt;&gt;"",N(K356)&gt;設定!$C$5),"送付日が未来の日付 ","")&amp;IF(AND(K356&lt;&gt;"",N(M356)&gt;0,N(P356)&lt;=0,U356=""),"消込確認者 ","")))</f>
        <v/>
      </c>
      <c r="U356" s="26"/>
      <c r="V356" s="26"/>
    </row>
    <row r="357" customFormat="false" ht="15" hidden="false" customHeight="false" outlineLevel="0" collapsed="false">
      <c r="A357" s="21" t="str">
        <f aca="false">IF(COUNTA(B357,C357,E357,F357)=0,"",設定!$C$4&amp;TEXT(ROW()-4,"00000"))</f>
        <v/>
      </c>
      <c r="B357" s="22"/>
      <c r="C357" s="23"/>
      <c r="D357" s="21" t="str">
        <f aca="false">IF(C357="","",IFERROR(INDEX(取引先マスタ!$B$5:$B$204,MATCH(C357,取引先マスタ!$A$5:$A$204,0)),"コード誤り"))</f>
        <v/>
      </c>
      <c r="E357" s="26"/>
      <c r="F357" s="18"/>
      <c r="G357" s="25" t="str">
        <f aca="false">IF(OR(B357="",C357="",D357="コード誤り"),"",IFERROR(IF(OR(INDEX(取引先マスタ!$E$5:$E$204,MATCH(C357,取引先マスタ!$A$5:$A$204,0))="",INDEX(取引先マスタ!$F$5:$F$204,MATCH(C357,取引先マスタ!$A$5:$A$204,0))=""),"",DATE(YEAR(B357),MONTH(B357)+INDEX(取引先マスタ!$E$5:$E$204,MATCH(C357,取引先マスタ!$A$5:$A$204,0)),MIN(INDEX(取引先マスタ!$F$5:$F$204,MATCH(C357,取引先マスタ!$A$5:$A$204,0)),DAY(EOMONTH(B357,INDEX(取引先マスタ!$E$5:$E$204,MATCH(C357,取引先マスタ!$A$5:$A$204,0))))))),""))</f>
        <v/>
      </c>
      <c r="H357" s="22"/>
      <c r="I357" s="25" t="str">
        <f aca="false">IF(H357&lt;&gt;"",H357,G357)</f>
        <v/>
      </c>
      <c r="J357" s="26"/>
      <c r="K357" s="22"/>
      <c r="L357" s="26"/>
      <c r="M357" s="27" t="str">
        <f aca="false">IF(A357="","",SUMIF(入金明細!$F$5:$F$1004,A357,入金明細!$E$5:$E$1004))</f>
        <v/>
      </c>
      <c r="N357" s="25" t="str">
        <f aca="false">IF(OR(A357="",N(M357)=0),"",SUMPRODUCT(MAX((入金明細!$F$5:$F$1004=A357)*入金明細!$B$5:$B$1004)))</f>
        <v/>
      </c>
      <c r="O357" s="18"/>
      <c r="P357" s="27" t="str">
        <f aca="false">IF(OR(A357="",F357=""),"",F357-N(M357)-N(O357))</f>
        <v/>
      </c>
      <c r="Q357" s="26"/>
      <c r="R357" s="28" t="str">
        <f aca="false">IF(A357="","",IF(Q357="取消","取消",IF(T357&lt;&gt;"","要入力",IF(K357="","未送付",IF(P357=0,"入金済",IF(P357&lt;0,"過入金",IF(設定!$C$5&gt;I357,IF(N(M357)&gt;0,"一部入金・超過","期日超過"),IF(N(M357)&gt;0,"一部入金",IF(I357-設定!$C$5&lt;=設定!$C$6,"期日間近","入金待ち")))))))))</f>
        <v/>
      </c>
      <c r="S357" s="29" t="str">
        <f aca="false">IF(OR(R357="期日超過",R357="一部入金・超過"),設定!$C$5-I357,"")</f>
        <v/>
      </c>
      <c r="T357" s="21" t="str">
        <f aca="false">IF(A357="","",TRIM(IF(B357="","請求日 ","")&amp;IF(C357="","取引先 ",IF(D357="コード誤り","取引先コード誤り ",""))&amp;IF(E357="","件名 ","")&amp;IF(F357="","請求額 ","")&amp;IF(AND(F357&lt;&gt;"",I357=""),"入金期日(マスタの支払条件が未登録) ","")&amp;IF(J357="","送付方法 ","")&amp;IF(AND(K357&lt;&gt;"",L357=""),"送付者 ","")&amp;IF(AND(K357&lt;&gt;"",N(K357)&gt;設定!$C$5),"送付日が未来の日付 ","")&amp;IF(AND(K357&lt;&gt;"",N(M357)&gt;0,N(P357)&lt;=0,U357=""),"消込確認者 ","")))</f>
        <v/>
      </c>
      <c r="U357" s="26"/>
      <c r="V357" s="26"/>
    </row>
    <row r="358" customFormat="false" ht="15" hidden="false" customHeight="false" outlineLevel="0" collapsed="false">
      <c r="A358" s="21" t="str">
        <f aca="false">IF(COUNTA(B358,C358,E358,F358)=0,"",設定!$C$4&amp;TEXT(ROW()-4,"00000"))</f>
        <v/>
      </c>
      <c r="B358" s="22"/>
      <c r="C358" s="23"/>
      <c r="D358" s="21" t="str">
        <f aca="false">IF(C358="","",IFERROR(INDEX(取引先マスタ!$B$5:$B$204,MATCH(C358,取引先マスタ!$A$5:$A$204,0)),"コード誤り"))</f>
        <v/>
      </c>
      <c r="E358" s="26"/>
      <c r="F358" s="18"/>
      <c r="G358" s="25" t="str">
        <f aca="false">IF(OR(B358="",C358="",D358="コード誤り"),"",IFERROR(IF(OR(INDEX(取引先マスタ!$E$5:$E$204,MATCH(C358,取引先マスタ!$A$5:$A$204,0))="",INDEX(取引先マスタ!$F$5:$F$204,MATCH(C358,取引先マスタ!$A$5:$A$204,0))=""),"",DATE(YEAR(B358),MONTH(B358)+INDEX(取引先マスタ!$E$5:$E$204,MATCH(C358,取引先マスタ!$A$5:$A$204,0)),MIN(INDEX(取引先マスタ!$F$5:$F$204,MATCH(C358,取引先マスタ!$A$5:$A$204,0)),DAY(EOMONTH(B358,INDEX(取引先マスタ!$E$5:$E$204,MATCH(C358,取引先マスタ!$A$5:$A$204,0))))))),""))</f>
        <v/>
      </c>
      <c r="H358" s="22"/>
      <c r="I358" s="25" t="str">
        <f aca="false">IF(H358&lt;&gt;"",H358,G358)</f>
        <v/>
      </c>
      <c r="J358" s="26"/>
      <c r="K358" s="22"/>
      <c r="L358" s="26"/>
      <c r="M358" s="27" t="str">
        <f aca="false">IF(A358="","",SUMIF(入金明細!$F$5:$F$1004,A358,入金明細!$E$5:$E$1004))</f>
        <v/>
      </c>
      <c r="N358" s="25" t="str">
        <f aca="false">IF(OR(A358="",N(M358)=0),"",SUMPRODUCT(MAX((入金明細!$F$5:$F$1004=A358)*入金明細!$B$5:$B$1004)))</f>
        <v/>
      </c>
      <c r="O358" s="18"/>
      <c r="P358" s="27" t="str">
        <f aca="false">IF(OR(A358="",F358=""),"",F358-N(M358)-N(O358))</f>
        <v/>
      </c>
      <c r="Q358" s="26"/>
      <c r="R358" s="28" t="str">
        <f aca="false">IF(A358="","",IF(Q358="取消","取消",IF(T358&lt;&gt;"","要入力",IF(K358="","未送付",IF(P358=0,"入金済",IF(P358&lt;0,"過入金",IF(設定!$C$5&gt;I358,IF(N(M358)&gt;0,"一部入金・超過","期日超過"),IF(N(M358)&gt;0,"一部入金",IF(I358-設定!$C$5&lt;=設定!$C$6,"期日間近","入金待ち")))))))))</f>
        <v/>
      </c>
      <c r="S358" s="29" t="str">
        <f aca="false">IF(OR(R358="期日超過",R358="一部入金・超過"),設定!$C$5-I358,"")</f>
        <v/>
      </c>
      <c r="T358" s="21" t="str">
        <f aca="false">IF(A358="","",TRIM(IF(B358="","請求日 ","")&amp;IF(C358="","取引先 ",IF(D358="コード誤り","取引先コード誤り ",""))&amp;IF(E358="","件名 ","")&amp;IF(F358="","請求額 ","")&amp;IF(AND(F358&lt;&gt;"",I358=""),"入金期日(マスタの支払条件が未登録) ","")&amp;IF(J358="","送付方法 ","")&amp;IF(AND(K358&lt;&gt;"",L358=""),"送付者 ","")&amp;IF(AND(K358&lt;&gt;"",N(K358)&gt;設定!$C$5),"送付日が未来の日付 ","")&amp;IF(AND(K358&lt;&gt;"",N(M358)&gt;0,N(P358)&lt;=0,U358=""),"消込確認者 ","")))</f>
        <v/>
      </c>
      <c r="U358" s="26"/>
      <c r="V358" s="26"/>
    </row>
    <row r="359" customFormat="false" ht="15" hidden="false" customHeight="false" outlineLevel="0" collapsed="false">
      <c r="A359" s="21" t="str">
        <f aca="false">IF(COUNTA(B359,C359,E359,F359)=0,"",設定!$C$4&amp;TEXT(ROW()-4,"00000"))</f>
        <v/>
      </c>
      <c r="B359" s="22"/>
      <c r="C359" s="23"/>
      <c r="D359" s="21" t="str">
        <f aca="false">IF(C359="","",IFERROR(INDEX(取引先マスタ!$B$5:$B$204,MATCH(C359,取引先マスタ!$A$5:$A$204,0)),"コード誤り"))</f>
        <v/>
      </c>
      <c r="E359" s="26"/>
      <c r="F359" s="18"/>
      <c r="G359" s="25" t="str">
        <f aca="false">IF(OR(B359="",C359="",D359="コード誤り"),"",IFERROR(IF(OR(INDEX(取引先マスタ!$E$5:$E$204,MATCH(C359,取引先マスタ!$A$5:$A$204,0))="",INDEX(取引先マスタ!$F$5:$F$204,MATCH(C359,取引先マスタ!$A$5:$A$204,0))=""),"",DATE(YEAR(B359),MONTH(B359)+INDEX(取引先マスタ!$E$5:$E$204,MATCH(C359,取引先マスタ!$A$5:$A$204,0)),MIN(INDEX(取引先マスタ!$F$5:$F$204,MATCH(C359,取引先マスタ!$A$5:$A$204,0)),DAY(EOMONTH(B359,INDEX(取引先マスタ!$E$5:$E$204,MATCH(C359,取引先マスタ!$A$5:$A$204,0))))))),""))</f>
        <v/>
      </c>
      <c r="H359" s="22"/>
      <c r="I359" s="25" t="str">
        <f aca="false">IF(H359&lt;&gt;"",H359,G359)</f>
        <v/>
      </c>
      <c r="J359" s="26"/>
      <c r="K359" s="22"/>
      <c r="L359" s="26"/>
      <c r="M359" s="27" t="str">
        <f aca="false">IF(A359="","",SUMIF(入金明細!$F$5:$F$1004,A359,入金明細!$E$5:$E$1004))</f>
        <v/>
      </c>
      <c r="N359" s="25" t="str">
        <f aca="false">IF(OR(A359="",N(M359)=0),"",SUMPRODUCT(MAX((入金明細!$F$5:$F$1004=A359)*入金明細!$B$5:$B$1004)))</f>
        <v/>
      </c>
      <c r="O359" s="18"/>
      <c r="P359" s="27" t="str">
        <f aca="false">IF(OR(A359="",F359=""),"",F359-N(M359)-N(O359))</f>
        <v/>
      </c>
      <c r="Q359" s="26"/>
      <c r="R359" s="28" t="str">
        <f aca="false">IF(A359="","",IF(Q359="取消","取消",IF(T359&lt;&gt;"","要入力",IF(K359="","未送付",IF(P359=0,"入金済",IF(P359&lt;0,"過入金",IF(設定!$C$5&gt;I359,IF(N(M359)&gt;0,"一部入金・超過","期日超過"),IF(N(M359)&gt;0,"一部入金",IF(I359-設定!$C$5&lt;=設定!$C$6,"期日間近","入金待ち")))))))))</f>
        <v/>
      </c>
      <c r="S359" s="29" t="str">
        <f aca="false">IF(OR(R359="期日超過",R359="一部入金・超過"),設定!$C$5-I359,"")</f>
        <v/>
      </c>
      <c r="T359" s="21" t="str">
        <f aca="false">IF(A359="","",TRIM(IF(B359="","請求日 ","")&amp;IF(C359="","取引先 ",IF(D359="コード誤り","取引先コード誤り ",""))&amp;IF(E359="","件名 ","")&amp;IF(F359="","請求額 ","")&amp;IF(AND(F359&lt;&gt;"",I359=""),"入金期日(マスタの支払条件が未登録) ","")&amp;IF(J359="","送付方法 ","")&amp;IF(AND(K359&lt;&gt;"",L359=""),"送付者 ","")&amp;IF(AND(K359&lt;&gt;"",N(K359)&gt;設定!$C$5),"送付日が未来の日付 ","")&amp;IF(AND(K359&lt;&gt;"",N(M359)&gt;0,N(P359)&lt;=0,U359=""),"消込確認者 ","")))</f>
        <v/>
      </c>
      <c r="U359" s="26"/>
      <c r="V359" s="26"/>
    </row>
    <row r="360" customFormat="false" ht="15" hidden="false" customHeight="false" outlineLevel="0" collapsed="false">
      <c r="A360" s="21" t="str">
        <f aca="false">IF(COUNTA(B360,C360,E360,F360)=0,"",設定!$C$4&amp;TEXT(ROW()-4,"00000"))</f>
        <v/>
      </c>
      <c r="B360" s="22"/>
      <c r="C360" s="23"/>
      <c r="D360" s="21" t="str">
        <f aca="false">IF(C360="","",IFERROR(INDEX(取引先マスタ!$B$5:$B$204,MATCH(C360,取引先マスタ!$A$5:$A$204,0)),"コード誤り"))</f>
        <v/>
      </c>
      <c r="E360" s="26"/>
      <c r="F360" s="18"/>
      <c r="G360" s="25" t="str">
        <f aca="false">IF(OR(B360="",C360="",D360="コード誤り"),"",IFERROR(IF(OR(INDEX(取引先マスタ!$E$5:$E$204,MATCH(C360,取引先マスタ!$A$5:$A$204,0))="",INDEX(取引先マスタ!$F$5:$F$204,MATCH(C360,取引先マスタ!$A$5:$A$204,0))=""),"",DATE(YEAR(B360),MONTH(B360)+INDEX(取引先マスタ!$E$5:$E$204,MATCH(C360,取引先マスタ!$A$5:$A$204,0)),MIN(INDEX(取引先マスタ!$F$5:$F$204,MATCH(C360,取引先マスタ!$A$5:$A$204,0)),DAY(EOMONTH(B360,INDEX(取引先マスタ!$E$5:$E$204,MATCH(C360,取引先マスタ!$A$5:$A$204,0))))))),""))</f>
        <v/>
      </c>
      <c r="H360" s="22"/>
      <c r="I360" s="25" t="str">
        <f aca="false">IF(H360&lt;&gt;"",H360,G360)</f>
        <v/>
      </c>
      <c r="J360" s="26"/>
      <c r="K360" s="22"/>
      <c r="L360" s="26"/>
      <c r="M360" s="27" t="str">
        <f aca="false">IF(A360="","",SUMIF(入金明細!$F$5:$F$1004,A360,入金明細!$E$5:$E$1004))</f>
        <v/>
      </c>
      <c r="N360" s="25" t="str">
        <f aca="false">IF(OR(A360="",N(M360)=0),"",SUMPRODUCT(MAX((入金明細!$F$5:$F$1004=A360)*入金明細!$B$5:$B$1004)))</f>
        <v/>
      </c>
      <c r="O360" s="18"/>
      <c r="P360" s="27" t="str">
        <f aca="false">IF(OR(A360="",F360=""),"",F360-N(M360)-N(O360))</f>
        <v/>
      </c>
      <c r="Q360" s="26"/>
      <c r="R360" s="28" t="str">
        <f aca="false">IF(A360="","",IF(Q360="取消","取消",IF(T360&lt;&gt;"","要入力",IF(K360="","未送付",IF(P360=0,"入金済",IF(P360&lt;0,"過入金",IF(設定!$C$5&gt;I360,IF(N(M360)&gt;0,"一部入金・超過","期日超過"),IF(N(M360)&gt;0,"一部入金",IF(I360-設定!$C$5&lt;=設定!$C$6,"期日間近","入金待ち")))))))))</f>
        <v/>
      </c>
      <c r="S360" s="29" t="str">
        <f aca="false">IF(OR(R360="期日超過",R360="一部入金・超過"),設定!$C$5-I360,"")</f>
        <v/>
      </c>
      <c r="T360" s="21" t="str">
        <f aca="false">IF(A360="","",TRIM(IF(B360="","請求日 ","")&amp;IF(C360="","取引先 ",IF(D360="コード誤り","取引先コード誤り ",""))&amp;IF(E360="","件名 ","")&amp;IF(F360="","請求額 ","")&amp;IF(AND(F360&lt;&gt;"",I360=""),"入金期日(マスタの支払条件が未登録) ","")&amp;IF(J360="","送付方法 ","")&amp;IF(AND(K360&lt;&gt;"",L360=""),"送付者 ","")&amp;IF(AND(K360&lt;&gt;"",N(K360)&gt;設定!$C$5),"送付日が未来の日付 ","")&amp;IF(AND(K360&lt;&gt;"",N(M360)&gt;0,N(P360)&lt;=0,U360=""),"消込確認者 ","")))</f>
        <v/>
      </c>
      <c r="U360" s="26"/>
      <c r="V360" s="26"/>
    </row>
    <row r="361" customFormat="false" ht="15" hidden="false" customHeight="false" outlineLevel="0" collapsed="false">
      <c r="A361" s="21" t="str">
        <f aca="false">IF(COUNTA(B361,C361,E361,F361)=0,"",設定!$C$4&amp;TEXT(ROW()-4,"00000"))</f>
        <v/>
      </c>
      <c r="B361" s="22"/>
      <c r="C361" s="23"/>
      <c r="D361" s="21" t="str">
        <f aca="false">IF(C361="","",IFERROR(INDEX(取引先マスタ!$B$5:$B$204,MATCH(C361,取引先マスタ!$A$5:$A$204,0)),"コード誤り"))</f>
        <v/>
      </c>
      <c r="E361" s="26"/>
      <c r="F361" s="18"/>
      <c r="G361" s="25" t="str">
        <f aca="false">IF(OR(B361="",C361="",D361="コード誤り"),"",IFERROR(IF(OR(INDEX(取引先マスタ!$E$5:$E$204,MATCH(C361,取引先マスタ!$A$5:$A$204,0))="",INDEX(取引先マスタ!$F$5:$F$204,MATCH(C361,取引先マスタ!$A$5:$A$204,0))=""),"",DATE(YEAR(B361),MONTH(B361)+INDEX(取引先マスタ!$E$5:$E$204,MATCH(C361,取引先マスタ!$A$5:$A$204,0)),MIN(INDEX(取引先マスタ!$F$5:$F$204,MATCH(C361,取引先マスタ!$A$5:$A$204,0)),DAY(EOMONTH(B361,INDEX(取引先マスタ!$E$5:$E$204,MATCH(C361,取引先マスタ!$A$5:$A$204,0))))))),""))</f>
        <v/>
      </c>
      <c r="H361" s="22"/>
      <c r="I361" s="25" t="str">
        <f aca="false">IF(H361&lt;&gt;"",H361,G361)</f>
        <v/>
      </c>
      <c r="J361" s="26"/>
      <c r="K361" s="22"/>
      <c r="L361" s="26"/>
      <c r="M361" s="27" t="str">
        <f aca="false">IF(A361="","",SUMIF(入金明細!$F$5:$F$1004,A361,入金明細!$E$5:$E$1004))</f>
        <v/>
      </c>
      <c r="N361" s="25" t="str">
        <f aca="false">IF(OR(A361="",N(M361)=0),"",SUMPRODUCT(MAX((入金明細!$F$5:$F$1004=A361)*入金明細!$B$5:$B$1004)))</f>
        <v/>
      </c>
      <c r="O361" s="18"/>
      <c r="P361" s="27" t="str">
        <f aca="false">IF(OR(A361="",F361=""),"",F361-N(M361)-N(O361))</f>
        <v/>
      </c>
      <c r="Q361" s="26"/>
      <c r="R361" s="28" t="str">
        <f aca="false">IF(A361="","",IF(Q361="取消","取消",IF(T361&lt;&gt;"","要入力",IF(K361="","未送付",IF(P361=0,"入金済",IF(P361&lt;0,"過入金",IF(設定!$C$5&gt;I361,IF(N(M361)&gt;0,"一部入金・超過","期日超過"),IF(N(M361)&gt;0,"一部入金",IF(I361-設定!$C$5&lt;=設定!$C$6,"期日間近","入金待ち")))))))))</f>
        <v/>
      </c>
      <c r="S361" s="29" t="str">
        <f aca="false">IF(OR(R361="期日超過",R361="一部入金・超過"),設定!$C$5-I361,"")</f>
        <v/>
      </c>
      <c r="T361" s="21" t="str">
        <f aca="false">IF(A361="","",TRIM(IF(B361="","請求日 ","")&amp;IF(C361="","取引先 ",IF(D361="コード誤り","取引先コード誤り ",""))&amp;IF(E361="","件名 ","")&amp;IF(F361="","請求額 ","")&amp;IF(AND(F361&lt;&gt;"",I361=""),"入金期日(マスタの支払条件が未登録) ","")&amp;IF(J361="","送付方法 ","")&amp;IF(AND(K361&lt;&gt;"",L361=""),"送付者 ","")&amp;IF(AND(K361&lt;&gt;"",N(K361)&gt;設定!$C$5),"送付日が未来の日付 ","")&amp;IF(AND(K361&lt;&gt;"",N(M361)&gt;0,N(P361)&lt;=0,U361=""),"消込確認者 ","")))</f>
        <v/>
      </c>
      <c r="U361" s="26"/>
      <c r="V361" s="26"/>
    </row>
    <row r="362" customFormat="false" ht="15" hidden="false" customHeight="false" outlineLevel="0" collapsed="false">
      <c r="A362" s="21" t="str">
        <f aca="false">IF(COUNTA(B362,C362,E362,F362)=0,"",設定!$C$4&amp;TEXT(ROW()-4,"00000"))</f>
        <v/>
      </c>
      <c r="B362" s="22"/>
      <c r="C362" s="23"/>
      <c r="D362" s="21" t="str">
        <f aca="false">IF(C362="","",IFERROR(INDEX(取引先マスタ!$B$5:$B$204,MATCH(C362,取引先マスタ!$A$5:$A$204,0)),"コード誤り"))</f>
        <v/>
      </c>
      <c r="E362" s="26"/>
      <c r="F362" s="18"/>
      <c r="G362" s="25" t="str">
        <f aca="false">IF(OR(B362="",C362="",D362="コード誤り"),"",IFERROR(IF(OR(INDEX(取引先マスタ!$E$5:$E$204,MATCH(C362,取引先マスタ!$A$5:$A$204,0))="",INDEX(取引先マスタ!$F$5:$F$204,MATCH(C362,取引先マスタ!$A$5:$A$204,0))=""),"",DATE(YEAR(B362),MONTH(B362)+INDEX(取引先マスタ!$E$5:$E$204,MATCH(C362,取引先マスタ!$A$5:$A$204,0)),MIN(INDEX(取引先マスタ!$F$5:$F$204,MATCH(C362,取引先マスタ!$A$5:$A$204,0)),DAY(EOMONTH(B362,INDEX(取引先マスタ!$E$5:$E$204,MATCH(C362,取引先マスタ!$A$5:$A$204,0))))))),""))</f>
        <v/>
      </c>
      <c r="H362" s="22"/>
      <c r="I362" s="25" t="str">
        <f aca="false">IF(H362&lt;&gt;"",H362,G362)</f>
        <v/>
      </c>
      <c r="J362" s="26"/>
      <c r="K362" s="22"/>
      <c r="L362" s="26"/>
      <c r="M362" s="27" t="str">
        <f aca="false">IF(A362="","",SUMIF(入金明細!$F$5:$F$1004,A362,入金明細!$E$5:$E$1004))</f>
        <v/>
      </c>
      <c r="N362" s="25" t="str">
        <f aca="false">IF(OR(A362="",N(M362)=0),"",SUMPRODUCT(MAX((入金明細!$F$5:$F$1004=A362)*入金明細!$B$5:$B$1004)))</f>
        <v/>
      </c>
      <c r="O362" s="18"/>
      <c r="P362" s="27" t="str">
        <f aca="false">IF(OR(A362="",F362=""),"",F362-N(M362)-N(O362))</f>
        <v/>
      </c>
      <c r="Q362" s="26"/>
      <c r="R362" s="28" t="str">
        <f aca="false">IF(A362="","",IF(Q362="取消","取消",IF(T362&lt;&gt;"","要入力",IF(K362="","未送付",IF(P362=0,"入金済",IF(P362&lt;0,"過入金",IF(設定!$C$5&gt;I362,IF(N(M362)&gt;0,"一部入金・超過","期日超過"),IF(N(M362)&gt;0,"一部入金",IF(I362-設定!$C$5&lt;=設定!$C$6,"期日間近","入金待ち")))))))))</f>
        <v/>
      </c>
      <c r="S362" s="29" t="str">
        <f aca="false">IF(OR(R362="期日超過",R362="一部入金・超過"),設定!$C$5-I362,"")</f>
        <v/>
      </c>
      <c r="T362" s="21" t="str">
        <f aca="false">IF(A362="","",TRIM(IF(B362="","請求日 ","")&amp;IF(C362="","取引先 ",IF(D362="コード誤り","取引先コード誤り ",""))&amp;IF(E362="","件名 ","")&amp;IF(F362="","請求額 ","")&amp;IF(AND(F362&lt;&gt;"",I362=""),"入金期日(マスタの支払条件が未登録) ","")&amp;IF(J362="","送付方法 ","")&amp;IF(AND(K362&lt;&gt;"",L362=""),"送付者 ","")&amp;IF(AND(K362&lt;&gt;"",N(K362)&gt;設定!$C$5),"送付日が未来の日付 ","")&amp;IF(AND(K362&lt;&gt;"",N(M362)&gt;0,N(P362)&lt;=0,U362=""),"消込確認者 ","")))</f>
        <v/>
      </c>
      <c r="U362" s="26"/>
      <c r="V362" s="26"/>
    </row>
    <row r="363" customFormat="false" ht="15" hidden="false" customHeight="false" outlineLevel="0" collapsed="false">
      <c r="A363" s="21" t="str">
        <f aca="false">IF(COUNTA(B363,C363,E363,F363)=0,"",設定!$C$4&amp;TEXT(ROW()-4,"00000"))</f>
        <v/>
      </c>
      <c r="B363" s="22"/>
      <c r="C363" s="23"/>
      <c r="D363" s="21" t="str">
        <f aca="false">IF(C363="","",IFERROR(INDEX(取引先マスタ!$B$5:$B$204,MATCH(C363,取引先マスタ!$A$5:$A$204,0)),"コード誤り"))</f>
        <v/>
      </c>
      <c r="E363" s="26"/>
      <c r="F363" s="18"/>
      <c r="G363" s="25" t="str">
        <f aca="false">IF(OR(B363="",C363="",D363="コード誤り"),"",IFERROR(IF(OR(INDEX(取引先マスタ!$E$5:$E$204,MATCH(C363,取引先マスタ!$A$5:$A$204,0))="",INDEX(取引先マスタ!$F$5:$F$204,MATCH(C363,取引先マスタ!$A$5:$A$204,0))=""),"",DATE(YEAR(B363),MONTH(B363)+INDEX(取引先マスタ!$E$5:$E$204,MATCH(C363,取引先マスタ!$A$5:$A$204,0)),MIN(INDEX(取引先マスタ!$F$5:$F$204,MATCH(C363,取引先マスタ!$A$5:$A$204,0)),DAY(EOMONTH(B363,INDEX(取引先マスタ!$E$5:$E$204,MATCH(C363,取引先マスタ!$A$5:$A$204,0))))))),""))</f>
        <v/>
      </c>
      <c r="H363" s="22"/>
      <c r="I363" s="25" t="str">
        <f aca="false">IF(H363&lt;&gt;"",H363,G363)</f>
        <v/>
      </c>
      <c r="J363" s="26"/>
      <c r="K363" s="22"/>
      <c r="L363" s="26"/>
      <c r="M363" s="27" t="str">
        <f aca="false">IF(A363="","",SUMIF(入金明細!$F$5:$F$1004,A363,入金明細!$E$5:$E$1004))</f>
        <v/>
      </c>
      <c r="N363" s="25" t="str">
        <f aca="false">IF(OR(A363="",N(M363)=0),"",SUMPRODUCT(MAX((入金明細!$F$5:$F$1004=A363)*入金明細!$B$5:$B$1004)))</f>
        <v/>
      </c>
      <c r="O363" s="18"/>
      <c r="P363" s="27" t="str">
        <f aca="false">IF(OR(A363="",F363=""),"",F363-N(M363)-N(O363))</f>
        <v/>
      </c>
      <c r="Q363" s="26"/>
      <c r="R363" s="28" t="str">
        <f aca="false">IF(A363="","",IF(Q363="取消","取消",IF(T363&lt;&gt;"","要入力",IF(K363="","未送付",IF(P363=0,"入金済",IF(P363&lt;0,"過入金",IF(設定!$C$5&gt;I363,IF(N(M363)&gt;0,"一部入金・超過","期日超過"),IF(N(M363)&gt;0,"一部入金",IF(I363-設定!$C$5&lt;=設定!$C$6,"期日間近","入金待ち")))))))))</f>
        <v/>
      </c>
      <c r="S363" s="29" t="str">
        <f aca="false">IF(OR(R363="期日超過",R363="一部入金・超過"),設定!$C$5-I363,"")</f>
        <v/>
      </c>
      <c r="T363" s="21" t="str">
        <f aca="false">IF(A363="","",TRIM(IF(B363="","請求日 ","")&amp;IF(C363="","取引先 ",IF(D363="コード誤り","取引先コード誤り ",""))&amp;IF(E363="","件名 ","")&amp;IF(F363="","請求額 ","")&amp;IF(AND(F363&lt;&gt;"",I363=""),"入金期日(マスタの支払条件が未登録) ","")&amp;IF(J363="","送付方法 ","")&amp;IF(AND(K363&lt;&gt;"",L363=""),"送付者 ","")&amp;IF(AND(K363&lt;&gt;"",N(K363)&gt;設定!$C$5),"送付日が未来の日付 ","")&amp;IF(AND(K363&lt;&gt;"",N(M363)&gt;0,N(P363)&lt;=0,U363=""),"消込確認者 ","")))</f>
        <v/>
      </c>
      <c r="U363" s="26"/>
      <c r="V363" s="26"/>
    </row>
    <row r="364" customFormat="false" ht="15" hidden="false" customHeight="false" outlineLevel="0" collapsed="false">
      <c r="A364" s="21" t="str">
        <f aca="false">IF(COUNTA(B364,C364,E364,F364)=0,"",設定!$C$4&amp;TEXT(ROW()-4,"00000"))</f>
        <v/>
      </c>
      <c r="B364" s="22"/>
      <c r="C364" s="23"/>
      <c r="D364" s="21" t="str">
        <f aca="false">IF(C364="","",IFERROR(INDEX(取引先マスタ!$B$5:$B$204,MATCH(C364,取引先マスタ!$A$5:$A$204,0)),"コード誤り"))</f>
        <v/>
      </c>
      <c r="E364" s="26"/>
      <c r="F364" s="18"/>
      <c r="G364" s="25" t="str">
        <f aca="false">IF(OR(B364="",C364="",D364="コード誤り"),"",IFERROR(IF(OR(INDEX(取引先マスタ!$E$5:$E$204,MATCH(C364,取引先マスタ!$A$5:$A$204,0))="",INDEX(取引先マスタ!$F$5:$F$204,MATCH(C364,取引先マスタ!$A$5:$A$204,0))=""),"",DATE(YEAR(B364),MONTH(B364)+INDEX(取引先マスタ!$E$5:$E$204,MATCH(C364,取引先マスタ!$A$5:$A$204,0)),MIN(INDEX(取引先マスタ!$F$5:$F$204,MATCH(C364,取引先マスタ!$A$5:$A$204,0)),DAY(EOMONTH(B364,INDEX(取引先マスタ!$E$5:$E$204,MATCH(C364,取引先マスタ!$A$5:$A$204,0))))))),""))</f>
        <v/>
      </c>
      <c r="H364" s="22"/>
      <c r="I364" s="25" t="str">
        <f aca="false">IF(H364&lt;&gt;"",H364,G364)</f>
        <v/>
      </c>
      <c r="J364" s="26"/>
      <c r="K364" s="22"/>
      <c r="L364" s="26"/>
      <c r="M364" s="27" t="str">
        <f aca="false">IF(A364="","",SUMIF(入金明細!$F$5:$F$1004,A364,入金明細!$E$5:$E$1004))</f>
        <v/>
      </c>
      <c r="N364" s="25" t="str">
        <f aca="false">IF(OR(A364="",N(M364)=0),"",SUMPRODUCT(MAX((入金明細!$F$5:$F$1004=A364)*入金明細!$B$5:$B$1004)))</f>
        <v/>
      </c>
      <c r="O364" s="18"/>
      <c r="P364" s="27" t="str">
        <f aca="false">IF(OR(A364="",F364=""),"",F364-N(M364)-N(O364))</f>
        <v/>
      </c>
      <c r="Q364" s="26"/>
      <c r="R364" s="28" t="str">
        <f aca="false">IF(A364="","",IF(Q364="取消","取消",IF(T364&lt;&gt;"","要入力",IF(K364="","未送付",IF(P364=0,"入金済",IF(P364&lt;0,"過入金",IF(設定!$C$5&gt;I364,IF(N(M364)&gt;0,"一部入金・超過","期日超過"),IF(N(M364)&gt;0,"一部入金",IF(I364-設定!$C$5&lt;=設定!$C$6,"期日間近","入金待ち")))))))))</f>
        <v/>
      </c>
      <c r="S364" s="29" t="str">
        <f aca="false">IF(OR(R364="期日超過",R364="一部入金・超過"),設定!$C$5-I364,"")</f>
        <v/>
      </c>
      <c r="T364" s="21" t="str">
        <f aca="false">IF(A364="","",TRIM(IF(B364="","請求日 ","")&amp;IF(C364="","取引先 ",IF(D364="コード誤り","取引先コード誤り ",""))&amp;IF(E364="","件名 ","")&amp;IF(F364="","請求額 ","")&amp;IF(AND(F364&lt;&gt;"",I364=""),"入金期日(マスタの支払条件が未登録) ","")&amp;IF(J364="","送付方法 ","")&amp;IF(AND(K364&lt;&gt;"",L364=""),"送付者 ","")&amp;IF(AND(K364&lt;&gt;"",N(K364)&gt;設定!$C$5),"送付日が未来の日付 ","")&amp;IF(AND(K364&lt;&gt;"",N(M364)&gt;0,N(P364)&lt;=0,U364=""),"消込確認者 ","")))</f>
        <v/>
      </c>
      <c r="U364" s="26"/>
      <c r="V364" s="26"/>
    </row>
    <row r="365" customFormat="false" ht="15" hidden="false" customHeight="false" outlineLevel="0" collapsed="false">
      <c r="A365" s="21" t="str">
        <f aca="false">IF(COUNTA(B365,C365,E365,F365)=0,"",設定!$C$4&amp;TEXT(ROW()-4,"00000"))</f>
        <v/>
      </c>
      <c r="B365" s="22"/>
      <c r="C365" s="23"/>
      <c r="D365" s="21" t="str">
        <f aca="false">IF(C365="","",IFERROR(INDEX(取引先マスタ!$B$5:$B$204,MATCH(C365,取引先マスタ!$A$5:$A$204,0)),"コード誤り"))</f>
        <v/>
      </c>
      <c r="E365" s="26"/>
      <c r="F365" s="18"/>
      <c r="G365" s="25" t="str">
        <f aca="false">IF(OR(B365="",C365="",D365="コード誤り"),"",IFERROR(IF(OR(INDEX(取引先マスタ!$E$5:$E$204,MATCH(C365,取引先マスタ!$A$5:$A$204,0))="",INDEX(取引先マスタ!$F$5:$F$204,MATCH(C365,取引先マスタ!$A$5:$A$204,0))=""),"",DATE(YEAR(B365),MONTH(B365)+INDEX(取引先マスタ!$E$5:$E$204,MATCH(C365,取引先マスタ!$A$5:$A$204,0)),MIN(INDEX(取引先マスタ!$F$5:$F$204,MATCH(C365,取引先マスタ!$A$5:$A$204,0)),DAY(EOMONTH(B365,INDEX(取引先マスタ!$E$5:$E$204,MATCH(C365,取引先マスタ!$A$5:$A$204,0))))))),""))</f>
        <v/>
      </c>
      <c r="H365" s="22"/>
      <c r="I365" s="25" t="str">
        <f aca="false">IF(H365&lt;&gt;"",H365,G365)</f>
        <v/>
      </c>
      <c r="J365" s="26"/>
      <c r="K365" s="22"/>
      <c r="L365" s="26"/>
      <c r="M365" s="27" t="str">
        <f aca="false">IF(A365="","",SUMIF(入金明細!$F$5:$F$1004,A365,入金明細!$E$5:$E$1004))</f>
        <v/>
      </c>
      <c r="N365" s="25" t="str">
        <f aca="false">IF(OR(A365="",N(M365)=0),"",SUMPRODUCT(MAX((入金明細!$F$5:$F$1004=A365)*入金明細!$B$5:$B$1004)))</f>
        <v/>
      </c>
      <c r="O365" s="18"/>
      <c r="P365" s="27" t="str">
        <f aca="false">IF(OR(A365="",F365=""),"",F365-N(M365)-N(O365))</f>
        <v/>
      </c>
      <c r="Q365" s="26"/>
      <c r="R365" s="28" t="str">
        <f aca="false">IF(A365="","",IF(Q365="取消","取消",IF(T365&lt;&gt;"","要入力",IF(K365="","未送付",IF(P365=0,"入金済",IF(P365&lt;0,"過入金",IF(設定!$C$5&gt;I365,IF(N(M365)&gt;0,"一部入金・超過","期日超過"),IF(N(M365)&gt;0,"一部入金",IF(I365-設定!$C$5&lt;=設定!$C$6,"期日間近","入金待ち")))))))))</f>
        <v/>
      </c>
      <c r="S365" s="29" t="str">
        <f aca="false">IF(OR(R365="期日超過",R365="一部入金・超過"),設定!$C$5-I365,"")</f>
        <v/>
      </c>
      <c r="T365" s="21" t="str">
        <f aca="false">IF(A365="","",TRIM(IF(B365="","請求日 ","")&amp;IF(C365="","取引先 ",IF(D365="コード誤り","取引先コード誤り ",""))&amp;IF(E365="","件名 ","")&amp;IF(F365="","請求額 ","")&amp;IF(AND(F365&lt;&gt;"",I365=""),"入金期日(マスタの支払条件が未登録) ","")&amp;IF(J365="","送付方法 ","")&amp;IF(AND(K365&lt;&gt;"",L365=""),"送付者 ","")&amp;IF(AND(K365&lt;&gt;"",N(K365)&gt;設定!$C$5),"送付日が未来の日付 ","")&amp;IF(AND(K365&lt;&gt;"",N(M365)&gt;0,N(P365)&lt;=0,U365=""),"消込確認者 ","")))</f>
        <v/>
      </c>
      <c r="U365" s="26"/>
      <c r="V365" s="26"/>
    </row>
    <row r="366" customFormat="false" ht="15" hidden="false" customHeight="false" outlineLevel="0" collapsed="false">
      <c r="A366" s="21" t="str">
        <f aca="false">IF(COUNTA(B366,C366,E366,F366)=0,"",設定!$C$4&amp;TEXT(ROW()-4,"00000"))</f>
        <v/>
      </c>
      <c r="B366" s="22"/>
      <c r="C366" s="23"/>
      <c r="D366" s="21" t="str">
        <f aca="false">IF(C366="","",IFERROR(INDEX(取引先マスタ!$B$5:$B$204,MATCH(C366,取引先マスタ!$A$5:$A$204,0)),"コード誤り"))</f>
        <v/>
      </c>
      <c r="E366" s="26"/>
      <c r="F366" s="18"/>
      <c r="G366" s="25" t="str">
        <f aca="false">IF(OR(B366="",C366="",D366="コード誤り"),"",IFERROR(IF(OR(INDEX(取引先マスタ!$E$5:$E$204,MATCH(C366,取引先マスタ!$A$5:$A$204,0))="",INDEX(取引先マスタ!$F$5:$F$204,MATCH(C366,取引先マスタ!$A$5:$A$204,0))=""),"",DATE(YEAR(B366),MONTH(B366)+INDEX(取引先マスタ!$E$5:$E$204,MATCH(C366,取引先マスタ!$A$5:$A$204,0)),MIN(INDEX(取引先マスタ!$F$5:$F$204,MATCH(C366,取引先マスタ!$A$5:$A$204,0)),DAY(EOMONTH(B366,INDEX(取引先マスタ!$E$5:$E$204,MATCH(C366,取引先マスタ!$A$5:$A$204,0))))))),""))</f>
        <v/>
      </c>
      <c r="H366" s="22"/>
      <c r="I366" s="25" t="str">
        <f aca="false">IF(H366&lt;&gt;"",H366,G366)</f>
        <v/>
      </c>
      <c r="J366" s="26"/>
      <c r="K366" s="22"/>
      <c r="L366" s="26"/>
      <c r="M366" s="27" t="str">
        <f aca="false">IF(A366="","",SUMIF(入金明細!$F$5:$F$1004,A366,入金明細!$E$5:$E$1004))</f>
        <v/>
      </c>
      <c r="N366" s="25" t="str">
        <f aca="false">IF(OR(A366="",N(M366)=0),"",SUMPRODUCT(MAX((入金明細!$F$5:$F$1004=A366)*入金明細!$B$5:$B$1004)))</f>
        <v/>
      </c>
      <c r="O366" s="18"/>
      <c r="P366" s="27" t="str">
        <f aca="false">IF(OR(A366="",F366=""),"",F366-N(M366)-N(O366))</f>
        <v/>
      </c>
      <c r="Q366" s="26"/>
      <c r="R366" s="28" t="str">
        <f aca="false">IF(A366="","",IF(Q366="取消","取消",IF(T366&lt;&gt;"","要入力",IF(K366="","未送付",IF(P366=0,"入金済",IF(P366&lt;0,"過入金",IF(設定!$C$5&gt;I366,IF(N(M366)&gt;0,"一部入金・超過","期日超過"),IF(N(M366)&gt;0,"一部入金",IF(I366-設定!$C$5&lt;=設定!$C$6,"期日間近","入金待ち")))))))))</f>
        <v/>
      </c>
      <c r="S366" s="29" t="str">
        <f aca="false">IF(OR(R366="期日超過",R366="一部入金・超過"),設定!$C$5-I366,"")</f>
        <v/>
      </c>
      <c r="T366" s="21" t="str">
        <f aca="false">IF(A366="","",TRIM(IF(B366="","請求日 ","")&amp;IF(C366="","取引先 ",IF(D366="コード誤り","取引先コード誤り ",""))&amp;IF(E366="","件名 ","")&amp;IF(F366="","請求額 ","")&amp;IF(AND(F366&lt;&gt;"",I366=""),"入金期日(マスタの支払条件が未登録) ","")&amp;IF(J366="","送付方法 ","")&amp;IF(AND(K366&lt;&gt;"",L366=""),"送付者 ","")&amp;IF(AND(K366&lt;&gt;"",N(K366)&gt;設定!$C$5),"送付日が未来の日付 ","")&amp;IF(AND(K366&lt;&gt;"",N(M366)&gt;0,N(P366)&lt;=0,U366=""),"消込確認者 ","")))</f>
        <v/>
      </c>
      <c r="U366" s="26"/>
      <c r="V366" s="26"/>
    </row>
    <row r="367" customFormat="false" ht="15" hidden="false" customHeight="false" outlineLevel="0" collapsed="false">
      <c r="A367" s="21" t="str">
        <f aca="false">IF(COUNTA(B367,C367,E367,F367)=0,"",設定!$C$4&amp;TEXT(ROW()-4,"00000"))</f>
        <v/>
      </c>
      <c r="B367" s="22"/>
      <c r="C367" s="23"/>
      <c r="D367" s="21" t="str">
        <f aca="false">IF(C367="","",IFERROR(INDEX(取引先マスタ!$B$5:$B$204,MATCH(C367,取引先マスタ!$A$5:$A$204,0)),"コード誤り"))</f>
        <v/>
      </c>
      <c r="E367" s="26"/>
      <c r="F367" s="18"/>
      <c r="G367" s="25" t="str">
        <f aca="false">IF(OR(B367="",C367="",D367="コード誤り"),"",IFERROR(IF(OR(INDEX(取引先マスタ!$E$5:$E$204,MATCH(C367,取引先マスタ!$A$5:$A$204,0))="",INDEX(取引先マスタ!$F$5:$F$204,MATCH(C367,取引先マスタ!$A$5:$A$204,0))=""),"",DATE(YEAR(B367),MONTH(B367)+INDEX(取引先マスタ!$E$5:$E$204,MATCH(C367,取引先マスタ!$A$5:$A$204,0)),MIN(INDEX(取引先マスタ!$F$5:$F$204,MATCH(C367,取引先マスタ!$A$5:$A$204,0)),DAY(EOMONTH(B367,INDEX(取引先マスタ!$E$5:$E$204,MATCH(C367,取引先マスタ!$A$5:$A$204,0))))))),""))</f>
        <v/>
      </c>
      <c r="H367" s="22"/>
      <c r="I367" s="25" t="str">
        <f aca="false">IF(H367&lt;&gt;"",H367,G367)</f>
        <v/>
      </c>
      <c r="J367" s="26"/>
      <c r="K367" s="22"/>
      <c r="L367" s="26"/>
      <c r="M367" s="27" t="str">
        <f aca="false">IF(A367="","",SUMIF(入金明細!$F$5:$F$1004,A367,入金明細!$E$5:$E$1004))</f>
        <v/>
      </c>
      <c r="N367" s="25" t="str">
        <f aca="false">IF(OR(A367="",N(M367)=0),"",SUMPRODUCT(MAX((入金明細!$F$5:$F$1004=A367)*入金明細!$B$5:$B$1004)))</f>
        <v/>
      </c>
      <c r="O367" s="18"/>
      <c r="P367" s="27" t="str">
        <f aca="false">IF(OR(A367="",F367=""),"",F367-N(M367)-N(O367))</f>
        <v/>
      </c>
      <c r="Q367" s="26"/>
      <c r="R367" s="28" t="str">
        <f aca="false">IF(A367="","",IF(Q367="取消","取消",IF(T367&lt;&gt;"","要入力",IF(K367="","未送付",IF(P367=0,"入金済",IF(P367&lt;0,"過入金",IF(設定!$C$5&gt;I367,IF(N(M367)&gt;0,"一部入金・超過","期日超過"),IF(N(M367)&gt;0,"一部入金",IF(I367-設定!$C$5&lt;=設定!$C$6,"期日間近","入金待ち")))))))))</f>
        <v/>
      </c>
      <c r="S367" s="29" t="str">
        <f aca="false">IF(OR(R367="期日超過",R367="一部入金・超過"),設定!$C$5-I367,"")</f>
        <v/>
      </c>
      <c r="T367" s="21" t="str">
        <f aca="false">IF(A367="","",TRIM(IF(B367="","請求日 ","")&amp;IF(C367="","取引先 ",IF(D367="コード誤り","取引先コード誤り ",""))&amp;IF(E367="","件名 ","")&amp;IF(F367="","請求額 ","")&amp;IF(AND(F367&lt;&gt;"",I367=""),"入金期日(マスタの支払条件が未登録) ","")&amp;IF(J367="","送付方法 ","")&amp;IF(AND(K367&lt;&gt;"",L367=""),"送付者 ","")&amp;IF(AND(K367&lt;&gt;"",N(K367)&gt;設定!$C$5),"送付日が未来の日付 ","")&amp;IF(AND(K367&lt;&gt;"",N(M367)&gt;0,N(P367)&lt;=0,U367=""),"消込確認者 ","")))</f>
        <v/>
      </c>
      <c r="U367" s="26"/>
      <c r="V367" s="26"/>
    </row>
    <row r="368" customFormat="false" ht="15" hidden="false" customHeight="false" outlineLevel="0" collapsed="false">
      <c r="A368" s="21" t="str">
        <f aca="false">IF(COUNTA(B368,C368,E368,F368)=0,"",設定!$C$4&amp;TEXT(ROW()-4,"00000"))</f>
        <v/>
      </c>
      <c r="B368" s="22"/>
      <c r="C368" s="23"/>
      <c r="D368" s="21" t="str">
        <f aca="false">IF(C368="","",IFERROR(INDEX(取引先マスタ!$B$5:$B$204,MATCH(C368,取引先マスタ!$A$5:$A$204,0)),"コード誤り"))</f>
        <v/>
      </c>
      <c r="E368" s="26"/>
      <c r="F368" s="18"/>
      <c r="G368" s="25" t="str">
        <f aca="false">IF(OR(B368="",C368="",D368="コード誤り"),"",IFERROR(IF(OR(INDEX(取引先マスタ!$E$5:$E$204,MATCH(C368,取引先マスタ!$A$5:$A$204,0))="",INDEX(取引先マスタ!$F$5:$F$204,MATCH(C368,取引先マスタ!$A$5:$A$204,0))=""),"",DATE(YEAR(B368),MONTH(B368)+INDEX(取引先マスタ!$E$5:$E$204,MATCH(C368,取引先マスタ!$A$5:$A$204,0)),MIN(INDEX(取引先マスタ!$F$5:$F$204,MATCH(C368,取引先マスタ!$A$5:$A$204,0)),DAY(EOMONTH(B368,INDEX(取引先マスタ!$E$5:$E$204,MATCH(C368,取引先マスタ!$A$5:$A$204,0))))))),""))</f>
        <v/>
      </c>
      <c r="H368" s="22"/>
      <c r="I368" s="25" t="str">
        <f aca="false">IF(H368&lt;&gt;"",H368,G368)</f>
        <v/>
      </c>
      <c r="J368" s="26"/>
      <c r="K368" s="22"/>
      <c r="L368" s="26"/>
      <c r="M368" s="27" t="str">
        <f aca="false">IF(A368="","",SUMIF(入金明細!$F$5:$F$1004,A368,入金明細!$E$5:$E$1004))</f>
        <v/>
      </c>
      <c r="N368" s="25" t="str">
        <f aca="false">IF(OR(A368="",N(M368)=0),"",SUMPRODUCT(MAX((入金明細!$F$5:$F$1004=A368)*入金明細!$B$5:$B$1004)))</f>
        <v/>
      </c>
      <c r="O368" s="18"/>
      <c r="P368" s="27" t="str">
        <f aca="false">IF(OR(A368="",F368=""),"",F368-N(M368)-N(O368))</f>
        <v/>
      </c>
      <c r="Q368" s="26"/>
      <c r="R368" s="28" t="str">
        <f aca="false">IF(A368="","",IF(Q368="取消","取消",IF(T368&lt;&gt;"","要入力",IF(K368="","未送付",IF(P368=0,"入金済",IF(P368&lt;0,"過入金",IF(設定!$C$5&gt;I368,IF(N(M368)&gt;0,"一部入金・超過","期日超過"),IF(N(M368)&gt;0,"一部入金",IF(I368-設定!$C$5&lt;=設定!$C$6,"期日間近","入金待ち")))))))))</f>
        <v/>
      </c>
      <c r="S368" s="29" t="str">
        <f aca="false">IF(OR(R368="期日超過",R368="一部入金・超過"),設定!$C$5-I368,"")</f>
        <v/>
      </c>
      <c r="T368" s="21" t="str">
        <f aca="false">IF(A368="","",TRIM(IF(B368="","請求日 ","")&amp;IF(C368="","取引先 ",IF(D368="コード誤り","取引先コード誤り ",""))&amp;IF(E368="","件名 ","")&amp;IF(F368="","請求額 ","")&amp;IF(AND(F368&lt;&gt;"",I368=""),"入金期日(マスタの支払条件が未登録) ","")&amp;IF(J368="","送付方法 ","")&amp;IF(AND(K368&lt;&gt;"",L368=""),"送付者 ","")&amp;IF(AND(K368&lt;&gt;"",N(K368)&gt;設定!$C$5),"送付日が未来の日付 ","")&amp;IF(AND(K368&lt;&gt;"",N(M368)&gt;0,N(P368)&lt;=0,U368=""),"消込確認者 ","")))</f>
        <v/>
      </c>
      <c r="U368" s="26"/>
      <c r="V368" s="26"/>
    </row>
    <row r="369" customFormat="false" ht="15" hidden="false" customHeight="false" outlineLevel="0" collapsed="false">
      <c r="A369" s="21" t="str">
        <f aca="false">IF(COUNTA(B369,C369,E369,F369)=0,"",設定!$C$4&amp;TEXT(ROW()-4,"00000"))</f>
        <v/>
      </c>
      <c r="B369" s="22"/>
      <c r="C369" s="23"/>
      <c r="D369" s="21" t="str">
        <f aca="false">IF(C369="","",IFERROR(INDEX(取引先マスタ!$B$5:$B$204,MATCH(C369,取引先マスタ!$A$5:$A$204,0)),"コード誤り"))</f>
        <v/>
      </c>
      <c r="E369" s="26"/>
      <c r="F369" s="18"/>
      <c r="G369" s="25" t="str">
        <f aca="false">IF(OR(B369="",C369="",D369="コード誤り"),"",IFERROR(IF(OR(INDEX(取引先マスタ!$E$5:$E$204,MATCH(C369,取引先マスタ!$A$5:$A$204,0))="",INDEX(取引先マスタ!$F$5:$F$204,MATCH(C369,取引先マスタ!$A$5:$A$204,0))=""),"",DATE(YEAR(B369),MONTH(B369)+INDEX(取引先マスタ!$E$5:$E$204,MATCH(C369,取引先マスタ!$A$5:$A$204,0)),MIN(INDEX(取引先マスタ!$F$5:$F$204,MATCH(C369,取引先マスタ!$A$5:$A$204,0)),DAY(EOMONTH(B369,INDEX(取引先マスタ!$E$5:$E$204,MATCH(C369,取引先マスタ!$A$5:$A$204,0))))))),""))</f>
        <v/>
      </c>
      <c r="H369" s="22"/>
      <c r="I369" s="25" t="str">
        <f aca="false">IF(H369&lt;&gt;"",H369,G369)</f>
        <v/>
      </c>
      <c r="J369" s="26"/>
      <c r="K369" s="22"/>
      <c r="L369" s="26"/>
      <c r="M369" s="27" t="str">
        <f aca="false">IF(A369="","",SUMIF(入金明細!$F$5:$F$1004,A369,入金明細!$E$5:$E$1004))</f>
        <v/>
      </c>
      <c r="N369" s="25" t="str">
        <f aca="false">IF(OR(A369="",N(M369)=0),"",SUMPRODUCT(MAX((入金明細!$F$5:$F$1004=A369)*入金明細!$B$5:$B$1004)))</f>
        <v/>
      </c>
      <c r="O369" s="18"/>
      <c r="P369" s="27" t="str">
        <f aca="false">IF(OR(A369="",F369=""),"",F369-N(M369)-N(O369))</f>
        <v/>
      </c>
      <c r="Q369" s="26"/>
      <c r="R369" s="28" t="str">
        <f aca="false">IF(A369="","",IF(Q369="取消","取消",IF(T369&lt;&gt;"","要入力",IF(K369="","未送付",IF(P369=0,"入金済",IF(P369&lt;0,"過入金",IF(設定!$C$5&gt;I369,IF(N(M369)&gt;0,"一部入金・超過","期日超過"),IF(N(M369)&gt;0,"一部入金",IF(I369-設定!$C$5&lt;=設定!$C$6,"期日間近","入金待ち")))))))))</f>
        <v/>
      </c>
      <c r="S369" s="29" t="str">
        <f aca="false">IF(OR(R369="期日超過",R369="一部入金・超過"),設定!$C$5-I369,"")</f>
        <v/>
      </c>
      <c r="T369" s="21" t="str">
        <f aca="false">IF(A369="","",TRIM(IF(B369="","請求日 ","")&amp;IF(C369="","取引先 ",IF(D369="コード誤り","取引先コード誤り ",""))&amp;IF(E369="","件名 ","")&amp;IF(F369="","請求額 ","")&amp;IF(AND(F369&lt;&gt;"",I369=""),"入金期日(マスタの支払条件が未登録) ","")&amp;IF(J369="","送付方法 ","")&amp;IF(AND(K369&lt;&gt;"",L369=""),"送付者 ","")&amp;IF(AND(K369&lt;&gt;"",N(K369)&gt;設定!$C$5),"送付日が未来の日付 ","")&amp;IF(AND(K369&lt;&gt;"",N(M369)&gt;0,N(P369)&lt;=0,U369=""),"消込確認者 ","")))</f>
        <v/>
      </c>
      <c r="U369" s="26"/>
      <c r="V369" s="26"/>
    </row>
    <row r="370" customFormat="false" ht="15" hidden="false" customHeight="false" outlineLevel="0" collapsed="false">
      <c r="A370" s="21" t="str">
        <f aca="false">IF(COUNTA(B370,C370,E370,F370)=0,"",設定!$C$4&amp;TEXT(ROW()-4,"00000"))</f>
        <v/>
      </c>
      <c r="B370" s="22"/>
      <c r="C370" s="23"/>
      <c r="D370" s="21" t="str">
        <f aca="false">IF(C370="","",IFERROR(INDEX(取引先マスタ!$B$5:$B$204,MATCH(C370,取引先マスタ!$A$5:$A$204,0)),"コード誤り"))</f>
        <v/>
      </c>
      <c r="E370" s="26"/>
      <c r="F370" s="18"/>
      <c r="G370" s="25" t="str">
        <f aca="false">IF(OR(B370="",C370="",D370="コード誤り"),"",IFERROR(IF(OR(INDEX(取引先マスタ!$E$5:$E$204,MATCH(C370,取引先マスタ!$A$5:$A$204,0))="",INDEX(取引先マスタ!$F$5:$F$204,MATCH(C370,取引先マスタ!$A$5:$A$204,0))=""),"",DATE(YEAR(B370),MONTH(B370)+INDEX(取引先マスタ!$E$5:$E$204,MATCH(C370,取引先マスタ!$A$5:$A$204,0)),MIN(INDEX(取引先マスタ!$F$5:$F$204,MATCH(C370,取引先マスタ!$A$5:$A$204,0)),DAY(EOMONTH(B370,INDEX(取引先マスタ!$E$5:$E$204,MATCH(C370,取引先マスタ!$A$5:$A$204,0))))))),""))</f>
        <v/>
      </c>
      <c r="H370" s="22"/>
      <c r="I370" s="25" t="str">
        <f aca="false">IF(H370&lt;&gt;"",H370,G370)</f>
        <v/>
      </c>
      <c r="J370" s="26"/>
      <c r="K370" s="22"/>
      <c r="L370" s="26"/>
      <c r="M370" s="27" t="str">
        <f aca="false">IF(A370="","",SUMIF(入金明細!$F$5:$F$1004,A370,入金明細!$E$5:$E$1004))</f>
        <v/>
      </c>
      <c r="N370" s="25" t="str">
        <f aca="false">IF(OR(A370="",N(M370)=0),"",SUMPRODUCT(MAX((入金明細!$F$5:$F$1004=A370)*入金明細!$B$5:$B$1004)))</f>
        <v/>
      </c>
      <c r="O370" s="18"/>
      <c r="P370" s="27" t="str">
        <f aca="false">IF(OR(A370="",F370=""),"",F370-N(M370)-N(O370))</f>
        <v/>
      </c>
      <c r="Q370" s="26"/>
      <c r="R370" s="28" t="str">
        <f aca="false">IF(A370="","",IF(Q370="取消","取消",IF(T370&lt;&gt;"","要入力",IF(K370="","未送付",IF(P370=0,"入金済",IF(P370&lt;0,"過入金",IF(設定!$C$5&gt;I370,IF(N(M370)&gt;0,"一部入金・超過","期日超過"),IF(N(M370)&gt;0,"一部入金",IF(I370-設定!$C$5&lt;=設定!$C$6,"期日間近","入金待ち")))))))))</f>
        <v/>
      </c>
      <c r="S370" s="29" t="str">
        <f aca="false">IF(OR(R370="期日超過",R370="一部入金・超過"),設定!$C$5-I370,"")</f>
        <v/>
      </c>
      <c r="T370" s="21" t="str">
        <f aca="false">IF(A370="","",TRIM(IF(B370="","請求日 ","")&amp;IF(C370="","取引先 ",IF(D370="コード誤り","取引先コード誤り ",""))&amp;IF(E370="","件名 ","")&amp;IF(F370="","請求額 ","")&amp;IF(AND(F370&lt;&gt;"",I370=""),"入金期日(マスタの支払条件が未登録) ","")&amp;IF(J370="","送付方法 ","")&amp;IF(AND(K370&lt;&gt;"",L370=""),"送付者 ","")&amp;IF(AND(K370&lt;&gt;"",N(K370)&gt;設定!$C$5),"送付日が未来の日付 ","")&amp;IF(AND(K370&lt;&gt;"",N(M370)&gt;0,N(P370)&lt;=0,U370=""),"消込確認者 ","")))</f>
        <v/>
      </c>
      <c r="U370" s="26"/>
      <c r="V370" s="26"/>
    </row>
    <row r="371" customFormat="false" ht="15" hidden="false" customHeight="false" outlineLevel="0" collapsed="false">
      <c r="A371" s="21" t="str">
        <f aca="false">IF(COUNTA(B371,C371,E371,F371)=0,"",設定!$C$4&amp;TEXT(ROW()-4,"00000"))</f>
        <v/>
      </c>
      <c r="B371" s="22"/>
      <c r="C371" s="23"/>
      <c r="D371" s="21" t="str">
        <f aca="false">IF(C371="","",IFERROR(INDEX(取引先マスタ!$B$5:$B$204,MATCH(C371,取引先マスタ!$A$5:$A$204,0)),"コード誤り"))</f>
        <v/>
      </c>
      <c r="E371" s="26"/>
      <c r="F371" s="18"/>
      <c r="G371" s="25" t="str">
        <f aca="false">IF(OR(B371="",C371="",D371="コード誤り"),"",IFERROR(IF(OR(INDEX(取引先マスタ!$E$5:$E$204,MATCH(C371,取引先マスタ!$A$5:$A$204,0))="",INDEX(取引先マスタ!$F$5:$F$204,MATCH(C371,取引先マスタ!$A$5:$A$204,0))=""),"",DATE(YEAR(B371),MONTH(B371)+INDEX(取引先マスタ!$E$5:$E$204,MATCH(C371,取引先マスタ!$A$5:$A$204,0)),MIN(INDEX(取引先マスタ!$F$5:$F$204,MATCH(C371,取引先マスタ!$A$5:$A$204,0)),DAY(EOMONTH(B371,INDEX(取引先マスタ!$E$5:$E$204,MATCH(C371,取引先マスタ!$A$5:$A$204,0))))))),""))</f>
        <v/>
      </c>
      <c r="H371" s="22"/>
      <c r="I371" s="25" t="str">
        <f aca="false">IF(H371&lt;&gt;"",H371,G371)</f>
        <v/>
      </c>
      <c r="J371" s="26"/>
      <c r="K371" s="22"/>
      <c r="L371" s="26"/>
      <c r="M371" s="27" t="str">
        <f aca="false">IF(A371="","",SUMIF(入金明細!$F$5:$F$1004,A371,入金明細!$E$5:$E$1004))</f>
        <v/>
      </c>
      <c r="N371" s="25" t="str">
        <f aca="false">IF(OR(A371="",N(M371)=0),"",SUMPRODUCT(MAX((入金明細!$F$5:$F$1004=A371)*入金明細!$B$5:$B$1004)))</f>
        <v/>
      </c>
      <c r="O371" s="18"/>
      <c r="P371" s="27" t="str">
        <f aca="false">IF(OR(A371="",F371=""),"",F371-N(M371)-N(O371))</f>
        <v/>
      </c>
      <c r="Q371" s="26"/>
      <c r="R371" s="28" t="str">
        <f aca="false">IF(A371="","",IF(Q371="取消","取消",IF(T371&lt;&gt;"","要入力",IF(K371="","未送付",IF(P371=0,"入金済",IF(P371&lt;0,"過入金",IF(設定!$C$5&gt;I371,IF(N(M371)&gt;0,"一部入金・超過","期日超過"),IF(N(M371)&gt;0,"一部入金",IF(I371-設定!$C$5&lt;=設定!$C$6,"期日間近","入金待ち")))))))))</f>
        <v/>
      </c>
      <c r="S371" s="29" t="str">
        <f aca="false">IF(OR(R371="期日超過",R371="一部入金・超過"),設定!$C$5-I371,"")</f>
        <v/>
      </c>
      <c r="T371" s="21" t="str">
        <f aca="false">IF(A371="","",TRIM(IF(B371="","請求日 ","")&amp;IF(C371="","取引先 ",IF(D371="コード誤り","取引先コード誤り ",""))&amp;IF(E371="","件名 ","")&amp;IF(F371="","請求額 ","")&amp;IF(AND(F371&lt;&gt;"",I371=""),"入金期日(マスタの支払条件が未登録) ","")&amp;IF(J371="","送付方法 ","")&amp;IF(AND(K371&lt;&gt;"",L371=""),"送付者 ","")&amp;IF(AND(K371&lt;&gt;"",N(K371)&gt;設定!$C$5),"送付日が未来の日付 ","")&amp;IF(AND(K371&lt;&gt;"",N(M371)&gt;0,N(P371)&lt;=0,U371=""),"消込確認者 ","")))</f>
        <v/>
      </c>
      <c r="U371" s="26"/>
      <c r="V371" s="26"/>
    </row>
    <row r="372" customFormat="false" ht="15" hidden="false" customHeight="false" outlineLevel="0" collapsed="false">
      <c r="A372" s="21" t="str">
        <f aca="false">IF(COUNTA(B372,C372,E372,F372)=0,"",設定!$C$4&amp;TEXT(ROW()-4,"00000"))</f>
        <v/>
      </c>
      <c r="B372" s="22"/>
      <c r="C372" s="23"/>
      <c r="D372" s="21" t="str">
        <f aca="false">IF(C372="","",IFERROR(INDEX(取引先マスタ!$B$5:$B$204,MATCH(C372,取引先マスタ!$A$5:$A$204,0)),"コード誤り"))</f>
        <v/>
      </c>
      <c r="E372" s="26"/>
      <c r="F372" s="18"/>
      <c r="G372" s="25" t="str">
        <f aca="false">IF(OR(B372="",C372="",D372="コード誤り"),"",IFERROR(IF(OR(INDEX(取引先マスタ!$E$5:$E$204,MATCH(C372,取引先マスタ!$A$5:$A$204,0))="",INDEX(取引先マスタ!$F$5:$F$204,MATCH(C372,取引先マスタ!$A$5:$A$204,0))=""),"",DATE(YEAR(B372),MONTH(B372)+INDEX(取引先マスタ!$E$5:$E$204,MATCH(C372,取引先マスタ!$A$5:$A$204,0)),MIN(INDEX(取引先マスタ!$F$5:$F$204,MATCH(C372,取引先マスタ!$A$5:$A$204,0)),DAY(EOMONTH(B372,INDEX(取引先マスタ!$E$5:$E$204,MATCH(C372,取引先マスタ!$A$5:$A$204,0))))))),""))</f>
        <v/>
      </c>
      <c r="H372" s="22"/>
      <c r="I372" s="25" t="str">
        <f aca="false">IF(H372&lt;&gt;"",H372,G372)</f>
        <v/>
      </c>
      <c r="J372" s="26"/>
      <c r="K372" s="22"/>
      <c r="L372" s="26"/>
      <c r="M372" s="27" t="str">
        <f aca="false">IF(A372="","",SUMIF(入金明細!$F$5:$F$1004,A372,入金明細!$E$5:$E$1004))</f>
        <v/>
      </c>
      <c r="N372" s="25" t="str">
        <f aca="false">IF(OR(A372="",N(M372)=0),"",SUMPRODUCT(MAX((入金明細!$F$5:$F$1004=A372)*入金明細!$B$5:$B$1004)))</f>
        <v/>
      </c>
      <c r="O372" s="18"/>
      <c r="P372" s="27" t="str">
        <f aca="false">IF(OR(A372="",F372=""),"",F372-N(M372)-N(O372))</f>
        <v/>
      </c>
      <c r="Q372" s="26"/>
      <c r="R372" s="28" t="str">
        <f aca="false">IF(A372="","",IF(Q372="取消","取消",IF(T372&lt;&gt;"","要入力",IF(K372="","未送付",IF(P372=0,"入金済",IF(P372&lt;0,"過入金",IF(設定!$C$5&gt;I372,IF(N(M372)&gt;0,"一部入金・超過","期日超過"),IF(N(M372)&gt;0,"一部入金",IF(I372-設定!$C$5&lt;=設定!$C$6,"期日間近","入金待ち")))))))))</f>
        <v/>
      </c>
      <c r="S372" s="29" t="str">
        <f aca="false">IF(OR(R372="期日超過",R372="一部入金・超過"),設定!$C$5-I372,"")</f>
        <v/>
      </c>
      <c r="T372" s="21" t="str">
        <f aca="false">IF(A372="","",TRIM(IF(B372="","請求日 ","")&amp;IF(C372="","取引先 ",IF(D372="コード誤り","取引先コード誤り ",""))&amp;IF(E372="","件名 ","")&amp;IF(F372="","請求額 ","")&amp;IF(AND(F372&lt;&gt;"",I372=""),"入金期日(マスタの支払条件が未登録) ","")&amp;IF(J372="","送付方法 ","")&amp;IF(AND(K372&lt;&gt;"",L372=""),"送付者 ","")&amp;IF(AND(K372&lt;&gt;"",N(K372)&gt;設定!$C$5),"送付日が未来の日付 ","")&amp;IF(AND(K372&lt;&gt;"",N(M372)&gt;0,N(P372)&lt;=0,U372=""),"消込確認者 ","")))</f>
        <v/>
      </c>
      <c r="U372" s="26"/>
      <c r="V372" s="26"/>
    </row>
    <row r="373" customFormat="false" ht="15" hidden="false" customHeight="false" outlineLevel="0" collapsed="false">
      <c r="A373" s="21" t="str">
        <f aca="false">IF(COUNTA(B373,C373,E373,F373)=0,"",設定!$C$4&amp;TEXT(ROW()-4,"00000"))</f>
        <v/>
      </c>
      <c r="B373" s="22"/>
      <c r="C373" s="23"/>
      <c r="D373" s="21" t="str">
        <f aca="false">IF(C373="","",IFERROR(INDEX(取引先マスタ!$B$5:$B$204,MATCH(C373,取引先マスタ!$A$5:$A$204,0)),"コード誤り"))</f>
        <v/>
      </c>
      <c r="E373" s="26"/>
      <c r="F373" s="18"/>
      <c r="G373" s="25" t="str">
        <f aca="false">IF(OR(B373="",C373="",D373="コード誤り"),"",IFERROR(IF(OR(INDEX(取引先マスタ!$E$5:$E$204,MATCH(C373,取引先マスタ!$A$5:$A$204,0))="",INDEX(取引先マスタ!$F$5:$F$204,MATCH(C373,取引先マスタ!$A$5:$A$204,0))=""),"",DATE(YEAR(B373),MONTH(B373)+INDEX(取引先マスタ!$E$5:$E$204,MATCH(C373,取引先マスタ!$A$5:$A$204,0)),MIN(INDEX(取引先マスタ!$F$5:$F$204,MATCH(C373,取引先マスタ!$A$5:$A$204,0)),DAY(EOMONTH(B373,INDEX(取引先マスタ!$E$5:$E$204,MATCH(C373,取引先マスタ!$A$5:$A$204,0))))))),""))</f>
        <v/>
      </c>
      <c r="H373" s="22"/>
      <c r="I373" s="25" t="str">
        <f aca="false">IF(H373&lt;&gt;"",H373,G373)</f>
        <v/>
      </c>
      <c r="J373" s="26"/>
      <c r="K373" s="22"/>
      <c r="L373" s="26"/>
      <c r="M373" s="27" t="str">
        <f aca="false">IF(A373="","",SUMIF(入金明細!$F$5:$F$1004,A373,入金明細!$E$5:$E$1004))</f>
        <v/>
      </c>
      <c r="N373" s="25" t="str">
        <f aca="false">IF(OR(A373="",N(M373)=0),"",SUMPRODUCT(MAX((入金明細!$F$5:$F$1004=A373)*入金明細!$B$5:$B$1004)))</f>
        <v/>
      </c>
      <c r="O373" s="18"/>
      <c r="P373" s="27" t="str">
        <f aca="false">IF(OR(A373="",F373=""),"",F373-N(M373)-N(O373))</f>
        <v/>
      </c>
      <c r="Q373" s="26"/>
      <c r="R373" s="28" t="str">
        <f aca="false">IF(A373="","",IF(Q373="取消","取消",IF(T373&lt;&gt;"","要入力",IF(K373="","未送付",IF(P373=0,"入金済",IF(P373&lt;0,"過入金",IF(設定!$C$5&gt;I373,IF(N(M373)&gt;0,"一部入金・超過","期日超過"),IF(N(M373)&gt;0,"一部入金",IF(I373-設定!$C$5&lt;=設定!$C$6,"期日間近","入金待ち")))))))))</f>
        <v/>
      </c>
      <c r="S373" s="29" t="str">
        <f aca="false">IF(OR(R373="期日超過",R373="一部入金・超過"),設定!$C$5-I373,"")</f>
        <v/>
      </c>
      <c r="T373" s="21" t="str">
        <f aca="false">IF(A373="","",TRIM(IF(B373="","請求日 ","")&amp;IF(C373="","取引先 ",IF(D373="コード誤り","取引先コード誤り ",""))&amp;IF(E373="","件名 ","")&amp;IF(F373="","請求額 ","")&amp;IF(AND(F373&lt;&gt;"",I373=""),"入金期日(マスタの支払条件が未登録) ","")&amp;IF(J373="","送付方法 ","")&amp;IF(AND(K373&lt;&gt;"",L373=""),"送付者 ","")&amp;IF(AND(K373&lt;&gt;"",N(K373)&gt;設定!$C$5),"送付日が未来の日付 ","")&amp;IF(AND(K373&lt;&gt;"",N(M373)&gt;0,N(P373)&lt;=0,U373=""),"消込確認者 ","")))</f>
        <v/>
      </c>
      <c r="U373" s="26"/>
      <c r="V373" s="26"/>
    </row>
    <row r="374" customFormat="false" ht="15" hidden="false" customHeight="false" outlineLevel="0" collapsed="false">
      <c r="A374" s="21" t="str">
        <f aca="false">IF(COUNTA(B374,C374,E374,F374)=0,"",設定!$C$4&amp;TEXT(ROW()-4,"00000"))</f>
        <v/>
      </c>
      <c r="B374" s="22"/>
      <c r="C374" s="23"/>
      <c r="D374" s="21" t="str">
        <f aca="false">IF(C374="","",IFERROR(INDEX(取引先マスタ!$B$5:$B$204,MATCH(C374,取引先マスタ!$A$5:$A$204,0)),"コード誤り"))</f>
        <v/>
      </c>
      <c r="E374" s="26"/>
      <c r="F374" s="18"/>
      <c r="G374" s="25" t="str">
        <f aca="false">IF(OR(B374="",C374="",D374="コード誤り"),"",IFERROR(IF(OR(INDEX(取引先マスタ!$E$5:$E$204,MATCH(C374,取引先マスタ!$A$5:$A$204,0))="",INDEX(取引先マスタ!$F$5:$F$204,MATCH(C374,取引先マスタ!$A$5:$A$204,0))=""),"",DATE(YEAR(B374),MONTH(B374)+INDEX(取引先マスタ!$E$5:$E$204,MATCH(C374,取引先マスタ!$A$5:$A$204,0)),MIN(INDEX(取引先マスタ!$F$5:$F$204,MATCH(C374,取引先マスタ!$A$5:$A$204,0)),DAY(EOMONTH(B374,INDEX(取引先マスタ!$E$5:$E$204,MATCH(C374,取引先マスタ!$A$5:$A$204,0))))))),""))</f>
        <v/>
      </c>
      <c r="H374" s="22"/>
      <c r="I374" s="25" t="str">
        <f aca="false">IF(H374&lt;&gt;"",H374,G374)</f>
        <v/>
      </c>
      <c r="J374" s="26"/>
      <c r="K374" s="22"/>
      <c r="L374" s="26"/>
      <c r="M374" s="27" t="str">
        <f aca="false">IF(A374="","",SUMIF(入金明細!$F$5:$F$1004,A374,入金明細!$E$5:$E$1004))</f>
        <v/>
      </c>
      <c r="N374" s="25" t="str">
        <f aca="false">IF(OR(A374="",N(M374)=0),"",SUMPRODUCT(MAX((入金明細!$F$5:$F$1004=A374)*入金明細!$B$5:$B$1004)))</f>
        <v/>
      </c>
      <c r="O374" s="18"/>
      <c r="P374" s="27" t="str">
        <f aca="false">IF(OR(A374="",F374=""),"",F374-N(M374)-N(O374))</f>
        <v/>
      </c>
      <c r="Q374" s="26"/>
      <c r="R374" s="28" t="str">
        <f aca="false">IF(A374="","",IF(Q374="取消","取消",IF(T374&lt;&gt;"","要入力",IF(K374="","未送付",IF(P374=0,"入金済",IF(P374&lt;0,"過入金",IF(設定!$C$5&gt;I374,IF(N(M374)&gt;0,"一部入金・超過","期日超過"),IF(N(M374)&gt;0,"一部入金",IF(I374-設定!$C$5&lt;=設定!$C$6,"期日間近","入金待ち")))))))))</f>
        <v/>
      </c>
      <c r="S374" s="29" t="str">
        <f aca="false">IF(OR(R374="期日超過",R374="一部入金・超過"),設定!$C$5-I374,"")</f>
        <v/>
      </c>
      <c r="T374" s="21" t="str">
        <f aca="false">IF(A374="","",TRIM(IF(B374="","請求日 ","")&amp;IF(C374="","取引先 ",IF(D374="コード誤り","取引先コード誤り ",""))&amp;IF(E374="","件名 ","")&amp;IF(F374="","請求額 ","")&amp;IF(AND(F374&lt;&gt;"",I374=""),"入金期日(マスタの支払条件が未登録) ","")&amp;IF(J374="","送付方法 ","")&amp;IF(AND(K374&lt;&gt;"",L374=""),"送付者 ","")&amp;IF(AND(K374&lt;&gt;"",N(K374)&gt;設定!$C$5),"送付日が未来の日付 ","")&amp;IF(AND(K374&lt;&gt;"",N(M374)&gt;0,N(P374)&lt;=0,U374=""),"消込確認者 ","")))</f>
        <v/>
      </c>
      <c r="U374" s="26"/>
      <c r="V374" s="26"/>
    </row>
    <row r="375" customFormat="false" ht="15" hidden="false" customHeight="false" outlineLevel="0" collapsed="false">
      <c r="A375" s="21" t="str">
        <f aca="false">IF(COUNTA(B375,C375,E375,F375)=0,"",設定!$C$4&amp;TEXT(ROW()-4,"00000"))</f>
        <v/>
      </c>
      <c r="B375" s="22"/>
      <c r="C375" s="23"/>
      <c r="D375" s="21" t="str">
        <f aca="false">IF(C375="","",IFERROR(INDEX(取引先マスタ!$B$5:$B$204,MATCH(C375,取引先マスタ!$A$5:$A$204,0)),"コード誤り"))</f>
        <v/>
      </c>
      <c r="E375" s="26"/>
      <c r="F375" s="18"/>
      <c r="G375" s="25" t="str">
        <f aca="false">IF(OR(B375="",C375="",D375="コード誤り"),"",IFERROR(IF(OR(INDEX(取引先マスタ!$E$5:$E$204,MATCH(C375,取引先マスタ!$A$5:$A$204,0))="",INDEX(取引先マスタ!$F$5:$F$204,MATCH(C375,取引先マスタ!$A$5:$A$204,0))=""),"",DATE(YEAR(B375),MONTH(B375)+INDEX(取引先マスタ!$E$5:$E$204,MATCH(C375,取引先マスタ!$A$5:$A$204,0)),MIN(INDEX(取引先マスタ!$F$5:$F$204,MATCH(C375,取引先マスタ!$A$5:$A$204,0)),DAY(EOMONTH(B375,INDEX(取引先マスタ!$E$5:$E$204,MATCH(C375,取引先マスタ!$A$5:$A$204,0))))))),""))</f>
        <v/>
      </c>
      <c r="H375" s="22"/>
      <c r="I375" s="25" t="str">
        <f aca="false">IF(H375&lt;&gt;"",H375,G375)</f>
        <v/>
      </c>
      <c r="J375" s="26"/>
      <c r="K375" s="22"/>
      <c r="L375" s="26"/>
      <c r="M375" s="27" t="str">
        <f aca="false">IF(A375="","",SUMIF(入金明細!$F$5:$F$1004,A375,入金明細!$E$5:$E$1004))</f>
        <v/>
      </c>
      <c r="N375" s="25" t="str">
        <f aca="false">IF(OR(A375="",N(M375)=0),"",SUMPRODUCT(MAX((入金明細!$F$5:$F$1004=A375)*入金明細!$B$5:$B$1004)))</f>
        <v/>
      </c>
      <c r="O375" s="18"/>
      <c r="P375" s="27" t="str">
        <f aca="false">IF(OR(A375="",F375=""),"",F375-N(M375)-N(O375))</f>
        <v/>
      </c>
      <c r="Q375" s="26"/>
      <c r="R375" s="28" t="str">
        <f aca="false">IF(A375="","",IF(Q375="取消","取消",IF(T375&lt;&gt;"","要入力",IF(K375="","未送付",IF(P375=0,"入金済",IF(P375&lt;0,"過入金",IF(設定!$C$5&gt;I375,IF(N(M375)&gt;0,"一部入金・超過","期日超過"),IF(N(M375)&gt;0,"一部入金",IF(I375-設定!$C$5&lt;=設定!$C$6,"期日間近","入金待ち")))))))))</f>
        <v/>
      </c>
      <c r="S375" s="29" t="str">
        <f aca="false">IF(OR(R375="期日超過",R375="一部入金・超過"),設定!$C$5-I375,"")</f>
        <v/>
      </c>
      <c r="T375" s="21" t="str">
        <f aca="false">IF(A375="","",TRIM(IF(B375="","請求日 ","")&amp;IF(C375="","取引先 ",IF(D375="コード誤り","取引先コード誤り ",""))&amp;IF(E375="","件名 ","")&amp;IF(F375="","請求額 ","")&amp;IF(AND(F375&lt;&gt;"",I375=""),"入金期日(マスタの支払条件が未登録) ","")&amp;IF(J375="","送付方法 ","")&amp;IF(AND(K375&lt;&gt;"",L375=""),"送付者 ","")&amp;IF(AND(K375&lt;&gt;"",N(K375)&gt;設定!$C$5),"送付日が未来の日付 ","")&amp;IF(AND(K375&lt;&gt;"",N(M375)&gt;0,N(P375)&lt;=0,U375=""),"消込確認者 ","")))</f>
        <v/>
      </c>
      <c r="U375" s="26"/>
      <c r="V375" s="26"/>
    </row>
    <row r="376" customFormat="false" ht="15" hidden="false" customHeight="false" outlineLevel="0" collapsed="false">
      <c r="A376" s="21" t="str">
        <f aca="false">IF(COUNTA(B376,C376,E376,F376)=0,"",設定!$C$4&amp;TEXT(ROW()-4,"00000"))</f>
        <v/>
      </c>
      <c r="B376" s="22"/>
      <c r="C376" s="23"/>
      <c r="D376" s="21" t="str">
        <f aca="false">IF(C376="","",IFERROR(INDEX(取引先マスタ!$B$5:$B$204,MATCH(C376,取引先マスタ!$A$5:$A$204,0)),"コード誤り"))</f>
        <v/>
      </c>
      <c r="E376" s="26"/>
      <c r="F376" s="18"/>
      <c r="G376" s="25" t="str">
        <f aca="false">IF(OR(B376="",C376="",D376="コード誤り"),"",IFERROR(IF(OR(INDEX(取引先マスタ!$E$5:$E$204,MATCH(C376,取引先マスタ!$A$5:$A$204,0))="",INDEX(取引先マスタ!$F$5:$F$204,MATCH(C376,取引先マスタ!$A$5:$A$204,0))=""),"",DATE(YEAR(B376),MONTH(B376)+INDEX(取引先マスタ!$E$5:$E$204,MATCH(C376,取引先マスタ!$A$5:$A$204,0)),MIN(INDEX(取引先マスタ!$F$5:$F$204,MATCH(C376,取引先マスタ!$A$5:$A$204,0)),DAY(EOMONTH(B376,INDEX(取引先マスタ!$E$5:$E$204,MATCH(C376,取引先マスタ!$A$5:$A$204,0))))))),""))</f>
        <v/>
      </c>
      <c r="H376" s="22"/>
      <c r="I376" s="25" t="str">
        <f aca="false">IF(H376&lt;&gt;"",H376,G376)</f>
        <v/>
      </c>
      <c r="J376" s="26"/>
      <c r="K376" s="22"/>
      <c r="L376" s="26"/>
      <c r="M376" s="27" t="str">
        <f aca="false">IF(A376="","",SUMIF(入金明細!$F$5:$F$1004,A376,入金明細!$E$5:$E$1004))</f>
        <v/>
      </c>
      <c r="N376" s="25" t="str">
        <f aca="false">IF(OR(A376="",N(M376)=0),"",SUMPRODUCT(MAX((入金明細!$F$5:$F$1004=A376)*入金明細!$B$5:$B$1004)))</f>
        <v/>
      </c>
      <c r="O376" s="18"/>
      <c r="P376" s="27" t="str">
        <f aca="false">IF(OR(A376="",F376=""),"",F376-N(M376)-N(O376))</f>
        <v/>
      </c>
      <c r="Q376" s="26"/>
      <c r="R376" s="28" t="str">
        <f aca="false">IF(A376="","",IF(Q376="取消","取消",IF(T376&lt;&gt;"","要入力",IF(K376="","未送付",IF(P376=0,"入金済",IF(P376&lt;0,"過入金",IF(設定!$C$5&gt;I376,IF(N(M376)&gt;0,"一部入金・超過","期日超過"),IF(N(M376)&gt;0,"一部入金",IF(I376-設定!$C$5&lt;=設定!$C$6,"期日間近","入金待ち")))))))))</f>
        <v/>
      </c>
      <c r="S376" s="29" t="str">
        <f aca="false">IF(OR(R376="期日超過",R376="一部入金・超過"),設定!$C$5-I376,"")</f>
        <v/>
      </c>
      <c r="T376" s="21" t="str">
        <f aca="false">IF(A376="","",TRIM(IF(B376="","請求日 ","")&amp;IF(C376="","取引先 ",IF(D376="コード誤り","取引先コード誤り ",""))&amp;IF(E376="","件名 ","")&amp;IF(F376="","請求額 ","")&amp;IF(AND(F376&lt;&gt;"",I376=""),"入金期日(マスタの支払条件が未登録) ","")&amp;IF(J376="","送付方法 ","")&amp;IF(AND(K376&lt;&gt;"",L376=""),"送付者 ","")&amp;IF(AND(K376&lt;&gt;"",N(K376)&gt;設定!$C$5),"送付日が未来の日付 ","")&amp;IF(AND(K376&lt;&gt;"",N(M376)&gt;0,N(P376)&lt;=0,U376=""),"消込確認者 ","")))</f>
        <v/>
      </c>
      <c r="U376" s="26"/>
      <c r="V376" s="26"/>
    </row>
    <row r="377" customFormat="false" ht="15" hidden="false" customHeight="false" outlineLevel="0" collapsed="false">
      <c r="A377" s="21" t="str">
        <f aca="false">IF(COUNTA(B377,C377,E377,F377)=0,"",設定!$C$4&amp;TEXT(ROW()-4,"00000"))</f>
        <v/>
      </c>
      <c r="B377" s="22"/>
      <c r="C377" s="23"/>
      <c r="D377" s="21" t="str">
        <f aca="false">IF(C377="","",IFERROR(INDEX(取引先マスタ!$B$5:$B$204,MATCH(C377,取引先マスタ!$A$5:$A$204,0)),"コード誤り"))</f>
        <v/>
      </c>
      <c r="E377" s="26"/>
      <c r="F377" s="18"/>
      <c r="G377" s="25" t="str">
        <f aca="false">IF(OR(B377="",C377="",D377="コード誤り"),"",IFERROR(IF(OR(INDEX(取引先マスタ!$E$5:$E$204,MATCH(C377,取引先マスタ!$A$5:$A$204,0))="",INDEX(取引先マスタ!$F$5:$F$204,MATCH(C377,取引先マスタ!$A$5:$A$204,0))=""),"",DATE(YEAR(B377),MONTH(B377)+INDEX(取引先マスタ!$E$5:$E$204,MATCH(C377,取引先マスタ!$A$5:$A$204,0)),MIN(INDEX(取引先マスタ!$F$5:$F$204,MATCH(C377,取引先マスタ!$A$5:$A$204,0)),DAY(EOMONTH(B377,INDEX(取引先マスタ!$E$5:$E$204,MATCH(C377,取引先マスタ!$A$5:$A$204,0))))))),""))</f>
        <v/>
      </c>
      <c r="H377" s="22"/>
      <c r="I377" s="25" t="str">
        <f aca="false">IF(H377&lt;&gt;"",H377,G377)</f>
        <v/>
      </c>
      <c r="J377" s="26"/>
      <c r="K377" s="22"/>
      <c r="L377" s="26"/>
      <c r="M377" s="27" t="str">
        <f aca="false">IF(A377="","",SUMIF(入金明細!$F$5:$F$1004,A377,入金明細!$E$5:$E$1004))</f>
        <v/>
      </c>
      <c r="N377" s="25" t="str">
        <f aca="false">IF(OR(A377="",N(M377)=0),"",SUMPRODUCT(MAX((入金明細!$F$5:$F$1004=A377)*入金明細!$B$5:$B$1004)))</f>
        <v/>
      </c>
      <c r="O377" s="18"/>
      <c r="P377" s="27" t="str">
        <f aca="false">IF(OR(A377="",F377=""),"",F377-N(M377)-N(O377))</f>
        <v/>
      </c>
      <c r="Q377" s="26"/>
      <c r="R377" s="28" t="str">
        <f aca="false">IF(A377="","",IF(Q377="取消","取消",IF(T377&lt;&gt;"","要入力",IF(K377="","未送付",IF(P377=0,"入金済",IF(P377&lt;0,"過入金",IF(設定!$C$5&gt;I377,IF(N(M377)&gt;0,"一部入金・超過","期日超過"),IF(N(M377)&gt;0,"一部入金",IF(I377-設定!$C$5&lt;=設定!$C$6,"期日間近","入金待ち")))))))))</f>
        <v/>
      </c>
      <c r="S377" s="29" t="str">
        <f aca="false">IF(OR(R377="期日超過",R377="一部入金・超過"),設定!$C$5-I377,"")</f>
        <v/>
      </c>
      <c r="T377" s="21" t="str">
        <f aca="false">IF(A377="","",TRIM(IF(B377="","請求日 ","")&amp;IF(C377="","取引先 ",IF(D377="コード誤り","取引先コード誤り ",""))&amp;IF(E377="","件名 ","")&amp;IF(F377="","請求額 ","")&amp;IF(AND(F377&lt;&gt;"",I377=""),"入金期日(マスタの支払条件が未登録) ","")&amp;IF(J377="","送付方法 ","")&amp;IF(AND(K377&lt;&gt;"",L377=""),"送付者 ","")&amp;IF(AND(K377&lt;&gt;"",N(K377)&gt;設定!$C$5),"送付日が未来の日付 ","")&amp;IF(AND(K377&lt;&gt;"",N(M377)&gt;0,N(P377)&lt;=0,U377=""),"消込確認者 ","")))</f>
        <v/>
      </c>
      <c r="U377" s="26"/>
      <c r="V377" s="26"/>
    </row>
    <row r="378" customFormat="false" ht="15" hidden="false" customHeight="false" outlineLevel="0" collapsed="false">
      <c r="A378" s="21" t="str">
        <f aca="false">IF(COUNTA(B378,C378,E378,F378)=0,"",設定!$C$4&amp;TEXT(ROW()-4,"00000"))</f>
        <v/>
      </c>
      <c r="B378" s="22"/>
      <c r="C378" s="23"/>
      <c r="D378" s="21" t="str">
        <f aca="false">IF(C378="","",IFERROR(INDEX(取引先マスタ!$B$5:$B$204,MATCH(C378,取引先マスタ!$A$5:$A$204,0)),"コード誤り"))</f>
        <v/>
      </c>
      <c r="E378" s="26"/>
      <c r="F378" s="18"/>
      <c r="G378" s="25" t="str">
        <f aca="false">IF(OR(B378="",C378="",D378="コード誤り"),"",IFERROR(IF(OR(INDEX(取引先マスタ!$E$5:$E$204,MATCH(C378,取引先マスタ!$A$5:$A$204,0))="",INDEX(取引先マスタ!$F$5:$F$204,MATCH(C378,取引先マスタ!$A$5:$A$204,0))=""),"",DATE(YEAR(B378),MONTH(B378)+INDEX(取引先マスタ!$E$5:$E$204,MATCH(C378,取引先マスタ!$A$5:$A$204,0)),MIN(INDEX(取引先マスタ!$F$5:$F$204,MATCH(C378,取引先マスタ!$A$5:$A$204,0)),DAY(EOMONTH(B378,INDEX(取引先マスタ!$E$5:$E$204,MATCH(C378,取引先マスタ!$A$5:$A$204,0))))))),""))</f>
        <v/>
      </c>
      <c r="H378" s="22"/>
      <c r="I378" s="25" t="str">
        <f aca="false">IF(H378&lt;&gt;"",H378,G378)</f>
        <v/>
      </c>
      <c r="J378" s="26"/>
      <c r="K378" s="22"/>
      <c r="L378" s="26"/>
      <c r="M378" s="27" t="str">
        <f aca="false">IF(A378="","",SUMIF(入金明細!$F$5:$F$1004,A378,入金明細!$E$5:$E$1004))</f>
        <v/>
      </c>
      <c r="N378" s="25" t="str">
        <f aca="false">IF(OR(A378="",N(M378)=0),"",SUMPRODUCT(MAX((入金明細!$F$5:$F$1004=A378)*入金明細!$B$5:$B$1004)))</f>
        <v/>
      </c>
      <c r="O378" s="18"/>
      <c r="P378" s="27" t="str">
        <f aca="false">IF(OR(A378="",F378=""),"",F378-N(M378)-N(O378))</f>
        <v/>
      </c>
      <c r="Q378" s="26"/>
      <c r="R378" s="28" t="str">
        <f aca="false">IF(A378="","",IF(Q378="取消","取消",IF(T378&lt;&gt;"","要入力",IF(K378="","未送付",IF(P378=0,"入金済",IF(P378&lt;0,"過入金",IF(設定!$C$5&gt;I378,IF(N(M378)&gt;0,"一部入金・超過","期日超過"),IF(N(M378)&gt;0,"一部入金",IF(I378-設定!$C$5&lt;=設定!$C$6,"期日間近","入金待ち")))))))))</f>
        <v/>
      </c>
      <c r="S378" s="29" t="str">
        <f aca="false">IF(OR(R378="期日超過",R378="一部入金・超過"),設定!$C$5-I378,"")</f>
        <v/>
      </c>
      <c r="T378" s="21" t="str">
        <f aca="false">IF(A378="","",TRIM(IF(B378="","請求日 ","")&amp;IF(C378="","取引先 ",IF(D378="コード誤り","取引先コード誤り ",""))&amp;IF(E378="","件名 ","")&amp;IF(F378="","請求額 ","")&amp;IF(AND(F378&lt;&gt;"",I378=""),"入金期日(マスタの支払条件が未登録) ","")&amp;IF(J378="","送付方法 ","")&amp;IF(AND(K378&lt;&gt;"",L378=""),"送付者 ","")&amp;IF(AND(K378&lt;&gt;"",N(K378)&gt;設定!$C$5),"送付日が未来の日付 ","")&amp;IF(AND(K378&lt;&gt;"",N(M378)&gt;0,N(P378)&lt;=0,U378=""),"消込確認者 ","")))</f>
        <v/>
      </c>
      <c r="U378" s="26"/>
      <c r="V378" s="26"/>
    </row>
    <row r="379" customFormat="false" ht="15" hidden="false" customHeight="false" outlineLevel="0" collapsed="false">
      <c r="A379" s="21" t="str">
        <f aca="false">IF(COUNTA(B379,C379,E379,F379)=0,"",設定!$C$4&amp;TEXT(ROW()-4,"00000"))</f>
        <v/>
      </c>
      <c r="B379" s="22"/>
      <c r="C379" s="23"/>
      <c r="D379" s="21" t="str">
        <f aca="false">IF(C379="","",IFERROR(INDEX(取引先マスタ!$B$5:$B$204,MATCH(C379,取引先マスタ!$A$5:$A$204,0)),"コード誤り"))</f>
        <v/>
      </c>
      <c r="E379" s="26"/>
      <c r="F379" s="18"/>
      <c r="G379" s="25" t="str">
        <f aca="false">IF(OR(B379="",C379="",D379="コード誤り"),"",IFERROR(IF(OR(INDEX(取引先マスタ!$E$5:$E$204,MATCH(C379,取引先マスタ!$A$5:$A$204,0))="",INDEX(取引先マスタ!$F$5:$F$204,MATCH(C379,取引先マスタ!$A$5:$A$204,0))=""),"",DATE(YEAR(B379),MONTH(B379)+INDEX(取引先マスタ!$E$5:$E$204,MATCH(C379,取引先マスタ!$A$5:$A$204,0)),MIN(INDEX(取引先マスタ!$F$5:$F$204,MATCH(C379,取引先マスタ!$A$5:$A$204,0)),DAY(EOMONTH(B379,INDEX(取引先マスタ!$E$5:$E$204,MATCH(C379,取引先マスタ!$A$5:$A$204,0))))))),""))</f>
        <v/>
      </c>
      <c r="H379" s="22"/>
      <c r="I379" s="25" t="str">
        <f aca="false">IF(H379&lt;&gt;"",H379,G379)</f>
        <v/>
      </c>
      <c r="J379" s="26"/>
      <c r="K379" s="22"/>
      <c r="L379" s="26"/>
      <c r="M379" s="27" t="str">
        <f aca="false">IF(A379="","",SUMIF(入金明細!$F$5:$F$1004,A379,入金明細!$E$5:$E$1004))</f>
        <v/>
      </c>
      <c r="N379" s="25" t="str">
        <f aca="false">IF(OR(A379="",N(M379)=0),"",SUMPRODUCT(MAX((入金明細!$F$5:$F$1004=A379)*入金明細!$B$5:$B$1004)))</f>
        <v/>
      </c>
      <c r="O379" s="18"/>
      <c r="P379" s="27" t="str">
        <f aca="false">IF(OR(A379="",F379=""),"",F379-N(M379)-N(O379))</f>
        <v/>
      </c>
      <c r="Q379" s="26"/>
      <c r="R379" s="28" t="str">
        <f aca="false">IF(A379="","",IF(Q379="取消","取消",IF(T379&lt;&gt;"","要入力",IF(K379="","未送付",IF(P379=0,"入金済",IF(P379&lt;0,"過入金",IF(設定!$C$5&gt;I379,IF(N(M379)&gt;0,"一部入金・超過","期日超過"),IF(N(M379)&gt;0,"一部入金",IF(I379-設定!$C$5&lt;=設定!$C$6,"期日間近","入金待ち")))))))))</f>
        <v/>
      </c>
      <c r="S379" s="29" t="str">
        <f aca="false">IF(OR(R379="期日超過",R379="一部入金・超過"),設定!$C$5-I379,"")</f>
        <v/>
      </c>
      <c r="T379" s="21" t="str">
        <f aca="false">IF(A379="","",TRIM(IF(B379="","請求日 ","")&amp;IF(C379="","取引先 ",IF(D379="コード誤り","取引先コード誤り ",""))&amp;IF(E379="","件名 ","")&amp;IF(F379="","請求額 ","")&amp;IF(AND(F379&lt;&gt;"",I379=""),"入金期日(マスタの支払条件が未登録) ","")&amp;IF(J379="","送付方法 ","")&amp;IF(AND(K379&lt;&gt;"",L379=""),"送付者 ","")&amp;IF(AND(K379&lt;&gt;"",N(K379)&gt;設定!$C$5),"送付日が未来の日付 ","")&amp;IF(AND(K379&lt;&gt;"",N(M379)&gt;0,N(P379)&lt;=0,U379=""),"消込確認者 ","")))</f>
        <v/>
      </c>
      <c r="U379" s="26"/>
      <c r="V379" s="26"/>
    </row>
    <row r="380" customFormat="false" ht="15" hidden="false" customHeight="false" outlineLevel="0" collapsed="false">
      <c r="A380" s="21" t="str">
        <f aca="false">IF(COUNTA(B380,C380,E380,F380)=0,"",設定!$C$4&amp;TEXT(ROW()-4,"00000"))</f>
        <v/>
      </c>
      <c r="B380" s="22"/>
      <c r="C380" s="23"/>
      <c r="D380" s="21" t="str">
        <f aca="false">IF(C380="","",IFERROR(INDEX(取引先マスタ!$B$5:$B$204,MATCH(C380,取引先マスタ!$A$5:$A$204,0)),"コード誤り"))</f>
        <v/>
      </c>
      <c r="E380" s="26"/>
      <c r="F380" s="18"/>
      <c r="G380" s="25" t="str">
        <f aca="false">IF(OR(B380="",C380="",D380="コード誤り"),"",IFERROR(IF(OR(INDEX(取引先マスタ!$E$5:$E$204,MATCH(C380,取引先マスタ!$A$5:$A$204,0))="",INDEX(取引先マスタ!$F$5:$F$204,MATCH(C380,取引先マスタ!$A$5:$A$204,0))=""),"",DATE(YEAR(B380),MONTH(B380)+INDEX(取引先マスタ!$E$5:$E$204,MATCH(C380,取引先マスタ!$A$5:$A$204,0)),MIN(INDEX(取引先マスタ!$F$5:$F$204,MATCH(C380,取引先マスタ!$A$5:$A$204,0)),DAY(EOMONTH(B380,INDEX(取引先マスタ!$E$5:$E$204,MATCH(C380,取引先マスタ!$A$5:$A$204,0))))))),""))</f>
        <v/>
      </c>
      <c r="H380" s="22"/>
      <c r="I380" s="25" t="str">
        <f aca="false">IF(H380&lt;&gt;"",H380,G380)</f>
        <v/>
      </c>
      <c r="J380" s="26"/>
      <c r="K380" s="22"/>
      <c r="L380" s="26"/>
      <c r="M380" s="27" t="str">
        <f aca="false">IF(A380="","",SUMIF(入金明細!$F$5:$F$1004,A380,入金明細!$E$5:$E$1004))</f>
        <v/>
      </c>
      <c r="N380" s="25" t="str">
        <f aca="false">IF(OR(A380="",N(M380)=0),"",SUMPRODUCT(MAX((入金明細!$F$5:$F$1004=A380)*入金明細!$B$5:$B$1004)))</f>
        <v/>
      </c>
      <c r="O380" s="18"/>
      <c r="P380" s="27" t="str">
        <f aca="false">IF(OR(A380="",F380=""),"",F380-N(M380)-N(O380))</f>
        <v/>
      </c>
      <c r="Q380" s="26"/>
      <c r="R380" s="28" t="str">
        <f aca="false">IF(A380="","",IF(Q380="取消","取消",IF(T380&lt;&gt;"","要入力",IF(K380="","未送付",IF(P380=0,"入金済",IF(P380&lt;0,"過入金",IF(設定!$C$5&gt;I380,IF(N(M380)&gt;0,"一部入金・超過","期日超過"),IF(N(M380)&gt;0,"一部入金",IF(I380-設定!$C$5&lt;=設定!$C$6,"期日間近","入金待ち")))))))))</f>
        <v/>
      </c>
      <c r="S380" s="29" t="str">
        <f aca="false">IF(OR(R380="期日超過",R380="一部入金・超過"),設定!$C$5-I380,"")</f>
        <v/>
      </c>
      <c r="T380" s="21" t="str">
        <f aca="false">IF(A380="","",TRIM(IF(B380="","請求日 ","")&amp;IF(C380="","取引先 ",IF(D380="コード誤り","取引先コード誤り ",""))&amp;IF(E380="","件名 ","")&amp;IF(F380="","請求額 ","")&amp;IF(AND(F380&lt;&gt;"",I380=""),"入金期日(マスタの支払条件が未登録) ","")&amp;IF(J380="","送付方法 ","")&amp;IF(AND(K380&lt;&gt;"",L380=""),"送付者 ","")&amp;IF(AND(K380&lt;&gt;"",N(K380)&gt;設定!$C$5),"送付日が未来の日付 ","")&amp;IF(AND(K380&lt;&gt;"",N(M380)&gt;0,N(P380)&lt;=0,U380=""),"消込確認者 ","")))</f>
        <v/>
      </c>
      <c r="U380" s="26"/>
      <c r="V380" s="26"/>
    </row>
    <row r="381" customFormat="false" ht="15" hidden="false" customHeight="false" outlineLevel="0" collapsed="false">
      <c r="A381" s="21" t="str">
        <f aca="false">IF(COUNTA(B381,C381,E381,F381)=0,"",設定!$C$4&amp;TEXT(ROW()-4,"00000"))</f>
        <v/>
      </c>
      <c r="B381" s="22"/>
      <c r="C381" s="23"/>
      <c r="D381" s="21" t="str">
        <f aca="false">IF(C381="","",IFERROR(INDEX(取引先マスタ!$B$5:$B$204,MATCH(C381,取引先マスタ!$A$5:$A$204,0)),"コード誤り"))</f>
        <v/>
      </c>
      <c r="E381" s="26"/>
      <c r="F381" s="18"/>
      <c r="G381" s="25" t="str">
        <f aca="false">IF(OR(B381="",C381="",D381="コード誤り"),"",IFERROR(IF(OR(INDEX(取引先マスタ!$E$5:$E$204,MATCH(C381,取引先マスタ!$A$5:$A$204,0))="",INDEX(取引先マスタ!$F$5:$F$204,MATCH(C381,取引先マスタ!$A$5:$A$204,0))=""),"",DATE(YEAR(B381),MONTH(B381)+INDEX(取引先マスタ!$E$5:$E$204,MATCH(C381,取引先マスタ!$A$5:$A$204,0)),MIN(INDEX(取引先マスタ!$F$5:$F$204,MATCH(C381,取引先マスタ!$A$5:$A$204,0)),DAY(EOMONTH(B381,INDEX(取引先マスタ!$E$5:$E$204,MATCH(C381,取引先マスタ!$A$5:$A$204,0))))))),""))</f>
        <v/>
      </c>
      <c r="H381" s="22"/>
      <c r="I381" s="25" t="str">
        <f aca="false">IF(H381&lt;&gt;"",H381,G381)</f>
        <v/>
      </c>
      <c r="J381" s="26"/>
      <c r="K381" s="22"/>
      <c r="L381" s="26"/>
      <c r="M381" s="27" t="str">
        <f aca="false">IF(A381="","",SUMIF(入金明細!$F$5:$F$1004,A381,入金明細!$E$5:$E$1004))</f>
        <v/>
      </c>
      <c r="N381" s="25" t="str">
        <f aca="false">IF(OR(A381="",N(M381)=0),"",SUMPRODUCT(MAX((入金明細!$F$5:$F$1004=A381)*入金明細!$B$5:$B$1004)))</f>
        <v/>
      </c>
      <c r="O381" s="18"/>
      <c r="P381" s="27" t="str">
        <f aca="false">IF(OR(A381="",F381=""),"",F381-N(M381)-N(O381))</f>
        <v/>
      </c>
      <c r="Q381" s="26"/>
      <c r="R381" s="28" t="str">
        <f aca="false">IF(A381="","",IF(Q381="取消","取消",IF(T381&lt;&gt;"","要入力",IF(K381="","未送付",IF(P381=0,"入金済",IF(P381&lt;0,"過入金",IF(設定!$C$5&gt;I381,IF(N(M381)&gt;0,"一部入金・超過","期日超過"),IF(N(M381)&gt;0,"一部入金",IF(I381-設定!$C$5&lt;=設定!$C$6,"期日間近","入金待ち")))))))))</f>
        <v/>
      </c>
      <c r="S381" s="29" t="str">
        <f aca="false">IF(OR(R381="期日超過",R381="一部入金・超過"),設定!$C$5-I381,"")</f>
        <v/>
      </c>
      <c r="T381" s="21" t="str">
        <f aca="false">IF(A381="","",TRIM(IF(B381="","請求日 ","")&amp;IF(C381="","取引先 ",IF(D381="コード誤り","取引先コード誤り ",""))&amp;IF(E381="","件名 ","")&amp;IF(F381="","請求額 ","")&amp;IF(AND(F381&lt;&gt;"",I381=""),"入金期日(マスタの支払条件が未登録) ","")&amp;IF(J381="","送付方法 ","")&amp;IF(AND(K381&lt;&gt;"",L381=""),"送付者 ","")&amp;IF(AND(K381&lt;&gt;"",N(K381)&gt;設定!$C$5),"送付日が未来の日付 ","")&amp;IF(AND(K381&lt;&gt;"",N(M381)&gt;0,N(P381)&lt;=0,U381=""),"消込確認者 ","")))</f>
        <v/>
      </c>
      <c r="U381" s="26"/>
      <c r="V381" s="26"/>
    </row>
    <row r="382" customFormat="false" ht="15" hidden="false" customHeight="false" outlineLevel="0" collapsed="false">
      <c r="A382" s="21" t="str">
        <f aca="false">IF(COUNTA(B382,C382,E382,F382)=0,"",設定!$C$4&amp;TEXT(ROW()-4,"00000"))</f>
        <v/>
      </c>
      <c r="B382" s="22"/>
      <c r="C382" s="23"/>
      <c r="D382" s="21" t="str">
        <f aca="false">IF(C382="","",IFERROR(INDEX(取引先マスタ!$B$5:$B$204,MATCH(C382,取引先マスタ!$A$5:$A$204,0)),"コード誤り"))</f>
        <v/>
      </c>
      <c r="E382" s="26"/>
      <c r="F382" s="18"/>
      <c r="G382" s="25" t="str">
        <f aca="false">IF(OR(B382="",C382="",D382="コード誤り"),"",IFERROR(IF(OR(INDEX(取引先マスタ!$E$5:$E$204,MATCH(C382,取引先マスタ!$A$5:$A$204,0))="",INDEX(取引先マスタ!$F$5:$F$204,MATCH(C382,取引先マスタ!$A$5:$A$204,0))=""),"",DATE(YEAR(B382),MONTH(B382)+INDEX(取引先マスタ!$E$5:$E$204,MATCH(C382,取引先マスタ!$A$5:$A$204,0)),MIN(INDEX(取引先マスタ!$F$5:$F$204,MATCH(C382,取引先マスタ!$A$5:$A$204,0)),DAY(EOMONTH(B382,INDEX(取引先マスタ!$E$5:$E$204,MATCH(C382,取引先マスタ!$A$5:$A$204,0))))))),""))</f>
        <v/>
      </c>
      <c r="H382" s="22"/>
      <c r="I382" s="25" t="str">
        <f aca="false">IF(H382&lt;&gt;"",H382,G382)</f>
        <v/>
      </c>
      <c r="J382" s="26"/>
      <c r="K382" s="22"/>
      <c r="L382" s="26"/>
      <c r="M382" s="27" t="str">
        <f aca="false">IF(A382="","",SUMIF(入金明細!$F$5:$F$1004,A382,入金明細!$E$5:$E$1004))</f>
        <v/>
      </c>
      <c r="N382" s="25" t="str">
        <f aca="false">IF(OR(A382="",N(M382)=0),"",SUMPRODUCT(MAX((入金明細!$F$5:$F$1004=A382)*入金明細!$B$5:$B$1004)))</f>
        <v/>
      </c>
      <c r="O382" s="18"/>
      <c r="P382" s="27" t="str">
        <f aca="false">IF(OR(A382="",F382=""),"",F382-N(M382)-N(O382))</f>
        <v/>
      </c>
      <c r="Q382" s="26"/>
      <c r="R382" s="28" t="str">
        <f aca="false">IF(A382="","",IF(Q382="取消","取消",IF(T382&lt;&gt;"","要入力",IF(K382="","未送付",IF(P382=0,"入金済",IF(P382&lt;0,"過入金",IF(設定!$C$5&gt;I382,IF(N(M382)&gt;0,"一部入金・超過","期日超過"),IF(N(M382)&gt;0,"一部入金",IF(I382-設定!$C$5&lt;=設定!$C$6,"期日間近","入金待ち")))))))))</f>
        <v/>
      </c>
      <c r="S382" s="29" t="str">
        <f aca="false">IF(OR(R382="期日超過",R382="一部入金・超過"),設定!$C$5-I382,"")</f>
        <v/>
      </c>
      <c r="T382" s="21" t="str">
        <f aca="false">IF(A382="","",TRIM(IF(B382="","請求日 ","")&amp;IF(C382="","取引先 ",IF(D382="コード誤り","取引先コード誤り ",""))&amp;IF(E382="","件名 ","")&amp;IF(F382="","請求額 ","")&amp;IF(AND(F382&lt;&gt;"",I382=""),"入金期日(マスタの支払条件が未登録) ","")&amp;IF(J382="","送付方法 ","")&amp;IF(AND(K382&lt;&gt;"",L382=""),"送付者 ","")&amp;IF(AND(K382&lt;&gt;"",N(K382)&gt;設定!$C$5),"送付日が未来の日付 ","")&amp;IF(AND(K382&lt;&gt;"",N(M382)&gt;0,N(P382)&lt;=0,U382=""),"消込確認者 ","")))</f>
        <v/>
      </c>
      <c r="U382" s="26"/>
      <c r="V382" s="26"/>
    </row>
    <row r="383" customFormat="false" ht="15" hidden="false" customHeight="false" outlineLevel="0" collapsed="false">
      <c r="A383" s="21" t="str">
        <f aca="false">IF(COUNTA(B383,C383,E383,F383)=0,"",設定!$C$4&amp;TEXT(ROW()-4,"00000"))</f>
        <v/>
      </c>
      <c r="B383" s="22"/>
      <c r="C383" s="23"/>
      <c r="D383" s="21" t="str">
        <f aca="false">IF(C383="","",IFERROR(INDEX(取引先マスタ!$B$5:$B$204,MATCH(C383,取引先マスタ!$A$5:$A$204,0)),"コード誤り"))</f>
        <v/>
      </c>
      <c r="E383" s="26"/>
      <c r="F383" s="18"/>
      <c r="G383" s="25" t="str">
        <f aca="false">IF(OR(B383="",C383="",D383="コード誤り"),"",IFERROR(IF(OR(INDEX(取引先マスタ!$E$5:$E$204,MATCH(C383,取引先マスタ!$A$5:$A$204,0))="",INDEX(取引先マスタ!$F$5:$F$204,MATCH(C383,取引先マスタ!$A$5:$A$204,0))=""),"",DATE(YEAR(B383),MONTH(B383)+INDEX(取引先マスタ!$E$5:$E$204,MATCH(C383,取引先マスタ!$A$5:$A$204,0)),MIN(INDEX(取引先マスタ!$F$5:$F$204,MATCH(C383,取引先マスタ!$A$5:$A$204,0)),DAY(EOMONTH(B383,INDEX(取引先マスタ!$E$5:$E$204,MATCH(C383,取引先マスタ!$A$5:$A$204,0))))))),""))</f>
        <v/>
      </c>
      <c r="H383" s="22"/>
      <c r="I383" s="25" t="str">
        <f aca="false">IF(H383&lt;&gt;"",H383,G383)</f>
        <v/>
      </c>
      <c r="J383" s="26"/>
      <c r="K383" s="22"/>
      <c r="L383" s="26"/>
      <c r="M383" s="27" t="str">
        <f aca="false">IF(A383="","",SUMIF(入金明細!$F$5:$F$1004,A383,入金明細!$E$5:$E$1004))</f>
        <v/>
      </c>
      <c r="N383" s="25" t="str">
        <f aca="false">IF(OR(A383="",N(M383)=0),"",SUMPRODUCT(MAX((入金明細!$F$5:$F$1004=A383)*入金明細!$B$5:$B$1004)))</f>
        <v/>
      </c>
      <c r="O383" s="18"/>
      <c r="P383" s="27" t="str">
        <f aca="false">IF(OR(A383="",F383=""),"",F383-N(M383)-N(O383))</f>
        <v/>
      </c>
      <c r="Q383" s="26"/>
      <c r="R383" s="28" t="str">
        <f aca="false">IF(A383="","",IF(Q383="取消","取消",IF(T383&lt;&gt;"","要入力",IF(K383="","未送付",IF(P383=0,"入金済",IF(P383&lt;0,"過入金",IF(設定!$C$5&gt;I383,IF(N(M383)&gt;0,"一部入金・超過","期日超過"),IF(N(M383)&gt;0,"一部入金",IF(I383-設定!$C$5&lt;=設定!$C$6,"期日間近","入金待ち")))))))))</f>
        <v/>
      </c>
      <c r="S383" s="29" t="str">
        <f aca="false">IF(OR(R383="期日超過",R383="一部入金・超過"),設定!$C$5-I383,"")</f>
        <v/>
      </c>
      <c r="T383" s="21" t="str">
        <f aca="false">IF(A383="","",TRIM(IF(B383="","請求日 ","")&amp;IF(C383="","取引先 ",IF(D383="コード誤り","取引先コード誤り ",""))&amp;IF(E383="","件名 ","")&amp;IF(F383="","請求額 ","")&amp;IF(AND(F383&lt;&gt;"",I383=""),"入金期日(マスタの支払条件が未登録) ","")&amp;IF(J383="","送付方法 ","")&amp;IF(AND(K383&lt;&gt;"",L383=""),"送付者 ","")&amp;IF(AND(K383&lt;&gt;"",N(K383)&gt;設定!$C$5),"送付日が未来の日付 ","")&amp;IF(AND(K383&lt;&gt;"",N(M383)&gt;0,N(P383)&lt;=0,U383=""),"消込確認者 ","")))</f>
        <v/>
      </c>
      <c r="U383" s="26"/>
      <c r="V383" s="26"/>
    </row>
    <row r="384" customFormat="false" ht="15" hidden="false" customHeight="false" outlineLevel="0" collapsed="false">
      <c r="A384" s="21" t="str">
        <f aca="false">IF(COUNTA(B384,C384,E384,F384)=0,"",設定!$C$4&amp;TEXT(ROW()-4,"00000"))</f>
        <v/>
      </c>
      <c r="B384" s="22"/>
      <c r="C384" s="23"/>
      <c r="D384" s="21" t="str">
        <f aca="false">IF(C384="","",IFERROR(INDEX(取引先マスタ!$B$5:$B$204,MATCH(C384,取引先マスタ!$A$5:$A$204,0)),"コード誤り"))</f>
        <v/>
      </c>
      <c r="E384" s="26"/>
      <c r="F384" s="18"/>
      <c r="G384" s="25" t="str">
        <f aca="false">IF(OR(B384="",C384="",D384="コード誤り"),"",IFERROR(IF(OR(INDEX(取引先マスタ!$E$5:$E$204,MATCH(C384,取引先マスタ!$A$5:$A$204,0))="",INDEX(取引先マスタ!$F$5:$F$204,MATCH(C384,取引先マスタ!$A$5:$A$204,0))=""),"",DATE(YEAR(B384),MONTH(B384)+INDEX(取引先マスタ!$E$5:$E$204,MATCH(C384,取引先マスタ!$A$5:$A$204,0)),MIN(INDEX(取引先マスタ!$F$5:$F$204,MATCH(C384,取引先マスタ!$A$5:$A$204,0)),DAY(EOMONTH(B384,INDEX(取引先マスタ!$E$5:$E$204,MATCH(C384,取引先マスタ!$A$5:$A$204,0))))))),""))</f>
        <v/>
      </c>
      <c r="H384" s="22"/>
      <c r="I384" s="25" t="str">
        <f aca="false">IF(H384&lt;&gt;"",H384,G384)</f>
        <v/>
      </c>
      <c r="J384" s="26"/>
      <c r="K384" s="22"/>
      <c r="L384" s="26"/>
      <c r="M384" s="27" t="str">
        <f aca="false">IF(A384="","",SUMIF(入金明細!$F$5:$F$1004,A384,入金明細!$E$5:$E$1004))</f>
        <v/>
      </c>
      <c r="N384" s="25" t="str">
        <f aca="false">IF(OR(A384="",N(M384)=0),"",SUMPRODUCT(MAX((入金明細!$F$5:$F$1004=A384)*入金明細!$B$5:$B$1004)))</f>
        <v/>
      </c>
      <c r="O384" s="18"/>
      <c r="P384" s="27" t="str">
        <f aca="false">IF(OR(A384="",F384=""),"",F384-N(M384)-N(O384))</f>
        <v/>
      </c>
      <c r="Q384" s="26"/>
      <c r="R384" s="28" t="str">
        <f aca="false">IF(A384="","",IF(Q384="取消","取消",IF(T384&lt;&gt;"","要入力",IF(K384="","未送付",IF(P384=0,"入金済",IF(P384&lt;0,"過入金",IF(設定!$C$5&gt;I384,IF(N(M384)&gt;0,"一部入金・超過","期日超過"),IF(N(M384)&gt;0,"一部入金",IF(I384-設定!$C$5&lt;=設定!$C$6,"期日間近","入金待ち")))))))))</f>
        <v/>
      </c>
      <c r="S384" s="29" t="str">
        <f aca="false">IF(OR(R384="期日超過",R384="一部入金・超過"),設定!$C$5-I384,"")</f>
        <v/>
      </c>
      <c r="T384" s="21" t="str">
        <f aca="false">IF(A384="","",TRIM(IF(B384="","請求日 ","")&amp;IF(C384="","取引先 ",IF(D384="コード誤り","取引先コード誤り ",""))&amp;IF(E384="","件名 ","")&amp;IF(F384="","請求額 ","")&amp;IF(AND(F384&lt;&gt;"",I384=""),"入金期日(マスタの支払条件が未登録) ","")&amp;IF(J384="","送付方法 ","")&amp;IF(AND(K384&lt;&gt;"",L384=""),"送付者 ","")&amp;IF(AND(K384&lt;&gt;"",N(K384)&gt;設定!$C$5),"送付日が未来の日付 ","")&amp;IF(AND(K384&lt;&gt;"",N(M384)&gt;0,N(P384)&lt;=0,U384=""),"消込確認者 ","")))</f>
        <v/>
      </c>
      <c r="U384" s="26"/>
      <c r="V384" s="26"/>
    </row>
    <row r="385" customFormat="false" ht="15" hidden="false" customHeight="false" outlineLevel="0" collapsed="false">
      <c r="A385" s="21" t="str">
        <f aca="false">IF(COUNTA(B385,C385,E385,F385)=0,"",設定!$C$4&amp;TEXT(ROW()-4,"00000"))</f>
        <v/>
      </c>
      <c r="B385" s="22"/>
      <c r="C385" s="23"/>
      <c r="D385" s="21" t="str">
        <f aca="false">IF(C385="","",IFERROR(INDEX(取引先マスタ!$B$5:$B$204,MATCH(C385,取引先マスタ!$A$5:$A$204,0)),"コード誤り"))</f>
        <v/>
      </c>
      <c r="E385" s="26"/>
      <c r="F385" s="18"/>
      <c r="G385" s="25" t="str">
        <f aca="false">IF(OR(B385="",C385="",D385="コード誤り"),"",IFERROR(IF(OR(INDEX(取引先マスタ!$E$5:$E$204,MATCH(C385,取引先マスタ!$A$5:$A$204,0))="",INDEX(取引先マスタ!$F$5:$F$204,MATCH(C385,取引先マスタ!$A$5:$A$204,0))=""),"",DATE(YEAR(B385),MONTH(B385)+INDEX(取引先マスタ!$E$5:$E$204,MATCH(C385,取引先マスタ!$A$5:$A$204,0)),MIN(INDEX(取引先マスタ!$F$5:$F$204,MATCH(C385,取引先マスタ!$A$5:$A$204,0)),DAY(EOMONTH(B385,INDEX(取引先マスタ!$E$5:$E$204,MATCH(C385,取引先マスタ!$A$5:$A$204,0))))))),""))</f>
        <v/>
      </c>
      <c r="H385" s="22"/>
      <c r="I385" s="25" t="str">
        <f aca="false">IF(H385&lt;&gt;"",H385,G385)</f>
        <v/>
      </c>
      <c r="J385" s="26"/>
      <c r="K385" s="22"/>
      <c r="L385" s="26"/>
      <c r="M385" s="27" t="str">
        <f aca="false">IF(A385="","",SUMIF(入金明細!$F$5:$F$1004,A385,入金明細!$E$5:$E$1004))</f>
        <v/>
      </c>
      <c r="N385" s="25" t="str">
        <f aca="false">IF(OR(A385="",N(M385)=0),"",SUMPRODUCT(MAX((入金明細!$F$5:$F$1004=A385)*入金明細!$B$5:$B$1004)))</f>
        <v/>
      </c>
      <c r="O385" s="18"/>
      <c r="P385" s="27" t="str">
        <f aca="false">IF(OR(A385="",F385=""),"",F385-N(M385)-N(O385))</f>
        <v/>
      </c>
      <c r="Q385" s="26"/>
      <c r="R385" s="28" t="str">
        <f aca="false">IF(A385="","",IF(Q385="取消","取消",IF(T385&lt;&gt;"","要入力",IF(K385="","未送付",IF(P385=0,"入金済",IF(P385&lt;0,"過入金",IF(設定!$C$5&gt;I385,IF(N(M385)&gt;0,"一部入金・超過","期日超過"),IF(N(M385)&gt;0,"一部入金",IF(I385-設定!$C$5&lt;=設定!$C$6,"期日間近","入金待ち")))))))))</f>
        <v/>
      </c>
      <c r="S385" s="29" t="str">
        <f aca="false">IF(OR(R385="期日超過",R385="一部入金・超過"),設定!$C$5-I385,"")</f>
        <v/>
      </c>
      <c r="T385" s="21" t="str">
        <f aca="false">IF(A385="","",TRIM(IF(B385="","請求日 ","")&amp;IF(C385="","取引先 ",IF(D385="コード誤り","取引先コード誤り ",""))&amp;IF(E385="","件名 ","")&amp;IF(F385="","請求額 ","")&amp;IF(AND(F385&lt;&gt;"",I385=""),"入金期日(マスタの支払条件が未登録) ","")&amp;IF(J385="","送付方法 ","")&amp;IF(AND(K385&lt;&gt;"",L385=""),"送付者 ","")&amp;IF(AND(K385&lt;&gt;"",N(K385)&gt;設定!$C$5),"送付日が未来の日付 ","")&amp;IF(AND(K385&lt;&gt;"",N(M385)&gt;0,N(P385)&lt;=0,U385=""),"消込確認者 ","")))</f>
        <v/>
      </c>
      <c r="U385" s="26"/>
      <c r="V385" s="26"/>
    </row>
    <row r="386" customFormat="false" ht="15" hidden="false" customHeight="false" outlineLevel="0" collapsed="false">
      <c r="A386" s="21" t="str">
        <f aca="false">IF(COUNTA(B386,C386,E386,F386)=0,"",設定!$C$4&amp;TEXT(ROW()-4,"00000"))</f>
        <v/>
      </c>
      <c r="B386" s="22"/>
      <c r="C386" s="23"/>
      <c r="D386" s="21" t="str">
        <f aca="false">IF(C386="","",IFERROR(INDEX(取引先マスタ!$B$5:$B$204,MATCH(C386,取引先マスタ!$A$5:$A$204,0)),"コード誤り"))</f>
        <v/>
      </c>
      <c r="E386" s="26"/>
      <c r="F386" s="18"/>
      <c r="G386" s="25" t="str">
        <f aca="false">IF(OR(B386="",C386="",D386="コード誤り"),"",IFERROR(IF(OR(INDEX(取引先マスタ!$E$5:$E$204,MATCH(C386,取引先マスタ!$A$5:$A$204,0))="",INDEX(取引先マスタ!$F$5:$F$204,MATCH(C386,取引先マスタ!$A$5:$A$204,0))=""),"",DATE(YEAR(B386),MONTH(B386)+INDEX(取引先マスタ!$E$5:$E$204,MATCH(C386,取引先マスタ!$A$5:$A$204,0)),MIN(INDEX(取引先マスタ!$F$5:$F$204,MATCH(C386,取引先マスタ!$A$5:$A$204,0)),DAY(EOMONTH(B386,INDEX(取引先マスタ!$E$5:$E$204,MATCH(C386,取引先マスタ!$A$5:$A$204,0))))))),""))</f>
        <v/>
      </c>
      <c r="H386" s="22"/>
      <c r="I386" s="25" t="str">
        <f aca="false">IF(H386&lt;&gt;"",H386,G386)</f>
        <v/>
      </c>
      <c r="J386" s="26"/>
      <c r="K386" s="22"/>
      <c r="L386" s="26"/>
      <c r="M386" s="27" t="str">
        <f aca="false">IF(A386="","",SUMIF(入金明細!$F$5:$F$1004,A386,入金明細!$E$5:$E$1004))</f>
        <v/>
      </c>
      <c r="N386" s="25" t="str">
        <f aca="false">IF(OR(A386="",N(M386)=0),"",SUMPRODUCT(MAX((入金明細!$F$5:$F$1004=A386)*入金明細!$B$5:$B$1004)))</f>
        <v/>
      </c>
      <c r="O386" s="18"/>
      <c r="P386" s="27" t="str">
        <f aca="false">IF(OR(A386="",F386=""),"",F386-N(M386)-N(O386))</f>
        <v/>
      </c>
      <c r="Q386" s="26"/>
      <c r="R386" s="28" t="str">
        <f aca="false">IF(A386="","",IF(Q386="取消","取消",IF(T386&lt;&gt;"","要入力",IF(K386="","未送付",IF(P386=0,"入金済",IF(P386&lt;0,"過入金",IF(設定!$C$5&gt;I386,IF(N(M386)&gt;0,"一部入金・超過","期日超過"),IF(N(M386)&gt;0,"一部入金",IF(I386-設定!$C$5&lt;=設定!$C$6,"期日間近","入金待ち")))))))))</f>
        <v/>
      </c>
      <c r="S386" s="29" t="str">
        <f aca="false">IF(OR(R386="期日超過",R386="一部入金・超過"),設定!$C$5-I386,"")</f>
        <v/>
      </c>
      <c r="T386" s="21" t="str">
        <f aca="false">IF(A386="","",TRIM(IF(B386="","請求日 ","")&amp;IF(C386="","取引先 ",IF(D386="コード誤り","取引先コード誤り ",""))&amp;IF(E386="","件名 ","")&amp;IF(F386="","請求額 ","")&amp;IF(AND(F386&lt;&gt;"",I386=""),"入金期日(マスタの支払条件が未登録) ","")&amp;IF(J386="","送付方法 ","")&amp;IF(AND(K386&lt;&gt;"",L386=""),"送付者 ","")&amp;IF(AND(K386&lt;&gt;"",N(K386)&gt;設定!$C$5),"送付日が未来の日付 ","")&amp;IF(AND(K386&lt;&gt;"",N(M386)&gt;0,N(P386)&lt;=0,U386=""),"消込確認者 ","")))</f>
        <v/>
      </c>
      <c r="U386" s="26"/>
      <c r="V386" s="26"/>
    </row>
    <row r="387" customFormat="false" ht="15" hidden="false" customHeight="false" outlineLevel="0" collapsed="false">
      <c r="A387" s="21" t="str">
        <f aca="false">IF(COUNTA(B387,C387,E387,F387)=0,"",設定!$C$4&amp;TEXT(ROW()-4,"00000"))</f>
        <v/>
      </c>
      <c r="B387" s="22"/>
      <c r="C387" s="23"/>
      <c r="D387" s="21" t="str">
        <f aca="false">IF(C387="","",IFERROR(INDEX(取引先マスタ!$B$5:$B$204,MATCH(C387,取引先マスタ!$A$5:$A$204,0)),"コード誤り"))</f>
        <v/>
      </c>
      <c r="E387" s="26"/>
      <c r="F387" s="18"/>
      <c r="G387" s="25" t="str">
        <f aca="false">IF(OR(B387="",C387="",D387="コード誤り"),"",IFERROR(IF(OR(INDEX(取引先マスタ!$E$5:$E$204,MATCH(C387,取引先マスタ!$A$5:$A$204,0))="",INDEX(取引先マスタ!$F$5:$F$204,MATCH(C387,取引先マスタ!$A$5:$A$204,0))=""),"",DATE(YEAR(B387),MONTH(B387)+INDEX(取引先マスタ!$E$5:$E$204,MATCH(C387,取引先マスタ!$A$5:$A$204,0)),MIN(INDEX(取引先マスタ!$F$5:$F$204,MATCH(C387,取引先マスタ!$A$5:$A$204,0)),DAY(EOMONTH(B387,INDEX(取引先マスタ!$E$5:$E$204,MATCH(C387,取引先マスタ!$A$5:$A$204,0))))))),""))</f>
        <v/>
      </c>
      <c r="H387" s="22"/>
      <c r="I387" s="25" t="str">
        <f aca="false">IF(H387&lt;&gt;"",H387,G387)</f>
        <v/>
      </c>
      <c r="J387" s="26"/>
      <c r="K387" s="22"/>
      <c r="L387" s="26"/>
      <c r="M387" s="27" t="str">
        <f aca="false">IF(A387="","",SUMIF(入金明細!$F$5:$F$1004,A387,入金明細!$E$5:$E$1004))</f>
        <v/>
      </c>
      <c r="N387" s="25" t="str">
        <f aca="false">IF(OR(A387="",N(M387)=0),"",SUMPRODUCT(MAX((入金明細!$F$5:$F$1004=A387)*入金明細!$B$5:$B$1004)))</f>
        <v/>
      </c>
      <c r="O387" s="18"/>
      <c r="P387" s="27" t="str">
        <f aca="false">IF(OR(A387="",F387=""),"",F387-N(M387)-N(O387))</f>
        <v/>
      </c>
      <c r="Q387" s="26"/>
      <c r="R387" s="28" t="str">
        <f aca="false">IF(A387="","",IF(Q387="取消","取消",IF(T387&lt;&gt;"","要入力",IF(K387="","未送付",IF(P387=0,"入金済",IF(P387&lt;0,"過入金",IF(設定!$C$5&gt;I387,IF(N(M387)&gt;0,"一部入金・超過","期日超過"),IF(N(M387)&gt;0,"一部入金",IF(I387-設定!$C$5&lt;=設定!$C$6,"期日間近","入金待ち")))))))))</f>
        <v/>
      </c>
      <c r="S387" s="29" t="str">
        <f aca="false">IF(OR(R387="期日超過",R387="一部入金・超過"),設定!$C$5-I387,"")</f>
        <v/>
      </c>
      <c r="T387" s="21" t="str">
        <f aca="false">IF(A387="","",TRIM(IF(B387="","請求日 ","")&amp;IF(C387="","取引先 ",IF(D387="コード誤り","取引先コード誤り ",""))&amp;IF(E387="","件名 ","")&amp;IF(F387="","請求額 ","")&amp;IF(AND(F387&lt;&gt;"",I387=""),"入金期日(マスタの支払条件が未登録) ","")&amp;IF(J387="","送付方法 ","")&amp;IF(AND(K387&lt;&gt;"",L387=""),"送付者 ","")&amp;IF(AND(K387&lt;&gt;"",N(K387)&gt;設定!$C$5),"送付日が未来の日付 ","")&amp;IF(AND(K387&lt;&gt;"",N(M387)&gt;0,N(P387)&lt;=0,U387=""),"消込確認者 ","")))</f>
        <v/>
      </c>
      <c r="U387" s="26"/>
      <c r="V387" s="26"/>
    </row>
    <row r="388" customFormat="false" ht="15" hidden="false" customHeight="false" outlineLevel="0" collapsed="false">
      <c r="A388" s="21" t="str">
        <f aca="false">IF(COUNTA(B388,C388,E388,F388)=0,"",設定!$C$4&amp;TEXT(ROW()-4,"00000"))</f>
        <v/>
      </c>
      <c r="B388" s="22"/>
      <c r="C388" s="23"/>
      <c r="D388" s="21" t="str">
        <f aca="false">IF(C388="","",IFERROR(INDEX(取引先マスタ!$B$5:$B$204,MATCH(C388,取引先マスタ!$A$5:$A$204,0)),"コード誤り"))</f>
        <v/>
      </c>
      <c r="E388" s="26"/>
      <c r="F388" s="18"/>
      <c r="G388" s="25" t="str">
        <f aca="false">IF(OR(B388="",C388="",D388="コード誤り"),"",IFERROR(IF(OR(INDEX(取引先マスタ!$E$5:$E$204,MATCH(C388,取引先マスタ!$A$5:$A$204,0))="",INDEX(取引先マスタ!$F$5:$F$204,MATCH(C388,取引先マスタ!$A$5:$A$204,0))=""),"",DATE(YEAR(B388),MONTH(B388)+INDEX(取引先マスタ!$E$5:$E$204,MATCH(C388,取引先マスタ!$A$5:$A$204,0)),MIN(INDEX(取引先マスタ!$F$5:$F$204,MATCH(C388,取引先マスタ!$A$5:$A$204,0)),DAY(EOMONTH(B388,INDEX(取引先マスタ!$E$5:$E$204,MATCH(C388,取引先マスタ!$A$5:$A$204,0))))))),""))</f>
        <v/>
      </c>
      <c r="H388" s="22"/>
      <c r="I388" s="25" t="str">
        <f aca="false">IF(H388&lt;&gt;"",H388,G388)</f>
        <v/>
      </c>
      <c r="J388" s="26"/>
      <c r="K388" s="22"/>
      <c r="L388" s="26"/>
      <c r="M388" s="27" t="str">
        <f aca="false">IF(A388="","",SUMIF(入金明細!$F$5:$F$1004,A388,入金明細!$E$5:$E$1004))</f>
        <v/>
      </c>
      <c r="N388" s="25" t="str">
        <f aca="false">IF(OR(A388="",N(M388)=0),"",SUMPRODUCT(MAX((入金明細!$F$5:$F$1004=A388)*入金明細!$B$5:$B$1004)))</f>
        <v/>
      </c>
      <c r="O388" s="18"/>
      <c r="P388" s="27" t="str">
        <f aca="false">IF(OR(A388="",F388=""),"",F388-N(M388)-N(O388))</f>
        <v/>
      </c>
      <c r="Q388" s="26"/>
      <c r="R388" s="28" t="str">
        <f aca="false">IF(A388="","",IF(Q388="取消","取消",IF(T388&lt;&gt;"","要入力",IF(K388="","未送付",IF(P388=0,"入金済",IF(P388&lt;0,"過入金",IF(設定!$C$5&gt;I388,IF(N(M388)&gt;0,"一部入金・超過","期日超過"),IF(N(M388)&gt;0,"一部入金",IF(I388-設定!$C$5&lt;=設定!$C$6,"期日間近","入金待ち")))))))))</f>
        <v/>
      </c>
      <c r="S388" s="29" t="str">
        <f aca="false">IF(OR(R388="期日超過",R388="一部入金・超過"),設定!$C$5-I388,"")</f>
        <v/>
      </c>
      <c r="T388" s="21" t="str">
        <f aca="false">IF(A388="","",TRIM(IF(B388="","請求日 ","")&amp;IF(C388="","取引先 ",IF(D388="コード誤り","取引先コード誤り ",""))&amp;IF(E388="","件名 ","")&amp;IF(F388="","請求額 ","")&amp;IF(AND(F388&lt;&gt;"",I388=""),"入金期日(マスタの支払条件が未登録) ","")&amp;IF(J388="","送付方法 ","")&amp;IF(AND(K388&lt;&gt;"",L388=""),"送付者 ","")&amp;IF(AND(K388&lt;&gt;"",N(K388)&gt;設定!$C$5),"送付日が未来の日付 ","")&amp;IF(AND(K388&lt;&gt;"",N(M388)&gt;0,N(P388)&lt;=0,U388=""),"消込確認者 ","")))</f>
        <v/>
      </c>
      <c r="U388" s="26"/>
      <c r="V388" s="26"/>
    </row>
    <row r="389" customFormat="false" ht="15" hidden="false" customHeight="false" outlineLevel="0" collapsed="false">
      <c r="A389" s="21" t="str">
        <f aca="false">IF(COUNTA(B389,C389,E389,F389)=0,"",設定!$C$4&amp;TEXT(ROW()-4,"00000"))</f>
        <v/>
      </c>
      <c r="B389" s="22"/>
      <c r="C389" s="23"/>
      <c r="D389" s="21" t="str">
        <f aca="false">IF(C389="","",IFERROR(INDEX(取引先マスタ!$B$5:$B$204,MATCH(C389,取引先マスタ!$A$5:$A$204,0)),"コード誤り"))</f>
        <v/>
      </c>
      <c r="E389" s="26"/>
      <c r="F389" s="18"/>
      <c r="G389" s="25" t="str">
        <f aca="false">IF(OR(B389="",C389="",D389="コード誤り"),"",IFERROR(IF(OR(INDEX(取引先マスタ!$E$5:$E$204,MATCH(C389,取引先マスタ!$A$5:$A$204,0))="",INDEX(取引先マスタ!$F$5:$F$204,MATCH(C389,取引先マスタ!$A$5:$A$204,0))=""),"",DATE(YEAR(B389),MONTH(B389)+INDEX(取引先マスタ!$E$5:$E$204,MATCH(C389,取引先マスタ!$A$5:$A$204,0)),MIN(INDEX(取引先マスタ!$F$5:$F$204,MATCH(C389,取引先マスタ!$A$5:$A$204,0)),DAY(EOMONTH(B389,INDEX(取引先マスタ!$E$5:$E$204,MATCH(C389,取引先マスタ!$A$5:$A$204,0))))))),""))</f>
        <v/>
      </c>
      <c r="H389" s="22"/>
      <c r="I389" s="25" t="str">
        <f aca="false">IF(H389&lt;&gt;"",H389,G389)</f>
        <v/>
      </c>
      <c r="J389" s="26"/>
      <c r="K389" s="22"/>
      <c r="L389" s="26"/>
      <c r="M389" s="27" t="str">
        <f aca="false">IF(A389="","",SUMIF(入金明細!$F$5:$F$1004,A389,入金明細!$E$5:$E$1004))</f>
        <v/>
      </c>
      <c r="N389" s="25" t="str">
        <f aca="false">IF(OR(A389="",N(M389)=0),"",SUMPRODUCT(MAX((入金明細!$F$5:$F$1004=A389)*入金明細!$B$5:$B$1004)))</f>
        <v/>
      </c>
      <c r="O389" s="18"/>
      <c r="P389" s="27" t="str">
        <f aca="false">IF(OR(A389="",F389=""),"",F389-N(M389)-N(O389))</f>
        <v/>
      </c>
      <c r="Q389" s="26"/>
      <c r="R389" s="28" t="str">
        <f aca="false">IF(A389="","",IF(Q389="取消","取消",IF(T389&lt;&gt;"","要入力",IF(K389="","未送付",IF(P389=0,"入金済",IF(P389&lt;0,"過入金",IF(設定!$C$5&gt;I389,IF(N(M389)&gt;0,"一部入金・超過","期日超過"),IF(N(M389)&gt;0,"一部入金",IF(I389-設定!$C$5&lt;=設定!$C$6,"期日間近","入金待ち")))))))))</f>
        <v/>
      </c>
      <c r="S389" s="29" t="str">
        <f aca="false">IF(OR(R389="期日超過",R389="一部入金・超過"),設定!$C$5-I389,"")</f>
        <v/>
      </c>
      <c r="T389" s="21" t="str">
        <f aca="false">IF(A389="","",TRIM(IF(B389="","請求日 ","")&amp;IF(C389="","取引先 ",IF(D389="コード誤り","取引先コード誤り ",""))&amp;IF(E389="","件名 ","")&amp;IF(F389="","請求額 ","")&amp;IF(AND(F389&lt;&gt;"",I389=""),"入金期日(マスタの支払条件が未登録) ","")&amp;IF(J389="","送付方法 ","")&amp;IF(AND(K389&lt;&gt;"",L389=""),"送付者 ","")&amp;IF(AND(K389&lt;&gt;"",N(K389)&gt;設定!$C$5),"送付日が未来の日付 ","")&amp;IF(AND(K389&lt;&gt;"",N(M389)&gt;0,N(P389)&lt;=0,U389=""),"消込確認者 ","")))</f>
        <v/>
      </c>
      <c r="U389" s="26"/>
      <c r="V389" s="26"/>
    </row>
    <row r="390" customFormat="false" ht="15" hidden="false" customHeight="false" outlineLevel="0" collapsed="false">
      <c r="A390" s="21" t="str">
        <f aca="false">IF(COUNTA(B390,C390,E390,F390)=0,"",設定!$C$4&amp;TEXT(ROW()-4,"00000"))</f>
        <v/>
      </c>
      <c r="B390" s="22"/>
      <c r="C390" s="23"/>
      <c r="D390" s="21" t="str">
        <f aca="false">IF(C390="","",IFERROR(INDEX(取引先マスタ!$B$5:$B$204,MATCH(C390,取引先マスタ!$A$5:$A$204,0)),"コード誤り"))</f>
        <v/>
      </c>
      <c r="E390" s="26"/>
      <c r="F390" s="18"/>
      <c r="G390" s="25" t="str">
        <f aca="false">IF(OR(B390="",C390="",D390="コード誤り"),"",IFERROR(IF(OR(INDEX(取引先マスタ!$E$5:$E$204,MATCH(C390,取引先マスタ!$A$5:$A$204,0))="",INDEX(取引先マスタ!$F$5:$F$204,MATCH(C390,取引先マスタ!$A$5:$A$204,0))=""),"",DATE(YEAR(B390),MONTH(B390)+INDEX(取引先マスタ!$E$5:$E$204,MATCH(C390,取引先マスタ!$A$5:$A$204,0)),MIN(INDEX(取引先マスタ!$F$5:$F$204,MATCH(C390,取引先マスタ!$A$5:$A$204,0)),DAY(EOMONTH(B390,INDEX(取引先マスタ!$E$5:$E$204,MATCH(C390,取引先マスタ!$A$5:$A$204,0))))))),""))</f>
        <v/>
      </c>
      <c r="H390" s="22"/>
      <c r="I390" s="25" t="str">
        <f aca="false">IF(H390&lt;&gt;"",H390,G390)</f>
        <v/>
      </c>
      <c r="J390" s="26"/>
      <c r="K390" s="22"/>
      <c r="L390" s="26"/>
      <c r="M390" s="27" t="str">
        <f aca="false">IF(A390="","",SUMIF(入金明細!$F$5:$F$1004,A390,入金明細!$E$5:$E$1004))</f>
        <v/>
      </c>
      <c r="N390" s="25" t="str">
        <f aca="false">IF(OR(A390="",N(M390)=0),"",SUMPRODUCT(MAX((入金明細!$F$5:$F$1004=A390)*入金明細!$B$5:$B$1004)))</f>
        <v/>
      </c>
      <c r="O390" s="18"/>
      <c r="P390" s="27" t="str">
        <f aca="false">IF(OR(A390="",F390=""),"",F390-N(M390)-N(O390))</f>
        <v/>
      </c>
      <c r="Q390" s="26"/>
      <c r="R390" s="28" t="str">
        <f aca="false">IF(A390="","",IF(Q390="取消","取消",IF(T390&lt;&gt;"","要入力",IF(K390="","未送付",IF(P390=0,"入金済",IF(P390&lt;0,"過入金",IF(設定!$C$5&gt;I390,IF(N(M390)&gt;0,"一部入金・超過","期日超過"),IF(N(M390)&gt;0,"一部入金",IF(I390-設定!$C$5&lt;=設定!$C$6,"期日間近","入金待ち")))))))))</f>
        <v/>
      </c>
      <c r="S390" s="29" t="str">
        <f aca="false">IF(OR(R390="期日超過",R390="一部入金・超過"),設定!$C$5-I390,"")</f>
        <v/>
      </c>
      <c r="T390" s="21" t="str">
        <f aca="false">IF(A390="","",TRIM(IF(B390="","請求日 ","")&amp;IF(C390="","取引先 ",IF(D390="コード誤り","取引先コード誤り ",""))&amp;IF(E390="","件名 ","")&amp;IF(F390="","請求額 ","")&amp;IF(AND(F390&lt;&gt;"",I390=""),"入金期日(マスタの支払条件が未登録) ","")&amp;IF(J390="","送付方法 ","")&amp;IF(AND(K390&lt;&gt;"",L390=""),"送付者 ","")&amp;IF(AND(K390&lt;&gt;"",N(K390)&gt;設定!$C$5),"送付日が未来の日付 ","")&amp;IF(AND(K390&lt;&gt;"",N(M390)&gt;0,N(P390)&lt;=0,U390=""),"消込確認者 ","")))</f>
        <v/>
      </c>
      <c r="U390" s="26"/>
      <c r="V390" s="26"/>
    </row>
    <row r="391" customFormat="false" ht="15" hidden="false" customHeight="false" outlineLevel="0" collapsed="false">
      <c r="A391" s="21" t="str">
        <f aca="false">IF(COUNTA(B391,C391,E391,F391)=0,"",設定!$C$4&amp;TEXT(ROW()-4,"00000"))</f>
        <v/>
      </c>
      <c r="B391" s="22"/>
      <c r="C391" s="23"/>
      <c r="D391" s="21" t="str">
        <f aca="false">IF(C391="","",IFERROR(INDEX(取引先マスタ!$B$5:$B$204,MATCH(C391,取引先マスタ!$A$5:$A$204,0)),"コード誤り"))</f>
        <v/>
      </c>
      <c r="E391" s="26"/>
      <c r="F391" s="18"/>
      <c r="G391" s="25" t="str">
        <f aca="false">IF(OR(B391="",C391="",D391="コード誤り"),"",IFERROR(IF(OR(INDEX(取引先マスタ!$E$5:$E$204,MATCH(C391,取引先マスタ!$A$5:$A$204,0))="",INDEX(取引先マスタ!$F$5:$F$204,MATCH(C391,取引先マスタ!$A$5:$A$204,0))=""),"",DATE(YEAR(B391),MONTH(B391)+INDEX(取引先マスタ!$E$5:$E$204,MATCH(C391,取引先マスタ!$A$5:$A$204,0)),MIN(INDEX(取引先マスタ!$F$5:$F$204,MATCH(C391,取引先マスタ!$A$5:$A$204,0)),DAY(EOMONTH(B391,INDEX(取引先マスタ!$E$5:$E$204,MATCH(C391,取引先マスタ!$A$5:$A$204,0))))))),""))</f>
        <v/>
      </c>
      <c r="H391" s="22"/>
      <c r="I391" s="25" t="str">
        <f aca="false">IF(H391&lt;&gt;"",H391,G391)</f>
        <v/>
      </c>
      <c r="J391" s="26"/>
      <c r="K391" s="22"/>
      <c r="L391" s="26"/>
      <c r="M391" s="27" t="str">
        <f aca="false">IF(A391="","",SUMIF(入金明細!$F$5:$F$1004,A391,入金明細!$E$5:$E$1004))</f>
        <v/>
      </c>
      <c r="N391" s="25" t="str">
        <f aca="false">IF(OR(A391="",N(M391)=0),"",SUMPRODUCT(MAX((入金明細!$F$5:$F$1004=A391)*入金明細!$B$5:$B$1004)))</f>
        <v/>
      </c>
      <c r="O391" s="18"/>
      <c r="P391" s="27" t="str">
        <f aca="false">IF(OR(A391="",F391=""),"",F391-N(M391)-N(O391))</f>
        <v/>
      </c>
      <c r="Q391" s="26"/>
      <c r="R391" s="28" t="str">
        <f aca="false">IF(A391="","",IF(Q391="取消","取消",IF(T391&lt;&gt;"","要入力",IF(K391="","未送付",IF(P391=0,"入金済",IF(P391&lt;0,"過入金",IF(設定!$C$5&gt;I391,IF(N(M391)&gt;0,"一部入金・超過","期日超過"),IF(N(M391)&gt;0,"一部入金",IF(I391-設定!$C$5&lt;=設定!$C$6,"期日間近","入金待ち")))))))))</f>
        <v/>
      </c>
      <c r="S391" s="29" t="str">
        <f aca="false">IF(OR(R391="期日超過",R391="一部入金・超過"),設定!$C$5-I391,"")</f>
        <v/>
      </c>
      <c r="T391" s="21" t="str">
        <f aca="false">IF(A391="","",TRIM(IF(B391="","請求日 ","")&amp;IF(C391="","取引先 ",IF(D391="コード誤り","取引先コード誤り ",""))&amp;IF(E391="","件名 ","")&amp;IF(F391="","請求額 ","")&amp;IF(AND(F391&lt;&gt;"",I391=""),"入金期日(マスタの支払条件が未登録) ","")&amp;IF(J391="","送付方法 ","")&amp;IF(AND(K391&lt;&gt;"",L391=""),"送付者 ","")&amp;IF(AND(K391&lt;&gt;"",N(K391)&gt;設定!$C$5),"送付日が未来の日付 ","")&amp;IF(AND(K391&lt;&gt;"",N(M391)&gt;0,N(P391)&lt;=0,U391=""),"消込確認者 ","")))</f>
        <v/>
      </c>
      <c r="U391" s="26"/>
      <c r="V391" s="26"/>
    </row>
    <row r="392" customFormat="false" ht="15" hidden="false" customHeight="false" outlineLevel="0" collapsed="false">
      <c r="A392" s="21" t="str">
        <f aca="false">IF(COUNTA(B392,C392,E392,F392)=0,"",設定!$C$4&amp;TEXT(ROW()-4,"00000"))</f>
        <v/>
      </c>
      <c r="B392" s="22"/>
      <c r="C392" s="23"/>
      <c r="D392" s="21" t="str">
        <f aca="false">IF(C392="","",IFERROR(INDEX(取引先マスタ!$B$5:$B$204,MATCH(C392,取引先マスタ!$A$5:$A$204,0)),"コード誤り"))</f>
        <v/>
      </c>
      <c r="E392" s="26"/>
      <c r="F392" s="18"/>
      <c r="G392" s="25" t="str">
        <f aca="false">IF(OR(B392="",C392="",D392="コード誤り"),"",IFERROR(IF(OR(INDEX(取引先マスタ!$E$5:$E$204,MATCH(C392,取引先マスタ!$A$5:$A$204,0))="",INDEX(取引先マスタ!$F$5:$F$204,MATCH(C392,取引先マスタ!$A$5:$A$204,0))=""),"",DATE(YEAR(B392),MONTH(B392)+INDEX(取引先マスタ!$E$5:$E$204,MATCH(C392,取引先マスタ!$A$5:$A$204,0)),MIN(INDEX(取引先マスタ!$F$5:$F$204,MATCH(C392,取引先マスタ!$A$5:$A$204,0)),DAY(EOMONTH(B392,INDEX(取引先マスタ!$E$5:$E$204,MATCH(C392,取引先マスタ!$A$5:$A$204,0))))))),""))</f>
        <v/>
      </c>
      <c r="H392" s="22"/>
      <c r="I392" s="25" t="str">
        <f aca="false">IF(H392&lt;&gt;"",H392,G392)</f>
        <v/>
      </c>
      <c r="J392" s="26"/>
      <c r="K392" s="22"/>
      <c r="L392" s="26"/>
      <c r="M392" s="27" t="str">
        <f aca="false">IF(A392="","",SUMIF(入金明細!$F$5:$F$1004,A392,入金明細!$E$5:$E$1004))</f>
        <v/>
      </c>
      <c r="N392" s="25" t="str">
        <f aca="false">IF(OR(A392="",N(M392)=0),"",SUMPRODUCT(MAX((入金明細!$F$5:$F$1004=A392)*入金明細!$B$5:$B$1004)))</f>
        <v/>
      </c>
      <c r="O392" s="18"/>
      <c r="P392" s="27" t="str">
        <f aca="false">IF(OR(A392="",F392=""),"",F392-N(M392)-N(O392))</f>
        <v/>
      </c>
      <c r="Q392" s="26"/>
      <c r="R392" s="28" t="str">
        <f aca="false">IF(A392="","",IF(Q392="取消","取消",IF(T392&lt;&gt;"","要入力",IF(K392="","未送付",IF(P392=0,"入金済",IF(P392&lt;0,"過入金",IF(設定!$C$5&gt;I392,IF(N(M392)&gt;0,"一部入金・超過","期日超過"),IF(N(M392)&gt;0,"一部入金",IF(I392-設定!$C$5&lt;=設定!$C$6,"期日間近","入金待ち")))))))))</f>
        <v/>
      </c>
      <c r="S392" s="29" t="str">
        <f aca="false">IF(OR(R392="期日超過",R392="一部入金・超過"),設定!$C$5-I392,"")</f>
        <v/>
      </c>
      <c r="T392" s="21" t="str">
        <f aca="false">IF(A392="","",TRIM(IF(B392="","請求日 ","")&amp;IF(C392="","取引先 ",IF(D392="コード誤り","取引先コード誤り ",""))&amp;IF(E392="","件名 ","")&amp;IF(F392="","請求額 ","")&amp;IF(AND(F392&lt;&gt;"",I392=""),"入金期日(マスタの支払条件が未登録) ","")&amp;IF(J392="","送付方法 ","")&amp;IF(AND(K392&lt;&gt;"",L392=""),"送付者 ","")&amp;IF(AND(K392&lt;&gt;"",N(K392)&gt;設定!$C$5),"送付日が未来の日付 ","")&amp;IF(AND(K392&lt;&gt;"",N(M392)&gt;0,N(P392)&lt;=0,U392=""),"消込確認者 ","")))</f>
        <v/>
      </c>
      <c r="U392" s="26"/>
      <c r="V392" s="26"/>
    </row>
    <row r="393" customFormat="false" ht="15" hidden="false" customHeight="false" outlineLevel="0" collapsed="false">
      <c r="A393" s="21" t="str">
        <f aca="false">IF(COUNTA(B393,C393,E393,F393)=0,"",設定!$C$4&amp;TEXT(ROW()-4,"00000"))</f>
        <v/>
      </c>
      <c r="B393" s="22"/>
      <c r="C393" s="23"/>
      <c r="D393" s="21" t="str">
        <f aca="false">IF(C393="","",IFERROR(INDEX(取引先マスタ!$B$5:$B$204,MATCH(C393,取引先マスタ!$A$5:$A$204,0)),"コード誤り"))</f>
        <v/>
      </c>
      <c r="E393" s="26"/>
      <c r="F393" s="18"/>
      <c r="G393" s="25" t="str">
        <f aca="false">IF(OR(B393="",C393="",D393="コード誤り"),"",IFERROR(IF(OR(INDEX(取引先マスタ!$E$5:$E$204,MATCH(C393,取引先マスタ!$A$5:$A$204,0))="",INDEX(取引先マスタ!$F$5:$F$204,MATCH(C393,取引先マスタ!$A$5:$A$204,0))=""),"",DATE(YEAR(B393),MONTH(B393)+INDEX(取引先マスタ!$E$5:$E$204,MATCH(C393,取引先マスタ!$A$5:$A$204,0)),MIN(INDEX(取引先マスタ!$F$5:$F$204,MATCH(C393,取引先マスタ!$A$5:$A$204,0)),DAY(EOMONTH(B393,INDEX(取引先マスタ!$E$5:$E$204,MATCH(C393,取引先マスタ!$A$5:$A$204,0))))))),""))</f>
        <v/>
      </c>
      <c r="H393" s="22"/>
      <c r="I393" s="25" t="str">
        <f aca="false">IF(H393&lt;&gt;"",H393,G393)</f>
        <v/>
      </c>
      <c r="J393" s="26"/>
      <c r="K393" s="22"/>
      <c r="L393" s="26"/>
      <c r="M393" s="27" t="str">
        <f aca="false">IF(A393="","",SUMIF(入金明細!$F$5:$F$1004,A393,入金明細!$E$5:$E$1004))</f>
        <v/>
      </c>
      <c r="N393" s="25" t="str">
        <f aca="false">IF(OR(A393="",N(M393)=0),"",SUMPRODUCT(MAX((入金明細!$F$5:$F$1004=A393)*入金明細!$B$5:$B$1004)))</f>
        <v/>
      </c>
      <c r="O393" s="18"/>
      <c r="P393" s="27" t="str">
        <f aca="false">IF(OR(A393="",F393=""),"",F393-N(M393)-N(O393))</f>
        <v/>
      </c>
      <c r="Q393" s="26"/>
      <c r="R393" s="28" t="str">
        <f aca="false">IF(A393="","",IF(Q393="取消","取消",IF(T393&lt;&gt;"","要入力",IF(K393="","未送付",IF(P393=0,"入金済",IF(P393&lt;0,"過入金",IF(設定!$C$5&gt;I393,IF(N(M393)&gt;0,"一部入金・超過","期日超過"),IF(N(M393)&gt;0,"一部入金",IF(I393-設定!$C$5&lt;=設定!$C$6,"期日間近","入金待ち")))))))))</f>
        <v/>
      </c>
      <c r="S393" s="29" t="str">
        <f aca="false">IF(OR(R393="期日超過",R393="一部入金・超過"),設定!$C$5-I393,"")</f>
        <v/>
      </c>
      <c r="T393" s="21" t="str">
        <f aca="false">IF(A393="","",TRIM(IF(B393="","請求日 ","")&amp;IF(C393="","取引先 ",IF(D393="コード誤り","取引先コード誤り ",""))&amp;IF(E393="","件名 ","")&amp;IF(F393="","請求額 ","")&amp;IF(AND(F393&lt;&gt;"",I393=""),"入金期日(マスタの支払条件が未登録) ","")&amp;IF(J393="","送付方法 ","")&amp;IF(AND(K393&lt;&gt;"",L393=""),"送付者 ","")&amp;IF(AND(K393&lt;&gt;"",N(K393)&gt;設定!$C$5),"送付日が未来の日付 ","")&amp;IF(AND(K393&lt;&gt;"",N(M393)&gt;0,N(P393)&lt;=0,U393=""),"消込確認者 ","")))</f>
        <v/>
      </c>
      <c r="U393" s="26"/>
      <c r="V393" s="26"/>
    </row>
    <row r="394" customFormat="false" ht="15" hidden="false" customHeight="false" outlineLevel="0" collapsed="false">
      <c r="A394" s="21" t="str">
        <f aca="false">IF(COUNTA(B394,C394,E394,F394)=0,"",設定!$C$4&amp;TEXT(ROW()-4,"00000"))</f>
        <v/>
      </c>
      <c r="B394" s="22"/>
      <c r="C394" s="23"/>
      <c r="D394" s="21" t="str">
        <f aca="false">IF(C394="","",IFERROR(INDEX(取引先マスタ!$B$5:$B$204,MATCH(C394,取引先マスタ!$A$5:$A$204,0)),"コード誤り"))</f>
        <v/>
      </c>
      <c r="E394" s="26"/>
      <c r="F394" s="18"/>
      <c r="G394" s="25" t="str">
        <f aca="false">IF(OR(B394="",C394="",D394="コード誤り"),"",IFERROR(IF(OR(INDEX(取引先マスタ!$E$5:$E$204,MATCH(C394,取引先マスタ!$A$5:$A$204,0))="",INDEX(取引先マスタ!$F$5:$F$204,MATCH(C394,取引先マスタ!$A$5:$A$204,0))=""),"",DATE(YEAR(B394),MONTH(B394)+INDEX(取引先マスタ!$E$5:$E$204,MATCH(C394,取引先マスタ!$A$5:$A$204,0)),MIN(INDEX(取引先マスタ!$F$5:$F$204,MATCH(C394,取引先マスタ!$A$5:$A$204,0)),DAY(EOMONTH(B394,INDEX(取引先マスタ!$E$5:$E$204,MATCH(C394,取引先マスタ!$A$5:$A$204,0))))))),""))</f>
        <v/>
      </c>
      <c r="H394" s="22"/>
      <c r="I394" s="25" t="str">
        <f aca="false">IF(H394&lt;&gt;"",H394,G394)</f>
        <v/>
      </c>
      <c r="J394" s="26"/>
      <c r="K394" s="22"/>
      <c r="L394" s="26"/>
      <c r="M394" s="27" t="str">
        <f aca="false">IF(A394="","",SUMIF(入金明細!$F$5:$F$1004,A394,入金明細!$E$5:$E$1004))</f>
        <v/>
      </c>
      <c r="N394" s="25" t="str">
        <f aca="false">IF(OR(A394="",N(M394)=0),"",SUMPRODUCT(MAX((入金明細!$F$5:$F$1004=A394)*入金明細!$B$5:$B$1004)))</f>
        <v/>
      </c>
      <c r="O394" s="18"/>
      <c r="P394" s="27" t="str">
        <f aca="false">IF(OR(A394="",F394=""),"",F394-N(M394)-N(O394))</f>
        <v/>
      </c>
      <c r="Q394" s="26"/>
      <c r="R394" s="28" t="str">
        <f aca="false">IF(A394="","",IF(Q394="取消","取消",IF(T394&lt;&gt;"","要入力",IF(K394="","未送付",IF(P394=0,"入金済",IF(P394&lt;0,"過入金",IF(設定!$C$5&gt;I394,IF(N(M394)&gt;0,"一部入金・超過","期日超過"),IF(N(M394)&gt;0,"一部入金",IF(I394-設定!$C$5&lt;=設定!$C$6,"期日間近","入金待ち")))))))))</f>
        <v/>
      </c>
      <c r="S394" s="29" t="str">
        <f aca="false">IF(OR(R394="期日超過",R394="一部入金・超過"),設定!$C$5-I394,"")</f>
        <v/>
      </c>
      <c r="T394" s="21" t="str">
        <f aca="false">IF(A394="","",TRIM(IF(B394="","請求日 ","")&amp;IF(C394="","取引先 ",IF(D394="コード誤り","取引先コード誤り ",""))&amp;IF(E394="","件名 ","")&amp;IF(F394="","請求額 ","")&amp;IF(AND(F394&lt;&gt;"",I394=""),"入金期日(マスタの支払条件が未登録) ","")&amp;IF(J394="","送付方法 ","")&amp;IF(AND(K394&lt;&gt;"",L394=""),"送付者 ","")&amp;IF(AND(K394&lt;&gt;"",N(K394)&gt;設定!$C$5),"送付日が未来の日付 ","")&amp;IF(AND(K394&lt;&gt;"",N(M394)&gt;0,N(P394)&lt;=0,U394=""),"消込確認者 ","")))</f>
        <v/>
      </c>
      <c r="U394" s="26"/>
      <c r="V394" s="26"/>
    </row>
    <row r="395" customFormat="false" ht="15" hidden="false" customHeight="false" outlineLevel="0" collapsed="false">
      <c r="A395" s="21" t="str">
        <f aca="false">IF(COUNTA(B395,C395,E395,F395)=0,"",設定!$C$4&amp;TEXT(ROW()-4,"00000"))</f>
        <v/>
      </c>
      <c r="B395" s="22"/>
      <c r="C395" s="23"/>
      <c r="D395" s="21" t="str">
        <f aca="false">IF(C395="","",IFERROR(INDEX(取引先マスタ!$B$5:$B$204,MATCH(C395,取引先マスタ!$A$5:$A$204,0)),"コード誤り"))</f>
        <v/>
      </c>
      <c r="E395" s="26"/>
      <c r="F395" s="18"/>
      <c r="G395" s="25" t="str">
        <f aca="false">IF(OR(B395="",C395="",D395="コード誤り"),"",IFERROR(IF(OR(INDEX(取引先マスタ!$E$5:$E$204,MATCH(C395,取引先マスタ!$A$5:$A$204,0))="",INDEX(取引先マスタ!$F$5:$F$204,MATCH(C395,取引先マスタ!$A$5:$A$204,0))=""),"",DATE(YEAR(B395),MONTH(B395)+INDEX(取引先マスタ!$E$5:$E$204,MATCH(C395,取引先マスタ!$A$5:$A$204,0)),MIN(INDEX(取引先マスタ!$F$5:$F$204,MATCH(C395,取引先マスタ!$A$5:$A$204,0)),DAY(EOMONTH(B395,INDEX(取引先マスタ!$E$5:$E$204,MATCH(C395,取引先マスタ!$A$5:$A$204,0))))))),""))</f>
        <v/>
      </c>
      <c r="H395" s="22"/>
      <c r="I395" s="25" t="str">
        <f aca="false">IF(H395&lt;&gt;"",H395,G395)</f>
        <v/>
      </c>
      <c r="J395" s="26"/>
      <c r="K395" s="22"/>
      <c r="L395" s="26"/>
      <c r="M395" s="27" t="str">
        <f aca="false">IF(A395="","",SUMIF(入金明細!$F$5:$F$1004,A395,入金明細!$E$5:$E$1004))</f>
        <v/>
      </c>
      <c r="N395" s="25" t="str">
        <f aca="false">IF(OR(A395="",N(M395)=0),"",SUMPRODUCT(MAX((入金明細!$F$5:$F$1004=A395)*入金明細!$B$5:$B$1004)))</f>
        <v/>
      </c>
      <c r="O395" s="18"/>
      <c r="P395" s="27" t="str">
        <f aca="false">IF(OR(A395="",F395=""),"",F395-N(M395)-N(O395))</f>
        <v/>
      </c>
      <c r="Q395" s="26"/>
      <c r="R395" s="28" t="str">
        <f aca="false">IF(A395="","",IF(Q395="取消","取消",IF(T395&lt;&gt;"","要入力",IF(K395="","未送付",IF(P395=0,"入金済",IF(P395&lt;0,"過入金",IF(設定!$C$5&gt;I395,IF(N(M395)&gt;0,"一部入金・超過","期日超過"),IF(N(M395)&gt;0,"一部入金",IF(I395-設定!$C$5&lt;=設定!$C$6,"期日間近","入金待ち")))))))))</f>
        <v/>
      </c>
      <c r="S395" s="29" t="str">
        <f aca="false">IF(OR(R395="期日超過",R395="一部入金・超過"),設定!$C$5-I395,"")</f>
        <v/>
      </c>
      <c r="T395" s="21" t="str">
        <f aca="false">IF(A395="","",TRIM(IF(B395="","請求日 ","")&amp;IF(C395="","取引先 ",IF(D395="コード誤り","取引先コード誤り ",""))&amp;IF(E395="","件名 ","")&amp;IF(F395="","請求額 ","")&amp;IF(AND(F395&lt;&gt;"",I395=""),"入金期日(マスタの支払条件が未登録) ","")&amp;IF(J395="","送付方法 ","")&amp;IF(AND(K395&lt;&gt;"",L395=""),"送付者 ","")&amp;IF(AND(K395&lt;&gt;"",N(K395)&gt;設定!$C$5),"送付日が未来の日付 ","")&amp;IF(AND(K395&lt;&gt;"",N(M395)&gt;0,N(P395)&lt;=0,U395=""),"消込確認者 ","")))</f>
        <v/>
      </c>
      <c r="U395" s="26"/>
      <c r="V395" s="26"/>
    </row>
    <row r="396" customFormat="false" ht="15" hidden="false" customHeight="false" outlineLevel="0" collapsed="false">
      <c r="A396" s="21" t="str">
        <f aca="false">IF(COUNTA(B396,C396,E396,F396)=0,"",設定!$C$4&amp;TEXT(ROW()-4,"00000"))</f>
        <v/>
      </c>
      <c r="B396" s="22"/>
      <c r="C396" s="23"/>
      <c r="D396" s="21" t="str">
        <f aca="false">IF(C396="","",IFERROR(INDEX(取引先マスタ!$B$5:$B$204,MATCH(C396,取引先マスタ!$A$5:$A$204,0)),"コード誤り"))</f>
        <v/>
      </c>
      <c r="E396" s="26"/>
      <c r="F396" s="18"/>
      <c r="G396" s="25" t="str">
        <f aca="false">IF(OR(B396="",C396="",D396="コード誤り"),"",IFERROR(IF(OR(INDEX(取引先マスタ!$E$5:$E$204,MATCH(C396,取引先マスタ!$A$5:$A$204,0))="",INDEX(取引先マスタ!$F$5:$F$204,MATCH(C396,取引先マスタ!$A$5:$A$204,0))=""),"",DATE(YEAR(B396),MONTH(B396)+INDEX(取引先マスタ!$E$5:$E$204,MATCH(C396,取引先マスタ!$A$5:$A$204,0)),MIN(INDEX(取引先マスタ!$F$5:$F$204,MATCH(C396,取引先マスタ!$A$5:$A$204,0)),DAY(EOMONTH(B396,INDEX(取引先マスタ!$E$5:$E$204,MATCH(C396,取引先マスタ!$A$5:$A$204,0))))))),""))</f>
        <v/>
      </c>
      <c r="H396" s="22"/>
      <c r="I396" s="25" t="str">
        <f aca="false">IF(H396&lt;&gt;"",H396,G396)</f>
        <v/>
      </c>
      <c r="J396" s="26"/>
      <c r="K396" s="22"/>
      <c r="L396" s="26"/>
      <c r="M396" s="27" t="str">
        <f aca="false">IF(A396="","",SUMIF(入金明細!$F$5:$F$1004,A396,入金明細!$E$5:$E$1004))</f>
        <v/>
      </c>
      <c r="N396" s="25" t="str">
        <f aca="false">IF(OR(A396="",N(M396)=0),"",SUMPRODUCT(MAX((入金明細!$F$5:$F$1004=A396)*入金明細!$B$5:$B$1004)))</f>
        <v/>
      </c>
      <c r="O396" s="18"/>
      <c r="P396" s="27" t="str">
        <f aca="false">IF(OR(A396="",F396=""),"",F396-N(M396)-N(O396))</f>
        <v/>
      </c>
      <c r="Q396" s="26"/>
      <c r="R396" s="28" t="str">
        <f aca="false">IF(A396="","",IF(Q396="取消","取消",IF(T396&lt;&gt;"","要入力",IF(K396="","未送付",IF(P396=0,"入金済",IF(P396&lt;0,"過入金",IF(設定!$C$5&gt;I396,IF(N(M396)&gt;0,"一部入金・超過","期日超過"),IF(N(M396)&gt;0,"一部入金",IF(I396-設定!$C$5&lt;=設定!$C$6,"期日間近","入金待ち")))))))))</f>
        <v/>
      </c>
      <c r="S396" s="29" t="str">
        <f aca="false">IF(OR(R396="期日超過",R396="一部入金・超過"),設定!$C$5-I396,"")</f>
        <v/>
      </c>
      <c r="T396" s="21" t="str">
        <f aca="false">IF(A396="","",TRIM(IF(B396="","請求日 ","")&amp;IF(C396="","取引先 ",IF(D396="コード誤り","取引先コード誤り ",""))&amp;IF(E396="","件名 ","")&amp;IF(F396="","請求額 ","")&amp;IF(AND(F396&lt;&gt;"",I396=""),"入金期日(マスタの支払条件が未登録) ","")&amp;IF(J396="","送付方法 ","")&amp;IF(AND(K396&lt;&gt;"",L396=""),"送付者 ","")&amp;IF(AND(K396&lt;&gt;"",N(K396)&gt;設定!$C$5),"送付日が未来の日付 ","")&amp;IF(AND(K396&lt;&gt;"",N(M396)&gt;0,N(P396)&lt;=0,U396=""),"消込確認者 ","")))</f>
        <v/>
      </c>
      <c r="U396" s="26"/>
      <c r="V396" s="26"/>
    </row>
    <row r="397" customFormat="false" ht="15" hidden="false" customHeight="false" outlineLevel="0" collapsed="false">
      <c r="A397" s="21" t="str">
        <f aca="false">IF(COUNTA(B397,C397,E397,F397)=0,"",設定!$C$4&amp;TEXT(ROW()-4,"00000"))</f>
        <v/>
      </c>
      <c r="B397" s="22"/>
      <c r="C397" s="23"/>
      <c r="D397" s="21" t="str">
        <f aca="false">IF(C397="","",IFERROR(INDEX(取引先マスタ!$B$5:$B$204,MATCH(C397,取引先マスタ!$A$5:$A$204,0)),"コード誤り"))</f>
        <v/>
      </c>
      <c r="E397" s="26"/>
      <c r="F397" s="18"/>
      <c r="G397" s="25" t="str">
        <f aca="false">IF(OR(B397="",C397="",D397="コード誤り"),"",IFERROR(IF(OR(INDEX(取引先マスタ!$E$5:$E$204,MATCH(C397,取引先マスタ!$A$5:$A$204,0))="",INDEX(取引先マスタ!$F$5:$F$204,MATCH(C397,取引先マスタ!$A$5:$A$204,0))=""),"",DATE(YEAR(B397),MONTH(B397)+INDEX(取引先マスタ!$E$5:$E$204,MATCH(C397,取引先マスタ!$A$5:$A$204,0)),MIN(INDEX(取引先マスタ!$F$5:$F$204,MATCH(C397,取引先マスタ!$A$5:$A$204,0)),DAY(EOMONTH(B397,INDEX(取引先マスタ!$E$5:$E$204,MATCH(C397,取引先マスタ!$A$5:$A$204,0))))))),""))</f>
        <v/>
      </c>
      <c r="H397" s="22"/>
      <c r="I397" s="25" t="str">
        <f aca="false">IF(H397&lt;&gt;"",H397,G397)</f>
        <v/>
      </c>
      <c r="J397" s="26"/>
      <c r="K397" s="22"/>
      <c r="L397" s="26"/>
      <c r="M397" s="27" t="str">
        <f aca="false">IF(A397="","",SUMIF(入金明細!$F$5:$F$1004,A397,入金明細!$E$5:$E$1004))</f>
        <v/>
      </c>
      <c r="N397" s="25" t="str">
        <f aca="false">IF(OR(A397="",N(M397)=0),"",SUMPRODUCT(MAX((入金明細!$F$5:$F$1004=A397)*入金明細!$B$5:$B$1004)))</f>
        <v/>
      </c>
      <c r="O397" s="18"/>
      <c r="P397" s="27" t="str">
        <f aca="false">IF(OR(A397="",F397=""),"",F397-N(M397)-N(O397))</f>
        <v/>
      </c>
      <c r="Q397" s="26"/>
      <c r="R397" s="28" t="str">
        <f aca="false">IF(A397="","",IF(Q397="取消","取消",IF(T397&lt;&gt;"","要入力",IF(K397="","未送付",IF(P397=0,"入金済",IF(P397&lt;0,"過入金",IF(設定!$C$5&gt;I397,IF(N(M397)&gt;0,"一部入金・超過","期日超過"),IF(N(M397)&gt;0,"一部入金",IF(I397-設定!$C$5&lt;=設定!$C$6,"期日間近","入金待ち")))))))))</f>
        <v/>
      </c>
      <c r="S397" s="29" t="str">
        <f aca="false">IF(OR(R397="期日超過",R397="一部入金・超過"),設定!$C$5-I397,"")</f>
        <v/>
      </c>
      <c r="T397" s="21" t="str">
        <f aca="false">IF(A397="","",TRIM(IF(B397="","請求日 ","")&amp;IF(C397="","取引先 ",IF(D397="コード誤り","取引先コード誤り ",""))&amp;IF(E397="","件名 ","")&amp;IF(F397="","請求額 ","")&amp;IF(AND(F397&lt;&gt;"",I397=""),"入金期日(マスタの支払条件が未登録) ","")&amp;IF(J397="","送付方法 ","")&amp;IF(AND(K397&lt;&gt;"",L397=""),"送付者 ","")&amp;IF(AND(K397&lt;&gt;"",N(K397)&gt;設定!$C$5),"送付日が未来の日付 ","")&amp;IF(AND(K397&lt;&gt;"",N(M397)&gt;0,N(P397)&lt;=0,U397=""),"消込確認者 ","")))</f>
        <v/>
      </c>
      <c r="U397" s="26"/>
      <c r="V397" s="26"/>
    </row>
    <row r="398" customFormat="false" ht="15" hidden="false" customHeight="false" outlineLevel="0" collapsed="false">
      <c r="A398" s="21" t="str">
        <f aca="false">IF(COUNTA(B398,C398,E398,F398)=0,"",設定!$C$4&amp;TEXT(ROW()-4,"00000"))</f>
        <v/>
      </c>
      <c r="B398" s="22"/>
      <c r="C398" s="23"/>
      <c r="D398" s="21" t="str">
        <f aca="false">IF(C398="","",IFERROR(INDEX(取引先マスタ!$B$5:$B$204,MATCH(C398,取引先マスタ!$A$5:$A$204,0)),"コード誤り"))</f>
        <v/>
      </c>
      <c r="E398" s="26"/>
      <c r="F398" s="18"/>
      <c r="G398" s="25" t="str">
        <f aca="false">IF(OR(B398="",C398="",D398="コード誤り"),"",IFERROR(IF(OR(INDEX(取引先マスタ!$E$5:$E$204,MATCH(C398,取引先マスタ!$A$5:$A$204,0))="",INDEX(取引先マスタ!$F$5:$F$204,MATCH(C398,取引先マスタ!$A$5:$A$204,0))=""),"",DATE(YEAR(B398),MONTH(B398)+INDEX(取引先マスタ!$E$5:$E$204,MATCH(C398,取引先マスタ!$A$5:$A$204,0)),MIN(INDEX(取引先マスタ!$F$5:$F$204,MATCH(C398,取引先マスタ!$A$5:$A$204,0)),DAY(EOMONTH(B398,INDEX(取引先マスタ!$E$5:$E$204,MATCH(C398,取引先マスタ!$A$5:$A$204,0))))))),""))</f>
        <v/>
      </c>
      <c r="H398" s="22"/>
      <c r="I398" s="25" t="str">
        <f aca="false">IF(H398&lt;&gt;"",H398,G398)</f>
        <v/>
      </c>
      <c r="J398" s="26"/>
      <c r="K398" s="22"/>
      <c r="L398" s="26"/>
      <c r="M398" s="27" t="str">
        <f aca="false">IF(A398="","",SUMIF(入金明細!$F$5:$F$1004,A398,入金明細!$E$5:$E$1004))</f>
        <v/>
      </c>
      <c r="N398" s="25" t="str">
        <f aca="false">IF(OR(A398="",N(M398)=0),"",SUMPRODUCT(MAX((入金明細!$F$5:$F$1004=A398)*入金明細!$B$5:$B$1004)))</f>
        <v/>
      </c>
      <c r="O398" s="18"/>
      <c r="P398" s="27" t="str">
        <f aca="false">IF(OR(A398="",F398=""),"",F398-N(M398)-N(O398))</f>
        <v/>
      </c>
      <c r="Q398" s="26"/>
      <c r="R398" s="28" t="str">
        <f aca="false">IF(A398="","",IF(Q398="取消","取消",IF(T398&lt;&gt;"","要入力",IF(K398="","未送付",IF(P398=0,"入金済",IF(P398&lt;0,"過入金",IF(設定!$C$5&gt;I398,IF(N(M398)&gt;0,"一部入金・超過","期日超過"),IF(N(M398)&gt;0,"一部入金",IF(I398-設定!$C$5&lt;=設定!$C$6,"期日間近","入金待ち")))))))))</f>
        <v/>
      </c>
      <c r="S398" s="29" t="str">
        <f aca="false">IF(OR(R398="期日超過",R398="一部入金・超過"),設定!$C$5-I398,"")</f>
        <v/>
      </c>
      <c r="T398" s="21" t="str">
        <f aca="false">IF(A398="","",TRIM(IF(B398="","請求日 ","")&amp;IF(C398="","取引先 ",IF(D398="コード誤り","取引先コード誤り ",""))&amp;IF(E398="","件名 ","")&amp;IF(F398="","請求額 ","")&amp;IF(AND(F398&lt;&gt;"",I398=""),"入金期日(マスタの支払条件が未登録) ","")&amp;IF(J398="","送付方法 ","")&amp;IF(AND(K398&lt;&gt;"",L398=""),"送付者 ","")&amp;IF(AND(K398&lt;&gt;"",N(K398)&gt;設定!$C$5),"送付日が未来の日付 ","")&amp;IF(AND(K398&lt;&gt;"",N(M398)&gt;0,N(P398)&lt;=0,U398=""),"消込確認者 ","")))</f>
        <v/>
      </c>
      <c r="U398" s="26"/>
      <c r="V398" s="26"/>
    </row>
    <row r="399" customFormat="false" ht="15" hidden="false" customHeight="false" outlineLevel="0" collapsed="false">
      <c r="A399" s="21" t="str">
        <f aca="false">IF(COUNTA(B399,C399,E399,F399)=0,"",設定!$C$4&amp;TEXT(ROW()-4,"00000"))</f>
        <v/>
      </c>
      <c r="B399" s="22"/>
      <c r="C399" s="23"/>
      <c r="D399" s="21" t="str">
        <f aca="false">IF(C399="","",IFERROR(INDEX(取引先マスタ!$B$5:$B$204,MATCH(C399,取引先マスタ!$A$5:$A$204,0)),"コード誤り"))</f>
        <v/>
      </c>
      <c r="E399" s="26"/>
      <c r="F399" s="18"/>
      <c r="G399" s="25" t="str">
        <f aca="false">IF(OR(B399="",C399="",D399="コード誤り"),"",IFERROR(IF(OR(INDEX(取引先マスタ!$E$5:$E$204,MATCH(C399,取引先マスタ!$A$5:$A$204,0))="",INDEX(取引先マスタ!$F$5:$F$204,MATCH(C399,取引先マスタ!$A$5:$A$204,0))=""),"",DATE(YEAR(B399),MONTH(B399)+INDEX(取引先マスタ!$E$5:$E$204,MATCH(C399,取引先マスタ!$A$5:$A$204,0)),MIN(INDEX(取引先マスタ!$F$5:$F$204,MATCH(C399,取引先マスタ!$A$5:$A$204,0)),DAY(EOMONTH(B399,INDEX(取引先マスタ!$E$5:$E$204,MATCH(C399,取引先マスタ!$A$5:$A$204,0))))))),""))</f>
        <v/>
      </c>
      <c r="H399" s="22"/>
      <c r="I399" s="25" t="str">
        <f aca="false">IF(H399&lt;&gt;"",H399,G399)</f>
        <v/>
      </c>
      <c r="J399" s="26"/>
      <c r="K399" s="22"/>
      <c r="L399" s="26"/>
      <c r="M399" s="27" t="str">
        <f aca="false">IF(A399="","",SUMIF(入金明細!$F$5:$F$1004,A399,入金明細!$E$5:$E$1004))</f>
        <v/>
      </c>
      <c r="N399" s="25" t="str">
        <f aca="false">IF(OR(A399="",N(M399)=0),"",SUMPRODUCT(MAX((入金明細!$F$5:$F$1004=A399)*入金明細!$B$5:$B$1004)))</f>
        <v/>
      </c>
      <c r="O399" s="18"/>
      <c r="P399" s="27" t="str">
        <f aca="false">IF(OR(A399="",F399=""),"",F399-N(M399)-N(O399))</f>
        <v/>
      </c>
      <c r="Q399" s="26"/>
      <c r="R399" s="28" t="str">
        <f aca="false">IF(A399="","",IF(Q399="取消","取消",IF(T399&lt;&gt;"","要入力",IF(K399="","未送付",IF(P399=0,"入金済",IF(P399&lt;0,"過入金",IF(設定!$C$5&gt;I399,IF(N(M399)&gt;0,"一部入金・超過","期日超過"),IF(N(M399)&gt;0,"一部入金",IF(I399-設定!$C$5&lt;=設定!$C$6,"期日間近","入金待ち")))))))))</f>
        <v/>
      </c>
      <c r="S399" s="29" t="str">
        <f aca="false">IF(OR(R399="期日超過",R399="一部入金・超過"),設定!$C$5-I399,"")</f>
        <v/>
      </c>
      <c r="T399" s="21" t="str">
        <f aca="false">IF(A399="","",TRIM(IF(B399="","請求日 ","")&amp;IF(C399="","取引先 ",IF(D399="コード誤り","取引先コード誤り ",""))&amp;IF(E399="","件名 ","")&amp;IF(F399="","請求額 ","")&amp;IF(AND(F399&lt;&gt;"",I399=""),"入金期日(マスタの支払条件が未登録) ","")&amp;IF(J399="","送付方法 ","")&amp;IF(AND(K399&lt;&gt;"",L399=""),"送付者 ","")&amp;IF(AND(K399&lt;&gt;"",N(K399)&gt;設定!$C$5),"送付日が未来の日付 ","")&amp;IF(AND(K399&lt;&gt;"",N(M399)&gt;0,N(P399)&lt;=0,U399=""),"消込確認者 ","")))</f>
        <v/>
      </c>
      <c r="U399" s="26"/>
      <c r="V399" s="26"/>
    </row>
    <row r="400" customFormat="false" ht="15" hidden="false" customHeight="false" outlineLevel="0" collapsed="false">
      <c r="A400" s="21" t="str">
        <f aca="false">IF(COUNTA(B400,C400,E400,F400)=0,"",設定!$C$4&amp;TEXT(ROW()-4,"00000"))</f>
        <v/>
      </c>
      <c r="B400" s="22"/>
      <c r="C400" s="23"/>
      <c r="D400" s="21" t="str">
        <f aca="false">IF(C400="","",IFERROR(INDEX(取引先マスタ!$B$5:$B$204,MATCH(C400,取引先マスタ!$A$5:$A$204,0)),"コード誤り"))</f>
        <v/>
      </c>
      <c r="E400" s="26"/>
      <c r="F400" s="18"/>
      <c r="G400" s="25" t="str">
        <f aca="false">IF(OR(B400="",C400="",D400="コード誤り"),"",IFERROR(IF(OR(INDEX(取引先マスタ!$E$5:$E$204,MATCH(C400,取引先マスタ!$A$5:$A$204,0))="",INDEX(取引先マスタ!$F$5:$F$204,MATCH(C400,取引先マスタ!$A$5:$A$204,0))=""),"",DATE(YEAR(B400),MONTH(B400)+INDEX(取引先マスタ!$E$5:$E$204,MATCH(C400,取引先マスタ!$A$5:$A$204,0)),MIN(INDEX(取引先マスタ!$F$5:$F$204,MATCH(C400,取引先マスタ!$A$5:$A$204,0)),DAY(EOMONTH(B400,INDEX(取引先マスタ!$E$5:$E$204,MATCH(C400,取引先マスタ!$A$5:$A$204,0))))))),""))</f>
        <v/>
      </c>
      <c r="H400" s="22"/>
      <c r="I400" s="25" t="str">
        <f aca="false">IF(H400&lt;&gt;"",H400,G400)</f>
        <v/>
      </c>
      <c r="J400" s="26"/>
      <c r="K400" s="22"/>
      <c r="L400" s="26"/>
      <c r="M400" s="27" t="str">
        <f aca="false">IF(A400="","",SUMIF(入金明細!$F$5:$F$1004,A400,入金明細!$E$5:$E$1004))</f>
        <v/>
      </c>
      <c r="N400" s="25" t="str">
        <f aca="false">IF(OR(A400="",N(M400)=0),"",SUMPRODUCT(MAX((入金明細!$F$5:$F$1004=A400)*入金明細!$B$5:$B$1004)))</f>
        <v/>
      </c>
      <c r="O400" s="18"/>
      <c r="P400" s="27" t="str">
        <f aca="false">IF(OR(A400="",F400=""),"",F400-N(M400)-N(O400))</f>
        <v/>
      </c>
      <c r="Q400" s="26"/>
      <c r="R400" s="28" t="str">
        <f aca="false">IF(A400="","",IF(Q400="取消","取消",IF(T400&lt;&gt;"","要入力",IF(K400="","未送付",IF(P400=0,"入金済",IF(P400&lt;0,"過入金",IF(設定!$C$5&gt;I400,IF(N(M400)&gt;0,"一部入金・超過","期日超過"),IF(N(M400)&gt;0,"一部入金",IF(I400-設定!$C$5&lt;=設定!$C$6,"期日間近","入金待ち")))))))))</f>
        <v/>
      </c>
      <c r="S400" s="29" t="str">
        <f aca="false">IF(OR(R400="期日超過",R400="一部入金・超過"),設定!$C$5-I400,"")</f>
        <v/>
      </c>
      <c r="T400" s="21" t="str">
        <f aca="false">IF(A400="","",TRIM(IF(B400="","請求日 ","")&amp;IF(C400="","取引先 ",IF(D400="コード誤り","取引先コード誤り ",""))&amp;IF(E400="","件名 ","")&amp;IF(F400="","請求額 ","")&amp;IF(AND(F400&lt;&gt;"",I400=""),"入金期日(マスタの支払条件が未登録) ","")&amp;IF(J400="","送付方法 ","")&amp;IF(AND(K400&lt;&gt;"",L400=""),"送付者 ","")&amp;IF(AND(K400&lt;&gt;"",N(K400)&gt;設定!$C$5),"送付日が未来の日付 ","")&amp;IF(AND(K400&lt;&gt;"",N(M400)&gt;0,N(P400)&lt;=0,U400=""),"消込確認者 ","")))</f>
        <v/>
      </c>
      <c r="U400" s="26"/>
      <c r="V400" s="26"/>
    </row>
    <row r="401" customFormat="false" ht="15" hidden="false" customHeight="false" outlineLevel="0" collapsed="false">
      <c r="A401" s="21" t="str">
        <f aca="false">IF(COUNTA(B401,C401,E401,F401)=0,"",設定!$C$4&amp;TEXT(ROW()-4,"00000"))</f>
        <v/>
      </c>
      <c r="B401" s="22"/>
      <c r="C401" s="23"/>
      <c r="D401" s="21" t="str">
        <f aca="false">IF(C401="","",IFERROR(INDEX(取引先マスタ!$B$5:$B$204,MATCH(C401,取引先マスタ!$A$5:$A$204,0)),"コード誤り"))</f>
        <v/>
      </c>
      <c r="E401" s="26"/>
      <c r="F401" s="18"/>
      <c r="G401" s="25" t="str">
        <f aca="false">IF(OR(B401="",C401="",D401="コード誤り"),"",IFERROR(IF(OR(INDEX(取引先マスタ!$E$5:$E$204,MATCH(C401,取引先マスタ!$A$5:$A$204,0))="",INDEX(取引先マスタ!$F$5:$F$204,MATCH(C401,取引先マスタ!$A$5:$A$204,0))=""),"",DATE(YEAR(B401),MONTH(B401)+INDEX(取引先マスタ!$E$5:$E$204,MATCH(C401,取引先マスタ!$A$5:$A$204,0)),MIN(INDEX(取引先マスタ!$F$5:$F$204,MATCH(C401,取引先マスタ!$A$5:$A$204,0)),DAY(EOMONTH(B401,INDEX(取引先マスタ!$E$5:$E$204,MATCH(C401,取引先マスタ!$A$5:$A$204,0))))))),""))</f>
        <v/>
      </c>
      <c r="H401" s="22"/>
      <c r="I401" s="25" t="str">
        <f aca="false">IF(H401&lt;&gt;"",H401,G401)</f>
        <v/>
      </c>
      <c r="J401" s="26"/>
      <c r="K401" s="22"/>
      <c r="L401" s="26"/>
      <c r="M401" s="27" t="str">
        <f aca="false">IF(A401="","",SUMIF(入金明細!$F$5:$F$1004,A401,入金明細!$E$5:$E$1004))</f>
        <v/>
      </c>
      <c r="N401" s="25" t="str">
        <f aca="false">IF(OR(A401="",N(M401)=0),"",SUMPRODUCT(MAX((入金明細!$F$5:$F$1004=A401)*入金明細!$B$5:$B$1004)))</f>
        <v/>
      </c>
      <c r="O401" s="18"/>
      <c r="P401" s="27" t="str">
        <f aca="false">IF(OR(A401="",F401=""),"",F401-N(M401)-N(O401))</f>
        <v/>
      </c>
      <c r="Q401" s="26"/>
      <c r="R401" s="28" t="str">
        <f aca="false">IF(A401="","",IF(Q401="取消","取消",IF(T401&lt;&gt;"","要入力",IF(K401="","未送付",IF(P401=0,"入金済",IF(P401&lt;0,"過入金",IF(設定!$C$5&gt;I401,IF(N(M401)&gt;0,"一部入金・超過","期日超過"),IF(N(M401)&gt;0,"一部入金",IF(I401-設定!$C$5&lt;=設定!$C$6,"期日間近","入金待ち")))))))))</f>
        <v/>
      </c>
      <c r="S401" s="29" t="str">
        <f aca="false">IF(OR(R401="期日超過",R401="一部入金・超過"),設定!$C$5-I401,"")</f>
        <v/>
      </c>
      <c r="T401" s="21" t="str">
        <f aca="false">IF(A401="","",TRIM(IF(B401="","請求日 ","")&amp;IF(C401="","取引先 ",IF(D401="コード誤り","取引先コード誤り ",""))&amp;IF(E401="","件名 ","")&amp;IF(F401="","請求額 ","")&amp;IF(AND(F401&lt;&gt;"",I401=""),"入金期日(マスタの支払条件が未登録) ","")&amp;IF(J401="","送付方法 ","")&amp;IF(AND(K401&lt;&gt;"",L401=""),"送付者 ","")&amp;IF(AND(K401&lt;&gt;"",N(K401)&gt;設定!$C$5),"送付日が未来の日付 ","")&amp;IF(AND(K401&lt;&gt;"",N(M401)&gt;0,N(P401)&lt;=0,U401=""),"消込確認者 ","")))</f>
        <v/>
      </c>
      <c r="U401" s="26"/>
      <c r="V401" s="26"/>
    </row>
    <row r="402" customFormat="false" ht="15" hidden="false" customHeight="false" outlineLevel="0" collapsed="false">
      <c r="A402" s="21" t="str">
        <f aca="false">IF(COUNTA(B402,C402,E402,F402)=0,"",設定!$C$4&amp;TEXT(ROW()-4,"00000"))</f>
        <v/>
      </c>
      <c r="B402" s="22"/>
      <c r="C402" s="23"/>
      <c r="D402" s="21" t="str">
        <f aca="false">IF(C402="","",IFERROR(INDEX(取引先マスタ!$B$5:$B$204,MATCH(C402,取引先マスタ!$A$5:$A$204,0)),"コード誤り"))</f>
        <v/>
      </c>
      <c r="E402" s="26"/>
      <c r="F402" s="18"/>
      <c r="G402" s="25" t="str">
        <f aca="false">IF(OR(B402="",C402="",D402="コード誤り"),"",IFERROR(IF(OR(INDEX(取引先マスタ!$E$5:$E$204,MATCH(C402,取引先マスタ!$A$5:$A$204,0))="",INDEX(取引先マスタ!$F$5:$F$204,MATCH(C402,取引先マスタ!$A$5:$A$204,0))=""),"",DATE(YEAR(B402),MONTH(B402)+INDEX(取引先マスタ!$E$5:$E$204,MATCH(C402,取引先マスタ!$A$5:$A$204,0)),MIN(INDEX(取引先マスタ!$F$5:$F$204,MATCH(C402,取引先マスタ!$A$5:$A$204,0)),DAY(EOMONTH(B402,INDEX(取引先マスタ!$E$5:$E$204,MATCH(C402,取引先マスタ!$A$5:$A$204,0))))))),""))</f>
        <v/>
      </c>
      <c r="H402" s="22"/>
      <c r="I402" s="25" t="str">
        <f aca="false">IF(H402&lt;&gt;"",H402,G402)</f>
        <v/>
      </c>
      <c r="J402" s="26"/>
      <c r="K402" s="22"/>
      <c r="L402" s="26"/>
      <c r="M402" s="27" t="str">
        <f aca="false">IF(A402="","",SUMIF(入金明細!$F$5:$F$1004,A402,入金明細!$E$5:$E$1004))</f>
        <v/>
      </c>
      <c r="N402" s="25" t="str">
        <f aca="false">IF(OR(A402="",N(M402)=0),"",SUMPRODUCT(MAX((入金明細!$F$5:$F$1004=A402)*入金明細!$B$5:$B$1004)))</f>
        <v/>
      </c>
      <c r="O402" s="18"/>
      <c r="P402" s="27" t="str">
        <f aca="false">IF(OR(A402="",F402=""),"",F402-N(M402)-N(O402))</f>
        <v/>
      </c>
      <c r="Q402" s="26"/>
      <c r="R402" s="28" t="str">
        <f aca="false">IF(A402="","",IF(Q402="取消","取消",IF(T402&lt;&gt;"","要入力",IF(K402="","未送付",IF(P402=0,"入金済",IF(P402&lt;0,"過入金",IF(設定!$C$5&gt;I402,IF(N(M402)&gt;0,"一部入金・超過","期日超過"),IF(N(M402)&gt;0,"一部入金",IF(I402-設定!$C$5&lt;=設定!$C$6,"期日間近","入金待ち")))))))))</f>
        <v/>
      </c>
      <c r="S402" s="29" t="str">
        <f aca="false">IF(OR(R402="期日超過",R402="一部入金・超過"),設定!$C$5-I402,"")</f>
        <v/>
      </c>
      <c r="T402" s="21" t="str">
        <f aca="false">IF(A402="","",TRIM(IF(B402="","請求日 ","")&amp;IF(C402="","取引先 ",IF(D402="コード誤り","取引先コード誤り ",""))&amp;IF(E402="","件名 ","")&amp;IF(F402="","請求額 ","")&amp;IF(AND(F402&lt;&gt;"",I402=""),"入金期日(マスタの支払条件が未登録) ","")&amp;IF(J402="","送付方法 ","")&amp;IF(AND(K402&lt;&gt;"",L402=""),"送付者 ","")&amp;IF(AND(K402&lt;&gt;"",N(K402)&gt;設定!$C$5),"送付日が未来の日付 ","")&amp;IF(AND(K402&lt;&gt;"",N(M402)&gt;0,N(P402)&lt;=0,U402=""),"消込確認者 ","")))</f>
        <v/>
      </c>
      <c r="U402" s="26"/>
      <c r="V402" s="26"/>
    </row>
    <row r="403" customFormat="false" ht="15" hidden="false" customHeight="false" outlineLevel="0" collapsed="false">
      <c r="A403" s="21" t="str">
        <f aca="false">IF(COUNTA(B403,C403,E403,F403)=0,"",設定!$C$4&amp;TEXT(ROW()-4,"00000"))</f>
        <v/>
      </c>
      <c r="B403" s="22"/>
      <c r="C403" s="23"/>
      <c r="D403" s="21" t="str">
        <f aca="false">IF(C403="","",IFERROR(INDEX(取引先マスタ!$B$5:$B$204,MATCH(C403,取引先マスタ!$A$5:$A$204,0)),"コード誤り"))</f>
        <v/>
      </c>
      <c r="E403" s="26"/>
      <c r="F403" s="18"/>
      <c r="G403" s="25" t="str">
        <f aca="false">IF(OR(B403="",C403="",D403="コード誤り"),"",IFERROR(IF(OR(INDEX(取引先マスタ!$E$5:$E$204,MATCH(C403,取引先マスタ!$A$5:$A$204,0))="",INDEX(取引先マスタ!$F$5:$F$204,MATCH(C403,取引先マスタ!$A$5:$A$204,0))=""),"",DATE(YEAR(B403),MONTH(B403)+INDEX(取引先マスタ!$E$5:$E$204,MATCH(C403,取引先マスタ!$A$5:$A$204,0)),MIN(INDEX(取引先マスタ!$F$5:$F$204,MATCH(C403,取引先マスタ!$A$5:$A$204,0)),DAY(EOMONTH(B403,INDEX(取引先マスタ!$E$5:$E$204,MATCH(C403,取引先マスタ!$A$5:$A$204,0))))))),""))</f>
        <v/>
      </c>
      <c r="H403" s="22"/>
      <c r="I403" s="25" t="str">
        <f aca="false">IF(H403&lt;&gt;"",H403,G403)</f>
        <v/>
      </c>
      <c r="J403" s="26"/>
      <c r="K403" s="22"/>
      <c r="L403" s="26"/>
      <c r="M403" s="27" t="str">
        <f aca="false">IF(A403="","",SUMIF(入金明細!$F$5:$F$1004,A403,入金明細!$E$5:$E$1004))</f>
        <v/>
      </c>
      <c r="N403" s="25" t="str">
        <f aca="false">IF(OR(A403="",N(M403)=0),"",SUMPRODUCT(MAX((入金明細!$F$5:$F$1004=A403)*入金明細!$B$5:$B$1004)))</f>
        <v/>
      </c>
      <c r="O403" s="18"/>
      <c r="P403" s="27" t="str">
        <f aca="false">IF(OR(A403="",F403=""),"",F403-N(M403)-N(O403))</f>
        <v/>
      </c>
      <c r="Q403" s="26"/>
      <c r="R403" s="28" t="str">
        <f aca="false">IF(A403="","",IF(Q403="取消","取消",IF(T403&lt;&gt;"","要入力",IF(K403="","未送付",IF(P403=0,"入金済",IF(P403&lt;0,"過入金",IF(設定!$C$5&gt;I403,IF(N(M403)&gt;0,"一部入金・超過","期日超過"),IF(N(M403)&gt;0,"一部入金",IF(I403-設定!$C$5&lt;=設定!$C$6,"期日間近","入金待ち")))))))))</f>
        <v/>
      </c>
      <c r="S403" s="29" t="str">
        <f aca="false">IF(OR(R403="期日超過",R403="一部入金・超過"),設定!$C$5-I403,"")</f>
        <v/>
      </c>
      <c r="T403" s="21" t="str">
        <f aca="false">IF(A403="","",TRIM(IF(B403="","請求日 ","")&amp;IF(C403="","取引先 ",IF(D403="コード誤り","取引先コード誤り ",""))&amp;IF(E403="","件名 ","")&amp;IF(F403="","請求額 ","")&amp;IF(AND(F403&lt;&gt;"",I403=""),"入金期日(マスタの支払条件が未登録) ","")&amp;IF(J403="","送付方法 ","")&amp;IF(AND(K403&lt;&gt;"",L403=""),"送付者 ","")&amp;IF(AND(K403&lt;&gt;"",N(K403)&gt;設定!$C$5),"送付日が未来の日付 ","")&amp;IF(AND(K403&lt;&gt;"",N(M403)&gt;0,N(P403)&lt;=0,U403=""),"消込確認者 ","")))</f>
        <v/>
      </c>
      <c r="U403" s="26"/>
      <c r="V403" s="26"/>
    </row>
    <row r="404" customFormat="false" ht="15" hidden="false" customHeight="false" outlineLevel="0" collapsed="false">
      <c r="A404" s="21" t="str">
        <f aca="false">IF(COUNTA(B404,C404,E404,F404)=0,"",設定!$C$4&amp;TEXT(ROW()-4,"00000"))</f>
        <v/>
      </c>
      <c r="B404" s="22"/>
      <c r="C404" s="23"/>
      <c r="D404" s="21" t="str">
        <f aca="false">IF(C404="","",IFERROR(INDEX(取引先マスタ!$B$5:$B$204,MATCH(C404,取引先マスタ!$A$5:$A$204,0)),"コード誤り"))</f>
        <v/>
      </c>
      <c r="E404" s="26"/>
      <c r="F404" s="18"/>
      <c r="G404" s="25" t="str">
        <f aca="false">IF(OR(B404="",C404="",D404="コード誤り"),"",IFERROR(IF(OR(INDEX(取引先マスタ!$E$5:$E$204,MATCH(C404,取引先マスタ!$A$5:$A$204,0))="",INDEX(取引先マスタ!$F$5:$F$204,MATCH(C404,取引先マスタ!$A$5:$A$204,0))=""),"",DATE(YEAR(B404),MONTH(B404)+INDEX(取引先マスタ!$E$5:$E$204,MATCH(C404,取引先マスタ!$A$5:$A$204,0)),MIN(INDEX(取引先マスタ!$F$5:$F$204,MATCH(C404,取引先マスタ!$A$5:$A$204,0)),DAY(EOMONTH(B404,INDEX(取引先マスタ!$E$5:$E$204,MATCH(C404,取引先マスタ!$A$5:$A$204,0))))))),""))</f>
        <v/>
      </c>
      <c r="H404" s="22"/>
      <c r="I404" s="25" t="str">
        <f aca="false">IF(H404&lt;&gt;"",H404,G404)</f>
        <v/>
      </c>
      <c r="J404" s="26"/>
      <c r="K404" s="22"/>
      <c r="L404" s="26"/>
      <c r="M404" s="27" t="str">
        <f aca="false">IF(A404="","",SUMIF(入金明細!$F$5:$F$1004,A404,入金明細!$E$5:$E$1004))</f>
        <v/>
      </c>
      <c r="N404" s="25" t="str">
        <f aca="false">IF(OR(A404="",N(M404)=0),"",SUMPRODUCT(MAX((入金明細!$F$5:$F$1004=A404)*入金明細!$B$5:$B$1004)))</f>
        <v/>
      </c>
      <c r="O404" s="18"/>
      <c r="P404" s="27" t="str">
        <f aca="false">IF(OR(A404="",F404=""),"",F404-N(M404)-N(O404))</f>
        <v/>
      </c>
      <c r="Q404" s="26"/>
      <c r="R404" s="28" t="str">
        <f aca="false">IF(A404="","",IF(Q404="取消","取消",IF(T404&lt;&gt;"","要入力",IF(K404="","未送付",IF(P404=0,"入金済",IF(P404&lt;0,"過入金",IF(設定!$C$5&gt;I404,IF(N(M404)&gt;0,"一部入金・超過","期日超過"),IF(N(M404)&gt;0,"一部入金",IF(I404-設定!$C$5&lt;=設定!$C$6,"期日間近","入金待ち")))))))))</f>
        <v/>
      </c>
      <c r="S404" s="29" t="str">
        <f aca="false">IF(OR(R404="期日超過",R404="一部入金・超過"),設定!$C$5-I404,"")</f>
        <v/>
      </c>
      <c r="T404" s="21" t="str">
        <f aca="false">IF(A404="","",TRIM(IF(B404="","請求日 ","")&amp;IF(C404="","取引先 ",IF(D404="コード誤り","取引先コード誤り ",""))&amp;IF(E404="","件名 ","")&amp;IF(F404="","請求額 ","")&amp;IF(AND(F404&lt;&gt;"",I404=""),"入金期日(マスタの支払条件が未登録) ","")&amp;IF(J404="","送付方法 ","")&amp;IF(AND(K404&lt;&gt;"",L404=""),"送付者 ","")&amp;IF(AND(K404&lt;&gt;"",N(K404)&gt;設定!$C$5),"送付日が未来の日付 ","")&amp;IF(AND(K404&lt;&gt;"",N(M404)&gt;0,N(P404)&lt;=0,U404=""),"消込確認者 ","")))</f>
        <v/>
      </c>
      <c r="U404" s="26"/>
      <c r="V404" s="26"/>
    </row>
    <row r="405" customFormat="false" ht="15" hidden="false" customHeight="false" outlineLevel="0" collapsed="false">
      <c r="A405" s="21" t="str">
        <f aca="false">IF(COUNTA(B405,C405,E405,F405)=0,"",設定!$C$4&amp;TEXT(ROW()-4,"00000"))</f>
        <v/>
      </c>
      <c r="B405" s="22"/>
      <c r="C405" s="23"/>
      <c r="D405" s="21" t="str">
        <f aca="false">IF(C405="","",IFERROR(INDEX(取引先マスタ!$B$5:$B$204,MATCH(C405,取引先マスタ!$A$5:$A$204,0)),"コード誤り"))</f>
        <v/>
      </c>
      <c r="E405" s="26"/>
      <c r="F405" s="18"/>
      <c r="G405" s="25" t="str">
        <f aca="false">IF(OR(B405="",C405="",D405="コード誤り"),"",IFERROR(IF(OR(INDEX(取引先マスタ!$E$5:$E$204,MATCH(C405,取引先マスタ!$A$5:$A$204,0))="",INDEX(取引先マスタ!$F$5:$F$204,MATCH(C405,取引先マスタ!$A$5:$A$204,0))=""),"",DATE(YEAR(B405),MONTH(B405)+INDEX(取引先マスタ!$E$5:$E$204,MATCH(C405,取引先マスタ!$A$5:$A$204,0)),MIN(INDEX(取引先マスタ!$F$5:$F$204,MATCH(C405,取引先マスタ!$A$5:$A$204,0)),DAY(EOMONTH(B405,INDEX(取引先マスタ!$E$5:$E$204,MATCH(C405,取引先マスタ!$A$5:$A$204,0))))))),""))</f>
        <v/>
      </c>
      <c r="H405" s="22"/>
      <c r="I405" s="25" t="str">
        <f aca="false">IF(H405&lt;&gt;"",H405,G405)</f>
        <v/>
      </c>
      <c r="J405" s="26"/>
      <c r="K405" s="22"/>
      <c r="L405" s="26"/>
      <c r="M405" s="27" t="str">
        <f aca="false">IF(A405="","",SUMIF(入金明細!$F$5:$F$1004,A405,入金明細!$E$5:$E$1004))</f>
        <v/>
      </c>
      <c r="N405" s="25" t="str">
        <f aca="false">IF(OR(A405="",N(M405)=0),"",SUMPRODUCT(MAX((入金明細!$F$5:$F$1004=A405)*入金明細!$B$5:$B$1004)))</f>
        <v/>
      </c>
      <c r="O405" s="18"/>
      <c r="P405" s="27" t="str">
        <f aca="false">IF(OR(A405="",F405=""),"",F405-N(M405)-N(O405))</f>
        <v/>
      </c>
      <c r="Q405" s="26"/>
      <c r="R405" s="28" t="str">
        <f aca="false">IF(A405="","",IF(Q405="取消","取消",IF(T405&lt;&gt;"","要入力",IF(K405="","未送付",IF(P405=0,"入金済",IF(P405&lt;0,"過入金",IF(設定!$C$5&gt;I405,IF(N(M405)&gt;0,"一部入金・超過","期日超過"),IF(N(M405)&gt;0,"一部入金",IF(I405-設定!$C$5&lt;=設定!$C$6,"期日間近","入金待ち")))))))))</f>
        <v/>
      </c>
      <c r="S405" s="29" t="str">
        <f aca="false">IF(OR(R405="期日超過",R405="一部入金・超過"),設定!$C$5-I405,"")</f>
        <v/>
      </c>
      <c r="T405" s="21" t="str">
        <f aca="false">IF(A405="","",TRIM(IF(B405="","請求日 ","")&amp;IF(C405="","取引先 ",IF(D405="コード誤り","取引先コード誤り ",""))&amp;IF(E405="","件名 ","")&amp;IF(F405="","請求額 ","")&amp;IF(AND(F405&lt;&gt;"",I405=""),"入金期日(マスタの支払条件が未登録) ","")&amp;IF(J405="","送付方法 ","")&amp;IF(AND(K405&lt;&gt;"",L405=""),"送付者 ","")&amp;IF(AND(K405&lt;&gt;"",N(K405)&gt;設定!$C$5),"送付日が未来の日付 ","")&amp;IF(AND(K405&lt;&gt;"",N(M405)&gt;0,N(P405)&lt;=0,U405=""),"消込確認者 ","")))</f>
        <v/>
      </c>
      <c r="U405" s="26"/>
      <c r="V405" s="26"/>
    </row>
    <row r="406" customFormat="false" ht="15" hidden="false" customHeight="false" outlineLevel="0" collapsed="false">
      <c r="A406" s="21" t="str">
        <f aca="false">IF(COUNTA(B406,C406,E406,F406)=0,"",設定!$C$4&amp;TEXT(ROW()-4,"00000"))</f>
        <v/>
      </c>
      <c r="B406" s="22"/>
      <c r="C406" s="23"/>
      <c r="D406" s="21" t="str">
        <f aca="false">IF(C406="","",IFERROR(INDEX(取引先マスタ!$B$5:$B$204,MATCH(C406,取引先マスタ!$A$5:$A$204,0)),"コード誤り"))</f>
        <v/>
      </c>
      <c r="E406" s="26"/>
      <c r="F406" s="18"/>
      <c r="G406" s="25" t="str">
        <f aca="false">IF(OR(B406="",C406="",D406="コード誤り"),"",IFERROR(IF(OR(INDEX(取引先マスタ!$E$5:$E$204,MATCH(C406,取引先マスタ!$A$5:$A$204,0))="",INDEX(取引先マスタ!$F$5:$F$204,MATCH(C406,取引先マスタ!$A$5:$A$204,0))=""),"",DATE(YEAR(B406),MONTH(B406)+INDEX(取引先マスタ!$E$5:$E$204,MATCH(C406,取引先マスタ!$A$5:$A$204,0)),MIN(INDEX(取引先マスタ!$F$5:$F$204,MATCH(C406,取引先マスタ!$A$5:$A$204,0)),DAY(EOMONTH(B406,INDEX(取引先マスタ!$E$5:$E$204,MATCH(C406,取引先マスタ!$A$5:$A$204,0))))))),""))</f>
        <v/>
      </c>
      <c r="H406" s="22"/>
      <c r="I406" s="25" t="str">
        <f aca="false">IF(H406&lt;&gt;"",H406,G406)</f>
        <v/>
      </c>
      <c r="J406" s="26"/>
      <c r="K406" s="22"/>
      <c r="L406" s="26"/>
      <c r="M406" s="27" t="str">
        <f aca="false">IF(A406="","",SUMIF(入金明細!$F$5:$F$1004,A406,入金明細!$E$5:$E$1004))</f>
        <v/>
      </c>
      <c r="N406" s="25" t="str">
        <f aca="false">IF(OR(A406="",N(M406)=0),"",SUMPRODUCT(MAX((入金明細!$F$5:$F$1004=A406)*入金明細!$B$5:$B$1004)))</f>
        <v/>
      </c>
      <c r="O406" s="18"/>
      <c r="P406" s="27" t="str">
        <f aca="false">IF(OR(A406="",F406=""),"",F406-N(M406)-N(O406))</f>
        <v/>
      </c>
      <c r="Q406" s="26"/>
      <c r="R406" s="28" t="str">
        <f aca="false">IF(A406="","",IF(Q406="取消","取消",IF(T406&lt;&gt;"","要入力",IF(K406="","未送付",IF(P406=0,"入金済",IF(P406&lt;0,"過入金",IF(設定!$C$5&gt;I406,IF(N(M406)&gt;0,"一部入金・超過","期日超過"),IF(N(M406)&gt;0,"一部入金",IF(I406-設定!$C$5&lt;=設定!$C$6,"期日間近","入金待ち")))))))))</f>
        <v/>
      </c>
      <c r="S406" s="29" t="str">
        <f aca="false">IF(OR(R406="期日超過",R406="一部入金・超過"),設定!$C$5-I406,"")</f>
        <v/>
      </c>
      <c r="T406" s="21" t="str">
        <f aca="false">IF(A406="","",TRIM(IF(B406="","請求日 ","")&amp;IF(C406="","取引先 ",IF(D406="コード誤り","取引先コード誤り ",""))&amp;IF(E406="","件名 ","")&amp;IF(F406="","請求額 ","")&amp;IF(AND(F406&lt;&gt;"",I406=""),"入金期日(マスタの支払条件が未登録) ","")&amp;IF(J406="","送付方法 ","")&amp;IF(AND(K406&lt;&gt;"",L406=""),"送付者 ","")&amp;IF(AND(K406&lt;&gt;"",N(K406)&gt;設定!$C$5),"送付日が未来の日付 ","")&amp;IF(AND(K406&lt;&gt;"",N(M406)&gt;0,N(P406)&lt;=0,U406=""),"消込確認者 ","")))</f>
        <v/>
      </c>
      <c r="U406" s="26"/>
      <c r="V406" s="26"/>
    </row>
    <row r="407" customFormat="false" ht="15" hidden="false" customHeight="false" outlineLevel="0" collapsed="false">
      <c r="A407" s="21" t="str">
        <f aca="false">IF(COUNTA(B407,C407,E407,F407)=0,"",設定!$C$4&amp;TEXT(ROW()-4,"00000"))</f>
        <v/>
      </c>
      <c r="B407" s="22"/>
      <c r="C407" s="23"/>
      <c r="D407" s="21" t="str">
        <f aca="false">IF(C407="","",IFERROR(INDEX(取引先マスタ!$B$5:$B$204,MATCH(C407,取引先マスタ!$A$5:$A$204,0)),"コード誤り"))</f>
        <v/>
      </c>
      <c r="E407" s="26"/>
      <c r="F407" s="18"/>
      <c r="G407" s="25" t="str">
        <f aca="false">IF(OR(B407="",C407="",D407="コード誤り"),"",IFERROR(IF(OR(INDEX(取引先マスタ!$E$5:$E$204,MATCH(C407,取引先マスタ!$A$5:$A$204,0))="",INDEX(取引先マスタ!$F$5:$F$204,MATCH(C407,取引先マスタ!$A$5:$A$204,0))=""),"",DATE(YEAR(B407),MONTH(B407)+INDEX(取引先マスタ!$E$5:$E$204,MATCH(C407,取引先マスタ!$A$5:$A$204,0)),MIN(INDEX(取引先マスタ!$F$5:$F$204,MATCH(C407,取引先マスタ!$A$5:$A$204,0)),DAY(EOMONTH(B407,INDEX(取引先マスタ!$E$5:$E$204,MATCH(C407,取引先マスタ!$A$5:$A$204,0))))))),""))</f>
        <v/>
      </c>
      <c r="H407" s="22"/>
      <c r="I407" s="25" t="str">
        <f aca="false">IF(H407&lt;&gt;"",H407,G407)</f>
        <v/>
      </c>
      <c r="J407" s="26"/>
      <c r="K407" s="22"/>
      <c r="L407" s="26"/>
      <c r="M407" s="27" t="str">
        <f aca="false">IF(A407="","",SUMIF(入金明細!$F$5:$F$1004,A407,入金明細!$E$5:$E$1004))</f>
        <v/>
      </c>
      <c r="N407" s="25" t="str">
        <f aca="false">IF(OR(A407="",N(M407)=0),"",SUMPRODUCT(MAX((入金明細!$F$5:$F$1004=A407)*入金明細!$B$5:$B$1004)))</f>
        <v/>
      </c>
      <c r="O407" s="18"/>
      <c r="P407" s="27" t="str">
        <f aca="false">IF(OR(A407="",F407=""),"",F407-N(M407)-N(O407))</f>
        <v/>
      </c>
      <c r="Q407" s="26"/>
      <c r="R407" s="28" t="str">
        <f aca="false">IF(A407="","",IF(Q407="取消","取消",IF(T407&lt;&gt;"","要入力",IF(K407="","未送付",IF(P407=0,"入金済",IF(P407&lt;0,"過入金",IF(設定!$C$5&gt;I407,IF(N(M407)&gt;0,"一部入金・超過","期日超過"),IF(N(M407)&gt;0,"一部入金",IF(I407-設定!$C$5&lt;=設定!$C$6,"期日間近","入金待ち")))))))))</f>
        <v/>
      </c>
      <c r="S407" s="29" t="str">
        <f aca="false">IF(OR(R407="期日超過",R407="一部入金・超過"),設定!$C$5-I407,"")</f>
        <v/>
      </c>
      <c r="T407" s="21" t="str">
        <f aca="false">IF(A407="","",TRIM(IF(B407="","請求日 ","")&amp;IF(C407="","取引先 ",IF(D407="コード誤り","取引先コード誤り ",""))&amp;IF(E407="","件名 ","")&amp;IF(F407="","請求額 ","")&amp;IF(AND(F407&lt;&gt;"",I407=""),"入金期日(マスタの支払条件が未登録) ","")&amp;IF(J407="","送付方法 ","")&amp;IF(AND(K407&lt;&gt;"",L407=""),"送付者 ","")&amp;IF(AND(K407&lt;&gt;"",N(K407)&gt;設定!$C$5),"送付日が未来の日付 ","")&amp;IF(AND(K407&lt;&gt;"",N(M407)&gt;0,N(P407)&lt;=0,U407=""),"消込確認者 ","")))</f>
        <v/>
      </c>
      <c r="U407" s="26"/>
      <c r="V407" s="26"/>
    </row>
    <row r="408" customFormat="false" ht="15" hidden="false" customHeight="false" outlineLevel="0" collapsed="false">
      <c r="A408" s="21" t="str">
        <f aca="false">IF(COUNTA(B408,C408,E408,F408)=0,"",設定!$C$4&amp;TEXT(ROW()-4,"00000"))</f>
        <v/>
      </c>
      <c r="B408" s="22"/>
      <c r="C408" s="23"/>
      <c r="D408" s="21" t="str">
        <f aca="false">IF(C408="","",IFERROR(INDEX(取引先マスタ!$B$5:$B$204,MATCH(C408,取引先マスタ!$A$5:$A$204,0)),"コード誤り"))</f>
        <v/>
      </c>
      <c r="E408" s="26"/>
      <c r="F408" s="18"/>
      <c r="G408" s="25" t="str">
        <f aca="false">IF(OR(B408="",C408="",D408="コード誤り"),"",IFERROR(IF(OR(INDEX(取引先マスタ!$E$5:$E$204,MATCH(C408,取引先マスタ!$A$5:$A$204,0))="",INDEX(取引先マスタ!$F$5:$F$204,MATCH(C408,取引先マスタ!$A$5:$A$204,0))=""),"",DATE(YEAR(B408),MONTH(B408)+INDEX(取引先マスタ!$E$5:$E$204,MATCH(C408,取引先マスタ!$A$5:$A$204,0)),MIN(INDEX(取引先マスタ!$F$5:$F$204,MATCH(C408,取引先マスタ!$A$5:$A$204,0)),DAY(EOMONTH(B408,INDEX(取引先マスタ!$E$5:$E$204,MATCH(C408,取引先マスタ!$A$5:$A$204,0))))))),""))</f>
        <v/>
      </c>
      <c r="H408" s="22"/>
      <c r="I408" s="25" t="str">
        <f aca="false">IF(H408&lt;&gt;"",H408,G408)</f>
        <v/>
      </c>
      <c r="J408" s="26"/>
      <c r="K408" s="22"/>
      <c r="L408" s="26"/>
      <c r="M408" s="27" t="str">
        <f aca="false">IF(A408="","",SUMIF(入金明細!$F$5:$F$1004,A408,入金明細!$E$5:$E$1004))</f>
        <v/>
      </c>
      <c r="N408" s="25" t="str">
        <f aca="false">IF(OR(A408="",N(M408)=0),"",SUMPRODUCT(MAX((入金明細!$F$5:$F$1004=A408)*入金明細!$B$5:$B$1004)))</f>
        <v/>
      </c>
      <c r="O408" s="18"/>
      <c r="P408" s="27" t="str">
        <f aca="false">IF(OR(A408="",F408=""),"",F408-N(M408)-N(O408))</f>
        <v/>
      </c>
      <c r="Q408" s="26"/>
      <c r="R408" s="28" t="str">
        <f aca="false">IF(A408="","",IF(Q408="取消","取消",IF(T408&lt;&gt;"","要入力",IF(K408="","未送付",IF(P408=0,"入金済",IF(P408&lt;0,"過入金",IF(設定!$C$5&gt;I408,IF(N(M408)&gt;0,"一部入金・超過","期日超過"),IF(N(M408)&gt;0,"一部入金",IF(I408-設定!$C$5&lt;=設定!$C$6,"期日間近","入金待ち")))))))))</f>
        <v/>
      </c>
      <c r="S408" s="29" t="str">
        <f aca="false">IF(OR(R408="期日超過",R408="一部入金・超過"),設定!$C$5-I408,"")</f>
        <v/>
      </c>
      <c r="T408" s="21" t="str">
        <f aca="false">IF(A408="","",TRIM(IF(B408="","請求日 ","")&amp;IF(C408="","取引先 ",IF(D408="コード誤り","取引先コード誤り ",""))&amp;IF(E408="","件名 ","")&amp;IF(F408="","請求額 ","")&amp;IF(AND(F408&lt;&gt;"",I408=""),"入金期日(マスタの支払条件が未登録) ","")&amp;IF(J408="","送付方法 ","")&amp;IF(AND(K408&lt;&gt;"",L408=""),"送付者 ","")&amp;IF(AND(K408&lt;&gt;"",N(K408)&gt;設定!$C$5),"送付日が未来の日付 ","")&amp;IF(AND(K408&lt;&gt;"",N(M408)&gt;0,N(P408)&lt;=0,U408=""),"消込確認者 ","")))</f>
        <v/>
      </c>
      <c r="U408" s="26"/>
      <c r="V408" s="26"/>
    </row>
    <row r="409" customFormat="false" ht="15" hidden="false" customHeight="false" outlineLevel="0" collapsed="false">
      <c r="A409" s="21" t="str">
        <f aca="false">IF(COUNTA(B409,C409,E409,F409)=0,"",設定!$C$4&amp;TEXT(ROW()-4,"00000"))</f>
        <v/>
      </c>
      <c r="B409" s="22"/>
      <c r="C409" s="23"/>
      <c r="D409" s="21" t="str">
        <f aca="false">IF(C409="","",IFERROR(INDEX(取引先マスタ!$B$5:$B$204,MATCH(C409,取引先マスタ!$A$5:$A$204,0)),"コード誤り"))</f>
        <v/>
      </c>
      <c r="E409" s="26"/>
      <c r="F409" s="18"/>
      <c r="G409" s="25" t="str">
        <f aca="false">IF(OR(B409="",C409="",D409="コード誤り"),"",IFERROR(IF(OR(INDEX(取引先マスタ!$E$5:$E$204,MATCH(C409,取引先マスタ!$A$5:$A$204,0))="",INDEX(取引先マスタ!$F$5:$F$204,MATCH(C409,取引先マスタ!$A$5:$A$204,0))=""),"",DATE(YEAR(B409),MONTH(B409)+INDEX(取引先マスタ!$E$5:$E$204,MATCH(C409,取引先マスタ!$A$5:$A$204,0)),MIN(INDEX(取引先マスタ!$F$5:$F$204,MATCH(C409,取引先マスタ!$A$5:$A$204,0)),DAY(EOMONTH(B409,INDEX(取引先マスタ!$E$5:$E$204,MATCH(C409,取引先マスタ!$A$5:$A$204,0))))))),""))</f>
        <v/>
      </c>
      <c r="H409" s="22"/>
      <c r="I409" s="25" t="str">
        <f aca="false">IF(H409&lt;&gt;"",H409,G409)</f>
        <v/>
      </c>
      <c r="J409" s="26"/>
      <c r="K409" s="22"/>
      <c r="L409" s="26"/>
      <c r="M409" s="27" t="str">
        <f aca="false">IF(A409="","",SUMIF(入金明細!$F$5:$F$1004,A409,入金明細!$E$5:$E$1004))</f>
        <v/>
      </c>
      <c r="N409" s="25" t="str">
        <f aca="false">IF(OR(A409="",N(M409)=0),"",SUMPRODUCT(MAX((入金明細!$F$5:$F$1004=A409)*入金明細!$B$5:$B$1004)))</f>
        <v/>
      </c>
      <c r="O409" s="18"/>
      <c r="P409" s="27" t="str">
        <f aca="false">IF(OR(A409="",F409=""),"",F409-N(M409)-N(O409))</f>
        <v/>
      </c>
      <c r="Q409" s="26"/>
      <c r="R409" s="28" t="str">
        <f aca="false">IF(A409="","",IF(Q409="取消","取消",IF(T409&lt;&gt;"","要入力",IF(K409="","未送付",IF(P409=0,"入金済",IF(P409&lt;0,"過入金",IF(設定!$C$5&gt;I409,IF(N(M409)&gt;0,"一部入金・超過","期日超過"),IF(N(M409)&gt;0,"一部入金",IF(I409-設定!$C$5&lt;=設定!$C$6,"期日間近","入金待ち")))))))))</f>
        <v/>
      </c>
      <c r="S409" s="29" t="str">
        <f aca="false">IF(OR(R409="期日超過",R409="一部入金・超過"),設定!$C$5-I409,"")</f>
        <v/>
      </c>
      <c r="T409" s="21" t="str">
        <f aca="false">IF(A409="","",TRIM(IF(B409="","請求日 ","")&amp;IF(C409="","取引先 ",IF(D409="コード誤り","取引先コード誤り ",""))&amp;IF(E409="","件名 ","")&amp;IF(F409="","請求額 ","")&amp;IF(AND(F409&lt;&gt;"",I409=""),"入金期日(マスタの支払条件が未登録) ","")&amp;IF(J409="","送付方法 ","")&amp;IF(AND(K409&lt;&gt;"",L409=""),"送付者 ","")&amp;IF(AND(K409&lt;&gt;"",N(K409)&gt;設定!$C$5),"送付日が未来の日付 ","")&amp;IF(AND(K409&lt;&gt;"",N(M409)&gt;0,N(P409)&lt;=0,U409=""),"消込確認者 ","")))</f>
        <v/>
      </c>
      <c r="U409" s="26"/>
      <c r="V409" s="26"/>
    </row>
    <row r="410" customFormat="false" ht="15" hidden="false" customHeight="false" outlineLevel="0" collapsed="false">
      <c r="A410" s="21" t="str">
        <f aca="false">IF(COUNTA(B410,C410,E410,F410)=0,"",設定!$C$4&amp;TEXT(ROW()-4,"00000"))</f>
        <v/>
      </c>
      <c r="B410" s="22"/>
      <c r="C410" s="23"/>
      <c r="D410" s="21" t="str">
        <f aca="false">IF(C410="","",IFERROR(INDEX(取引先マスタ!$B$5:$B$204,MATCH(C410,取引先マスタ!$A$5:$A$204,0)),"コード誤り"))</f>
        <v/>
      </c>
      <c r="E410" s="26"/>
      <c r="F410" s="18"/>
      <c r="G410" s="25" t="str">
        <f aca="false">IF(OR(B410="",C410="",D410="コード誤り"),"",IFERROR(IF(OR(INDEX(取引先マスタ!$E$5:$E$204,MATCH(C410,取引先マスタ!$A$5:$A$204,0))="",INDEX(取引先マスタ!$F$5:$F$204,MATCH(C410,取引先マスタ!$A$5:$A$204,0))=""),"",DATE(YEAR(B410),MONTH(B410)+INDEX(取引先マスタ!$E$5:$E$204,MATCH(C410,取引先マスタ!$A$5:$A$204,0)),MIN(INDEX(取引先マスタ!$F$5:$F$204,MATCH(C410,取引先マスタ!$A$5:$A$204,0)),DAY(EOMONTH(B410,INDEX(取引先マスタ!$E$5:$E$204,MATCH(C410,取引先マスタ!$A$5:$A$204,0))))))),""))</f>
        <v/>
      </c>
      <c r="H410" s="22"/>
      <c r="I410" s="25" t="str">
        <f aca="false">IF(H410&lt;&gt;"",H410,G410)</f>
        <v/>
      </c>
      <c r="J410" s="26"/>
      <c r="K410" s="22"/>
      <c r="L410" s="26"/>
      <c r="M410" s="27" t="str">
        <f aca="false">IF(A410="","",SUMIF(入金明細!$F$5:$F$1004,A410,入金明細!$E$5:$E$1004))</f>
        <v/>
      </c>
      <c r="N410" s="25" t="str">
        <f aca="false">IF(OR(A410="",N(M410)=0),"",SUMPRODUCT(MAX((入金明細!$F$5:$F$1004=A410)*入金明細!$B$5:$B$1004)))</f>
        <v/>
      </c>
      <c r="O410" s="18"/>
      <c r="P410" s="27" t="str">
        <f aca="false">IF(OR(A410="",F410=""),"",F410-N(M410)-N(O410))</f>
        <v/>
      </c>
      <c r="Q410" s="26"/>
      <c r="R410" s="28" t="str">
        <f aca="false">IF(A410="","",IF(Q410="取消","取消",IF(T410&lt;&gt;"","要入力",IF(K410="","未送付",IF(P410=0,"入金済",IF(P410&lt;0,"過入金",IF(設定!$C$5&gt;I410,IF(N(M410)&gt;0,"一部入金・超過","期日超過"),IF(N(M410)&gt;0,"一部入金",IF(I410-設定!$C$5&lt;=設定!$C$6,"期日間近","入金待ち")))))))))</f>
        <v/>
      </c>
      <c r="S410" s="29" t="str">
        <f aca="false">IF(OR(R410="期日超過",R410="一部入金・超過"),設定!$C$5-I410,"")</f>
        <v/>
      </c>
      <c r="T410" s="21" t="str">
        <f aca="false">IF(A410="","",TRIM(IF(B410="","請求日 ","")&amp;IF(C410="","取引先 ",IF(D410="コード誤り","取引先コード誤り ",""))&amp;IF(E410="","件名 ","")&amp;IF(F410="","請求額 ","")&amp;IF(AND(F410&lt;&gt;"",I410=""),"入金期日(マスタの支払条件が未登録) ","")&amp;IF(J410="","送付方法 ","")&amp;IF(AND(K410&lt;&gt;"",L410=""),"送付者 ","")&amp;IF(AND(K410&lt;&gt;"",N(K410)&gt;設定!$C$5),"送付日が未来の日付 ","")&amp;IF(AND(K410&lt;&gt;"",N(M410)&gt;0,N(P410)&lt;=0,U410=""),"消込確認者 ","")))</f>
        <v/>
      </c>
      <c r="U410" s="26"/>
      <c r="V410" s="26"/>
    </row>
    <row r="411" customFormat="false" ht="15" hidden="false" customHeight="false" outlineLevel="0" collapsed="false">
      <c r="A411" s="21" t="str">
        <f aca="false">IF(COUNTA(B411,C411,E411,F411)=0,"",設定!$C$4&amp;TEXT(ROW()-4,"00000"))</f>
        <v/>
      </c>
      <c r="B411" s="22"/>
      <c r="C411" s="23"/>
      <c r="D411" s="21" t="str">
        <f aca="false">IF(C411="","",IFERROR(INDEX(取引先マスタ!$B$5:$B$204,MATCH(C411,取引先マスタ!$A$5:$A$204,0)),"コード誤り"))</f>
        <v/>
      </c>
      <c r="E411" s="26"/>
      <c r="F411" s="18"/>
      <c r="G411" s="25" t="str">
        <f aca="false">IF(OR(B411="",C411="",D411="コード誤り"),"",IFERROR(IF(OR(INDEX(取引先マスタ!$E$5:$E$204,MATCH(C411,取引先マスタ!$A$5:$A$204,0))="",INDEX(取引先マスタ!$F$5:$F$204,MATCH(C411,取引先マスタ!$A$5:$A$204,0))=""),"",DATE(YEAR(B411),MONTH(B411)+INDEX(取引先マスタ!$E$5:$E$204,MATCH(C411,取引先マスタ!$A$5:$A$204,0)),MIN(INDEX(取引先マスタ!$F$5:$F$204,MATCH(C411,取引先マスタ!$A$5:$A$204,0)),DAY(EOMONTH(B411,INDEX(取引先マスタ!$E$5:$E$204,MATCH(C411,取引先マスタ!$A$5:$A$204,0))))))),""))</f>
        <v/>
      </c>
      <c r="H411" s="22"/>
      <c r="I411" s="25" t="str">
        <f aca="false">IF(H411&lt;&gt;"",H411,G411)</f>
        <v/>
      </c>
      <c r="J411" s="26"/>
      <c r="K411" s="22"/>
      <c r="L411" s="26"/>
      <c r="M411" s="27" t="str">
        <f aca="false">IF(A411="","",SUMIF(入金明細!$F$5:$F$1004,A411,入金明細!$E$5:$E$1004))</f>
        <v/>
      </c>
      <c r="N411" s="25" t="str">
        <f aca="false">IF(OR(A411="",N(M411)=0),"",SUMPRODUCT(MAX((入金明細!$F$5:$F$1004=A411)*入金明細!$B$5:$B$1004)))</f>
        <v/>
      </c>
      <c r="O411" s="18"/>
      <c r="P411" s="27" t="str">
        <f aca="false">IF(OR(A411="",F411=""),"",F411-N(M411)-N(O411))</f>
        <v/>
      </c>
      <c r="Q411" s="26"/>
      <c r="R411" s="28" t="str">
        <f aca="false">IF(A411="","",IF(Q411="取消","取消",IF(T411&lt;&gt;"","要入力",IF(K411="","未送付",IF(P411=0,"入金済",IF(P411&lt;0,"過入金",IF(設定!$C$5&gt;I411,IF(N(M411)&gt;0,"一部入金・超過","期日超過"),IF(N(M411)&gt;0,"一部入金",IF(I411-設定!$C$5&lt;=設定!$C$6,"期日間近","入金待ち")))))))))</f>
        <v/>
      </c>
      <c r="S411" s="29" t="str">
        <f aca="false">IF(OR(R411="期日超過",R411="一部入金・超過"),設定!$C$5-I411,"")</f>
        <v/>
      </c>
      <c r="T411" s="21" t="str">
        <f aca="false">IF(A411="","",TRIM(IF(B411="","請求日 ","")&amp;IF(C411="","取引先 ",IF(D411="コード誤り","取引先コード誤り ",""))&amp;IF(E411="","件名 ","")&amp;IF(F411="","請求額 ","")&amp;IF(AND(F411&lt;&gt;"",I411=""),"入金期日(マスタの支払条件が未登録) ","")&amp;IF(J411="","送付方法 ","")&amp;IF(AND(K411&lt;&gt;"",L411=""),"送付者 ","")&amp;IF(AND(K411&lt;&gt;"",N(K411)&gt;設定!$C$5),"送付日が未来の日付 ","")&amp;IF(AND(K411&lt;&gt;"",N(M411)&gt;0,N(P411)&lt;=0,U411=""),"消込確認者 ","")))</f>
        <v/>
      </c>
      <c r="U411" s="26"/>
      <c r="V411" s="26"/>
    </row>
    <row r="412" customFormat="false" ht="15" hidden="false" customHeight="false" outlineLevel="0" collapsed="false">
      <c r="A412" s="21" t="str">
        <f aca="false">IF(COUNTA(B412,C412,E412,F412)=0,"",設定!$C$4&amp;TEXT(ROW()-4,"00000"))</f>
        <v/>
      </c>
      <c r="B412" s="22"/>
      <c r="C412" s="23"/>
      <c r="D412" s="21" t="str">
        <f aca="false">IF(C412="","",IFERROR(INDEX(取引先マスタ!$B$5:$B$204,MATCH(C412,取引先マスタ!$A$5:$A$204,0)),"コード誤り"))</f>
        <v/>
      </c>
      <c r="E412" s="26"/>
      <c r="F412" s="18"/>
      <c r="G412" s="25" t="str">
        <f aca="false">IF(OR(B412="",C412="",D412="コード誤り"),"",IFERROR(IF(OR(INDEX(取引先マスタ!$E$5:$E$204,MATCH(C412,取引先マスタ!$A$5:$A$204,0))="",INDEX(取引先マスタ!$F$5:$F$204,MATCH(C412,取引先マスタ!$A$5:$A$204,0))=""),"",DATE(YEAR(B412),MONTH(B412)+INDEX(取引先マスタ!$E$5:$E$204,MATCH(C412,取引先マスタ!$A$5:$A$204,0)),MIN(INDEX(取引先マスタ!$F$5:$F$204,MATCH(C412,取引先マスタ!$A$5:$A$204,0)),DAY(EOMONTH(B412,INDEX(取引先マスタ!$E$5:$E$204,MATCH(C412,取引先マスタ!$A$5:$A$204,0))))))),""))</f>
        <v/>
      </c>
      <c r="H412" s="22"/>
      <c r="I412" s="25" t="str">
        <f aca="false">IF(H412&lt;&gt;"",H412,G412)</f>
        <v/>
      </c>
      <c r="J412" s="26"/>
      <c r="K412" s="22"/>
      <c r="L412" s="26"/>
      <c r="M412" s="27" t="str">
        <f aca="false">IF(A412="","",SUMIF(入金明細!$F$5:$F$1004,A412,入金明細!$E$5:$E$1004))</f>
        <v/>
      </c>
      <c r="N412" s="25" t="str">
        <f aca="false">IF(OR(A412="",N(M412)=0),"",SUMPRODUCT(MAX((入金明細!$F$5:$F$1004=A412)*入金明細!$B$5:$B$1004)))</f>
        <v/>
      </c>
      <c r="O412" s="18"/>
      <c r="P412" s="27" t="str">
        <f aca="false">IF(OR(A412="",F412=""),"",F412-N(M412)-N(O412))</f>
        <v/>
      </c>
      <c r="Q412" s="26"/>
      <c r="R412" s="28" t="str">
        <f aca="false">IF(A412="","",IF(Q412="取消","取消",IF(T412&lt;&gt;"","要入力",IF(K412="","未送付",IF(P412=0,"入金済",IF(P412&lt;0,"過入金",IF(設定!$C$5&gt;I412,IF(N(M412)&gt;0,"一部入金・超過","期日超過"),IF(N(M412)&gt;0,"一部入金",IF(I412-設定!$C$5&lt;=設定!$C$6,"期日間近","入金待ち")))))))))</f>
        <v/>
      </c>
      <c r="S412" s="29" t="str">
        <f aca="false">IF(OR(R412="期日超過",R412="一部入金・超過"),設定!$C$5-I412,"")</f>
        <v/>
      </c>
      <c r="T412" s="21" t="str">
        <f aca="false">IF(A412="","",TRIM(IF(B412="","請求日 ","")&amp;IF(C412="","取引先 ",IF(D412="コード誤り","取引先コード誤り ",""))&amp;IF(E412="","件名 ","")&amp;IF(F412="","請求額 ","")&amp;IF(AND(F412&lt;&gt;"",I412=""),"入金期日(マスタの支払条件が未登録) ","")&amp;IF(J412="","送付方法 ","")&amp;IF(AND(K412&lt;&gt;"",L412=""),"送付者 ","")&amp;IF(AND(K412&lt;&gt;"",N(K412)&gt;設定!$C$5),"送付日が未来の日付 ","")&amp;IF(AND(K412&lt;&gt;"",N(M412)&gt;0,N(P412)&lt;=0,U412=""),"消込確認者 ","")))</f>
        <v/>
      </c>
      <c r="U412" s="26"/>
      <c r="V412" s="26"/>
    </row>
    <row r="413" customFormat="false" ht="15" hidden="false" customHeight="false" outlineLevel="0" collapsed="false">
      <c r="A413" s="21" t="str">
        <f aca="false">IF(COUNTA(B413,C413,E413,F413)=0,"",設定!$C$4&amp;TEXT(ROW()-4,"00000"))</f>
        <v/>
      </c>
      <c r="B413" s="22"/>
      <c r="C413" s="23"/>
      <c r="D413" s="21" t="str">
        <f aca="false">IF(C413="","",IFERROR(INDEX(取引先マスタ!$B$5:$B$204,MATCH(C413,取引先マスタ!$A$5:$A$204,0)),"コード誤り"))</f>
        <v/>
      </c>
      <c r="E413" s="26"/>
      <c r="F413" s="18"/>
      <c r="G413" s="25" t="str">
        <f aca="false">IF(OR(B413="",C413="",D413="コード誤り"),"",IFERROR(IF(OR(INDEX(取引先マスタ!$E$5:$E$204,MATCH(C413,取引先マスタ!$A$5:$A$204,0))="",INDEX(取引先マスタ!$F$5:$F$204,MATCH(C413,取引先マスタ!$A$5:$A$204,0))=""),"",DATE(YEAR(B413),MONTH(B413)+INDEX(取引先マスタ!$E$5:$E$204,MATCH(C413,取引先マスタ!$A$5:$A$204,0)),MIN(INDEX(取引先マスタ!$F$5:$F$204,MATCH(C413,取引先マスタ!$A$5:$A$204,0)),DAY(EOMONTH(B413,INDEX(取引先マスタ!$E$5:$E$204,MATCH(C413,取引先マスタ!$A$5:$A$204,0))))))),""))</f>
        <v/>
      </c>
      <c r="H413" s="22"/>
      <c r="I413" s="25" t="str">
        <f aca="false">IF(H413&lt;&gt;"",H413,G413)</f>
        <v/>
      </c>
      <c r="J413" s="26"/>
      <c r="K413" s="22"/>
      <c r="L413" s="26"/>
      <c r="M413" s="27" t="str">
        <f aca="false">IF(A413="","",SUMIF(入金明細!$F$5:$F$1004,A413,入金明細!$E$5:$E$1004))</f>
        <v/>
      </c>
      <c r="N413" s="25" t="str">
        <f aca="false">IF(OR(A413="",N(M413)=0),"",SUMPRODUCT(MAX((入金明細!$F$5:$F$1004=A413)*入金明細!$B$5:$B$1004)))</f>
        <v/>
      </c>
      <c r="O413" s="18"/>
      <c r="P413" s="27" t="str">
        <f aca="false">IF(OR(A413="",F413=""),"",F413-N(M413)-N(O413))</f>
        <v/>
      </c>
      <c r="Q413" s="26"/>
      <c r="R413" s="28" t="str">
        <f aca="false">IF(A413="","",IF(Q413="取消","取消",IF(T413&lt;&gt;"","要入力",IF(K413="","未送付",IF(P413=0,"入金済",IF(P413&lt;0,"過入金",IF(設定!$C$5&gt;I413,IF(N(M413)&gt;0,"一部入金・超過","期日超過"),IF(N(M413)&gt;0,"一部入金",IF(I413-設定!$C$5&lt;=設定!$C$6,"期日間近","入金待ち")))))))))</f>
        <v/>
      </c>
      <c r="S413" s="29" t="str">
        <f aca="false">IF(OR(R413="期日超過",R413="一部入金・超過"),設定!$C$5-I413,"")</f>
        <v/>
      </c>
      <c r="T413" s="21" t="str">
        <f aca="false">IF(A413="","",TRIM(IF(B413="","請求日 ","")&amp;IF(C413="","取引先 ",IF(D413="コード誤り","取引先コード誤り ",""))&amp;IF(E413="","件名 ","")&amp;IF(F413="","請求額 ","")&amp;IF(AND(F413&lt;&gt;"",I413=""),"入金期日(マスタの支払条件が未登録) ","")&amp;IF(J413="","送付方法 ","")&amp;IF(AND(K413&lt;&gt;"",L413=""),"送付者 ","")&amp;IF(AND(K413&lt;&gt;"",N(K413)&gt;設定!$C$5),"送付日が未来の日付 ","")&amp;IF(AND(K413&lt;&gt;"",N(M413)&gt;0,N(P413)&lt;=0,U413=""),"消込確認者 ","")))</f>
        <v/>
      </c>
      <c r="U413" s="26"/>
      <c r="V413" s="26"/>
    </row>
    <row r="414" customFormat="false" ht="15" hidden="false" customHeight="false" outlineLevel="0" collapsed="false">
      <c r="A414" s="21" t="str">
        <f aca="false">IF(COUNTA(B414,C414,E414,F414)=0,"",設定!$C$4&amp;TEXT(ROW()-4,"00000"))</f>
        <v/>
      </c>
      <c r="B414" s="22"/>
      <c r="C414" s="23"/>
      <c r="D414" s="21" t="str">
        <f aca="false">IF(C414="","",IFERROR(INDEX(取引先マスタ!$B$5:$B$204,MATCH(C414,取引先マスタ!$A$5:$A$204,0)),"コード誤り"))</f>
        <v/>
      </c>
      <c r="E414" s="26"/>
      <c r="F414" s="18"/>
      <c r="G414" s="25" t="str">
        <f aca="false">IF(OR(B414="",C414="",D414="コード誤り"),"",IFERROR(IF(OR(INDEX(取引先マスタ!$E$5:$E$204,MATCH(C414,取引先マスタ!$A$5:$A$204,0))="",INDEX(取引先マスタ!$F$5:$F$204,MATCH(C414,取引先マスタ!$A$5:$A$204,0))=""),"",DATE(YEAR(B414),MONTH(B414)+INDEX(取引先マスタ!$E$5:$E$204,MATCH(C414,取引先マスタ!$A$5:$A$204,0)),MIN(INDEX(取引先マスタ!$F$5:$F$204,MATCH(C414,取引先マスタ!$A$5:$A$204,0)),DAY(EOMONTH(B414,INDEX(取引先マスタ!$E$5:$E$204,MATCH(C414,取引先マスタ!$A$5:$A$204,0))))))),""))</f>
        <v/>
      </c>
      <c r="H414" s="22"/>
      <c r="I414" s="25" t="str">
        <f aca="false">IF(H414&lt;&gt;"",H414,G414)</f>
        <v/>
      </c>
      <c r="J414" s="26"/>
      <c r="K414" s="22"/>
      <c r="L414" s="26"/>
      <c r="M414" s="27" t="str">
        <f aca="false">IF(A414="","",SUMIF(入金明細!$F$5:$F$1004,A414,入金明細!$E$5:$E$1004))</f>
        <v/>
      </c>
      <c r="N414" s="25" t="str">
        <f aca="false">IF(OR(A414="",N(M414)=0),"",SUMPRODUCT(MAX((入金明細!$F$5:$F$1004=A414)*入金明細!$B$5:$B$1004)))</f>
        <v/>
      </c>
      <c r="O414" s="18"/>
      <c r="P414" s="27" t="str">
        <f aca="false">IF(OR(A414="",F414=""),"",F414-N(M414)-N(O414))</f>
        <v/>
      </c>
      <c r="Q414" s="26"/>
      <c r="R414" s="28" t="str">
        <f aca="false">IF(A414="","",IF(Q414="取消","取消",IF(T414&lt;&gt;"","要入力",IF(K414="","未送付",IF(P414=0,"入金済",IF(P414&lt;0,"過入金",IF(設定!$C$5&gt;I414,IF(N(M414)&gt;0,"一部入金・超過","期日超過"),IF(N(M414)&gt;0,"一部入金",IF(I414-設定!$C$5&lt;=設定!$C$6,"期日間近","入金待ち")))))))))</f>
        <v/>
      </c>
      <c r="S414" s="29" t="str">
        <f aca="false">IF(OR(R414="期日超過",R414="一部入金・超過"),設定!$C$5-I414,"")</f>
        <v/>
      </c>
      <c r="T414" s="21" t="str">
        <f aca="false">IF(A414="","",TRIM(IF(B414="","請求日 ","")&amp;IF(C414="","取引先 ",IF(D414="コード誤り","取引先コード誤り ",""))&amp;IF(E414="","件名 ","")&amp;IF(F414="","請求額 ","")&amp;IF(AND(F414&lt;&gt;"",I414=""),"入金期日(マスタの支払条件が未登録) ","")&amp;IF(J414="","送付方法 ","")&amp;IF(AND(K414&lt;&gt;"",L414=""),"送付者 ","")&amp;IF(AND(K414&lt;&gt;"",N(K414)&gt;設定!$C$5),"送付日が未来の日付 ","")&amp;IF(AND(K414&lt;&gt;"",N(M414)&gt;0,N(P414)&lt;=0,U414=""),"消込確認者 ","")))</f>
        <v/>
      </c>
      <c r="U414" s="26"/>
      <c r="V414" s="26"/>
    </row>
    <row r="415" customFormat="false" ht="15" hidden="false" customHeight="false" outlineLevel="0" collapsed="false">
      <c r="A415" s="21" t="str">
        <f aca="false">IF(COUNTA(B415,C415,E415,F415)=0,"",設定!$C$4&amp;TEXT(ROW()-4,"00000"))</f>
        <v/>
      </c>
      <c r="B415" s="22"/>
      <c r="C415" s="23"/>
      <c r="D415" s="21" t="str">
        <f aca="false">IF(C415="","",IFERROR(INDEX(取引先マスタ!$B$5:$B$204,MATCH(C415,取引先マスタ!$A$5:$A$204,0)),"コード誤り"))</f>
        <v/>
      </c>
      <c r="E415" s="26"/>
      <c r="F415" s="18"/>
      <c r="G415" s="25" t="str">
        <f aca="false">IF(OR(B415="",C415="",D415="コード誤り"),"",IFERROR(IF(OR(INDEX(取引先マスタ!$E$5:$E$204,MATCH(C415,取引先マスタ!$A$5:$A$204,0))="",INDEX(取引先マスタ!$F$5:$F$204,MATCH(C415,取引先マスタ!$A$5:$A$204,0))=""),"",DATE(YEAR(B415),MONTH(B415)+INDEX(取引先マスタ!$E$5:$E$204,MATCH(C415,取引先マスタ!$A$5:$A$204,0)),MIN(INDEX(取引先マスタ!$F$5:$F$204,MATCH(C415,取引先マスタ!$A$5:$A$204,0)),DAY(EOMONTH(B415,INDEX(取引先マスタ!$E$5:$E$204,MATCH(C415,取引先マスタ!$A$5:$A$204,0))))))),""))</f>
        <v/>
      </c>
      <c r="H415" s="22"/>
      <c r="I415" s="25" t="str">
        <f aca="false">IF(H415&lt;&gt;"",H415,G415)</f>
        <v/>
      </c>
      <c r="J415" s="26"/>
      <c r="K415" s="22"/>
      <c r="L415" s="26"/>
      <c r="M415" s="27" t="str">
        <f aca="false">IF(A415="","",SUMIF(入金明細!$F$5:$F$1004,A415,入金明細!$E$5:$E$1004))</f>
        <v/>
      </c>
      <c r="N415" s="25" t="str">
        <f aca="false">IF(OR(A415="",N(M415)=0),"",SUMPRODUCT(MAX((入金明細!$F$5:$F$1004=A415)*入金明細!$B$5:$B$1004)))</f>
        <v/>
      </c>
      <c r="O415" s="18"/>
      <c r="P415" s="27" t="str">
        <f aca="false">IF(OR(A415="",F415=""),"",F415-N(M415)-N(O415))</f>
        <v/>
      </c>
      <c r="Q415" s="26"/>
      <c r="R415" s="28" t="str">
        <f aca="false">IF(A415="","",IF(Q415="取消","取消",IF(T415&lt;&gt;"","要入力",IF(K415="","未送付",IF(P415=0,"入金済",IF(P415&lt;0,"過入金",IF(設定!$C$5&gt;I415,IF(N(M415)&gt;0,"一部入金・超過","期日超過"),IF(N(M415)&gt;0,"一部入金",IF(I415-設定!$C$5&lt;=設定!$C$6,"期日間近","入金待ち")))))))))</f>
        <v/>
      </c>
      <c r="S415" s="29" t="str">
        <f aca="false">IF(OR(R415="期日超過",R415="一部入金・超過"),設定!$C$5-I415,"")</f>
        <v/>
      </c>
      <c r="T415" s="21" t="str">
        <f aca="false">IF(A415="","",TRIM(IF(B415="","請求日 ","")&amp;IF(C415="","取引先 ",IF(D415="コード誤り","取引先コード誤り ",""))&amp;IF(E415="","件名 ","")&amp;IF(F415="","請求額 ","")&amp;IF(AND(F415&lt;&gt;"",I415=""),"入金期日(マスタの支払条件が未登録) ","")&amp;IF(J415="","送付方法 ","")&amp;IF(AND(K415&lt;&gt;"",L415=""),"送付者 ","")&amp;IF(AND(K415&lt;&gt;"",N(K415)&gt;設定!$C$5),"送付日が未来の日付 ","")&amp;IF(AND(K415&lt;&gt;"",N(M415)&gt;0,N(P415)&lt;=0,U415=""),"消込確認者 ","")))</f>
        <v/>
      </c>
      <c r="U415" s="26"/>
      <c r="V415" s="26"/>
    </row>
    <row r="416" customFormat="false" ht="15" hidden="false" customHeight="false" outlineLevel="0" collapsed="false">
      <c r="A416" s="21" t="str">
        <f aca="false">IF(COUNTA(B416,C416,E416,F416)=0,"",設定!$C$4&amp;TEXT(ROW()-4,"00000"))</f>
        <v/>
      </c>
      <c r="B416" s="22"/>
      <c r="C416" s="23"/>
      <c r="D416" s="21" t="str">
        <f aca="false">IF(C416="","",IFERROR(INDEX(取引先マスタ!$B$5:$B$204,MATCH(C416,取引先マスタ!$A$5:$A$204,0)),"コード誤り"))</f>
        <v/>
      </c>
      <c r="E416" s="26"/>
      <c r="F416" s="18"/>
      <c r="G416" s="25" t="str">
        <f aca="false">IF(OR(B416="",C416="",D416="コード誤り"),"",IFERROR(IF(OR(INDEX(取引先マスタ!$E$5:$E$204,MATCH(C416,取引先マスタ!$A$5:$A$204,0))="",INDEX(取引先マスタ!$F$5:$F$204,MATCH(C416,取引先マスタ!$A$5:$A$204,0))=""),"",DATE(YEAR(B416),MONTH(B416)+INDEX(取引先マスタ!$E$5:$E$204,MATCH(C416,取引先マスタ!$A$5:$A$204,0)),MIN(INDEX(取引先マスタ!$F$5:$F$204,MATCH(C416,取引先マスタ!$A$5:$A$204,0)),DAY(EOMONTH(B416,INDEX(取引先マスタ!$E$5:$E$204,MATCH(C416,取引先マスタ!$A$5:$A$204,0))))))),""))</f>
        <v/>
      </c>
      <c r="H416" s="22"/>
      <c r="I416" s="25" t="str">
        <f aca="false">IF(H416&lt;&gt;"",H416,G416)</f>
        <v/>
      </c>
      <c r="J416" s="26"/>
      <c r="K416" s="22"/>
      <c r="L416" s="26"/>
      <c r="M416" s="27" t="str">
        <f aca="false">IF(A416="","",SUMIF(入金明細!$F$5:$F$1004,A416,入金明細!$E$5:$E$1004))</f>
        <v/>
      </c>
      <c r="N416" s="25" t="str">
        <f aca="false">IF(OR(A416="",N(M416)=0),"",SUMPRODUCT(MAX((入金明細!$F$5:$F$1004=A416)*入金明細!$B$5:$B$1004)))</f>
        <v/>
      </c>
      <c r="O416" s="18"/>
      <c r="P416" s="27" t="str">
        <f aca="false">IF(OR(A416="",F416=""),"",F416-N(M416)-N(O416))</f>
        <v/>
      </c>
      <c r="Q416" s="26"/>
      <c r="R416" s="28" t="str">
        <f aca="false">IF(A416="","",IF(Q416="取消","取消",IF(T416&lt;&gt;"","要入力",IF(K416="","未送付",IF(P416=0,"入金済",IF(P416&lt;0,"過入金",IF(設定!$C$5&gt;I416,IF(N(M416)&gt;0,"一部入金・超過","期日超過"),IF(N(M416)&gt;0,"一部入金",IF(I416-設定!$C$5&lt;=設定!$C$6,"期日間近","入金待ち")))))))))</f>
        <v/>
      </c>
      <c r="S416" s="29" t="str">
        <f aca="false">IF(OR(R416="期日超過",R416="一部入金・超過"),設定!$C$5-I416,"")</f>
        <v/>
      </c>
      <c r="T416" s="21" t="str">
        <f aca="false">IF(A416="","",TRIM(IF(B416="","請求日 ","")&amp;IF(C416="","取引先 ",IF(D416="コード誤り","取引先コード誤り ",""))&amp;IF(E416="","件名 ","")&amp;IF(F416="","請求額 ","")&amp;IF(AND(F416&lt;&gt;"",I416=""),"入金期日(マスタの支払条件が未登録) ","")&amp;IF(J416="","送付方法 ","")&amp;IF(AND(K416&lt;&gt;"",L416=""),"送付者 ","")&amp;IF(AND(K416&lt;&gt;"",N(K416)&gt;設定!$C$5),"送付日が未来の日付 ","")&amp;IF(AND(K416&lt;&gt;"",N(M416)&gt;0,N(P416)&lt;=0,U416=""),"消込確認者 ","")))</f>
        <v/>
      </c>
      <c r="U416" s="26"/>
      <c r="V416" s="26"/>
    </row>
    <row r="417" customFormat="false" ht="15" hidden="false" customHeight="false" outlineLevel="0" collapsed="false">
      <c r="A417" s="21" t="str">
        <f aca="false">IF(COUNTA(B417,C417,E417,F417)=0,"",設定!$C$4&amp;TEXT(ROW()-4,"00000"))</f>
        <v/>
      </c>
      <c r="B417" s="22"/>
      <c r="C417" s="23"/>
      <c r="D417" s="21" t="str">
        <f aca="false">IF(C417="","",IFERROR(INDEX(取引先マスタ!$B$5:$B$204,MATCH(C417,取引先マスタ!$A$5:$A$204,0)),"コード誤り"))</f>
        <v/>
      </c>
      <c r="E417" s="26"/>
      <c r="F417" s="18"/>
      <c r="G417" s="25" t="str">
        <f aca="false">IF(OR(B417="",C417="",D417="コード誤り"),"",IFERROR(IF(OR(INDEX(取引先マスタ!$E$5:$E$204,MATCH(C417,取引先マスタ!$A$5:$A$204,0))="",INDEX(取引先マスタ!$F$5:$F$204,MATCH(C417,取引先マスタ!$A$5:$A$204,0))=""),"",DATE(YEAR(B417),MONTH(B417)+INDEX(取引先マスタ!$E$5:$E$204,MATCH(C417,取引先マスタ!$A$5:$A$204,0)),MIN(INDEX(取引先マスタ!$F$5:$F$204,MATCH(C417,取引先マスタ!$A$5:$A$204,0)),DAY(EOMONTH(B417,INDEX(取引先マスタ!$E$5:$E$204,MATCH(C417,取引先マスタ!$A$5:$A$204,0))))))),""))</f>
        <v/>
      </c>
      <c r="H417" s="22"/>
      <c r="I417" s="25" t="str">
        <f aca="false">IF(H417&lt;&gt;"",H417,G417)</f>
        <v/>
      </c>
      <c r="J417" s="26"/>
      <c r="K417" s="22"/>
      <c r="L417" s="26"/>
      <c r="M417" s="27" t="str">
        <f aca="false">IF(A417="","",SUMIF(入金明細!$F$5:$F$1004,A417,入金明細!$E$5:$E$1004))</f>
        <v/>
      </c>
      <c r="N417" s="25" t="str">
        <f aca="false">IF(OR(A417="",N(M417)=0),"",SUMPRODUCT(MAX((入金明細!$F$5:$F$1004=A417)*入金明細!$B$5:$B$1004)))</f>
        <v/>
      </c>
      <c r="O417" s="18"/>
      <c r="P417" s="27" t="str">
        <f aca="false">IF(OR(A417="",F417=""),"",F417-N(M417)-N(O417))</f>
        <v/>
      </c>
      <c r="Q417" s="26"/>
      <c r="R417" s="28" t="str">
        <f aca="false">IF(A417="","",IF(Q417="取消","取消",IF(T417&lt;&gt;"","要入力",IF(K417="","未送付",IF(P417=0,"入金済",IF(P417&lt;0,"過入金",IF(設定!$C$5&gt;I417,IF(N(M417)&gt;0,"一部入金・超過","期日超過"),IF(N(M417)&gt;0,"一部入金",IF(I417-設定!$C$5&lt;=設定!$C$6,"期日間近","入金待ち")))))))))</f>
        <v/>
      </c>
      <c r="S417" s="29" t="str">
        <f aca="false">IF(OR(R417="期日超過",R417="一部入金・超過"),設定!$C$5-I417,"")</f>
        <v/>
      </c>
      <c r="T417" s="21" t="str">
        <f aca="false">IF(A417="","",TRIM(IF(B417="","請求日 ","")&amp;IF(C417="","取引先 ",IF(D417="コード誤り","取引先コード誤り ",""))&amp;IF(E417="","件名 ","")&amp;IF(F417="","請求額 ","")&amp;IF(AND(F417&lt;&gt;"",I417=""),"入金期日(マスタの支払条件が未登録) ","")&amp;IF(J417="","送付方法 ","")&amp;IF(AND(K417&lt;&gt;"",L417=""),"送付者 ","")&amp;IF(AND(K417&lt;&gt;"",N(K417)&gt;設定!$C$5),"送付日が未来の日付 ","")&amp;IF(AND(K417&lt;&gt;"",N(M417)&gt;0,N(P417)&lt;=0,U417=""),"消込確認者 ","")))</f>
        <v/>
      </c>
      <c r="U417" s="26"/>
      <c r="V417" s="26"/>
    </row>
    <row r="418" customFormat="false" ht="15" hidden="false" customHeight="false" outlineLevel="0" collapsed="false">
      <c r="A418" s="21" t="str">
        <f aca="false">IF(COUNTA(B418,C418,E418,F418)=0,"",設定!$C$4&amp;TEXT(ROW()-4,"00000"))</f>
        <v/>
      </c>
      <c r="B418" s="22"/>
      <c r="C418" s="23"/>
      <c r="D418" s="21" t="str">
        <f aca="false">IF(C418="","",IFERROR(INDEX(取引先マスタ!$B$5:$B$204,MATCH(C418,取引先マスタ!$A$5:$A$204,0)),"コード誤り"))</f>
        <v/>
      </c>
      <c r="E418" s="26"/>
      <c r="F418" s="18"/>
      <c r="G418" s="25" t="str">
        <f aca="false">IF(OR(B418="",C418="",D418="コード誤り"),"",IFERROR(IF(OR(INDEX(取引先マスタ!$E$5:$E$204,MATCH(C418,取引先マスタ!$A$5:$A$204,0))="",INDEX(取引先マスタ!$F$5:$F$204,MATCH(C418,取引先マスタ!$A$5:$A$204,0))=""),"",DATE(YEAR(B418),MONTH(B418)+INDEX(取引先マスタ!$E$5:$E$204,MATCH(C418,取引先マスタ!$A$5:$A$204,0)),MIN(INDEX(取引先マスタ!$F$5:$F$204,MATCH(C418,取引先マスタ!$A$5:$A$204,0)),DAY(EOMONTH(B418,INDEX(取引先マスタ!$E$5:$E$204,MATCH(C418,取引先マスタ!$A$5:$A$204,0))))))),""))</f>
        <v/>
      </c>
      <c r="H418" s="22"/>
      <c r="I418" s="25" t="str">
        <f aca="false">IF(H418&lt;&gt;"",H418,G418)</f>
        <v/>
      </c>
      <c r="J418" s="26"/>
      <c r="K418" s="22"/>
      <c r="L418" s="26"/>
      <c r="M418" s="27" t="str">
        <f aca="false">IF(A418="","",SUMIF(入金明細!$F$5:$F$1004,A418,入金明細!$E$5:$E$1004))</f>
        <v/>
      </c>
      <c r="N418" s="25" t="str">
        <f aca="false">IF(OR(A418="",N(M418)=0),"",SUMPRODUCT(MAX((入金明細!$F$5:$F$1004=A418)*入金明細!$B$5:$B$1004)))</f>
        <v/>
      </c>
      <c r="O418" s="18"/>
      <c r="P418" s="27" t="str">
        <f aca="false">IF(OR(A418="",F418=""),"",F418-N(M418)-N(O418))</f>
        <v/>
      </c>
      <c r="Q418" s="26"/>
      <c r="R418" s="28" t="str">
        <f aca="false">IF(A418="","",IF(Q418="取消","取消",IF(T418&lt;&gt;"","要入力",IF(K418="","未送付",IF(P418=0,"入金済",IF(P418&lt;0,"過入金",IF(設定!$C$5&gt;I418,IF(N(M418)&gt;0,"一部入金・超過","期日超過"),IF(N(M418)&gt;0,"一部入金",IF(I418-設定!$C$5&lt;=設定!$C$6,"期日間近","入金待ち")))))))))</f>
        <v/>
      </c>
      <c r="S418" s="29" t="str">
        <f aca="false">IF(OR(R418="期日超過",R418="一部入金・超過"),設定!$C$5-I418,"")</f>
        <v/>
      </c>
      <c r="T418" s="21" t="str">
        <f aca="false">IF(A418="","",TRIM(IF(B418="","請求日 ","")&amp;IF(C418="","取引先 ",IF(D418="コード誤り","取引先コード誤り ",""))&amp;IF(E418="","件名 ","")&amp;IF(F418="","請求額 ","")&amp;IF(AND(F418&lt;&gt;"",I418=""),"入金期日(マスタの支払条件が未登録) ","")&amp;IF(J418="","送付方法 ","")&amp;IF(AND(K418&lt;&gt;"",L418=""),"送付者 ","")&amp;IF(AND(K418&lt;&gt;"",N(K418)&gt;設定!$C$5),"送付日が未来の日付 ","")&amp;IF(AND(K418&lt;&gt;"",N(M418)&gt;0,N(P418)&lt;=0,U418=""),"消込確認者 ","")))</f>
        <v/>
      </c>
      <c r="U418" s="26"/>
      <c r="V418" s="26"/>
    </row>
    <row r="419" customFormat="false" ht="15" hidden="false" customHeight="false" outlineLevel="0" collapsed="false">
      <c r="A419" s="21" t="str">
        <f aca="false">IF(COUNTA(B419,C419,E419,F419)=0,"",設定!$C$4&amp;TEXT(ROW()-4,"00000"))</f>
        <v/>
      </c>
      <c r="B419" s="22"/>
      <c r="C419" s="23"/>
      <c r="D419" s="21" t="str">
        <f aca="false">IF(C419="","",IFERROR(INDEX(取引先マスタ!$B$5:$B$204,MATCH(C419,取引先マスタ!$A$5:$A$204,0)),"コード誤り"))</f>
        <v/>
      </c>
      <c r="E419" s="26"/>
      <c r="F419" s="18"/>
      <c r="G419" s="25" t="str">
        <f aca="false">IF(OR(B419="",C419="",D419="コード誤り"),"",IFERROR(IF(OR(INDEX(取引先マスタ!$E$5:$E$204,MATCH(C419,取引先マスタ!$A$5:$A$204,0))="",INDEX(取引先マスタ!$F$5:$F$204,MATCH(C419,取引先マスタ!$A$5:$A$204,0))=""),"",DATE(YEAR(B419),MONTH(B419)+INDEX(取引先マスタ!$E$5:$E$204,MATCH(C419,取引先マスタ!$A$5:$A$204,0)),MIN(INDEX(取引先マスタ!$F$5:$F$204,MATCH(C419,取引先マスタ!$A$5:$A$204,0)),DAY(EOMONTH(B419,INDEX(取引先マスタ!$E$5:$E$204,MATCH(C419,取引先マスタ!$A$5:$A$204,0))))))),""))</f>
        <v/>
      </c>
      <c r="H419" s="22"/>
      <c r="I419" s="25" t="str">
        <f aca="false">IF(H419&lt;&gt;"",H419,G419)</f>
        <v/>
      </c>
      <c r="J419" s="26"/>
      <c r="K419" s="22"/>
      <c r="L419" s="26"/>
      <c r="M419" s="27" t="str">
        <f aca="false">IF(A419="","",SUMIF(入金明細!$F$5:$F$1004,A419,入金明細!$E$5:$E$1004))</f>
        <v/>
      </c>
      <c r="N419" s="25" t="str">
        <f aca="false">IF(OR(A419="",N(M419)=0),"",SUMPRODUCT(MAX((入金明細!$F$5:$F$1004=A419)*入金明細!$B$5:$B$1004)))</f>
        <v/>
      </c>
      <c r="O419" s="18"/>
      <c r="P419" s="27" t="str">
        <f aca="false">IF(OR(A419="",F419=""),"",F419-N(M419)-N(O419))</f>
        <v/>
      </c>
      <c r="Q419" s="26"/>
      <c r="R419" s="28" t="str">
        <f aca="false">IF(A419="","",IF(Q419="取消","取消",IF(T419&lt;&gt;"","要入力",IF(K419="","未送付",IF(P419=0,"入金済",IF(P419&lt;0,"過入金",IF(設定!$C$5&gt;I419,IF(N(M419)&gt;0,"一部入金・超過","期日超過"),IF(N(M419)&gt;0,"一部入金",IF(I419-設定!$C$5&lt;=設定!$C$6,"期日間近","入金待ち")))))))))</f>
        <v/>
      </c>
      <c r="S419" s="29" t="str">
        <f aca="false">IF(OR(R419="期日超過",R419="一部入金・超過"),設定!$C$5-I419,"")</f>
        <v/>
      </c>
      <c r="T419" s="21" t="str">
        <f aca="false">IF(A419="","",TRIM(IF(B419="","請求日 ","")&amp;IF(C419="","取引先 ",IF(D419="コード誤り","取引先コード誤り ",""))&amp;IF(E419="","件名 ","")&amp;IF(F419="","請求額 ","")&amp;IF(AND(F419&lt;&gt;"",I419=""),"入金期日(マスタの支払条件が未登録) ","")&amp;IF(J419="","送付方法 ","")&amp;IF(AND(K419&lt;&gt;"",L419=""),"送付者 ","")&amp;IF(AND(K419&lt;&gt;"",N(K419)&gt;設定!$C$5),"送付日が未来の日付 ","")&amp;IF(AND(K419&lt;&gt;"",N(M419)&gt;0,N(P419)&lt;=0,U419=""),"消込確認者 ","")))</f>
        <v/>
      </c>
      <c r="U419" s="26"/>
      <c r="V419" s="26"/>
    </row>
    <row r="420" customFormat="false" ht="15" hidden="false" customHeight="false" outlineLevel="0" collapsed="false">
      <c r="A420" s="21" t="str">
        <f aca="false">IF(COUNTA(B420,C420,E420,F420)=0,"",設定!$C$4&amp;TEXT(ROW()-4,"00000"))</f>
        <v/>
      </c>
      <c r="B420" s="22"/>
      <c r="C420" s="23"/>
      <c r="D420" s="21" t="str">
        <f aca="false">IF(C420="","",IFERROR(INDEX(取引先マスタ!$B$5:$B$204,MATCH(C420,取引先マスタ!$A$5:$A$204,0)),"コード誤り"))</f>
        <v/>
      </c>
      <c r="E420" s="26"/>
      <c r="F420" s="18"/>
      <c r="G420" s="25" t="str">
        <f aca="false">IF(OR(B420="",C420="",D420="コード誤り"),"",IFERROR(IF(OR(INDEX(取引先マスタ!$E$5:$E$204,MATCH(C420,取引先マスタ!$A$5:$A$204,0))="",INDEX(取引先マスタ!$F$5:$F$204,MATCH(C420,取引先マスタ!$A$5:$A$204,0))=""),"",DATE(YEAR(B420),MONTH(B420)+INDEX(取引先マスタ!$E$5:$E$204,MATCH(C420,取引先マスタ!$A$5:$A$204,0)),MIN(INDEX(取引先マスタ!$F$5:$F$204,MATCH(C420,取引先マスタ!$A$5:$A$204,0)),DAY(EOMONTH(B420,INDEX(取引先マスタ!$E$5:$E$204,MATCH(C420,取引先マスタ!$A$5:$A$204,0))))))),""))</f>
        <v/>
      </c>
      <c r="H420" s="22"/>
      <c r="I420" s="25" t="str">
        <f aca="false">IF(H420&lt;&gt;"",H420,G420)</f>
        <v/>
      </c>
      <c r="J420" s="26"/>
      <c r="K420" s="22"/>
      <c r="L420" s="26"/>
      <c r="M420" s="27" t="str">
        <f aca="false">IF(A420="","",SUMIF(入金明細!$F$5:$F$1004,A420,入金明細!$E$5:$E$1004))</f>
        <v/>
      </c>
      <c r="N420" s="25" t="str">
        <f aca="false">IF(OR(A420="",N(M420)=0),"",SUMPRODUCT(MAX((入金明細!$F$5:$F$1004=A420)*入金明細!$B$5:$B$1004)))</f>
        <v/>
      </c>
      <c r="O420" s="18"/>
      <c r="P420" s="27" t="str">
        <f aca="false">IF(OR(A420="",F420=""),"",F420-N(M420)-N(O420))</f>
        <v/>
      </c>
      <c r="Q420" s="26"/>
      <c r="R420" s="28" t="str">
        <f aca="false">IF(A420="","",IF(Q420="取消","取消",IF(T420&lt;&gt;"","要入力",IF(K420="","未送付",IF(P420=0,"入金済",IF(P420&lt;0,"過入金",IF(設定!$C$5&gt;I420,IF(N(M420)&gt;0,"一部入金・超過","期日超過"),IF(N(M420)&gt;0,"一部入金",IF(I420-設定!$C$5&lt;=設定!$C$6,"期日間近","入金待ち")))))))))</f>
        <v/>
      </c>
      <c r="S420" s="29" t="str">
        <f aca="false">IF(OR(R420="期日超過",R420="一部入金・超過"),設定!$C$5-I420,"")</f>
        <v/>
      </c>
      <c r="T420" s="21" t="str">
        <f aca="false">IF(A420="","",TRIM(IF(B420="","請求日 ","")&amp;IF(C420="","取引先 ",IF(D420="コード誤り","取引先コード誤り ",""))&amp;IF(E420="","件名 ","")&amp;IF(F420="","請求額 ","")&amp;IF(AND(F420&lt;&gt;"",I420=""),"入金期日(マスタの支払条件が未登録) ","")&amp;IF(J420="","送付方法 ","")&amp;IF(AND(K420&lt;&gt;"",L420=""),"送付者 ","")&amp;IF(AND(K420&lt;&gt;"",N(K420)&gt;設定!$C$5),"送付日が未来の日付 ","")&amp;IF(AND(K420&lt;&gt;"",N(M420)&gt;0,N(P420)&lt;=0,U420=""),"消込確認者 ","")))</f>
        <v/>
      </c>
      <c r="U420" s="26"/>
      <c r="V420" s="26"/>
    </row>
    <row r="421" customFormat="false" ht="15" hidden="false" customHeight="false" outlineLevel="0" collapsed="false">
      <c r="A421" s="21" t="str">
        <f aca="false">IF(COUNTA(B421,C421,E421,F421)=0,"",設定!$C$4&amp;TEXT(ROW()-4,"00000"))</f>
        <v/>
      </c>
      <c r="B421" s="22"/>
      <c r="C421" s="23"/>
      <c r="D421" s="21" t="str">
        <f aca="false">IF(C421="","",IFERROR(INDEX(取引先マスタ!$B$5:$B$204,MATCH(C421,取引先マスタ!$A$5:$A$204,0)),"コード誤り"))</f>
        <v/>
      </c>
      <c r="E421" s="26"/>
      <c r="F421" s="18"/>
      <c r="G421" s="25" t="str">
        <f aca="false">IF(OR(B421="",C421="",D421="コード誤り"),"",IFERROR(IF(OR(INDEX(取引先マスタ!$E$5:$E$204,MATCH(C421,取引先マスタ!$A$5:$A$204,0))="",INDEX(取引先マスタ!$F$5:$F$204,MATCH(C421,取引先マスタ!$A$5:$A$204,0))=""),"",DATE(YEAR(B421),MONTH(B421)+INDEX(取引先マスタ!$E$5:$E$204,MATCH(C421,取引先マスタ!$A$5:$A$204,0)),MIN(INDEX(取引先マスタ!$F$5:$F$204,MATCH(C421,取引先マスタ!$A$5:$A$204,0)),DAY(EOMONTH(B421,INDEX(取引先マスタ!$E$5:$E$204,MATCH(C421,取引先マスタ!$A$5:$A$204,0))))))),""))</f>
        <v/>
      </c>
      <c r="H421" s="22"/>
      <c r="I421" s="25" t="str">
        <f aca="false">IF(H421&lt;&gt;"",H421,G421)</f>
        <v/>
      </c>
      <c r="J421" s="26"/>
      <c r="K421" s="22"/>
      <c r="L421" s="26"/>
      <c r="M421" s="27" t="str">
        <f aca="false">IF(A421="","",SUMIF(入金明細!$F$5:$F$1004,A421,入金明細!$E$5:$E$1004))</f>
        <v/>
      </c>
      <c r="N421" s="25" t="str">
        <f aca="false">IF(OR(A421="",N(M421)=0),"",SUMPRODUCT(MAX((入金明細!$F$5:$F$1004=A421)*入金明細!$B$5:$B$1004)))</f>
        <v/>
      </c>
      <c r="O421" s="18"/>
      <c r="P421" s="27" t="str">
        <f aca="false">IF(OR(A421="",F421=""),"",F421-N(M421)-N(O421))</f>
        <v/>
      </c>
      <c r="Q421" s="26"/>
      <c r="R421" s="28" t="str">
        <f aca="false">IF(A421="","",IF(Q421="取消","取消",IF(T421&lt;&gt;"","要入力",IF(K421="","未送付",IF(P421=0,"入金済",IF(P421&lt;0,"過入金",IF(設定!$C$5&gt;I421,IF(N(M421)&gt;0,"一部入金・超過","期日超過"),IF(N(M421)&gt;0,"一部入金",IF(I421-設定!$C$5&lt;=設定!$C$6,"期日間近","入金待ち")))))))))</f>
        <v/>
      </c>
      <c r="S421" s="29" t="str">
        <f aca="false">IF(OR(R421="期日超過",R421="一部入金・超過"),設定!$C$5-I421,"")</f>
        <v/>
      </c>
      <c r="T421" s="21" t="str">
        <f aca="false">IF(A421="","",TRIM(IF(B421="","請求日 ","")&amp;IF(C421="","取引先 ",IF(D421="コード誤り","取引先コード誤り ",""))&amp;IF(E421="","件名 ","")&amp;IF(F421="","請求額 ","")&amp;IF(AND(F421&lt;&gt;"",I421=""),"入金期日(マスタの支払条件が未登録) ","")&amp;IF(J421="","送付方法 ","")&amp;IF(AND(K421&lt;&gt;"",L421=""),"送付者 ","")&amp;IF(AND(K421&lt;&gt;"",N(K421)&gt;設定!$C$5),"送付日が未来の日付 ","")&amp;IF(AND(K421&lt;&gt;"",N(M421)&gt;0,N(P421)&lt;=0,U421=""),"消込確認者 ","")))</f>
        <v/>
      </c>
      <c r="U421" s="26"/>
      <c r="V421" s="26"/>
    </row>
    <row r="422" customFormat="false" ht="15" hidden="false" customHeight="false" outlineLevel="0" collapsed="false">
      <c r="A422" s="21" t="str">
        <f aca="false">IF(COUNTA(B422,C422,E422,F422)=0,"",設定!$C$4&amp;TEXT(ROW()-4,"00000"))</f>
        <v/>
      </c>
      <c r="B422" s="22"/>
      <c r="C422" s="23"/>
      <c r="D422" s="21" t="str">
        <f aca="false">IF(C422="","",IFERROR(INDEX(取引先マスタ!$B$5:$B$204,MATCH(C422,取引先マスタ!$A$5:$A$204,0)),"コード誤り"))</f>
        <v/>
      </c>
      <c r="E422" s="26"/>
      <c r="F422" s="18"/>
      <c r="G422" s="25" t="str">
        <f aca="false">IF(OR(B422="",C422="",D422="コード誤り"),"",IFERROR(IF(OR(INDEX(取引先マスタ!$E$5:$E$204,MATCH(C422,取引先マスタ!$A$5:$A$204,0))="",INDEX(取引先マスタ!$F$5:$F$204,MATCH(C422,取引先マスタ!$A$5:$A$204,0))=""),"",DATE(YEAR(B422),MONTH(B422)+INDEX(取引先マスタ!$E$5:$E$204,MATCH(C422,取引先マスタ!$A$5:$A$204,0)),MIN(INDEX(取引先マスタ!$F$5:$F$204,MATCH(C422,取引先マスタ!$A$5:$A$204,0)),DAY(EOMONTH(B422,INDEX(取引先マスタ!$E$5:$E$204,MATCH(C422,取引先マスタ!$A$5:$A$204,0))))))),""))</f>
        <v/>
      </c>
      <c r="H422" s="22"/>
      <c r="I422" s="25" t="str">
        <f aca="false">IF(H422&lt;&gt;"",H422,G422)</f>
        <v/>
      </c>
      <c r="J422" s="26"/>
      <c r="K422" s="22"/>
      <c r="L422" s="26"/>
      <c r="M422" s="27" t="str">
        <f aca="false">IF(A422="","",SUMIF(入金明細!$F$5:$F$1004,A422,入金明細!$E$5:$E$1004))</f>
        <v/>
      </c>
      <c r="N422" s="25" t="str">
        <f aca="false">IF(OR(A422="",N(M422)=0),"",SUMPRODUCT(MAX((入金明細!$F$5:$F$1004=A422)*入金明細!$B$5:$B$1004)))</f>
        <v/>
      </c>
      <c r="O422" s="18"/>
      <c r="P422" s="27" t="str">
        <f aca="false">IF(OR(A422="",F422=""),"",F422-N(M422)-N(O422))</f>
        <v/>
      </c>
      <c r="Q422" s="26"/>
      <c r="R422" s="28" t="str">
        <f aca="false">IF(A422="","",IF(Q422="取消","取消",IF(T422&lt;&gt;"","要入力",IF(K422="","未送付",IF(P422=0,"入金済",IF(P422&lt;0,"過入金",IF(設定!$C$5&gt;I422,IF(N(M422)&gt;0,"一部入金・超過","期日超過"),IF(N(M422)&gt;0,"一部入金",IF(I422-設定!$C$5&lt;=設定!$C$6,"期日間近","入金待ち")))))))))</f>
        <v/>
      </c>
      <c r="S422" s="29" t="str">
        <f aca="false">IF(OR(R422="期日超過",R422="一部入金・超過"),設定!$C$5-I422,"")</f>
        <v/>
      </c>
      <c r="T422" s="21" t="str">
        <f aca="false">IF(A422="","",TRIM(IF(B422="","請求日 ","")&amp;IF(C422="","取引先 ",IF(D422="コード誤り","取引先コード誤り ",""))&amp;IF(E422="","件名 ","")&amp;IF(F422="","請求額 ","")&amp;IF(AND(F422&lt;&gt;"",I422=""),"入金期日(マスタの支払条件が未登録) ","")&amp;IF(J422="","送付方法 ","")&amp;IF(AND(K422&lt;&gt;"",L422=""),"送付者 ","")&amp;IF(AND(K422&lt;&gt;"",N(K422)&gt;設定!$C$5),"送付日が未来の日付 ","")&amp;IF(AND(K422&lt;&gt;"",N(M422)&gt;0,N(P422)&lt;=0,U422=""),"消込確認者 ","")))</f>
        <v/>
      </c>
      <c r="U422" s="26"/>
      <c r="V422" s="26"/>
    </row>
    <row r="423" customFormat="false" ht="15" hidden="false" customHeight="false" outlineLevel="0" collapsed="false">
      <c r="A423" s="21" t="str">
        <f aca="false">IF(COUNTA(B423,C423,E423,F423)=0,"",設定!$C$4&amp;TEXT(ROW()-4,"00000"))</f>
        <v/>
      </c>
      <c r="B423" s="22"/>
      <c r="C423" s="23"/>
      <c r="D423" s="21" t="str">
        <f aca="false">IF(C423="","",IFERROR(INDEX(取引先マスタ!$B$5:$B$204,MATCH(C423,取引先マスタ!$A$5:$A$204,0)),"コード誤り"))</f>
        <v/>
      </c>
      <c r="E423" s="26"/>
      <c r="F423" s="18"/>
      <c r="G423" s="25" t="str">
        <f aca="false">IF(OR(B423="",C423="",D423="コード誤り"),"",IFERROR(IF(OR(INDEX(取引先マスタ!$E$5:$E$204,MATCH(C423,取引先マスタ!$A$5:$A$204,0))="",INDEX(取引先マスタ!$F$5:$F$204,MATCH(C423,取引先マスタ!$A$5:$A$204,0))=""),"",DATE(YEAR(B423),MONTH(B423)+INDEX(取引先マスタ!$E$5:$E$204,MATCH(C423,取引先マスタ!$A$5:$A$204,0)),MIN(INDEX(取引先マスタ!$F$5:$F$204,MATCH(C423,取引先マスタ!$A$5:$A$204,0)),DAY(EOMONTH(B423,INDEX(取引先マスタ!$E$5:$E$204,MATCH(C423,取引先マスタ!$A$5:$A$204,0))))))),""))</f>
        <v/>
      </c>
      <c r="H423" s="22"/>
      <c r="I423" s="25" t="str">
        <f aca="false">IF(H423&lt;&gt;"",H423,G423)</f>
        <v/>
      </c>
      <c r="J423" s="26"/>
      <c r="K423" s="22"/>
      <c r="L423" s="26"/>
      <c r="M423" s="27" t="str">
        <f aca="false">IF(A423="","",SUMIF(入金明細!$F$5:$F$1004,A423,入金明細!$E$5:$E$1004))</f>
        <v/>
      </c>
      <c r="N423" s="25" t="str">
        <f aca="false">IF(OR(A423="",N(M423)=0),"",SUMPRODUCT(MAX((入金明細!$F$5:$F$1004=A423)*入金明細!$B$5:$B$1004)))</f>
        <v/>
      </c>
      <c r="O423" s="18"/>
      <c r="P423" s="27" t="str">
        <f aca="false">IF(OR(A423="",F423=""),"",F423-N(M423)-N(O423))</f>
        <v/>
      </c>
      <c r="Q423" s="26"/>
      <c r="R423" s="28" t="str">
        <f aca="false">IF(A423="","",IF(Q423="取消","取消",IF(T423&lt;&gt;"","要入力",IF(K423="","未送付",IF(P423=0,"入金済",IF(P423&lt;0,"過入金",IF(設定!$C$5&gt;I423,IF(N(M423)&gt;0,"一部入金・超過","期日超過"),IF(N(M423)&gt;0,"一部入金",IF(I423-設定!$C$5&lt;=設定!$C$6,"期日間近","入金待ち")))))))))</f>
        <v/>
      </c>
      <c r="S423" s="29" t="str">
        <f aca="false">IF(OR(R423="期日超過",R423="一部入金・超過"),設定!$C$5-I423,"")</f>
        <v/>
      </c>
      <c r="T423" s="21" t="str">
        <f aca="false">IF(A423="","",TRIM(IF(B423="","請求日 ","")&amp;IF(C423="","取引先 ",IF(D423="コード誤り","取引先コード誤り ",""))&amp;IF(E423="","件名 ","")&amp;IF(F423="","請求額 ","")&amp;IF(AND(F423&lt;&gt;"",I423=""),"入金期日(マスタの支払条件が未登録) ","")&amp;IF(J423="","送付方法 ","")&amp;IF(AND(K423&lt;&gt;"",L423=""),"送付者 ","")&amp;IF(AND(K423&lt;&gt;"",N(K423)&gt;設定!$C$5),"送付日が未来の日付 ","")&amp;IF(AND(K423&lt;&gt;"",N(M423)&gt;0,N(P423)&lt;=0,U423=""),"消込確認者 ","")))</f>
        <v/>
      </c>
      <c r="U423" s="26"/>
      <c r="V423" s="26"/>
    </row>
    <row r="424" customFormat="false" ht="15" hidden="false" customHeight="false" outlineLevel="0" collapsed="false">
      <c r="A424" s="21" t="str">
        <f aca="false">IF(COUNTA(B424,C424,E424,F424)=0,"",設定!$C$4&amp;TEXT(ROW()-4,"00000"))</f>
        <v/>
      </c>
      <c r="B424" s="22"/>
      <c r="C424" s="23"/>
      <c r="D424" s="21" t="str">
        <f aca="false">IF(C424="","",IFERROR(INDEX(取引先マスタ!$B$5:$B$204,MATCH(C424,取引先マスタ!$A$5:$A$204,0)),"コード誤り"))</f>
        <v/>
      </c>
      <c r="E424" s="26"/>
      <c r="F424" s="18"/>
      <c r="G424" s="25" t="str">
        <f aca="false">IF(OR(B424="",C424="",D424="コード誤り"),"",IFERROR(IF(OR(INDEX(取引先マスタ!$E$5:$E$204,MATCH(C424,取引先マスタ!$A$5:$A$204,0))="",INDEX(取引先マスタ!$F$5:$F$204,MATCH(C424,取引先マスタ!$A$5:$A$204,0))=""),"",DATE(YEAR(B424),MONTH(B424)+INDEX(取引先マスタ!$E$5:$E$204,MATCH(C424,取引先マスタ!$A$5:$A$204,0)),MIN(INDEX(取引先マスタ!$F$5:$F$204,MATCH(C424,取引先マスタ!$A$5:$A$204,0)),DAY(EOMONTH(B424,INDEX(取引先マスタ!$E$5:$E$204,MATCH(C424,取引先マスタ!$A$5:$A$204,0))))))),""))</f>
        <v/>
      </c>
      <c r="H424" s="22"/>
      <c r="I424" s="25" t="str">
        <f aca="false">IF(H424&lt;&gt;"",H424,G424)</f>
        <v/>
      </c>
      <c r="J424" s="26"/>
      <c r="K424" s="22"/>
      <c r="L424" s="26"/>
      <c r="M424" s="27" t="str">
        <f aca="false">IF(A424="","",SUMIF(入金明細!$F$5:$F$1004,A424,入金明細!$E$5:$E$1004))</f>
        <v/>
      </c>
      <c r="N424" s="25" t="str">
        <f aca="false">IF(OR(A424="",N(M424)=0),"",SUMPRODUCT(MAX((入金明細!$F$5:$F$1004=A424)*入金明細!$B$5:$B$1004)))</f>
        <v/>
      </c>
      <c r="O424" s="18"/>
      <c r="P424" s="27" t="str">
        <f aca="false">IF(OR(A424="",F424=""),"",F424-N(M424)-N(O424))</f>
        <v/>
      </c>
      <c r="Q424" s="26"/>
      <c r="R424" s="28" t="str">
        <f aca="false">IF(A424="","",IF(Q424="取消","取消",IF(T424&lt;&gt;"","要入力",IF(K424="","未送付",IF(P424=0,"入金済",IF(P424&lt;0,"過入金",IF(設定!$C$5&gt;I424,IF(N(M424)&gt;0,"一部入金・超過","期日超過"),IF(N(M424)&gt;0,"一部入金",IF(I424-設定!$C$5&lt;=設定!$C$6,"期日間近","入金待ち")))))))))</f>
        <v/>
      </c>
      <c r="S424" s="29" t="str">
        <f aca="false">IF(OR(R424="期日超過",R424="一部入金・超過"),設定!$C$5-I424,"")</f>
        <v/>
      </c>
      <c r="T424" s="21" t="str">
        <f aca="false">IF(A424="","",TRIM(IF(B424="","請求日 ","")&amp;IF(C424="","取引先 ",IF(D424="コード誤り","取引先コード誤り ",""))&amp;IF(E424="","件名 ","")&amp;IF(F424="","請求額 ","")&amp;IF(AND(F424&lt;&gt;"",I424=""),"入金期日(マスタの支払条件が未登録) ","")&amp;IF(J424="","送付方法 ","")&amp;IF(AND(K424&lt;&gt;"",L424=""),"送付者 ","")&amp;IF(AND(K424&lt;&gt;"",N(K424)&gt;設定!$C$5),"送付日が未来の日付 ","")&amp;IF(AND(K424&lt;&gt;"",N(M424)&gt;0,N(P424)&lt;=0,U424=""),"消込確認者 ","")))</f>
        <v/>
      </c>
      <c r="U424" s="26"/>
      <c r="V424" s="26"/>
    </row>
    <row r="425" customFormat="false" ht="15" hidden="false" customHeight="false" outlineLevel="0" collapsed="false">
      <c r="A425" s="21" t="str">
        <f aca="false">IF(COUNTA(B425,C425,E425,F425)=0,"",設定!$C$4&amp;TEXT(ROW()-4,"00000"))</f>
        <v/>
      </c>
      <c r="B425" s="22"/>
      <c r="C425" s="23"/>
      <c r="D425" s="21" t="str">
        <f aca="false">IF(C425="","",IFERROR(INDEX(取引先マスタ!$B$5:$B$204,MATCH(C425,取引先マスタ!$A$5:$A$204,0)),"コード誤り"))</f>
        <v/>
      </c>
      <c r="E425" s="26"/>
      <c r="F425" s="18"/>
      <c r="G425" s="25" t="str">
        <f aca="false">IF(OR(B425="",C425="",D425="コード誤り"),"",IFERROR(IF(OR(INDEX(取引先マスタ!$E$5:$E$204,MATCH(C425,取引先マスタ!$A$5:$A$204,0))="",INDEX(取引先マスタ!$F$5:$F$204,MATCH(C425,取引先マスタ!$A$5:$A$204,0))=""),"",DATE(YEAR(B425),MONTH(B425)+INDEX(取引先マスタ!$E$5:$E$204,MATCH(C425,取引先マスタ!$A$5:$A$204,0)),MIN(INDEX(取引先マスタ!$F$5:$F$204,MATCH(C425,取引先マスタ!$A$5:$A$204,0)),DAY(EOMONTH(B425,INDEX(取引先マスタ!$E$5:$E$204,MATCH(C425,取引先マスタ!$A$5:$A$204,0))))))),""))</f>
        <v/>
      </c>
      <c r="H425" s="22"/>
      <c r="I425" s="25" t="str">
        <f aca="false">IF(H425&lt;&gt;"",H425,G425)</f>
        <v/>
      </c>
      <c r="J425" s="26"/>
      <c r="K425" s="22"/>
      <c r="L425" s="26"/>
      <c r="M425" s="27" t="str">
        <f aca="false">IF(A425="","",SUMIF(入金明細!$F$5:$F$1004,A425,入金明細!$E$5:$E$1004))</f>
        <v/>
      </c>
      <c r="N425" s="25" t="str">
        <f aca="false">IF(OR(A425="",N(M425)=0),"",SUMPRODUCT(MAX((入金明細!$F$5:$F$1004=A425)*入金明細!$B$5:$B$1004)))</f>
        <v/>
      </c>
      <c r="O425" s="18"/>
      <c r="P425" s="27" t="str">
        <f aca="false">IF(OR(A425="",F425=""),"",F425-N(M425)-N(O425))</f>
        <v/>
      </c>
      <c r="Q425" s="26"/>
      <c r="R425" s="28" t="str">
        <f aca="false">IF(A425="","",IF(Q425="取消","取消",IF(T425&lt;&gt;"","要入力",IF(K425="","未送付",IF(P425=0,"入金済",IF(P425&lt;0,"過入金",IF(設定!$C$5&gt;I425,IF(N(M425)&gt;0,"一部入金・超過","期日超過"),IF(N(M425)&gt;0,"一部入金",IF(I425-設定!$C$5&lt;=設定!$C$6,"期日間近","入金待ち")))))))))</f>
        <v/>
      </c>
      <c r="S425" s="29" t="str">
        <f aca="false">IF(OR(R425="期日超過",R425="一部入金・超過"),設定!$C$5-I425,"")</f>
        <v/>
      </c>
      <c r="T425" s="21" t="str">
        <f aca="false">IF(A425="","",TRIM(IF(B425="","請求日 ","")&amp;IF(C425="","取引先 ",IF(D425="コード誤り","取引先コード誤り ",""))&amp;IF(E425="","件名 ","")&amp;IF(F425="","請求額 ","")&amp;IF(AND(F425&lt;&gt;"",I425=""),"入金期日(マスタの支払条件が未登録) ","")&amp;IF(J425="","送付方法 ","")&amp;IF(AND(K425&lt;&gt;"",L425=""),"送付者 ","")&amp;IF(AND(K425&lt;&gt;"",N(K425)&gt;設定!$C$5),"送付日が未来の日付 ","")&amp;IF(AND(K425&lt;&gt;"",N(M425)&gt;0,N(P425)&lt;=0,U425=""),"消込確認者 ","")))</f>
        <v/>
      </c>
      <c r="U425" s="26"/>
      <c r="V425" s="26"/>
    </row>
    <row r="426" customFormat="false" ht="15" hidden="false" customHeight="false" outlineLevel="0" collapsed="false">
      <c r="A426" s="21" t="str">
        <f aca="false">IF(COUNTA(B426,C426,E426,F426)=0,"",設定!$C$4&amp;TEXT(ROW()-4,"00000"))</f>
        <v/>
      </c>
      <c r="B426" s="22"/>
      <c r="C426" s="23"/>
      <c r="D426" s="21" t="str">
        <f aca="false">IF(C426="","",IFERROR(INDEX(取引先マスタ!$B$5:$B$204,MATCH(C426,取引先マスタ!$A$5:$A$204,0)),"コード誤り"))</f>
        <v/>
      </c>
      <c r="E426" s="26"/>
      <c r="F426" s="18"/>
      <c r="G426" s="25" t="str">
        <f aca="false">IF(OR(B426="",C426="",D426="コード誤り"),"",IFERROR(IF(OR(INDEX(取引先マスタ!$E$5:$E$204,MATCH(C426,取引先マスタ!$A$5:$A$204,0))="",INDEX(取引先マスタ!$F$5:$F$204,MATCH(C426,取引先マスタ!$A$5:$A$204,0))=""),"",DATE(YEAR(B426),MONTH(B426)+INDEX(取引先マスタ!$E$5:$E$204,MATCH(C426,取引先マスタ!$A$5:$A$204,0)),MIN(INDEX(取引先マスタ!$F$5:$F$204,MATCH(C426,取引先マスタ!$A$5:$A$204,0)),DAY(EOMONTH(B426,INDEX(取引先マスタ!$E$5:$E$204,MATCH(C426,取引先マスタ!$A$5:$A$204,0))))))),""))</f>
        <v/>
      </c>
      <c r="H426" s="22"/>
      <c r="I426" s="25" t="str">
        <f aca="false">IF(H426&lt;&gt;"",H426,G426)</f>
        <v/>
      </c>
      <c r="J426" s="26"/>
      <c r="K426" s="22"/>
      <c r="L426" s="26"/>
      <c r="M426" s="27" t="str">
        <f aca="false">IF(A426="","",SUMIF(入金明細!$F$5:$F$1004,A426,入金明細!$E$5:$E$1004))</f>
        <v/>
      </c>
      <c r="N426" s="25" t="str">
        <f aca="false">IF(OR(A426="",N(M426)=0),"",SUMPRODUCT(MAX((入金明細!$F$5:$F$1004=A426)*入金明細!$B$5:$B$1004)))</f>
        <v/>
      </c>
      <c r="O426" s="18"/>
      <c r="P426" s="27" t="str">
        <f aca="false">IF(OR(A426="",F426=""),"",F426-N(M426)-N(O426))</f>
        <v/>
      </c>
      <c r="Q426" s="26"/>
      <c r="R426" s="28" t="str">
        <f aca="false">IF(A426="","",IF(Q426="取消","取消",IF(T426&lt;&gt;"","要入力",IF(K426="","未送付",IF(P426=0,"入金済",IF(P426&lt;0,"過入金",IF(設定!$C$5&gt;I426,IF(N(M426)&gt;0,"一部入金・超過","期日超過"),IF(N(M426)&gt;0,"一部入金",IF(I426-設定!$C$5&lt;=設定!$C$6,"期日間近","入金待ち")))))))))</f>
        <v/>
      </c>
      <c r="S426" s="29" t="str">
        <f aca="false">IF(OR(R426="期日超過",R426="一部入金・超過"),設定!$C$5-I426,"")</f>
        <v/>
      </c>
      <c r="T426" s="21" t="str">
        <f aca="false">IF(A426="","",TRIM(IF(B426="","請求日 ","")&amp;IF(C426="","取引先 ",IF(D426="コード誤り","取引先コード誤り ",""))&amp;IF(E426="","件名 ","")&amp;IF(F426="","請求額 ","")&amp;IF(AND(F426&lt;&gt;"",I426=""),"入金期日(マスタの支払条件が未登録) ","")&amp;IF(J426="","送付方法 ","")&amp;IF(AND(K426&lt;&gt;"",L426=""),"送付者 ","")&amp;IF(AND(K426&lt;&gt;"",N(K426)&gt;設定!$C$5),"送付日が未来の日付 ","")&amp;IF(AND(K426&lt;&gt;"",N(M426)&gt;0,N(P426)&lt;=0,U426=""),"消込確認者 ","")))</f>
        <v/>
      </c>
      <c r="U426" s="26"/>
      <c r="V426" s="26"/>
    </row>
    <row r="427" customFormat="false" ht="15" hidden="false" customHeight="false" outlineLevel="0" collapsed="false">
      <c r="A427" s="21" t="str">
        <f aca="false">IF(COUNTA(B427,C427,E427,F427)=0,"",設定!$C$4&amp;TEXT(ROW()-4,"00000"))</f>
        <v/>
      </c>
      <c r="B427" s="22"/>
      <c r="C427" s="23"/>
      <c r="D427" s="21" t="str">
        <f aca="false">IF(C427="","",IFERROR(INDEX(取引先マスタ!$B$5:$B$204,MATCH(C427,取引先マスタ!$A$5:$A$204,0)),"コード誤り"))</f>
        <v/>
      </c>
      <c r="E427" s="26"/>
      <c r="F427" s="18"/>
      <c r="G427" s="25" t="str">
        <f aca="false">IF(OR(B427="",C427="",D427="コード誤り"),"",IFERROR(IF(OR(INDEX(取引先マスタ!$E$5:$E$204,MATCH(C427,取引先マスタ!$A$5:$A$204,0))="",INDEX(取引先マスタ!$F$5:$F$204,MATCH(C427,取引先マスタ!$A$5:$A$204,0))=""),"",DATE(YEAR(B427),MONTH(B427)+INDEX(取引先マスタ!$E$5:$E$204,MATCH(C427,取引先マスタ!$A$5:$A$204,0)),MIN(INDEX(取引先マスタ!$F$5:$F$204,MATCH(C427,取引先マスタ!$A$5:$A$204,0)),DAY(EOMONTH(B427,INDEX(取引先マスタ!$E$5:$E$204,MATCH(C427,取引先マスタ!$A$5:$A$204,0))))))),""))</f>
        <v/>
      </c>
      <c r="H427" s="22"/>
      <c r="I427" s="25" t="str">
        <f aca="false">IF(H427&lt;&gt;"",H427,G427)</f>
        <v/>
      </c>
      <c r="J427" s="26"/>
      <c r="K427" s="22"/>
      <c r="L427" s="26"/>
      <c r="M427" s="27" t="str">
        <f aca="false">IF(A427="","",SUMIF(入金明細!$F$5:$F$1004,A427,入金明細!$E$5:$E$1004))</f>
        <v/>
      </c>
      <c r="N427" s="25" t="str">
        <f aca="false">IF(OR(A427="",N(M427)=0),"",SUMPRODUCT(MAX((入金明細!$F$5:$F$1004=A427)*入金明細!$B$5:$B$1004)))</f>
        <v/>
      </c>
      <c r="O427" s="18"/>
      <c r="P427" s="27" t="str">
        <f aca="false">IF(OR(A427="",F427=""),"",F427-N(M427)-N(O427))</f>
        <v/>
      </c>
      <c r="Q427" s="26"/>
      <c r="R427" s="28" t="str">
        <f aca="false">IF(A427="","",IF(Q427="取消","取消",IF(T427&lt;&gt;"","要入力",IF(K427="","未送付",IF(P427=0,"入金済",IF(P427&lt;0,"過入金",IF(設定!$C$5&gt;I427,IF(N(M427)&gt;0,"一部入金・超過","期日超過"),IF(N(M427)&gt;0,"一部入金",IF(I427-設定!$C$5&lt;=設定!$C$6,"期日間近","入金待ち")))))))))</f>
        <v/>
      </c>
      <c r="S427" s="29" t="str">
        <f aca="false">IF(OR(R427="期日超過",R427="一部入金・超過"),設定!$C$5-I427,"")</f>
        <v/>
      </c>
      <c r="T427" s="21" t="str">
        <f aca="false">IF(A427="","",TRIM(IF(B427="","請求日 ","")&amp;IF(C427="","取引先 ",IF(D427="コード誤り","取引先コード誤り ",""))&amp;IF(E427="","件名 ","")&amp;IF(F427="","請求額 ","")&amp;IF(AND(F427&lt;&gt;"",I427=""),"入金期日(マスタの支払条件が未登録) ","")&amp;IF(J427="","送付方法 ","")&amp;IF(AND(K427&lt;&gt;"",L427=""),"送付者 ","")&amp;IF(AND(K427&lt;&gt;"",N(K427)&gt;設定!$C$5),"送付日が未来の日付 ","")&amp;IF(AND(K427&lt;&gt;"",N(M427)&gt;0,N(P427)&lt;=0,U427=""),"消込確認者 ","")))</f>
        <v/>
      </c>
      <c r="U427" s="26"/>
      <c r="V427" s="26"/>
    </row>
    <row r="428" customFormat="false" ht="15" hidden="false" customHeight="false" outlineLevel="0" collapsed="false">
      <c r="A428" s="21" t="str">
        <f aca="false">IF(COUNTA(B428,C428,E428,F428)=0,"",設定!$C$4&amp;TEXT(ROW()-4,"00000"))</f>
        <v/>
      </c>
      <c r="B428" s="22"/>
      <c r="C428" s="23"/>
      <c r="D428" s="21" t="str">
        <f aca="false">IF(C428="","",IFERROR(INDEX(取引先マスタ!$B$5:$B$204,MATCH(C428,取引先マスタ!$A$5:$A$204,0)),"コード誤り"))</f>
        <v/>
      </c>
      <c r="E428" s="26"/>
      <c r="F428" s="18"/>
      <c r="G428" s="25" t="str">
        <f aca="false">IF(OR(B428="",C428="",D428="コード誤り"),"",IFERROR(IF(OR(INDEX(取引先マスタ!$E$5:$E$204,MATCH(C428,取引先マスタ!$A$5:$A$204,0))="",INDEX(取引先マスタ!$F$5:$F$204,MATCH(C428,取引先マスタ!$A$5:$A$204,0))=""),"",DATE(YEAR(B428),MONTH(B428)+INDEX(取引先マスタ!$E$5:$E$204,MATCH(C428,取引先マスタ!$A$5:$A$204,0)),MIN(INDEX(取引先マスタ!$F$5:$F$204,MATCH(C428,取引先マスタ!$A$5:$A$204,0)),DAY(EOMONTH(B428,INDEX(取引先マスタ!$E$5:$E$204,MATCH(C428,取引先マスタ!$A$5:$A$204,0))))))),""))</f>
        <v/>
      </c>
      <c r="H428" s="22"/>
      <c r="I428" s="25" t="str">
        <f aca="false">IF(H428&lt;&gt;"",H428,G428)</f>
        <v/>
      </c>
      <c r="J428" s="26"/>
      <c r="K428" s="22"/>
      <c r="L428" s="26"/>
      <c r="M428" s="27" t="str">
        <f aca="false">IF(A428="","",SUMIF(入金明細!$F$5:$F$1004,A428,入金明細!$E$5:$E$1004))</f>
        <v/>
      </c>
      <c r="N428" s="25" t="str">
        <f aca="false">IF(OR(A428="",N(M428)=0),"",SUMPRODUCT(MAX((入金明細!$F$5:$F$1004=A428)*入金明細!$B$5:$B$1004)))</f>
        <v/>
      </c>
      <c r="O428" s="18"/>
      <c r="P428" s="27" t="str">
        <f aca="false">IF(OR(A428="",F428=""),"",F428-N(M428)-N(O428))</f>
        <v/>
      </c>
      <c r="Q428" s="26"/>
      <c r="R428" s="28" t="str">
        <f aca="false">IF(A428="","",IF(Q428="取消","取消",IF(T428&lt;&gt;"","要入力",IF(K428="","未送付",IF(P428=0,"入金済",IF(P428&lt;0,"過入金",IF(設定!$C$5&gt;I428,IF(N(M428)&gt;0,"一部入金・超過","期日超過"),IF(N(M428)&gt;0,"一部入金",IF(I428-設定!$C$5&lt;=設定!$C$6,"期日間近","入金待ち")))))))))</f>
        <v/>
      </c>
      <c r="S428" s="29" t="str">
        <f aca="false">IF(OR(R428="期日超過",R428="一部入金・超過"),設定!$C$5-I428,"")</f>
        <v/>
      </c>
      <c r="T428" s="21" t="str">
        <f aca="false">IF(A428="","",TRIM(IF(B428="","請求日 ","")&amp;IF(C428="","取引先 ",IF(D428="コード誤り","取引先コード誤り ",""))&amp;IF(E428="","件名 ","")&amp;IF(F428="","請求額 ","")&amp;IF(AND(F428&lt;&gt;"",I428=""),"入金期日(マスタの支払条件が未登録) ","")&amp;IF(J428="","送付方法 ","")&amp;IF(AND(K428&lt;&gt;"",L428=""),"送付者 ","")&amp;IF(AND(K428&lt;&gt;"",N(K428)&gt;設定!$C$5),"送付日が未来の日付 ","")&amp;IF(AND(K428&lt;&gt;"",N(M428)&gt;0,N(P428)&lt;=0,U428=""),"消込確認者 ","")))</f>
        <v/>
      </c>
      <c r="U428" s="26"/>
      <c r="V428" s="26"/>
    </row>
    <row r="429" customFormat="false" ht="15" hidden="false" customHeight="false" outlineLevel="0" collapsed="false">
      <c r="A429" s="21" t="str">
        <f aca="false">IF(COUNTA(B429,C429,E429,F429)=0,"",設定!$C$4&amp;TEXT(ROW()-4,"00000"))</f>
        <v/>
      </c>
      <c r="B429" s="22"/>
      <c r="C429" s="23"/>
      <c r="D429" s="21" t="str">
        <f aca="false">IF(C429="","",IFERROR(INDEX(取引先マスタ!$B$5:$B$204,MATCH(C429,取引先マスタ!$A$5:$A$204,0)),"コード誤り"))</f>
        <v/>
      </c>
      <c r="E429" s="26"/>
      <c r="F429" s="18"/>
      <c r="G429" s="25" t="str">
        <f aca="false">IF(OR(B429="",C429="",D429="コード誤り"),"",IFERROR(IF(OR(INDEX(取引先マスタ!$E$5:$E$204,MATCH(C429,取引先マスタ!$A$5:$A$204,0))="",INDEX(取引先マスタ!$F$5:$F$204,MATCH(C429,取引先マスタ!$A$5:$A$204,0))=""),"",DATE(YEAR(B429),MONTH(B429)+INDEX(取引先マスタ!$E$5:$E$204,MATCH(C429,取引先マスタ!$A$5:$A$204,0)),MIN(INDEX(取引先マスタ!$F$5:$F$204,MATCH(C429,取引先マスタ!$A$5:$A$204,0)),DAY(EOMONTH(B429,INDEX(取引先マスタ!$E$5:$E$204,MATCH(C429,取引先マスタ!$A$5:$A$204,0))))))),""))</f>
        <v/>
      </c>
      <c r="H429" s="22"/>
      <c r="I429" s="25" t="str">
        <f aca="false">IF(H429&lt;&gt;"",H429,G429)</f>
        <v/>
      </c>
      <c r="J429" s="26"/>
      <c r="K429" s="22"/>
      <c r="L429" s="26"/>
      <c r="M429" s="27" t="str">
        <f aca="false">IF(A429="","",SUMIF(入金明細!$F$5:$F$1004,A429,入金明細!$E$5:$E$1004))</f>
        <v/>
      </c>
      <c r="N429" s="25" t="str">
        <f aca="false">IF(OR(A429="",N(M429)=0),"",SUMPRODUCT(MAX((入金明細!$F$5:$F$1004=A429)*入金明細!$B$5:$B$1004)))</f>
        <v/>
      </c>
      <c r="O429" s="18"/>
      <c r="P429" s="27" t="str">
        <f aca="false">IF(OR(A429="",F429=""),"",F429-N(M429)-N(O429))</f>
        <v/>
      </c>
      <c r="Q429" s="26"/>
      <c r="R429" s="28" t="str">
        <f aca="false">IF(A429="","",IF(Q429="取消","取消",IF(T429&lt;&gt;"","要入力",IF(K429="","未送付",IF(P429=0,"入金済",IF(P429&lt;0,"過入金",IF(設定!$C$5&gt;I429,IF(N(M429)&gt;0,"一部入金・超過","期日超過"),IF(N(M429)&gt;0,"一部入金",IF(I429-設定!$C$5&lt;=設定!$C$6,"期日間近","入金待ち")))))))))</f>
        <v/>
      </c>
      <c r="S429" s="29" t="str">
        <f aca="false">IF(OR(R429="期日超過",R429="一部入金・超過"),設定!$C$5-I429,"")</f>
        <v/>
      </c>
      <c r="T429" s="21" t="str">
        <f aca="false">IF(A429="","",TRIM(IF(B429="","請求日 ","")&amp;IF(C429="","取引先 ",IF(D429="コード誤り","取引先コード誤り ",""))&amp;IF(E429="","件名 ","")&amp;IF(F429="","請求額 ","")&amp;IF(AND(F429&lt;&gt;"",I429=""),"入金期日(マスタの支払条件が未登録) ","")&amp;IF(J429="","送付方法 ","")&amp;IF(AND(K429&lt;&gt;"",L429=""),"送付者 ","")&amp;IF(AND(K429&lt;&gt;"",N(K429)&gt;設定!$C$5),"送付日が未来の日付 ","")&amp;IF(AND(K429&lt;&gt;"",N(M429)&gt;0,N(P429)&lt;=0,U429=""),"消込確認者 ","")))</f>
        <v/>
      </c>
      <c r="U429" s="26"/>
      <c r="V429" s="26"/>
    </row>
    <row r="430" customFormat="false" ht="15" hidden="false" customHeight="false" outlineLevel="0" collapsed="false">
      <c r="A430" s="21" t="str">
        <f aca="false">IF(COUNTA(B430,C430,E430,F430)=0,"",設定!$C$4&amp;TEXT(ROW()-4,"00000"))</f>
        <v/>
      </c>
      <c r="B430" s="22"/>
      <c r="C430" s="23"/>
      <c r="D430" s="21" t="str">
        <f aca="false">IF(C430="","",IFERROR(INDEX(取引先マスタ!$B$5:$B$204,MATCH(C430,取引先マスタ!$A$5:$A$204,0)),"コード誤り"))</f>
        <v/>
      </c>
      <c r="E430" s="26"/>
      <c r="F430" s="18"/>
      <c r="G430" s="25" t="str">
        <f aca="false">IF(OR(B430="",C430="",D430="コード誤り"),"",IFERROR(IF(OR(INDEX(取引先マスタ!$E$5:$E$204,MATCH(C430,取引先マスタ!$A$5:$A$204,0))="",INDEX(取引先マスタ!$F$5:$F$204,MATCH(C430,取引先マスタ!$A$5:$A$204,0))=""),"",DATE(YEAR(B430),MONTH(B430)+INDEX(取引先マスタ!$E$5:$E$204,MATCH(C430,取引先マスタ!$A$5:$A$204,0)),MIN(INDEX(取引先マスタ!$F$5:$F$204,MATCH(C430,取引先マスタ!$A$5:$A$204,0)),DAY(EOMONTH(B430,INDEX(取引先マスタ!$E$5:$E$204,MATCH(C430,取引先マスタ!$A$5:$A$204,0))))))),""))</f>
        <v/>
      </c>
      <c r="H430" s="22"/>
      <c r="I430" s="25" t="str">
        <f aca="false">IF(H430&lt;&gt;"",H430,G430)</f>
        <v/>
      </c>
      <c r="J430" s="26"/>
      <c r="K430" s="22"/>
      <c r="L430" s="26"/>
      <c r="M430" s="27" t="str">
        <f aca="false">IF(A430="","",SUMIF(入金明細!$F$5:$F$1004,A430,入金明細!$E$5:$E$1004))</f>
        <v/>
      </c>
      <c r="N430" s="25" t="str">
        <f aca="false">IF(OR(A430="",N(M430)=0),"",SUMPRODUCT(MAX((入金明細!$F$5:$F$1004=A430)*入金明細!$B$5:$B$1004)))</f>
        <v/>
      </c>
      <c r="O430" s="18"/>
      <c r="P430" s="27" t="str">
        <f aca="false">IF(OR(A430="",F430=""),"",F430-N(M430)-N(O430))</f>
        <v/>
      </c>
      <c r="Q430" s="26"/>
      <c r="R430" s="28" t="str">
        <f aca="false">IF(A430="","",IF(Q430="取消","取消",IF(T430&lt;&gt;"","要入力",IF(K430="","未送付",IF(P430=0,"入金済",IF(P430&lt;0,"過入金",IF(設定!$C$5&gt;I430,IF(N(M430)&gt;0,"一部入金・超過","期日超過"),IF(N(M430)&gt;0,"一部入金",IF(I430-設定!$C$5&lt;=設定!$C$6,"期日間近","入金待ち")))))))))</f>
        <v/>
      </c>
      <c r="S430" s="29" t="str">
        <f aca="false">IF(OR(R430="期日超過",R430="一部入金・超過"),設定!$C$5-I430,"")</f>
        <v/>
      </c>
      <c r="T430" s="21" t="str">
        <f aca="false">IF(A430="","",TRIM(IF(B430="","請求日 ","")&amp;IF(C430="","取引先 ",IF(D430="コード誤り","取引先コード誤り ",""))&amp;IF(E430="","件名 ","")&amp;IF(F430="","請求額 ","")&amp;IF(AND(F430&lt;&gt;"",I430=""),"入金期日(マスタの支払条件が未登録) ","")&amp;IF(J430="","送付方法 ","")&amp;IF(AND(K430&lt;&gt;"",L430=""),"送付者 ","")&amp;IF(AND(K430&lt;&gt;"",N(K430)&gt;設定!$C$5),"送付日が未来の日付 ","")&amp;IF(AND(K430&lt;&gt;"",N(M430)&gt;0,N(P430)&lt;=0,U430=""),"消込確認者 ","")))</f>
        <v/>
      </c>
      <c r="U430" s="26"/>
      <c r="V430" s="26"/>
    </row>
    <row r="431" customFormat="false" ht="15" hidden="false" customHeight="false" outlineLevel="0" collapsed="false">
      <c r="A431" s="21" t="str">
        <f aca="false">IF(COUNTA(B431,C431,E431,F431)=0,"",設定!$C$4&amp;TEXT(ROW()-4,"00000"))</f>
        <v/>
      </c>
      <c r="B431" s="22"/>
      <c r="C431" s="23"/>
      <c r="D431" s="21" t="str">
        <f aca="false">IF(C431="","",IFERROR(INDEX(取引先マスタ!$B$5:$B$204,MATCH(C431,取引先マスタ!$A$5:$A$204,0)),"コード誤り"))</f>
        <v/>
      </c>
      <c r="E431" s="26"/>
      <c r="F431" s="18"/>
      <c r="G431" s="25" t="str">
        <f aca="false">IF(OR(B431="",C431="",D431="コード誤り"),"",IFERROR(IF(OR(INDEX(取引先マスタ!$E$5:$E$204,MATCH(C431,取引先マスタ!$A$5:$A$204,0))="",INDEX(取引先マスタ!$F$5:$F$204,MATCH(C431,取引先マスタ!$A$5:$A$204,0))=""),"",DATE(YEAR(B431),MONTH(B431)+INDEX(取引先マスタ!$E$5:$E$204,MATCH(C431,取引先マスタ!$A$5:$A$204,0)),MIN(INDEX(取引先マスタ!$F$5:$F$204,MATCH(C431,取引先マスタ!$A$5:$A$204,0)),DAY(EOMONTH(B431,INDEX(取引先マスタ!$E$5:$E$204,MATCH(C431,取引先マスタ!$A$5:$A$204,0))))))),""))</f>
        <v/>
      </c>
      <c r="H431" s="22"/>
      <c r="I431" s="25" t="str">
        <f aca="false">IF(H431&lt;&gt;"",H431,G431)</f>
        <v/>
      </c>
      <c r="J431" s="26"/>
      <c r="K431" s="22"/>
      <c r="L431" s="26"/>
      <c r="M431" s="27" t="str">
        <f aca="false">IF(A431="","",SUMIF(入金明細!$F$5:$F$1004,A431,入金明細!$E$5:$E$1004))</f>
        <v/>
      </c>
      <c r="N431" s="25" t="str">
        <f aca="false">IF(OR(A431="",N(M431)=0),"",SUMPRODUCT(MAX((入金明細!$F$5:$F$1004=A431)*入金明細!$B$5:$B$1004)))</f>
        <v/>
      </c>
      <c r="O431" s="18"/>
      <c r="P431" s="27" t="str">
        <f aca="false">IF(OR(A431="",F431=""),"",F431-N(M431)-N(O431))</f>
        <v/>
      </c>
      <c r="Q431" s="26"/>
      <c r="R431" s="28" t="str">
        <f aca="false">IF(A431="","",IF(Q431="取消","取消",IF(T431&lt;&gt;"","要入力",IF(K431="","未送付",IF(P431=0,"入金済",IF(P431&lt;0,"過入金",IF(設定!$C$5&gt;I431,IF(N(M431)&gt;0,"一部入金・超過","期日超過"),IF(N(M431)&gt;0,"一部入金",IF(I431-設定!$C$5&lt;=設定!$C$6,"期日間近","入金待ち")))))))))</f>
        <v/>
      </c>
      <c r="S431" s="29" t="str">
        <f aca="false">IF(OR(R431="期日超過",R431="一部入金・超過"),設定!$C$5-I431,"")</f>
        <v/>
      </c>
      <c r="T431" s="21" t="str">
        <f aca="false">IF(A431="","",TRIM(IF(B431="","請求日 ","")&amp;IF(C431="","取引先 ",IF(D431="コード誤り","取引先コード誤り ",""))&amp;IF(E431="","件名 ","")&amp;IF(F431="","請求額 ","")&amp;IF(AND(F431&lt;&gt;"",I431=""),"入金期日(マスタの支払条件が未登録) ","")&amp;IF(J431="","送付方法 ","")&amp;IF(AND(K431&lt;&gt;"",L431=""),"送付者 ","")&amp;IF(AND(K431&lt;&gt;"",N(K431)&gt;設定!$C$5),"送付日が未来の日付 ","")&amp;IF(AND(K431&lt;&gt;"",N(M431)&gt;0,N(P431)&lt;=0,U431=""),"消込確認者 ","")))</f>
        <v/>
      </c>
      <c r="U431" s="26"/>
      <c r="V431" s="26"/>
    </row>
    <row r="432" customFormat="false" ht="15" hidden="false" customHeight="false" outlineLevel="0" collapsed="false">
      <c r="A432" s="21" t="str">
        <f aca="false">IF(COUNTA(B432,C432,E432,F432)=0,"",設定!$C$4&amp;TEXT(ROW()-4,"00000"))</f>
        <v/>
      </c>
      <c r="B432" s="22"/>
      <c r="C432" s="23"/>
      <c r="D432" s="21" t="str">
        <f aca="false">IF(C432="","",IFERROR(INDEX(取引先マスタ!$B$5:$B$204,MATCH(C432,取引先マスタ!$A$5:$A$204,0)),"コード誤り"))</f>
        <v/>
      </c>
      <c r="E432" s="26"/>
      <c r="F432" s="18"/>
      <c r="G432" s="25" t="str">
        <f aca="false">IF(OR(B432="",C432="",D432="コード誤り"),"",IFERROR(IF(OR(INDEX(取引先マスタ!$E$5:$E$204,MATCH(C432,取引先マスタ!$A$5:$A$204,0))="",INDEX(取引先マスタ!$F$5:$F$204,MATCH(C432,取引先マスタ!$A$5:$A$204,0))=""),"",DATE(YEAR(B432),MONTH(B432)+INDEX(取引先マスタ!$E$5:$E$204,MATCH(C432,取引先マスタ!$A$5:$A$204,0)),MIN(INDEX(取引先マスタ!$F$5:$F$204,MATCH(C432,取引先マスタ!$A$5:$A$204,0)),DAY(EOMONTH(B432,INDEX(取引先マスタ!$E$5:$E$204,MATCH(C432,取引先マスタ!$A$5:$A$204,0))))))),""))</f>
        <v/>
      </c>
      <c r="H432" s="22"/>
      <c r="I432" s="25" t="str">
        <f aca="false">IF(H432&lt;&gt;"",H432,G432)</f>
        <v/>
      </c>
      <c r="J432" s="26"/>
      <c r="K432" s="22"/>
      <c r="L432" s="26"/>
      <c r="M432" s="27" t="str">
        <f aca="false">IF(A432="","",SUMIF(入金明細!$F$5:$F$1004,A432,入金明細!$E$5:$E$1004))</f>
        <v/>
      </c>
      <c r="N432" s="25" t="str">
        <f aca="false">IF(OR(A432="",N(M432)=0),"",SUMPRODUCT(MAX((入金明細!$F$5:$F$1004=A432)*入金明細!$B$5:$B$1004)))</f>
        <v/>
      </c>
      <c r="O432" s="18"/>
      <c r="P432" s="27" t="str">
        <f aca="false">IF(OR(A432="",F432=""),"",F432-N(M432)-N(O432))</f>
        <v/>
      </c>
      <c r="Q432" s="26"/>
      <c r="R432" s="28" t="str">
        <f aca="false">IF(A432="","",IF(Q432="取消","取消",IF(T432&lt;&gt;"","要入力",IF(K432="","未送付",IF(P432=0,"入金済",IF(P432&lt;0,"過入金",IF(設定!$C$5&gt;I432,IF(N(M432)&gt;0,"一部入金・超過","期日超過"),IF(N(M432)&gt;0,"一部入金",IF(I432-設定!$C$5&lt;=設定!$C$6,"期日間近","入金待ち")))))))))</f>
        <v/>
      </c>
      <c r="S432" s="29" t="str">
        <f aca="false">IF(OR(R432="期日超過",R432="一部入金・超過"),設定!$C$5-I432,"")</f>
        <v/>
      </c>
      <c r="T432" s="21" t="str">
        <f aca="false">IF(A432="","",TRIM(IF(B432="","請求日 ","")&amp;IF(C432="","取引先 ",IF(D432="コード誤り","取引先コード誤り ",""))&amp;IF(E432="","件名 ","")&amp;IF(F432="","請求額 ","")&amp;IF(AND(F432&lt;&gt;"",I432=""),"入金期日(マスタの支払条件が未登録) ","")&amp;IF(J432="","送付方法 ","")&amp;IF(AND(K432&lt;&gt;"",L432=""),"送付者 ","")&amp;IF(AND(K432&lt;&gt;"",N(K432)&gt;設定!$C$5),"送付日が未来の日付 ","")&amp;IF(AND(K432&lt;&gt;"",N(M432)&gt;0,N(P432)&lt;=0,U432=""),"消込確認者 ","")))</f>
        <v/>
      </c>
      <c r="U432" s="26"/>
      <c r="V432" s="26"/>
    </row>
    <row r="433" customFormat="false" ht="15" hidden="false" customHeight="false" outlineLevel="0" collapsed="false">
      <c r="A433" s="21" t="str">
        <f aca="false">IF(COUNTA(B433,C433,E433,F433)=0,"",設定!$C$4&amp;TEXT(ROW()-4,"00000"))</f>
        <v/>
      </c>
      <c r="B433" s="22"/>
      <c r="C433" s="23"/>
      <c r="D433" s="21" t="str">
        <f aca="false">IF(C433="","",IFERROR(INDEX(取引先マスタ!$B$5:$B$204,MATCH(C433,取引先マスタ!$A$5:$A$204,0)),"コード誤り"))</f>
        <v/>
      </c>
      <c r="E433" s="26"/>
      <c r="F433" s="18"/>
      <c r="G433" s="25" t="str">
        <f aca="false">IF(OR(B433="",C433="",D433="コード誤り"),"",IFERROR(IF(OR(INDEX(取引先マスタ!$E$5:$E$204,MATCH(C433,取引先マスタ!$A$5:$A$204,0))="",INDEX(取引先マスタ!$F$5:$F$204,MATCH(C433,取引先マスタ!$A$5:$A$204,0))=""),"",DATE(YEAR(B433),MONTH(B433)+INDEX(取引先マスタ!$E$5:$E$204,MATCH(C433,取引先マスタ!$A$5:$A$204,0)),MIN(INDEX(取引先マスタ!$F$5:$F$204,MATCH(C433,取引先マスタ!$A$5:$A$204,0)),DAY(EOMONTH(B433,INDEX(取引先マスタ!$E$5:$E$204,MATCH(C433,取引先マスタ!$A$5:$A$204,0))))))),""))</f>
        <v/>
      </c>
      <c r="H433" s="22"/>
      <c r="I433" s="25" t="str">
        <f aca="false">IF(H433&lt;&gt;"",H433,G433)</f>
        <v/>
      </c>
      <c r="J433" s="26"/>
      <c r="K433" s="22"/>
      <c r="L433" s="26"/>
      <c r="M433" s="27" t="str">
        <f aca="false">IF(A433="","",SUMIF(入金明細!$F$5:$F$1004,A433,入金明細!$E$5:$E$1004))</f>
        <v/>
      </c>
      <c r="N433" s="25" t="str">
        <f aca="false">IF(OR(A433="",N(M433)=0),"",SUMPRODUCT(MAX((入金明細!$F$5:$F$1004=A433)*入金明細!$B$5:$B$1004)))</f>
        <v/>
      </c>
      <c r="O433" s="18"/>
      <c r="P433" s="27" t="str">
        <f aca="false">IF(OR(A433="",F433=""),"",F433-N(M433)-N(O433))</f>
        <v/>
      </c>
      <c r="Q433" s="26"/>
      <c r="R433" s="28" t="str">
        <f aca="false">IF(A433="","",IF(Q433="取消","取消",IF(T433&lt;&gt;"","要入力",IF(K433="","未送付",IF(P433=0,"入金済",IF(P433&lt;0,"過入金",IF(設定!$C$5&gt;I433,IF(N(M433)&gt;0,"一部入金・超過","期日超過"),IF(N(M433)&gt;0,"一部入金",IF(I433-設定!$C$5&lt;=設定!$C$6,"期日間近","入金待ち")))))))))</f>
        <v/>
      </c>
      <c r="S433" s="29" t="str">
        <f aca="false">IF(OR(R433="期日超過",R433="一部入金・超過"),設定!$C$5-I433,"")</f>
        <v/>
      </c>
      <c r="T433" s="21" t="str">
        <f aca="false">IF(A433="","",TRIM(IF(B433="","請求日 ","")&amp;IF(C433="","取引先 ",IF(D433="コード誤り","取引先コード誤り ",""))&amp;IF(E433="","件名 ","")&amp;IF(F433="","請求額 ","")&amp;IF(AND(F433&lt;&gt;"",I433=""),"入金期日(マスタの支払条件が未登録) ","")&amp;IF(J433="","送付方法 ","")&amp;IF(AND(K433&lt;&gt;"",L433=""),"送付者 ","")&amp;IF(AND(K433&lt;&gt;"",N(K433)&gt;設定!$C$5),"送付日が未来の日付 ","")&amp;IF(AND(K433&lt;&gt;"",N(M433)&gt;0,N(P433)&lt;=0,U433=""),"消込確認者 ","")))</f>
        <v/>
      </c>
      <c r="U433" s="26"/>
      <c r="V433" s="26"/>
    </row>
    <row r="434" customFormat="false" ht="15" hidden="false" customHeight="false" outlineLevel="0" collapsed="false">
      <c r="A434" s="21" t="str">
        <f aca="false">IF(COUNTA(B434,C434,E434,F434)=0,"",設定!$C$4&amp;TEXT(ROW()-4,"00000"))</f>
        <v/>
      </c>
      <c r="B434" s="22"/>
      <c r="C434" s="23"/>
      <c r="D434" s="21" t="str">
        <f aca="false">IF(C434="","",IFERROR(INDEX(取引先マスタ!$B$5:$B$204,MATCH(C434,取引先マスタ!$A$5:$A$204,0)),"コード誤り"))</f>
        <v/>
      </c>
      <c r="E434" s="26"/>
      <c r="F434" s="18"/>
      <c r="G434" s="25" t="str">
        <f aca="false">IF(OR(B434="",C434="",D434="コード誤り"),"",IFERROR(IF(OR(INDEX(取引先マスタ!$E$5:$E$204,MATCH(C434,取引先マスタ!$A$5:$A$204,0))="",INDEX(取引先マスタ!$F$5:$F$204,MATCH(C434,取引先マスタ!$A$5:$A$204,0))=""),"",DATE(YEAR(B434),MONTH(B434)+INDEX(取引先マスタ!$E$5:$E$204,MATCH(C434,取引先マスタ!$A$5:$A$204,0)),MIN(INDEX(取引先マスタ!$F$5:$F$204,MATCH(C434,取引先マスタ!$A$5:$A$204,0)),DAY(EOMONTH(B434,INDEX(取引先マスタ!$E$5:$E$204,MATCH(C434,取引先マスタ!$A$5:$A$204,0))))))),""))</f>
        <v/>
      </c>
      <c r="H434" s="22"/>
      <c r="I434" s="25" t="str">
        <f aca="false">IF(H434&lt;&gt;"",H434,G434)</f>
        <v/>
      </c>
      <c r="J434" s="26"/>
      <c r="K434" s="22"/>
      <c r="L434" s="26"/>
      <c r="M434" s="27" t="str">
        <f aca="false">IF(A434="","",SUMIF(入金明細!$F$5:$F$1004,A434,入金明細!$E$5:$E$1004))</f>
        <v/>
      </c>
      <c r="N434" s="25" t="str">
        <f aca="false">IF(OR(A434="",N(M434)=0),"",SUMPRODUCT(MAX((入金明細!$F$5:$F$1004=A434)*入金明細!$B$5:$B$1004)))</f>
        <v/>
      </c>
      <c r="O434" s="18"/>
      <c r="P434" s="27" t="str">
        <f aca="false">IF(OR(A434="",F434=""),"",F434-N(M434)-N(O434))</f>
        <v/>
      </c>
      <c r="Q434" s="26"/>
      <c r="R434" s="28" t="str">
        <f aca="false">IF(A434="","",IF(Q434="取消","取消",IF(T434&lt;&gt;"","要入力",IF(K434="","未送付",IF(P434=0,"入金済",IF(P434&lt;0,"過入金",IF(設定!$C$5&gt;I434,IF(N(M434)&gt;0,"一部入金・超過","期日超過"),IF(N(M434)&gt;0,"一部入金",IF(I434-設定!$C$5&lt;=設定!$C$6,"期日間近","入金待ち")))))))))</f>
        <v/>
      </c>
      <c r="S434" s="29" t="str">
        <f aca="false">IF(OR(R434="期日超過",R434="一部入金・超過"),設定!$C$5-I434,"")</f>
        <v/>
      </c>
      <c r="T434" s="21" t="str">
        <f aca="false">IF(A434="","",TRIM(IF(B434="","請求日 ","")&amp;IF(C434="","取引先 ",IF(D434="コード誤り","取引先コード誤り ",""))&amp;IF(E434="","件名 ","")&amp;IF(F434="","請求額 ","")&amp;IF(AND(F434&lt;&gt;"",I434=""),"入金期日(マスタの支払条件が未登録) ","")&amp;IF(J434="","送付方法 ","")&amp;IF(AND(K434&lt;&gt;"",L434=""),"送付者 ","")&amp;IF(AND(K434&lt;&gt;"",N(K434)&gt;設定!$C$5),"送付日が未来の日付 ","")&amp;IF(AND(K434&lt;&gt;"",N(M434)&gt;0,N(P434)&lt;=0,U434=""),"消込確認者 ","")))</f>
        <v/>
      </c>
      <c r="U434" s="26"/>
      <c r="V434" s="26"/>
    </row>
    <row r="435" customFormat="false" ht="15" hidden="false" customHeight="false" outlineLevel="0" collapsed="false">
      <c r="A435" s="21" t="str">
        <f aca="false">IF(COUNTA(B435,C435,E435,F435)=0,"",設定!$C$4&amp;TEXT(ROW()-4,"00000"))</f>
        <v/>
      </c>
      <c r="B435" s="22"/>
      <c r="C435" s="23"/>
      <c r="D435" s="21" t="str">
        <f aca="false">IF(C435="","",IFERROR(INDEX(取引先マスタ!$B$5:$B$204,MATCH(C435,取引先マスタ!$A$5:$A$204,0)),"コード誤り"))</f>
        <v/>
      </c>
      <c r="E435" s="26"/>
      <c r="F435" s="18"/>
      <c r="G435" s="25" t="str">
        <f aca="false">IF(OR(B435="",C435="",D435="コード誤り"),"",IFERROR(IF(OR(INDEX(取引先マスタ!$E$5:$E$204,MATCH(C435,取引先マスタ!$A$5:$A$204,0))="",INDEX(取引先マスタ!$F$5:$F$204,MATCH(C435,取引先マスタ!$A$5:$A$204,0))=""),"",DATE(YEAR(B435),MONTH(B435)+INDEX(取引先マスタ!$E$5:$E$204,MATCH(C435,取引先マスタ!$A$5:$A$204,0)),MIN(INDEX(取引先マスタ!$F$5:$F$204,MATCH(C435,取引先マスタ!$A$5:$A$204,0)),DAY(EOMONTH(B435,INDEX(取引先マスタ!$E$5:$E$204,MATCH(C435,取引先マスタ!$A$5:$A$204,0))))))),""))</f>
        <v/>
      </c>
      <c r="H435" s="22"/>
      <c r="I435" s="25" t="str">
        <f aca="false">IF(H435&lt;&gt;"",H435,G435)</f>
        <v/>
      </c>
      <c r="J435" s="26"/>
      <c r="K435" s="22"/>
      <c r="L435" s="26"/>
      <c r="M435" s="27" t="str">
        <f aca="false">IF(A435="","",SUMIF(入金明細!$F$5:$F$1004,A435,入金明細!$E$5:$E$1004))</f>
        <v/>
      </c>
      <c r="N435" s="25" t="str">
        <f aca="false">IF(OR(A435="",N(M435)=0),"",SUMPRODUCT(MAX((入金明細!$F$5:$F$1004=A435)*入金明細!$B$5:$B$1004)))</f>
        <v/>
      </c>
      <c r="O435" s="18"/>
      <c r="P435" s="27" t="str">
        <f aca="false">IF(OR(A435="",F435=""),"",F435-N(M435)-N(O435))</f>
        <v/>
      </c>
      <c r="Q435" s="26"/>
      <c r="R435" s="28" t="str">
        <f aca="false">IF(A435="","",IF(Q435="取消","取消",IF(T435&lt;&gt;"","要入力",IF(K435="","未送付",IF(P435=0,"入金済",IF(P435&lt;0,"過入金",IF(設定!$C$5&gt;I435,IF(N(M435)&gt;0,"一部入金・超過","期日超過"),IF(N(M435)&gt;0,"一部入金",IF(I435-設定!$C$5&lt;=設定!$C$6,"期日間近","入金待ち")))))))))</f>
        <v/>
      </c>
      <c r="S435" s="29" t="str">
        <f aca="false">IF(OR(R435="期日超過",R435="一部入金・超過"),設定!$C$5-I435,"")</f>
        <v/>
      </c>
      <c r="T435" s="21" t="str">
        <f aca="false">IF(A435="","",TRIM(IF(B435="","請求日 ","")&amp;IF(C435="","取引先 ",IF(D435="コード誤り","取引先コード誤り ",""))&amp;IF(E435="","件名 ","")&amp;IF(F435="","請求額 ","")&amp;IF(AND(F435&lt;&gt;"",I435=""),"入金期日(マスタの支払条件が未登録) ","")&amp;IF(J435="","送付方法 ","")&amp;IF(AND(K435&lt;&gt;"",L435=""),"送付者 ","")&amp;IF(AND(K435&lt;&gt;"",N(K435)&gt;設定!$C$5),"送付日が未来の日付 ","")&amp;IF(AND(K435&lt;&gt;"",N(M435)&gt;0,N(P435)&lt;=0,U435=""),"消込確認者 ","")))</f>
        <v/>
      </c>
      <c r="U435" s="26"/>
      <c r="V435" s="26"/>
    </row>
    <row r="436" customFormat="false" ht="15" hidden="false" customHeight="false" outlineLevel="0" collapsed="false">
      <c r="A436" s="21" t="str">
        <f aca="false">IF(COUNTA(B436,C436,E436,F436)=0,"",設定!$C$4&amp;TEXT(ROW()-4,"00000"))</f>
        <v/>
      </c>
      <c r="B436" s="22"/>
      <c r="C436" s="23"/>
      <c r="D436" s="21" t="str">
        <f aca="false">IF(C436="","",IFERROR(INDEX(取引先マスタ!$B$5:$B$204,MATCH(C436,取引先マスタ!$A$5:$A$204,0)),"コード誤り"))</f>
        <v/>
      </c>
      <c r="E436" s="26"/>
      <c r="F436" s="18"/>
      <c r="G436" s="25" t="str">
        <f aca="false">IF(OR(B436="",C436="",D436="コード誤り"),"",IFERROR(IF(OR(INDEX(取引先マスタ!$E$5:$E$204,MATCH(C436,取引先マスタ!$A$5:$A$204,0))="",INDEX(取引先マスタ!$F$5:$F$204,MATCH(C436,取引先マスタ!$A$5:$A$204,0))=""),"",DATE(YEAR(B436),MONTH(B436)+INDEX(取引先マスタ!$E$5:$E$204,MATCH(C436,取引先マスタ!$A$5:$A$204,0)),MIN(INDEX(取引先マスタ!$F$5:$F$204,MATCH(C436,取引先マスタ!$A$5:$A$204,0)),DAY(EOMONTH(B436,INDEX(取引先マスタ!$E$5:$E$204,MATCH(C436,取引先マスタ!$A$5:$A$204,0))))))),""))</f>
        <v/>
      </c>
      <c r="H436" s="22"/>
      <c r="I436" s="25" t="str">
        <f aca="false">IF(H436&lt;&gt;"",H436,G436)</f>
        <v/>
      </c>
      <c r="J436" s="26"/>
      <c r="K436" s="22"/>
      <c r="L436" s="26"/>
      <c r="M436" s="27" t="str">
        <f aca="false">IF(A436="","",SUMIF(入金明細!$F$5:$F$1004,A436,入金明細!$E$5:$E$1004))</f>
        <v/>
      </c>
      <c r="N436" s="25" t="str">
        <f aca="false">IF(OR(A436="",N(M436)=0),"",SUMPRODUCT(MAX((入金明細!$F$5:$F$1004=A436)*入金明細!$B$5:$B$1004)))</f>
        <v/>
      </c>
      <c r="O436" s="18"/>
      <c r="P436" s="27" t="str">
        <f aca="false">IF(OR(A436="",F436=""),"",F436-N(M436)-N(O436))</f>
        <v/>
      </c>
      <c r="Q436" s="26"/>
      <c r="R436" s="28" t="str">
        <f aca="false">IF(A436="","",IF(Q436="取消","取消",IF(T436&lt;&gt;"","要入力",IF(K436="","未送付",IF(P436=0,"入金済",IF(P436&lt;0,"過入金",IF(設定!$C$5&gt;I436,IF(N(M436)&gt;0,"一部入金・超過","期日超過"),IF(N(M436)&gt;0,"一部入金",IF(I436-設定!$C$5&lt;=設定!$C$6,"期日間近","入金待ち")))))))))</f>
        <v/>
      </c>
      <c r="S436" s="29" t="str">
        <f aca="false">IF(OR(R436="期日超過",R436="一部入金・超過"),設定!$C$5-I436,"")</f>
        <v/>
      </c>
      <c r="T436" s="21" t="str">
        <f aca="false">IF(A436="","",TRIM(IF(B436="","請求日 ","")&amp;IF(C436="","取引先 ",IF(D436="コード誤り","取引先コード誤り ",""))&amp;IF(E436="","件名 ","")&amp;IF(F436="","請求額 ","")&amp;IF(AND(F436&lt;&gt;"",I436=""),"入金期日(マスタの支払条件が未登録) ","")&amp;IF(J436="","送付方法 ","")&amp;IF(AND(K436&lt;&gt;"",L436=""),"送付者 ","")&amp;IF(AND(K436&lt;&gt;"",N(K436)&gt;設定!$C$5),"送付日が未来の日付 ","")&amp;IF(AND(K436&lt;&gt;"",N(M436)&gt;0,N(P436)&lt;=0,U436=""),"消込確認者 ","")))</f>
        <v/>
      </c>
      <c r="U436" s="26"/>
      <c r="V436" s="26"/>
    </row>
    <row r="437" customFormat="false" ht="15" hidden="false" customHeight="false" outlineLevel="0" collapsed="false">
      <c r="A437" s="21" t="str">
        <f aca="false">IF(COUNTA(B437,C437,E437,F437)=0,"",設定!$C$4&amp;TEXT(ROW()-4,"00000"))</f>
        <v/>
      </c>
      <c r="B437" s="22"/>
      <c r="C437" s="23"/>
      <c r="D437" s="21" t="str">
        <f aca="false">IF(C437="","",IFERROR(INDEX(取引先マスタ!$B$5:$B$204,MATCH(C437,取引先マスタ!$A$5:$A$204,0)),"コード誤り"))</f>
        <v/>
      </c>
      <c r="E437" s="26"/>
      <c r="F437" s="18"/>
      <c r="G437" s="25" t="str">
        <f aca="false">IF(OR(B437="",C437="",D437="コード誤り"),"",IFERROR(IF(OR(INDEX(取引先マスタ!$E$5:$E$204,MATCH(C437,取引先マスタ!$A$5:$A$204,0))="",INDEX(取引先マスタ!$F$5:$F$204,MATCH(C437,取引先マスタ!$A$5:$A$204,0))=""),"",DATE(YEAR(B437),MONTH(B437)+INDEX(取引先マスタ!$E$5:$E$204,MATCH(C437,取引先マスタ!$A$5:$A$204,0)),MIN(INDEX(取引先マスタ!$F$5:$F$204,MATCH(C437,取引先マスタ!$A$5:$A$204,0)),DAY(EOMONTH(B437,INDEX(取引先マスタ!$E$5:$E$204,MATCH(C437,取引先マスタ!$A$5:$A$204,0))))))),""))</f>
        <v/>
      </c>
      <c r="H437" s="22"/>
      <c r="I437" s="25" t="str">
        <f aca="false">IF(H437&lt;&gt;"",H437,G437)</f>
        <v/>
      </c>
      <c r="J437" s="26"/>
      <c r="K437" s="22"/>
      <c r="L437" s="26"/>
      <c r="M437" s="27" t="str">
        <f aca="false">IF(A437="","",SUMIF(入金明細!$F$5:$F$1004,A437,入金明細!$E$5:$E$1004))</f>
        <v/>
      </c>
      <c r="N437" s="25" t="str">
        <f aca="false">IF(OR(A437="",N(M437)=0),"",SUMPRODUCT(MAX((入金明細!$F$5:$F$1004=A437)*入金明細!$B$5:$B$1004)))</f>
        <v/>
      </c>
      <c r="O437" s="18"/>
      <c r="P437" s="27" t="str">
        <f aca="false">IF(OR(A437="",F437=""),"",F437-N(M437)-N(O437))</f>
        <v/>
      </c>
      <c r="Q437" s="26"/>
      <c r="R437" s="28" t="str">
        <f aca="false">IF(A437="","",IF(Q437="取消","取消",IF(T437&lt;&gt;"","要入力",IF(K437="","未送付",IF(P437=0,"入金済",IF(P437&lt;0,"過入金",IF(設定!$C$5&gt;I437,IF(N(M437)&gt;0,"一部入金・超過","期日超過"),IF(N(M437)&gt;0,"一部入金",IF(I437-設定!$C$5&lt;=設定!$C$6,"期日間近","入金待ち")))))))))</f>
        <v/>
      </c>
      <c r="S437" s="29" t="str">
        <f aca="false">IF(OR(R437="期日超過",R437="一部入金・超過"),設定!$C$5-I437,"")</f>
        <v/>
      </c>
      <c r="T437" s="21" t="str">
        <f aca="false">IF(A437="","",TRIM(IF(B437="","請求日 ","")&amp;IF(C437="","取引先 ",IF(D437="コード誤り","取引先コード誤り ",""))&amp;IF(E437="","件名 ","")&amp;IF(F437="","請求額 ","")&amp;IF(AND(F437&lt;&gt;"",I437=""),"入金期日(マスタの支払条件が未登録) ","")&amp;IF(J437="","送付方法 ","")&amp;IF(AND(K437&lt;&gt;"",L437=""),"送付者 ","")&amp;IF(AND(K437&lt;&gt;"",N(K437)&gt;設定!$C$5),"送付日が未来の日付 ","")&amp;IF(AND(K437&lt;&gt;"",N(M437)&gt;0,N(P437)&lt;=0,U437=""),"消込確認者 ","")))</f>
        <v/>
      </c>
      <c r="U437" s="26"/>
      <c r="V437" s="26"/>
    </row>
    <row r="438" customFormat="false" ht="15" hidden="false" customHeight="false" outlineLevel="0" collapsed="false">
      <c r="A438" s="21" t="str">
        <f aca="false">IF(COUNTA(B438,C438,E438,F438)=0,"",設定!$C$4&amp;TEXT(ROW()-4,"00000"))</f>
        <v/>
      </c>
      <c r="B438" s="22"/>
      <c r="C438" s="23"/>
      <c r="D438" s="21" t="str">
        <f aca="false">IF(C438="","",IFERROR(INDEX(取引先マスタ!$B$5:$B$204,MATCH(C438,取引先マスタ!$A$5:$A$204,0)),"コード誤り"))</f>
        <v/>
      </c>
      <c r="E438" s="26"/>
      <c r="F438" s="18"/>
      <c r="G438" s="25" t="str">
        <f aca="false">IF(OR(B438="",C438="",D438="コード誤り"),"",IFERROR(IF(OR(INDEX(取引先マスタ!$E$5:$E$204,MATCH(C438,取引先マスタ!$A$5:$A$204,0))="",INDEX(取引先マスタ!$F$5:$F$204,MATCH(C438,取引先マスタ!$A$5:$A$204,0))=""),"",DATE(YEAR(B438),MONTH(B438)+INDEX(取引先マスタ!$E$5:$E$204,MATCH(C438,取引先マスタ!$A$5:$A$204,0)),MIN(INDEX(取引先マスタ!$F$5:$F$204,MATCH(C438,取引先マスタ!$A$5:$A$204,0)),DAY(EOMONTH(B438,INDEX(取引先マスタ!$E$5:$E$204,MATCH(C438,取引先マスタ!$A$5:$A$204,0))))))),""))</f>
        <v/>
      </c>
      <c r="H438" s="22"/>
      <c r="I438" s="25" t="str">
        <f aca="false">IF(H438&lt;&gt;"",H438,G438)</f>
        <v/>
      </c>
      <c r="J438" s="26"/>
      <c r="K438" s="22"/>
      <c r="L438" s="26"/>
      <c r="M438" s="27" t="str">
        <f aca="false">IF(A438="","",SUMIF(入金明細!$F$5:$F$1004,A438,入金明細!$E$5:$E$1004))</f>
        <v/>
      </c>
      <c r="N438" s="25" t="str">
        <f aca="false">IF(OR(A438="",N(M438)=0),"",SUMPRODUCT(MAX((入金明細!$F$5:$F$1004=A438)*入金明細!$B$5:$B$1004)))</f>
        <v/>
      </c>
      <c r="O438" s="18"/>
      <c r="P438" s="27" t="str">
        <f aca="false">IF(OR(A438="",F438=""),"",F438-N(M438)-N(O438))</f>
        <v/>
      </c>
      <c r="Q438" s="26"/>
      <c r="R438" s="28" t="str">
        <f aca="false">IF(A438="","",IF(Q438="取消","取消",IF(T438&lt;&gt;"","要入力",IF(K438="","未送付",IF(P438=0,"入金済",IF(P438&lt;0,"過入金",IF(設定!$C$5&gt;I438,IF(N(M438)&gt;0,"一部入金・超過","期日超過"),IF(N(M438)&gt;0,"一部入金",IF(I438-設定!$C$5&lt;=設定!$C$6,"期日間近","入金待ち")))))))))</f>
        <v/>
      </c>
      <c r="S438" s="29" t="str">
        <f aca="false">IF(OR(R438="期日超過",R438="一部入金・超過"),設定!$C$5-I438,"")</f>
        <v/>
      </c>
      <c r="T438" s="21" t="str">
        <f aca="false">IF(A438="","",TRIM(IF(B438="","請求日 ","")&amp;IF(C438="","取引先 ",IF(D438="コード誤り","取引先コード誤り ",""))&amp;IF(E438="","件名 ","")&amp;IF(F438="","請求額 ","")&amp;IF(AND(F438&lt;&gt;"",I438=""),"入金期日(マスタの支払条件が未登録) ","")&amp;IF(J438="","送付方法 ","")&amp;IF(AND(K438&lt;&gt;"",L438=""),"送付者 ","")&amp;IF(AND(K438&lt;&gt;"",N(K438)&gt;設定!$C$5),"送付日が未来の日付 ","")&amp;IF(AND(K438&lt;&gt;"",N(M438)&gt;0,N(P438)&lt;=0,U438=""),"消込確認者 ","")))</f>
        <v/>
      </c>
      <c r="U438" s="26"/>
      <c r="V438" s="26"/>
    </row>
    <row r="439" customFormat="false" ht="15" hidden="false" customHeight="false" outlineLevel="0" collapsed="false">
      <c r="A439" s="21" t="str">
        <f aca="false">IF(COUNTA(B439,C439,E439,F439)=0,"",設定!$C$4&amp;TEXT(ROW()-4,"00000"))</f>
        <v/>
      </c>
      <c r="B439" s="22"/>
      <c r="C439" s="23"/>
      <c r="D439" s="21" t="str">
        <f aca="false">IF(C439="","",IFERROR(INDEX(取引先マスタ!$B$5:$B$204,MATCH(C439,取引先マスタ!$A$5:$A$204,0)),"コード誤り"))</f>
        <v/>
      </c>
      <c r="E439" s="26"/>
      <c r="F439" s="18"/>
      <c r="G439" s="25" t="str">
        <f aca="false">IF(OR(B439="",C439="",D439="コード誤り"),"",IFERROR(IF(OR(INDEX(取引先マスタ!$E$5:$E$204,MATCH(C439,取引先マスタ!$A$5:$A$204,0))="",INDEX(取引先マスタ!$F$5:$F$204,MATCH(C439,取引先マスタ!$A$5:$A$204,0))=""),"",DATE(YEAR(B439),MONTH(B439)+INDEX(取引先マスタ!$E$5:$E$204,MATCH(C439,取引先マスタ!$A$5:$A$204,0)),MIN(INDEX(取引先マスタ!$F$5:$F$204,MATCH(C439,取引先マスタ!$A$5:$A$204,0)),DAY(EOMONTH(B439,INDEX(取引先マスタ!$E$5:$E$204,MATCH(C439,取引先マスタ!$A$5:$A$204,0))))))),""))</f>
        <v/>
      </c>
      <c r="H439" s="22"/>
      <c r="I439" s="25" t="str">
        <f aca="false">IF(H439&lt;&gt;"",H439,G439)</f>
        <v/>
      </c>
      <c r="J439" s="26"/>
      <c r="K439" s="22"/>
      <c r="L439" s="26"/>
      <c r="M439" s="27" t="str">
        <f aca="false">IF(A439="","",SUMIF(入金明細!$F$5:$F$1004,A439,入金明細!$E$5:$E$1004))</f>
        <v/>
      </c>
      <c r="N439" s="25" t="str">
        <f aca="false">IF(OR(A439="",N(M439)=0),"",SUMPRODUCT(MAX((入金明細!$F$5:$F$1004=A439)*入金明細!$B$5:$B$1004)))</f>
        <v/>
      </c>
      <c r="O439" s="18"/>
      <c r="P439" s="27" t="str">
        <f aca="false">IF(OR(A439="",F439=""),"",F439-N(M439)-N(O439))</f>
        <v/>
      </c>
      <c r="Q439" s="26"/>
      <c r="R439" s="28" t="str">
        <f aca="false">IF(A439="","",IF(Q439="取消","取消",IF(T439&lt;&gt;"","要入力",IF(K439="","未送付",IF(P439=0,"入金済",IF(P439&lt;0,"過入金",IF(設定!$C$5&gt;I439,IF(N(M439)&gt;0,"一部入金・超過","期日超過"),IF(N(M439)&gt;0,"一部入金",IF(I439-設定!$C$5&lt;=設定!$C$6,"期日間近","入金待ち")))))))))</f>
        <v/>
      </c>
      <c r="S439" s="29" t="str">
        <f aca="false">IF(OR(R439="期日超過",R439="一部入金・超過"),設定!$C$5-I439,"")</f>
        <v/>
      </c>
      <c r="T439" s="21" t="str">
        <f aca="false">IF(A439="","",TRIM(IF(B439="","請求日 ","")&amp;IF(C439="","取引先 ",IF(D439="コード誤り","取引先コード誤り ",""))&amp;IF(E439="","件名 ","")&amp;IF(F439="","請求額 ","")&amp;IF(AND(F439&lt;&gt;"",I439=""),"入金期日(マスタの支払条件が未登録) ","")&amp;IF(J439="","送付方法 ","")&amp;IF(AND(K439&lt;&gt;"",L439=""),"送付者 ","")&amp;IF(AND(K439&lt;&gt;"",N(K439)&gt;設定!$C$5),"送付日が未来の日付 ","")&amp;IF(AND(K439&lt;&gt;"",N(M439)&gt;0,N(P439)&lt;=0,U439=""),"消込確認者 ","")))</f>
        <v/>
      </c>
      <c r="U439" s="26"/>
      <c r="V439" s="26"/>
    </row>
    <row r="440" customFormat="false" ht="15" hidden="false" customHeight="false" outlineLevel="0" collapsed="false">
      <c r="A440" s="21" t="str">
        <f aca="false">IF(COUNTA(B440,C440,E440,F440)=0,"",設定!$C$4&amp;TEXT(ROW()-4,"00000"))</f>
        <v/>
      </c>
      <c r="B440" s="22"/>
      <c r="C440" s="23"/>
      <c r="D440" s="21" t="str">
        <f aca="false">IF(C440="","",IFERROR(INDEX(取引先マスタ!$B$5:$B$204,MATCH(C440,取引先マスタ!$A$5:$A$204,0)),"コード誤り"))</f>
        <v/>
      </c>
      <c r="E440" s="26"/>
      <c r="F440" s="18"/>
      <c r="G440" s="25" t="str">
        <f aca="false">IF(OR(B440="",C440="",D440="コード誤り"),"",IFERROR(IF(OR(INDEX(取引先マスタ!$E$5:$E$204,MATCH(C440,取引先マスタ!$A$5:$A$204,0))="",INDEX(取引先マスタ!$F$5:$F$204,MATCH(C440,取引先マスタ!$A$5:$A$204,0))=""),"",DATE(YEAR(B440),MONTH(B440)+INDEX(取引先マスタ!$E$5:$E$204,MATCH(C440,取引先マスタ!$A$5:$A$204,0)),MIN(INDEX(取引先マスタ!$F$5:$F$204,MATCH(C440,取引先マスタ!$A$5:$A$204,0)),DAY(EOMONTH(B440,INDEX(取引先マスタ!$E$5:$E$204,MATCH(C440,取引先マスタ!$A$5:$A$204,0))))))),""))</f>
        <v/>
      </c>
      <c r="H440" s="22"/>
      <c r="I440" s="25" t="str">
        <f aca="false">IF(H440&lt;&gt;"",H440,G440)</f>
        <v/>
      </c>
      <c r="J440" s="26"/>
      <c r="K440" s="22"/>
      <c r="L440" s="26"/>
      <c r="M440" s="27" t="str">
        <f aca="false">IF(A440="","",SUMIF(入金明細!$F$5:$F$1004,A440,入金明細!$E$5:$E$1004))</f>
        <v/>
      </c>
      <c r="N440" s="25" t="str">
        <f aca="false">IF(OR(A440="",N(M440)=0),"",SUMPRODUCT(MAX((入金明細!$F$5:$F$1004=A440)*入金明細!$B$5:$B$1004)))</f>
        <v/>
      </c>
      <c r="O440" s="18"/>
      <c r="P440" s="27" t="str">
        <f aca="false">IF(OR(A440="",F440=""),"",F440-N(M440)-N(O440))</f>
        <v/>
      </c>
      <c r="Q440" s="26"/>
      <c r="R440" s="28" t="str">
        <f aca="false">IF(A440="","",IF(Q440="取消","取消",IF(T440&lt;&gt;"","要入力",IF(K440="","未送付",IF(P440=0,"入金済",IF(P440&lt;0,"過入金",IF(設定!$C$5&gt;I440,IF(N(M440)&gt;0,"一部入金・超過","期日超過"),IF(N(M440)&gt;0,"一部入金",IF(I440-設定!$C$5&lt;=設定!$C$6,"期日間近","入金待ち")))))))))</f>
        <v/>
      </c>
      <c r="S440" s="29" t="str">
        <f aca="false">IF(OR(R440="期日超過",R440="一部入金・超過"),設定!$C$5-I440,"")</f>
        <v/>
      </c>
      <c r="T440" s="21" t="str">
        <f aca="false">IF(A440="","",TRIM(IF(B440="","請求日 ","")&amp;IF(C440="","取引先 ",IF(D440="コード誤り","取引先コード誤り ",""))&amp;IF(E440="","件名 ","")&amp;IF(F440="","請求額 ","")&amp;IF(AND(F440&lt;&gt;"",I440=""),"入金期日(マスタの支払条件が未登録) ","")&amp;IF(J440="","送付方法 ","")&amp;IF(AND(K440&lt;&gt;"",L440=""),"送付者 ","")&amp;IF(AND(K440&lt;&gt;"",N(K440)&gt;設定!$C$5),"送付日が未来の日付 ","")&amp;IF(AND(K440&lt;&gt;"",N(M440)&gt;0,N(P440)&lt;=0,U440=""),"消込確認者 ","")))</f>
        <v/>
      </c>
      <c r="U440" s="26"/>
      <c r="V440" s="26"/>
    </row>
    <row r="441" customFormat="false" ht="15" hidden="false" customHeight="false" outlineLevel="0" collapsed="false">
      <c r="A441" s="21" t="str">
        <f aca="false">IF(COUNTA(B441,C441,E441,F441)=0,"",設定!$C$4&amp;TEXT(ROW()-4,"00000"))</f>
        <v/>
      </c>
      <c r="B441" s="22"/>
      <c r="C441" s="23"/>
      <c r="D441" s="21" t="str">
        <f aca="false">IF(C441="","",IFERROR(INDEX(取引先マスタ!$B$5:$B$204,MATCH(C441,取引先マスタ!$A$5:$A$204,0)),"コード誤り"))</f>
        <v/>
      </c>
      <c r="E441" s="26"/>
      <c r="F441" s="18"/>
      <c r="G441" s="25" t="str">
        <f aca="false">IF(OR(B441="",C441="",D441="コード誤り"),"",IFERROR(IF(OR(INDEX(取引先マスタ!$E$5:$E$204,MATCH(C441,取引先マスタ!$A$5:$A$204,0))="",INDEX(取引先マスタ!$F$5:$F$204,MATCH(C441,取引先マスタ!$A$5:$A$204,0))=""),"",DATE(YEAR(B441),MONTH(B441)+INDEX(取引先マスタ!$E$5:$E$204,MATCH(C441,取引先マスタ!$A$5:$A$204,0)),MIN(INDEX(取引先マスタ!$F$5:$F$204,MATCH(C441,取引先マスタ!$A$5:$A$204,0)),DAY(EOMONTH(B441,INDEX(取引先マスタ!$E$5:$E$204,MATCH(C441,取引先マスタ!$A$5:$A$204,0))))))),""))</f>
        <v/>
      </c>
      <c r="H441" s="22"/>
      <c r="I441" s="25" t="str">
        <f aca="false">IF(H441&lt;&gt;"",H441,G441)</f>
        <v/>
      </c>
      <c r="J441" s="26"/>
      <c r="K441" s="22"/>
      <c r="L441" s="26"/>
      <c r="M441" s="27" t="str">
        <f aca="false">IF(A441="","",SUMIF(入金明細!$F$5:$F$1004,A441,入金明細!$E$5:$E$1004))</f>
        <v/>
      </c>
      <c r="N441" s="25" t="str">
        <f aca="false">IF(OR(A441="",N(M441)=0),"",SUMPRODUCT(MAX((入金明細!$F$5:$F$1004=A441)*入金明細!$B$5:$B$1004)))</f>
        <v/>
      </c>
      <c r="O441" s="18"/>
      <c r="P441" s="27" t="str">
        <f aca="false">IF(OR(A441="",F441=""),"",F441-N(M441)-N(O441))</f>
        <v/>
      </c>
      <c r="Q441" s="26"/>
      <c r="R441" s="28" t="str">
        <f aca="false">IF(A441="","",IF(Q441="取消","取消",IF(T441&lt;&gt;"","要入力",IF(K441="","未送付",IF(P441=0,"入金済",IF(P441&lt;0,"過入金",IF(設定!$C$5&gt;I441,IF(N(M441)&gt;0,"一部入金・超過","期日超過"),IF(N(M441)&gt;0,"一部入金",IF(I441-設定!$C$5&lt;=設定!$C$6,"期日間近","入金待ち")))))))))</f>
        <v/>
      </c>
      <c r="S441" s="29" t="str">
        <f aca="false">IF(OR(R441="期日超過",R441="一部入金・超過"),設定!$C$5-I441,"")</f>
        <v/>
      </c>
      <c r="T441" s="21" t="str">
        <f aca="false">IF(A441="","",TRIM(IF(B441="","請求日 ","")&amp;IF(C441="","取引先 ",IF(D441="コード誤り","取引先コード誤り ",""))&amp;IF(E441="","件名 ","")&amp;IF(F441="","請求額 ","")&amp;IF(AND(F441&lt;&gt;"",I441=""),"入金期日(マスタの支払条件が未登録) ","")&amp;IF(J441="","送付方法 ","")&amp;IF(AND(K441&lt;&gt;"",L441=""),"送付者 ","")&amp;IF(AND(K441&lt;&gt;"",N(K441)&gt;設定!$C$5),"送付日が未来の日付 ","")&amp;IF(AND(K441&lt;&gt;"",N(M441)&gt;0,N(P441)&lt;=0,U441=""),"消込確認者 ","")))</f>
        <v/>
      </c>
      <c r="U441" s="26"/>
      <c r="V441" s="26"/>
    </row>
    <row r="442" customFormat="false" ht="15" hidden="false" customHeight="false" outlineLevel="0" collapsed="false">
      <c r="A442" s="21" t="str">
        <f aca="false">IF(COUNTA(B442,C442,E442,F442)=0,"",設定!$C$4&amp;TEXT(ROW()-4,"00000"))</f>
        <v/>
      </c>
      <c r="B442" s="22"/>
      <c r="C442" s="23"/>
      <c r="D442" s="21" t="str">
        <f aca="false">IF(C442="","",IFERROR(INDEX(取引先マスタ!$B$5:$B$204,MATCH(C442,取引先マスタ!$A$5:$A$204,0)),"コード誤り"))</f>
        <v/>
      </c>
      <c r="E442" s="26"/>
      <c r="F442" s="18"/>
      <c r="G442" s="25" t="str">
        <f aca="false">IF(OR(B442="",C442="",D442="コード誤り"),"",IFERROR(IF(OR(INDEX(取引先マスタ!$E$5:$E$204,MATCH(C442,取引先マスタ!$A$5:$A$204,0))="",INDEX(取引先マスタ!$F$5:$F$204,MATCH(C442,取引先マスタ!$A$5:$A$204,0))=""),"",DATE(YEAR(B442),MONTH(B442)+INDEX(取引先マスタ!$E$5:$E$204,MATCH(C442,取引先マスタ!$A$5:$A$204,0)),MIN(INDEX(取引先マスタ!$F$5:$F$204,MATCH(C442,取引先マスタ!$A$5:$A$204,0)),DAY(EOMONTH(B442,INDEX(取引先マスタ!$E$5:$E$204,MATCH(C442,取引先マスタ!$A$5:$A$204,0))))))),""))</f>
        <v/>
      </c>
      <c r="H442" s="22"/>
      <c r="I442" s="25" t="str">
        <f aca="false">IF(H442&lt;&gt;"",H442,G442)</f>
        <v/>
      </c>
      <c r="J442" s="26"/>
      <c r="K442" s="22"/>
      <c r="L442" s="26"/>
      <c r="M442" s="27" t="str">
        <f aca="false">IF(A442="","",SUMIF(入金明細!$F$5:$F$1004,A442,入金明細!$E$5:$E$1004))</f>
        <v/>
      </c>
      <c r="N442" s="25" t="str">
        <f aca="false">IF(OR(A442="",N(M442)=0),"",SUMPRODUCT(MAX((入金明細!$F$5:$F$1004=A442)*入金明細!$B$5:$B$1004)))</f>
        <v/>
      </c>
      <c r="O442" s="18"/>
      <c r="P442" s="27" t="str">
        <f aca="false">IF(OR(A442="",F442=""),"",F442-N(M442)-N(O442))</f>
        <v/>
      </c>
      <c r="Q442" s="26"/>
      <c r="R442" s="28" t="str">
        <f aca="false">IF(A442="","",IF(Q442="取消","取消",IF(T442&lt;&gt;"","要入力",IF(K442="","未送付",IF(P442=0,"入金済",IF(P442&lt;0,"過入金",IF(設定!$C$5&gt;I442,IF(N(M442)&gt;0,"一部入金・超過","期日超過"),IF(N(M442)&gt;0,"一部入金",IF(I442-設定!$C$5&lt;=設定!$C$6,"期日間近","入金待ち")))))))))</f>
        <v/>
      </c>
      <c r="S442" s="29" t="str">
        <f aca="false">IF(OR(R442="期日超過",R442="一部入金・超過"),設定!$C$5-I442,"")</f>
        <v/>
      </c>
      <c r="T442" s="21" t="str">
        <f aca="false">IF(A442="","",TRIM(IF(B442="","請求日 ","")&amp;IF(C442="","取引先 ",IF(D442="コード誤り","取引先コード誤り ",""))&amp;IF(E442="","件名 ","")&amp;IF(F442="","請求額 ","")&amp;IF(AND(F442&lt;&gt;"",I442=""),"入金期日(マスタの支払条件が未登録) ","")&amp;IF(J442="","送付方法 ","")&amp;IF(AND(K442&lt;&gt;"",L442=""),"送付者 ","")&amp;IF(AND(K442&lt;&gt;"",N(K442)&gt;設定!$C$5),"送付日が未来の日付 ","")&amp;IF(AND(K442&lt;&gt;"",N(M442)&gt;0,N(P442)&lt;=0,U442=""),"消込確認者 ","")))</f>
        <v/>
      </c>
      <c r="U442" s="26"/>
      <c r="V442" s="26"/>
    </row>
    <row r="443" customFormat="false" ht="15" hidden="false" customHeight="false" outlineLevel="0" collapsed="false">
      <c r="A443" s="21" t="str">
        <f aca="false">IF(COUNTA(B443,C443,E443,F443)=0,"",設定!$C$4&amp;TEXT(ROW()-4,"00000"))</f>
        <v/>
      </c>
      <c r="B443" s="22"/>
      <c r="C443" s="23"/>
      <c r="D443" s="21" t="str">
        <f aca="false">IF(C443="","",IFERROR(INDEX(取引先マスタ!$B$5:$B$204,MATCH(C443,取引先マスタ!$A$5:$A$204,0)),"コード誤り"))</f>
        <v/>
      </c>
      <c r="E443" s="26"/>
      <c r="F443" s="18"/>
      <c r="G443" s="25" t="str">
        <f aca="false">IF(OR(B443="",C443="",D443="コード誤り"),"",IFERROR(IF(OR(INDEX(取引先マスタ!$E$5:$E$204,MATCH(C443,取引先マスタ!$A$5:$A$204,0))="",INDEX(取引先マスタ!$F$5:$F$204,MATCH(C443,取引先マスタ!$A$5:$A$204,0))=""),"",DATE(YEAR(B443),MONTH(B443)+INDEX(取引先マスタ!$E$5:$E$204,MATCH(C443,取引先マスタ!$A$5:$A$204,0)),MIN(INDEX(取引先マスタ!$F$5:$F$204,MATCH(C443,取引先マスタ!$A$5:$A$204,0)),DAY(EOMONTH(B443,INDEX(取引先マスタ!$E$5:$E$204,MATCH(C443,取引先マスタ!$A$5:$A$204,0))))))),""))</f>
        <v/>
      </c>
      <c r="H443" s="22"/>
      <c r="I443" s="25" t="str">
        <f aca="false">IF(H443&lt;&gt;"",H443,G443)</f>
        <v/>
      </c>
      <c r="J443" s="26"/>
      <c r="K443" s="22"/>
      <c r="L443" s="26"/>
      <c r="M443" s="27" t="str">
        <f aca="false">IF(A443="","",SUMIF(入金明細!$F$5:$F$1004,A443,入金明細!$E$5:$E$1004))</f>
        <v/>
      </c>
      <c r="N443" s="25" t="str">
        <f aca="false">IF(OR(A443="",N(M443)=0),"",SUMPRODUCT(MAX((入金明細!$F$5:$F$1004=A443)*入金明細!$B$5:$B$1004)))</f>
        <v/>
      </c>
      <c r="O443" s="18"/>
      <c r="P443" s="27" t="str">
        <f aca="false">IF(OR(A443="",F443=""),"",F443-N(M443)-N(O443))</f>
        <v/>
      </c>
      <c r="Q443" s="26"/>
      <c r="R443" s="28" t="str">
        <f aca="false">IF(A443="","",IF(Q443="取消","取消",IF(T443&lt;&gt;"","要入力",IF(K443="","未送付",IF(P443=0,"入金済",IF(P443&lt;0,"過入金",IF(設定!$C$5&gt;I443,IF(N(M443)&gt;0,"一部入金・超過","期日超過"),IF(N(M443)&gt;0,"一部入金",IF(I443-設定!$C$5&lt;=設定!$C$6,"期日間近","入金待ち")))))))))</f>
        <v/>
      </c>
      <c r="S443" s="29" t="str">
        <f aca="false">IF(OR(R443="期日超過",R443="一部入金・超過"),設定!$C$5-I443,"")</f>
        <v/>
      </c>
      <c r="T443" s="21" t="str">
        <f aca="false">IF(A443="","",TRIM(IF(B443="","請求日 ","")&amp;IF(C443="","取引先 ",IF(D443="コード誤り","取引先コード誤り ",""))&amp;IF(E443="","件名 ","")&amp;IF(F443="","請求額 ","")&amp;IF(AND(F443&lt;&gt;"",I443=""),"入金期日(マスタの支払条件が未登録) ","")&amp;IF(J443="","送付方法 ","")&amp;IF(AND(K443&lt;&gt;"",L443=""),"送付者 ","")&amp;IF(AND(K443&lt;&gt;"",N(K443)&gt;設定!$C$5),"送付日が未来の日付 ","")&amp;IF(AND(K443&lt;&gt;"",N(M443)&gt;0,N(P443)&lt;=0,U443=""),"消込確認者 ","")))</f>
        <v/>
      </c>
      <c r="U443" s="26"/>
      <c r="V443" s="26"/>
    </row>
    <row r="444" customFormat="false" ht="15" hidden="false" customHeight="false" outlineLevel="0" collapsed="false">
      <c r="A444" s="21" t="str">
        <f aca="false">IF(COUNTA(B444,C444,E444,F444)=0,"",設定!$C$4&amp;TEXT(ROW()-4,"00000"))</f>
        <v/>
      </c>
      <c r="B444" s="22"/>
      <c r="C444" s="23"/>
      <c r="D444" s="21" t="str">
        <f aca="false">IF(C444="","",IFERROR(INDEX(取引先マスタ!$B$5:$B$204,MATCH(C444,取引先マスタ!$A$5:$A$204,0)),"コード誤り"))</f>
        <v/>
      </c>
      <c r="E444" s="26"/>
      <c r="F444" s="18"/>
      <c r="G444" s="25" t="str">
        <f aca="false">IF(OR(B444="",C444="",D444="コード誤り"),"",IFERROR(IF(OR(INDEX(取引先マスタ!$E$5:$E$204,MATCH(C444,取引先マスタ!$A$5:$A$204,0))="",INDEX(取引先マスタ!$F$5:$F$204,MATCH(C444,取引先マスタ!$A$5:$A$204,0))=""),"",DATE(YEAR(B444),MONTH(B444)+INDEX(取引先マスタ!$E$5:$E$204,MATCH(C444,取引先マスタ!$A$5:$A$204,0)),MIN(INDEX(取引先マスタ!$F$5:$F$204,MATCH(C444,取引先マスタ!$A$5:$A$204,0)),DAY(EOMONTH(B444,INDEX(取引先マスタ!$E$5:$E$204,MATCH(C444,取引先マスタ!$A$5:$A$204,0))))))),""))</f>
        <v/>
      </c>
      <c r="H444" s="22"/>
      <c r="I444" s="25" t="str">
        <f aca="false">IF(H444&lt;&gt;"",H444,G444)</f>
        <v/>
      </c>
      <c r="J444" s="26"/>
      <c r="K444" s="22"/>
      <c r="L444" s="26"/>
      <c r="M444" s="27" t="str">
        <f aca="false">IF(A444="","",SUMIF(入金明細!$F$5:$F$1004,A444,入金明細!$E$5:$E$1004))</f>
        <v/>
      </c>
      <c r="N444" s="25" t="str">
        <f aca="false">IF(OR(A444="",N(M444)=0),"",SUMPRODUCT(MAX((入金明細!$F$5:$F$1004=A444)*入金明細!$B$5:$B$1004)))</f>
        <v/>
      </c>
      <c r="O444" s="18"/>
      <c r="P444" s="27" t="str">
        <f aca="false">IF(OR(A444="",F444=""),"",F444-N(M444)-N(O444))</f>
        <v/>
      </c>
      <c r="Q444" s="26"/>
      <c r="R444" s="28" t="str">
        <f aca="false">IF(A444="","",IF(Q444="取消","取消",IF(T444&lt;&gt;"","要入力",IF(K444="","未送付",IF(P444=0,"入金済",IF(P444&lt;0,"過入金",IF(設定!$C$5&gt;I444,IF(N(M444)&gt;0,"一部入金・超過","期日超過"),IF(N(M444)&gt;0,"一部入金",IF(I444-設定!$C$5&lt;=設定!$C$6,"期日間近","入金待ち")))))))))</f>
        <v/>
      </c>
      <c r="S444" s="29" t="str">
        <f aca="false">IF(OR(R444="期日超過",R444="一部入金・超過"),設定!$C$5-I444,"")</f>
        <v/>
      </c>
      <c r="T444" s="21" t="str">
        <f aca="false">IF(A444="","",TRIM(IF(B444="","請求日 ","")&amp;IF(C444="","取引先 ",IF(D444="コード誤り","取引先コード誤り ",""))&amp;IF(E444="","件名 ","")&amp;IF(F444="","請求額 ","")&amp;IF(AND(F444&lt;&gt;"",I444=""),"入金期日(マスタの支払条件が未登録) ","")&amp;IF(J444="","送付方法 ","")&amp;IF(AND(K444&lt;&gt;"",L444=""),"送付者 ","")&amp;IF(AND(K444&lt;&gt;"",N(K444)&gt;設定!$C$5),"送付日が未来の日付 ","")&amp;IF(AND(K444&lt;&gt;"",N(M444)&gt;0,N(P444)&lt;=0,U444=""),"消込確認者 ","")))</f>
        <v/>
      </c>
      <c r="U444" s="26"/>
      <c r="V444" s="26"/>
    </row>
    <row r="445" customFormat="false" ht="15" hidden="false" customHeight="false" outlineLevel="0" collapsed="false">
      <c r="A445" s="21" t="str">
        <f aca="false">IF(COUNTA(B445,C445,E445,F445)=0,"",設定!$C$4&amp;TEXT(ROW()-4,"00000"))</f>
        <v/>
      </c>
      <c r="B445" s="22"/>
      <c r="C445" s="23"/>
      <c r="D445" s="21" t="str">
        <f aca="false">IF(C445="","",IFERROR(INDEX(取引先マスタ!$B$5:$B$204,MATCH(C445,取引先マスタ!$A$5:$A$204,0)),"コード誤り"))</f>
        <v/>
      </c>
      <c r="E445" s="26"/>
      <c r="F445" s="18"/>
      <c r="G445" s="25" t="str">
        <f aca="false">IF(OR(B445="",C445="",D445="コード誤り"),"",IFERROR(IF(OR(INDEX(取引先マスタ!$E$5:$E$204,MATCH(C445,取引先マスタ!$A$5:$A$204,0))="",INDEX(取引先マスタ!$F$5:$F$204,MATCH(C445,取引先マスタ!$A$5:$A$204,0))=""),"",DATE(YEAR(B445),MONTH(B445)+INDEX(取引先マスタ!$E$5:$E$204,MATCH(C445,取引先マスタ!$A$5:$A$204,0)),MIN(INDEX(取引先マスタ!$F$5:$F$204,MATCH(C445,取引先マスタ!$A$5:$A$204,0)),DAY(EOMONTH(B445,INDEX(取引先マスタ!$E$5:$E$204,MATCH(C445,取引先マスタ!$A$5:$A$204,0))))))),""))</f>
        <v/>
      </c>
      <c r="H445" s="22"/>
      <c r="I445" s="25" t="str">
        <f aca="false">IF(H445&lt;&gt;"",H445,G445)</f>
        <v/>
      </c>
      <c r="J445" s="26"/>
      <c r="K445" s="22"/>
      <c r="L445" s="26"/>
      <c r="M445" s="27" t="str">
        <f aca="false">IF(A445="","",SUMIF(入金明細!$F$5:$F$1004,A445,入金明細!$E$5:$E$1004))</f>
        <v/>
      </c>
      <c r="N445" s="25" t="str">
        <f aca="false">IF(OR(A445="",N(M445)=0),"",SUMPRODUCT(MAX((入金明細!$F$5:$F$1004=A445)*入金明細!$B$5:$B$1004)))</f>
        <v/>
      </c>
      <c r="O445" s="18"/>
      <c r="P445" s="27" t="str">
        <f aca="false">IF(OR(A445="",F445=""),"",F445-N(M445)-N(O445))</f>
        <v/>
      </c>
      <c r="Q445" s="26"/>
      <c r="R445" s="28" t="str">
        <f aca="false">IF(A445="","",IF(Q445="取消","取消",IF(T445&lt;&gt;"","要入力",IF(K445="","未送付",IF(P445=0,"入金済",IF(P445&lt;0,"過入金",IF(設定!$C$5&gt;I445,IF(N(M445)&gt;0,"一部入金・超過","期日超過"),IF(N(M445)&gt;0,"一部入金",IF(I445-設定!$C$5&lt;=設定!$C$6,"期日間近","入金待ち")))))))))</f>
        <v/>
      </c>
      <c r="S445" s="29" t="str">
        <f aca="false">IF(OR(R445="期日超過",R445="一部入金・超過"),設定!$C$5-I445,"")</f>
        <v/>
      </c>
      <c r="T445" s="21" t="str">
        <f aca="false">IF(A445="","",TRIM(IF(B445="","請求日 ","")&amp;IF(C445="","取引先 ",IF(D445="コード誤り","取引先コード誤り ",""))&amp;IF(E445="","件名 ","")&amp;IF(F445="","請求額 ","")&amp;IF(AND(F445&lt;&gt;"",I445=""),"入金期日(マスタの支払条件が未登録) ","")&amp;IF(J445="","送付方法 ","")&amp;IF(AND(K445&lt;&gt;"",L445=""),"送付者 ","")&amp;IF(AND(K445&lt;&gt;"",N(K445)&gt;設定!$C$5),"送付日が未来の日付 ","")&amp;IF(AND(K445&lt;&gt;"",N(M445)&gt;0,N(P445)&lt;=0,U445=""),"消込確認者 ","")))</f>
        <v/>
      </c>
      <c r="U445" s="26"/>
      <c r="V445" s="26"/>
    </row>
    <row r="446" customFormat="false" ht="15" hidden="false" customHeight="false" outlineLevel="0" collapsed="false">
      <c r="A446" s="21" t="str">
        <f aca="false">IF(COUNTA(B446,C446,E446,F446)=0,"",設定!$C$4&amp;TEXT(ROW()-4,"00000"))</f>
        <v/>
      </c>
      <c r="B446" s="22"/>
      <c r="C446" s="23"/>
      <c r="D446" s="21" t="str">
        <f aca="false">IF(C446="","",IFERROR(INDEX(取引先マスタ!$B$5:$B$204,MATCH(C446,取引先マスタ!$A$5:$A$204,0)),"コード誤り"))</f>
        <v/>
      </c>
      <c r="E446" s="26"/>
      <c r="F446" s="18"/>
      <c r="G446" s="25" t="str">
        <f aca="false">IF(OR(B446="",C446="",D446="コード誤り"),"",IFERROR(IF(OR(INDEX(取引先マスタ!$E$5:$E$204,MATCH(C446,取引先マスタ!$A$5:$A$204,0))="",INDEX(取引先マスタ!$F$5:$F$204,MATCH(C446,取引先マスタ!$A$5:$A$204,0))=""),"",DATE(YEAR(B446),MONTH(B446)+INDEX(取引先マスタ!$E$5:$E$204,MATCH(C446,取引先マスタ!$A$5:$A$204,0)),MIN(INDEX(取引先マスタ!$F$5:$F$204,MATCH(C446,取引先マスタ!$A$5:$A$204,0)),DAY(EOMONTH(B446,INDEX(取引先マスタ!$E$5:$E$204,MATCH(C446,取引先マスタ!$A$5:$A$204,0))))))),""))</f>
        <v/>
      </c>
      <c r="H446" s="22"/>
      <c r="I446" s="25" t="str">
        <f aca="false">IF(H446&lt;&gt;"",H446,G446)</f>
        <v/>
      </c>
      <c r="J446" s="26"/>
      <c r="K446" s="22"/>
      <c r="L446" s="26"/>
      <c r="M446" s="27" t="str">
        <f aca="false">IF(A446="","",SUMIF(入金明細!$F$5:$F$1004,A446,入金明細!$E$5:$E$1004))</f>
        <v/>
      </c>
      <c r="N446" s="25" t="str">
        <f aca="false">IF(OR(A446="",N(M446)=0),"",SUMPRODUCT(MAX((入金明細!$F$5:$F$1004=A446)*入金明細!$B$5:$B$1004)))</f>
        <v/>
      </c>
      <c r="O446" s="18"/>
      <c r="P446" s="27" t="str">
        <f aca="false">IF(OR(A446="",F446=""),"",F446-N(M446)-N(O446))</f>
        <v/>
      </c>
      <c r="Q446" s="26"/>
      <c r="R446" s="28" t="str">
        <f aca="false">IF(A446="","",IF(Q446="取消","取消",IF(T446&lt;&gt;"","要入力",IF(K446="","未送付",IF(P446=0,"入金済",IF(P446&lt;0,"過入金",IF(設定!$C$5&gt;I446,IF(N(M446)&gt;0,"一部入金・超過","期日超過"),IF(N(M446)&gt;0,"一部入金",IF(I446-設定!$C$5&lt;=設定!$C$6,"期日間近","入金待ち")))))))))</f>
        <v/>
      </c>
      <c r="S446" s="29" t="str">
        <f aca="false">IF(OR(R446="期日超過",R446="一部入金・超過"),設定!$C$5-I446,"")</f>
        <v/>
      </c>
      <c r="T446" s="21" t="str">
        <f aca="false">IF(A446="","",TRIM(IF(B446="","請求日 ","")&amp;IF(C446="","取引先 ",IF(D446="コード誤り","取引先コード誤り ",""))&amp;IF(E446="","件名 ","")&amp;IF(F446="","請求額 ","")&amp;IF(AND(F446&lt;&gt;"",I446=""),"入金期日(マスタの支払条件が未登録) ","")&amp;IF(J446="","送付方法 ","")&amp;IF(AND(K446&lt;&gt;"",L446=""),"送付者 ","")&amp;IF(AND(K446&lt;&gt;"",N(K446)&gt;設定!$C$5),"送付日が未来の日付 ","")&amp;IF(AND(K446&lt;&gt;"",N(M446)&gt;0,N(P446)&lt;=0,U446=""),"消込確認者 ","")))</f>
        <v/>
      </c>
      <c r="U446" s="26"/>
      <c r="V446" s="26"/>
    </row>
    <row r="447" customFormat="false" ht="15" hidden="false" customHeight="false" outlineLevel="0" collapsed="false">
      <c r="A447" s="21" t="str">
        <f aca="false">IF(COUNTA(B447,C447,E447,F447)=0,"",設定!$C$4&amp;TEXT(ROW()-4,"00000"))</f>
        <v/>
      </c>
      <c r="B447" s="22"/>
      <c r="C447" s="23"/>
      <c r="D447" s="21" t="str">
        <f aca="false">IF(C447="","",IFERROR(INDEX(取引先マスタ!$B$5:$B$204,MATCH(C447,取引先マスタ!$A$5:$A$204,0)),"コード誤り"))</f>
        <v/>
      </c>
      <c r="E447" s="26"/>
      <c r="F447" s="18"/>
      <c r="G447" s="25" t="str">
        <f aca="false">IF(OR(B447="",C447="",D447="コード誤り"),"",IFERROR(IF(OR(INDEX(取引先マスタ!$E$5:$E$204,MATCH(C447,取引先マスタ!$A$5:$A$204,0))="",INDEX(取引先マスタ!$F$5:$F$204,MATCH(C447,取引先マスタ!$A$5:$A$204,0))=""),"",DATE(YEAR(B447),MONTH(B447)+INDEX(取引先マスタ!$E$5:$E$204,MATCH(C447,取引先マスタ!$A$5:$A$204,0)),MIN(INDEX(取引先マスタ!$F$5:$F$204,MATCH(C447,取引先マスタ!$A$5:$A$204,0)),DAY(EOMONTH(B447,INDEX(取引先マスタ!$E$5:$E$204,MATCH(C447,取引先マスタ!$A$5:$A$204,0))))))),""))</f>
        <v/>
      </c>
      <c r="H447" s="22"/>
      <c r="I447" s="25" t="str">
        <f aca="false">IF(H447&lt;&gt;"",H447,G447)</f>
        <v/>
      </c>
      <c r="J447" s="26"/>
      <c r="K447" s="22"/>
      <c r="L447" s="26"/>
      <c r="M447" s="27" t="str">
        <f aca="false">IF(A447="","",SUMIF(入金明細!$F$5:$F$1004,A447,入金明細!$E$5:$E$1004))</f>
        <v/>
      </c>
      <c r="N447" s="25" t="str">
        <f aca="false">IF(OR(A447="",N(M447)=0),"",SUMPRODUCT(MAX((入金明細!$F$5:$F$1004=A447)*入金明細!$B$5:$B$1004)))</f>
        <v/>
      </c>
      <c r="O447" s="18"/>
      <c r="P447" s="27" t="str">
        <f aca="false">IF(OR(A447="",F447=""),"",F447-N(M447)-N(O447))</f>
        <v/>
      </c>
      <c r="Q447" s="26"/>
      <c r="R447" s="28" t="str">
        <f aca="false">IF(A447="","",IF(Q447="取消","取消",IF(T447&lt;&gt;"","要入力",IF(K447="","未送付",IF(P447=0,"入金済",IF(P447&lt;0,"過入金",IF(設定!$C$5&gt;I447,IF(N(M447)&gt;0,"一部入金・超過","期日超過"),IF(N(M447)&gt;0,"一部入金",IF(I447-設定!$C$5&lt;=設定!$C$6,"期日間近","入金待ち")))))))))</f>
        <v/>
      </c>
      <c r="S447" s="29" t="str">
        <f aca="false">IF(OR(R447="期日超過",R447="一部入金・超過"),設定!$C$5-I447,"")</f>
        <v/>
      </c>
      <c r="T447" s="21" t="str">
        <f aca="false">IF(A447="","",TRIM(IF(B447="","請求日 ","")&amp;IF(C447="","取引先 ",IF(D447="コード誤り","取引先コード誤り ",""))&amp;IF(E447="","件名 ","")&amp;IF(F447="","請求額 ","")&amp;IF(AND(F447&lt;&gt;"",I447=""),"入金期日(マスタの支払条件が未登録) ","")&amp;IF(J447="","送付方法 ","")&amp;IF(AND(K447&lt;&gt;"",L447=""),"送付者 ","")&amp;IF(AND(K447&lt;&gt;"",N(K447)&gt;設定!$C$5),"送付日が未来の日付 ","")&amp;IF(AND(K447&lt;&gt;"",N(M447)&gt;0,N(P447)&lt;=0,U447=""),"消込確認者 ","")))</f>
        <v/>
      </c>
      <c r="U447" s="26"/>
      <c r="V447" s="26"/>
    </row>
    <row r="448" customFormat="false" ht="15" hidden="false" customHeight="false" outlineLevel="0" collapsed="false">
      <c r="A448" s="21" t="str">
        <f aca="false">IF(COUNTA(B448,C448,E448,F448)=0,"",設定!$C$4&amp;TEXT(ROW()-4,"00000"))</f>
        <v/>
      </c>
      <c r="B448" s="22"/>
      <c r="C448" s="23"/>
      <c r="D448" s="21" t="str">
        <f aca="false">IF(C448="","",IFERROR(INDEX(取引先マスタ!$B$5:$B$204,MATCH(C448,取引先マスタ!$A$5:$A$204,0)),"コード誤り"))</f>
        <v/>
      </c>
      <c r="E448" s="26"/>
      <c r="F448" s="18"/>
      <c r="G448" s="25" t="str">
        <f aca="false">IF(OR(B448="",C448="",D448="コード誤り"),"",IFERROR(IF(OR(INDEX(取引先マスタ!$E$5:$E$204,MATCH(C448,取引先マスタ!$A$5:$A$204,0))="",INDEX(取引先マスタ!$F$5:$F$204,MATCH(C448,取引先マスタ!$A$5:$A$204,0))=""),"",DATE(YEAR(B448),MONTH(B448)+INDEX(取引先マスタ!$E$5:$E$204,MATCH(C448,取引先マスタ!$A$5:$A$204,0)),MIN(INDEX(取引先マスタ!$F$5:$F$204,MATCH(C448,取引先マスタ!$A$5:$A$204,0)),DAY(EOMONTH(B448,INDEX(取引先マスタ!$E$5:$E$204,MATCH(C448,取引先マスタ!$A$5:$A$204,0))))))),""))</f>
        <v/>
      </c>
      <c r="H448" s="22"/>
      <c r="I448" s="25" t="str">
        <f aca="false">IF(H448&lt;&gt;"",H448,G448)</f>
        <v/>
      </c>
      <c r="J448" s="26"/>
      <c r="K448" s="22"/>
      <c r="L448" s="26"/>
      <c r="M448" s="27" t="str">
        <f aca="false">IF(A448="","",SUMIF(入金明細!$F$5:$F$1004,A448,入金明細!$E$5:$E$1004))</f>
        <v/>
      </c>
      <c r="N448" s="25" t="str">
        <f aca="false">IF(OR(A448="",N(M448)=0),"",SUMPRODUCT(MAX((入金明細!$F$5:$F$1004=A448)*入金明細!$B$5:$B$1004)))</f>
        <v/>
      </c>
      <c r="O448" s="18"/>
      <c r="P448" s="27" t="str">
        <f aca="false">IF(OR(A448="",F448=""),"",F448-N(M448)-N(O448))</f>
        <v/>
      </c>
      <c r="Q448" s="26"/>
      <c r="R448" s="28" t="str">
        <f aca="false">IF(A448="","",IF(Q448="取消","取消",IF(T448&lt;&gt;"","要入力",IF(K448="","未送付",IF(P448=0,"入金済",IF(P448&lt;0,"過入金",IF(設定!$C$5&gt;I448,IF(N(M448)&gt;0,"一部入金・超過","期日超過"),IF(N(M448)&gt;0,"一部入金",IF(I448-設定!$C$5&lt;=設定!$C$6,"期日間近","入金待ち")))))))))</f>
        <v/>
      </c>
      <c r="S448" s="29" t="str">
        <f aca="false">IF(OR(R448="期日超過",R448="一部入金・超過"),設定!$C$5-I448,"")</f>
        <v/>
      </c>
      <c r="T448" s="21" t="str">
        <f aca="false">IF(A448="","",TRIM(IF(B448="","請求日 ","")&amp;IF(C448="","取引先 ",IF(D448="コード誤り","取引先コード誤り ",""))&amp;IF(E448="","件名 ","")&amp;IF(F448="","請求額 ","")&amp;IF(AND(F448&lt;&gt;"",I448=""),"入金期日(マスタの支払条件が未登録) ","")&amp;IF(J448="","送付方法 ","")&amp;IF(AND(K448&lt;&gt;"",L448=""),"送付者 ","")&amp;IF(AND(K448&lt;&gt;"",N(K448)&gt;設定!$C$5),"送付日が未来の日付 ","")&amp;IF(AND(K448&lt;&gt;"",N(M448)&gt;0,N(P448)&lt;=0,U448=""),"消込確認者 ","")))</f>
        <v/>
      </c>
      <c r="U448" s="26"/>
      <c r="V448" s="26"/>
    </row>
    <row r="449" customFormat="false" ht="15" hidden="false" customHeight="false" outlineLevel="0" collapsed="false">
      <c r="A449" s="21" t="str">
        <f aca="false">IF(COUNTA(B449,C449,E449,F449)=0,"",設定!$C$4&amp;TEXT(ROW()-4,"00000"))</f>
        <v/>
      </c>
      <c r="B449" s="22"/>
      <c r="C449" s="23"/>
      <c r="D449" s="21" t="str">
        <f aca="false">IF(C449="","",IFERROR(INDEX(取引先マスタ!$B$5:$B$204,MATCH(C449,取引先マスタ!$A$5:$A$204,0)),"コード誤り"))</f>
        <v/>
      </c>
      <c r="E449" s="26"/>
      <c r="F449" s="18"/>
      <c r="G449" s="25" t="str">
        <f aca="false">IF(OR(B449="",C449="",D449="コード誤り"),"",IFERROR(IF(OR(INDEX(取引先マスタ!$E$5:$E$204,MATCH(C449,取引先マスタ!$A$5:$A$204,0))="",INDEX(取引先マスタ!$F$5:$F$204,MATCH(C449,取引先マスタ!$A$5:$A$204,0))=""),"",DATE(YEAR(B449),MONTH(B449)+INDEX(取引先マスタ!$E$5:$E$204,MATCH(C449,取引先マスタ!$A$5:$A$204,0)),MIN(INDEX(取引先マスタ!$F$5:$F$204,MATCH(C449,取引先マスタ!$A$5:$A$204,0)),DAY(EOMONTH(B449,INDEX(取引先マスタ!$E$5:$E$204,MATCH(C449,取引先マスタ!$A$5:$A$204,0))))))),""))</f>
        <v/>
      </c>
      <c r="H449" s="22"/>
      <c r="I449" s="25" t="str">
        <f aca="false">IF(H449&lt;&gt;"",H449,G449)</f>
        <v/>
      </c>
      <c r="J449" s="26"/>
      <c r="K449" s="22"/>
      <c r="L449" s="26"/>
      <c r="M449" s="27" t="str">
        <f aca="false">IF(A449="","",SUMIF(入金明細!$F$5:$F$1004,A449,入金明細!$E$5:$E$1004))</f>
        <v/>
      </c>
      <c r="N449" s="25" t="str">
        <f aca="false">IF(OR(A449="",N(M449)=0),"",SUMPRODUCT(MAX((入金明細!$F$5:$F$1004=A449)*入金明細!$B$5:$B$1004)))</f>
        <v/>
      </c>
      <c r="O449" s="18"/>
      <c r="P449" s="27" t="str">
        <f aca="false">IF(OR(A449="",F449=""),"",F449-N(M449)-N(O449))</f>
        <v/>
      </c>
      <c r="Q449" s="26"/>
      <c r="R449" s="28" t="str">
        <f aca="false">IF(A449="","",IF(Q449="取消","取消",IF(T449&lt;&gt;"","要入力",IF(K449="","未送付",IF(P449=0,"入金済",IF(P449&lt;0,"過入金",IF(設定!$C$5&gt;I449,IF(N(M449)&gt;0,"一部入金・超過","期日超過"),IF(N(M449)&gt;0,"一部入金",IF(I449-設定!$C$5&lt;=設定!$C$6,"期日間近","入金待ち")))))))))</f>
        <v/>
      </c>
      <c r="S449" s="29" t="str">
        <f aca="false">IF(OR(R449="期日超過",R449="一部入金・超過"),設定!$C$5-I449,"")</f>
        <v/>
      </c>
      <c r="T449" s="21" t="str">
        <f aca="false">IF(A449="","",TRIM(IF(B449="","請求日 ","")&amp;IF(C449="","取引先 ",IF(D449="コード誤り","取引先コード誤り ",""))&amp;IF(E449="","件名 ","")&amp;IF(F449="","請求額 ","")&amp;IF(AND(F449&lt;&gt;"",I449=""),"入金期日(マスタの支払条件が未登録) ","")&amp;IF(J449="","送付方法 ","")&amp;IF(AND(K449&lt;&gt;"",L449=""),"送付者 ","")&amp;IF(AND(K449&lt;&gt;"",N(K449)&gt;設定!$C$5),"送付日が未来の日付 ","")&amp;IF(AND(K449&lt;&gt;"",N(M449)&gt;0,N(P449)&lt;=0,U449=""),"消込確認者 ","")))</f>
        <v/>
      </c>
      <c r="U449" s="26"/>
      <c r="V449" s="26"/>
    </row>
    <row r="450" customFormat="false" ht="15" hidden="false" customHeight="false" outlineLevel="0" collapsed="false">
      <c r="A450" s="21" t="str">
        <f aca="false">IF(COUNTA(B450,C450,E450,F450)=0,"",設定!$C$4&amp;TEXT(ROW()-4,"00000"))</f>
        <v/>
      </c>
      <c r="B450" s="22"/>
      <c r="C450" s="23"/>
      <c r="D450" s="21" t="str">
        <f aca="false">IF(C450="","",IFERROR(INDEX(取引先マスタ!$B$5:$B$204,MATCH(C450,取引先マスタ!$A$5:$A$204,0)),"コード誤り"))</f>
        <v/>
      </c>
      <c r="E450" s="26"/>
      <c r="F450" s="18"/>
      <c r="G450" s="25" t="str">
        <f aca="false">IF(OR(B450="",C450="",D450="コード誤り"),"",IFERROR(IF(OR(INDEX(取引先マスタ!$E$5:$E$204,MATCH(C450,取引先マスタ!$A$5:$A$204,0))="",INDEX(取引先マスタ!$F$5:$F$204,MATCH(C450,取引先マスタ!$A$5:$A$204,0))=""),"",DATE(YEAR(B450),MONTH(B450)+INDEX(取引先マスタ!$E$5:$E$204,MATCH(C450,取引先マスタ!$A$5:$A$204,0)),MIN(INDEX(取引先マスタ!$F$5:$F$204,MATCH(C450,取引先マスタ!$A$5:$A$204,0)),DAY(EOMONTH(B450,INDEX(取引先マスタ!$E$5:$E$204,MATCH(C450,取引先マスタ!$A$5:$A$204,0))))))),""))</f>
        <v/>
      </c>
      <c r="H450" s="22"/>
      <c r="I450" s="25" t="str">
        <f aca="false">IF(H450&lt;&gt;"",H450,G450)</f>
        <v/>
      </c>
      <c r="J450" s="26"/>
      <c r="K450" s="22"/>
      <c r="L450" s="26"/>
      <c r="M450" s="27" t="str">
        <f aca="false">IF(A450="","",SUMIF(入金明細!$F$5:$F$1004,A450,入金明細!$E$5:$E$1004))</f>
        <v/>
      </c>
      <c r="N450" s="25" t="str">
        <f aca="false">IF(OR(A450="",N(M450)=0),"",SUMPRODUCT(MAX((入金明細!$F$5:$F$1004=A450)*入金明細!$B$5:$B$1004)))</f>
        <v/>
      </c>
      <c r="O450" s="18"/>
      <c r="P450" s="27" t="str">
        <f aca="false">IF(OR(A450="",F450=""),"",F450-N(M450)-N(O450))</f>
        <v/>
      </c>
      <c r="Q450" s="26"/>
      <c r="R450" s="28" t="str">
        <f aca="false">IF(A450="","",IF(Q450="取消","取消",IF(T450&lt;&gt;"","要入力",IF(K450="","未送付",IF(P450=0,"入金済",IF(P450&lt;0,"過入金",IF(設定!$C$5&gt;I450,IF(N(M450)&gt;0,"一部入金・超過","期日超過"),IF(N(M450)&gt;0,"一部入金",IF(I450-設定!$C$5&lt;=設定!$C$6,"期日間近","入金待ち")))))))))</f>
        <v/>
      </c>
      <c r="S450" s="29" t="str">
        <f aca="false">IF(OR(R450="期日超過",R450="一部入金・超過"),設定!$C$5-I450,"")</f>
        <v/>
      </c>
      <c r="T450" s="21" t="str">
        <f aca="false">IF(A450="","",TRIM(IF(B450="","請求日 ","")&amp;IF(C450="","取引先 ",IF(D450="コード誤り","取引先コード誤り ",""))&amp;IF(E450="","件名 ","")&amp;IF(F450="","請求額 ","")&amp;IF(AND(F450&lt;&gt;"",I450=""),"入金期日(マスタの支払条件が未登録) ","")&amp;IF(J450="","送付方法 ","")&amp;IF(AND(K450&lt;&gt;"",L450=""),"送付者 ","")&amp;IF(AND(K450&lt;&gt;"",N(K450)&gt;設定!$C$5),"送付日が未来の日付 ","")&amp;IF(AND(K450&lt;&gt;"",N(M450)&gt;0,N(P450)&lt;=0,U450=""),"消込確認者 ","")))</f>
        <v/>
      </c>
      <c r="U450" s="26"/>
      <c r="V450" s="26"/>
    </row>
    <row r="451" customFormat="false" ht="15" hidden="false" customHeight="false" outlineLevel="0" collapsed="false">
      <c r="A451" s="21" t="str">
        <f aca="false">IF(COUNTA(B451,C451,E451,F451)=0,"",設定!$C$4&amp;TEXT(ROW()-4,"00000"))</f>
        <v/>
      </c>
      <c r="B451" s="22"/>
      <c r="C451" s="23"/>
      <c r="D451" s="21" t="str">
        <f aca="false">IF(C451="","",IFERROR(INDEX(取引先マスタ!$B$5:$B$204,MATCH(C451,取引先マスタ!$A$5:$A$204,0)),"コード誤り"))</f>
        <v/>
      </c>
      <c r="E451" s="26"/>
      <c r="F451" s="18"/>
      <c r="G451" s="25" t="str">
        <f aca="false">IF(OR(B451="",C451="",D451="コード誤り"),"",IFERROR(IF(OR(INDEX(取引先マスタ!$E$5:$E$204,MATCH(C451,取引先マスタ!$A$5:$A$204,0))="",INDEX(取引先マスタ!$F$5:$F$204,MATCH(C451,取引先マスタ!$A$5:$A$204,0))=""),"",DATE(YEAR(B451),MONTH(B451)+INDEX(取引先マスタ!$E$5:$E$204,MATCH(C451,取引先マスタ!$A$5:$A$204,0)),MIN(INDEX(取引先マスタ!$F$5:$F$204,MATCH(C451,取引先マスタ!$A$5:$A$204,0)),DAY(EOMONTH(B451,INDEX(取引先マスタ!$E$5:$E$204,MATCH(C451,取引先マスタ!$A$5:$A$204,0))))))),""))</f>
        <v/>
      </c>
      <c r="H451" s="22"/>
      <c r="I451" s="25" t="str">
        <f aca="false">IF(H451&lt;&gt;"",H451,G451)</f>
        <v/>
      </c>
      <c r="J451" s="26"/>
      <c r="K451" s="22"/>
      <c r="L451" s="26"/>
      <c r="M451" s="27" t="str">
        <f aca="false">IF(A451="","",SUMIF(入金明細!$F$5:$F$1004,A451,入金明細!$E$5:$E$1004))</f>
        <v/>
      </c>
      <c r="N451" s="25" t="str">
        <f aca="false">IF(OR(A451="",N(M451)=0),"",SUMPRODUCT(MAX((入金明細!$F$5:$F$1004=A451)*入金明細!$B$5:$B$1004)))</f>
        <v/>
      </c>
      <c r="O451" s="18"/>
      <c r="P451" s="27" t="str">
        <f aca="false">IF(OR(A451="",F451=""),"",F451-N(M451)-N(O451))</f>
        <v/>
      </c>
      <c r="Q451" s="26"/>
      <c r="R451" s="28" t="str">
        <f aca="false">IF(A451="","",IF(Q451="取消","取消",IF(T451&lt;&gt;"","要入力",IF(K451="","未送付",IF(P451=0,"入金済",IF(P451&lt;0,"過入金",IF(設定!$C$5&gt;I451,IF(N(M451)&gt;0,"一部入金・超過","期日超過"),IF(N(M451)&gt;0,"一部入金",IF(I451-設定!$C$5&lt;=設定!$C$6,"期日間近","入金待ち")))))))))</f>
        <v/>
      </c>
      <c r="S451" s="29" t="str">
        <f aca="false">IF(OR(R451="期日超過",R451="一部入金・超過"),設定!$C$5-I451,"")</f>
        <v/>
      </c>
      <c r="T451" s="21" t="str">
        <f aca="false">IF(A451="","",TRIM(IF(B451="","請求日 ","")&amp;IF(C451="","取引先 ",IF(D451="コード誤り","取引先コード誤り ",""))&amp;IF(E451="","件名 ","")&amp;IF(F451="","請求額 ","")&amp;IF(AND(F451&lt;&gt;"",I451=""),"入金期日(マスタの支払条件が未登録) ","")&amp;IF(J451="","送付方法 ","")&amp;IF(AND(K451&lt;&gt;"",L451=""),"送付者 ","")&amp;IF(AND(K451&lt;&gt;"",N(K451)&gt;設定!$C$5),"送付日が未来の日付 ","")&amp;IF(AND(K451&lt;&gt;"",N(M451)&gt;0,N(P451)&lt;=0,U451=""),"消込確認者 ","")))</f>
        <v/>
      </c>
      <c r="U451" s="26"/>
      <c r="V451" s="26"/>
    </row>
    <row r="452" customFormat="false" ht="15" hidden="false" customHeight="false" outlineLevel="0" collapsed="false">
      <c r="A452" s="21" t="str">
        <f aca="false">IF(COUNTA(B452,C452,E452,F452)=0,"",設定!$C$4&amp;TEXT(ROW()-4,"00000"))</f>
        <v/>
      </c>
      <c r="B452" s="22"/>
      <c r="C452" s="23"/>
      <c r="D452" s="21" t="str">
        <f aca="false">IF(C452="","",IFERROR(INDEX(取引先マスタ!$B$5:$B$204,MATCH(C452,取引先マスタ!$A$5:$A$204,0)),"コード誤り"))</f>
        <v/>
      </c>
      <c r="E452" s="26"/>
      <c r="F452" s="18"/>
      <c r="G452" s="25" t="str">
        <f aca="false">IF(OR(B452="",C452="",D452="コード誤り"),"",IFERROR(IF(OR(INDEX(取引先マスタ!$E$5:$E$204,MATCH(C452,取引先マスタ!$A$5:$A$204,0))="",INDEX(取引先マスタ!$F$5:$F$204,MATCH(C452,取引先マスタ!$A$5:$A$204,0))=""),"",DATE(YEAR(B452),MONTH(B452)+INDEX(取引先マスタ!$E$5:$E$204,MATCH(C452,取引先マスタ!$A$5:$A$204,0)),MIN(INDEX(取引先マスタ!$F$5:$F$204,MATCH(C452,取引先マスタ!$A$5:$A$204,0)),DAY(EOMONTH(B452,INDEX(取引先マスタ!$E$5:$E$204,MATCH(C452,取引先マスタ!$A$5:$A$204,0))))))),""))</f>
        <v/>
      </c>
      <c r="H452" s="22"/>
      <c r="I452" s="25" t="str">
        <f aca="false">IF(H452&lt;&gt;"",H452,G452)</f>
        <v/>
      </c>
      <c r="J452" s="26"/>
      <c r="K452" s="22"/>
      <c r="L452" s="26"/>
      <c r="M452" s="27" t="str">
        <f aca="false">IF(A452="","",SUMIF(入金明細!$F$5:$F$1004,A452,入金明細!$E$5:$E$1004))</f>
        <v/>
      </c>
      <c r="N452" s="25" t="str">
        <f aca="false">IF(OR(A452="",N(M452)=0),"",SUMPRODUCT(MAX((入金明細!$F$5:$F$1004=A452)*入金明細!$B$5:$B$1004)))</f>
        <v/>
      </c>
      <c r="O452" s="18"/>
      <c r="P452" s="27" t="str">
        <f aca="false">IF(OR(A452="",F452=""),"",F452-N(M452)-N(O452))</f>
        <v/>
      </c>
      <c r="Q452" s="26"/>
      <c r="R452" s="28" t="str">
        <f aca="false">IF(A452="","",IF(Q452="取消","取消",IF(T452&lt;&gt;"","要入力",IF(K452="","未送付",IF(P452=0,"入金済",IF(P452&lt;0,"過入金",IF(設定!$C$5&gt;I452,IF(N(M452)&gt;0,"一部入金・超過","期日超過"),IF(N(M452)&gt;0,"一部入金",IF(I452-設定!$C$5&lt;=設定!$C$6,"期日間近","入金待ち")))))))))</f>
        <v/>
      </c>
      <c r="S452" s="29" t="str">
        <f aca="false">IF(OR(R452="期日超過",R452="一部入金・超過"),設定!$C$5-I452,"")</f>
        <v/>
      </c>
      <c r="T452" s="21" t="str">
        <f aca="false">IF(A452="","",TRIM(IF(B452="","請求日 ","")&amp;IF(C452="","取引先 ",IF(D452="コード誤り","取引先コード誤り ",""))&amp;IF(E452="","件名 ","")&amp;IF(F452="","請求額 ","")&amp;IF(AND(F452&lt;&gt;"",I452=""),"入金期日(マスタの支払条件が未登録) ","")&amp;IF(J452="","送付方法 ","")&amp;IF(AND(K452&lt;&gt;"",L452=""),"送付者 ","")&amp;IF(AND(K452&lt;&gt;"",N(K452)&gt;設定!$C$5),"送付日が未来の日付 ","")&amp;IF(AND(K452&lt;&gt;"",N(M452)&gt;0,N(P452)&lt;=0,U452=""),"消込確認者 ","")))</f>
        <v/>
      </c>
      <c r="U452" s="26"/>
      <c r="V452" s="26"/>
    </row>
    <row r="453" customFormat="false" ht="15" hidden="false" customHeight="false" outlineLevel="0" collapsed="false">
      <c r="A453" s="21" t="str">
        <f aca="false">IF(COUNTA(B453,C453,E453,F453)=0,"",設定!$C$4&amp;TEXT(ROW()-4,"00000"))</f>
        <v/>
      </c>
      <c r="B453" s="22"/>
      <c r="C453" s="23"/>
      <c r="D453" s="21" t="str">
        <f aca="false">IF(C453="","",IFERROR(INDEX(取引先マスタ!$B$5:$B$204,MATCH(C453,取引先マスタ!$A$5:$A$204,0)),"コード誤り"))</f>
        <v/>
      </c>
      <c r="E453" s="26"/>
      <c r="F453" s="18"/>
      <c r="G453" s="25" t="str">
        <f aca="false">IF(OR(B453="",C453="",D453="コード誤り"),"",IFERROR(IF(OR(INDEX(取引先マスタ!$E$5:$E$204,MATCH(C453,取引先マスタ!$A$5:$A$204,0))="",INDEX(取引先マスタ!$F$5:$F$204,MATCH(C453,取引先マスタ!$A$5:$A$204,0))=""),"",DATE(YEAR(B453),MONTH(B453)+INDEX(取引先マスタ!$E$5:$E$204,MATCH(C453,取引先マスタ!$A$5:$A$204,0)),MIN(INDEX(取引先マスタ!$F$5:$F$204,MATCH(C453,取引先マスタ!$A$5:$A$204,0)),DAY(EOMONTH(B453,INDEX(取引先マスタ!$E$5:$E$204,MATCH(C453,取引先マスタ!$A$5:$A$204,0))))))),""))</f>
        <v/>
      </c>
      <c r="H453" s="22"/>
      <c r="I453" s="25" t="str">
        <f aca="false">IF(H453&lt;&gt;"",H453,G453)</f>
        <v/>
      </c>
      <c r="J453" s="26"/>
      <c r="K453" s="22"/>
      <c r="L453" s="26"/>
      <c r="M453" s="27" t="str">
        <f aca="false">IF(A453="","",SUMIF(入金明細!$F$5:$F$1004,A453,入金明細!$E$5:$E$1004))</f>
        <v/>
      </c>
      <c r="N453" s="25" t="str">
        <f aca="false">IF(OR(A453="",N(M453)=0),"",SUMPRODUCT(MAX((入金明細!$F$5:$F$1004=A453)*入金明細!$B$5:$B$1004)))</f>
        <v/>
      </c>
      <c r="O453" s="18"/>
      <c r="P453" s="27" t="str">
        <f aca="false">IF(OR(A453="",F453=""),"",F453-N(M453)-N(O453))</f>
        <v/>
      </c>
      <c r="Q453" s="26"/>
      <c r="R453" s="28" t="str">
        <f aca="false">IF(A453="","",IF(Q453="取消","取消",IF(T453&lt;&gt;"","要入力",IF(K453="","未送付",IF(P453=0,"入金済",IF(P453&lt;0,"過入金",IF(設定!$C$5&gt;I453,IF(N(M453)&gt;0,"一部入金・超過","期日超過"),IF(N(M453)&gt;0,"一部入金",IF(I453-設定!$C$5&lt;=設定!$C$6,"期日間近","入金待ち")))))))))</f>
        <v/>
      </c>
      <c r="S453" s="29" t="str">
        <f aca="false">IF(OR(R453="期日超過",R453="一部入金・超過"),設定!$C$5-I453,"")</f>
        <v/>
      </c>
      <c r="T453" s="21" t="str">
        <f aca="false">IF(A453="","",TRIM(IF(B453="","請求日 ","")&amp;IF(C453="","取引先 ",IF(D453="コード誤り","取引先コード誤り ",""))&amp;IF(E453="","件名 ","")&amp;IF(F453="","請求額 ","")&amp;IF(AND(F453&lt;&gt;"",I453=""),"入金期日(マスタの支払条件が未登録) ","")&amp;IF(J453="","送付方法 ","")&amp;IF(AND(K453&lt;&gt;"",L453=""),"送付者 ","")&amp;IF(AND(K453&lt;&gt;"",N(K453)&gt;設定!$C$5),"送付日が未来の日付 ","")&amp;IF(AND(K453&lt;&gt;"",N(M453)&gt;0,N(P453)&lt;=0,U453=""),"消込確認者 ","")))</f>
        <v/>
      </c>
      <c r="U453" s="26"/>
      <c r="V453" s="26"/>
    </row>
    <row r="454" customFormat="false" ht="15" hidden="false" customHeight="false" outlineLevel="0" collapsed="false">
      <c r="A454" s="21" t="str">
        <f aca="false">IF(COUNTA(B454,C454,E454,F454)=0,"",設定!$C$4&amp;TEXT(ROW()-4,"00000"))</f>
        <v/>
      </c>
      <c r="B454" s="22"/>
      <c r="C454" s="23"/>
      <c r="D454" s="21" t="str">
        <f aca="false">IF(C454="","",IFERROR(INDEX(取引先マスタ!$B$5:$B$204,MATCH(C454,取引先マスタ!$A$5:$A$204,0)),"コード誤り"))</f>
        <v/>
      </c>
      <c r="E454" s="26"/>
      <c r="F454" s="18"/>
      <c r="G454" s="25" t="str">
        <f aca="false">IF(OR(B454="",C454="",D454="コード誤り"),"",IFERROR(IF(OR(INDEX(取引先マスタ!$E$5:$E$204,MATCH(C454,取引先マスタ!$A$5:$A$204,0))="",INDEX(取引先マスタ!$F$5:$F$204,MATCH(C454,取引先マスタ!$A$5:$A$204,0))=""),"",DATE(YEAR(B454),MONTH(B454)+INDEX(取引先マスタ!$E$5:$E$204,MATCH(C454,取引先マスタ!$A$5:$A$204,0)),MIN(INDEX(取引先マスタ!$F$5:$F$204,MATCH(C454,取引先マスタ!$A$5:$A$204,0)),DAY(EOMONTH(B454,INDEX(取引先マスタ!$E$5:$E$204,MATCH(C454,取引先マスタ!$A$5:$A$204,0))))))),""))</f>
        <v/>
      </c>
      <c r="H454" s="22"/>
      <c r="I454" s="25" t="str">
        <f aca="false">IF(H454&lt;&gt;"",H454,G454)</f>
        <v/>
      </c>
      <c r="J454" s="26"/>
      <c r="K454" s="22"/>
      <c r="L454" s="26"/>
      <c r="M454" s="27" t="str">
        <f aca="false">IF(A454="","",SUMIF(入金明細!$F$5:$F$1004,A454,入金明細!$E$5:$E$1004))</f>
        <v/>
      </c>
      <c r="N454" s="25" t="str">
        <f aca="false">IF(OR(A454="",N(M454)=0),"",SUMPRODUCT(MAX((入金明細!$F$5:$F$1004=A454)*入金明細!$B$5:$B$1004)))</f>
        <v/>
      </c>
      <c r="O454" s="18"/>
      <c r="P454" s="27" t="str">
        <f aca="false">IF(OR(A454="",F454=""),"",F454-N(M454)-N(O454))</f>
        <v/>
      </c>
      <c r="Q454" s="26"/>
      <c r="R454" s="28" t="str">
        <f aca="false">IF(A454="","",IF(Q454="取消","取消",IF(T454&lt;&gt;"","要入力",IF(K454="","未送付",IF(P454=0,"入金済",IF(P454&lt;0,"過入金",IF(設定!$C$5&gt;I454,IF(N(M454)&gt;0,"一部入金・超過","期日超過"),IF(N(M454)&gt;0,"一部入金",IF(I454-設定!$C$5&lt;=設定!$C$6,"期日間近","入金待ち")))))))))</f>
        <v/>
      </c>
      <c r="S454" s="29" t="str">
        <f aca="false">IF(OR(R454="期日超過",R454="一部入金・超過"),設定!$C$5-I454,"")</f>
        <v/>
      </c>
      <c r="T454" s="21" t="str">
        <f aca="false">IF(A454="","",TRIM(IF(B454="","請求日 ","")&amp;IF(C454="","取引先 ",IF(D454="コード誤り","取引先コード誤り ",""))&amp;IF(E454="","件名 ","")&amp;IF(F454="","請求額 ","")&amp;IF(AND(F454&lt;&gt;"",I454=""),"入金期日(マスタの支払条件が未登録) ","")&amp;IF(J454="","送付方法 ","")&amp;IF(AND(K454&lt;&gt;"",L454=""),"送付者 ","")&amp;IF(AND(K454&lt;&gt;"",N(K454)&gt;設定!$C$5),"送付日が未来の日付 ","")&amp;IF(AND(K454&lt;&gt;"",N(M454)&gt;0,N(P454)&lt;=0,U454=""),"消込確認者 ","")))</f>
        <v/>
      </c>
      <c r="U454" s="26"/>
      <c r="V454" s="26"/>
    </row>
    <row r="455" customFormat="false" ht="15" hidden="false" customHeight="false" outlineLevel="0" collapsed="false">
      <c r="A455" s="21" t="str">
        <f aca="false">IF(COUNTA(B455,C455,E455,F455)=0,"",設定!$C$4&amp;TEXT(ROW()-4,"00000"))</f>
        <v/>
      </c>
      <c r="B455" s="22"/>
      <c r="C455" s="23"/>
      <c r="D455" s="21" t="str">
        <f aca="false">IF(C455="","",IFERROR(INDEX(取引先マスタ!$B$5:$B$204,MATCH(C455,取引先マスタ!$A$5:$A$204,0)),"コード誤り"))</f>
        <v/>
      </c>
      <c r="E455" s="26"/>
      <c r="F455" s="18"/>
      <c r="G455" s="25" t="str">
        <f aca="false">IF(OR(B455="",C455="",D455="コード誤り"),"",IFERROR(IF(OR(INDEX(取引先マスタ!$E$5:$E$204,MATCH(C455,取引先マスタ!$A$5:$A$204,0))="",INDEX(取引先マスタ!$F$5:$F$204,MATCH(C455,取引先マスタ!$A$5:$A$204,0))=""),"",DATE(YEAR(B455),MONTH(B455)+INDEX(取引先マスタ!$E$5:$E$204,MATCH(C455,取引先マスタ!$A$5:$A$204,0)),MIN(INDEX(取引先マスタ!$F$5:$F$204,MATCH(C455,取引先マスタ!$A$5:$A$204,0)),DAY(EOMONTH(B455,INDEX(取引先マスタ!$E$5:$E$204,MATCH(C455,取引先マスタ!$A$5:$A$204,0))))))),""))</f>
        <v/>
      </c>
      <c r="H455" s="22"/>
      <c r="I455" s="25" t="str">
        <f aca="false">IF(H455&lt;&gt;"",H455,G455)</f>
        <v/>
      </c>
      <c r="J455" s="26"/>
      <c r="K455" s="22"/>
      <c r="L455" s="26"/>
      <c r="M455" s="27" t="str">
        <f aca="false">IF(A455="","",SUMIF(入金明細!$F$5:$F$1004,A455,入金明細!$E$5:$E$1004))</f>
        <v/>
      </c>
      <c r="N455" s="25" t="str">
        <f aca="false">IF(OR(A455="",N(M455)=0),"",SUMPRODUCT(MAX((入金明細!$F$5:$F$1004=A455)*入金明細!$B$5:$B$1004)))</f>
        <v/>
      </c>
      <c r="O455" s="18"/>
      <c r="P455" s="27" t="str">
        <f aca="false">IF(OR(A455="",F455=""),"",F455-N(M455)-N(O455))</f>
        <v/>
      </c>
      <c r="Q455" s="26"/>
      <c r="R455" s="28" t="str">
        <f aca="false">IF(A455="","",IF(Q455="取消","取消",IF(T455&lt;&gt;"","要入力",IF(K455="","未送付",IF(P455=0,"入金済",IF(P455&lt;0,"過入金",IF(設定!$C$5&gt;I455,IF(N(M455)&gt;0,"一部入金・超過","期日超過"),IF(N(M455)&gt;0,"一部入金",IF(I455-設定!$C$5&lt;=設定!$C$6,"期日間近","入金待ち")))))))))</f>
        <v/>
      </c>
      <c r="S455" s="29" t="str">
        <f aca="false">IF(OR(R455="期日超過",R455="一部入金・超過"),設定!$C$5-I455,"")</f>
        <v/>
      </c>
      <c r="T455" s="21" t="str">
        <f aca="false">IF(A455="","",TRIM(IF(B455="","請求日 ","")&amp;IF(C455="","取引先 ",IF(D455="コード誤り","取引先コード誤り ",""))&amp;IF(E455="","件名 ","")&amp;IF(F455="","請求額 ","")&amp;IF(AND(F455&lt;&gt;"",I455=""),"入金期日(マスタの支払条件が未登録) ","")&amp;IF(J455="","送付方法 ","")&amp;IF(AND(K455&lt;&gt;"",L455=""),"送付者 ","")&amp;IF(AND(K455&lt;&gt;"",N(K455)&gt;設定!$C$5),"送付日が未来の日付 ","")&amp;IF(AND(K455&lt;&gt;"",N(M455)&gt;0,N(P455)&lt;=0,U455=""),"消込確認者 ","")))</f>
        <v/>
      </c>
      <c r="U455" s="26"/>
      <c r="V455" s="26"/>
    </row>
    <row r="456" customFormat="false" ht="15" hidden="false" customHeight="false" outlineLevel="0" collapsed="false">
      <c r="A456" s="21" t="str">
        <f aca="false">IF(COUNTA(B456,C456,E456,F456)=0,"",設定!$C$4&amp;TEXT(ROW()-4,"00000"))</f>
        <v/>
      </c>
      <c r="B456" s="22"/>
      <c r="C456" s="23"/>
      <c r="D456" s="21" t="str">
        <f aca="false">IF(C456="","",IFERROR(INDEX(取引先マスタ!$B$5:$B$204,MATCH(C456,取引先マスタ!$A$5:$A$204,0)),"コード誤り"))</f>
        <v/>
      </c>
      <c r="E456" s="26"/>
      <c r="F456" s="18"/>
      <c r="G456" s="25" t="str">
        <f aca="false">IF(OR(B456="",C456="",D456="コード誤り"),"",IFERROR(IF(OR(INDEX(取引先マスタ!$E$5:$E$204,MATCH(C456,取引先マスタ!$A$5:$A$204,0))="",INDEX(取引先マスタ!$F$5:$F$204,MATCH(C456,取引先マスタ!$A$5:$A$204,0))=""),"",DATE(YEAR(B456),MONTH(B456)+INDEX(取引先マスタ!$E$5:$E$204,MATCH(C456,取引先マスタ!$A$5:$A$204,0)),MIN(INDEX(取引先マスタ!$F$5:$F$204,MATCH(C456,取引先マスタ!$A$5:$A$204,0)),DAY(EOMONTH(B456,INDEX(取引先マスタ!$E$5:$E$204,MATCH(C456,取引先マスタ!$A$5:$A$204,0))))))),""))</f>
        <v/>
      </c>
      <c r="H456" s="22"/>
      <c r="I456" s="25" t="str">
        <f aca="false">IF(H456&lt;&gt;"",H456,G456)</f>
        <v/>
      </c>
      <c r="J456" s="26"/>
      <c r="K456" s="22"/>
      <c r="L456" s="26"/>
      <c r="M456" s="27" t="str">
        <f aca="false">IF(A456="","",SUMIF(入金明細!$F$5:$F$1004,A456,入金明細!$E$5:$E$1004))</f>
        <v/>
      </c>
      <c r="N456" s="25" t="str">
        <f aca="false">IF(OR(A456="",N(M456)=0),"",SUMPRODUCT(MAX((入金明細!$F$5:$F$1004=A456)*入金明細!$B$5:$B$1004)))</f>
        <v/>
      </c>
      <c r="O456" s="18"/>
      <c r="P456" s="27" t="str">
        <f aca="false">IF(OR(A456="",F456=""),"",F456-N(M456)-N(O456))</f>
        <v/>
      </c>
      <c r="Q456" s="26"/>
      <c r="R456" s="28" t="str">
        <f aca="false">IF(A456="","",IF(Q456="取消","取消",IF(T456&lt;&gt;"","要入力",IF(K456="","未送付",IF(P456=0,"入金済",IF(P456&lt;0,"過入金",IF(設定!$C$5&gt;I456,IF(N(M456)&gt;0,"一部入金・超過","期日超過"),IF(N(M456)&gt;0,"一部入金",IF(I456-設定!$C$5&lt;=設定!$C$6,"期日間近","入金待ち")))))))))</f>
        <v/>
      </c>
      <c r="S456" s="29" t="str">
        <f aca="false">IF(OR(R456="期日超過",R456="一部入金・超過"),設定!$C$5-I456,"")</f>
        <v/>
      </c>
      <c r="T456" s="21" t="str">
        <f aca="false">IF(A456="","",TRIM(IF(B456="","請求日 ","")&amp;IF(C456="","取引先 ",IF(D456="コード誤り","取引先コード誤り ",""))&amp;IF(E456="","件名 ","")&amp;IF(F456="","請求額 ","")&amp;IF(AND(F456&lt;&gt;"",I456=""),"入金期日(マスタの支払条件が未登録) ","")&amp;IF(J456="","送付方法 ","")&amp;IF(AND(K456&lt;&gt;"",L456=""),"送付者 ","")&amp;IF(AND(K456&lt;&gt;"",N(K456)&gt;設定!$C$5),"送付日が未来の日付 ","")&amp;IF(AND(K456&lt;&gt;"",N(M456)&gt;0,N(P456)&lt;=0,U456=""),"消込確認者 ","")))</f>
        <v/>
      </c>
      <c r="U456" s="26"/>
      <c r="V456" s="26"/>
    </row>
    <row r="457" customFormat="false" ht="15" hidden="false" customHeight="false" outlineLevel="0" collapsed="false">
      <c r="A457" s="21" t="str">
        <f aca="false">IF(COUNTA(B457,C457,E457,F457)=0,"",設定!$C$4&amp;TEXT(ROW()-4,"00000"))</f>
        <v/>
      </c>
      <c r="B457" s="22"/>
      <c r="C457" s="23"/>
      <c r="D457" s="21" t="str">
        <f aca="false">IF(C457="","",IFERROR(INDEX(取引先マスタ!$B$5:$B$204,MATCH(C457,取引先マスタ!$A$5:$A$204,0)),"コード誤り"))</f>
        <v/>
      </c>
      <c r="E457" s="26"/>
      <c r="F457" s="18"/>
      <c r="G457" s="25" t="str">
        <f aca="false">IF(OR(B457="",C457="",D457="コード誤り"),"",IFERROR(IF(OR(INDEX(取引先マスタ!$E$5:$E$204,MATCH(C457,取引先マスタ!$A$5:$A$204,0))="",INDEX(取引先マスタ!$F$5:$F$204,MATCH(C457,取引先マスタ!$A$5:$A$204,0))=""),"",DATE(YEAR(B457),MONTH(B457)+INDEX(取引先マスタ!$E$5:$E$204,MATCH(C457,取引先マスタ!$A$5:$A$204,0)),MIN(INDEX(取引先マスタ!$F$5:$F$204,MATCH(C457,取引先マスタ!$A$5:$A$204,0)),DAY(EOMONTH(B457,INDEX(取引先マスタ!$E$5:$E$204,MATCH(C457,取引先マスタ!$A$5:$A$204,0))))))),""))</f>
        <v/>
      </c>
      <c r="H457" s="22"/>
      <c r="I457" s="25" t="str">
        <f aca="false">IF(H457&lt;&gt;"",H457,G457)</f>
        <v/>
      </c>
      <c r="J457" s="26"/>
      <c r="K457" s="22"/>
      <c r="L457" s="26"/>
      <c r="M457" s="27" t="str">
        <f aca="false">IF(A457="","",SUMIF(入金明細!$F$5:$F$1004,A457,入金明細!$E$5:$E$1004))</f>
        <v/>
      </c>
      <c r="N457" s="25" t="str">
        <f aca="false">IF(OR(A457="",N(M457)=0),"",SUMPRODUCT(MAX((入金明細!$F$5:$F$1004=A457)*入金明細!$B$5:$B$1004)))</f>
        <v/>
      </c>
      <c r="O457" s="18"/>
      <c r="P457" s="27" t="str">
        <f aca="false">IF(OR(A457="",F457=""),"",F457-N(M457)-N(O457))</f>
        <v/>
      </c>
      <c r="Q457" s="26"/>
      <c r="R457" s="28" t="str">
        <f aca="false">IF(A457="","",IF(Q457="取消","取消",IF(T457&lt;&gt;"","要入力",IF(K457="","未送付",IF(P457=0,"入金済",IF(P457&lt;0,"過入金",IF(設定!$C$5&gt;I457,IF(N(M457)&gt;0,"一部入金・超過","期日超過"),IF(N(M457)&gt;0,"一部入金",IF(I457-設定!$C$5&lt;=設定!$C$6,"期日間近","入金待ち")))))))))</f>
        <v/>
      </c>
      <c r="S457" s="29" t="str">
        <f aca="false">IF(OR(R457="期日超過",R457="一部入金・超過"),設定!$C$5-I457,"")</f>
        <v/>
      </c>
      <c r="T457" s="21" t="str">
        <f aca="false">IF(A457="","",TRIM(IF(B457="","請求日 ","")&amp;IF(C457="","取引先 ",IF(D457="コード誤り","取引先コード誤り ",""))&amp;IF(E457="","件名 ","")&amp;IF(F457="","請求額 ","")&amp;IF(AND(F457&lt;&gt;"",I457=""),"入金期日(マスタの支払条件が未登録) ","")&amp;IF(J457="","送付方法 ","")&amp;IF(AND(K457&lt;&gt;"",L457=""),"送付者 ","")&amp;IF(AND(K457&lt;&gt;"",N(K457)&gt;設定!$C$5),"送付日が未来の日付 ","")&amp;IF(AND(K457&lt;&gt;"",N(M457)&gt;0,N(P457)&lt;=0,U457=""),"消込確認者 ","")))</f>
        <v/>
      </c>
      <c r="U457" s="26"/>
      <c r="V457" s="26"/>
    </row>
    <row r="458" customFormat="false" ht="15" hidden="false" customHeight="false" outlineLevel="0" collapsed="false">
      <c r="A458" s="21" t="str">
        <f aca="false">IF(COUNTA(B458,C458,E458,F458)=0,"",設定!$C$4&amp;TEXT(ROW()-4,"00000"))</f>
        <v/>
      </c>
      <c r="B458" s="22"/>
      <c r="C458" s="23"/>
      <c r="D458" s="21" t="str">
        <f aca="false">IF(C458="","",IFERROR(INDEX(取引先マスタ!$B$5:$B$204,MATCH(C458,取引先マスタ!$A$5:$A$204,0)),"コード誤り"))</f>
        <v/>
      </c>
      <c r="E458" s="26"/>
      <c r="F458" s="18"/>
      <c r="G458" s="25" t="str">
        <f aca="false">IF(OR(B458="",C458="",D458="コード誤り"),"",IFERROR(IF(OR(INDEX(取引先マスタ!$E$5:$E$204,MATCH(C458,取引先マスタ!$A$5:$A$204,0))="",INDEX(取引先マスタ!$F$5:$F$204,MATCH(C458,取引先マスタ!$A$5:$A$204,0))=""),"",DATE(YEAR(B458),MONTH(B458)+INDEX(取引先マスタ!$E$5:$E$204,MATCH(C458,取引先マスタ!$A$5:$A$204,0)),MIN(INDEX(取引先マスタ!$F$5:$F$204,MATCH(C458,取引先マスタ!$A$5:$A$204,0)),DAY(EOMONTH(B458,INDEX(取引先マスタ!$E$5:$E$204,MATCH(C458,取引先マスタ!$A$5:$A$204,0))))))),""))</f>
        <v/>
      </c>
      <c r="H458" s="22"/>
      <c r="I458" s="25" t="str">
        <f aca="false">IF(H458&lt;&gt;"",H458,G458)</f>
        <v/>
      </c>
      <c r="J458" s="26"/>
      <c r="K458" s="22"/>
      <c r="L458" s="26"/>
      <c r="M458" s="27" t="str">
        <f aca="false">IF(A458="","",SUMIF(入金明細!$F$5:$F$1004,A458,入金明細!$E$5:$E$1004))</f>
        <v/>
      </c>
      <c r="N458" s="25" t="str">
        <f aca="false">IF(OR(A458="",N(M458)=0),"",SUMPRODUCT(MAX((入金明細!$F$5:$F$1004=A458)*入金明細!$B$5:$B$1004)))</f>
        <v/>
      </c>
      <c r="O458" s="18"/>
      <c r="P458" s="27" t="str">
        <f aca="false">IF(OR(A458="",F458=""),"",F458-N(M458)-N(O458))</f>
        <v/>
      </c>
      <c r="Q458" s="26"/>
      <c r="R458" s="28" t="str">
        <f aca="false">IF(A458="","",IF(Q458="取消","取消",IF(T458&lt;&gt;"","要入力",IF(K458="","未送付",IF(P458=0,"入金済",IF(P458&lt;0,"過入金",IF(設定!$C$5&gt;I458,IF(N(M458)&gt;0,"一部入金・超過","期日超過"),IF(N(M458)&gt;0,"一部入金",IF(I458-設定!$C$5&lt;=設定!$C$6,"期日間近","入金待ち")))))))))</f>
        <v/>
      </c>
      <c r="S458" s="29" t="str">
        <f aca="false">IF(OR(R458="期日超過",R458="一部入金・超過"),設定!$C$5-I458,"")</f>
        <v/>
      </c>
      <c r="T458" s="21" t="str">
        <f aca="false">IF(A458="","",TRIM(IF(B458="","請求日 ","")&amp;IF(C458="","取引先 ",IF(D458="コード誤り","取引先コード誤り ",""))&amp;IF(E458="","件名 ","")&amp;IF(F458="","請求額 ","")&amp;IF(AND(F458&lt;&gt;"",I458=""),"入金期日(マスタの支払条件が未登録) ","")&amp;IF(J458="","送付方法 ","")&amp;IF(AND(K458&lt;&gt;"",L458=""),"送付者 ","")&amp;IF(AND(K458&lt;&gt;"",N(K458)&gt;設定!$C$5),"送付日が未来の日付 ","")&amp;IF(AND(K458&lt;&gt;"",N(M458)&gt;0,N(P458)&lt;=0,U458=""),"消込確認者 ","")))</f>
        <v/>
      </c>
      <c r="U458" s="26"/>
      <c r="V458" s="26"/>
    </row>
    <row r="459" customFormat="false" ht="15" hidden="false" customHeight="false" outlineLevel="0" collapsed="false">
      <c r="A459" s="21" t="str">
        <f aca="false">IF(COUNTA(B459,C459,E459,F459)=0,"",設定!$C$4&amp;TEXT(ROW()-4,"00000"))</f>
        <v/>
      </c>
      <c r="B459" s="22"/>
      <c r="C459" s="23"/>
      <c r="D459" s="21" t="str">
        <f aca="false">IF(C459="","",IFERROR(INDEX(取引先マスタ!$B$5:$B$204,MATCH(C459,取引先マスタ!$A$5:$A$204,0)),"コード誤り"))</f>
        <v/>
      </c>
      <c r="E459" s="26"/>
      <c r="F459" s="18"/>
      <c r="G459" s="25" t="str">
        <f aca="false">IF(OR(B459="",C459="",D459="コード誤り"),"",IFERROR(IF(OR(INDEX(取引先マスタ!$E$5:$E$204,MATCH(C459,取引先マスタ!$A$5:$A$204,0))="",INDEX(取引先マスタ!$F$5:$F$204,MATCH(C459,取引先マスタ!$A$5:$A$204,0))=""),"",DATE(YEAR(B459),MONTH(B459)+INDEX(取引先マスタ!$E$5:$E$204,MATCH(C459,取引先マスタ!$A$5:$A$204,0)),MIN(INDEX(取引先マスタ!$F$5:$F$204,MATCH(C459,取引先マスタ!$A$5:$A$204,0)),DAY(EOMONTH(B459,INDEX(取引先マスタ!$E$5:$E$204,MATCH(C459,取引先マスタ!$A$5:$A$204,0))))))),""))</f>
        <v/>
      </c>
      <c r="H459" s="22"/>
      <c r="I459" s="25" t="str">
        <f aca="false">IF(H459&lt;&gt;"",H459,G459)</f>
        <v/>
      </c>
      <c r="J459" s="26"/>
      <c r="K459" s="22"/>
      <c r="L459" s="26"/>
      <c r="M459" s="27" t="str">
        <f aca="false">IF(A459="","",SUMIF(入金明細!$F$5:$F$1004,A459,入金明細!$E$5:$E$1004))</f>
        <v/>
      </c>
      <c r="N459" s="25" t="str">
        <f aca="false">IF(OR(A459="",N(M459)=0),"",SUMPRODUCT(MAX((入金明細!$F$5:$F$1004=A459)*入金明細!$B$5:$B$1004)))</f>
        <v/>
      </c>
      <c r="O459" s="18"/>
      <c r="P459" s="27" t="str">
        <f aca="false">IF(OR(A459="",F459=""),"",F459-N(M459)-N(O459))</f>
        <v/>
      </c>
      <c r="Q459" s="26"/>
      <c r="R459" s="28" t="str">
        <f aca="false">IF(A459="","",IF(Q459="取消","取消",IF(T459&lt;&gt;"","要入力",IF(K459="","未送付",IF(P459=0,"入金済",IF(P459&lt;0,"過入金",IF(設定!$C$5&gt;I459,IF(N(M459)&gt;0,"一部入金・超過","期日超過"),IF(N(M459)&gt;0,"一部入金",IF(I459-設定!$C$5&lt;=設定!$C$6,"期日間近","入金待ち")))))))))</f>
        <v/>
      </c>
      <c r="S459" s="29" t="str">
        <f aca="false">IF(OR(R459="期日超過",R459="一部入金・超過"),設定!$C$5-I459,"")</f>
        <v/>
      </c>
      <c r="T459" s="21" t="str">
        <f aca="false">IF(A459="","",TRIM(IF(B459="","請求日 ","")&amp;IF(C459="","取引先 ",IF(D459="コード誤り","取引先コード誤り ",""))&amp;IF(E459="","件名 ","")&amp;IF(F459="","請求額 ","")&amp;IF(AND(F459&lt;&gt;"",I459=""),"入金期日(マスタの支払条件が未登録) ","")&amp;IF(J459="","送付方法 ","")&amp;IF(AND(K459&lt;&gt;"",L459=""),"送付者 ","")&amp;IF(AND(K459&lt;&gt;"",N(K459)&gt;設定!$C$5),"送付日が未来の日付 ","")&amp;IF(AND(K459&lt;&gt;"",N(M459)&gt;0,N(P459)&lt;=0,U459=""),"消込確認者 ","")))</f>
        <v/>
      </c>
      <c r="U459" s="26"/>
      <c r="V459" s="26"/>
    </row>
    <row r="460" customFormat="false" ht="15" hidden="false" customHeight="false" outlineLevel="0" collapsed="false">
      <c r="A460" s="21" t="str">
        <f aca="false">IF(COUNTA(B460,C460,E460,F460)=0,"",設定!$C$4&amp;TEXT(ROW()-4,"00000"))</f>
        <v/>
      </c>
      <c r="B460" s="22"/>
      <c r="C460" s="23"/>
      <c r="D460" s="21" t="str">
        <f aca="false">IF(C460="","",IFERROR(INDEX(取引先マスタ!$B$5:$B$204,MATCH(C460,取引先マスタ!$A$5:$A$204,0)),"コード誤り"))</f>
        <v/>
      </c>
      <c r="E460" s="26"/>
      <c r="F460" s="18"/>
      <c r="G460" s="25" t="str">
        <f aca="false">IF(OR(B460="",C460="",D460="コード誤り"),"",IFERROR(IF(OR(INDEX(取引先マスタ!$E$5:$E$204,MATCH(C460,取引先マスタ!$A$5:$A$204,0))="",INDEX(取引先マスタ!$F$5:$F$204,MATCH(C460,取引先マスタ!$A$5:$A$204,0))=""),"",DATE(YEAR(B460),MONTH(B460)+INDEX(取引先マスタ!$E$5:$E$204,MATCH(C460,取引先マスタ!$A$5:$A$204,0)),MIN(INDEX(取引先マスタ!$F$5:$F$204,MATCH(C460,取引先マスタ!$A$5:$A$204,0)),DAY(EOMONTH(B460,INDEX(取引先マスタ!$E$5:$E$204,MATCH(C460,取引先マスタ!$A$5:$A$204,0))))))),""))</f>
        <v/>
      </c>
      <c r="H460" s="22"/>
      <c r="I460" s="25" t="str">
        <f aca="false">IF(H460&lt;&gt;"",H460,G460)</f>
        <v/>
      </c>
      <c r="J460" s="26"/>
      <c r="K460" s="22"/>
      <c r="L460" s="26"/>
      <c r="M460" s="27" t="str">
        <f aca="false">IF(A460="","",SUMIF(入金明細!$F$5:$F$1004,A460,入金明細!$E$5:$E$1004))</f>
        <v/>
      </c>
      <c r="N460" s="25" t="str">
        <f aca="false">IF(OR(A460="",N(M460)=0),"",SUMPRODUCT(MAX((入金明細!$F$5:$F$1004=A460)*入金明細!$B$5:$B$1004)))</f>
        <v/>
      </c>
      <c r="O460" s="18"/>
      <c r="P460" s="27" t="str">
        <f aca="false">IF(OR(A460="",F460=""),"",F460-N(M460)-N(O460))</f>
        <v/>
      </c>
      <c r="Q460" s="26"/>
      <c r="R460" s="28" t="str">
        <f aca="false">IF(A460="","",IF(Q460="取消","取消",IF(T460&lt;&gt;"","要入力",IF(K460="","未送付",IF(P460=0,"入金済",IF(P460&lt;0,"過入金",IF(設定!$C$5&gt;I460,IF(N(M460)&gt;0,"一部入金・超過","期日超過"),IF(N(M460)&gt;0,"一部入金",IF(I460-設定!$C$5&lt;=設定!$C$6,"期日間近","入金待ち")))))))))</f>
        <v/>
      </c>
      <c r="S460" s="29" t="str">
        <f aca="false">IF(OR(R460="期日超過",R460="一部入金・超過"),設定!$C$5-I460,"")</f>
        <v/>
      </c>
      <c r="T460" s="21" t="str">
        <f aca="false">IF(A460="","",TRIM(IF(B460="","請求日 ","")&amp;IF(C460="","取引先 ",IF(D460="コード誤り","取引先コード誤り ",""))&amp;IF(E460="","件名 ","")&amp;IF(F460="","請求額 ","")&amp;IF(AND(F460&lt;&gt;"",I460=""),"入金期日(マスタの支払条件が未登録) ","")&amp;IF(J460="","送付方法 ","")&amp;IF(AND(K460&lt;&gt;"",L460=""),"送付者 ","")&amp;IF(AND(K460&lt;&gt;"",N(K460)&gt;設定!$C$5),"送付日が未来の日付 ","")&amp;IF(AND(K460&lt;&gt;"",N(M460)&gt;0,N(P460)&lt;=0,U460=""),"消込確認者 ","")))</f>
        <v/>
      </c>
      <c r="U460" s="26"/>
      <c r="V460" s="26"/>
    </row>
    <row r="461" customFormat="false" ht="15" hidden="false" customHeight="false" outlineLevel="0" collapsed="false">
      <c r="A461" s="21" t="str">
        <f aca="false">IF(COUNTA(B461,C461,E461,F461)=0,"",設定!$C$4&amp;TEXT(ROW()-4,"00000"))</f>
        <v/>
      </c>
      <c r="B461" s="22"/>
      <c r="C461" s="23"/>
      <c r="D461" s="21" t="str">
        <f aca="false">IF(C461="","",IFERROR(INDEX(取引先マスタ!$B$5:$B$204,MATCH(C461,取引先マスタ!$A$5:$A$204,0)),"コード誤り"))</f>
        <v/>
      </c>
      <c r="E461" s="26"/>
      <c r="F461" s="18"/>
      <c r="G461" s="25" t="str">
        <f aca="false">IF(OR(B461="",C461="",D461="コード誤り"),"",IFERROR(IF(OR(INDEX(取引先マスタ!$E$5:$E$204,MATCH(C461,取引先マスタ!$A$5:$A$204,0))="",INDEX(取引先マスタ!$F$5:$F$204,MATCH(C461,取引先マスタ!$A$5:$A$204,0))=""),"",DATE(YEAR(B461),MONTH(B461)+INDEX(取引先マスタ!$E$5:$E$204,MATCH(C461,取引先マスタ!$A$5:$A$204,0)),MIN(INDEX(取引先マスタ!$F$5:$F$204,MATCH(C461,取引先マスタ!$A$5:$A$204,0)),DAY(EOMONTH(B461,INDEX(取引先マスタ!$E$5:$E$204,MATCH(C461,取引先マスタ!$A$5:$A$204,0))))))),""))</f>
        <v/>
      </c>
      <c r="H461" s="22"/>
      <c r="I461" s="25" t="str">
        <f aca="false">IF(H461&lt;&gt;"",H461,G461)</f>
        <v/>
      </c>
      <c r="J461" s="26"/>
      <c r="K461" s="22"/>
      <c r="L461" s="26"/>
      <c r="M461" s="27" t="str">
        <f aca="false">IF(A461="","",SUMIF(入金明細!$F$5:$F$1004,A461,入金明細!$E$5:$E$1004))</f>
        <v/>
      </c>
      <c r="N461" s="25" t="str">
        <f aca="false">IF(OR(A461="",N(M461)=0),"",SUMPRODUCT(MAX((入金明細!$F$5:$F$1004=A461)*入金明細!$B$5:$B$1004)))</f>
        <v/>
      </c>
      <c r="O461" s="18"/>
      <c r="P461" s="27" t="str">
        <f aca="false">IF(OR(A461="",F461=""),"",F461-N(M461)-N(O461))</f>
        <v/>
      </c>
      <c r="Q461" s="26"/>
      <c r="R461" s="28" t="str">
        <f aca="false">IF(A461="","",IF(Q461="取消","取消",IF(T461&lt;&gt;"","要入力",IF(K461="","未送付",IF(P461=0,"入金済",IF(P461&lt;0,"過入金",IF(設定!$C$5&gt;I461,IF(N(M461)&gt;0,"一部入金・超過","期日超過"),IF(N(M461)&gt;0,"一部入金",IF(I461-設定!$C$5&lt;=設定!$C$6,"期日間近","入金待ち")))))))))</f>
        <v/>
      </c>
      <c r="S461" s="29" t="str">
        <f aca="false">IF(OR(R461="期日超過",R461="一部入金・超過"),設定!$C$5-I461,"")</f>
        <v/>
      </c>
      <c r="T461" s="21" t="str">
        <f aca="false">IF(A461="","",TRIM(IF(B461="","請求日 ","")&amp;IF(C461="","取引先 ",IF(D461="コード誤り","取引先コード誤り ",""))&amp;IF(E461="","件名 ","")&amp;IF(F461="","請求額 ","")&amp;IF(AND(F461&lt;&gt;"",I461=""),"入金期日(マスタの支払条件が未登録) ","")&amp;IF(J461="","送付方法 ","")&amp;IF(AND(K461&lt;&gt;"",L461=""),"送付者 ","")&amp;IF(AND(K461&lt;&gt;"",N(K461)&gt;設定!$C$5),"送付日が未来の日付 ","")&amp;IF(AND(K461&lt;&gt;"",N(M461)&gt;0,N(P461)&lt;=0,U461=""),"消込確認者 ","")))</f>
        <v/>
      </c>
      <c r="U461" s="26"/>
      <c r="V461" s="26"/>
    </row>
    <row r="462" customFormat="false" ht="15" hidden="false" customHeight="false" outlineLevel="0" collapsed="false">
      <c r="A462" s="21" t="str">
        <f aca="false">IF(COUNTA(B462,C462,E462,F462)=0,"",設定!$C$4&amp;TEXT(ROW()-4,"00000"))</f>
        <v/>
      </c>
      <c r="B462" s="22"/>
      <c r="C462" s="23"/>
      <c r="D462" s="21" t="str">
        <f aca="false">IF(C462="","",IFERROR(INDEX(取引先マスタ!$B$5:$B$204,MATCH(C462,取引先マスタ!$A$5:$A$204,0)),"コード誤り"))</f>
        <v/>
      </c>
      <c r="E462" s="26"/>
      <c r="F462" s="18"/>
      <c r="G462" s="25" t="str">
        <f aca="false">IF(OR(B462="",C462="",D462="コード誤り"),"",IFERROR(IF(OR(INDEX(取引先マスタ!$E$5:$E$204,MATCH(C462,取引先マスタ!$A$5:$A$204,0))="",INDEX(取引先マスタ!$F$5:$F$204,MATCH(C462,取引先マスタ!$A$5:$A$204,0))=""),"",DATE(YEAR(B462),MONTH(B462)+INDEX(取引先マスタ!$E$5:$E$204,MATCH(C462,取引先マスタ!$A$5:$A$204,0)),MIN(INDEX(取引先マスタ!$F$5:$F$204,MATCH(C462,取引先マスタ!$A$5:$A$204,0)),DAY(EOMONTH(B462,INDEX(取引先マスタ!$E$5:$E$204,MATCH(C462,取引先マスタ!$A$5:$A$204,0))))))),""))</f>
        <v/>
      </c>
      <c r="H462" s="22"/>
      <c r="I462" s="25" t="str">
        <f aca="false">IF(H462&lt;&gt;"",H462,G462)</f>
        <v/>
      </c>
      <c r="J462" s="26"/>
      <c r="K462" s="22"/>
      <c r="L462" s="26"/>
      <c r="M462" s="27" t="str">
        <f aca="false">IF(A462="","",SUMIF(入金明細!$F$5:$F$1004,A462,入金明細!$E$5:$E$1004))</f>
        <v/>
      </c>
      <c r="N462" s="25" t="str">
        <f aca="false">IF(OR(A462="",N(M462)=0),"",SUMPRODUCT(MAX((入金明細!$F$5:$F$1004=A462)*入金明細!$B$5:$B$1004)))</f>
        <v/>
      </c>
      <c r="O462" s="18"/>
      <c r="P462" s="27" t="str">
        <f aca="false">IF(OR(A462="",F462=""),"",F462-N(M462)-N(O462))</f>
        <v/>
      </c>
      <c r="Q462" s="26"/>
      <c r="R462" s="28" t="str">
        <f aca="false">IF(A462="","",IF(Q462="取消","取消",IF(T462&lt;&gt;"","要入力",IF(K462="","未送付",IF(P462=0,"入金済",IF(P462&lt;0,"過入金",IF(設定!$C$5&gt;I462,IF(N(M462)&gt;0,"一部入金・超過","期日超過"),IF(N(M462)&gt;0,"一部入金",IF(I462-設定!$C$5&lt;=設定!$C$6,"期日間近","入金待ち")))))))))</f>
        <v/>
      </c>
      <c r="S462" s="29" t="str">
        <f aca="false">IF(OR(R462="期日超過",R462="一部入金・超過"),設定!$C$5-I462,"")</f>
        <v/>
      </c>
      <c r="T462" s="21" t="str">
        <f aca="false">IF(A462="","",TRIM(IF(B462="","請求日 ","")&amp;IF(C462="","取引先 ",IF(D462="コード誤り","取引先コード誤り ",""))&amp;IF(E462="","件名 ","")&amp;IF(F462="","請求額 ","")&amp;IF(AND(F462&lt;&gt;"",I462=""),"入金期日(マスタの支払条件が未登録) ","")&amp;IF(J462="","送付方法 ","")&amp;IF(AND(K462&lt;&gt;"",L462=""),"送付者 ","")&amp;IF(AND(K462&lt;&gt;"",N(K462)&gt;設定!$C$5),"送付日が未来の日付 ","")&amp;IF(AND(K462&lt;&gt;"",N(M462)&gt;0,N(P462)&lt;=0,U462=""),"消込確認者 ","")))</f>
        <v/>
      </c>
      <c r="U462" s="26"/>
      <c r="V462" s="26"/>
    </row>
    <row r="463" customFormat="false" ht="15" hidden="false" customHeight="false" outlineLevel="0" collapsed="false">
      <c r="A463" s="21" t="str">
        <f aca="false">IF(COUNTA(B463,C463,E463,F463)=0,"",設定!$C$4&amp;TEXT(ROW()-4,"00000"))</f>
        <v/>
      </c>
      <c r="B463" s="22"/>
      <c r="C463" s="23"/>
      <c r="D463" s="21" t="str">
        <f aca="false">IF(C463="","",IFERROR(INDEX(取引先マスタ!$B$5:$B$204,MATCH(C463,取引先マスタ!$A$5:$A$204,0)),"コード誤り"))</f>
        <v/>
      </c>
      <c r="E463" s="26"/>
      <c r="F463" s="18"/>
      <c r="G463" s="25" t="str">
        <f aca="false">IF(OR(B463="",C463="",D463="コード誤り"),"",IFERROR(IF(OR(INDEX(取引先マスタ!$E$5:$E$204,MATCH(C463,取引先マスタ!$A$5:$A$204,0))="",INDEX(取引先マスタ!$F$5:$F$204,MATCH(C463,取引先マスタ!$A$5:$A$204,0))=""),"",DATE(YEAR(B463),MONTH(B463)+INDEX(取引先マスタ!$E$5:$E$204,MATCH(C463,取引先マスタ!$A$5:$A$204,0)),MIN(INDEX(取引先マスタ!$F$5:$F$204,MATCH(C463,取引先マスタ!$A$5:$A$204,0)),DAY(EOMONTH(B463,INDEX(取引先マスタ!$E$5:$E$204,MATCH(C463,取引先マスタ!$A$5:$A$204,0))))))),""))</f>
        <v/>
      </c>
      <c r="H463" s="22"/>
      <c r="I463" s="25" t="str">
        <f aca="false">IF(H463&lt;&gt;"",H463,G463)</f>
        <v/>
      </c>
      <c r="J463" s="26"/>
      <c r="K463" s="22"/>
      <c r="L463" s="26"/>
      <c r="M463" s="27" t="str">
        <f aca="false">IF(A463="","",SUMIF(入金明細!$F$5:$F$1004,A463,入金明細!$E$5:$E$1004))</f>
        <v/>
      </c>
      <c r="N463" s="25" t="str">
        <f aca="false">IF(OR(A463="",N(M463)=0),"",SUMPRODUCT(MAX((入金明細!$F$5:$F$1004=A463)*入金明細!$B$5:$B$1004)))</f>
        <v/>
      </c>
      <c r="O463" s="18"/>
      <c r="P463" s="27" t="str">
        <f aca="false">IF(OR(A463="",F463=""),"",F463-N(M463)-N(O463))</f>
        <v/>
      </c>
      <c r="Q463" s="26"/>
      <c r="R463" s="28" t="str">
        <f aca="false">IF(A463="","",IF(Q463="取消","取消",IF(T463&lt;&gt;"","要入力",IF(K463="","未送付",IF(P463=0,"入金済",IF(P463&lt;0,"過入金",IF(設定!$C$5&gt;I463,IF(N(M463)&gt;0,"一部入金・超過","期日超過"),IF(N(M463)&gt;0,"一部入金",IF(I463-設定!$C$5&lt;=設定!$C$6,"期日間近","入金待ち")))))))))</f>
        <v/>
      </c>
      <c r="S463" s="29" t="str">
        <f aca="false">IF(OR(R463="期日超過",R463="一部入金・超過"),設定!$C$5-I463,"")</f>
        <v/>
      </c>
      <c r="T463" s="21" t="str">
        <f aca="false">IF(A463="","",TRIM(IF(B463="","請求日 ","")&amp;IF(C463="","取引先 ",IF(D463="コード誤り","取引先コード誤り ",""))&amp;IF(E463="","件名 ","")&amp;IF(F463="","請求額 ","")&amp;IF(AND(F463&lt;&gt;"",I463=""),"入金期日(マスタの支払条件が未登録) ","")&amp;IF(J463="","送付方法 ","")&amp;IF(AND(K463&lt;&gt;"",L463=""),"送付者 ","")&amp;IF(AND(K463&lt;&gt;"",N(K463)&gt;設定!$C$5),"送付日が未来の日付 ","")&amp;IF(AND(K463&lt;&gt;"",N(M463)&gt;0,N(P463)&lt;=0,U463=""),"消込確認者 ","")))</f>
        <v/>
      </c>
      <c r="U463" s="26"/>
      <c r="V463" s="26"/>
    </row>
    <row r="464" customFormat="false" ht="15" hidden="false" customHeight="false" outlineLevel="0" collapsed="false">
      <c r="A464" s="21" t="str">
        <f aca="false">IF(COUNTA(B464,C464,E464,F464)=0,"",設定!$C$4&amp;TEXT(ROW()-4,"00000"))</f>
        <v/>
      </c>
      <c r="B464" s="22"/>
      <c r="C464" s="23"/>
      <c r="D464" s="21" t="str">
        <f aca="false">IF(C464="","",IFERROR(INDEX(取引先マスタ!$B$5:$B$204,MATCH(C464,取引先マスタ!$A$5:$A$204,0)),"コード誤り"))</f>
        <v/>
      </c>
      <c r="E464" s="26"/>
      <c r="F464" s="18"/>
      <c r="G464" s="25" t="str">
        <f aca="false">IF(OR(B464="",C464="",D464="コード誤り"),"",IFERROR(IF(OR(INDEX(取引先マスタ!$E$5:$E$204,MATCH(C464,取引先マスタ!$A$5:$A$204,0))="",INDEX(取引先マスタ!$F$5:$F$204,MATCH(C464,取引先マスタ!$A$5:$A$204,0))=""),"",DATE(YEAR(B464),MONTH(B464)+INDEX(取引先マスタ!$E$5:$E$204,MATCH(C464,取引先マスタ!$A$5:$A$204,0)),MIN(INDEX(取引先マスタ!$F$5:$F$204,MATCH(C464,取引先マスタ!$A$5:$A$204,0)),DAY(EOMONTH(B464,INDEX(取引先マスタ!$E$5:$E$204,MATCH(C464,取引先マスタ!$A$5:$A$204,0))))))),""))</f>
        <v/>
      </c>
      <c r="H464" s="22"/>
      <c r="I464" s="25" t="str">
        <f aca="false">IF(H464&lt;&gt;"",H464,G464)</f>
        <v/>
      </c>
      <c r="J464" s="26"/>
      <c r="K464" s="22"/>
      <c r="L464" s="26"/>
      <c r="M464" s="27" t="str">
        <f aca="false">IF(A464="","",SUMIF(入金明細!$F$5:$F$1004,A464,入金明細!$E$5:$E$1004))</f>
        <v/>
      </c>
      <c r="N464" s="25" t="str">
        <f aca="false">IF(OR(A464="",N(M464)=0),"",SUMPRODUCT(MAX((入金明細!$F$5:$F$1004=A464)*入金明細!$B$5:$B$1004)))</f>
        <v/>
      </c>
      <c r="O464" s="18"/>
      <c r="P464" s="27" t="str">
        <f aca="false">IF(OR(A464="",F464=""),"",F464-N(M464)-N(O464))</f>
        <v/>
      </c>
      <c r="Q464" s="26"/>
      <c r="R464" s="28" t="str">
        <f aca="false">IF(A464="","",IF(Q464="取消","取消",IF(T464&lt;&gt;"","要入力",IF(K464="","未送付",IF(P464=0,"入金済",IF(P464&lt;0,"過入金",IF(設定!$C$5&gt;I464,IF(N(M464)&gt;0,"一部入金・超過","期日超過"),IF(N(M464)&gt;0,"一部入金",IF(I464-設定!$C$5&lt;=設定!$C$6,"期日間近","入金待ち")))))))))</f>
        <v/>
      </c>
      <c r="S464" s="29" t="str">
        <f aca="false">IF(OR(R464="期日超過",R464="一部入金・超過"),設定!$C$5-I464,"")</f>
        <v/>
      </c>
      <c r="T464" s="21" t="str">
        <f aca="false">IF(A464="","",TRIM(IF(B464="","請求日 ","")&amp;IF(C464="","取引先 ",IF(D464="コード誤り","取引先コード誤り ",""))&amp;IF(E464="","件名 ","")&amp;IF(F464="","請求額 ","")&amp;IF(AND(F464&lt;&gt;"",I464=""),"入金期日(マスタの支払条件が未登録) ","")&amp;IF(J464="","送付方法 ","")&amp;IF(AND(K464&lt;&gt;"",L464=""),"送付者 ","")&amp;IF(AND(K464&lt;&gt;"",N(K464)&gt;設定!$C$5),"送付日が未来の日付 ","")&amp;IF(AND(K464&lt;&gt;"",N(M464)&gt;0,N(P464)&lt;=0,U464=""),"消込確認者 ","")))</f>
        <v/>
      </c>
      <c r="U464" s="26"/>
      <c r="V464" s="26"/>
    </row>
    <row r="465" customFormat="false" ht="15" hidden="false" customHeight="false" outlineLevel="0" collapsed="false">
      <c r="A465" s="21" t="str">
        <f aca="false">IF(COUNTA(B465,C465,E465,F465)=0,"",設定!$C$4&amp;TEXT(ROW()-4,"00000"))</f>
        <v/>
      </c>
      <c r="B465" s="22"/>
      <c r="C465" s="23"/>
      <c r="D465" s="21" t="str">
        <f aca="false">IF(C465="","",IFERROR(INDEX(取引先マスタ!$B$5:$B$204,MATCH(C465,取引先マスタ!$A$5:$A$204,0)),"コード誤り"))</f>
        <v/>
      </c>
      <c r="E465" s="26"/>
      <c r="F465" s="18"/>
      <c r="G465" s="25" t="str">
        <f aca="false">IF(OR(B465="",C465="",D465="コード誤り"),"",IFERROR(IF(OR(INDEX(取引先マスタ!$E$5:$E$204,MATCH(C465,取引先マスタ!$A$5:$A$204,0))="",INDEX(取引先マスタ!$F$5:$F$204,MATCH(C465,取引先マスタ!$A$5:$A$204,0))=""),"",DATE(YEAR(B465),MONTH(B465)+INDEX(取引先マスタ!$E$5:$E$204,MATCH(C465,取引先マスタ!$A$5:$A$204,0)),MIN(INDEX(取引先マスタ!$F$5:$F$204,MATCH(C465,取引先マスタ!$A$5:$A$204,0)),DAY(EOMONTH(B465,INDEX(取引先マスタ!$E$5:$E$204,MATCH(C465,取引先マスタ!$A$5:$A$204,0))))))),""))</f>
        <v/>
      </c>
      <c r="H465" s="22"/>
      <c r="I465" s="25" t="str">
        <f aca="false">IF(H465&lt;&gt;"",H465,G465)</f>
        <v/>
      </c>
      <c r="J465" s="26"/>
      <c r="K465" s="22"/>
      <c r="L465" s="26"/>
      <c r="M465" s="27" t="str">
        <f aca="false">IF(A465="","",SUMIF(入金明細!$F$5:$F$1004,A465,入金明細!$E$5:$E$1004))</f>
        <v/>
      </c>
      <c r="N465" s="25" t="str">
        <f aca="false">IF(OR(A465="",N(M465)=0),"",SUMPRODUCT(MAX((入金明細!$F$5:$F$1004=A465)*入金明細!$B$5:$B$1004)))</f>
        <v/>
      </c>
      <c r="O465" s="18"/>
      <c r="P465" s="27" t="str">
        <f aca="false">IF(OR(A465="",F465=""),"",F465-N(M465)-N(O465))</f>
        <v/>
      </c>
      <c r="Q465" s="26"/>
      <c r="R465" s="28" t="str">
        <f aca="false">IF(A465="","",IF(Q465="取消","取消",IF(T465&lt;&gt;"","要入力",IF(K465="","未送付",IF(P465=0,"入金済",IF(P465&lt;0,"過入金",IF(設定!$C$5&gt;I465,IF(N(M465)&gt;0,"一部入金・超過","期日超過"),IF(N(M465)&gt;0,"一部入金",IF(I465-設定!$C$5&lt;=設定!$C$6,"期日間近","入金待ち")))))))))</f>
        <v/>
      </c>
      <c r="S465" s="29" t="str">
        <f aca="false">IF(OR(R465="期日超過",R465="一部入金・超過"),設定!$C$5-I465,"")</f>
        <v/>
      </c>
      <c r="T465" s="21" t="str">
        <f aca="false">IF(A465="","",TRIM(IF(B465="","請求日 ","")&amp;IF(C465="","取引先 ",IF(D465="コード誤り","取引先コード誤り ",""))&amp;IF(E465="","件名 ","")&amp;IF(F465="","請求額 ","")&amp;IF(AND(F465&lt;&gt;"",I465=""),"入金期日(マスタの支払条件が未登録) ","")&amp;IF(J465="","送付方法 ","")&amp;IF(AND(K465&lt;&gt;"",L465=""),"送付者 ","")&amp;IF(AND(K465&lt;&gt;"",N(K465)&gt;設定!$C$5),"送付日が未来の日付 ","")&amp;IF(AND(K465&lt;&gt;"",N(M465)&gt;0,N(P465)&lt;=0,U465=""),"消込確認者 ","")))</f>
        <v/>
      </c>
      <c r="U465" s="26"/>
      <c r="V465" s="26"/>
    </row>
    <row r="466" customFormat="false" ht="15" hidden="false" customHeight="false" outlineLevel="0" collapsed="false">
      <c r="A466" s="21" t="str">
        <f aca="false">IF(COUNTA(B466,C466,E466,F466)=0,"",設定!$C$4&amp;TEXT(ROW()-4,"00000"))</f>
        <v/>
      </c>
      <c r="B466" s="22"/>
      <c r="C466" s="23"/>
      <c r="D466" s="21" t="str">
        <f aca="false">IF(C466="","",IFERROR(INDEX(取引先マスタ!$B$5:$B$204,MATCH(C466,取引先マスタ!$A$5:$A$204,0)),"コード誤り"))</f>
        <v/>
      </c>
      <c r="E466" s="26"/>
      <c r="F466" s="18"/>
      <c r="G466" s="25" t="str">
        <f aca="false">IF(OR(B466="",C466="",D466="コード誤り"),"",IFERROR(IF(OR(INDEX(取引先マスタ!$E$5:$E$204,MATCH(C466,取引先マスタ!$A$5:$A$204,0))="",INDEX(取引先マスタ!$F$5:$F$204,MATCH(C466,取引先マスタ!$A$5:$A$204,0))=""),"",DATE(YEAR(B466),MONTH(B466)+INDEX(取引先マスタ!$E$5:$E$204,MATCH(C466,取引先マスタ!$A$5:$A$204,0)),MIN(INDEX(取引先マスタ!$F$5:$F$204,MATCH(C466,取引先マスタ!$A$5:$A$204,0)),DAY(EOMONTH(B466,INDEX(取引先マスタ!$E$5:$E$204,MATCH(C466,取引先マスタ!$A$5:$A$204,0))))))),""))</f>
        <v/>
      </c>
      <c r="H466" s="22"/>
      <c r="I466" s="25" t="str">
        <f aca="false">IF(H466&lt;&gt;"",H466,G466)</f>
        <v/>
      </c>
      <c r="J466" s="26"/>
      <c r="K466" s="22"/>
      <c r="L466" s="26"/>
      <c r="M466" s="27" t="str">
        <f aca="false">IF(A466="","",SUMIF(入金明細!$F$5:$F$1004,A466,入金明細!$E$5:$E$1004))</f>
        <v/>
      </c>
      <c r="N466" s="25" t="str">
        <f aca="false">IF(OR(A466="",N(M466)=0),"",SUMPRODUCT(MAX((入金明細!$F$5:$F$1004=A466)*入金明細!$B$5:$B$1004)))</f>
        <v/>
      </c>
      <c r="O466" s="18"/>
      <c r="P466" s="27" t="str">
        <f aca="false">IF(OR(A466="",F466=""),"",F466-N(M466)-N(O466))</f>
        <v/>
      </c>
      <c r="Q466" s="26"/>
      <c r="R466" s="28" t="str">
        <f aca="false">IF(A466="","",IF(Q466="取消","取消",IF(T466&lt;&gt;"","要入力",IF(K466="","未送付",IF(P466=0,"入金済",IF(P466&lt;0,"過入金",IF(設定!$C$5&gt;I466,IF(N(M466)&gt;0,"一部入金・超過","期日超過"),IF(N(M466)&gt;0,"一部入金",IF(I466-設定!$C$5&lt;=設定!$C$6,"期日間近","入金待ち")))))))))</f>
        <v/>
      </c>
      <c r="S466" s="29" t="str">
        <f aca="false">IF(OR(R466="期日超過",R466="一部入金・超過"),設定!$C$5-I466,"")</f>
        <v/>
      </c>
      <c r="T466" s="21" t="str">
        <f aca="false">IF(A466="","",TRIM(IF(B466="","請求日 ","")&amp;IF(C466="","取引先 ",IF(D466="コード誤り","取引先コード誤り ",""))&amp;IF(E466="","件名 ","")&amp;IF(F466="","請求額 ","")&amp;IF(AND(F466&lt;&gt;"",I466=""),"入金期日(マスタの支払条件が未登録) ","")&amp;IF(J466="","送付方法 ","")&amp;IF(AND(K466&lt;&gt;"",L466=""),"送付者 ","")&amp;IF(AND(K466&lt;&gt;"",N(K466)&gt;設定!$C$5),"送付日が未来の日付 ","")&amp;IF(AND(K466&lt;&gt;"",N(M466)&gt;0,N(P466)&lt;=0,U466=""),"消込確認者 ","")))</f>
        <v/>
      </c>
      <c r="U466" s="26"/>
      <c r="V466" s="26"/>
    </row>
    <row r="467" customFormat="false" ht="15" hidden="false" customHeight="false" outlineLevel="0" collapsed="false">
      <c r="A467" s="21" t="str">
        <f aca="false">IF(COUNTA(B467,C467,E467,F467)=0,"",設定!$C$4&amp;TEXT(ROW()-4,"00000"))</f>
        <v/>
      </c>
      <c r="B467" s="22"/>
      <c r="C467" s="23"/>
      <c r="D467" s="21" t="str">
        <f aca="false">IF(C467="","",IFERROR(INDEX(取引先マスタ!$B$5:$B$204,MATCH(C467,取引先マスタ!$A$5:$A$204,0)),"コード誤り"))</f>
        <v/>
      </c>
      <c r="E467" s="26"/>
      <c r="F467" s="18"/>
      <c r="G467" s="25" t="str">
        <f aca="false">IF(OR(B467="",C467="",D467="コード誤り"),"",IFERROR(IF(OR(INDEX(取引先マスタ!$E$5:$E$204,MATCH(C467,取引先マスタ!$A$5:$A$204,0))="",INDEX(取引先マスタ!$F$5:$F$204,MATCH(C467,取引先マスタ!$A$5:$A$204,0))=""),"",DATE(YEAR(B467),MONTH(B467)+INDEX(取引先マスタ!$E$5:$E$204,MATCH(C467,取引先マスタ!$A$5:$A$204,0)),MIN(INDEX(取引先マスタ!$F$5:$F$204,MATCH(C467,取引先マスタ!$A$5:$A$204,0)),DAY(EOMONTH(B467,INDEX(取引先マスタ!$E$5:$E$204,MATCH(C467,取引先マスタ!$A$5:$A$204,0))))))),""))</f>
        <v/>
      </c>
      <c r="H467" s="22"/>
      <c r="I467" s="25" t="str">
        <f aca="false">IF(H467&lt;&gt;"",H467,G467)</f>
        <v/>
      </c>
      <c r="J467" s="26"/>
      <c r="K467" s="22"/>
      <c r="L467" s="26"/>
      <c r="M467" s="27" t="str">
        <f aca="false">IF(A467="","",SUMIF(入金明細!$F$5:$F$1004,A467,入金明細!$E$5:$E$1004))</f>
        <v/>
      </c>
      <c r="N467" s="25" t="str">
        <f aca="false">IF(OR(A467="",N(M467)=0),"",SUMPRODUCT(MAX((入金明細!$F$5:$F$1004=A467)*入金明細!$B$5:$B$1004)))</f>
        <v/>
      </c>
      <c r="O467" s="18"/>
      <c r="P467" s="27" t="str">
        <f aca="false">IF(OR(A467="",F467=""),"",F467-N(M467)-N(O467))</f>
        <v/>
      </c>
      <c r="Q467" s="26"/>
      <c r="R467" s="28" t="str">
        <f aca="false">IF(A467="","",IF(Q467="取消","取消",IF(T467&lt;&gt;"","要入力",IF(K467="","未送付",IF(P467=0,"入金済",IF(P467&lt;0,"過入金",IF(設定!$C$5&gt;I467,IF(N(M467)&gt;0,"一部入金・超過","期日超過"),IF(N(M467)&gt;0,"一部入金",IF(I467-設定!$C$5&lt;=設定!$C$6,"期日間近","入金待ち")))))))))</f>
        <v/>
      </c>
      <c r="S467" s="29" t="str">
        <f aca="false">IF(OR(R467="期日超過",R467="一部入金・超過"),設定!$C$5-I467,"")</f>
        <v/>
      </c>
      <c r="T467" s="21" t="str">
        <f aca="false">IF(A467="","",TRIM(IF(B467="","請求日 ","")&amp;IF(C467="","取引先 ",IF(D467="コード誤り","取引先コード誤り ",""))&amp;IF(E467="","件名 ","")&amp;IF(F467="","請求額 ","")&amp;IF(AND(F467&lt;&gt;"",I467=""),"入金期日(マスタの支払条件が未登録) ","")&amp;IF(J467="","送付方法 ","")&amp;IF(AND(K467&lt;&gt;"",L467=""),"送付者 ","")&amp;IF(AND(K467&lt;&gt;"",N(K467)&gt;設定!$C$5),"送付日が未来の日付 ","")&amp;IF(AND(K467&lt;&gt;"",N(M467)&gt;0,N(P467)&lt;=0,U467=""),"消込確認者 ","")))</f>
        <v/>
      </c>
      <c r="U467" s="26"/>
      <c r="V467" s="26"/>
    </row>
    <row r="468" customFormat="false" ht="15" hidden="false" customHeight="false" outlineLevel="0" collapsed="false">
      <c r="A468" s="21" t="str">
        <f aca="false">IF(COUNTA(B468,C468,E468,F468)=0,"",設定!$C$4&amp;TEXT(ROW()-4,"00000"))</f>
        <v/>
      </c>
      <c r="B468" s="22"/>
      <c r="C468" s="23"/>
      <c r="D468" s="21" t="str">
        <f aca="false">IF(C468="","",IFERROR(INDEX(取引先マスタ!$B$5:$B$204,MATCH(C468,取引先マスタ!$A$5:$A$204,0)),"コード誤り"))</f>
        <v/>
      </c>
      <c r="E468" s="26"/>
      <c r="F468" s="18"/>
      <c r="G468" s="25" t="str">
        <f aca="false">IF(OR(B468="",C468="",D468="コード誤り"),"",IFERROR(IF(OR(INDEX(取引先マスタ!$E$5:$E$204,MATCH(C468,取引先マスタ!$A$5:$A$204,0))="",INDEX(取引先マスタ!$F$5:$F$204,MATCH(C468,取引先マスタ!$A$5:$A$204,0))=""),"",DATE(YEAR(B468),MONTH(B468)+INDEX(取引先マスタ!$E$5:$E$204,MATCH(C468,取引先マスタ!$A$5:$A$204,0)),MIN(INDEX(取引先マスタ!$F$5:$F$204,MATCH(C468,取引先マスタ!$A$5:$A$204,0)),DAY(EOMONTH(B468,INDEX(取引先マスタ!$E$5:$E$204,MATCH(C468,取引先マスタ!$A$5:$A$204,0))))))),""))</f>
        <v/>
      </c>
      <c r="H468" s="22"/>
      <c r="I468" s="25" t="str">
        <f aca="false">IF(H468&lt;&gt;"",H468,G468)</f>
        <v/>
      </c>
      <c r="J468" s="26"/>
      <c r="K468" s="22"/>
      <c r="L468" s="26"/>
      <c r="M468" s="27" t="str">
        <f aca="false">IF(A468="","",SUMIF(入金明細!$F$5:$F$1004,A468,入金明細!$E$5:$E$1004))</f>
        <v/>
      </c>
      <c r="N468" s="25" t="str">
        <f aca="false">IF(OR(A468="",N(M468)=0),"",SUMPRODUCT(MAX((入金明細!$F$5:$F$1004=A468)*入金明細!$B$5:$B$1004)))</f>
        <v/>
      </c>
      <c r="O468" s="18"/>
      <c r="P468" s="27" t="str">
        <f aca="false">IF(OR(A468="",F468=""),"",F468-N(M468)-N(O468))</f>
        <v/>
      </c>
      <c r="Q468" s="26"/>
      <c r="R468" s="28" t="str">
        <f aca="false">IF(A468="","",IF(Q468="取消","取消",IF(T468&lt;&gt;"","要入力",IF(K468="","未送付",IF(P468=0,"入金済",IF(P468&lt;0,"過入金",IF(設定!$C$5&gt;I468,IF(N(M468)&gt;0,"一部入金・超過","期日超過"),IF(N(M468)&gt;0,"一部入金",IF(I468-設定!$C$5&lt;=設定!$C$6,"期日間近","入金待ち")))))))))</f>
        <v/>
      </c>
      <c r="S468" s="29" t="str">
        <f aca="false">IF(OR(R468="期日超過",R468="一部入金・超過"),設定!$C$5-I468,"")</f>
        <v/>
      </c>
      <c r="T468" s="21" t="str">
        <f aca="false">IF(A468="","",TRIM(IF(B468="","請求日 ","")&amp;IF(C468="","取引先 ",IF(D468="コード誤り","取引先コード誤り ",""))&amp;IF(E468="","件名 ","")&amp;IF(F468="","請求額 ","")&amp;IF(AND(F468&lt;&gt;"",I468=""),"入金期日(マスタの支払条件が未登録) ","")&amp;IF(J468="","送付方法 ","")&amp;IF(AND(K468&lt;&gt;"",L468=""),"送付者 ","")&amp;IF(AND(K468&lt;&gt;"",N(K468)&gt;設定!$C$5),"送付日が未来の日付 ","")&amp;IF(AND(K468&lt;&gt;"",N(M468)&gt;0,N(P468)&lt;=0,U468=""),"消込確認者 ","")))</f>
        <v/>
      </c>
      <c r="U468" s="26"/>
      <c r="V468" s="26"/>
    </row>
    <row r="469" customFormat="false" ht="15" hidden="false" customHeight="false" outlineLevel="0" collapsed="false">
      <c r="A469" s="21" t="str">
        <f aca="false">IF(COUNTA(B469,C469,E469,F469)=0,"",設定!$C$4&amp;TEXT(ROW()-4,"00000"))</f>
        <v/>
      </c>
      <c r="B469" s="22"/>
      <c r="C469" s="23"/>
      <c r="D469" s="21" t="str">
        <f aca="false">IF(C469="","",IFERROR(INDEX(取引先マスタ!$B$5:$B$204,MATCH(C469,取引先マスタ!$A$5:$A$204,0)),"コード誤り"))</f>
        <v/>
      </c>
      <c r="E469" s="26"/>
      <c r="F469" s="18"/>
      <c r="G469" s="25" t="str">
        <f aca="false">IF(OR(B469="",C469="",D469="コード誤り"),"",IFERROR(IF(OR(INDEX(取引先マスタ!$E$5:$E$204,MATCH(C469,取引先マスタ!$A$5:$A$204,0))="",INDEX(取引先マスタ!$F$5:$F$204,MATCH(C469,取引先マスタ!$A$5:$A$204,0))=""),"",DATE(YEAR(B469),MONTH(B469)+INDEX(取引先マスタ!$E$5:$E$204,MATCH(C469,取引先マスタ!$A$5:$A$204,0)),MIN(INDEX(取引先マスタ!$F$5:$F$204,MATCH(C469,取引先マスタ!$A$5:$A$204,0)),DAY(EOMONTH(B469,INDEX(取引先マスタ!$E$5:$E$204,MATCH(C469,取引先マスタ!$A$5:$A$204,0))))))),""))</f>
        <v/>
      </c>
      <c r="H469" s="22"/>
      <c r="I469" s="25" t="str">
        <f aca="false">IF(H469&lt;&gt;"",H469,G469)</f>
        <v/>
      </c>
      <c r="J469" s="26"/>
      <c r="K469" s="22"/>
      <c r="L469" s="26"/>
      <c r="M469" s="27" t="str">
        <f aca="false">IF(A469="","",SUMIF(入金明細!$F$5:$F$1004,A469,入金明細!$E$5:$E$1004))</f>
        <v/>
      </c>
      <c r="N469" s="25" t="str">
        <f aca="false">IF(OR(A469="",N(M469)=0),"",SUMPRODUCT(MAX((入金明細!$F$5:$F$1004=A469)*入金明細!$B$5:$B$1004)))</f>
        <v/>
      </c>
      <c r="O469" s="18"/>
      <c r="P469" s="27" t="str">
        <f aca="false">IF(OR(A469="",F469=""),"",F469-N(M469)-N(O469))</f>
        <v/>
      </c>
      <c r="Q469" s="26"/>
      <c r="R469" s="28" t="str">
        <f aca="false">IF(A469="","",IF(Q469="取消","取消",IF(T469&lt;&gt;"","要入力",IF(K469="","未送付",IF(P469=0,"入金済",IF(P469&lt;0,"過入金",IF(設定!$C$5&gt;I469,IF(N(M469)&gt;0,"一部入金・超過","期日超過"),IF(N(M469)&gt;0,"一部入金",IF(I469-設定!$C$5&lt;=設定!$C$6,"期日間近","入金待ち")))))))))</f>
        <v/>
      </c>
      <c r="S469" s="29" t="str">
        <f aca="false">IF(OR(R469="期日超過",R469="一部入金・超過"),設定!$C$5-I469,"")</f>
        <v/>
      </c>
      <c r="T469" s="21" t="str">
        <f aca="false">IF(A469="","",TRIM(IF(B469="","請求日 ","")&amp;IF(C469="","取引先 ",IF(D469="コード誤り","取引先コード誤り ",""))&amp;IF(E469="","件名 ","")&amp;IF(F469="","請求額 ","")&amp;IF(AND(F469&lt;&gt;"",I469=""),"入金期日(マスタの支払条件が未登録) ","")&amp;IF(J469="","送付方法 ","")&amp;IF(AND(K469&lt;&gt;"",L469=""),"送付者 ","")&amp;IF(AND(K469&lt;&gt;"",N(K469)&gt;設定!$C$5),"送付日が未来の日付 ","")&amp;IF(AND(K469&lt;&gt;"",N(M469)&gt;0,N(P469)&lt;=0,U469=""),"消込確認者 ","")))</f>
        <v/>
      </c>
      <c r="U469" s="26"/>
      <c r="V469" s="26"/>
    </row>
    <row r="470" customFormat="false" ht="15" hidden="false" customHeight="false" outlineLevel="0" collapsed="false">
      <c r="A470" s="21" t="str">
        <f aca="false">IF(COUNTA(B470,C470,E470,F470)=0,"",設定!$C$4&amp;TEXT(ROW()-4,"00000"))</f>
        <v/>
      </c>
      <c r="B470" s="22"/>
      <c r="C470" s="23"/>
      <c r="D470" s="21" t="str">
        <f aca="false">IF(C470="","",IFERROR(INDEX(取引先マスタ!$B$5:$B$204,MATCH(C470,取引先マスタ!$A$5:$A$204,0)),"コード誤り"))</f>
        <v/>
      </c>
      <c r="E470" s="26"/>
      <c r="F470" s="18"/>
      <c r="G470" s="25" t="str">
        <f aca="false">IF(OR(B470="",C470="",D470="コード誤り"),"",IFERROR(IF(OR(INDEX(取引先マスタ!$E$5:$E$204,MATCH(C470,取引先マスタ!$A$5:$A$204,0))="",INDEX(取引先マスタ!$F$5:$F$204,MATCH(C470,取引先マスタ!$A$5:$A$204,0))=""),"",DATE(YEAR(B470),MONTH(B470)+INDEX(取引先マスタ!$E$5:$E$204,MATCH(C470,取引先マスタ!$A$5:$A$204,0)),MIN(INDEX(取引先マスタ!$F$5:$F$204,MATCH(C470,取引先マスタ!$A$5:$A$204,0)),DAY(EOMONTH(B470,INDEX(取引先マスタ!$E$5:$E$204,MATCH(C470,取引先マスタ!$A$5:$A$204,0))))))),""))</f>
        <v/>
      </c>
      <c r="H470" s="22"/>
      <c r="I470" s="25" t="str">
        <f aca="false">IF(H470&lt;&gt;"",H470,G470)</f>
        <v/>
      </c>
      <c r="J470" s="26"/>
      <c r="K470" s="22"/>
      <c r="L470" s="26"/>
      <c r="M470" s="27" t="str">
        <f aca="false">IF(A470="","",SUMIF(入金明細!$F$5:$F$1004,A470,入金明細!$E$5:$E$1004))</f>
        <v/>
      </c>
      <c r="N470" s="25" t="str">
        <f aca="false">IF(OR(A470="",N(M470)=0),"",SUMPRODUCT(MAX((入金明細!$F$5:$F$1004=A470)*入金明細!$B$5:$B$1004)))</f>
        <v/>
      </c>
      <c r="O470" s="18"/>
      <c r="P470" s="27" t="str">
        <f aca="false">IF(OR(A470="",F470=""),"",F470-N(M470)-N(O470))</f>
        <v/>
      </c>
      <c r="Q470" s="26"/>
      <c r="R470" s="28" t="str">
        <f aca="false">IF(A470="","",IF(Q470="取消","取消",IF(T470&lt;&gt;"","要入力",IF(K470="","未送付",IF(P470=0,"入金済",IF(P470&lt;0,"過入金",IF(設定!$C$5&gt;I470,IF(N(M470)&gt;0,"一部入金・超過","期日超過"),IF(N(M470)&gt;0,"一部入金",IF(I470-設定!$C$5&lt;=設定!$C$6,"期日間近","入金待ち")))))))))</f>
        <v/>
      </c>
      <c r="S470" s="29" t="str">
        <f aca="false">IF(OR(R470="期日超過",R470="一部入金・超過"),設定!$C$5-I470,"")</f>
        <v/>
      </c>
      <c r="T470" s="21" t="str">
        <f aca="false">IF(A470="","",TRIM(IF(B470="","請求日 ","")&amp;IF(C470="","取引先 ",IF(D470="コード誤り","取引先コード誤り ",""))&amp;IF(E470="","件名 ","")&amp;IF(F470="","請求額 ","")&amp;IF(AND(F470&lt;&gt;"",I470=""),"入金期日(マスタの支払条件が未登録) ","")&amp;IF(J470="","送付方法 ","")&amp;IF(AND(K470&lt;&gt;"",L470=""),"送付者 ","")&amp;IF(AND(K470&lt;&gt;"",N(K470)&gt;設定!$C$5),"送付日が未来の日付 ","")&amp;IF(AND(K470&lt;&gt;"",N(M470)&gt;0,N(P470)&lt;=0,U470=""),"消込確認者 ","")))</f>
        <v/>
      </c>
      <c r="U470" s="26"/>
      <c r="V470" s="26"/>
    </row>
    <row r="471" customFormat="false" ht="15" hidden="false" customHeight="false" outlineLevel="0" collapsed="false">
      <c r="A471" s="21" t="str">
        <f aca="false">IF(COUNTA(B471,C471,E471,F471)=0,"",設定!$C$4&amp;TEXT(ROW()-4,"00000"))</f>
        <v/>
      </c>
      <c r="B471" s="22"/>
      <c r="C471" s="23"/>
      <c r="D471" s="21" t="str">
        <f aca="false">IF(C471="","",IFERROR(INDEX(取引先マスタ!$B$5:$B$204,MATCH(C471,取引先マスタ!$A$5:$A$204,0)),"コード誤り"))</f>
        <v/>
      </c>
      <c r="E471" s="26"/>
      <c r="F471" s="18"/>
      <c r="G471" s="25" t="str">
        <f aca="false">IF(OR(B471="",C471="",D471="コード誤り"),"",IFERROR(IF(OR(INDEX(取引先マスタ!$E$5:$E$204,MATCH(C471,取引先マスタ!$A$5:$A$204,0))="",INDEX(取引先マスタ!$F$5:$F$204,MATCH(C471,取引先マスタ!$A$5:$A$204,0))=""),"",DATE(YEAR(B471),MONTH(B471)+INDEX(取引先マスタ!$E$5:$E$204,MATCH(C471,取引先マスタ!$A$5:$A$204,0)),MIN(INDEX(取引先マスタ!$F$5:$F$204,MATCH(C471,取引先マスタ!$A$5:$A$204,0)),DAY(EOMONTH(B471,INDEX(取引先マスタ!$E$5:$E$204,MATCH(C471,取引先マスタ!$A$5:$A$204,0))))))),""))</f>
        <v/>
      </c>
      <c r="H471" s="22"/>
      <c r="I471" s="25" t="str">
        <f aca="false">IF(H471&lt;&gt;"",H471,G471)</f>
        <v/>
      </c>
      <c r="J471" s="26"/>
      <c r="K471" s="22"/>
      <c r="L471" s="26"/>
      <c r="M471" s="27" t="str">
        <f aca="false">IF(A471="","",SUMIF(入金明細!$F$5:$F$1004,A471,入金明細!$E$5:$E$1004))</f>
        <v/>
      </c>
      <c r="N471" s="25" t="str">
        <f aca="false">IF(OR(A471="",N(M471)=0),"",SUMPRODUCT(MAX((入金明細!$F$5:$F$1004=A471)*入金明細!$B$5:$B$1004)))</f>
        <v/>
      </c>
      <c r="O471" s="18"/>
      <c r="P471" s="27" t="str">
        <f aca="false">IF(OR(A471="",F471=""),"",F471-N(M471)-N(O471))</f>
        <v/>
      </c>
      <c r="Q471" s="26"/>
      <c r="R471" s="28" t="str">
        <f aca="false">IF(A471="","",IF(Q471="取消","取消",IF(T471&lt;&gt;"","要入力",IF(K471="","未送付",IF(P471=0,"入金済",IF(P471&lt;0,"過入金",IF(設定!$C$5&gt;I471,IF(N(M471)&gt;0,"一部入金・超過","期日超過"),IF(N(M471)&gt;0,"一部入金",IF(I471-設定!$C$5&lt;=設定!$C$6,"期日間近","入金待ち")))))))))</f>
        <v/>
      </c>
      <c r="S471" s="29" t="str">
        <f aca="false">IF(OR(R471="期日超過",R471="一部入金・超過"),設定!$C$5-I471,"")</f>
        <v/>
      </c>
      <c r="T471" s="21" t="str">
        <f aca="false">IF(A471="","",TRIM(IF(B471="","請求日 ","")&amp;IF(C471="","取引先 ",IF(D471="コード誤り","取引先コード誤り ",""))&amp;IF(E471="","件名 ","")&amp;IF(F471="","請求額 ","")&amp;IF(AND(F471&lt;&gt;"",I471=""),"入金期日(マスタの支払条件が未登録) ","")&amp;IF(J471="","送付方法 ","")&amp;IF(AND(K471&lt;&gt;"",L471=""),"送付者 ","")&amp;IF(AND(K471&lt;&gt;"",N(K471)&gt;設定!$C$5),"送付日が未来の日付 ","")&amp;IF(AND(K471&lt;&gt;"",N(M471)&gt;0,N(P471)&lt;=0,U471=""),"消込確認者 ","")))</f>
        <v/>
      </c>
      <c r="U471" s="26"/>
      <c r="V471" s="26"/>
    </row>
    <row r="472" customFormat="false" ht="15" hidden="false" customHeight="false" outlineLevel="0" collapsed="false">
      <c r="A472" s="21" t="str">
        <f aca="false">IF(COUNTA(B472,C472,E472,F472)=0,"",設定!$C$4&amp;TEXT(ROW()-4,"00000"))</f>
        <v/>
      </c>
      <c r="B472" s="22"/>
      <c r="C472" s="23"/>
      <c r="D472" s="21" t="str">
        <f aca="false">IF(C472="","",IFERROR(INDEX(取引先マスタ!$B$5:$B$204,MATCH(C472,取引先マスタ!$A$5:$A$204,0)),"コード誤り"))</f>
        <v/>
      </c>
      <c r="E472" s="26"/>
      <c r="F472" s="18"/>
      <c r="G472" s="25" t="str">
        <f aca="false">IF(OR(B472="",C472="",D472="コード誤り"),"",IFERROR(IF(OR(INDEX(取引先マスタ!$E$5:$E$204,MATCH(C472,取引先マスタ!$A$5:$A$204,0))="",INDEX(取引先マスタ!$F$5:$F$204,MATCH(C472,取引先マスタ!$A$5:$A$204,0))=""),"",DATE(YEAR(B472),MONTH(B472)+INDEX(取引先マスタ!$E$5:$E$204,MATCH(C472,取引先マスタ!$A$5:$A$204,0)),MIN(INDEX(取引先マスタ!$F$5:$F$204,MATCH(C472,取引先マスタ!$A$5:$A$204,0)),DAY(EOMONTH(B472,INDEX(取引先マスタ!$E$5:$E$204,MATCH(C472,取引先マスタ!$A$5:$A$204,0))))))),""))</f>
        <v/>
      </c>
      <c r="H472" s="22"/>
      <c r="I472" s="25" t="str">
        <f aca="false">IF(H472&lt;&gt;"",H472,G472)</f>
        <v/>
      </c>
      <c r="J472" s="26"/>
      <c r="K472" s="22"/>
      <c r="L472" s="26"/>
      <c r="M472" s="27" t="str">
        <f aca="false">IF(A472="","",SUMIF(入金明細!$F$5:$F$1004,A472,入金明細!$E$5:$E$1004))</f>
        <v/>
      </c>
      <c r="N472" s="25" t="str">
        <f aca="false">IF(OR(A472="",N(M472)=0),"",SUMPRODUCT(MAX((入金明細!$F$5:$F$1004=A472)*入金明細!$B$5:$B$1004)))</f>
        <v/>
      </c>
      <c r="O472" s="18"/>
      <c r="P472" s="27" t="str">
        <f aca="false">IF(OR(A472="",F472=""),"",F472-N(M472)-N(O472))</f>
        <v/>
      </c>
      <c r="Q472" s="26"/>
      <c r="R472" s="28" t="str">
        <f aca="false">IF(A472="","",IF(Q472="取消","取消",IF(T472&lt;&gt;"","要入力",IF(K472="","未送付",IF(P472=0,"入金済",IF(P472&lt;0,"過入金",IF(設定!$C$5&gt;I472,IF(N(M472)&gt;0,"一部入金・超過","期日超過"),IF(N(M472)&gt;0,"一部入金",IF(I472-設定!$C$5&lt;=設定!$C$6,"期日間近","入金待ち")))))))))</f>
        <v/>
      </c>
      <c r="S472" s="29" t="str">
        <f aca="false">IF(OR(R472="期日超過",R472="一部入金・超過"),設定!$C$5-I472,"")</f>
        <v/>
      </c>
      <c r="T472" s="21" t="str">
        <f aca="false">IF(A472="","",TRIM(IF(B472="","請求日 ","")&amp;IF(C472="","取引先 ",IF(D472="コード誤り","取引先コード誤り ",""))&amp;IF(E472="","件名 ","")&amp;IF(F472="","請求額 ","")&amp;IF(AND(F472&lt;&gt;"",I472=""),"入金期日(マスタの支払条件が未登録) ","")&amp;IF(J472="","送付方法 ","")&amp;IF(AND(K472&lt;&gt;"",L472=""),"送付者 ","")&amp;IF(AND(K472&lt;&gt;"",N(K472)&gt;設定!$C$5),"送付日が未来の日付 ","")&amp;IF(AND(K472&lt;&gt;"",N(M472)&gt;0,N(P472)&lt;=0,U472=""),"消込確認者 ","")))</f>
        <v/>
      </c>
      <c r="U472" s="26"/>
      <c r="V472" s="26"/>
    </row>
    <row r="473" customFormat="false" ht="15" hidden="false" customHeight="false" outlineLevel="0" collapsed="false">
      <c r="A473" s="21" t="str">
        <f aca="false">IF(COUNTA(B473,C473,E473,F473)=0,"",設定!$C$4&amp;TEXT(ROW()-4,"00000"))</f>
        <v/>
      </c>
      <c r="B473" s="22"/>
      <c r="C473" s="23"/>
      <c r="D473" s="21" t="str">
        <f aca="false">IF(C473="","",IFERROR(INDEX(取引先マスタ!$B$5:$B$204,MATCH(C473,取引先マスタ!$A$5:$A$204,0)),"コード誤り"))</f>
        <v/>
      </c>
      <c r="E473" s="26"/>
      <c r="F473" s="18"/>
      <c r="G473" s="25" t="str">
        <f aca="false">IF(OR(B473="",C473="",D473="コード誤り"),"",IFERROR(IF(OR(INDEX(取引先マスタ!$E$5:$E$204,MATCH(C473,取引先マスタ!$A$5:$A$204,0))="",INDEX(取引先マスタ!$F$5:$F$204,MATCH(C473,取引先マスタ!$A$5:$A$204,0))=""),"",DATE(YEAR(B473),MONTH(B473)+INDEX(取引先マスタ!$E$5:$E$204,MATCH(C473,取引先マスタ!$A$5:$A$204,0)),MIN(INDEX(取引先マスタ!$F$5:$F$204,MATCH(C473,取引先マスタ!$A$5:$A$204,0)),DAY(EOMONTH(B473,INDEX(取引先マスタ!$E$5:$E$204,MATCH(C473,取引先マスタ!$A$5:$A$204,0))))))),""))</f>
        <v/>
      </c>
      <c r="H473" s="22"/>
      <c r="I473" s="25" t="str">
        <f aca="false">IF(H473&lt;&gt;"",H473,G473)</f>
        <v/>
      </c>
      <c r="J473" s="26"/>
      <c r="K473" s="22"/>
      <c r="L473" s="26"/>
      <c r="M473" s="27" t="str">
        <f aca="false">IF(A473="","",SUMIF(入金明細!$F$5:$F$1004,A473,入金明細!$E$5:$E$1004))</f>
        <v/>
      </c>
      <c r="N473" s="25" t="str">
        <f aca="false">IF(OR(A473="",N(M473)=0),"",SUMPRODUCT(MAX((入金明細!$F$5:$F$1004=A473)*入金明細!$B$5:$B$1004)))</f>
        <v/>
      </c>
      <c r="O473" s="18"/>
      <c r="P473" s="27" t="str">
        <f aca="false">IF(OR(A473="",F473=""),"",F473-N(M473)-N(O473))</f>
        <v/>
      </c>
      <c r="Q473" s="26"/>
      <c r="R473" s="28" t="str">
        <f aca="false">IF(A473="","",IF(Q473="取消","取消",IF(T473&lt;&gt;"","要入力",IF(K473="","未送付",IF(P473=0,"入金済",IF(P473&lt;0,"過入金",IF(設定!$C$5&gt;I473,IF(N(M473)&gt;0,"一部入金・超過","期日超過"),IF(N(M473)&gt;0,"一部入金",IF(I473-設定!$C$5&lt;=設定!$C$6,"期日間近","入金待ち")))))))))</f>
        <v/>
      </c>
      <c r="S473" s="29" t="str">
        <f aca="false">IF(OR(R473="期日超過",R473="一部入金・超過"),設定!$C$5-I473,"")</f>
        <v/>
      </c>
      <c r="T473" s="21" t="str">
        <f aca="false">IF(A473="","",TRIM(IF(B473="","請求日 ","")&amp;IF(C473="","取引先 ",IF(D473="コード誤り","取引先コード誤り ",""))&amp;IF(E473="","件名 ","")&amp;IF(F473="","請求額 ","")&amp;IF(AND(F473&lt;&gt;"",I473=""),"入金期日(マスタの支払条件が未登録) ","")&amp;IF(J473="","送付方法 ","")&amp;IF(AND(K473&lt;&gt;"",L473=""),"送付者 ","")&amp;IF(AND(K473&lt;&gt;"",N(K473)&gt;設定!$C$5),"送付日が未来の日付 ","")&amp;IF(AND(K473&lt;&gt;"",N(M473)&gt;0,N(P473)&lt;=0,U473=""),"消込確認者 ","")))</f>
        <v/>
      </c>
      <c r="U473" s="26"/>
      <c r="V473" s="26"/>
    </row>
    <row r="474" customFormat="false" ht="15" hidden="false" customHeight="false" outlineLevel="0" collapsed="false">
      <c r="A474" s="21" t="str">
        <f aca="false">IF(COUNTA(B474,C474,E474,F474)=0,"",設定!$C$4&amp;TEXT(ROW()-4,"00000"))</f>
        <v/>
      </c>
      <c r="B474" s="22"/>
      <c r="C474" s="23"/>
      <c r="D474" s="21" t="str">
        <f aca="false">IF(C474="","",IFERROR(INDEX(取引先マスタ!$B$5:$B$204,MATCH(C474,取引先マスタ!$A$5:$A$204,0)),"コード誤り"))</f>
        <v/>
      </c>
      <c r="E474" s="26"/>
      <c r="F474" s="18"/>
      <c r="G474" s="25" t="str">
        <f aca="false">IF(OR(B474="",C474="",D474="コード誤り"),"",IFERROR(IF(OR(INDEX(取引先マスタ!$E$5:$E$204,MATCH(C474,取引先マスタ!$A$5:$A$204,0))="",INDEX(取引先マスタ!$F$5:$F$204,MATCH(C474,取引先マスタ!$A$5:$A$204,0))=""),"",DATE(YEAR(B474),MONTH(B474)+INDEX(取引先マスタ!$E$5:$E$204,MATCH(C474,取引先マスタ!$A$5:$A$204,0)),MIN(INDEX(取引先マスタ!$F$5:$F$204,MATCH(C474,取引先マスタ!$A$5:$A$204,0)),DAY(EOMONTH(B474,INDEX(取引先マスタ!$E$5:$E$204,MATCH(C474,取引先マスタ!$A$5:$A$204,0))))))),""))</f>
        <v/>
      </c>
      <c r="H474" s="22"/>
      <c r="I474" s="25" t="str">
        <f aca="false">IF(H474&lt;&gt;"",H474,G474)</f>
        <v/>
      </c>
      <c r="J474" s="26"/>
      <c r="K474" s="22"/>
      <c r="L474" s="26"/>
      <c r="M474" s="27" t="str">
        <f aca="false">IF(A474="","",SUMIF(入金明細!$F$5:$F$1004,A474,入金明細!$E$5:$E$1004))</f>
        <v/>
      </c>
      <c r="N474" s="25" t="str">
        <f aca="false">IF(OR(A474="",N(M474)=0),"",SUMPRODUCT(MAX((入金明細!$F$5:$F$1004=A474)*入金明細!$B$5:$B$1004)))</f>
        <v/>
      </c>
      <c r="O474" s="18"/>
      <c r="P474" s="27" t="str">
        <f aca="false">IF(OR(A474="",F474=""),"",F474-N(M474)-N(O474))</f>
        <v/>
      </c>
      <c r="Q474" s="26"/>
      <c r="R474" s="28" t="str">
        <f aca="false">IF(A474="","",IF(Q474="取消","取消",IF(T474&lt;&gt;"","要入力",IF(K474="","未送付",IF(P474=0,"入金済",IF(P474&lt;0,"過入金",IF(設定!$C$5&gt;I474,IF(N(M474)&gt;0,"一部入金・超過","期日超過"),IF(N(M474)&gt;0,"一部入金",IF(I474-設定!$C$5&lt;=設定!$C$6,"期日間近","入金待ち")))))))))</f>
        <v/>
      </c>
      <c r="S474" s="29" t="str">
        <f aca="false">IF(OR(R474="期日超過",R474="一部入金・超過"),設定!$C$5-I474,"")</f>
        <v/>
      </c>
      <c r="T474" s="21" t="str">
        <f aca="false">IF(A474="","",TRIM(IF(B474="","請求日 ","")&amp;IF(C474="","取引先 ",IF(D474="コード誤り","取引先コード誤り ",""))&amp;IF(E474="","件名 ","")&amp;IF(F474="","請求額 ","")&amp;IF(AND(F474&lt;&gt;"",I474=""),"入金期日(マスタの支払条件が未登録) ","")&amp;IF(J474="","送付方法 ","")&amp;IF(AND(K474&lt;&gt;"",L474=""),"送付者 ","")&amp;IF(AND(K474&lt;&gt;"",N(K474)&gt;設定!$C$5),"送付日が未来の日付 ","")&amp;IF(AND(K474&lt;&gt;"",N(M474)&gt;0,N(P474)&lt;=0,U474=""),"消込確認者 ","")))</f>
        <v/>
      </c>
      <c r="U474" s="26"/>
      <c r="V474" s="26"/>
    </row>
    <row r="475" customFormat="false" ht="15" hidden="false" customHeight="false" outlineLevel="0" collapsed="false">
      <c r="A475" s="21" t="str">
        <f aca="false">IF(COUNTA(B475,C475,E475,F475)=0,"",設定!$C$4&amp;TEXT(ROW()-4,"00000"))</f>
        <v/>
      </c>
      <c r="B475" s="22"/>
      <c r="C475" s="23"/>
      <c r="D475" s="21" t="str">
        <f aca="false">IF(C475="","",IFERROR(INDEX(取引先マスタ!$B$5:$B$204,MATCH(C475,取引先マスタ!$A$5:$A$204,0)),"コード誤り"))</f>
        <v/>
      </c>
      <c r="E475" s="26"/>
      <c r="F475" s="18"/>
      <c r="G475" s="25" t="str">
        <f aca="false">IF(OR(B475="",C475="",D475="コード誤り"),"",IFERROR(IF(OR(INDEX(取引先マスタ!$E$5:$E$204,MATCH(C475,取引先マスタ!$A$5:$A$204,0))="",INDEX(取引先マスタ!$F$5:$F$204,MATCH(C475,取引先マスタ!$A$5:$A$204,0))=""),"",DATE(YEAR(B475),MONTH(B475)+INDEX(取引先マスタ!$E$5:$E$204,MATCH(C475,取引先マスタ!$A$5:$A$204,0)),MIN(INDEX(取引先マスタ!$F$5:$F$204,MATCH(C475,取引先マスタ!$A$5:$A$204,0)),DAY(EOMONTH(B475,INDEX(取引先マスタ!$E$5:$E$204,MATCH(C475,取引先マスタ!$A$5:$A$204,0))))))),""))</f>
        <v/>
      </c>
      <c r="H475" s="22"/>
      <c r="I475" s="25" t="str">
        <f aca="false">IF(H475&lt;&gt;"",H475,G475)</f>
        <v/>
      </c>
      <c r="J475" s="26"/>
      <c r="K475" s="22"/>
      <c r="L475" s="26"/>
      <c r="M475" s="27" t="str">
        <f aca="false">IF(A475="","",SUMIF(入金明細!$F$5:$F$1004,A475,入金明細!$E$5:$E$1004))</f>
        <v/>
      </c>
      <c r="N475" s="25" t="str">
        <f aca="false">IF(OR(A475="",N(M475)=0),"",SUMPRODUCT(MAX((入金明細!$F$5:$F$1004=A475)*入金明細!$B$5:$B$1004)))</f>
        <v/>
      </c>
      <c r="O475" s="18"/>
      <c r="P475" s="27" t="str">
        <f aca="false">IF(OR(A475="",F475=""),"",F475-N(M475)-N(O475))</f>
        <v/>
      </c>
      <c r="Q475" s="26"/>
      <c r="R475" s="28" t="str">
        <f aca="false">IF(A475="","",IF(Q475="取消","取消",IF(T475&lt;&gt;"","要入力",IF(K475="","未送付",IF(P475=0,"入金済",IF(P475&lt;0,"過入金",IF(設定!$C$5&gt;I475,IF(N(M475)&gt;0,"一部入金・超過","期日超過"),IF(N(M475)&gt;0,"一部入金",IF(I475-設定!$C$5&lt;=設定!$C$6,"期日間近","入金待ち")))))))))</f>
        <v/>
      </c>
      <c r="S475" s="29" t="str">
        <f aca="false">IF(OR(R475="期日超過",R475="一部入金・超過"),設定!$C$5-I475,"")</f>
        <v/>
      </c>
      <c r="T475" s="21" t="str">
        <f aca="false">IF(A475="","",TRIM(IF(B475="","請求日 ","")&amp;IF(C475="","取引先 ",IF(D475="コード誤り","取引先コード誤り ",""))&amp;IF(E475="","件名 ","")&amp;IF(F475="","請求額 ","")&amp;IF(AND(F475&lt;&gt;"",I475=""),"入金期日(マスタの支払条件が未登録) ","")&amp;IF(J475="","送付方法 ","")&amp;IF(AND(K475&lt;&gt;"",L475=""),"送付者 ","")&amp;IF(AND(K475&lt;&gt;"",N(K475)&gt;設定!$C$5),"送付日が未来の日付 ","")&amp;IF(AND(K475&lt;&gt;"",N(M475)&gt;0,N(P475)&lt;=0,U475=""),"消込確認者 ","")))</f>
        <v/>
      </c>
      <c r="U475" s="26"/>
      <c r="V475" s="26"/>
    </row>
    <row r="476" customFormat="false" ht="15" hidden="false" customHeight="false" outlineLevel="0" collapsed="false">
      <c r="A476" s="21" t="str">
        <f aca="false">IF(COUNTA(B476,C476,E476,F476)=0,"",設定!$C$4&amp;TEXT(ROW()-4,"00000"))</f>
        <v/>
      </c>
      <c r="B476" s="22"/>
      <c r="C476" s="23"/>
      <c r="D476" s="21" t="str">
        <f aca="false">IF(C476="","",IFERROR(INDEX(取引先マスタ!$B$5:$B$204,MATCH(C476,取引先マスタ!$A$5:$A$204,0)),"コード誤り"))</f>
        <v/>
      </c>
      <c r="E476" s="26"/>
      <c r="F476" s="18"/>
      <c r="G476" s="25" t="str">
        <f aca="false">IF(OR(B476="",C476="",D476="コード誤り"),"",IFERROR(IF(OR(INDEX(取引先マスタ!$E$5:$E$204,MATCH(C476,取引先マスタ!$A$5:$A$204,0))="",INDEX(取引先マスタ!$F$5:$F$204,MATCH(C476,取引先マスタ!$A$5:$A$204,0))=""),"",DATE(YEAR(B476),MONTH(B476)+INDEX(取引先マスタ!$E$5:$E$204,MATCH(C476,取引先マスタ!$A$5:$A$204,0)),MIN(INDEX(取引先マスタ!$F$5:$F$204,MATCH(C476,取引先マスタ!$A$5:$A$204,0)),DAY(EOMONTH(B476,INDEX(取引先マスタ!$E$5:$E$204,MATCH(C476,取引先マスタ!$A$5:$A$204,0))))))),""))</f>
        <v/>
      </c>
      <c r="H476" s="22"/>
      <c r="I476" s="25" t="str">
        <f aca="false">IF(H476&lt;&gt;"",H476,G476)</f>
        <v/>
      </c>
      <c r="J476" s="26"/>
      <c r="K476" s="22"/>
      <c r="L476" s="26"/>
      <c r="M476" s="27" t="str">
        <f aca="false">IF(A476="","",SUMIF(入金明細!$F$5:$F$1004,A476,入金明細!$E$5:$E$1004))</f>
        <v/>
      </c>
      <c r="N476" s="25" t="str">
        <f aca="false">IF(OR(A476="",N(M476)=0),"",SUMPRODUCT(MAX((入金明細!$F$5:$F$1004=A476)*入金明細!$B$5:$B$1004)))</f>
        <v/>
      </c>
      <c r="O476" s="18"/>
      <c r="P476" s="27" t="str">
        <f aca="false">IF(OR(A476="",F476=""),"",F476-N(M476)-N(O476))</f>
        <v/>
      </c>
      <c r="Q476" s="26"/>
      <c r="R476" s="28" t="str">
        <f aca="false">IF(A476="","",IF(Q476="取消","取消",IF(T476&lt;&gt;"","要入力",IF(K476="","未送付",IF(P476=0,"入金済",IF(P476&lt;0,"過入金",IF(設定!$C$5&gt;I476,IF(N(M476)&gt;0,"一部入金・超過","期日超過"),IF(N(M476)&gt;0,"一部入金",IF(I476-設定!$C$5&lt;=設定!$C$6,"期日間近","入金待ち")))))))))</f>
        <v/>
      </c>
      <c r="S476" s="29" t="str">
        <f aca="false">IF(OR(R476="期日超過",R476="一部入金・超過"),設定!$C$5-I476,"")</f>
        <v/>
      </c>
      <c r="T476" s="21" t="str">
        <f aca="false">IF(A476="","",TRIM(IF(B476="","請求日 ","")&amp;IF(C476="","取引先 ",IF(D476="コード誤り","取引先コード誤り ",""))&amp;IF(E476="","件名 ","")&amp;IF(F476="","請求額 ","")&amp;IF(AND(F476&lt;&gt;"",I476=""),"入金期日(マスタの支払条件が未登録) ","")&amp;IF(J476="","送付方法 ","")&amp;IF(AND(K476&lt;&gt;"",L476=""),"送付者 ","")&amp;IF(AND(K476&lt;&gt;"",N(K476)&gt;設定!$C$5),"送付日が未来の日付 ","")&amp;IF(AND(K476&lt;&gt;"",N(M476)&gt;0,N(P476)&lt;=0,U476=""),"消込確認者 ","")))</f>
        <v/>
      </c>
      <c r="U476" s="26"/>
      <c r="V476" s="26"/>
    </row>
    <row r="477" customFormat="false" ht="15" hidden="false" customHeight="false" outlineLevel="0" collapsed="false">
      <c r="A477" s="21" t="str">
        <f aca="false">IF(COUNTA(B477,C477,E477,F477)=0,"",設定!$C$4&amp;TEXT(ROW()-4,"00000"))</f>
        <v/>
      </c>
      <c r="B477" s="22"/>
      <c r="C477" s="23"/>
      <c r="D477" s="21" t="str">
        <f aca="false">IF(C477="","",IFERROR(INDEX(取引先マスタ!$B$5:$B$204,MATCH(C477,取引先マスタ!$A$5:$A$204,0)),"コード誤り"))</f>
        <v/>
      </c>
      <c r="E477" s="26"/>
      <c r="F477" s="18"/>
      <c r="G477" s="25" t="str">
        <f aca="false">IF(OR(B477="",C477="",D477="コード誤り"),"",IFERROR(IF(OR(INDEX(取引先マスタ!$E$5:$E$204,MATCH(C477,取引先マスタ!$A$5:$A$204,0))="",INDEX(取引先マスタ!$F$5:$F$204,MATCH(C477,取引先マスタ!$A$5:$A$204,0))=""),"",DATE(YEAR(B477),MONTH(B477)+INDEX(取引先マスタ!$E$5:$E$204,MATCH(C477,取引先マスタ!$A$5:$A$204,0)),MIN(INDEX(取引先マスタ!$F$5:$F$204,MATCH(C477,取引先マスタ!$A$5:$A$204,0)),DAY(EOMONTH(B477,INDEX(取引先マスタ!$E$5:$E$204,MATCH(C477,取引先マスタ!$A$5:$A$204,0))))))),""))</f>
        <v/>
      </c>
      <c r="H477" s="22"/>
      <c r="I477" s="25" t="str">
        <f aca="false">IF(H477&lt;&gt;"",H477,G477)</f>
        <v/>
      </c>
      <c r="J477" s="26"/>
      <c r="K477" s="22"/>
      <c r="L477" s="26"/>
      <c r="M477" s="27" t="str">
        <f aca="false">IF(A477="","",SUMIF(入金明細!$F$5:$F$1004,A477,入金明細!$E$5:$E$1004))</f>
        <v/>
      </c>
      <c r="N477" s="25" t="str">
        <f aca="false">IF(OR(A477="",N(M477)=0),"",SUMPRODUCT(MAX((入金明細!$F$5:$F$1004=A477)*入金明細!$B$5:$B$1004)))</f>
        <v/>
      </c>
      <c r="O477" s="18"/>
      <c r="P477" s="27" t="str">
        <f aca="false">IF(OR(A477="",F477=""),"",F477-N(M477)-N(O477))</f>
        <v/>
      </c>
      <c r="Q477" s="26"/>
      <c r="R477" s="28" t="str">
        <f aca="false">IF(A477="","",IF(Q477="取消","取消",IF(T477&lt;&gt;"","要入力",IF(K477="","未送付",IF(P477=0,"入金済",IF(P477&lt;0,"過入金",IF(設定!$C$5&gt;I477,IF(N(M477)&gt;0,"一部入金・超過","期日超過"),IF(N(M477)&gt;0,"一部入金",IF(I477-設定!$C$5&lt;=設定!$C$6,"期日間近","入金待ち")))))))))</f>
        <v/>
      </c>
      <c r="S477" s="29" t="str">
        <f aca="false">IF(OR(R477="期日超過",R477="一部入金・超過"),設定!$C$5-I477,"")</f>
        <v/>
      </c>
      <c r="T477" s="21" t="str">
        <f aca="false">IF(A477="","",TRIM(IF(B477="","請求日 ","")&amp;IF(C477="","取引先 ",IF(D477="コード誤り","取引先コード誤り ",""))&amp;IF(E477="","件名 ","")&amp;IF(F477="","請求額 ","")&amp;IF(AND(F477&lt;&gt;"",I477=""),"入金期日(マスタの支払条件が未登録) ","")&amp;IF(J477="","送付方法 ","")&amp;IF(AND(K477&lt;&gt;"",L477=""),"送付者 ","")&amp;IF(AND(K477&lt;&gt;"",N(K477)&gt;設定!$C$5),"送付日が未来の日付 ","")&amp;IF(AND(K477&lt;&gt;"",N(M477)&gt;0,N(P477)&lt;=0,U477=""),"消込確認者 ","")))</f>
        <v/>
      </c>
      <c r="U477" s="26"/>
      <c r="V477" s="26"/>
    </row>
    <row r="478" customFormat="false" ht="15" hidden="false" customHeight="false" outlineLevel="0" collapsed="false">
      <c r="A478" s="21" t="str">
        <f aca="false">IF(COUNTA(B478,C478,E478,F478)=0,"",設定!$C$4&amp;TEXT(ROW()-4,"00000"))</f>
        <v/>
      </c>
      <c r="B478" s="22"/>
      <c r="C478" s="23"/>
      <c r="D478" s="21" t="str">
        <f aca="false">IF(C478="","",IFERROR(INDEX(取引先マスタ!$B$5:$B$204,MATCH(C478,取引先マスタ!$A$5:$A$204,0)),"コード誤り"))</f>
        <v/>
      </c>
      <c r="E478" s="26"/>
      <c r="F478" s="18"/>
      <c r="G478" s="25" t="str">
        <f aca="false">IF(OR(B478="",C478="",D478="コード誤り"),"",IFERROR(IF(OR(INDEX(取引先マスタ!$E$5:$E$204,MATCH(C478,取引先マスタ!$A$5:$A$204,0))="",INDEX(取引先マスタ!$F$5:$F$204,MATCH(C478,取引先マスタ!$A$5:$A$204,0))=""),"",DATE(YEAR(B478),MONTH(B478)+INDEX(取引先マスタ!$E$5:$E$204,MATCH(C478,取引先マスタ!$A$5:$A$204,0)),MIN(INDEX(取引先マスタ!$F$5:$F$204,MATCH(C478,取引先マスタ!$A$5:$A$204,0)),DAY(EOMONTH(B478,INDEX(取引先マスタ!$E$5:$E$204,MATCH(C478,取引先マスタ!$A$5:$A$204,0))))))),""))</f>
        <v/>
      </c>
      <c r="H478" s="22"/>
      <c r="I478" s="25" t="str">
        <f aca="false">IF(H478&lt;&gt;"",H478,G478)</f>
        <v/>
      </c>
      <c r="J478" s="26"/>
      <c r="K478" s="22"/>
      <c r="L478" s="26"/>
      <c r="M478" s="27" t="str">
        <f aca="false">IF(A478="","",SUMIF(入金明細!$F$5:$F$1004,A478,入金明細!$E$5:$E$1004))</f>
        <v/>
      </c>
      <c r="N478" s="25" t="str">
        <f aca="false">IF(OR(A478="",N(M478)=0),"",SUMPRODUCT(MAX((入金明細!$F$5:$F$1004=A478)*入金明細!$B$5:$B$1004)))</f>
        <v/>
      </c>
      <c r="O478" s="18"/>
      <c r="P478" s="27" t="str">
        <f aca="false">IF(OR(A478="",F478=""),"",F478-N(M478)-N(O478))</f>
        <v/>
      </c>
      <c r="Q478" s="26"/>
      <c r="R478" s="28" t="str">
        <f aca="false">IF(A478="","",IF(Q478="取消","取消",IF(T478&lt;&gt;"","要入力",IF(K478="","未送付",IF(P478=0,"入金済",IF(P478&lt;0,"過入金",IF(設定!$C$5&gt;I478,IF(N(M478)&gt;0,"一部入金・超過","期日超過"),IF(N(M478)&gt;0,"一部入金",IF(I478-設定!$C$5&lt;=設定!$C$6,"期日間近","入金待ち")))))))))</f>
        <v/>
      </c>
      <c r="S478" s="29" t="str">
        <f aca="false">IF(OR(R478="期日超過",R478="一部入金・超過"),設定!$C$5-I478,"")</f>
        <v/>
      </c>
      <c r="T478" s="21" t="str">
        <f aca="false">IF(A478="","",TRIM(IF(B478="","請求日 ","")&amp;IF(C478="","取引先 ",IF(D478="コード誤り","取引先コード誤り ",""))&amp;IF(E478="","件名 ","")&amp;IF(F478="","請求額 ","")&amp;IF(AND(F478&lt;&gt;"",I478=""),"入金期日(マスタの支払条件が未登録) ","")&amp;IF(J478="","送付方法 ","")&amp;IF(AND(K478&lt;&gt;"",L478=""),"送付者 ","")&amp;IF(AND(K478&lt;&gt;"",N(K478)&gt;設定!$C$5),"送付日が未来の日付 ","")&amp;IF(AND(K478&lt;&gt;"",N(M478)&gt;0,N(P478)&lt;=0,U478=""),"消込確認者 ","")))</f>
        <v/>
      </c>
      <c r="U478" s="26"/>
      <c r="V478" s="26"/>
    </row>
    <row r="479" customFormat="false" ht="15" hidden="false" customHeight="false" outlineLevel="0" collapsed="false">
      <c r="A479" s="21" t="str">
        <f aca="false">IF(COUNTA(B479,C479,E479,F479)=0,"",設定!$C$4&amp;TEXT(ROW()-4,"00000"))</f>
        <v/>
      </c>
      <c r="B479" s="22"/>
      <c r="C479" s="23"/>
      <c r="D479" s="21" t="str">
        <f aca="false">IF(C479="","",IFERROR(INDEX(取引先マスタ!$B$5:$B$204,MATCH(C479,取引先マスタ!$A$5:$A$204,0)),"コード誤り"))</f>
        <v/>
      </c>
      <c r="E479" s="26"/>
      <c r="F479" s="18"/>
      <c r="G479" s="25" t="str">
        <f aca="false">IF(OR(B479="",C479="",D479="コード誤り"),"",IFERROR(IF(OR(INDEX(取引先マスタ!$E$5:$E$204,MATCH(C479,取引先マスタ!$A$5:$A$204,0))="",INDEX(取引先マスタ!$F$5:$F$204,MATCH(C479,取引先マスタ!$A$5:$A$204,0))=""),"",DATE(YEAR(B479),MONTH(B479)+INDEX(取引先マスタ!$E$5:$E$204,MATCH(C479,取引先マスタ!$A$5:$A$204,0)),MIN(INDEX(取引先マスタ!$F$5:$F$204,MATCH(C479,取引先マスタ!$A$5:$A$204,0)),DAY(EOMONTH(B479,INDEX(取引先マスタ!$E$5:$E$204,MATCH(C479,取引先マスタ!$A$5:$A$204,0))))))),""))</f>
        <v/>
      </c>
      <c r="H479" s="22"/>
      <c r="I479" s="25" t="str">
        <f aca="false">IF(H479&lt;&gt;"",H479,G479)</f>
        <v/>
      </c>
      <c r="J479" s="26"/>
      <c r="K479" s="22"/>
      <c r="L479" s="26"/>
      <c r="M479" s="27" t="str">
        <f aca="false">IF(A479="","",SUMIF(入金明細!$F$5:$F$1004,A479,入金明細!$E$5:$E$1004))</f>
        <v/>
      </c>
      <c r="N479" s="25" t="str">
        <f aca="false">IF(OR(A479="",N(M479)=0),"",SUMPRODUCT(MAX((入金明細!$F$5:$F$1004=A479)*入金明細!$B$5:$B$1004)))</f>
        <v/>
      </c>
      <c r="O479" s="18"/>
      <c r="P479" s="27" t="str">
        <f aca="false">IF(OR(A479="",F479=""),"",F479-N(M479)-N(O479))</f>
        <v/>
      </c>
      <c r="Q479" s="26"/>
      <c r="R479" s="28" t="str">
        <f aca="false">IF(A479="","",IF(Q479="取消","取消",IF(T479&lt;&gt;"","要入力",IF(K479="","未送付",IF(P479=0,"入金済",IF(P479&lt;0,"過入金",IF(設定!$C$5&gt;I479,IF(N(M479)&gt;0,"一部入金・超過","期日超過"),IF(N(M479)&gt;0,"一部入金",IF(I479-設定!$C$5&lt;=設定!$C$6,"期日間近","入金待ち")))))))))</f>
        <v/>
      </c>
      <c r="S479" s="29" t="str">
        <f aca="false">IF(OR(R479="期日超過",R479="一部入金・超過"),設定!$C$5-I479,"")</f>
        <v/>
      </c>
      <c r="T479" s="21" t="str">
        <f aca="false">IF(A479="","",TRIM(IF(B479="","請求日 ","")&amp;IF(C479="","取引先 ",IF(D479="コード誤り","取引先コード誤り ",""))&amp;IF(E479="","件名 ","")&amp;IF(F479="","請求額 ","")&amp;IF(AND(F479&lt;&gt;"",I479=""),"入金期日(マスタの支払条件が未登録) ","")&amp;IF(J479="","送付方法 ","")&amp;IF(AND(K479&lt;&gt;"",L479=""),"送付者 ","")&amp;IF(AND(K479&lt;&gt;"",N(K479)&gt;設定!$C$5),"送付日が未来の日付 ","")&amp;IF(AND(K479&lt;&gt;"",N(M479)&gt;0,N(P479)&lt;=0,U479=""),"消込確認者 ","")))</f>
        <v/>
      </c>
      <c r="U479" s="26"/>
      <c r="V479" s="26"/>
    </row>
    <row r="480" customFormat="false" ht="15" hidden="false" customHeight="false" outlineLevel="0" collapsed="false">
      <c r="A480" s="21" t="str">
        <f aca="false">IF(COUNTA(B480,C480,E480,F480)=0,"",設定!$C$4&amp;TEXT(ROW()-4,"00000"))</f>
        <v/>
      </c>
      <c r="B480" s="22"/>
      <c r="C480" s="23"/>
      <c r="D480" s="21" t="str">
        <f aca="false">IF(C480="","",IFERROR(INDEX(取引先マスタ!$B$5:$B$204,MATCH(C480,取引先マスタ!$A$5:$A$204,0)),"コード誤り"))</f>
        <v/>
      </c>
      <c r="E480" s="26"/>
      <c r="F480" s="18"/>
      <c r="G480" s="25" t="str">
        <f aca="false">IF(OR(B480="",C480="",D480="コード誤り"),"",IFERROR(IF(OR(INDEX(取引先マスタ!$E$5:$E$204,MATCH(C480,取引先マスタ!$A$5:$A$204,0))="",INDEX(取引先マスタ!$F$5:$F$204,MATCH(C480,取引先マスタ!$A$5:$A$204,0))=""),"",DATE(YEAR(B480),MONTH(B480)+INDEX(取引先マスタ!$E$5:$E$204,MATCH(C480,取引先マスタ!$A$5:$A$204,0)),MIN(INDEX(取引先マスタ!$F$5:$F$204,MATCH(C480,取引先マスタ!$A$5:$A$204,0)),DAY(EOMONTH(B480,INDEX(取引先マスタ!$E$5:$E$204,MATCH(C480,取引先マスタ!$A$5:$A$204,0))))))),""))</f>
        <v/>
      </c>
      <c r="H480" s="22"/>
      <c r="I480" s="25" t="str">
        <f aca="false">IF(H480&lt;&gt;"",H480,G480)</f>
        <v/>
      </c>
      <c r="J480" s="26"/>
      <c r="K480" s="22"/>
      <c r="L480" s="26"/>
      <c r="M480" s="27" t="str">
        <f aca="false">IF(A480="","",SUMIF(入金明細!$F$5:$F$1004,A480,入金明細!$E$5:$E$1004))</f>
        <v/>
      </c>
      <c r="N480" s="25" t="str">
        <f aca="false">IF(OR(A480="",N(M480)=0),"",SUMPRODUCT(MAX((入金明細!$F$5:$F$1004=A480)*入金明細!$B$5:$B$1004)))</f>
        <v/>
      </c>
      <c r="O480" s="18"/>
      <c r="P480" s="27" t="str">
        <f aca="false">IF(OR(A480="",F480=""),"",F480-N(M480)-N(O480))</f>
        <v/>
      </c>
      <c r="Q480" s="26"/>
      <c r="R480" s="28" t="str">
        <f aca="false">IF(A480="","",IF(Q480="取消","取消",IF(T480&lt;&gt;"","要入力",IF(K480="","未送付",IF(P480=0,"入金済",IF(P480&lt;0,"過入金",IF(設定!$C$5&gt;I480,IF(N(M480)&gt;0,"一部入金・超過","期日超過"),IF(N(M480)&gt;0,"一部入金",IF(I480-設定!$C$5&lt;=設定!$C$6,"期日間近","入金待ち")))))))))</f>
        <v/>
      </c>
      <c r="S480" s="29" t="str">
        <f aca="false">IF(OR(R480="期日超過",R480="一部入金・超過"),設定!$C$5-I480,"")</f>
        <v/>
      </c>
      <c r="T480" s="21" t="str">
        <f aca="false">IF(A480="","",TRIM(IF(B480="","請求日 ","")&amp;IF(C480="","取引先 ",IF(D480="コード誤り","取引先コード誤り ",""))&amp;IF(E480="","件名 ","")&amp;IF(F480="","請求額 ","")&amp;IF(AND(F480&lt;&gt;"",I480=""),"入金期日(マスタの支払条件が未登録) ","")&amp;IF(J480="","送付方法 ","")&amp;IF(AND(K480&lt;&gt;"",L480=""),"送付者 ","")&amp;IF(AND(K480&lt;&gt;"",N(K480)&gt;設定!$C$5),"送付日が未来の日付 ","")&amp;IF(AND(K480&lt;&gt;"",N(M480)&gt;0,N(P480)&lt;=0,U480=""),"消込確認者 ","")))</f>
        <v/>
      </c>
      <c r="U480" s="26"/>
      <c r="V480" s="26"/>
    </row>
    <row r="481" customFormat="false" ht="15" hidden="false" customHeight="false" outlineLevel="0" collapsed="false">
      <c r="A481" s="21" t="str">
        <f aca="false">IF(COUNTA(B481,C481,E481,F481)=0,"",設定!$C$4&amp;TEXT(ROW()-4,"00000"))</f>
        <v/>
      </c>
      <c r="B481" s="22"/>
      <c r="C481" s="23"/>
      <c r="D481" s="21" t="str">
        <f aca="false">IF(C481="","",IFERROR(INDEX(取引先マスタ!$B$5:$B$204,MATCH(C481,取引先マスタ!$A$5:$A$204,0)),"コード誤り"))</f>
        <v/>
      </c>
      <c r="E481" s="26"/>
      <c r="F481" s="18"/>
      <c r="G481" s="25" t="str">
        <f aca="false">IF(OR(B481="",C481="",D481="コード誤り"),"",IFERROR(IF(OR(INDEX(取引先マスタ!$E$5:$E$204,MATCH(C481,取引先マスタ!$A$5:$A$204,0))="",INDEX(取引先マスタ!$F$5:$F$204,MATCH(C481,取引先マスタ!$A$5:$A$204,0))=""),"",DATE(YEAR(B481),MONTH(B481)+INDEX(取引先マスタ!$E$5:$E$204,MATCH(C481,取引先マスタ!$A$5:$A$204,0)),MIN(INDEX(取引先マスタ!$F$5:$F$204,MATCH(C481,取引先マスタ!$A$5:$A$204,0)),DAY(EOMONTH(B481,INDEX(取引先マスタ!$E$5:$E$204,MATCH(C481,取引先マスタ!$A$5:$A$204,0))))))),""))</f>
        <v/>
      </c>
      <c r="H481" s="22"/>
      <c r="I481" s="25" t="str">
        <f aca="false">IF(H481&lt;&gt;"",H481,G481)</f>
        <v/>
      </c>
      <c r="J481" s="26"/>
      <c r="K481" s="22"/>
      <c r="L481" s="26"/>
      <c r="M481" s="27" t="str">
        <f aca="false">IF(A481="","",SUMIF(入金明細!$F$5:$F$1004,A481,入金明細!$E$5:$E$1004))</f>
        <v/>
      </c>
      <c r="N481" s="25" t="str">
        <f aca="false">IF(OR(A481="",N(M481)=0),"",SUMPRODUCT(MAX((入金明細!$F$5:$F$1004=A481)*入金明細!$B$5:$B$1004)))</f>
        <v/>
      </c>
      <c r="O481" s="18"/>
      <c r="P481" s="27" t="str">
        <f aca="false">IF(OR(A481="",F481=""),"",F481-N(M481)-N(O481))</f>
        <v/>
      </c>
      <c r="Q481" s="26"/>
      <c r="R481" s="28" t="str">
        <f aca="false">IF(A481="","",IF(Q481="取消","取消",IF(T481&lt;&gt;"","要入力",IF(K481="","未送付",IF(P481=0,"入金済",IF(P481&lt;0,"過入金",IF(設定!$C$5&gt;I481,IF(N(M481)&gt;0,"一部入金・超過","期日超過"),IF(N(M481)&gt;0,"一部入金",IF(I481-設定!$C$5&lt;=設定!$C$6,"期日間近","入金待ち")))))))))</f>
        <v/>
      </c>
      <c r="S481" s="29" t="str">
        <f aca="false">IF(OR(R481="期日超過",R481="一部入金・超過"),設定!$C$5-I481,"")</f>
        <v/>
      </c>
      <c r="T481" s="21" t="str">
        <f aca="false">IF(A481="","",TRIM(IF(B481="","請求日 ","")&amp;IF(C481="","取引先 ",IF(D481="コード誤り","取引先コード誤り ",""))&amp;IF(E481="","件名 ","")&amp;IF(F481="","請求額 ","")&amp;IF(AND(F481&lt;&gt;"",I481=""),"入金期日(マスタの支払条件が未登録) ","")&amp;IF(J481="","送付方法 ","")&amp;IF(AND(K481&lt;&gt;"",L481=""),"送付者 ","")&amp;IF(AND(K481&lt;&gt;"",N(K481)&gt;設定!$C$5),"送付日が未来の日付 ","")&amp;IF(AND(K481&lt;&gt;"",N(M481)&gt;0,N(P481)&lt;=0,U481=""),"消込確認者 ","")))</f>
        <v/>
      </c>
      <c r="U481" s="26"/>
      <c r="V481" s="26"/>
    </row>
    <row r="482" customFormat="false" ht="15" hidden="false" customHeight="false" outlineLevel="0" collapsed="false">
      <c r="A482" s="21" t="str">
        <f aca="false">IF(COUNTA(B482,C482,E482,F482)=0,"",設定!$C$4&amp;TEXT(ROW()-4,"00000"))</f>
        <v/>
      </c>
      <c r="B482" s="22"/>
      <c r="C482" s="23"/>
      <c r="D482" s="21" t="str">
        <f aca="false">IF(C482="","",IFERROR(INDEX(取引先マスタ!$B$5:$B$204,MATCH(C482,取引先マスタ!$A$5:$A$204,0)),"コード誤り"))</f>
        <v/>
      </c>
      <c r="E482" s="26"/>
      <c r="F482" s="18"/>
      <c r="G482" s="25" t="str">
        <f aca="false">IF(OR(B482="",C482="",D482="コード誤り"),"",IFERROR(IF(OR(INDEX(取引先マスタ!$E$5:$E$204,MATCH(C482,取引先マスタ!$A$5:$A$204,0))="",INDEX(取引先マスタ!$F$5:$F$204,MATCH(C482,取引先マスタ!$A$5:$A$204,0))=""),"",DATE(YEAR(B482),MONTH(B482)+INDEX(取引先マスタ!$E$5:$E$204,MATCH(C482,取引先マスタ!$A$5:$A$204,0)),MIN(INDEX(取引先マスタ!$F$5:$F$204,MATCH(C482,取引先マスタ!$A$5:$A$204,0)),DAY(EOMONTH(B482,INDEX(取引先マスタ!$E$5:$E$204,MATCH(C482,取引先マスタ!$A$5:$A$204,0))))))),""))</f>
        <v/>
      </c>
      <c r="H482" s="22"/>
      <c r="I482" s="25" t="str">
        <f aca="false">IF(H482&lt;&gt;"",H482,G482)</f>
        <v/>
      </c>
      <c r="J482" s="26"/>
      <c r="K482" s="22"/>
      <c r="L482" s="26"/>
      <c r="M482" s="27" t="str">
        <f aca="false">IF(A482="","",SUMIF(入金明細!$F$5:$F$1004,A482,入金明細!$E$5:$E$1004))</f>
        <v/>
      </c>
      <c r="N482" s="25" t="str">
        <f aca="false">IF(OR(A482="",N(M482)=0),"",SUMPRODUCT(MAX((入金明細!$F$5:$F$1004=A482)*入金明細!$B$5:$B$1004)))</f>
        <v/>
      </c>
      <c r="O482" s="18"/>
      <c r="P482" s="27" t="str">
        <f aca="false">IF(OR(A482="",F482=""),"",F482-N(M482)-N(O482))</f>
        <v/>
      </c>
      <c r="Q482" s="26"/>
      <c r="R482" s="28" t="str">
        <f aca="false">IF(A482="","",IF(Q482="取消","取消",IF(T482&lt;&gt;"","要入力",IF(K482="","未送付",IF(P482=0,"入金済",IF(P482&lt;0,"過入金",IF(設定!$C$5&gt;I482,IF(N(M482)&gt;0,"一部入金・超過","期日超過"),IF(N(M482)&gt;0,"一部入金",IF(I482-設定!$C$5&lt;=設定!$C$6,"期日間近","入金待ち")))))))))</f>
        <v/>
      </c>
      <c r="S482" s="29" t="str">
        <f aca="false">IF(OR(R482="期日超過",R482="一部入金・超過"),設定!$C$5-I482,"")</f>
        <v/>
      </c>
      <c r="T482" s="21" t="str">
        <f aca="false">IF(A482="","",TRIM(IF(B482="","請求日 ","")&amp;IF(C482="","取引先 ",IF(D482="コード誤り","取引先コード誤り ",""))&amp;IF(E482="","件名 ","")&amp;IF(F482="","請求額 ","")&amp;IF(AND(F482&lt;&gt;"",I482=""),"入金期日(マスタの支払条件が未登録) ","")&amp;IF(J482="","送付方法 ","")&amp;IF(AND(K482&lt;&gt;"",L482=""),"送付者 ","")&amp;IF(AND(K482&lt;&gt;"",N(K482)&gt;設定!$C$5),"送付日が未来の日付 ","")&amp;IF(AND(K482&lt;&gt;"",N(M482)&gt;0,N(P482)&lt;=0,U482=""),"消込確認者 ","")))</f>
        <v/>
      </c>
      <c r="U482" s="26"/>
      <c r="V482" s="26"/>
    </row>
    <row r="483" customFormat="false" ht="15" hidden="false" customHeight="false" outlineLevel="0" collapsed="false">
      <c r="A483" s="21" t="str">
        <f aca="false">IF(COUNTA(B483,C483,E483,F483)=0,"",設定!$C$4&amp;TEXT(ROW()-4,"00000"))</f>
        <v/>
      </c>
      <c r="B483" s="22"/>
      <c r="C483" s="23"/>
      <c r="D483" s="21" t="str">
        <f aca="false">IF(C483="","",IFERROR(INDEX(取引先マスタ!$B$5:$B$204,MATCH(C483,取引先マスタ!$A$5:$A$204,0)),"コード誤り"))</f>
        <v/>
      </c>
      <c r="E483" s="26"/>
      <c r="F483" s="18"/>
      <c r="G483" s="25" t="str">
        <f aca="false">IF(OR(B483="",C483="",D483="コード誤り"),"",IFERROR(IF(OR(INDEX(取引先マスタ!$E$5:$E$204,MATCH(C483,取引先マスタ!$A$5:$A$204,0))="",INDEX(取引先マスタ!$F$5:$F$204,MATCH(C483,取引先マスタ!$A$5:$A$204,0))=""),"",DATE(YEAR(B483),MONTH(B483)+INDEX(取引先マスタ!$E$5:$E$204,MATCH(C483,取引先マスタ!$A$5:$A$204,0)),MIN(INDEX(取引先マスタ!$F$5:$F$204,MATCH(C483,取引先マスタ!$A$5:$A$204,0)),DAY(EOMONTH(B483,INDEX(取引先マスタ!$E$5:$E$204,MATCH(C483,取引先マスタ!$A$5:$A$204,0))))))),""))</f>
        <v/>
      </c>
      <c r="H483" s="22"/>
      <c r="I483" s="25" t="str">
        <f aca="false">IF(H483&lt;&gt;"",H483,G483)</f>
        <v/>
      </c>
      <c r="J483" s="26"/>
      <c r="K483" s="22"/>
      <c r="L483" s="26"/>
      <c r="M483" s="27" t="str">
        <f aca="false">IF(A483="","",SUMIF(入金明細!$F$5:$F$1004,A483,入金明細!$E$5:$E$1004))</f>
        <v/>
      </c>
      <c r="N483" s="25" t="str">
        <f aca="false">IF(OR(A483="",N(M483)=0),"",SUMPRODUCT(MAX((入金明細!$F$5:$F$1004=A483)*入金明細!$B$5:$B$1004)))</f>
        <v/>
      </c>
      <c r="O483" s="18"/>
      <c r="P483" s="27" t="str">
        <f aca="false">IF(OR(A483="",F483=""),"",F483-N(M483)-N(O483))</f>
        <v/>
      </c>
      <c r="Q483" s="26"/>
      <c r="R483" s="28" t="str">
        <f aca="false">IF(A483="","",IF(Q483="取消","取消",IF(T483&lt;&gt;"","要入力",IF(K483="","未送付",IF(P483=0,"入金済",IF(P483&lt;0,"過入金",IF(設定!$C$5&gt;I483,IF(N(M483)&gt;0,"一部入金・超過","期日超過"),IF(N(M483)&gt;0,"一部入金",IF(I483-設定!$C$5&lt;=設定!$C$6,"期日間近","入金待ち")))))))))</f>
        <v/>
      </c>
      <c r="S483" s="29" t="str">
        <f aca="false">IF(OR(R483="期日超過",R483="一部入金・超過"),設定!$C$5-I483,"")</f>
        <v/>
      </c>
      <c r="T483" s="21" t="str">
        <f aca="false">IF(A483="","",TRIM(IF(B483="","請求日 ","")&amp;IF(C483="","取引先 ",IF(D483="コード誤り","取引先コード誤り ",""))&amp;IF(E483="","件名 ","")&amp;IF(F483="","請求額 ","")&amp;IF(AND(F483&lt;&gt;"",I483=""),"入金期日(マスタの支払条件が未登録) ","")&amp;IF(J483="","送付方法 ","")&amp;IF(AND(K483&lt;&gt;"",L483=""),"送付者 ","")&amp;IF(AND(K483&lt;&gt;"",N(K483)&gt;設定!$C$5),"送付日が未来の日付 ","")&amp;IF(AND(K483&lt;&gt;"",N(M483)&gt;0,N(P483)&lt;=0,U483=""),"消込確認者 ","")))</f>
        <v/>
      </c>
      <c r="U483" s="26"/>
      <c r="V483" s="26"/>
    </row>
    <row r="484" customFormat="false" ht="15" hidden="false" customHeight="false" outlineLevel="0" collapsed="false">
      <c r="A484" s="21" t="str">
        <f aca="false">IF(COUNTA(B484,C484,E484,F484)=0,"",設定!$C$4&amp;TEXT(ROW()-4,"00000"))</f>
        <v/>
      </c>
      <c r="B484" s="22"/>
      <c r="C484" s="23"/>
      <c r="D484" s="21" t="str">
        <f aca="false">IF(C484="","",IFERROR(INDEX(取引先マスタ!$B$5:$B$204,MATCH(C484,取引先マスタ!$A$5:$A$204,0)),"コード誤り"))</f>
        <v/>
      </c>
      <c r="E484" s="26"/>
      <c r="F484" s="18"/>
      <c r="G484" s="25" t="str">
        <f aca="false">IF(OR(B484="",C484="",D484="コード誤り"),"",IFERROR(IF(OR(INDEX(取引先マスタ!$E$5:$E$204,MATCH(C484,取引先マスタ!$A$5:$A$204,0))="",INDEX(取引先マスタ!$F$5:$F$204,MATCH(C484,取引先マスタ!$A$5:$A$204,0))=""),"",DATE(YEAR(B484),MONTH(B484)+INDEX(取引先マスタ!$E$5:$E$204,MATCH(C484,取引先マスタ!$A$5:$A$204,0)),MIN(INDEX(取引先マスタ!$F$5:$F$204,MATCH(C484,取引先マスタ!$A$5:$A$204,0)),DAY(EOMONTH(B484,INDEX(取引先マスタ!$E$5:$E$204,MATCH(C484,取引先マスタ!$A$5:$A$204,0))))))),""))</f>
        <v/>
      </c>
      <c r="H484" s="22"/>
      <c r="I484" s="25" t="str">
        <f aca="false">IF(H484&lt;&gt;"",H484,G484)</f>
        <v/>
      </c>
      <c r="J484" s="26"/>
      <c r="K484" s="22"/>
      <c r="L484" s="26"/>
      <c r="M484" s="27" t="str">
        <f aca="false">IF(A484="","",SUMIF(入金明細!$F$5:$F$1004,A484,入金明細!$E$5:$E$1004))</f>
        <v/>
      </c>
      <c r="N484" s="25" t="str">
        <f aca="false">IF(OR(A484="",N(M484)=0),"",SUMPRODUCT(MAX((入金明細!$F$5:$F$1004=A484)*入金明細!$B$5:$B$1004)))</f>
        <v/>
      </c>
      <c r="O484" s="18"/>
      <c r="P484" s="27" t="str">
        <f aca="false">IF(OR(A484="",F484=""),"",F484-N(M484)-N(O484))</f>
        <v/>
      </c>
      <c r="Q484" s="26"/>
      <c r="R484" s="28" t="str">
        <f aca="false">IF(A484="","",IF(Q484="取消","取消",IF(T484&lt;&gt;"","要入力",IF(K484="","未送付",IF(P484=0,"入金済",IF(P484&lt;0,"過入金",IF(設定!$C$5&gt;I484,IF(N(M484)&gt;0,"一部入金・超過","期日超過"),IF(N(M484)&gt;0,"一部入金",IF(I484-設定!$C$5&lt;=設定!$C$6,"期日間近","入金待ち")))))))))</f>
        <v/>
      </c>
      <c r="S484" s="29" t="str">
        <f aca="false">IF(OR(R484="期日超過",R484="一部入金・超過"),設定!$C$5-I484,"")</f>
        <v/>
      </c>
      <c r="T484" s="21" t="str">
        <f aca="false">IF(A484="","",TRIM(IF(B484="","請求日 ","")&amp;IF(C484="","取引先 ",IF(D484="コード誤り","取引先コード誤り ",""))&amp;IF(E484="","件名 ","")&amp;IF(F484="","請求額 ","")&amp;IF(AND(F484&lt;&gt;"",I484=""),"入金期日(マスタの支払条件が未登録) ","")&amp;IF(J484="","送付方法 ","")&amp;IF(AND(K484&lt;&gt;"",L484=""),"送付者 ","")&amp;IF(AND(K484&lt;&gt;"",N(K484)&gt;設定!$C$5),"送付日が未来の日付 ","")&amp;IF(AND(K484&lt;&gt;"",N(M484)&gt;0,N(P484)&lt;=0,U484=""),"消込確認者 ","")))</f>
        <v/>
      </c>
      <c r="U484" s="26"/>
      <c r="V484" s="26"/>
    </row>
    <row r="485" customFormat="false" ht="15" hidden="false" customHeight="false" outlineLevel="0" collapsed="false">
      <c r="A485" s="21" t="str">
        <f aca="false">IF(COUNTA(B485,C485,E485,F485)=0,"",設定!$C$4&amp;TEXT(ROW()-4,"00000"))</f>
        <v/>
      </c>
      <c r="B485" s="22"/>
      <c r="C485" s="23"/>
      <c r="D485" s="21" t="str">
        <f aca="false">IF(C485="","",IFERROR(INDEX(取引先マスタ!$B$5:$B$204,MATCH(C485,取引先マスタ!$A$5:$A$204,0)),"コード誤り"))</f>
        <v/>
      </c>
      <c r="E485" s="26"/>
      <c r="F485" s="18"/>
      <c r="G485" s="25" t="str">
        <f aca="false">IF(OR(B485="",C485="",D485="コード誤り"),"",IFERROR(IF(OR(INDEX(取引先マスタ!$E$5:$E$204,MATCH(C485,取引先マスタ!$A$5:$A$204,0))="",INDEX(取引先マスタ!$F$5:$F$204,MATCH(C485,取引先マスタ!$A$5:$A$204,0))=""),"",DATE(YEAR(B485),MONTH(B485)+INDEX(取引先マスタ!$E$5:$E$204,MATCH(C485,取引先マスタ!$A$5:$A$204,0)),MIN(INDEX(取引先マスタ!$F$5:$F$204,MATCH(C485,取引先マスタ!$A$5:$A$204,0)),DAY(EOMONTH(B485,INDEX(取引先マスタ!$E$5:$E$204,MATCH(C485,取引先マスタ!$A$5:$A$204,0))))))),""))</f>
        <v/>
      </c>
      <c r="H485" s="22"/>
      <c r="I485" s="25" t="str">
        <f aca="false">IF(H485&lt;&gt;"",H485,G485)</f>
        <v/>
      </c>
      <c r="J485" s="26"/>
      <c r="K485" s="22"/>
      <c r="L485" s="26"/>
      <c r="M485" s="27" t="str">
        <f aca="false">IF(A485="","",SUMIF(入金明細!$F$5:$F$1004,A485,入金明細!$E$5:$E$1004))</f>
        <v/>
      </c>
      <c r="N485" s="25" t="str">
        <f aca="false">IF(OR(A485="",N(M485)=0),"",SUMPRODUCT(MAX((入金明細!$F$5:$F$1004=A485)*入金明細!$B$5:$B$1004)))</f>
        <v/>
      </c>
      <c r="O485" s="18"/>
      <c r="P485" s="27" t="str">
        <f aca="false">IF(OR(A485="",F485=""),"",F485-N(M485)-N(O485))</f>
        <v/>
      </c>
      <c r="Q485" s="26"/>
      <c r="R485" s="28" t="str">
        <f aca="false">IF(A485="","",IF(Q485="取消","取消",IF(T485&lt;&gt;"","要入力",IF(K485="","未送付",IF(P485=0,"入金済",IF(P485&lt;0,"過入金",IF(設定!$C$5&gt;I485,IF(N(M485)&gt;0,"一部入金・超過","期日超過"),IF(N(M485)&gt;0,"一部入金",IF(I485-設定!$C$5&lt;=設定!$C$6,"期日間近","入金待ち")))))))))</f>
        <v/>
      </c>
      <c r="S485" s="29" t="str">
        <f aca="false">IF(OR(R485="期日超過",R485="一部入金・超過"),設定!$C$5-I485,"")</f>
        <v/>
      </c>
      <c r="T485" s="21" t="str">
        <f aca="false">IF(A485="","",TRIM(IF(B485="","請求日 ","")&amp;IF(C485="","取引先 ",IF(D485="コード誤り","取引先コード誤り ",""))&amp;IF(E485="","件名 ","")&amp;IF(F485="","請求額 ","")&amp;IF(AND(F485&lt;&gt;"",I485=""),"入金期日(マスタの支払条件が未登録) ","")&amp;IF(J485="","送付方法 ","")&amp;IF(AND(K485&lt;&gt;"",L485=""),"送付者 ","")&amp;IF(AND(K485&lt;&gt;"",N(K485)&gt;設定!$C$5),"送付日が未来の日付 ","")&amp;IF(AND(K485&lt;&gt;"",N(M485)&gt;0,N(P485)&lt;=0,U485=""),"消込確認者 ","")))</f>
        <v/>
      </c>
      <c r="U485" s="26"/>
      <c r="V485" s="26"/>
    </row>
    <row r="486" customFormat="false" ht="15" hidden="false" customHeight="false" outlineLevel="0" collapsed="false">
      <c r="A486" s="21" t="str">
        <f aca="false">IF(COUNTA(B486,C486,E486,F486)=0,"",設定!$C$4&amp;TEXT(ROW()-4,"00000"))</f>
        <v/>
      </c>
      <c r="B486" s="22"/>
      <c r="C486" s="23"/>
      <c r="D486" s="21" t="str">
        <f aca="false">IF(C486="","",IFERROR(INDEX(取引先マスタ!$B$5:$B$204,MATCH(C486,取引先マスタ!$A$5:$A$204,0)),"コード誤り"))</f>
        <v/>
      </c>
      <c r="E486" s="26"/>
      <c r="F486" s="18"/>
      <c r="G486" s="25" t="str">
        <f aca="false">IF(OR(B486="",C486="",D486="コード誤り"),"",IFERROR(IF(OR(INDEX(取引先マスタ!$E$5:$E$204,MATCH(C486,取引先マスタ!$A$5:$A$204,0))="",INDEX(取引先マスタ!$F$5:$F$204,MATCH(C486,取引先マスタ!$A$5:$A$204,0))=""),"",DATE(YEAR(B486),MONTH(B486)+INDEX(取引先マスタ!$E$5:$E$204,MATCH(C486,取引先マスタ!$A$5:$A$204,0)),MIN(INDEX(取引先マスタ!$F$5:$F$204,MATCH(C486,取引先マスタ!$A$5:$A$204,0)),DAY(EOMONTH(B486,INDEX(取引先マスタ!$E$5:$E$204,MATCH(C486,取引先マスタ!$A$5:$A$204,0))))))),""))</f>
        <v/>
      </c>
      <c r="H486" s="22"/>
      <c r="I486" s="25" t="str">
        <f aca="false">IF(H486&lt;&gt;"",H486,G486)</f>
        <v/>
      </c>
      <c r="J486" s="26"/>
      <c r="K486" s="22"/>
      <c r="L486" s="26"/>
      <c r="M486" s="27" t="str">
        <f aca="false">IF(A486="","",SUMIF(入金明細!$F$5:$F$1004,A486,入金明細!$E$5:$E$1004))</f>
        <v/>
      </c>
      <c r="N486" s="25" t="str">
        <f aca="false">IF(OR(A486="",N(M486)=0),"",SUMPRODUCT(MAX((入金明細!$F$5:$F$1004=A486)*入金明細!$B$5:$B$1004)))</f>
        <v/>
      </c>
      <c r="O486" s="18"/>
      <c r="P486" s="27" t="str">
        <f aca="false">IF(OR(A486="",F486=""),"",F486-N(M486)-N(O486))</f>
        <v/>
      </c>
      <c r="Q486" s="26"/>
      <c r="R486" s="28" t="str">
        <f aca="false">IF(A486="","",IF(Q486="取消","取消",IF(T486&lt;&gt;"","要入力",IF(K486="","未送付",IF(P486=0,"入金済",IF(P486&lt;0,"過入金",IF(設定!$C$5&gt;I486,IF(N(M486)&gt;0,"一部入金・超過","期日超過"),IF(N(M486)&gt;0,"一部入金",IF(I486-設定!$C$5&lt;=設定!$C$6,"期日間近","入金待ち")))))))))</f>
        <v/>
      </c>
      <c r="S486" s="29" t="str">
        <f aca="false">IF(OR(R486="期日超過",R486="一部入金・超過"),設定!$C$5-I486,"")</f>
        <v/>
      </c>
      <c r="T486" s="21" t="str">
        <f aca="false">IF(A486="","",TRIM(IF(B486="","請求日 ","")&amp;IF(C486="","取引先 ",IF(D486="コード誤り","取引先コード誤り ",""))&amp;IF(E486="","件名 ","")&amp;IF(F486="","請求額 ","")&amp;IF(AND(F486&lt;&gt;"",I486=""),"入金期日(マスタの支払条件が未登録) ","")&amp;IF(J486="","送付方法 ","")&amp;IF(AND(K486&lt;&gt;"",L486=""),"送付者 ","")&amp;IF(AND(K486&lt;&gt;"",N(K486)&gt;設定!$C$5),"送付日が未来の日付 ","")&amp;IF(AND(K486&lt;&gt;"",N(M486)&gt;0,N(P486)&lt;=0,U486=""),"消込確認者 ","")))</f>
        <v/>
      </c>
      <c r="U486" s="26"/>
      <c r="V486" s="26"/>
    </row>
    <row r="487" customFormat="false" ht="15" hidden="false" customHeight="false" outlineLevel="0" collapsed="false">
      <c r="A487" s="21" t="str">
        <f aca="false">IF(COUNTA(B487,C487,E487,F487)=0,"",設定!$C$4&amp;TEXT(ROW()-4,"00000"))</f>
        <v/>
      </c>
      <c r="B487" s="22"/>
      <c r="C487" s="23"/>
      <c r="D487" s="21" t="str">
        <f aca="false">IF(C487="","",IFERROR(INDEX(取引先マスタ!$B$5:$B$204,MATCH(C487,取引先マスタ!$A$5:$A$204,0)),"コード誤り"))</f>
        <v/>
      </c>
      <c r="E487" s="26"/>
      <c r="F487" s="18"/>
      <c r="G487" s="25" t="str">
        <f aca="false">IF(OR(B487="",C487="",D487="コード誤り"),"",IFERROR(IF(OR(INDEX(取引先マスタ!$E$5:$E$204,MATCH(C487,取引先マスタ!$A$5:$A$204,0))="",INDEX(取引先マスタ!$F$5:$F$204,MATCH(C487,取引先マスタ!$A$5:$A$204,0))=""),"",DATE(YEAR(B487),MONTH(B487)+INDEX(取引先マスタ!$E$5:$E$204,MATCH(C487,取引先マスタ!$A$5:$A$204,0)),MIN(INDEX(取引先マスタ!$F$5:$F$204,MATCH(C487,取引先マスタ!$A$5:$A$204,0)),DAY(EOMONTH(B487,INDEX(取引先マスタ!$E$5:$E$204,MATCH(C487,取引先マスタ!$A$5:$A$204,0))))))),""))</f>
        <v/>
      </c>
      <c r="H487" s="22"/>
      <c r="I487" s="25" t="str">
        <f aca="false">IF(H487&lt;&gt;"",H487,G487)</f>
        <v/>
      </c>
      <c r="J487" s="26"/>
      <c r="K487" s="22"/>
      <c r="L487" s="26"/>
      <c r="M487" s="27" t="str">
        <f aca="false">IF(A487="","",SUMIF(入金明細!$F$5:$F$1004,A487,入金明細!$E$5:$E$1004))</f>
        <v/>
      </c>
      <c r="N487" s="25" t="str">
        <f aca="false">IF(OR(A487="",N(M487)=0),"",SUMPRODUCT(MAX((入金明細!$F$5:$F$1004=A487)*入金明細!$B$5:$B$1004)))</f>
        <v/>
      </c>
      <c r="O487" s="18"/>
      <c r="P487" s="27" t="str">
        <f aca="false">IF(OR(A487="",F487=""),"",F487-N(M487)-N(O487))</f>
        <v/>
      </c>
      <c r="Q487" s="26"/>
      <c r="R487" s="28" t="str">
        <f aca="false">IF(A487="","",IF(Q487="取消","取消",IF(T487&lt;&gt;"","要入力",IF(K487="","未送付",IF(P487=0,"入金済",IF(P487&lt;0,"過入金",IF(設定!$C$5&gt;I487,IF(N(M487)&gt;0,"一部入金・超過","期日超過"),IF(N(M487)&gt;0,"一部入金",IF(I487-設定!$C$5&lt;=設定!$C$6,"期日間近","入金待ち")))))))))</f>
        <v/>
      </c>
      <c r="S487" s="29" t="str">
        <f aca="false">IF(OR(R487="期日超過",R487="一部入金・超過"),設定!$C$5-I487,"")</f>
        <v/>
      </c>
      <c r="T487" s="21" t="str">
        <f aca="false">IF(A487="","",TRIM(IF(B487="","請求日 ","")&amp;IF(C487="","取引先 ",IF(D487="コード誤り","取引先コード誤り ",""))&amp;IF(E487="","件名 ","")&amp;IF(F487="","請求額 ","")&amp;IF(AND(F487&lt;&gt;"",I487=""),"入金期日(マスタの支払条件が未登録) ","")&amp;IF(J487="","送付方法 ","")&amp;IF(AND(K487&lt;&gt;"",L487=""),"送付者 ","")&amp;IF(AND(K487&lt;&gt;"",N(K487)&gt;設定!$C$5),"送付日が未来の日付 ","")&amp;IF(AND(K487&lt;&gt;"",N(M487)&gt;0,N(P487)&lt;=0,U487=""),"消込確認者 ","")))</f>
        <v/>
      </c>
      <c r="U487" s="26"/>
      <c r="V487" s="26"/>
    </row>
    <row r="488" customFormat="false" ht="15" hidden="false" customHeight="false" outlineLevel="0" collapsed="false">
      <c r="A488" s="21" t="str">
        <f aca="false">IF(COUNTA(B488,C488,E488,F488)=0,"",設定!$C$4&amp;TEXT(ROW()-4,"00000"))</f>
        <v/>
      </c>
      <c r="B488" s="22"/>
      <c r="C488" s="23"/>
      <c r="D488" s="21" t="str">
        <f aca="false">IF(C488="","",IFERROR(INDEX(取引先マスタ!$B$5:$B$204,MATCH(C488,取引先マスタ!$A$5:$A$204,0)),"コード誤り"))</f>
        <v/>
      </c>
      <c r="E488" s="26"/>
      <c r="F488" s="18"/>
      <c r="G488" s="25" t="str">
        <f aca="false">IF(OR(B488="",C488="",D488="コード誤り"),"",IFERROR(IF(OR(INDEX(取引先マスタ!$E$5:$E$204,MATCH(C488,取引先マスタ!$A$5:$A$204,0))="",INDEX(取引先マスタ!$F$5:$F$204,MATCH(C488,取引先マスタ!$A$5:$A$204,0))=""),"",DATE(YEAR(B488),MONTH(B488)+INDEX(取引先マスタ!$E$5:$E$204,MATCH(C488,取引先マスタ!$A$5:$A$204,0)),MIN(INDEX(取引先マスタ!$F$5:$F$204,MATCH(C488,取引先マスタ!$A$5:$A$204,0)),DAY(EOMONTH(B488,INDEX(取引先マスタ!$E$5:$E$204,MATCH(C488,取引先マスタ!$A$5:$A$204,0))))))),""))</f>
        <v/>
      </c>
      <c r="H488" s="22"/>
      <c r="I488" s="25" t="str">
        <f aca="false">IF(H488&lt;&gt;"",H488,G488)</f>
        <v/>
      </c>
      <c r="J488" s="26"/>
      <c r="K488" s="22"/>
      <c r="L488" s="26"/>
      <c r="M488" s="27" t="str">
        <f aca="false">IF(A488="","",SUMIF(入金明細!$F$5:$F$1004,A488,入金明細!$E$5:$E$1004))</f>
        <v/>
      </c>
      <c r="N488" s="25" t="str">
        <f aca="false">IF(OR(A488="",N(M488)=0),"",SUMPRODUCT(MAX((入金明細!$F$5:$F$1004=A488)*入金明細!$B$5:$B$1004)))</f>
        <v/>
      </c>
      <c r="O488" s="18"/>
      <c r="P488" s="27" t="str">
        <f aca="false">IF(OR(A488="",F488=""),"",F488-N(M488)-N(O488))</f>
        <v/>
      </c>
      <c r="Q488" s="26"/>
      <c r="R488" s="28" t="str">
        <f aca="false">IF(A488="","",IF(Q488="取消","取消",IF(T488&lt;&gt;"","要入力",IF(K488="","未送付",IF(P488=0,"入金済",IF(P488&lt;0,"過入金",IF(設定!$C$5&gt;I488,IF(N(M488)&gt;0,"一部入金・超過","期日超過"),IF(N(M488)&gt;0,"一部入金",IF(I488-設定!$C$5&lt;=設定!$C$6,"期日間近","入金待ち")))))))))</f>
        <v/>
      </c>
      <c r="S488" s="29" t="str">
        <f aca="false">IF(OR(R488="期日超過",R488="一部入金・超過"),設定!$C$5-I488,"")</f>
        <v/>
      </c>
      <c r="T488" s="21" t="str">
        <f aca="false">IF(A488="","",TRIM(IF(B488="","請求日 ","")&amp;IF(C488="","取引先 ",IF(D488="コード誤り","取引先コード誤り ",""))&amp;IF(E488="","件名 ","")&amp;IF(F488="","請求額 ","")&amp;IF(AND(F488&lt;&gt;"",I488=""),"入金期日(マスタの支払条件が未登録) ","")&amp;IF(J488="","送付方法 ","")&amp;IF(AND(K488&lt;&gt;"",L488=""),"送付者 ","")&amp;IF(AND(K488&lt;&gt;"",N(K488)&gt;設定!$C$5),"送付日が未来の日付 ","")&amp;IF(AND(K488&lt;&gt;"",N(M488)&gt;0,N(P488)&lt;=0,U488=""),"消込確認者 ","")))</f>
        <v/>
      </c>
      <c r="U488" s="26"/>
      <c r="V488" s="26"/>
    </row>
    <row r="489" customFormat="false" ht="15" hidden="false" customHeight="false" outlineLevel="0" collapsed="false">
      <c r="A489" s="21" t="str">
        <f aca="false">IF(COUNTA(B489,C489,E489,F489)=0,"",設定!$C$4&amp;TEXT(ROW()-4,"00000"))</f>
        <v/>
      </c>
      <c r="B489" s="22"/>
      <c r="C489" s="23"/>
      <c r="D489" s="21" t="str">
        <f aca="false">IF(C489="","",IFERROR(INDEX(取引先マスタ!$B$5:$B$204,MATCH(C489,取引先マスタ!$A$5:$A$204,0)),"コード誤り"))</f>
        <v/>
      </c>
      <c r="E489" s="26"/>
      <c r="F489" s="18"/>
      <c r="G489" s="25" t="str">
        <f aca="false">IF(OR(B489="",C489="",D489="コード誤り"),"",IFERROR(IF(OR(INDEX(取引先マスタ!$E$5:$E$204,MATCH(C489,取引先マスタ!$A$5:$A$204,0))="",INDEX(取引先マスタ!$F$5:$F$204,MATCH(C489,取引先マスタ!$A$5:$A$204,0))=""),"",DATE(YEAR(B489),MONTH(B489)+INDEX(取引先マスタ!$E$5:$E$204,MATCH(C489,取引先マスタ!$A$5:$A$204,0)),MIN(INDEX(取引先マスタ!$F$5:$F$204,MATCH(C489,取引先マスタ!$A$5:$A$204,0)),DAY(EOMONTH(B489,INDEX(取引先マスタ!$E$5:$E$204,MATCH(C489,取引先マスタ!$A$5:$A$204,0))))))),""))</f>
        <v/>
      </c>
      <c r="H489" s="22"/>
      <c r="I489" s="25" t="str">
        <f aca="false">IF(H489&lt;&gt;"",H489,G489)</f>
        <v/>
      </c>
      <c r="J489" s="26"/>
      <c r="K489" s="22"/>
      <c r="L489" s="26"/>
      <c r="M489" s="27" t="str">
        <f aca="false">IF(A489="","",SUMIF(入金明細!$F$5:$F$1004,A489,入金明細!$E$5:$E$1004))</f>
        <v/>
      </c>
      <c r="N489" s="25" t="str">
        <f aca="false">IF(OR(A489="",N(M489)=0),"",SUMPRODUCT(MAX((入金明細!$F$5:$F$1004=A489)*入金明細!$B$5:$B$1004)))</f>
        <v/>
      </c>
      <c r="O489" s="18"/>
      <c r="P489" s="27" t="str">
        <f aca="false">IF(OR(A489="",F489=""),"",F489-N(M489)-N(O489))</f>
        <v/>
      </c>
      <c r="Q489" s="26"/>
      <c r="R489" s="28" t="str">
        <f aca="false">IF(A489="","",IF(Q489="取消","取消",IF(T489&lt;&gt;"","要入力",IF(K489="","未送付",IF(P489=0,"入金済",IF(P489&lt;0,"過入金",IF(設定!$C$5&gt;I489,IF(N(M489)&gt;0,"一部入金・超過","期日超過"),IF(N(M489)&gt;0,"一部入金",IF(I489-設定!$C$5&lt;=設定!$C$6,"期日間近","入金待ち")))))))))</f>
        <v/>
      </c>
      <c r="S489" s="29" t="str">
        <f aca="false">IF(OR(R489="期日超過",R489="一部入金・超過"),設定!$C$5-I489,"")</f>
        <v/>
      </c>
      <c r="T489" s="21" t="str">
        <f aca="false">IF(A489="","",TRIM(IF(B489="","請求日 ","")&amp;IF(C489="","取引先 ",IF(D489="コード誤り","取引先コード誤り ",""))&amp;IF(E489="","件名 ","")&amp;IF(F489="","請求額 ","")&amp;IF(AND(F489&lt;&gt;"",I489=""),"入金期日(マスタの支払条件が未登録) ","")&amp;IF(J489="","送付方法 ","")&amp;IF(AND(K489&lt;&gt;"",L489=""),"送付者 ","")&amp;IF(AND(K489&lt;&gt;"",N(K489)&gt;設定!$C$5),"送付日が未来の日付 ","")&amp;IF(AND(K489&lt;&gt;"",N(M489)&gt;0,N(P489)&lt;=0,U489=""),"消込確認者 ","")))</f>
        <v/>
      </c>
      <c r="U489" s="26"/>
      <c r="V489" s="26"/>
    </row>
    <row r="490" customFormat="false" ht="15" hidden="false" customHeight="false" outlineLevel="0" collapsed="false">
      <c r="A490" s="21" t="str">
        <f aca="false">IF(COUNTA(B490,C490,E490,F490)=0,"",設定!$C$4&amp;TEXT(ROW()-4,"00000"))</f>
        <v/>
      </c>
      <c r="B490" s="22"/>
      <c r="C490" s="23"/>
      <c r="D490" s="21" t="str">
        <f aca="false">IF(C490="","",IFERROR(INDEX(取引先マスタ!$B$5:$B$204,MATCH(C490,取引先マスタ!$A$5:$A$204,0)),"コード誤り"))</f>
        <v/>
      </c>
      <c r="E490" s="26"/>
      <c r="F490" s="18"/>
      <c r="G490" s="25" t="str">
        <f aca="false">IF(OR(B490="",C490="",D490="コード誤り"),"",IFERROR(IF(OR(INDEX(取引先マスタ!$E$5:$E$204,MATCH(C490,取引先マスタ!$A$5:$A$204,0))="",INDEX(取引先マスタ!$F$5:$F$204,MATCH(C490,取引先マスタ!$A$5:$A$204,0))=""),"",DATE(YEAR(B490),MONTH(B490)+INDEX(取引先マスタ!$E$5:$E$204,MATCH(C490,取引先マスタ!$A$5:$A$204,0)),MIN(INDEX(取引先マスタ!$F$5:$F$204,MATCH(C490,取引先マスタ!$A$5:$A$204,0)),DAY(EOMONTH(B490,INDEX(取引先マスタ!$E$5:$E$204,MATCH(C490,取引先マスタ!$A$5:$A$204,0))))))),""))</f>
        <v/>
      </c>
      <c r="H490" s="22"/>
      <c r="I490" s="25" t="str">
        <f aca="false">IF(H490&lt;&gt;"",H490,G490)</f>
        <v/>
      </c>
      <c r="J490" s="26"/>
      <c r="K490" s="22"/>
      <c r="L490" s="26"/>
      <c r="M490" s="27" t="str">
        <f aca="false">IF(A490="","",SUMIF(入金明細!$F$5:$F$1004,A490,入金明細!$E$5:$E$1004))</f>
        <v/>
      </c>
      <c r="N490" s="25" t="str">
        <f aca="false">IF(OR(A490="",N(M490)=0),"",SUMPRODUCT(MAX((入金明細!$F$5:$F$1004=A490)*入金明細!$B$5:$B$1004)))</f>
        <v/>
      </c>
      <c r="O490" s="18"/>
      <c r="P490" s="27" t="str">
        <f aca="false">IF(OR(A490="",F490=""),"",F490-N(M490)-N(O490))</f>
        <v/>
      </c>
      <c r="Q490" s="26"/>
      <c r="R490" s="28" t="str">
        <f aca="false">IF(A490="","",IF(Q490="取消","取消",IF(T490&lt;&gt;"","要入力",IF(K490="","未送付",IF(P490=0,"入金済",IF(P490&lt;0,"過入金",IF(設定!$C$5&gt;I490,IF(N(M490)&gt;0,"一部入金・超過","期日超過"),IF(N(M490)&gt;0,"一部入金",IF(I490-設定!$C$5&lt;=設定!$C$6,"期日間近","入金待ち")))))))))</f>
        <v/>
      </c>
      <c r="S490" s="29" t="str">
        <f aca="false">IF(OR(R490="期日超過",R490="一部入金・超過"),設定!$C$5-I490,"")</f>
        <v/>
      </c>
      <c r="T490" s="21" t="str">
        <f aca="false">IF(A490="","",TRIM(IF(B490="","請求日 ","")&amp;IF(C490="","取引先 ",IF(D490="コード誤り","取引先コード誤り ",""))&amp;IF(E490="","件名 ","")&amp;IF(F490="","請求額 ","")&amp;IF(AND(F490&lt;&gt;"",I490=""),"入金期日(マスタの支払条件が未登録) ","")&amp;IF(J490="","送付方法 ","")&amp;IF(AND(K490&lt;&gt;"",L490=""),"送付者 ","")&amp;IF(AND(K490&lt;&gt;"",N(K490)&gt;設定!$C$5),"送付日が未来の日付 ","")&amp;IF(AND(K490&lt;&gt;"",N(M490)&gt;0,N(P490)&lt;=0,U490=""),"消込確認者 ","")))</f>
        <v/>
      </c>
      <c r="U490" s="26"/>
      <c r="V490" s="26"/>
    </row>
    <row r="491" customFormat="false" ht="15" hidden="false" customHeight="false" outlineLevel="0" collapsed="false">
      <c r="A491" s="21" t="str">
        <f aca="false">IF(COUNTA(B491,C491,E491,F491)=0,"",設定!$C$4&amp;TEXT(ROW()-4,"00000"))</f>
        <v/>
      </c>
      <c r="B491" s="22"/>
      <c r="C491" s="23"/>
      <c r="D491" s="21" t="str">
        <f aca="false">IF(C491="","",IFERROR(INDEX(取引先マスタ!$B$5:$B$204,MATCH(C491,取引先マスタ!$A$5:$A$204,0)),"コード誤り"))</f>
        <v/>
      </c>
      <c r="E491" s="26"/>
      <c r="F491" s="18"/>
      <c r="G491" s="25" t="str">
        <f aca="false">IF(OR(B491="",C491="",D491="コード誤り"),"",IFERROR(IF(OR(INDEX(取引先マスタ!$E$5:$E$204,MATCH(C491,取引先マスタ!$A$5:$A$204,0))="",INDEX(取引先マスタ!$F$5:$F$204,MATCH(C491,取引先マスタ!$A$5:$A$204,0))=""),"",DATE(YEAR(B491),MONTH(B491)+INDEX(取引先マスタ!$E$5:$E$204,MATCH(C491,取引先マスタ!$A$5:$A$204,0)),MIN(INDEX(取引先マスタ!$F$5:$F$204,MATCH(C491,取引先マスタ!$A$5:$A$204,0)),DAY(EOMONTH(B491,INDEX(取引先マスタ!$E$5:$E$204,MATCH(C491,取引先マスタ!$A$5:$A$204,0))))))),""))</f>
        <v/>
      </c>
      <c r="H491" s="22"/>
      <c r="I491" s="25" t="str">
        <f aca="false">IF(H491&lt;&gt;"",H491,G491)</f>
        <v/>
      </c>
      <c r="J491" s="26"/>
      <c r="K491" s="22"/>
      <c r="L491" s="26"/>
      <c r="M491" s="27" t="str">
        <f aca="false">IF(A491="","",SUMIF(入金明細!$F$5:$F$1004,A491,入金明細!$E$5:$E$1004))</f>
        <v/>
      </c>
      <c r="N491" s="25" t="str">
        <f aca="false">IF(OR(A491="",N(M491)=0),"",SUMPRODUCT(MAX((入金明細!$F$5:$F$1004=A491)*入金明細!$B$5:$B$1004)))</f>
        <v/>
      </c>
      <c r="O491" s="18"/>
      <c r="P491" s="27" t="str">
        <f aca="false">IF(OR(A491="",F491=""),"",F491-N(M491)-N(O491))</f>
        <v/>
      </c>
      <c r="Q491" s="26"/>
      <c r="R491" s="28" t="str">
        <f aca="false">IF(A491="","",IF(Q491="取消","取消",IF(T491&lt;&gt;"","要入力",IF(K491="","未送付",IF(P491=0,"入金済",IF(P491&lt;0,"過入金",IF(設定!$C$5&gt;I491,IF(N(M491)&gt;0,"一部入金・超過","期日超過"),IF(N(M491)&gt;0,"一部入金",IF(I491-設定!$C$5&lt;=設定!$C$6,"期日間近","入金待ち")))))))))</f>
        <v/>
      </c>
      <c r="S491" s="29" t="str">
        <f aca="false">IF(OR(R491="期日超過",R491="一部入金・超過"),設定!$C$5-I491,"")</f>
        <v/>
      </c>
      <c r="T491" s="21" t="str">
        <f aca="false">IF(A491="","",TRIM(IF(B491="","請求日 ","")&amp;IF(C491="","取引先 ",IF(D491="コード誤り","取引先コード誤り ",""))&amp;IF(E491="","件名 ","")&amp;IF(F491="","請求額 ","")&amp;IF(AND(F491&lt;&gt;"",I491=""),"入金期日(マスタの支払条件が未登録) ","")&amp;IF(J491="","送付方法 ","")&amp;IF(AND(K491&lt;&gt;"",L491=""),"送付者 ","")&amp;IF(AND(K491&lt;&gt;"",N(K491)&gt;設定!$C$5),"送付日が未来の日付 ","")&amp;IF(AND(K491&lt;&gt;"",N(M491)&gt;0,N(P491)&lt;=0,U491=""),"消込確認者 ","")))</f>
        <v/>
      </c>
      <c r="U491" s="26"/>
      <c r="V491" s="26"/>
    </row>
    <row r="492" customFormat="false" ht="15" hidden="false" customHeight="false" outlineLevel="0" collapsed="false">
      <c r="A492" s="21" t="str">
        <f aca="false">IF(COUNTA(B492,C492,E492,F492)=0,"",設定!$C$4&amp;TEXT(ROW()-4,"00000"))</f>
        <v/>
      </c>
      <c r="B492" s="22"/>
      <c r="C492" s="23"/>
      <c r="D492" s="21" t="str">
        <f aca="false">IF(C492="","",IFERROR(INDEX(取引先マスタ!$B$5:$B$204,MATCH(C492,取引先マスタ!$A$5:$A$204,0)),"コード誤り"))</f>
        <v/>
      </c>
      <c r="E492" s="26"/>
      <c r="F492" s="18"/>
      <c r="G492" s="25" t="str">
        <f aca="false">IF(OR(B492="",C492="",D492="コード誤り"),"",IFERROR(IF(OR(INDEX(取引先マスタ!$E$5:$E$204,MATCH(C492,取引先マスタ!$A$5:$A$204,0))="",INDEX(取引先マスタ!$F$5:$F$204,MATCH(C492,取引先マスタ!$A$5:$A$204,0))=""),"",DATE(YEAR(B492),MONTH(B492)+INDEX(取引先マスタ!$E$5:$E$204,MATCH(C492,取引先マスタ!$A$5:$A$204,0)),MIN(INDEX(取引先マスタ!$F$5:$F$204,MATCH(C492,取引先マスタ!$A$5:$A$204,0)),DAY(EOMONTH(B492,INDEX(取引先マスタ!$E$5:$E$204,MATCH(C492,取引先マスタ!$A$5:$A$204,0))))))),""))</f>
        <v/>
      </c>
      <c r="H492" s="22"/>
      <c r="I492" s="25" t="str">
        <f aca="false">IF(H492&lt;&gt;"",H492,G492)</f>
        <v/>
      </c>
      <c r="J492" s="26"/>
      <c r="K492" s="22"/>
      <c r="L492" s="26"/>
      <c r="M492" s="27" t="str">
        <f aca="false">IF(A492="","",SUMIF(入金明細!$F$5:$F$1004,A492,入金明細!$E$5:$E$1004))</f>
        <v/>
      </c>
      <c r="N492" s="25" t="str">
        <f aca="false">IF(OR(A492="",N(M492)=0),"",SUMPRODUCT(MAX((入金明細!$F$5:$F$1004=A492)*入金明細!$B$5:$B$1004)))</f>
        <v/>
      </c>
      <c r="O492" s="18"/>
      <c r="P492" s="27" t="str">
        <f aca="false">IF(OR(A492="",F492=""),"",F492-N(M492)-N(O492))</f>
        <v/>
      </c>
      <c r="Q492" s="26"/>
      <c r="R492" s="28" t="str">
        <f aca="false">IF(A492="","",IF(Q492="取消","取消",IF(T492&lt;&gt;"","要入力",IF(K492="","未送付",IF(P492=0,"入金済",IF(P492&lt;0,"過入金",IF(設定!$C$5&gt;I492,IF(N(M492)&gt;0,"一部入金・超過","期日超過"),IF(N(M492)&gt;0,"一部入金",IF(I492-設定!$C$5&lt;=設定!$C$6,"期日間近","入金待ち")))))))))</f>
        <v/>
      </c>
      <c r="S492" s="29" t="str">
        <f aca="false">IF(OR(R492="期日超過",R492="一部入金・超過"),設定!$C$5-I492,"")</f>
        <v/>
      </c>
      <c r="T492" s="21" t="str">
        <f aca="false">IF(A492="","",TRIM(IF(B492="","請求日 ","")&amp;IF(C492="","取引先 ",IF(D492="コード誤り","取引先コード誤り ",""))&amp;IF(E492="","件名 ","")&amp;IF(F492="","請求額 ","")&amp;IF(AND(F492&lt;&gt;"",I492=""),"入金期日(マスタの支払条件が未登録) ","")&amp;IF(J492="","送付方法 ","")&amp;IF(AND(K492&lt;&gt;"",L492=""),"送付者 ","")&amp;IF(AND(K492&lt;&gt;"",N(K492)&gt;設定!$C$5),"送付日が未来の日付 ","")&amp;IF(AND(K492&lt;&gt;"",N(M492)&gt;0,N(P492)&lt;=0,U492=""),"消込確認者 ","")))</f>
        <v/>
      </c>
      <c r="U492" s="26"/>
      <c r="V492" s="26"/>
    </row>
    <row r="493" customFormat="false" ht="15" hidden="false" customHeight="false" outlineLevel="0" collapsed="false">
      <c r="A493" s="21" t="str">
        <f aca="false">IF(COUNTA(B493,C493,E493,F493)=0,"",設定!$C$4&amp;TEXT(ROW()-4,"00000"))</f>
        <v/>
      </c>
      <c r="B493" s="22"/>
      <c r="C493" s="23"/>
      <c r="D493" s="21" t="str">
        <f aca="false">IF(C493="","",IFERROR(INDEX(取引先マスタ!$B$5:$B$204,MATCH(C493,取引先マスタ!$A$5:$A$204,0)),"コード誤り"))</f>
        <v/>
      </c>
      <c r="E493" s="26"/>
      <c r="F493" s="18"/>
      <c r="G493" s="25" t="str">
        <f aca="false">IF(OR(B493="",C493="",D493="コード誤り"),"",IFERROR(IF(OR(INDEX(取引先マスタ!$E$5:$E$204,MATCH(C493,取引先マスタ!$A$5:$A$204,0))="",INDEX(取引先マスタ!$F$5:$F$204,MATCH(C493,取引先マスタ!$A$5:$A$204,0))=""),"",DATE(YEAR(B493),MONTH(B493)+INDEX(取引先マスタ!$E$5:$E$204,MATCH(C493,取引先マスタ!$A$5:$A$204,0)),MIN(INDEX(取引先マスタ!$F$5:$F$204,MATCH(C493,取引先マスタ!$A$5:$A$204,0)),DAY(EOMONTH(B493,INDEX(取引先マスタ!$E$5:$E$204,MATCH(C493,取引先マスタ!$A$5:$A$204,0))))))),""))</f>
        <v/>
      </c>
      <c r="H493" s="22"/>
      <c r="I493" s="25" t="str">
        <f aca="false">IF(H493&lt;&gt;"",H493,G493)</f>
        <v/>
      </c>
      <c r="J493" s="26"/>
      <c r="K493" s="22"/>
      <c r="L493" s="26"/>
      <c r="M493" s="27" t="str">
        <f aca="false">IF(A493="","",SUMIF(入金明細!$F$5:$F$1004,A493,入金明細!$E$5:$E$1004))</f>
        <v/>
      </c>
      <c r="N493" s="25" t="str">
        <f aca="false">IF(OR(A493="",N(M493)=0),"",SUMPRODUCT(MAX((入金明細!$F$5:$F$1004=A493)*入金明細!$B$5:$B$1004)))</f>
        <v/>
      </c>
      <c r="O493" s="18"/>
      <c r="P493" s="27" t="str">
        <f aca="false">IF(OR(A493="",F493=""),"",F493-N(M493)-N(O493))</f>
        <v/>
      </c>
      <c r="Q493" s="26"/>
      <c r="R493" s="28" t="str">
        <f aca="false">IF(A493="","",IF(Q493="取消","取消",IF(T493&lt;&gt;"","要入力",IF(K493="","未送付",IF(P493=0,"入金済",IF(P493&lt;0,"過入金",IF(設定!$C$5&gt;I493,IF(N(M493)&gt;0,"一部入金・超過","期日超過"),IF(N(M493)&gt;0,"一部入金",IF(I493-設定!$C$5&lt;=設定!$C$6,"期日間近","入金待ち")))))))))</f>
        <v/>
      </c>
      <c r="S493" s="29" t="str">
        <f aca="false">IF(OR(R493="期日超過",R493="一部入金・超過"),設定!$C$5-I493,"")</f>
        <v/>
      </c>
      <c r="T493" s="21" t="str">
        <f aca="false">IF(A493="","",TRIM(IF(B493="","請求日 ","")&amp;IF(C493="","取引先 ",IF(D493="コード誤り","取引先コード誤り ",""))&amp;IF(E493="","件名 ","")&amp;IF(F493="","請求額 ","")&amp;IF(AND(F493&lt;&gt;"",I493=""),"入金期日(マスタの支払条件が未登録) ","")&amp;IF(J493="","送付方法 ","")&amp;IF(AND(K493&lt;&gt;"",L493=""),"送付者 ","")&amp;IF(AND(K493&lt;&gt;"",N(K493)&gt;設定!$C$5),"送付日が未来の日付 ","")&amp;IF(AND(K493&lt;&gt;"",N(M493)&gt;0,N(P493)&lt;=0,U493=""),"消込確認者 ","")))</f>
        <v/>
      </c>
      <c r="U493" s="26"/>
      <c r="V493" s="26"/>
    </row>
    <row r="494" customFormat="false" ht="15" hidden="false" customHeight="false" outlineLevel="0" collapsed="false">
      <c r="A494" s="21" t="str">
        <f aca="false">IF(COUNTA(B494,C494,E494,F494)=0,"",設定!$C$4&amp;TEXT(ROW()-4,"00000"))</f>
        <v/>
      </c>
      <c r="B494" s="22"/>
      <c r="C494" s="23"/>
      <c r="D494" s="21" t="str">
        <f aca="false">IF(C494="","",IFERROR(INDEX(取引先マスタ!$B$5:$B$204,MATCH(C494,取引先マスタ!$A$5:$A$204,0)),"コード誤り"))</f>
        <v/>
      </c>
      <c r="E494" s="26"/>
      <c r="F494" s="18"/>
      <c r="G494" s="25" t="str">
        <f aca="false">IF(OR(B494="",C494="",D494="コード誤り"),"",IFERROR(IF(OR(INDEX(取引先マスタ!$E$5:$E$204,MATCH(C494,取引先マスタ!$A$5:$A$204,0))="",INDEX(取引先マスタ!$F$5:$F$204,MATCH(C494,取引先マスタ!$A$5:$A$204,0))=""),"",DATE(YEAR(B494),MONTH(B494)+INDEX(取引先マスタ!$E$5:$E$204,MATCH(C494,取引先マスタ!$A$5:$A$204,0)),MIN(INDEX(取引先マスタ!$F$5:$F$204,MATCH(C494,取引先マスタ!$A$5:$A$204,0)),DAY(EOMONTH(B494,INDEX(取引先マスタ!$E$5:$E$204,MATCH(C494,取引先マスタ!$A$5:$A$204,0))))))),""))</f>
        <v/>
      </c>
      <c r="H494" s="22"/>
      <c r="I494" s="25" t="str">
        <f aca="false">IF(H494&lt;&gt;"",H494,G494)</f>
        <v/>
      </c>
      <c r="J494" s="26"/>
      <c r="K494" s="22"/>
      <c r="L494" s="26"/>
      <c r="M494" s="27" t="str">
        <f aca="false">IF(A494="","",SUMIF(入金明細!$F$5:$F$1004,A494,入金明細!$E$5:$E$1004))</f>
        <v/>
      </c>
      <c r="N494" s="25" t="str">
        <f aca="false">IF(OR(A494="",N(M494)=0),"",SUMPRODUCT(MAX((入金明細!$F$5:$F$1004=A494)*入金明細!$B$5:$B$1004)))</f>
        <v/>
      </c>
      <c r="O494" s="18"/>
      <c r="P494" s="27" t="str">
        <f aca="false">IF(OR(A494="",F494=""),"",F494-N(M494)-N(O494))</f>
        <v/>
      </c>
      <c r="Q494" s="26"/>
      <c r="R494" s="28" t="str">
        <f aca="false">IF(A494="","",IF(Q494="取消","取消",IF(T494&lt;&gt;"","要入力",IF(K494="","未送付",IF(P494=0,"入金済",IF(P494&lt;0,"過入金",IF(設定!$C$5&gt;I494,IF(N(M494)&gt;0,"一部入金・超過","期日超過"),IF(N(M494)&gt;0,"一部入金",IF(I494-設定!$C$5&lt;=設定!$C$6,"期日間近","入金待ち")))))))))</f>
        <v/>
      </c>
      <c r="S494" s="29" t="str">
        <f aca="false">IF(OR(R494="期日超過",R494="一部入金・超過"),設定!$C$5-I494,"")</f>
        <v/>
      </c>
      <c r="T494" s="21" t="str">
        <f aca="false">IF(A494="","",TRIM(IF(B494="","請求日 ","")&amp;IF(C494="","取引先 ",IF(D494="コード誤り","取引先コード誤り ",""))&amp;IF(E494="","件名 ","")&amp;IF(F494="","請求額 ","")&amp;IF(AND(F494&lt;&gt;"",I494=""),"入金期日(マスタの支払条件が未登録) ","")&amp;IF(J494="","送付方法 ","")&amp;IF(AND(K494&lt;&gt;"",L494=""),"送付者 ","")&amp;IF(AND(K494&lt;&gt;"",N(K494)&gt;設定!$C$5),"送付日が未来の日付 ","")&amp;IF(AND(K494&lt;&gt;"",N(M494)&gt;0,N(P494)&lt;=0,U494=""),"消込確認者 ","")))</f>
        <v/>
      </c>
      <c r="U494" s="26"/>
      <c r="V494" s="26"/>
    </row>
    <row r="495" customFormat="false" ht="15" hidden="false" customHeight="false" outlineLevel="0" collapsed="false">
      <c r="A495" s="21" t="str">
        <f aca="false">IF(COUNTA(B495,C495,E495,F495)=0,"",設定!$C$4&amp;TEXT(ROW()-4,"00000"))</f>
        <v/>
      </c>
      <c r="B495" s="22"/>
      <c r="C495" s="23"/>
      <c r="D495" s="21" t="str">
        <f aca="false">IF(C495="","",IFERROR(INDEX(取引先マスタ!$B$5:$B$204,MATCH(C495,取引先マスタ!$A$5:$A$204,0)),"コード誤り"))</f>
        <v/>
      </c>
      <c r="E495" s="26"/>
      <c r="F495" s="18"/>
      <c r="G495" s="25" t="str">
        <f aca="false">IF(OR(B495="",C495="",D495="コード誤り"),"",IFERROR(IF(OR(INDEX(取引先マスタ!$E$5:$E$204,MATCH(C495,取引先マスタ!$A$5:$A$204,0))="",INDEX(取引先マスタ!$F$5:$F$204,MATCH(C495,取引先マスタ!$A$5:$A$204,0))=""),"",DATE(YEAR(B495),MONTH(B495)+INDEX(取引先マスタ!$E$5:$E$204,MATCH(C495,取引先マスタ!$A$5:$A$204,0)),MIN(INDEX(取引先マスタ!$F$5:$F$204,MATCH(C495,取引先マスタ!$A$5:$A$204,0)),DAY(EOMONTH(B495,INDEX(取引先マスタ!$E$5:$E$204,MATCH(C495,取引先マスタ!$A$5:$A$204,0))))))),""))</f>
        <v/>
      </c>
      <c r="H495" s="22"/>
      <c r="I495" s="25" t="str">
        <f aca="false">IF(H495&lt;&gt;"",H495,G495)</f>
        <v/>
      </c>
      <c r="J495" s="26"/>
      <c r="K495" s="22"/>
      <c r="L495" s="26"/>
      <c r="M495" s="27" t="str">
        <f aca="false">IF(A495="","",SUMIF(入金明細!$F$5:$F$1004,A495,入金明細!$E$5:$E$1004))</f>
        <v/>
      </c>
      <c r="N495" s="25" t="str">
        <f aca="false">IF(OR(A495="",N(M495)=0),"",SUMPRODUCT(MAX((入金明細!$F$5:$F$1004=A495)*入金明細!$B$5:$B$1004)))</f>
        <v/>
      </c>
      <c r="O495" s="18"/>
      <c r="P495" s="27" t="str">
        <f aca="false">IF(OR(A495="",F495=""),"",F495-N(M495)-N(O495))</f>
        <v/>
      </c>
      <c r="Q495" s="26"/>
      <c r="R495" s="28" t="str">
        <f aca="false">IF(A495="","",IF(Q495="取消","取消",IF(T495&lt;&gt;"","要入力",IF(K495="","未送付",IF(P495=0,"入金済",IF(P495&lt;0,"過入金",IF(設定!$C$5&gt;I495,IF(N(M495)&gt;0,"一部入金・超過","期日超過"),IF(N(M495)&gt;0,"一部入金",IF(I495-設定!$C$5&lt;=設定!$C$6,"期日間近","入金待ち")))))))))</f>
        <v/>
      </c>
      <c r="S495" s="29" t="str">
        <f aca="false">IF(OR(R495="期日超過",R495="一部入金・超過"),設定!$C$5-I495,"")</f>
        <v/>
      </c>
      <c r="T495" s="21" t="str">
        <f aca="false">IF(A495="","",TRIM(IF(B495="","請求日 ","")&amp;IF(C495="","取引先 ",IF(D495="コード誤り","取引先コード誤り ",""))&amp;IF(E495="","件名 ","")&amp;IF(F495="","請求額 ","")&amp;IF(AND(F495&lt;&gt;"",I495=""),"入金期日(マスタの支払条件が未登録) ","")&amp;IF(J495="","送付方法 ","")&amp;IF(AND(K495&lt;&gt;"",L495=""),"送付者 ","")&amp;IF(AND(K495&lt;&gt;"",N(K495)&gt;設定!$C$5),"送付日が未来の日付 ","")&amp;IF(AND(K495&lt;&gt;"",N(M495)&gt;0,N(P495)&lt;=0,U495=""),"消込確認者 ","")))</f>
        <v/>
      </c>
      <c r="U495" s="26"/>
      <c r="V495" s="26"/>
    </row>
    <row r="496" customFormat="false" ht="15" hidden="false" customHeight="false" outlineLevel="0" collapsed="false">
      <c r="A496" s="21" t="str">
        <f aca="false">IF(COUNTA(B496,C496,E496,F496)=0,"",設定!$C$4&amp;TEXT(ROW()-4,"00000"))</f>
        <v/>
      </c>
      <c r="B496" s="22"/>
      <c r="C496" s="23"/>
      <c r="D496" s="21" t="str">
        <f aca="false">IF(C496="","",IFERROR(INDEX(取引先マスタ!$B$5:$B$204,MATCH(C496,取引先マスタ!$A$5:$A$204,0)),"コード誤り"))</f>
        <v/>
      </c>
      <c r="E496" s="26"/>
      <c r="F496" s="18"/>
      <c r="G496" s="25" t="str">
        <f aca="false">IF(OR(B496="",C496="",D496="コード誤り"),"",IFERROR(IF(OR(INDEX(取引先マスタ!$E$5:$E$204,MATCH(C496,取引先マスタ!$A$5:$A$204,0))="",INDEX(取引先マスタ!$F$5:$F$204,MATCH(C496,取引先マスタ!$A$5:$A$204,0))=""),"",DATE(YEAR(B496),MONTH(B496)+INDEX(取引先マスタ!$E$5:$E$204,MATCH(C496,取引先マスタ!$A$5:$A$204,0)),MIN(INDEX(取引先マスタ!$F$5:$F$204,MATCH(C496,取引先マスタ!$A$5:$A$204,0)),DAY(EOMONTH(B496,INDEX(取引先マスタ!$E$5:$E$204,MATCH(C496,取引先マスタ!$A$5:$A$204,0))))))),""))</f>
        <v/>
      </c>
      <c r="H496" s="22"/>
      <c r="I496" s="25" t="str">
        <f aca="false">IF(H496&lt;&gt;"",H496,G496)</f>
        <v/>
      </c>
      <c r="J496" s="26"/>
      <c r="K496" s="22"/>
      <c r="L496" s="26"/>
      <c r="M496" s="27" t="str">
        <f aca="false">IF(A496="","",SUMIF(入金明細!$F$5:$F$1004,A496,入金明細!$E$5:$E$1004))</f>
        <v/>
      </c>
      <c r="N496" s="25" t="str">
        <f aca="false">IF(OR(A496="",N(M496)=0),"",SUMPRODUCT(MAX((入金明細!$F$5:$F$1004=A496)*入金明細!$B$5:$B$1004)))</f>
        <v/>
      </c>
      <c r="O496" s="18"/>
      <c r="P496" s="27" t="str">
        <f aca="false">IF(OR(A496="",F496=""),"",F496-N(M496)-N(O496))</f>
        <v/>
      </c>
      <c r="Q496" s="26"/>
      <c r="R496" s="28" t="str">
        <f aca="false">IF(A496="","",IF(Q496="取消","取消",IF(T496&lt;&gt;"","要入力",IF(K496="","未送付",IF(P496=0,"入金済",IF(P496&lt;0,"過入金",IF(設定!$C$5&gt;I496,IF(N(M496)&gt;0,"一部入金・超過","期日超過"),IF(N(M496)&gt;0,"一部入金",IF(I496-設定!$C$5&lt;=設定!$C$6,"期日間近","入金待ち")))))))))</f>
        <v/>
      </c>
      <c r="S496" s="29" t="str">
        <f aca="false">IF(OR(R496="期日超過",R496="一部入金・超過"),設定!$C$5-I496,"")</f>
        <v/>
      </c>
      <c r="T496" s="21" t="str">
        <f aca="false">IF(A496="","",TRIM(IF(B496="","請求日 ","")&amp;IF(C496="","取引先 ",IF(D496="コード誤り","取引先コード誤り ",""))&amp;IF(E496="","件名 ","")&amp;IF(F496="","請求額 ","")&amp;IF(AND(F496&lt;&gt;"",I496=""),"入金期日(マスタの支払条件が未登録) ","")&amp;IF(J496="","送付方法 ","")&amp;IF(AND(K496&lt;&gt;"",L496=""),"送付者 ","")&amp;IF(AND(K496&lt;&gt;"",N(K496)&gt;設定!$C$5),"送付日が未来の日付 ","")&amp;IF(AND(K496&lt;&gt;"",N(M496)&gt;0,N(P496)&lt;=0,U496=""),"消込確認者 ","")))</f>
        <v/>
      </c>
      <c r="U496" s="26"/>
      <c r="V496" s="26"/>
    </row>
    <row r="497" customFormat="false" ht="15" hidden="false" customHeight="false" outlineLevel="0" collapsed="false">
      <c r="A497" s="21" t="str">
        <f aca="false">IF(COUNTA(B497,C497,E497,F497)=0,"",設定!$C$4&amp;TEXT(ROW()-4,"00000"))</f>
        <v/>
      </c>
      <c r="B497" s="22"/>
      <c r="C497" s="23"/>
      <c r="D497" s="21" t="str">
        <f aca="false">IF(C497="","",IFERROR(INDEX(取引先マスタ!$B$5:$B$204,MATCH(C497,取引先マスタ!$A$5:$A$204,0)),"コード誤り"))</f>
        <v/>
      </c>
      <c r="E497" s="26"/>
      <c r="F497" s="18"/>
      <c r="G497" s="25" t="str">
        <f aca="false">IF(OR(B497="",C497="",D497="コード誤り"),"",IFERROR(IF(OR(INDEX(取引先マスタ!$E$5:$E$204,MATCH(C497,取引先マスタ!$A$5:$A$204,0))="",INDEX(取引先マスタ!$F$5:$F$204,MATCH(C497,取引先マスタ!$A$5:$A$204,0))=""),"",DATE(YEAR(B497),MONTH(B497)+INDEX(取引先マスタ!$E$5:$E$204,MATCH(C497,取引先マスタ!$A$5:$A$204,0)),MIN(INDEX(取引先マスタ!$F$5:$F$204,MATCH(C497,取引先マスタ!$A$5:$A$204,0)),DAY(EOMONTH(B497,INDEX(取引先マスタ!$E$5:$E$204,MATCH(C497,取引先マスタ!$A$5:$A$204,0))))))),""))</f>
        <v/>
      </c>
      <c r="H497" s="22"/>
      <c r="I497" s="25" t="str">
        <f aca="false">IF(H497&lt;&gt;"",H497,G497)</f>
        <v/>
      </c>
      <c r="J497" s="26"/>
      <c r="K497" s="22"/>
      <c r="L497" s="26"/>
      <c r="M497" s="27" t="str">
        <f aca="false">IF(A497="","",SUMIF(入金明細!$F$5:$F$1004,A497,入金明細!$E$5:$E$1004))</f>
        <v/>
      </c>
      <c r="N497" s="25" t="str">
        <f aca="false">IF(OR(A497="",N(M497)=0),"",SUMPRODUCT(MAX((入金明細!$F$5:$F$1004=A497)*入金明細!$B$5:$B$1004)))</f>
        <v/>
      </c>
      <c r="O497" s="18"/>
      <c r="P497" s="27" t="str">
        <f aca="false">IF(OR(A497="",F497=""),"",F497-N(M497)-N(O497))</f>
        <v/>
      </c>
      <c r="Q497" s="26"/>
      <c r="R497" s="28" t="str">
        <f aca="false">IF(A497="","",IF(Q497="取消","取消",IF(T497&lt;&gt;"","要入力",IF(K497="","未送付",IF(P497=0,"入金済",IF(P497&lt;0,"過入金",IF(設定!$C$5&gt;I497,IF(N(M497)&gt;0,"一部入金・超過","期日超過"),IF(N(M497)&gt;0,"一部入金",IF(I497-設定!$C$5&lt;=設定!$C$6,"期日間近","入金待ち")))))))))</f>
        <v/>
      </c>
      <c r="S497" s="29" t="str">
        <f aca="false">IF(OR(R497="期日超過",R497="一部入金・超過"),設定!$C$5-I497,"")</f>
        <v/>
      </c>
      <c r="T497" s="21" t="str">
        <f aca="false">IF(A497="","",TRIM(IF(B497="","請求日 ","")&amp;IF(C497="","取引先 ",IF(D497="コード誤り","取引先コード誤り ",""))&amp;IF(E497="","件名 ","")&amp;IF(F497="","請求額 ","")&amp;IF(AND(F497&lt;&gt;"",I497=""),"入金期日(マスタの支払条件が未登録) ","")&amp;IF(J497="","送付方法 ","")&amp;IF(AND(K497&lt;&gt;"",L497=""),"送付者 ","")&amp;IF(AND(K497&lt;&gt;"",N(K497)&gt;設定!$C$5),"送付日が未来の日付 ","")&amp;IF(AND(K497&lt;&gt;"",N(M497)&gt;0,N(P497)&lt;=0,U497=""),"消込確認者 ","")))</f>
        <v/>
      </c>
      <c r="U497" s="26"/>
      <c r="V497" s="26"/>
    </row>
    <row r="498" customFormat="false" ht="15" hidden="false" customHeight="false" outlineLevel="0" collapsed="false">
      <c r="A498" s="21" t="str">
        <f aca="false">IF(COUNTA(B498,C498,E498,F498)=0,"",設定!$C$4&amp;TEXT(ROW()-4,"00000"))</f>
        <v/>
      </c>
      <c r="B498" s="22"/>
      <c r="C498" s="23"/>
      <c r="D498" s="21" t="str">
        <f aca="false">IF(C498="","",IFERROR(INDEX(取引先マスタ!$B$5:$B$204,MATCH(C498,取引先マスタ!$A$5:$A$204,0)),"コード誤り"))</f>
        <v/>
      </c>
      <c r="E498" s="26"/>
      <c r="F498" s="18"/>
      <c r="G498" s="25" t="str">
        <f aca="false">IF(OR(B498="",C498="",D498="コード誤り"),"",IFERROR(IF(OR(INDEX(取引先マスタ!$E$5:$E$204,MATCH(C498,取引先マスタ!$A$5:$A$204,0))="",INDEX(取引先マスタ!$F$5:$F$204,MATCH(C498,取引先マスタ!$A$5:$A$204,0))=""),"",DATE(YEAR(B498),MONTH(B498)+INDEX(取引先マスタ!$E$5:$E$204,MATCH(C498,取引先マスタ!$A$5:$A$204,0)),MIN(INDEX(取引先マスタ!$F$5:$F$204,MATCH(C498,取引先マスタ!$A$5:$A$204,0)),DAY(EOMONTH(B498,INDEX(取引先マスタ!$E$5:$E$204,MATCH(C498,取引先マスタ!$A$5:$A$204,0))))))),""))</f>
        <v/>
      </c>
      <c r="H498" s="22"/>
      <c r="I498" s="25" t="str">
        <f aca="false">IF(H498&lt;&gt;"",H498,G498)</f>
        <v/>
      </c>
      <c r="J498" s="26"/>
      <c r="K498" s="22"/>
      <c r="L498" s="26"/>
      <c r="M498" s="27" t="str">
        <f aca="false">IF(A498="","",SUMIF(入金明細!$F$5:$F$1004,A498,入金明細!$E$5:$E$1004))</f>
        <v/>
      </c>
      <c r="N498" s="25" t="str">
        <f aca="false">IF(OR(A498="",N(M498)=0),"",SUMPRODUCT(MAX((入金明細!$F$5:$F$1004=A498)*入金明細!$B$5:$B$1004)))</f>
        <v/>
      </c>
      <c r="O498" s="18"/>
      <c r="P498" s="27" t="str">
        <f aca="false">IF(OR(A498="",F498=""),"",F498-N(M498)-N(O498))</f>
        <v/>
      </c>
      <c r="Q498" s="26"/>
      <c r="R498" s="28" t="str">
        <f aca="false">IF(A498="","",IF(Q498="取消","取消",IF(T498&lt;&gt;"","要入力",IF(K498="","未送付",IF(P498=0,"入金済",IF(P498&lt;0,"過入金",IF(設定!$C$5&gt;I498,IF(N(M498)&gt;0,"一部入金・超過","期日超過"),IF(N(M498)&gt;0,"一部入金",IF(I498-設定!$C$5&lt;=設定!$C$6,"期日間近","入金待ち")))))))))</f>
        <v/>
      </c>
      <c r="S498" s="29" t="str">
        <f aca="false">IF(OR(R498="期日超過",R498="一部入金・超過"),設定!$C$5-I498,"")</f>
        <v/>
      </c>
      <c r="T498" s="21" t="str">
        <f aca="false">IF(A498="","",TRIM(IF(B498="","請求日 ","")&amp;IF(C498="","取引先 ",IF(D498="コード誤り","取引先コード誤り ",""))&amp;IF(E498="","件名 ","")&amp;IF(F498="","請求額 ","")&amp;IF(AND(F498&lt;&gt;"",I498=""),"入金期日(マスタの支払条件が未登録) ","")&amp;IF(J498="","送付方法 ","")&amp;IF(AND(K498&lt;&gt;"",L498=""),"送付者 ","")&amp;IF(AND(K498&lt;&gt;"",N(K498)&gt;設定!$C$5),"送付日が未来の日付 ","")&amp;IF(AND(K498&lt;&gt;"",N(M498)&gt;0,N(P498)&lt;=0,U498=""),"消込確認者 ","")))</f>
        <v/>
      </c>
      <c r="U498" s="26"/>
      <c r="V498" s="26"/>
    </row>
    <row r="499" customFormat="false" ht="15" hidden="false" customHeight="false" outlineLevel="0" collapsed="false">
      <c r="A499" s="21" t="str">
        <f aca="false">IF(COUNTA(B499,C499,E499,F499)=0,"",設定!$C$4&amp;TEXT(ROW()-4,"00000"))</f>
        <v/>
      </c>
      <c r="B499" s="22"/>
      <c r="C499" s="23"/>
      <c r="D499" s="21" t="str">
        <f aca="false">IF(C499="","",IFERROR(INDEX(取引先マスタ!$B$5:$B$204,MATCH(C499,取引先マスタ!$A$5:$A$204,0)),"コード誤り"))</f>
        <v/>
      </c>
      <c r="E499" s="26"/>
      <c r="F499" s="18"/>
      <c r="G499" s="25" t="str">
        <f aca="false">IF(OR(B499="",C499="",D499="コード誤り"),"",IFERROR(IF(OR(INDEX(取引先マスタ!$E$5:$E$204,MATCH(C499,取引先マスタ!$A$5:$A$204,0))="",INDEX(取引先マスタ!$F$5:$F$204,MATCH(C499,取引先マスタ!$A$5:$A$204,0))=""),"",DATE(YEAR(B499),MONTH(B499)+INDEX(取引先マスタ!$E$5:$E$204,MATCH(C499,取引先マスタ!$A$5:$A$204,0)),MIN(INDEX(取引先マスタ!$F$5:$F$204,MATCH(C499,取引先マスタ!$A$5:$A$204,0)),DAY(EOMONTH(B499,INDEX(取引先マスタ!$E$5:$E$204,MATCH(C499,取引先マスタ!$A$5:$A$204,0))))))),""))</f>
        <v/>
      </c>
      <c r="H499" s="22"/>
      <c r="I499" s="25" t="str">
        <f aca="false">IF(H499&lt;&gt;"",H499,G499)</f>
        <v/>
      </c>
      <c r="J499" s="26"/>
      <c r="K499" s="22"/>
      <c r="L499" s="26"/>
      <c r="M499" s="27" t="str">
        <f aca="false">IF(A499="","",SUMIF(入金明細!$F$5:$F$1004,A499,入金明細!$E$5:$E$1004))</f>
        <v/>
      </c>
      <c r="N499" s="25" t="str">
        <f aca="false">IF(OR(A499="",N(M499)=0),"",SUMPRODUCT(MAX((入金明細!$F$5:$F$1004=A499)*入金明細!$B$5:$B$1004)))</f>
        <v/>
      </c>
      <c r="O499" s="18"/>
      <c r="P499" s="27" t="str">
        <f aca="false">IF(OR(A499="",F499=""),"",F499-N(M499)-N(O499))</f>
        <v/>
      </c>
      <c r="Q499" s="26"/>
      <c r="R499" s="28" t="str">
        <f aca="false">IF(A499="","",IF(Q499="取消","取消",IF(T499&lt;&gt;"","要入力",IF(K499="","未送付",IF(P499=0,"入金済",IF(P499&lt;0,"過入金",IF(設定!$C$5&gt;I499,IF(N(M499)&gt;0,"一部入金・超過","期日超過"),IF(N(M499)&gt;0,"一部入金",IF(I499-設定!$C$5&lt;=設定!$C$6,"期日間近","入金待ち")))))))))</f>
        <v/>
      </c>
      <c r="S499" s="29" t="str">
        <f aca="false">IF(OR(R499="期日超過",R499="一部入金・超過"),設定!$C$5-I499,"")</f>
        <v/>
      </c>
      <c r="T499" s="21" t="str">
        <f aca="false">IF(A499="","",TRIM(IF(B499="","請求日 ","")&amp;IF(C499="","取引先 ",IF(D499="コード誤り","取引先コード誤り ",""))&amp;IF(E499="","件名 ","")&amp;IF(F499="","請求額 ","")&amp;IF(AND(F499&lt;&gt;"",I499=""),"入金期日(マスタの支払条件が未登録) ","")&amp;IF(J499="","送付方法 ","")&amp;IF(AND(K499&lt;&gt;"",L499=""),"送付者 ","")&amp;IF(AND(K499&lt;&gt;"",N(K499)&gt;設定!$C$5),"送付日が未来の日付 ","")&amp;IF(AND(K499&lt;&gt;"",N(M499)&gt;0,N(P499)&lt;=0,U499=""),"消込確認者 ","")))</f>
        <v/>
      </c>
      <c r="U499" s="26"/>
      <c r="V499" s="26"/>
    </row>
    <row r="500" customFormat="false" ht="15" hidden="false" customHeight="false" outlineLevel="0" collapsed="false">
      <c r="A500" s="21" t="str">
        <f aca="false">IF(COUNTA(B500,C500,E500,F500)=0,"",設定!$C$4&amp;TEXT(ROW()-4,"00000"))</f>
        <v/>
      </c>
      <c r="B500" s="22"/>
      <c r="C500" s="23"/>
      <c r="D500" s="21" t="str">
        <f aca="false">IF(C500="","",IFERROR(INDEX(取引先マスタ!$B$5:$B$204,MATCH(C500,取引先マスタ!$A$5:$A$204,0)),"コード誤り"))</f>
        <v/>
      </c>
      <c r="E500" s="26"/>
      <c r="F500" s="18"/>
      <c r="G500" s="25" t="str">
        <f aca="false">IF(OR(B500="",C500="",D500="コード誤り"),"",IFERROR(IF(OR(INDEX(取引先マスタ!$E$5:$E$204,MATCH(C500,取引先マスタ!$A$5:$A$204,0))="",INDEX(取引先マスタ!$F$5:$F$204,MATCH(C500,取引先マスタ!$A$5:$A$204,0))=""),"",DATE(YEAR(B500),MONTH(B500)+INDEX(取引先マスタ!$E$5:$E$204,MATCH(C500,取引先マスタ!$A$5:$A$204,0)),MIN(INDEX(取引先マスタ!$F$5:$F$204,MATCH(C500,取引先マスタ!$A$5:$A$204,0)),DAY(EOMONTH(B500,INDEX(取引先マスタ!$E$5:$E$204,MATCH(C500,取引先マスタ!$A$5:$A$204,0))))))),""))</f>
        <v/>
      </c>
      <c r="H500" s="22"/>
      <c r="I500" s="25" t="str">
        <f aca="false">IF(H500&lt;&gt;"",H500,G500)</f>
        <v/>
      </c>
      <c r="J500" s="26"/>
      <c r="K500" s="22"/>
      <c r="L500" s="26"/>
      <c r="M500" s="27" t="str">
        <f aca="false">IF(A500="","",SUMIF(入金明細!$F$5:$F$1004,A500,入金明細!$E$5:$E$1004))</f>
        <v/>
      </c>
      <c r="N500" s="25" t="str">
        <f aca="false">IF(OR(A500="",N(M500)=0),"",SUMPRODUCT(MAX((入金明細!$F$5:$F$1004=A500)*入金明細!$B$5:$B$1004)))</f>
        <v/>
      </c>
      <c r="O500" s="18"/>
      <c r="P500" s="27" t="str">
        <f aca="false">IF(OR(A500="",F500=""),"",F500-N(M500)-N(O500))</f>
        <v/>
      </c>
      <c r="Q500" s="26"/>
      <c r="R500" s="28" t="str">
        <f aca="false">IF(A500="","",IF(Q500="取消","取消",IF(T500&lt;&gt;"","要入力",IF(K500="","未送付",IF(P500=0,"入金済",IF(P500&lt;0,"過入金",IF(設定!$C$5&gt;I500,IF(N(M500)&gt;0,"一部入金・超過","期日超過"),IF(N(M500)&gt;0,"一部入金",IF(I500-設定!$C$5&lt;=設定!$C$6,"期日間近","入金待ち")))))))))</f>
        <v/>
      </c>
      <c r="S500" s="29" t="str">
        <f aca="false">IF(OR(R500="期日超過",R500="一部入金・超過"),設定!$C$5-I500,"")</f>
        <v/>
      </c>
      <c r="T500" s="21" t="str">
        <f aca="false">IF(A500="","",TRIM(IF(B500="","請求日 ","")&amp;IF(C500="","取引先 ",IF(D500="コード誤り","取引先コード誤り ",""))&amp;IF(E500="","件名 ","")&amp;IF(F500="","請求額 ","")&amp;IF(AND(F500&lt;&gt;"",I500=""),"入金期日(マスタの支払条件が未登録) ","")&amp;IF(J500="","送付方法 ","")&amp;IF(AND(K500&lt;&gt;"",L500=""),"送付者 ","")&amp;IF(AND(K500&lt;&gt;"",N(K500)&gt;設定!$C$5),"送付日が未来の日付 ","")&amp;IF(AND(K500&lt;&gt;"",N(M500)&gt;0,N(P500)&lt;=0,U500=""),"消込確認者 ","")))</f>
        <v/>
      </c>
      <c r="U500" s="26"/>
      <c r="V500" s="26"/>
    </row>
    <row r="501" customFormat="false" ht="15" hidden="false" customHeight="false" outlineLevel="0" collapsed="false">
      <c r="A501" s="21" t="str">
        <f aca="false">IF(COUNTA(B501,C501,E501,F501)=0,"",設定!$C$4&amp;TEXT(ROW()-4,"00000"))</f>
        <v/>
      </c>
      <c r="B501" s="22"/>
      <c r="C501" s="23"/>
      <c r="D501" s="21" t="str">
        <f aca="false">IF(C501="","",IFERROR(INDEX(取引先マスタ!$B$5:$B$204,MATCH(C501,取引先マスタ!$A$5:$A$204,0)),"コード誤り"))</f>
        <v/>
      </c>
      <c r="E501" s="26"/>
      <c r="F501" s="18"/>
      <c r="G501" s="25" t="str">
        <f aca="false">IF(OR(B501="",C501="",D501="コード誤り"),"",IFERROR(IF(OR(INDEX(取引先マスタ!$E$5:$E$204,MATCH(C501,取引先マスタ!$A$5:$A$204,0))="",INDEX(取引先マスタ!$F$5:$F$204,MATCH(C501,取引先マスタ!$A$5:$A$204,0))=""),"",DATE(YEAR(B501),MONTH(B501)+INDEX(取引先マスタ!$E$5:$E$204,MATCH(C501,取引先マスタ!$A$5:$A$204,0)),MIN(INDEX(取引先マスタ!$F$5:$F$204,MATCH(C501,取引先マスタ!$A$5:$A$204,0)),DAY(EOMONTH(B501,INDEX(取引先マスタ!$E$5:$E$204,MATCH(C501,取引先マスタ!$A$5:$A$204,0))))))),""))</f>
        <v/>
      </c>
      <c r="H501" s="22"/>
      <c r="I501" s="25" t="str">
        <f aca="false">IF(H501&lt;&gt;"",H501,G501)</f>
        <v/>
      </c>
      <c r="J501" s="26"/>
      <c r="K501" s="22"/>
      <c r="L501" s="26"/>
      <c r="M501" s="27" t="str">
        <f aca="false">IF(A501="","",SUMIF(入金明細!$F$5:$F$1004,A501,入金明細!$E$5:$E$1004))</f>
        <v/>
      </c>
      <c r="N501" s="25" t="str">
        <f aca="false">IF(OR(A501="",N(M501)=0),"",SUMPRODUCT(MAX((入金明細!$F$5:$F$1004=A501)*入金明細!$B$5:$B$1004)))</f>
        <v/>
      </c>
      <c r="O501" s="18"/>
      <c r="P501" s="27" t="str">
        <f aca="false">IF(OR(A501="",F501=""),"",F501-N(M501)-N(O501))</f>
        <v/>
      </c>
      <c r="Q501" s="26"/>
      <c r="R501" s="28" t="str">
        <f aca="false">IF(A501="","",IF(Q501="取消","取消",IF(T501&lt;&gt;"","要入力",IF(K501="","未送付",IF(P501=0,"入金済",IF(P501&lt;0,"過入金",IF(設定!$C$5&gt;I501,IF(N(M501)&gt;0,"一部入金・超過","期日超過"),IF(N(M501)&gt;0,"一部入金",IF(I501-設定!$C$5&lt;=設定!$C$6,"期日間近","入金待ち")))))))))</f>
        <v/>
      </c>
      <c r="S501" s="29" t="str">
        <f aca="false">IF(OR(R501="期日超過",R501="一部入金・超過"),設定!$C$5-I501,"")</f>
        <v/>
      </c>
      <c r="T501" s="21" t="str">
        <f aca="false">IF(A501="","",TRIM(IF(B501="","請求日 ","")&amp;IF(C501="","取引先 ",IF(D501="コード誤り","取引先コード誤り ",""))&amp;IF(E501="","件名 ","")&amp;IF(F501="","請求額 ","")&amp;IF(AND(F501&lt;&gt;"",I501=""),"入金期日(マスタの支払条件が未登録) ","")&amp;IF(J501="","送付方法 ","")&amp;IF(AND(K501&lt;&gt;"",L501=""),"送付者 ","")&amp;IF(AND(K501&lt;&gt;"",N(K501)&gt;設定!$C$5),"送付日が未来の日付 ","")&amp;IF(AND(K501&lt;&gt;"",N(M501)&gt;0,N(P501)&lt;=0,U501=""),"消込確認者 ","")))</f>
        <v/>
      </c>
      <c r="U501" s="26"/>
      <c r="V501" s="26"/>
    </row>
    <row r="502" customFormat="false" ht="15" hidden="false" customHeight="false" outlineLevel="0" collapsed="false">
      <c r="A502" s="21" t="str">
        <f aca="false">IF(COUNTA(B502,C502,E502,F502)=0,"",設定!$C$4&amp;TEXT(ROW()-4,"00000"))</f>
        <v/>
      </c>
      <c r="B502" s="22"/>
      <c r="C502" s="23"/>
      <c r="D502" s="21" t="str">
        <f aca="false">IF(C502="","",IFERROR(INDEX(取引先マスタ!$B$5:$B$204,MATCH(C502,取引先マスタ!$A$5:$A$204,0)),"コード誤り"))</f>
        <v/>
      </c>
      <c r="E502" s="26"/>
      <c r="F502" s="18"/>
      <c r="G502" s="25" t="str">
        <f aca="false">IF(OR(B502="",C502="",D502="コード誤り"),"",IFERROR(IF(OR(INDEX(取引先マスタ!$E$5:$E$204,MATCH(C502,取引先マスタ!$A$5:$A$204,0))="",INDEX(取引先マスタ!$F$5:$F$204,MATCH(C502,取引先マスタ!$A$5:$A$204,0))=""),"",DATE(YEAR(B502),MONTH(B502)+INDEX(取引先マスタ!$E$5:$E$204,MATCH(C502,取引先マスタ!$A$5:$A$204,0)),MIN(INDEX(取引先マスタ!$F$5:$F$204,MATCH(C502,取引先マスタ!$A$5:$A$204,0)),DAY(EOMONTH(B502,INDEX(取引先マスタ!$E$5:$E$204,MATCH(C502,取引先マスタ!$A$5:$A$204,0))))))),""))</f>
        <v/>
      </c>
      <c r="H502" s="22"/>
      <c r="I502" s="25" t="str">
        <f aca="false">IF(H502&lt;&gt;"",H502,G502)</f>
        <v/>
      </c>
      <c r="J502" s="26"/>
      <c r="K502" s="22"/>
      <c r="L502" s="26"/>
      <c r="M502" s="27" t="str">
        <f aca="false">IF(A502="","",SUMIF(入金明細!$F$5:$F$1004,A502,入金明細!$E$5:$E$1004))</f>
        <v/>
      </c>
      <c r="N502" s="25" t="str">
        <f aca="false">IF(OR(A502="",N(M502)=0),"",SUMPRODUCT(MAX((入金明細!$F$5:$F$1004=A502)*入金明細!$B$5:$B$1004)))</f>
        <v/>
      </c>
      <c r="O502" s="18"/>
      <c r="P502" s="27" t="str">
        <f aca="false">IF(OR(A502="",F502=""),"",F502-N(M502)-N(O502))</f>
        <v/>
      </c>
      <c r="Q502" s="26"/>
      <c r="R502" s="28" t="str">
        <f aca="false">IF(A502="","",IF(Q502="取消","取消",IF(T502&lt;&gt;"","要入力",IF(K502="","未送付",IF(P502=0,"入金済",IF(P502&lt;0,"過入金",IF(設定!$C$5&gt;I502,IF(N(M502)&gt;0,"一部入金・超過","期日超過"),IF(N(M502)&gt;0,"一部入金",IF(I502-設定!$C$5&lt;=設定!$C$6,"期日間近","入金待ち")))))))))</f>
        <v/>
      </c>
      <c r="S502" s="29" t="str">
        <f aca="false">IF(OR(R502="期日超過",R502="一部入金・超過"),設定!$C$5-I502,"")</f>
        <v/>
      </c>
      <c r="T502" s="21" t="str">
        <f aca="false">IF(A502="","",TRIM(IF(B502="","請求日 ","")&amp;IF(C502="","取引先 ",IF(D502="コード誤り","取引先コード誤り ",""))&amp;IF(E502="","件名 ","")&amp;IF(F502="","請求額 ","")&amp;IF(AND(F502&lt;&gt;"",I502=""),"入金期日(マスタの支払条件が未登録) ","")&amp;IF(J502="","送付方法 ","")&amp;IF(AND(K502&lt;&gt;"",L502=""),"送付者 ","")&amp;IF(AND(K502&lt;&gt;"",N(K502)&gt;設定!$C$5),"送付日が未来の日付 ","")&amp;IF(AND(K502&lt;&gt;"",N(M502)&gt;0,N(P502)&lt;=0,U502=""),"消込確認者 ","")))</f>
        <v/>
      </c>
      <c r="U502" s="26"/>
      <c r="V502" s="26"/>
    </row>
    <row r="503" customFormat="false" ht="15" hidden="false" customHeight="false" outlineLevel="0" collapsed="false">
      <c r="A503" s="21" t="str">
        <f aca="false">IF(COUNTA(B503,C503,E503,F503)=0,"",設定!$C$4&amp;TEXT(ROW()-4,"00000"))</f>
        <v/>
      </c>
      <c r="B503" s="22"/>
      <c r="C503" s="23"/>
      <c r="D503" s="21" t="str">
        <f aca="false">IF(C503="","",IFERROR(INDEX(取引先マスタ!$B$5:$B$204,MATCH(C503,取引先マスタ!$A$5:$A$204,0)),"コード誤り"))</f>
        <v/>
      </c>
      <c r="E503" s="26"/>
      <c r="F503" s="18"/>
      <c r="G503" s="25" t="str">
        <f aca="false">IF(OR(B503="",C503="",D503="コード誤り"),"",IFERROR(IF(OR(INDEX(取引先マスタ!$E$5:$E$204,MATCH(C503,取引先マスタ!$A$5:$A$204,0))="",INDEX(取引先マスタ!$F$5:$F$204,MATCH(C503,取引先マスタ!$A$5:$A$204,0))=""),"",DATE(YEAR(B503),MONTH(B503)+INDEX(取引先マスタ!$E$5:$E$204,MATCH(C503,取引先マスタ!$A$5:$A$204,0)),MIN(INDEX(取引先マスタ!$F$5:$F$204,MATCH(C503,取引先マスタ!$A$5:$A$204,0)),DAY(EOMONTH(B503,INDEX(取引先マスタ!$E$5:$E$204,MATCH(C503,取引先マスタ!$A$5:$A$204,0))))))),""))</f>
        <v/>
      </c>
      <c r="H503" s="22"/>
      <c r="I503" s="25" t="str">
        <f aca="false">IF(H503&lt;&gt;"",H503,G503)</f>
        <v/>
      </c>
      <c r="J503" s="26"/>
      <c r="K503" s="22"/>
      <c r="L503" s="26"/>
      <c r="M503" s="27" t="str">
        <f aca="false">IF(A503="","",SUMIF(入金明細!$F$5:$F$1004,A503,入金明細!$E$5:$E$1004))</f>
        <v/>
      </c>
      <c r="N503" s="25" t="str">
        <f aca="false">IF(OR(A503="",N(M503)=0),"",SUMPRODUCT(MAX((入金明細!$F$5:$F$1004=A503)*入金明細!$B$5:$B$1004)))</f>
        <v/>
      </c>
      <c r="O503" s="18"/>
      <c r="P503" s="27" t="str">
        <f aca="false">IF(OR(A503="",F503=""),"",F503-N(M503)-N(O503))</f>
        <v/>
      </c>
      <c r="Q503" s="26"/>
      <c r="R503" s="28" t="str">
        <f aca="false">IF(A503="","",IF(Q503="取消","取消",IF(T503&lt;&gt;"","要入力",IF(K503="","未送付",IF(P503=0,"入金済",IF(P503&lt;0,"過入金",IF(設定!$C$5&gt;I503,IF(N(M503)&gt;0,"一部入金・超過","期日超過"),IF(N(M503)&gt;0,"一部入金",IF(I503-設定!$C$5&lt;=設定!$C$6,"期日間近","入金待ち")))))))))</f>
        <v/>
      </c>
      <c r="S503" s="29" t="str">
        <f aca="false">IF(OR(R503="期日超過",R503="一部入金・超過"),設定!$C$5-I503,"")</f>
        <v/>
      </c>
      <c r="T503" s="21" t="str">
        <f aca="false">IF(A503="","",TRIM(IF(B503="","請求日 ","")&amp;IF(C503="","取引先 ",IF(D503="コード誤り","取引先コード誤り ",""))&amp;IF(E503="","件名 ","")&amp;IF(F503="","請求額 ","")&amp;IF(AND(F503&lt;&gt;"",I503=""),"入金期日(マスタの支払条件が未登録) ","")&amp;IF(J503="","送付方法 ","")&amp;IF(AND(K503&lt;&gt;"",L503=""),"送付者 ","")&amp;IF(AND(K503&lt;&gt;"",N(K503)&gt;設定!$C$5),"送付日が未来の日付 ","")&amp;IF(AND(K503&lt;&gt;"",N(M503)&gt;0,N(P503)&lt;=0,U503=""),"消込確認者 ","")))</f>
        <v/>
      </c>
      <c r="U503" s="26"/>
      <c r="V503" s="26"/>
    </row>
    <row r="504" customFormat="false" ht="15" hidden="false" customHeight="false" outlineLevel="0" collapsed="false">
      <c r="A504" s="21" t="str">
        <f aca="false">IF(COUNTA(B504,C504,E504,F504)=0,"",設定!$C$4&amp;TEXT(ROW()-4,"00000"))</f>
        <v/>
      </c>
      <c r="B504" s="22"/>
      <c r="C504" s="23"/>
      <c r="D504" s="21" t="str">
        <f aca="false">IF(C504="","",IFERROR(INDEX(取引先マスタ!$B$5:$B$204,MATCH(C504,取引先マスタ!$A$5:$A$204,0)),"コード誤り"))</f>
        <v/>
      </c>
      <c r="E504" s="26"/>
      <c r="F504" s="18"/>
      <c r="G504" s="25" t="str">
        <f aca="false">IF(OR(B504="",C504="",D504="コード誤り"),"",IFERROR(IF(OR(INDEX(取引先マスタ!$E$5:$E$204,MATCH(C504,取引先マスタ!$A$5:$A$204,0))="",INDEX(取引先マスタ!$F$5:$F$204,MATCH(C504,取引先マスタ!$A$5:$A$204,0))=""),"",DATE(YEAR(B504),MONTH(B504)+INDEX(取引先マスタ!$E$5:$E$204,MATCH(C504,取引先マスタ!$A$5:$A$204,0)),MIN(INDEX(取引先マスタ!$F$5:$F$204,MATCH(C504,取引先マスタ!$A$5:$A$204,0)),DAY(EOMONTH(B504,INDEX(取引先マスタ!$E$5:$E$204,MATCH(C504,取引先マスタ!$A$5:$A$204,0))))))),""))</f>
        <v/>
      </c>
      <c r="H504" s="22"/>
      <c r="I504" s="25" t="str">
        <f aca="false">IF(H504&lt;&gt;"",H504,G504)</f>
        <v/>
      </c>
      <c r="J504" s="26"/>
      <c r="K504" s="22"/>
      <c r="L504" s="26"/>
      <c r="M504" s="27" t="str">
        <f aca="false">IF(A504="","",SUMIF(入金明細!$F$5:$F$1004,A504,入金明細!$E$5:$E$1004))</f>
        <v/>
      </c>
      <c r="N504" s="25" t="str">
        <f aca="false">IF(OR(A504="",N(M504)=0),"",SUMPRODUCT(MAX((入金明細!$F$5:$F$1004=A504)*入金明細!$B$5:$B$1004)))</f>
        <v/>
      </c>
      <c r="O504" s="18"/>
      <c r="P504" s="27" t="str">
        <f aca="false">IF(OR(A504="",F504=""),"",F504-N(M504)-N(O504))</f>
        <v/>
      </c>
      <c r="Q504" s="26"/>
      <c r="R504" s="28" t="str">
        <f aca="false">IF(A504="","",IF(Q504="取消","取消",IF(T504&lt;&gt;"","要入力",IF(K504="","未送付",IF(P504=0,"入金済",IF(P504&lt;0,"過入金",IF(設定!$C$5&gt;I504,IF(N(M504)&gt;0,"一部入金・超過","期日超過"),IF(N(M504)&gt;0,"一部入金",IF(I504-設定!$C$5&lt;=設定!$C$6,"期日間近","入金待ち")))))))))</f>
        <v/>
      </c>
      <c r="S504" s="29" t="str">
        <f aca="false">IF(OR(R504="期日超過",R504="一部入金・超過"),設定!$C$5-I504,"")</f>
        <v/>
      </c>
      <c r="T504" s="21" t="str">
        <f aca="false">IF(A504="","",TRIM(IF(B504="","請求日 ","")&amp;IF(C504="","取引先 ",IF(D504="コード誤り","取引先コード誤り ",""))&amp;IF(E504="","件名 ","")&amp;IF(F504="","請求額 ","")&amp;IF(AND(F504&lt;&gt;"",I504=""),"入金期日(マスタの支払条件が未登録) ","")&amp;IF(J504="","送付方法 ","")&amp;IF(AND(K504&lt;&gt;"",L504=""),"送付者 ","")&amp;IF(AND(K504&lt;&gt;"",N(K504)&gt;設定!$C$5),"送付日が未来の日付 ","")&amp;IF(AND(K504&lt;&gt;"",N(M504)&gt;0,N(P504)&lt;=0,U504=""),"消込確認者 ","")))</f>
        <v/>
      </c>
      <c r="U504" s="26"/>
      <c r="V504" s="26"/>
    </row>
  </sheetData>
  <sheetProtection sheet="true" formatCells="false" formatColumns="false" formatRows="false" autoFilter="false"/>
  <autoFilter ref="A4:V504"/>
  <conditionalFormatting sqref="R5:R504">
    <cfRule type="expression" priority="2" aboveAverage="0" equalAverage="0" bottom="0" percent="0" rank="0" text="" dxfId="1">
      <formula>$R5="入金済"</formula>
    </cfRule>
    <cfRule type="expression" priority="3" aboveAverage="0" equalAverage="0" bottom="0" percent="0" rank="0" text="" dxfId="1">
      <formula>$R5="消込済"</formula>
    </cfRule>
    <cfRule type="expression" priority="4" aboveAverage="0" equalAverage="0" bottom="0" percent="0" rank="0" text="" dxfId="0">
      <formula>$R5="期日超過"</formula>
    </cfRule>
    <cfRule type="expression" priority="5" aboveAverage="0" equalAverage="0" bottom="0" percent="0" rank="0" text="" dxfId="0">
      <formula>$R5="一部入金・超過"</formula>
    </cfRule>
    <cfRule type="expression" priority="6" aboveAverage="0" equalAverage="0" bottom="0" percent="0" rank="0" text="" dxfId="0">
      <formula>$R5="未消込"</formula>
    </cfRule>
    <cfRule type="expression" priority="7" aboveAverage="0" equalAverage="0" bottom="0" percent="0" rank="0" text="" dxfId="20">
      <formula>$R5="未送付"</formula>
    </cfRule>
    <cfRule type="expression" priority="8" aboveAverage="0" equalAverage="0" bottom="0" percent="0" rank="0" text="" dxfId="2">
      <formula>$R5="要入力"</formula>
    </cfRule>
    <cfRule type="expression" priority="9" aboveAverage="0" equalAverage="0" bottom="0" percent="0" rank="0" text="" dxfId="2">
      <formula>$R5="番号誤り"</formula>
    </cfRule>
    <cfRule type="expression" priority="10" aboveAverage="0" equalAverage="0" bottom="0" percent="0" rank="0" text="" dxfId="2">
      <formula>$R5="日付誤り"</formula>
    </cfRule>
    <cfRule type="expression" priority="11" aboveAverage="0" equalAverage="0" bottom="0" percent="0" rank="0" text="" dxfId="2">
      <formula>$R5="取消請求へ消込"</formula>
    </cfRule>
    <cfRule type="expression" priority="12" aboveAverage="0" equalAverage="0" bottom="0" percent="0" rank="0" text="" dxfId="21">
      <formula>$R5="期日間近"</formula>
    </cfRule>
    <cfRule type="expression" priority="13" aboveAverage="0" equalAverage="0" bottom="0" percent="0" rank="0" text="" dxfId="21">
      <formula>$R5="一部入金"</formula>
    </cfRule>
    <cfRule type="expression" priority="14" aboveAverage="0" equalAverage="0" bottom="0" percent="0" rank="0" text="" dxfId="22">
      <formula>$R5="過入金"</formula>
    </cfRule>
    <cfRule type="expression" priority="15" aboveAverage="0" equalAverage="0" bottom="0" percent="0" rank="0" text="" dxfId="23">
      <formula>$R5="取消"</formula>
    </cfRule>
  </conditionalFormatting>
  <conditionalFormatting sqref="T5:T504">
    <cfRule type="expression" priority="16" aboveAverage="0" equalAverage="0" bottom="0" percent="0" rank="0" text="" dxfId="2">
      <formula>$T5&lt;&gt;""</formula>
    </cfRule>
  </conditionalFormatting>
  <conditionalFormatting sqref="A5:Q504">
    <cfRule type="expression" priority="17" aboveAverage="0" equalAverage="0" bottom="0" percent="0" rank="0" text="" dxfId="24">
      <formula>$Q5="取消"</formula>
    </cfRule>
  </conditionalFormatting>
  <dataValidations count="8">
    <dataValidation allowBlank="true" error="日付を入力してください(例: 2026/9/30)" errorStyle="stop" errorTitle="入力エラー" operator="between" showDropDown="false" showErrorMessage="true" showInputMessage="false" sqref="B5:B504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H5:H504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K5:K504" type="date">
      <formula1>DATE(2000,1,1)</formula1>
      <formula2>DATE(2100,12,31)</formula2>
    </dataValidation>
    <dataValidation allowBlank="true" error="数値(円)を入力してください" errorStyle="stop" errorTitle="入力エラー" operator="between" showDropDown="false" showErrorMessage="true" showInputMessage="false" sqref="F5:F504" type="decimal">
      <formula1>-999999999999</formula1>
      <formula2>999999999999</formula2>
    </dataValidation>
    <dataValidation allowBlank="true" error="数値(円)を入力してください" errorStyle="stop" errorTitle="入力エラー" operator="between" showDropDown="false" showErrorMessage="true" showInputMessage="false" sqref="O5:O504" type="decimal">
      <formula1>-999999999999</formula1>
      <formula2>999999999999</formula2>
    </dataValidation>
    <dataValidation allowBlank="true" error="取引先マスタに登録されたコードを選択してください" errorStyle="stop" errorTitle="入力エラー" operator="between" showDropDown="false" showErrorMessage="true" showInputMessage="false" sqref="C5:C504" type="list">
      <formula1>取引先マスタ!$A$5:$A$204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J5:J504" type="list">
      <formula1>設定!$F$5:$F$24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Q5:Q504" type="list">
      <formula1>設定!$H$5:$H$24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169</v>
      </c>
    </row>
    <row r="4" customFormat="false" ht="31.5" hidden="false" customHeight="true" outlineLevel="0" collapsed="false">
      <c r="A4" s="30" t="s">
        <v>170</v>
      </c>
      <c r="B4" s="13" t="s">
        <v>171</v>
      </c>
      <c r="C4" s="13" t="s">
        <v>172</v>
      </c>
      <c r="D4" s="13" t="s">
        <v>173</v>
      </c>
      <c r="E4" s="13" t="s">
        <v>138</v>
      </c>
      <c r="F4" s="13" t="s">
        <v>174</v>
      </c>
      <c r="G4" s="20" t="s">
        <v>128</v>
      </c>
      <c r="H4" s="20" t="s">
        <v>175</v>
      </c>
      <c r="I4" s="20" t="s">
        <v>176</v>
      </c>
      <c r="J4" s="20" t="s">
        <v>177</v>
      </c>
      <c r="K4" s="13" t="s">
        <v>178</v>
      </c>
      <c r="L4" s="13" t="s">
        <v>146</v>
      </c>
    </row>
    <row r="5" customFormat="false" ht="15" hidden="false" customHeight="false" outlineLevel="0" collapsed="false">
      <c r="A5" s="31" t="n">
        <f aca="false">IF(COUNTA(B5,D5,E5,F5)=0,"",ROW()-4)</f>
        <v>1</v>
      </c>
      <c r="B5" s="22" t="n">
        <v>46265</v>
      </c>
      <c r="C5" s="26" t="s">
        <v>179</v>
      </c>
      <c r="D5" s="26" t="s">
        <v>180</v>
      </c>
      <c r="E5" s="18" t="n">
        <v>110000</v>
      </c>
      <c r="F5" s="24" t="s">
        <v>181</v>
      </c>
      <c r="G5" s="31" t="str">
        <f aca="false">IF(F5="","",IFERROR(INDEX(請求台帳!$C$5:$C$504,MATCH(F5,請求台帳!$A$5:$A$504,0)),""))</f>
        <v>C001</v>
      </c>
      <c r="H5" s="31" t="str">
        <f aca="false">IF(F5="","",IFERROR(INDEX(請求台帳!$D$5:$D$504,MATCH(F5,請求台帳!$A$5:$A$504,0)),""))</f>
        <v>株式会社サンプル商事</v>
      </c>
      <c r="I5" s="27" t="n">
        <f aca="false">IF(F5="","",IFERROR(INDEX(請求台帳!$F$5:$F$504,MATCH(F5,請求台帳!$A$5:$A$504,0)),""))</f>
        <v>110000</v>
      </c>
      <c r="J5" s="28" t="str">
        <f aca="false">IF(COUNTA(B5,D5,E5,F5)=0,"",IF(OR(B5="",E5=""),"要入力",IF(N(B5)&gt;設定!$C$5,"日付誤り",IF(F5="","未消込",IF(ISNA(MATCH(F5,請求台帳!$A$5:$A$504,0)),"番号誤り",IF(INDEX(請求台帳!$Q$5:$Q$504,MATCH(F5,請求台帳!$A$5:$A$504,0))="取消","取消請求へ消込","消込済"))))))</f>
        <v>消込済</v>
      </c>
      <c r="K5" s="26" t="s">
        <v>182</v>
      </c>
      <c r="L5" s="24" t="s">
        <v>183</v>
      </c>
    </row>
    <row r="6" customFormat="false" ht="15" hidden="false" customHeight="false" outlineLevel="0" collapsed="false">
      <c r="A6" s="31" t="n">
        <f aca="false">IF(COUNTA(B6,D6,E6,F6)=0,"",ROW()-4)</f>
        <v>2</v>
      </c>
      <c r="B6" s="22" t="n">
        <v>46275</v>
      </c>
      <c r="C6" s="26" t="s">
        <v>179</v>
      </c>
      <c r="D6" s="26" t="s">
        <v>184</v>
      </c>
      <c r="E6" s="18" t="n">
        <v>274560</v>
      </c>
      <c r="F6" s="24" t="s">
        <v>185</v>
      </c>
      <c r="G6" s="31" t="str">
        <f aca="false">IF(F6="","",IFERROR(INDEX(請求台帳!$C$5:$C$504,MATCH(F6,請求台帳!$A$5:$A$504,0)),""))</f>
        <v>C002</v>
      </c>
      <c r="H6" s="31" t="str">
        <f aca="false">IF(F6="","",IFERROR(INDEX(請求台帳!$D$5:$D$504,MATCH(F6,請求台帳!$A$5:$A$504,0)),""))</f>
        <v>有限会社テスト工業</v>
      </c>
      <c r="I6" s="27" t="n">
        <f aca="false">IF(F6="","",IFERROR(INDEX(請求台帳!$F$5:$F$504,MATCH(F6,請求台帳!$A$5:$A$504,0)),""))</f>
        <v>275000</v>
      </c>
      <c r="J6" s="28" t="str">
        <f aca="false">IF(COUNTA(B6,D6,E6,F6)=0,"",IF(OR(B6="",E6=""),"要入力",IF(N(B6)&gt;設定!$C$5,"日付誤り",IF(F6="","未消込",IF(ISNA(MATCH(F6,請求台帳!$A$5:$A$504,0)),"番号誤り",IF(INDEX(請求台帳!$Q$5:$Q$504,MATCH(F6,請求台帳!$A$5:$A$504,0))="取消","取消請求へ消込","消込済"))))))</f>
        <v>消込済</v>
      </c>
      <c r="K6" s="26" t="s">
        <v>182</v>
      </c>
      <c r="L6" s="24" t="s">
        <v>186</v>
      </c>
    </row>
    <row r="7" customFormat="false" ht="15" hidden="false" customHeight="false" outlineLevel="0" collapsed="false">
      <c r="A7" s="31" t="n">
        <f aca="false">IF(COUNTA(B7,D7,E7,F7)=0,"",ROW()-4)</f>
        <v>3</v>
      </c>
      <c r="B7" s="22" t="n">
        <v>46293</v>
      </c>
      <c r="C7" s="26" t="s">
        <v>179</v>
      </c>
      <c r="D7" s="26" t="s">
        <v>187</v>
      </c>
      <c r="E7" s="18" t="n">
        <v>50000</v>
      </c>
      <c r="F7" s="24" t="s">
        <v>188</v>
      </c>
      <c r="G7" s="31" t="str">
        <f aca="false">IF(F7="","",IFERROR(INDEX(請求台帳!$C$5:$C$504,MATCH(F7,請求台帳!$A$5:$A$504,0)),""))</f>
        <v>C003</v>
      </c>
      <c r="H7" s="31" t="str">
        <f aca="false">IF(F7="","",IFERROR(INDEX(請求台帳!$D$5:$D$504,MATCH(F7,請求台帳!$A$5:$A$504,0)),""))</f>
        <v>合同会社デモ</v>
      </c>
      <c r="I7" s="27" t="n">
        <f aca="false">IF(F7="","",IFERROR(INDEX(請求台帳!$F$5:$F$504,MATCH(F7,請求台帳!$A$5:$A$504,0)),""))</f>
        <v>88000</v>
      </c>
      <c r="J7" s="28" t="str">
        <f aca="false">IF(COUNTA(B7,D7,E7,F7)=0,"",IF(OR(B7="",E7=""),"要入力",IF(N(B7)&gt;設定!$C$5,"日付誤り",IF(F7="","未消込",IF(ISNA(MATCH(F7,請求台帳!$A$5:$A$504,0)),"番号誤り",IF(INDEX(請求台帳!$Q$5:$Q$504,MATCH(F7,請求台帳!$A$5:$A$504,0))="取消","取消請求へ消込","消込済"))))))</f>
        <v>消込済</v>
      </c>
      <c r="K7" s="26" t="s">
        <v>182</v>
      </c>
      <c r="L7" s="24" t="s">
        <v>162</v>
      </c>
    </row>
    <row r="8" customFormat="false" ht="15" hidden="false" customHeight="false" outlineLevel="0" collapsed="false">
      <c r="A8" s="31" t="n">
        <f aca="false">IF(COUNTA(B8,D8,E8,F8)=0,"",ROW()-4)</f>
        <v>4</v>
      </c>
      <c r="B8" s="22" t="n">
        <v>46293</v>
      </c>
      <c r="C8" s="26" t="s">
        <v>179</v>
      </c>
      <c r="D8" s="26" t="s">
        <v>189</v>
      </c>
      <c r="E8" s="18" t="n">
        <v>5500</v>
      </c>
      <c r="F8" s="26"/>
      <c r="G8" s="31" t="str">
        <f aca="false">IF(F8="","",IFERROR(INDEX(請求台帳!$C$5:$C$504,MATCH(F8,請求台帳!$A$5:$A$504,0)),""))</f>
        <v/>
      </c>
      <c r="H8" s="31" t="str">
        <f aca="false">IF(F8="","",IFERROR(INDEX(請求台帳!$D$5:$D$504,MATCH(F8,請求台帳!$A$5:$A$504,0)),""))</f>
        <v/>
      </c>
      <c r="I8" s="27" t="str">
        <f aca="false">IF(F8="","",IFERROR(INDEX(請求台帳!$F$5:$F$504,MATCH(F8,請求台帳!$A$5:$A$504,0)),""))</f>
        <v/>
      </c>
      <c r="J8" s="28" t="str">
        <f aca="false">IF(COUNTA(B8,D8,E8,F8)=0,"",IF(OR(B8="",E8=""),"要入力",IF(N(B8)&gt;設定!$C$5,"日付誤り",IF(F8="","未消込",IF(ISNA(MATCH(F8,請求台帳!$A$5:$A$504,0)),"番号誤り",IF(INDEX(請求台帳!$Q$5:$Q$504,MATCH(F8,請求台帳!$A$5:$A$504,0))="取消","取消請求へ消込","消込済"))))))</f>
        <v>未消込</v>
      </c>
      <c r="K8" s="26" t="s">
        <v>182</v>
      </c>
      <c r="L8" s="24" t="s">
        <v>190</v>
      </c>
    </row>
    <row r="9" customFormat="false" ht="15" hidden="false" customHeight="false" outlineLevel="0" collapsed="false">
      <c r="A9" s="31" t="str">
        <f aca="false">IF(COUNTA(B9,D9,E9,F9)=0,"",ROW()-4)</f>
        <v/>
      </c>
      <c r="B9" s="22"/>
      <c r="C9" s="26"/>
      <c r="D9" s="26"/>
      <c r="E9" s="18"/>
      <c r="F9" s="26"/>
      <c r="G9" s="31" t="str">
        <f aca="false">IF(F9="","",IFERROR(INDEX(請求台帳!$C$5:$C$504,MATCH(F9,請求台帳!$A$5:$A$504,0)),""))</f>
        <v/>
      </c>
      <c r="H9" s="31" t="str">
        <f aca="false">IF(F9="","",IFERROR(INDEX(請求台帳!$D$5:$D$504,MATCH(F9,請求台帳!$A$5:$A$504,0)),""))</f>
        <v/>
      </c>
      <c r="I9" s="27" t="str">
        <f aca="false">IF(F9="","",IFERROR(INDEX(請求台帳!$F$5:$F$504,MATCH(F9,請求台帳!$A$5:$A$504,0)),""))</f>
        <v/>
      </c>
      <c r="J9" s="28" t="str">
        <f aca="false">IF(COUNTA(B9,D9,E9,F9)=0,"",IF(OR(B9="",E9=""),"要入力",IF(N(B9)&gt;設定!$C$5,"日付誤り",IF(F9="","未消込",IF(ISNA(MATCH(F9,請求台帳!$A$5:$A$504,0)),"番号誤り",IF(INDEX(請求台帳!$Q$5:$Q$504,MATCH(F9,請求台帳!$A$5:$A$504,0))="取消","取消請求へ消込","消込済"))))))</f>
        <v/>
      </c>
      <c r="K9" s="26"/>
      <c r="L9" s="26"/>
    </row>
    <row r="10" customFormat="false" ht="15" hidden="false" customHeight="false" outlineLevel="0" collapsed="false">
      <c r="A10" s="31" t="str">
        <f aca="false">IF(COUNTA(B10,D10,E10,F10)=0,"",ROW()-4)</f>
        <v/>
      </c>
      <c r="B10" s="22"/>
      <c r="C10" s="26"/>
      <c r="D10" s="26"/>
      <c r="E10" s="18"/>
      <c r="F10" s="26"/>
      <c r="G10" s="31" t="str">
        <f aca="false">IF(F10="","",IFERROR(INDEX(請求台帳!$C$5:$C$504,MATCH(F10,請求台帳!$A$5:$A$504,0)),""))</f>
        <v/>
      </c>
      <c r="H10" s="31" t="str">
        <f aca="false">IF(F10="","",IFERROR(INDEX(請求台帳!$D$5:$D$504,MATCH(F10,請求台帳!$A$5:$A$504,0)),""))</f>
        <v/>
      </c>
      <c r="I10" s="27" t="str">
        <f aca="false">IF(F10="","",IFERROR(INDEX(請求台帳!$F$5:$F$504,MATCH(F10,請求台帳!$A$5:$A$504,0)),""))</f>
        <v/>
      </c>
      <c r="J10" s="28" t="str">
        <f aca="false">IF(COUNTA(B10,D10,E10,F10)=0,"",IF(OR(B10="",E10=""),"要入力",IF(N(B10)&gt;設定!$C$5,"日付誤り",IF(F10="","未消込",IF(ISNA(MATCH(F10,請求台帳!$A$5:$A$504,0)),"番号誤り",IF(INDEX(請求台帳!$Q$5:$Q$504,MATCH(F10,請求台帳!$A$5:$A$504,0))="取消","取消請求へ消込","消込済"))))))</f>
        <v/>
      </c>
      <c r="K10" s="26"/>
      <c r="L10" s="26"/>
    </row>
    <row r="11" customFormat="false" ht="15" hidden="false" customHeight="false" outlineLevel="0" collapsed="false">
      <c r="A11" s="31" t="str">
        <f aca="false">IF(COUNTA(B11,D11,E11,F11)=0,"",ROW()-4)</f>
        <v/>
      </c>
      <c r="B11" s="22"/>
      <c r="C11" s="26"/>
      <c r="D11" s="26"/>
      <c r="E11" s="18"/>
      <c r="F11" s="26"/>
      <c r="G11" s="31" t="str">
        <f aca="false">IF(F11="","",IFERROR(INDEX(請求台帳!$C$5:$C$504,MATCH(F11,請求台帳!$A$5:$A$504,0)),""))</f>
        <v/>
      </c>
      <c r="H11" s="31" t="str">
        <f aca="false">IF(F11="","",IFERROR(INDEX(請求台帳!$D$5:$D$504,MATCH(F11,請求台帳!$A$5:$A$504,0)),""))</f>
        <v/>
      </c>
      <c r="I11" s="27" t="str">
        <f aca="false">IF(F11="","",IFERROR(INDEX(請求台帳!$F$5:$F$504,MATCH(F11,請求台帳!$A$5:$A$504,0)),""))</f>
        <v/>
      </c>
      <c r="J11" s="28" t="str">
        <f aca="false">IF(COUNTA(B11,D11,E11,F11)=0,"",IF(OR(B11="",E11=""),"要入力",IF(N(B11)&gt;設定!$C$5,"日付誤り",IF(F11="","未消込",IF(ISNA(MATCH(F11,請求台帳!$A$5:$A$504,0)),"番号誤り",IF(INDEX(請求台帳!$Q$5:$Q$504,MATCH(F11,請求台帳!$A$5:$A$504,0))="取消","取消請求へ消込","消込済"))))))</f>
        <v/>
      </c>
      <c r="K11" s="26"/>
      <c r="L11" s="26"/>
    </row>
    <row r="12" customFormat="false" ht="15" hidden="false" customHeight="false" outlineLevel="0" collapsed="false">
      <c r="A12" s="31" t="str">
        <f aca="false">IF(COUNTA(B12,D12,E12,F12)=0,"",ROW()-4)</f>
        <v/>
      </c>
      <c r="B12" s="22"/>
      <c r="C12" s="26"/>
      <c r="D12" s="26"/>
      <c r="E12" s="18"/>
      <c r="F12" s="26"/>
      <c r="G12" s="31" t="str">
        <f aca="false">IF(F12="","",IFERROR(INDEX(請求台帳!$C$5:$C$504,MATCH(F12,請求台帳!$A$5:$A$504,0)),""))</f>
        <v/>
      </c>
      <c r="H12" s="31" t="str">
        <f aca="false">IF(F12="","",IFERROR(INDEX(請求台帳!$D$5:$D$504,MATCH(F12,請求台帳!$A$5:$A$504,0)),""))</f>
        <v/>
      </c>
      <c r="I12" s="27" t="str">
        <f aca="false">IF(F12="","",IFERROR(INDEX(請求台帳!$F$5:$F$504,MATCH(F12,請求台帳!$A$5:$A$504,0)),""))</f>
        <v/>
      </c>
      <c r="J12" s="28" t="str">
        <f aca="false">IF(COUNTA(B12,D12,E12,F12)=0,"",IF(OR(B12="",E12=""),"要入力",IF(N(B12)&gt;設定!$C$5,"日付誤り",IF(F12="","未消込",IF(ISNA(MATCH(F12,請求台帳!$A$5:$A$504,0)),"番号誤り",IF(INDEX(請求台帳!$Q$5:$Q$504,MATCH(F12,請求台帳!$A$5:$A$504,0))="取消","取消請求へ消込","消込済"))))))</f>
        <v/>
      </c>
      <c r="K12" s="26"/>
      <c r="L12" s="26"/>
    </row>
    <row r="13" customFormat="false" ht="15" hidden="false" customHeight="false" outlineLevel="0" collapsed="false">
      <c r="A13" s="31" t="str">
        <f aca="false">IF(COUNTA(B13,D13,E13,F13)=0,"",ROW()-4)</f>
        <v/>
      </c>
      <c r="B13" s="22"/>
      <c r="C13" s="26"/>
      <c r="D13" s="26"/>
      <c r="E13" s="18"/>
      <c r="F13" s="26"/>
      <c r="G13" s="31" t="str">
        <f aca="false">IF(F13="","",IFERROR(INDEX(請求台帳!$C$5:$C$504,MATCH(F13,請求台帳!$A$5:$A$504,0)),""))</f>
        <v/>
      </c>
      <c r="H13" s="31" t="str">
        <f aca="false">IF(F13="","",IFERROR(INDEX(請求台帳!$D$5:$D$504,MATCH(F13,請求台帳!$A$5:$A$504,0)),""))</f>
        <v/>
      </c>
      <c r="I13" s="27" t="str">
        <f aca="false">IF(F13="","",IFERROR(INDEX(請求台帳!$F$5:$F$504,MATCH(F13,請求台帳!$A$5:$A$504,0)),""))</f>
        <v/>
      </c>
      <c r="J13" s="28" t="str">
        <f aca="false">IF(COUNTA(B13,D13,E13,F13)=0,"",IF(OR(B13="",E13=""),"要入力",IF(N(B13)&gt;設定!$C$5,"日付誤り",IF(F13="","未消込",IF(ISNA(MATCH(F13,請求台帳!$A$5:$A$504,0)),"番号誤り",IF(INDEX(請求台帳!$Q$5:$Q$504,MATCH(F13,請求台帳!$A$5:$A$504,0))="取消","取消請求へ消込","消込済"))))))</f>
        <v/>
      </c>
      <c r="K13" s="26"/>
      <c r="L13" s="26"/>
    </row>
    <row r="14" customFormat="false" ht="15" hidden="false" customHeight="false" outlineLevel="0" collapsed="false">
      <c r="A14" s="31" t="str">
        <f aca="false">IF(COUNTA(B14,D14,E14,F14)=0,"",ROW()-4)</f>
        <v/>
      </c>
      <c r="B14" s="22"/>
      <c r="C14" s="26"/>
      <c r="D14" s="26"/>
      <c r="E14" s="18"/>
      <c r="F14" s="26"/>
      <c r="G14" s="31" t="str">
        <f aca="false">IF(F14="","",IFERROR(INDEX(請求台帳!$C$5:$C$504,MATCH(F14,請求台帳!$A$5:$A$504,0)),""))</f>
        <v/>
      </c>
      <c r="H14" s="31" t="str">
        <f aca="false">IF(F14="","",IFERROR(INDEX(請求台帳!$D$5:$D$504,MATCH(F14,請求台帳!$A$5:$A$504,0)),""))</f>
        <v/>
      </c>
      <c r="I14" s="27" t="str">
        <f aca="false">IF(F14="","",IFERROR(INDEX(請求台帳!$F$5:$F$504,MATCH(F14,請求台帳!$A$5:$A$504,0)),""))</f>
        <v/>
      </c>
      <c r="J14" s="28" t="str">
        <f aca="false">IF(COUNTA(B14,D14,E14,F14)=0,"",IF(OR(B14="",E14=""),"要入力",IF(N(B14)&gt;設定!$C$5,"日付誤り",IF(F14="","未消込",IF(ISNA(MATCH(F14,請求台帳!$A$5:$A$504,0)),"番号誤り",IF(INDEX(請求台帳!$Q$5:$Q$504,MATCH(F14,請求台帳!$A$5:$A$504,0))="取消","取消請求へ消込","消込済"))))))</f>
        <v/>
      </c>
      <c r="K14" s="26"/>
      <c r="L14" s="26"/>
    </row>
    <row r="15" customFormat="false" ht="15" hidden="false" customHeight="false" outlineLevel="0" collapsed="false">
      <c r="A15" s="31" t="str">
        <f aca="false">IF(COUNTA(B15,D15,E15,F15)=0,"",ROW()-4)</f>
        <v/>
      </c>
      <c r="B15" s="22"/>
      <c r="C15" s="26"/>
      <c r="D15" s="26"/>
      <c r="E15" s="18"/>
      <c r="F15" s="26"/>
      <c r="G15" s="31" t="str">
        <f aca="false">IF(F15="","",IFERROR(INDEX(請求台帳!$C$5:$C$504,MATCH(F15,請求台帳!$A$5:$A$504,0)),""))</f>
        <v/>
      </c>
      <c r="H15" s="31" t="str">
        <f aca="false">IF(F15="","",IFERROR(INDEX(請求台帳!$D$5:$D$504,MATCH(F15,請求台帳!$A$5:$A$504,0)),""))</f>
        <v/>
      </c>
      <c r="I15" s="27" t="str">
        <f aca="false">IF(F15="","",IFERROR(INDEX(請求台帳!$F$5:$F$504,MATCH(F15,請求台帳!$A$5:$A$504,0)),""))</f>
        <v/>
      </c>
      <c r="J15" s="28" t="str">
        <f aca="false">IF(COUNTA(B15,D15,E15,F15)=0,"",IF(OR(B15="",E15=""),"要入力",IF(N(B15)&gt;設定!$C$5,"日付誤り",IF(F15="","未消込",IF(ISNA(MATCH(F15,請求台帳!$A$5:$A$504,0)),"番号誤り",IF(INDEX(請求台帳!$Q$5:$Q$504,MATCH(F15,請求台帳!$A$5:$A$504,0))="取消","取消請求へ消込","消込済"))))))</f>
        <v/>
      </c>
      <c r="K15" s="26"/>
      <c r="L15" s="26"/>
    </row>
    <row r="16" customFormat="false" ht="15" hidden="false" customHeight="false" outlineLevel="0" collapsed="false">
      <c r="A16" s="31" t="str">
        <f aca="false">IF(COUNTA(B16,D16,E16,F16)=0,"",ROW()-4)</f>
        <v/>
      </c>
      <c r="B16" s="22"/>
      <c r="C16" s="26"/>
      <c r="D16" s="26"/>
      <c r="E16" s="18"/>
      <c r="F16" s="26"/>
      <c r="G16" s="31" t="str">
        <f aca="false">IF(F16="","",IFERROR(INDEX(請求台帳!$C$5:$C$504,MATCH(F16,請求台帳!$A$5:$A$504,0)),""))</f>
        <v/>
      </c>
      <c r="H16" s="31" t="str">
        <f aca="false">IF(F16="","",IFERROR(INDEX(請求台帳!$D$5:$D$504,MATCH(F16,請求台帳!$A$5:$A$504,0)),""))</f>
        <v/>
      </c>
      <c r="I16" s="27" t="str">
        <f aca="false">IF(F16="","",IFERROR(INDEX(請求台帳!$F$5:$F$504,MATCH(F16,請求台帳!$A$5:$A$504,0)),""))</f>
        <v/>
      </c>
      <c r="J16" s="28" t="str">
        <f aca="false">IF(COUNTA(B16,D16,E16,F16)=0,"",IF(OR(B16="",E16=""),"要入力",IF(N(B16)&gt;設定!$C$5,"日付誤り",IF(F16="","未消込",IF(ISNA(MATCH(F16,請求台帳!$A$5:$A$504,0)),"番号誤り",IF(INDEX(請求台帳!$Q$5:$Q$504,MATCH(F16,請求台帳!$A$5:$A$504,0))="取消","取消請求へ消込","消込済"))))))</f>
        <v/>
      </c>
      <c r="K16" s="26"/>
      <c r="L16" s="26"/>
    </row>
    <row r="17" customFormat="false" ht="15" hidden="false" customHeight="false" outlineLevel="0" collapsed="false">
      <c r="A17" s="31" t="str">
        <f aca="false">IF(COUNTA(B17,D17,E17,F17)=0,"",ROW()-4)</f>
        <v/>
      </c>
      <c r="B17" s="22"/>
      <c r="C17" s="26"/>
      <c r="D17" s="26"/>
      <c r="E17" s="18"/>
      <c r="F17" s="26"/>
      <c r="G17" s="31" t="str">
        <f aca="false">IF(F17="","",IFERROR(INDEX(請求台帳!$C$5:$C$504,MATCH(F17,請求台帳!$A$5:$A$504,0)),""))</f>
        <v/>
      </c>
      <c r="H17" s="31" t="str">
        <f aca="false">IF(F17="","",IFERROR(INDEX(請求台帳!$D$5:$D$504,MATCH(F17,請求台帳!$A$5:$A$504,0)),""))</f>
        <v/>
      </c>
      <c r="I17" s="27" t="str">
        <f aca="false">IF(F17="","",IFERROR(INDEX(請求台帳!$F$5:$F$504,MATCH(F17,請求台帳!$A$5:$A$504,0)),""))</f>
        <v/>
      </c>
      <c r="J17" s="28" t="str">
        <f aca="false">IF(COUNTA(B17,D17,E17,F17)=0,"",IF(OR(B17="",E17=""),"要入力",IF(N(B17)&gt;設定!$C$5,"日付誤り",IF(F17="","未消込",IF(ISNA(MATCH(F17,請求台帳!$A$5:$A$504,0)),"番号誤り",IF(INDEX(請求台帳!$Q$5:$Q$504,MATCH(F17,請求台帳!$A$5:$A$504,0))="取消","取消請求へ消込","消込済"))))))</f>
        <v/>
      </c>
      <c r="K17" s="26"/>
      <c r="L17" s="26"/>
    </row>
    <row r="18" customFormat="false" ht="15" hidden="false" customHeight="false" outlineLevel="0" collapsed="false">
      <c r="A18" s="31" t="str">
        <f aca="false">IF(COUNTA(B18,D18,E18,F18)=0,"",ROW()-4)</f>
        <v/>
      </c>
      <c r="B18" s="22"/>
      <c r="C18" s="26"/>
      <c r="D18" s="26"/>
      <c r="E18" s="18"/>
      <c r="F18" s="26"/>
      <c r="G18" s="31" t="str">
        <f aca="false">IF(F18="","",IFERROR(INDEX(請求台帳!$C$5:$C$504,MATCH(F18,請求台帳!$A$5:$A$504,0)),""))</f>
        <v/>
      </c>
      <c r="H18" s="31" t="str">
        <f aca="false">IF(F18="","",IFERROR(INDEX(請求台帳!$D$5:$D$504,MATCH(F18,請求台帳!$A$5:$A$504,0)),""))</f>
        <v/>
      </c>
      <c r="I18" s="27" t="str">
        <f aca="false">IF(F18="","",IFERROR(INDEX(請求台帳!$F$5:$F$504,MATCH(F18,請求台帳!$A$5:$A$504,0)),""))</f>
        <v/>
      </c>
      <c r="J18" s="28" t="str">
        <f aca="false">IF(COUNTA(B18,D18,E18,F18)=0,"",IF(OR(B18="",E18=""),"要入力",IF(N(B18)&gt;設定!$C$5,"日付誤り",IF(F18="","未消込",IF(ISNA(MATCH(F18,請求台帳!$A$5:$A$504,0)),"番号誤り",IF(INDEX(請求台帳!$Q$5:$Q$504,MATCH(F18,請求台帳!$A$5:$A$504,0))="取消","取消請求へ消込","消込済"))))))</f>
        <v/>
      </c>
      <c r="K18" s="26"/>
      <c r="L18" s="26"/>
    </row>
    <row r="19" customFormat="false" ht="15" hidden="false" customHeight="false" outlineLevel="0" collapsed="false">
      <c r="A19" s="31" t="str">
        <f aca="false">IF(COUNTA(B19,D19,E19,F19)=0,"",ROW()-4)</f>
        <v/>
      </c>
      <c r="B19" s="22"/>
      <c r="C19" s="26"/>
      <c r="D19" s="26"/>
      <c r="E19" s="18"/>
      <c r="F19" s="26"/>
      <c r="G19" s="31" t="str">
        <f aca="false">IF(F19="","",IFERROR(INDEX(請求台帳!$C$5:$C$504,MATCH(F19,請求台帳!$A$5:$A$504,0)),""))</f>
        <v/>
      </c>
      <c r="H19" s="31" t="str">
        <f aca="false">IF(F19="","",IFERROR(INDEX(請求台帳!$D$5:$D$504,MATCH(F19,請求台帳!$A$5:$A$504,0)),""))</f>
        <v/>
      </c>
      <c r="I19" s="27" t="str">
        <f aca="false">IF(F19="","",IFERROR(INDEX(請求台帳!$F$5:$F$504,MATCH(F19,請求台帳!$A$5:$A$504,0)),""))</f>
        <v/>
      </c>
      <c r="J19" s="28" t="str">
        <f aca="false">IF(COUNTA(B19,D19,E19,F19)=0,"",IF(OR(B19="",E19=""),"要入力",IF(N(B19)&gt;設定!$C$5,"日付誤り",IF(F19="","未消込",IF(ISNA(MATCH(F19,請求台帳!$A$5:$A$504,0)),"番号誤り",IF(INDEX(請求台帳!$Q$5:$Q$504,MATCH(F19,請求台帳!$A$5:$A$504,0))="取消","取消請求へ消込","消込済"))))))</f>
        <v/>
      </c>
      <c r="K19" s="26"/>
      <c r="L19" s="26"/>
    </row>
    <row r="20" customFormat="false" ht="15" hidden="false" customHeight="false" outlineLevel="0" collapsed="false">
      <c r="A20" s="31" t="str">
        <f aca="false">IF(COUNTA(B20,D20,E20,F20)=0,"",ROW()-4)</f>
        <v/>
      </c>
      <c r="B20" s="22"/>
      <c r="C20" s="26"/>
      <c r="D20" s="26"/>
      <c r="E20" s="18"/>
      <c r="F20" s="26"/>
      <c r="G20" s="31" t="str">
        <f aca="false">IF(F20="","",IFERROR(INDEX(請求台帳!$C$5:$C$504,MATCH(F20,請求台帳!$A$5:$A$504,0)),""))</f>
        <v/>
      </c>
      <c r="H20" s="31" t="str">
        <f aca="false">IF(F20="","",IFERROR(INDEX(請求台帳!$D$5:$D$504,MATCH(F20,請求台帳!$A$5:$A$504,0)),""))</f>
        <v/>
      </c>
      <c r="I20" s="27" t="str">
        <f aca="false">IF(F20="","",IFERROR(INDEX(請求台帳!$F$5:$F$504,MATCH(F20,請求台帳!$A$5:$A$504,0)),""))</f>
        <v/>
      </c>
      <c r="J20" s="28" t="str">
        <f aca="false">IF(COUNTA(B20,D20,E20,F20)=0,"",IF(OR(B20="",E20=""),"要入力",IF(N(B20)&gt;設定!$C$5,"日付誤り",IF(F20="","未消込",IF(ISNA(MATCH(F20,請求台帳!$A$5:$A$504,0)),"番号誤り",IF(INDEX(請求台帳!$Q$5:$Q$504,MATCH(F20,請求台帳!$A$5:$A$504,0))="取消","取消請求へ消込","消込済"))))))</f>
        <v/>
      </c>
      <c r="K20" s="26"/>
      <c r="L20" s="26"/>
    </row>
    <row r="21" customFormat="false" ht="15" hidden="false" customHeight="false" outlineLevel="0" collapsed="false">
      <c r="A21" s="31" t="str">
        <f aca="false">IF(COUNTA(B21,D21,E21,F21)=0,"",ROW()-4)</f>
        <v/>
      </c>
      <c r="B21" s="22"/>
      <c r="C21" s="26"/>
      <c r="D21" s="26"/>
      <c r="E21" s="18"/>
      <c r="F21" s="26"/>
      <c r="G21" s="31" t="str">
        <f aca="false">IF(F21="","",IFERROR(INDEX(請求台帳!$C$5:$C$504,MATCH(F21,請求台帳!$A$5:$A$504,0)),""))</f>
        <v/>
      </c>
      <c r="H21" s="31" t="str">
        <f aca="false">IF(F21="","",IFERROR(INDEX(請求台帳!$D$5:$D$504,MATCH(F21,請求台帳!$A$5:$A$504,0)),""))</f>
        <v/>
      </c>
      <c r="I21" s="27" t="str">
        <f aca="false">IF(F21="","",IFERROR(INDEX(請求台帳!$F$5:$F$504,MATCH(F21,請求台帳!$A$5:$A$504,0)),""))</f>
        <v/>
      </c>
      <c r="J21" s="28" t="str">
        <f aca="false">IF(COUNTA(B21,D21,E21,F21)=0,"",IF(OR(B21="",E21=""),"要入力",IF(N(B21)&gt;設定!$C$5,"日付誤り",IF(F21="","未消込",IF(ISNA(MATCH(F21,請求台帳!$A$5:$A$504,0)),"番号誤り",IF(INDEX(請求台帳!$Q$5:$Q$504,MATCH(F21,請求台帳!$A$5:$A$504,0))="取消","取消請求へ消込","消込済"))))))</f>
        <v/>
      </c>
      <c r="K21" s="26"/>
      <c r="L21" s="26"/>
    </row>
    <row r="22" customFormat="false" ht="15" hidden="false" customHeight="false" outlineLevel="0" collapsed="false">
      <c r="A22" s="31" t="str">
        <f aca="false">IF(COUNTA(B22,D22,E22,F22)=0,"",ROW()-4)</f>
        <v/>
      </c>
      <c r="B22" s="22"/>
      <c r="C22" s="26"/>
      <c r="D22" s="26"/>
      <c r="E22" s="18"/>
      <c r="F22" s="26"/>
      <c r="G22" s="31" t="str">
        <f aca="false">IF(F22="","",IFERROR(INDEX(請求台帳!$C$5:$C$504,MATCH(F22,請求台帳!$A$5:$A$504,0)),""))</f>
        <v/>
      </c>
      <c r="H22" s="31" t="str">
        <f aca="false">IF(F22="","",IFERROR(INDEX(請求台帳!$D$5:$D$504,MATCH(F22,請求台帳!$A$5:$A$504,0)),""))</f>
        <v/>
      </c>
      <c r="I22" s="27" t="str">
        <f aca="false">IF(F22="","",IFERROR(INDEX(請求台帳!$F$5:$F$504,MATCH(F22,請求台帳!$A$5:$A$504,0)),""))</f>
        <v/>
      </c>
      <c r="J22" s="28" t="str">
        <f aca="false">IF(COUNTA(B22,D22,E22,F22)=0,"",IF(OR(B22="",E22=""),"要入力",IF(N(B22)&gt;設定!$C$5,"日付誤り",IF(F22="","未消込",IF(ISNA(MATCH(F22,請求台帳!$A$5:$A$504,0)),"番号誤り",IF(INDEX(請求台帳!$Q$5:$Q$504,MATCH(F22,請求台帳!$A$5:$A$504,0))="取消","取消請求へ消込","消込済"))))))</f>
        <v/>
      </c>
      <c r="K22" s="26"/>
      <c r="L22" s="26"/>
    </row>
    <row r="23" customFormat="false" ht="15" hidden="false" customHeight="false" outlineLevel="0" collapsed="false">
      <c r="A23" s="31" t="str">
        <f aca="false">IF(COUNTA(B23,D23,E23,F23)=0,"",ROW()-4)</f>
        <v/>
      </c>
      <c r="B23" s="22"/>
      <c r="C23" s="26"/>
      <c r="D23" s="26"/>
      <c r="E23" s="18"/>
      <c r="F23" s="26"/>
      <c r="G23" s="31" t="str">
        <f aca="false">IF(F23="","",IFERROR(INDEX(請求台帳!$C$5:$C$504,MATCH(F23,請求台帳!$A$5:$A$504,0)),""))</f>
        <v/>
      </c>
      <c r="H23" s="31" t="str">
        <f aca="false">IF(F23="","",IFERROR(INDEX(請求台帳!$D$5:$D$504,MATCH(F23,請求台帳!$A$5:$A$504,0)),""))</f>
        <v/>
      </c>
      <c r="I23" s="27" t="str">
        <f aca="false">IF(F23="","",IFERROR(INDEX(請求台帳!$F$5:$F$504,MATCH(F23,請求台帳!$A$5:$A$504,0)),""))</f>
        <v/>
      </c>
      <c r="J23" s="28" t="str">
        <f aca="false">IF(COUNTA(B23,D23,E23,F23)=0,"",IF(OR(B23="",E23=""),"要入力",IF(N(B23)&gt;設定!$C$5,"日付誤り",IF(F23="","未消込",IF(ISNA(MATCH(F23,請求台帳!$A$5:$A$504,0)),"番号誤り",IF(INDEX(請求台帳!$Q$5:$Q$504,MATCH(F23,請求台帳!$A$5:$A$504,0))="取消","取消請求へ消込","消込済"))))))</f>
        <v/>
      </c>
      <c r="K23" s="26"/>
      <c r="L23" s="26"/>
    </row>
    <row r="24" customFormat="false" ht="15" hidden="false" customHeight="false" outlineLevel="0" collapsed="false">
      <c r="A24" s="31" t="str">
        <f aca="false">IF(COUNTA(B24,D24,E24,F24)=0,"",ROW()-4)</f>
        <v/>
      </c>
      <c r="B24" s="22"/>
      <c r="C24" s="26"/>
      <c r="D24" s="26"/>
      <c r="E24" s="18"/>
      <c r="F24" s="26"/>
      <c r="G24" s="31" t="str">
        <f aca="false">IF(F24="","",IFERROR(INDEX(請求台帳!$C$5:$C$504,MATCH(F24,請求台帳!$A$5:$A$504,0)),""))</f>
        <v/>
      </c>
      <c r="H24" s="31" t="str">
        <f aca="false">IF(F24="","",IFERROR(INDEX(請求台帳!$D$5:$D$504,MATCH(F24,請求台帳!$A$5:$A$504,0)),""))</f>
        <v/>
      </c>
      <c r="I24" s="27" t="str">
        <f aca="false">IF(F24="","",IFERROR(INDEX(請求台帳!$F$5:$F$504,MATCH(F24,請求台帳!$A$5:$A$504,0)),""))</f>
        <v/>
      </c>
      <c r="J24" s="28" t="str">
        <f aca="false">IF(COUNTA(B24,D24,E24,F24)=0,"",IF(OR(B24="",E24=""),"要入力",IF(N(B24)&gt;設定!$C$5,"日付誤り",IF(F24="","未消込",IF(ISNA(MATCH(F24,請求台帳!$A$5:$A$504,0)),"番号誤り",IF(INDEX(請求台帳!$Q$5:$Q$504,MATCH(F24,請求台帳!$A$5:$A$504,0))="取消","取消請求へ消込","消込済"))))))</f>
        <v/>
      </c>
      <c r="K24" s="26"/>
      <c r="L24" s="26"/>
    </row>
    <row r="25" customFormat="false" ht="15" hidden="false" customHeight="false" outlineLevel="0" collapsed="false">
      <c r="A25" s="31" t="str">
        <f aca="false">IF(COUNTA(B25,D25,E25,F25)=0,"",ROW()-4)</f>
        <v/>
      </c>
      <c r="B25" s="22"/>
      <c r="C25" s="26"/>
      <c r="D25" s="26"/>
      <c r="E25" s="18"/>
      <c r="F25" s="26"/>
      <c r="G25" s="31" t="str">
        <f aca="false">IF(F25="","",IFERROR(INDEX(請求台帳!$C$5:$C$504,MATCH(F25,請求台帳!$A$5:$A$504,0)),""))</f>
        <v/>
      </c>
      <c r="H25" s="31" t="str">
        <f aca="false">IF(F25="","",IFERROR(INDEX(請求台帳!$D$5:$D$504,MATCH(F25,請求台帳!$A$5:$A$504,0)),""))</f>
        <v/>
      </c>
      <c r="I25" s="27" t="str">
        <f aca="false">IF(F25="","",IFERROR(INDEX(請求台帳!$F$5:$F$504,MATCH(F25,請求台帳!$A$5:$A$504,0)),""))</f>
        <v/>
      </c>
      <c r="J25" s="28" t="str">
        <f aca="false">IF(COUNTA(B25,D25,E25,F25)=0,"",IF(OR(B25="",E25=""),"要入力",IF(N(B25)&gt;設定!$C$5,"日付誤り",IF(F25="","未消込",IF(ISNA(MATCH(F25,請求台帳!$A$5:$A$504,0)),"番号誤り",IF(INDEX(請求台帳!$Q$5:$Q$504,MATCH(F25,請求台帳!$A$5:$A$504,0))="取消","取消請求へ消込","消込済"))))))</f>
        <v/>
      </c>
      <c r="K25" s="26"/>
      <c r="L25" s="26"/>
    </row>
    <row r="26" customFormat="false" ht="15" hidden="false" customHeight="false" outlineLevel="0" collapsed="false">
      <c r="A26" s="31" t="str">
        <f aca="false">IF(COUNTA(B26,D26,E26,F26)=0,"",ROW()-4)</f>
        <v/>
      </c>
      <c r="B26" s="22"/>
      <c r="C26" s="26"/>
      <c r="D26" s="26"/>
      <c r="E26" s="18"/>
      <c r="F26" s="26"/>
      <c r="G26" s="31" t="str">
        <f aca="false">IF(F26="","",IFERROR(INDEX(請求台帳!$C$5:$C$504,MATCH(F26,請求台帳!$A$5:$A$504,0)),""))</f>
        <v/>
      </c>
      <c r="H26" s="31" t="str">
        <f aca="false">IF(F26="","",IFERROR(INDEX(請求台帳!$D$5:$D$504,MATCH(F26,請求台帳!$A$5:$A$504,0)),""))</f>
        <v/>
      </c>
      <c r="I26" s="27" t="str">
        <f aca="false">IF(F26="","",IFERROR(INDEX(請求台帳!$F$5:$F$504,MATCH(F26,請求台帳!$A$5:$A$504,0)),""))</f>
        <v/>
      </c>
      <c r="J26" s="28" t="str">
        <f aca="false">IF(COUNTA(B26,D26,E26,F26)=0,"",IF(OR(B26="",E26=""),"要入力",IF(N(B26)&gt;設定!$C$5,"日付誤り",IF(F26="","未消込",IF(ISNA(MATCH(F26,請求台帳!$A$5:$A$504,0)),"番号誤り",IF(INDEX(請求台帳!$Q$5:$Q$504,MATCH(F26,請求台帳!$A$5:$A$504,0))="取消","取消請求へ消込","消込済"))))))</f>
        <v/>
      </c>
      <c r="K26" s="26"/>
      <c r="L26" s="26"/>
    </row>
    <row r="27" customFormat="false" ht="15" hidden="false" customHeight="false" outlineLevel="0" collapsed="false">
      <c r="A27" s="31" t="str">
        <f aca="false">IF(COUNTA(B27,D27,E27,F27)=0,"",ROW()-4)</f>
        <v/>
      </c>
      <c r="B27" s="22"/>
      <c r="C27" s="26"/>
      <c r="D27" s="26"/>
      <c r="E27" s="18"/>
      <c r="F27" s="26"/>
      <c r="G27" s="31" t="str">
        <f aca="false">IF(F27="","",IFERROR(INDEX(請求台帳!$C$5:$C$504,MATCH(F27,請求台帳!$A$5:$A$504,0)),""))</f>
        <v/>
      </c>
      <c r="H27" s="31" t="str">
        <f aca="false">IF(F27="","",IFERROR(INDEX(請求台帳!$D$5:$D$504,MATCH(F27,請求台帳!$A$5:$A$504,0)),""))</f>
        <v/>
      </c>
      <c r="I27" s="27" t="str">
        <f aca="false">IF(F27="","",IFERROR(INDEX(請求台帳!$F$5:$F$504,MATCH(F27,請求台帳!$A$5:$A$504,0)),""))</f>
        <v/>
      </c>
      <c r="J27" s="28" t="str">
        <f aca="false">IF(COUNTA(B27,D27,E27,F27)=0,"",IF(OR(B27="",E27=""),"要入力",IF(N(B27)&gt;設定!$C$5,"日付誤り",IF(F27="","未消込",IF(ISNA(MATCH(F27,請求台帳!$A$5:$A$504,0)),"番号誤り",IF(INDEX(請求台帳!$Q$5:$Q$504,MATCH(F27,請求台帳!$A$5:$A$504,0))="取消","取消請求へ消込","消込済"))))))</f>
        <v/>
      </c>
      <c r="K27" s="26"/>
      <c r="L27" s="26"/>
    </row>
    <row r="28" customFormat="false" ht="15" hidden="false" customHeight="false" outlineLevel="0" collapsed="false">
      <c r="A28" s="31" t="str">
        <f aca="false">IF(COUNTA(B28,D28,E28,F28)=0,"",ROW()-4)</f>
        <v/>
      </c>
      <c r="B28" s="22"/>
      <c r="C28" s="26"/>
      <c r="D28" s="26"/>
      <c r="E28" s="18"/>
      <c r="F28" s="26"/>
      <c r="G28" s="31" t="str">
        <f aca="false">IF(F28="","",IFERROR(INDEX(請求台帳!$C$5:$C$504,MATCH(F28,請求台帳!$A$5:$A$504,0)),""))</f>
        <v/>
      </c>
      <c r="H28" s="31" t="str">
        <f aca="false">IF(F28="","",IFERROR(INDEX(請求台帳!$D$5:$D$504,MATCH(F28,請求台帳!$A$5:$A$504,0)),""))</f>
        <v/>
      </c>
      <c r="I28" s="27" t="str">
        <f aca="false">IF(F28="","",IFERROR(INDEX(請求台帳!$F$5:$F$504,MATCH(F28,請求台帳!$A$5:$A$504,0)),""))</f>
        <v/>
      </c>
      <c r="J28" s="28" t="str">
        <f aca="false">IF(COUNTA(B28,D28,E28,F28)=0,"",IF(OR(B28="",E28=""),"要入力",IF(N(B28)&gt;設定!$C$5,"日付誤り",IF(F28="","未消込",IF(ISNA(MATCH(F28,請求台帳!$A$5:$A$504,0)),"番号誤り",IF(INDEX(請求台帳!$Q$5:$Q$504,MATCH(F28,請求台帳!$A$5:$A$504,0))="取消","取消請求へ消込","消込済"))))))</f>
        <v/>
      </c>
      <c r="K28" s="26"/>
      <c r="L28" s="26"/>
    </row>
    <row r="29" customFormat="false" ht="15" hidden="false" customHeight="false" outlineLevel="0" collapsed="false">
      <c r="A29" s="31" t="str">
        <f aca="false">IF(COUNTA(B29,D29,E29,F29)=0,"",ROW()-4)</f>
        <v/>
      </c>
      <c r="B29" s="22"/>
      <c r="C29" s="26"/>
      <c r="D29" s="26"/>
      <c r="E29" s="18"/>
      <c r="F29" s="26"/>
      <c r="G29" s="31" t="str">
        <f aca="false">IF(F29="","",IFERROR(INDEX(請求台帳!$C$5:$C$504,MATCH(F29,請求台帳!$A$5:$A$504,0)),""))</f>
        <v/>
      </c>
      <c r="H29" s="31" t="str">
        <f aca="false">IF(F29="","",IFERROR(INDEX(請求台帳!$D$5:$D$504,MATCH(F29,請求台帳!$A$5:$A$504,0)),""))</f>
        <v/>
      </c>
      <c r="I29" s="27" t="str">
        <f aca="false">IF(F29="","",IFERROR(INDEX(請求台帳!$F$5:$F$504,MATCH(F29,請求台帳!$A$5:$A$504,0)),""))</f>
        <v/>
      </c>
      <c r="J29" s="28" t="str">
        <f aca="false">IF(COUNTA(B29,D29,E29,F29)=0,"",IF(OR(B29="",E29=""),"要入力",IF(N(B29)&gt;設定!$C$5,"日付誤り",IF(F29="","未消込",IF(ISNA(MATCH(F29,請求台帳!$A$5:$A$504,0)),"番号誤り",IF(INDEX(請求台帳!$Q$5:$Q$504,MATCH(F29,請求台帳!$A$5:$A$504,0))="取消","取消請求へ消込","消込済"))))))</f>
        <v/>
      </c>
      <c r="K29" s="26"/>
      <c r="L29" s="26"/>
    </row>
    <row r="30" customFormat="false" ht="15" hidden="false" customHeight="false" outlineLevel="0" collapsed="false">
      <c r="A30" s="31" t="str">
        <f aca="false">IF(COUNTA(B30,D30,E30,F30)=0,"",ROW()-4)</f>
        <v/>
      </c>
      <c r="B30" s="22"/>
      <c r="C30" s="26"/>
      <c r="D30" s="26"/>
      <c r="E30" s="18"/>
      <c r="F30" s="26"/>
      <c r="G30" s="31" t="str">
        <f aca="false">IF(F30="","",IFERROR(INDEX(請求台帳!$C$5:$C$504,MATCH(F30,請求台帳!$A$5:$A$504,0)),""))</f>
        <v/>
      </c>
      <c r="H30" s="31" t="str">
        <f aca="false">IF(F30="","",IFERROR(INDEX(請求台帳!$D$5:$D$504,MATCH(F30,請求台帳!$A$5:$A$504,0)),""))</f>
        <v/>
      </c>
      <c r="I30" s="27" t="str">
        <f aca="false">IF(F30="","",IFERROR(INDEX(請求台帳!$F$5:$F$504,MATCH(F30,請求台帳!$A$5:$A$504,0)),""))</f>
        <v/>
      </c>
      <c r="J30" s="28" t="str">
        <f aca="false">IF(COUNTA(B30,D30,E30,F30)=0,"",IF(OR(B30="",E30=""),"要入力",IF(N(B30)&gt;設定!$C$5,"日付誤り",IF(F30="","未消込",IF(ISNA(MATCH(F30,請求台帳!$A$5:$A$504,0)),"番号誤り",IF(INDEX(請求台帳!$Q$5:$Q$504,MATCH(F30,請求台帳!$A$5:$A$504,0))="取消","取消請求へ消込","消込済"))))))</f>
        <v/>
      </c>
      <c r="K30" s="26"/>
      <c r="L30" s="26"/>
    </row>
    <row r="31" customFormat="false" ht="15" hidden="false" customHeight="false" outlineLevel="0" collapsed="false">
      <c r="A31" s="31" t="str">
        <f aca="false">IF(COUNTA(B31,D31,E31,F31)=0,"",ROW()-4)</f>
        <v/>
      </c>
      <c r="B31" s="22"/>
      <c r="C31" s="26"/>
      <c r="D31" s="26"/>
      <c r="E31" s="18"/>
      <c r="F31" s="26"/>
      <c r="G31" s="31" t="str">
        <f aca="false">IF(F31="","",IFERROR(INDEX(請求台帳!$C$5:$C$504,MATCH(F31,請求台帳!$A$5:$A$504,0)),""))</f>
        <v/>
      </c>
      <c r="H31" s="31" t="str">
        <f aca="false">IF(F31="","",IFERROR(INDEX(請求台帳!$D$5:$D$504,MATCH(F31,請求台帳!$A$5:$A$504,0)),""))</f>
        <v/>
      </c>
      <c r="I31" s="27" t="str">
        <f aca="false">IF(F31="","",IFERROR(INDEX(請求台帳!$F$5:$F$504,MATCH(F31,請求台帳!$A$5:$A$504,0)),""))</f>
        <v/>
      </c>
      <c r="J31" s="28" t="str">
        <f aca="false">IF(COUNTA(B31,D31,E31,F31)=0,"",IF(OR(B31="",E31=""),"要入力",IF(N(B31)&gt;設定!$C$5,"日付誤り",IF(F31="","未消込",IF(ISNA(MATCH(F31,請求台帳!$A$5:$A$504,0)),"番号誤り",IF(INDEX(請求台帳!$Q$5:$Q$504,MATCH(F31,請求台帳!$A$5:$A$504,0))="取消","取消請求へ消込","消込済"))))))</f>
        <v/>
      </c>
      <c r="K31" s="26"/>
      <c r="L31" s="26"/>
    </row>
    <row r="32" customFormat="false" ht="15" hidden="false" customHeight="false" outlineLevel="0" collapsed="false">
      <c r="A32" s="31" t="str">
        <f aca="false">IF(COUNTA(B32,D32,E32,F32)=0,"",ROW()-4)</f>
        <v/>
      </c>
      <c r="B32" s="22"/>
      <c r="C32" s="26"/>
      <c r="D32" s="26"/>
      <c r="E32" s="18"/>
      <c r="F32" s="26"/>
      <c r="G32" s="31" t="str">
        <f aca="false">IF(F32="","",IFERROR(INDEX(請求台帳!$C$5:$C$504,MATCH(F32,請求台帳!$A$5:$A$504,0)),""))</f>
        <v/>
      </c>
      <c r="H32" s="31" t="str">
        <f aca="false">IF(F32="","",IFERROR(INDEX(請求台帳!$D$5:$D$504,MATCH(F32,請求台帳!$A$5:$A$504,0)),""))</f>
        <v/>
      </c>
      <c r="I32" s="27" t="str">
        <f aca="false">IF(F32="","",IFERROR(INDEX(請求台帳!$F$5:$F$504,MATCH(F32,請求台帳!$A$5:$A$504,0)),""))</f>
        <v/>
      </c>
      <c r="J32" s="28" t="str">
        <f aca="false">IF(COUNTA(B32,D32,E32,F32)=0,"",IF(OR(B32="",E32=""),"要入力",IF(N(B32)&gt;設定!$C$5,"日付誤り",IF(F32="","未消込",IF(ISNA(MATCH(F32,請求台帳!$A$5:$A$504,0)),"番号誤り",IF(INDEX(請求台帳!$Q$5:$Q$504,MATCH(F32,請求台帳!$A$5:$A$504,0))="取消","取消請求へ消込","消込済"))))))</f>
        <v/>
      </c>
      <c r="K32" s="26"/>
      <c r="L32" s="26"/>
    </row>
    <row r="33" customFormat="false" ht="15" hidden="false" customHeight="false" outlineLevel="0" collapsed="false">
      <c r="A33" s="31" t="str">
        <f aca="false">IF(COUNTA(B33,D33,E33,F33)=0,"",ROW()-4)</f>
        <v/>
      </c>
      <c r="B33" s="22"/>
      <c r="C33" s="26"/>
      <c r="D33" s="26"/>
      <c r="E33" s="18"/>
      <c r="F33" s="26"/>
      <c r="G33" s="31" t="str">
        <f aca="false">IF(F33="","",IFERROR(INDEX(請求台帳!$C$5:$C$504,MATCH(F33,請求台帳!$A$5:$A$504,0)),""))</f>
        <v/>
      </c>
      <c r="H33" s="31" t="str">
        <f aca="false">IF(F33="","",IFERROR(INDEX(請求台帳!$D$5:$D$504,MATCH(F33,請求台帳!$A$5:$A$504,0)),""))</f>
        <v/>
      </c>
      <c r="I33" s="27" t="str">
        <f aca="false">IF(F33="","",IFERROR(INDEX(請求台帳!$F$5:$F$504,MATCH(F33,請求台帳!$A$5:$A$504,0)),""))</f>
        <v/>
      </c>
      <c r="J33" s="28" t="str">
        <f aca="false">IF(COUNTA(B33,D33,E33,F33)=0,"",IF(OR(B33="",E33=""),"要入力",IF(N(B33)&gt;設定!$C$5,"日付誤り",IF(F33="","未消込",IF(ISNA(MATCH(F33,請求台帳!$A$5:$A$504,0)),"番号誤り",IF(INDEX(請求台帳!$Q$5:$Q$504,MATCH(F33,請求台帳!$A$5:$A$504,0))="取消","取消請求へ消込","消込済"))))))</f>
        <v/>
      </c>
      <c r="K33" s="26"/>
      <c r="L33" s="26"/>
    </row>
    <row r="34" customFormat="false" ht="15" hidden="false" customHeight="false" outlineLevel="0" collapsed="false">
      <c r="A34" s="31" t="str">
        <f aca="false">IF(COUNTA(B34,D34,E34,F34)=0,"",ROW()-4)</f>
        <v/>
      </c>
      <c r="B34" s="22"/>
      <c r="C34" s="26"/>
      <c r="D34" s="26"/>
      <c r="E34" s="18"/>
      <c r="F34" s="26"/>
      <c r="G34" s="31" t="str">
        <f aca="false">IF(F34="","",IFERROR(INDEX(請求台帳!$C$5:$C$504,MATCH(F34,請求台帳!$A$5:$A$504,0)),""))</f>
        <v/>
      </c>
      <c r="H34" s="31" t="str">
        <f aca="false">IF(F34="","",IFERROR(INDEX(請求台帳!$D$5:$D$504,MATCH(F34,請求台帳!$A$5:$A$504,0)),""))</f>
        <v/>
      </c>
      <c r="I34" s="27" t="str">
        <f aca="false">IF(F34="","",IFERROR(INDEX(請求台帳!$F$5:$F$504,MATCH(F34,請求台帳!$A$5:$A$504,0)),""))</f>
        <v/>
      </c>
      <c r="J34" s="28" t="str">
        <f aca="false">IF(COUNTA(B34,D34,E34,F34)=0,"",IF(OR(B34="",E34=""),"要入力",IF(N(B34)&gt;設定!$C$5,"日付誤り",IF(F34="","未消込",IF(ISNA(MATCH(F34,請求台帳!$A$5:$A$504,0)),"番号誤り",IF(INDEX(請求台帳!$Q$5:$Q$504,MATCH(F34,請求台帳!$A$5:$A$504,0))="取消","取消請求へ消込","消込済"))))))</f>
        <v/>
      </c>
      <c r="K34" s="26"/>
      <c r="L34" s="26"/>
    </row>
    <row r="35" customFormat="false" ht="15" hidden="false" customHeight="false" outlineLevel="0" collapsed="false">
      <c r="A35" s="31" t="str">
        <f aca="false">IF(COUNTA(B35,D35,E35,F35)=0,"",ROW()-4)</f>
        <v/>
      </c>
      <c r="B35" s="22"/>
      <c r="C35" s="26"/>
      <c r="D35" s="26"/>
      <c r="E35" s="18"/>
      <c r="F35" s="26"/>
      <c r="G35" s="31" t="str">
        <f aca="false">IF(F35="","",IFERROR(INDEX(請求台帳!$C$5:$C$504,MATCH(F35,請求台帳!$A$5:$A$504,0)),""))</f>
        <v/>
      </c>
      <c r="H35" s="31" t="str">
        <f aca="false">IF(F35="","",IFERROR(INDEX(請求台帳!$D$5:$D$504,MATCH(F35,請求台帳!$A$5:$A$504,0)),""))</f>
        <v/>
      </c>
      <c r="I35" s="27" t="str">
        <f aca="false">IF(F35="","",IFERROR(INDEX(請求台帳!$F$5:$F$504,MATCH(F35,請求台帳!$A$5:$A$504,0)),""))</f>
        <v/>
      </c>
      <c r="J35" s="28" t="str">
        <f aca="false">IF(COUNTA(B35,D35,E35,F35)=0,"",IF(OR(B35="",E35=""),"要入力",IF(N(B35)&gt;設定!$C$5,"日付誤り",IF(F35="","未消込",IF(ISNA(MATCH(F35,請求台帳!$A$5:$A$504,0)),"番号誤り",IF(INDEX(請求台帳!$Q$5:$Q$504,MATCH(F35,請求台帳!$A$5:$A$504,0))="取消","取消請求へ消込","消込済"))))))</f>
        <v/>
      </c>
      <c r="K35" s="26"/>
      <c r="L35" s="26"/>
    </row>
    <row r="36" customFormat="false" ht="15" hidden="false" customHeight="false" outlineLevel="0" collapsed="false">
      <c r="A36" s="31" t="str">
        <f aca="false">IF(COUNTA(B36,D36,E36,F36)=0,"",ROW()-4)</f>
        <v/>
      </c>
      <c r="B36" s="22"/>
      <c r="C36" s="26"/>
      <c r="D36" s="26"/>
      <c r="E36" s="18"/>
      <c r="F36" s="26"/>
      <c r="G36" s="31" t="str">
        <f aca="false">IF(F36="","",IFERROR(INDEX(請求台帳!$C$5:$C$504,MATCH(F36,請求台帳!$A$5:$A$504,0)),""))</f>
        <v/>
      </c>
      <c r="H36" s="31" t="str">
        <f aca="false">IF(F36="","",IFERROR(INDEX(請求台帳!$D$5:$D$504,MATCH(F36,請求台帳!$A$5:$A$504,0)),""))</f>
        <v/>
      </c>
      <c r="I36" s="27" t="str">
        <f aca="false">IF(F36="","",IFERROR(INDEX(請求台帳!$F$5:$F$504,MATCH(F36,請求台帳!$A$5:$A$504,0)),""))</f>
        <v/>
      </c>
      <c r="J36" s="28" t="str">
        <f aca="false">IF(COUNTA(B36,D36,E36,F36)=0,"",IF(OR(B36="",E36=""),"要入力",IF(N(B36)&gt;設定!$C$5,"日付誤り",IF(F36="","未消込",IF(ISNA(MATCH(F36,請求台帳!$A$5:$A$504,0)),"番号誤り",IF(INDEX(請求台帳!$Q$5:$Q$504,MATCH(F36,請求台帳!$A$5:$A$504,0))="取消","取消請求へ消込","消込済"))))))</f>
        <v/>
      </c>
      <c r="K36" s="26"/>
      <c r="L36" s="26"/>
    </row>
    <row r="37" customFormat="false" ht="15" hidden="false" customHeight="false" outlineLevel="0" collapsed="false">
      <c r="A37" s="31" t="str">
        <f aca="false">IF(COUNTA(B37,D37,E37,F37)=0,"",ROW()-4)</f>
        <v/>
      </c>
      <c r="B37" s="22"/>
      <c r="C37" s="26"/>
      <c r="D37" s="26"/>
      <c r="E37" s="18"/>
      <c r="F37" s="26"/>
      <c r="G37" s="31" t="str">
        <f aca="false">IF(F37="","",IFERROR(INDEX(請求台帳!$C$5:$C$504,MATCH(F37,請求台帳!$A$5:$A$504,0)),""))</f>
        <v/>
      </c>
      <c r="H37" s="31" t="str">
        <f aca="false">IF(F37="","",IFERROR(INDEX(請求台帳!$D$5:$D$504,MATCH(F37,請求台帳!$A$5:$A$504,0)),""))</f>
        <v/>
      </c>
      <c r="I37" s="27" t="str">
        <f aca="false">IF(F37="","",IFERROR(INDEX(請求台帳!$F$5:$F$504,MATCH(F37,請求台帳!$A$5:$A$504,0)),""))</f>
        <v/>
      </c>
      <c r="J37" s="28" t="str">
        <f aca="false">IF(COUNTA(B37,D37,E37,F37)=0,"",IF(OR(B37="",E37=""),"要入力",IF(N(B37)&gt;設定!$C$5,"日付誤り",IF(F37="","未消込",IF(ISNA(MATCH(F37,請求台帳!$A$5:$A$504,0)),"番号誤り",IF(INDEX(請求台帳!$Q$5:$Q$504,MATCH(F37,請求台帳!$A$5:$A$504,0))="取消","取消請求へ消込","消込済"))))))</f>
        <v/>
      </c>
      <c r="K37" s="26"/>
      <c r="L37" s="26"/>
    </row>
    <row r="38" customFormat="false" ht="15" hidden="false" customHeight="false" outlineLevel="0" collapsed="false">
      <c r="A38" s="31" t="str">
        <f aca="false">IF(COUNTA(B38,D38,E38,F38)=0,"",ROW()-4)</f>
        <v/>
      </c>
      <c r="B38" s="22"/>
      <c r="C38" s="26"/>
      <c r="D38" s="26"/>
      <c r="E38" s="18"/>
      <c r="F38" s="26"/>
      <c r="G38" s="31" t="str">
        <f aca="false">IF(F38="","",IFERROR(INDEX(請求台帳!$C$5:$C$504,MATCH(F38,請求台帳!$A$5:$A$504,0)),""))</f>
        <v/>
      </c>
      <c r="H38" s="31" t="str">
        <f aca="false">IF(F38="","",IFERROR(INDEX(請求台帳!$D$5:$D$504,MATCH(F38,請求台帳!$A$5:$A$504,0)),""))</f>
        <v/>
      </c>
      <c r="I38" s="27" t="str">
        <f aca="false">IF(F38="","",IFERROR(INDEX(請求台帳!$F$5:$F$504,MATCH(F38,請求台帳!$A$5:$A$504,0)),""))</f>
        <v/>
      </c>
      <c r="J38" s="28" t="str">
        <f aca="false">IF(COUNTA(B38,D38,E38,F38)=0,"",IF(OR(B38="",E38=""),"要入力",IF(N(B38)&gt;設定!$C$5,"日付誤り",IF(F38="","未消込",IF(ISNA(MATCH(F38,請求台帳!$A$5:$A$504,0)),"番号誤り",IF(INDEX(請求台帳!$Q$5:$Q$504,MATCH(F38,請求台帳!$A$5:$A$504,0))="取消","取消請求へ消込","消込済"))))))</f>
        <v/>
      </c>
      <c r="K38" s="26"/>
      <c r="L38" s="26"/>
    </row>
    <row r="39" customFormat="false" ht="15" hidden="false" customHeight="false" outlineLevel="0" collapsed="false">
      <c r="A39" s="31" t="str">
        <f aca="false">IF(COUNTA(B39,D39,E39,F39)=0,"",ROW()-4)</f>
        <v/>
      </c>
      <c r="B39" s="22"/>
      <c r="C39" s="26"/>
      <c r="D39" s="26"/>
      <c r="E39" s="18"/>
      <c r="F39" s="26"/>
      <c r="G39" s="31" t="str">
        <f aca="false">IF(F39="","",IFERROR(INDEX(請求台帳!$C$5:$C$504,MATCH(F39,請求台帳!$A$5:$A$504,0)),""))</f>
        <v/>
      </c>
      <c r="H39" s="31" t="str">
        <f aca="false">IF(F39="","",IFERROR(INDEX(請求台帳!$D$5:$D$504,MATCH(F39,請求台帳!$A$5:$A$504,0)),""))</f>
        <v/>
      </c>
      <c r="I39" s="27" t="str">
        <f aca="false">IF(F39="","",IFERROR(INDEX(請求台帳!$F$5:$F$504,MATCH(F39,請求台帳!$A$5:$A$504,0)),""))</f>
        <v/>
      </c>
      <c r="J39" s="28" t="str">
        <f aca="false">IF(COUNTA(B39,D39,E39,F39)=0,"",IF(OR(B39="",E39=""),"要入力",IF(N(B39)&gt;設定!$C$5,"日付誤り",IF(F39="","未消込",IF(ISNA(MATCH(F39,請求台帳!$A$5:$A$504,0)),"番号誤り",IF(INDEX(請求台帳!$Q$5:$Q$504,MATCH(F39,請求台帳!$A$5:$A$504,0))="取消","取消請求へ消込","消込済"))))))</f>
        <v/>
      </c>
      <c r="K39" s="26"/>
      <c r="L39" s="26"/>
    </row>
    <row r="40" customFormat="false" ht="15" hidden="false" customHeight="false" outlineLevel="0" collapsed="false">
      <c r="A40" s="31" t="str">
        <f aca="false">IF(COUNTA(B40,D40,E40,F40)=0,"",ROW()-4)</f>
        <v/>
      </c>
      <c r="B40" s="22"/>
      <c r="C40" s="26"/>
      <c r="D40" s="26"/>
      <c r="E40" s="18"/>
      <c r="F40" s="26"/>
      <c r="G40" s="31" t="str">
        <f aca="false">IF(F40="","",IFERROR(INDEX(請求台帳!$C$5:$C$504,MATCH(F40,請求台帳!$A$5:$A$504,0)),""))</f>
        <v/>
      </c>
      <c r="H40" s="31" t="str">
        <f aca="false">IF(F40="","",IFERROR(INDEX(請求台帳!$D$5:$D$504,MATCH(F40,請求台帳!$A$5:$A$504,0)),""))</f>
        <v/>
      </c>
      <c r="I40" s="27" t="str">
        <f aca="false">IF(F40="","",IFERROR(INDEX(請求台帳!$F$5:$F$504,MATCH(F40,請求台帳!$A$5:$A$504,0)),""))</f>
        <v/>
      </c>
      <c r="J40" s="28" t="str">
        <f aca="false">IF(COUNTA(B40,D40,E40,F40)=0,"",IF(OR(B40="",E40=""),"要入力",IF(N(B40)&gt;設定!$C$5,"日付誤り",IF(F40="","未消込",IF(ISNA(MATCH(F40,請求台帳!$A$5:$A$504,0)),"番号誤り",IF(INDEX(請求台帳!$Q$5:$Q$504,MATCH(F40,請求台帳!$A$5:$A$504,0))="取消","取消請求へ消込","消込済"))))))</f>
        <v/>
      </c>
      <c r="K40" s="26"/>
      <c r="L40" s="26"/>
    </row>
    <row r="41" customFormat="false" ht="15" hidden="false" customHeight="false" outlineLevel="0" collapsed="false">
      <c r="A41" s="31" t="str">
        <f aca="false">IF(COUNTA(B41,D41,E41,F41)=0,"",ROW()-4)</f>
        <v/>
      </c>
      <c r="B41" s="22"/>
      <c r="C41" s="26"/>
      <c r="D41" s="26"/>
      <c r="E41" s="18"/>
      <c r="F41" s="26"/>
      <c r="G41" s="31" t="str">
        <f aca="false">IF(F41="","",IFERROR(INDEX(請求台帳!$C$5:$C$504,MATCH(F41,請求台帳!$A$5:$A$504,0)),""))</f>
        <v/>
      </c>
      <c r="H41" s="31" t="str">
        <f aca="false">IF(F41="","",IFERROR(INDEX(請求台帳!$D$5:$D$504,MATCH(F41,請求台帳!$A$5:$A$504,0)),""))</f>
        <v/>
      </c>
      <c r="I41" s="27" t="str">
        <f aca="false">IF(F41="","",IFERROR(INDEX(請求台帳!$F$5:$F$504,MATCH(F41,請求台帳!$A$5:$A$504,0)),""))</f>
        <v/>
      </c>
      <c r="J41" s="28" t="str">
        <f aca="false">IF(COUNTA(B41,D41,E41,F41)=0,"",IF(OR(B41="",E41=""),"要入力",IF(N(B41)&gt;設定!$C$5,"日付誤り",IF(F41="","未消込",IF(ISNA(MATCH(F41,請求台帳!$A$5:$A$504,0)),"番号誤り",IF(INDEX(請求台帳!$Q$5:$Q$504,MATCH(F41,請求台帳!$A$5:$A$504,0))="取消","取消請求へ消込","消込済"))))))</f>
        <v/>
      </c>
      <c r="K41" s="26"/>
      <c r="L41" s="26"/>
    </row>
    <row r="42" customFormat="false" ht="15" hidden="false" customHeight="false" outlineLevel="0" collapsed="false">
      <c r="A42" s="31" t="str">
        <f aca="false">IF(COUNTA(B42,D42,E42,F42)=0,"",ROW()-4)</f>
        <v/>
      </c>
      <c r="B42" s="22"/>
      <c r="C42" s="26"/>
      <c r="D42" s="26"/>
      <c r="E42" s="18"/>
      <c r="F42" s="26"/>
      <c r="G42" s="31" t="str">
        <f aca="false">IF(F42="","",IFERROR(INDEX(請求台帳!$C$5:$C$504,MATCH(F42,請求台帳!$A$5:$A$504,0)),""))</f>
        <v/>
      </c>
      <c r="H42" s="31" t="str">
        <f aca="false">IF(F42="","",IFERROR(INDEX(請求台帳!$D$5:$D$504,MATCH(F42,請求台帳!$A$5:$A$504,0)),""))</f>
        <v/>
      </c>
      <c r="I42" s="27" t="str">
        <f aca="false">IF(F42="","",IFERROR(INDEX(請求台帳!$F$5:$F$504,MATCH(F42,請求台帳!$A$5:$A$504,0)),""))</f>
        <v/>
      </c>
      <c r="J42" s="28" t="str">
        <f aca="false">IF(COUNTA(B42,D42,E42,F42)=0,"",IF(OR(B42="",E42=""),"要入力",IF(N(B42)&gt;設定!$C$5,"日付誤り",IF(F42="","未消込",IF(ISNA(MATCH(F42,請求台帳!$A$5:$A$504,0)),"番号誤り",IF(INDEX(請求台帳!$Q$5:$Q$504,MATCH(F42,請求台帳!$A$5:$A$504,0))="取消","取消請求へ消込","消込済"))))))</f>
        <v/>
      </c>
      <c r="K42" s="26"/>
      <c r="L42" s="26"/>
    </row>
    <row r="43" customFormat="false" ht="15" hidden="false" customHeight="false" outlineLevel="0" collapsed="false">
      <c r="A43" s="31" t="str">
        <f aca="false">IF(COUNTA(B43,D43,E43,F43)=0,"",ROW()-4)</f>
        <v/>
      </c>
      <c r="B43" s="22"/>
      <c r="C43" s="26"/>
      <c r="D43" s="26"/>
      <c r="E43" s="18"/>
      <c r="F43" s="26"/>
      <c r="G43" s="31" t="str">
        <f aca="false">IF(F43="","",IFERROR(INDEX(請求台帳!$C$5:$C$504,MATCH(F43,請求台帳!$A$5:$A$504,0)),""))</f>
        <v/>
      </c>
      <c r="H43" s="31" t="str">
        <f aca="false">IF(F43="","",IFERROR(INDEX(請求台帳!$D$5:$D$504,MATCH(F43,請求台帳!$A$5:$A$504,0)),""))</f>
        <v/>
      </c>
      <c r="I43" s="27" t="str">
        <f aca="false">IF(F43="","",IFERROR(INDEX(請求台帳!$F$5:$F$504,MATCH(F43,請求台帳!$A$5:$A$504,0)),""))</f>
        <v/>
      </c>
      <c r="J43" s="28" t="str">
        <f aca="false">IF(COUNTA(B43,D43,E43,F43)=0,"",IF(OR(B43="",E43=""),"要入力",IF(N(B43)&gt;設定!$C$5,"日付誤り",IF(F43="","未消込",IF(ISNA(MATCH(F43,請求台帳!$A$5:$A$504,0)),"番号誤り",IF(INDEX(請求台帳!$Q$5:$Q$504,MATCH(F43,請求台帳!$A$5:$A$504,0))="取消","取消請求へ消込","消込済"))))))</f>
        <v/>
      </c>
      <c r="K43" s="26"/>
      <c r="L43" s="26"/>
    </row>
    <row r="44" customFormat="false" ht="15" hidden="false" customHeight="false" outlineLevel="0" collapsed="false">
      <c r="A44" s="31" t="str">
        <f aca="false">IF(COUNTA(B44,D44,E44,F44)=0,"",ROW()-4)</f>
        <v/>
      </c>
      <c r="B44" s="22"/>
      <c r="C44" s="26"/>
      <c r="D44" s="26"/>
      <c r="E44" s="18"/>
      <c r="F44" s="26"/>
      <c r="G44" s="31" t="str">
        <f aca="false">IF(F44="","",IFERROR(INDEX(請求台帳!$C$5:$C$504,MATCH(F44,請求台帳!$A$5:$A$504,0)),""))</f>
        <v/>
      </c>
      <c r="H44" s="31" t="str">
        <f aca="false">IF(F44="","",IFERROR(INDEX(請求台帳!$D$5:$D$504,MATCH(F44,請求台帳!$A$5:$A$504,0)),""))</f>
        <v/>
      </c>
      <c r="I44" s="27" t="str">
        <f aca="false">IF(F44="","",IFERROR(INDEX(請求台帳!$F$5:$F$504,MATCH(F44,請求台帳!$A$5:$A$504,0)),""))</f>
        <v/>
      </c>
      <c r="J44" s="28" t="str">
        <f aca="false">IF(COUNTA(B44,D44,E44,F44)=0,"",IF(OR(B44="",E44=""),"要入力",IF(N(B44)&gt;設定!$C$5,"日付誤り",IF(F44="","未消込",IF(ISNA(MATCH(F44,請求台帳!$A$5:$A$504,0)),"番号誤り",IF(INDEX(請求台帳!$Q$5:$Q$504,MATCH(F44,請求台帳!$A$5:$A$504,0))="取消","取消請求へ消込","消込済"))))))</f>
        <v/>
      </c>
      <c r="K44" s="26"/>
      <c r="L44" s="26"/>
    </row>
    <row r="45" customFormat="false" ht="15" hidden="false" customHeight="false" outlineLevel="0" collapsed="false">
      <c r="A45" s="31" t="str">
        <f aca="false">IF(COUNTA(B45,D45,E45,F45)=0,"",ROW()-4)</f>
        <v/>
      </c>
      <c r="B45" s="22"/>
      <c r="C45" s="26"/>
      <c r="D45" s="26"/>
      <c r="E45" s="18"/>
      <c r="F45" s="26"/>
      <c r="G45" s="31" t="str">
        <f aca="false">IF(F45="","",IFERROR(INDEX(請求台帳!$C$5:$C$504,MATCH(F45,請求台帳!$A$5:$A$504,0)),""))</f>
        <v/>
      </c>
      <c r="H45" s="31" t="str">
        <f aca="false">IF(F45="","",IFERROR(INDEX(請求台帳!$D$5:$D$504,MATCH(F45,請求台帳!$A$5:$A$504,0)),""))</f>
        <v/>
      </c>
      <c r="I45" s="27" t="str">
        <f aca="false">IF(F45="","",IFERROR(INDEX(請求台帳!$F$5:$F$504,MATCH(F45,請求台帳!$A$5:$A$504,0)),""))</f>
        <v/>
      </c>
      <c r="J45" s="28" t="str">
        <f aca="false">IF(COUNTA(B45,D45,E45,F45)=0,"",IF(OR(B45="",E45=""),"要入力",IF(N(B45)&gt;設定!$C$5,"日付誤り",IF(F45="","未消込",IF(ISNA(MATCH(F45,請求台帳!$A$5:$A$504,0)),"番号誤り",IF(INDEX(請求台帳!$Q$5:$Q$504,MATCH(F45,請求台帳!$A$5:$A$504,0))="取消","取消請求へ消込","消込済"))))))</f>
        <v/>
      </c>
      <c r="K45" s="26"/>
      <c r="L45" s="26"/>
    </row>
    <row r="46" customFormat="false" ht="15" hidden="false" customHeight="false" outlineLevel="0" collapsed="false">
      <c r="A46" s="31" t="str">
        <f aca="false">IF(COUNTA(B46,D46,E46,F46)=0,"",ROW()-4)</f>
        <v/>
      </c>
      <c r="B46" s="22"/>
      <c r="C46" s="26"/>
      <c r="D46" s="26"/>
      <c r="E46" s="18"/>
      <c r="F46" s="26"/>
      <c r="G46" s="31" t="str">
        <f aca="false">IF(F46="","",IFERROR(INDEX(請求台帳!$C$5:$C$504,MATCH(F46,請求台帳!$A$5:$A$504,0)),""))</f>
        <v/>
      </c>
      <c r="H46" s="31" t="str">
        <f aca="false">IF(F46="","",IFERROR(INDEX(請求台帳!$D$5:$D$504,MATCH(F46,請求台帳!$A$5:$A$504,0)),""))</f>
        <v/>
      </c>
      <c r="I46" s="27" t="str">
        <f aca="false">IF(F46="","",IFERROR(INDEX(請求台帳!$F$5:$F$504,MATCH(F46,請求台帳!$A$5:$A$504,0)),""))</f>
        <v/>
      </c>
      <c r="J46" s="28" t="str">
        <f aca="false">IF(COUNTA(B46,D46,E46,F46)=0,"",IF(OR(B46="",E46=""),"要入力",IF(N(B46)&gt;設定!$C$5,"日付誤り",IF(F46="","未消込",IF(ISNA(MATCH(F46,請求台帳!$A$5:$A$504,0)),"番号誤り",IF(INDEX(請求台帳!$Q$5:$Q$504,MATCH(F46,請求台帳!$A$5:$A$504,0))="取消","取消請求へ消込","消込済"))))))</f>
        <v/>
      </c>
      <c r="K46" s="26"/>
      <c r="L46" s="26"/>
    </row>
    <row r="47" customFormat="false" ht="15" hidden="false" customHeight="false" outlineLevel="0" collapsed="false">
      <c r="A47" s="31" t="str">
        <f aca="false">IF(COUNTA(B47,D47,E47,F47)=0,"",ROW()-4)</f>
        <v/>
      </c>
      <c r="B47" s="22"/>
      <c r="C47" s="26"/>
      <c r="D47" s="26"/>
      <c r="E47" s="18"/>
      <c r="F47" s="26"/>
      <c r="G47" s="31" t="str">
        <f aca="false">IF(F47="","",IFERROR(INDEX(請求台帳!$C$5:$C$504,MATCH(F47,請求台帳!$A$5:$A$504,0)),""))</f>
        <v/>
      </c>
      <c r="H47" s="31" t="str">
        <f aca="false">IF(F47="","",IFERROR(INDEX(請求台帳!$D$5:$D$504,MATCH(F47,請求台帳!$A$5:$A$504,0)),""))</f>
        <v/>
      </c>
      <c r="I47" s="27" t="str">
        <f aca="false">IF(F47="","",IFERROR(INDEX(請求台帳!$F$5:$F$504,MATCH(F47,請求台帳!$A$5:$A$504,0)),""))</f>
        <v/>
      </c>
      <c r="J47" s="28" t="str">
        <f aca="false">IF(COUNTA(B47,D47,E47,F47)=0,"",IF(OR(B47="",E47=""),"要入力",IF(N(B47)&gt;設定!$C$5,"日付誤り",IF(F47="","未消込",IF(ISNA(MATCH(F47,請求台帳!$A$5:$A$504,0)),"番号誤り",IF(INDEX(請求台帳!$Q$5:$Q$504,MATCH(F47,請求台帳!$A$5:$A$504,0))="取消","取消請求へ消込","消込済"))))))</f>
        <v/>
      </c>
      <c r="K47" s="26"/>
      <c r="L47" s="26"/>
    </row>
    <row r="48" customFormat="false" ht="15" hidden="false" customHeight="false" outlineLevel="0" collapsed="false">
      <c r="A48" s="31" t="str">
        <f aca="false">IF(COUNTA(B48,D48,E48,F48)=0,"",ROW()-4)</f>
        <v/>
      </c>
      <c r="B48" s="22"/>
      <c r="C48" s="26"/>
      <c r="D48" s="26"/>
      <c r="E48" s="18"/>
      <c r="F48" s="26"/>
      <c r="G48" s="31" t="str">
        <f aca="false">IF(F48="","",IFERROR(INDEX(請求台帳!$C$5:$C$504,MATCH(F48,請求台帳!$A$5:$A$504,0)),""))</f>
        <v/>
      </c>
      <c r="H48" s="31" t="str">
        <f aca="false">IF(F48="","",IFERROR(INDEX(請求台帳!$D$5:$D$504,MATCH(F48,請求台帳!$A$5:$A$504,0)),""))</f>
        <v/>
      </c>
      <c r="I48" s="27" t="str">
        <f aca="false">IF(F48="","",IFERROR(INDEX(請求台帳!$F$5:$F$504,MATCH(F48,請求台帳!$A$5:$A$504,0)),""))</f>
        <v/>
      </c>
      <c r="J48" s="28" t="str">
        <f aca="false">IF(COUNTA(B48,D48,E48,F48)=0,"",IF(OR(B48="",E48=""),"要入力",IF(N(B48)&gt;設定!$C$5,"日付誤り",IF(F48="","未消込",IF(ISNA(MATCH(F48,請求台帳!$A$5:$A$504,0)),"番号誤り",IF(INDEX(請求台帳!$Q$5:$Q$504,MATCH(F48,請求台帳!$A$5:$A$504,0))="取消","取消請求へ消込","消込済"))))))</f>
        <v/>
      </c>
      <c r="K48" s="26"/>
      <c r="L48" s="26"/>
    </row>
    <row r="49" customFormat="false" ht="15" hidden="false" customHeight="false" outlineLevel="0" collapsed="false">
      <c r="A49" s="31" t="str">
        <f aca="false">IF(COUNTA(B49,D49,E49,F49)=0,"",ROW()-4)</f>
        <v/>
      </c>
      <c r="B49" s="22"/>
      <c r="C49" s="26"/>
      <c r="D49" s="26"/>
      <c r="E49" s="18"/>
      <c r="F49" s="26"/>
      <c r="G49" s="31" t="str">
        <f aca="false">IF(F49="","",IFERROR(INDEX(請求台帳!$C$5:$C$504,MATCH(F49,請求台帳!$A$5:$A$504,0)),""))</f>
        <v/>
      </c>
      <c r="H49" s="31" t="str">
        <f aca="false">IF(F49="","",IFERROR(INDEX(請求台帳!$D$5:$D$504,MATCH(F49,請求台帳!$A$5:$A$504,0)),""))</f>
        <v/>
      </c>
      <c r="I49" s="27" t="str">
        <f aca="false">IF(F49="","",IFERROR(INDEX(請求台帳!$F$5:$F$504,MATCH(F49,請求台帳!$A$5:$A$504,0)),""))</f>
        <v/>
      </c>
      <c r="J49" s="28" t="str">
        <f aca="false">IF(COUNTA(B49,D49,E49,F49)=0,"",IF(OR(B49="",E49=""),"要入力",IF(N(B49)&gt;設定!$C$5,"日付誤り",IF(F49="","未消込",IF(ISNA(MATCH(F49,請求台帳!$A$5:$A$504,0)),"番号誤り",IF(INDEX(請求台帳!$Q$5:$Q$504,MATCH(F49,請求台帳!$A$5:$A$504,0))="取消","取消請求へ消込","消込済"))))))</f>
        <v/>
      </c>
      <c r="K49" s="26"/>
      <c r="L49" s="26"/>
    </row>
    <row r="50" customFormat="false" ht="15" hidden="false" customHeight="false" outlineLevel="0" collapsed="false">
      <c r="A50" s="31" t="str">
        <f aca="false">IF(COUNTA(B50,D50,E50,F50)=0,"",ROW()-4)</f>
        <v/>
      </c>
      <c r="B50" s="22"/>
      <c r="C50" s="26"/>
      <c r="D50" s="26"/>
      <c r="E50" s="18"/>
      <c r="F50" s="26"/>
      <c r="G50" s="31" t="str">
        <f aca="false">IF(F50="","",IFERROR(INDEX(請求台帳!$C$5:$C$504,MATCH(F50,請求台帳!$A$5:$A$504,0)),""))</f>
        <v/>
      </c>
      <c r="H50" s="31" t="str">
        <f aca="false">IF(F50="","",IFERROR(INDEX(請求台帳!$D$5:$D$504,MATCH(F50,請求台帳!$A$5:$A$504,0)),""))</f>
        <v/>
      </c>
      <c r="I50" s="27" t="str">
        <f aca="false">IF(F50="","",IFERROR(INDEX(請求台帳!$F$5:$F$504,MATCH(F50,請求台帳!$A$5:$A$504,0)),""))</f>
        <v/>
      </c>
      <c r="J50" s="28" t="str">
        <f aca="false">IF(COUNTA(B50,D50,E50,F50)=0,"",IF(OR(B50="",E50=""),"要入力",IF(N(B50)&gt;設定!$C$5,"日付誤り",IF(F50="","未消込",IF(ISNA(MATCH(F50,請求台帳!$A$5:$A$504,0)),"番号誤り",IF(INDEX(請求台帳!$Q$5:$Q$504,MATCH(F50,請求台帳!$A$5:$A$504,0))="取消","取消請求へ消込","消込済"))))))</f>
        <v/>
      </c>
      <c r="K50" s="26"/>
      <c r="L50" s="26"/>
    </row>
    <row r="51" customFormat="false" ht="15" hidden="false" customHeight="false" outlineLevel="0" collapsed="false">
      <c r="A51" s="31" t="str">
        <f aca="false">IF(COUNTA(B51,D51,E51,F51)=0,"",ROW()-4)</f>
        <v/>
      </c>
      <c r="B51" s="22"/>
      <c r="C51" s="26"/>
      <c r="D51" s="26"/>
      <c r="E51" s="18"/>
      <c r="F51" s="26"/>
      <c r="G51" s="31" t="str">
        <f aca="false">IF(F51="","",IFERROR(INDEX(請求台帳!$C$5:$C$504,MATCH(F51,請求台帳!$A$5:$A$504,0)),""))</f>
        <v/>
      </c>
      <c r="H51" s="31" t="str">
        <f aca="false">IF(F51="","",IFERROR(INDEX(請求台帳!$D$5:$D$504,MATCH(F51,請求台帳!$A$5:$A$504,0)),""))</f>
        <v/>
      </c>
      <c r="I51" s="27" t="str">
        <f aca="false">IF(F51="","",IFERROR(INDEX(請求台帳!$F$5:$F$504,MATCH(F51,請求台帳!$A$5:$A$504,0)),""))</f>
        <v/>
      </c>
      <c r="J51" s="28" t="str">
        <f aca="false">IF(COUNTA(B51,D51,E51,F51)=0,"",IF(OR(B51="",E51=""),"要入力",IF(N(B51)&gt;設定!$C$5,"日付誤り",IF(F51="","未消込",IF(ISNA(MATCH(F51,請求台帳!$A$5:$A$504,0)),"番号誤り",IF(INDEX(請求台帳!$Q$5:$Q$504,MATCH(F51,請求台帳!$A$5:$A$504,0))="取消","取消請求へ消込","消込済"))))))</f>
        <v/>
      </c>
      <c r="K51" s="26"/>
      <c r="L51" s="26"/>
    </row>
    <row r="52" customFormat="false" ht="15" hidden="false" customHeight="false" outlineLevel="0" collapsed="false">
      <c r="A52" s="31" t="str">
        <f aca="false">IF(COUNTA(B52,D52,E52,F52)=0,"",ROW()-4)</f>
        <v/>
      </c>
      <c r="B52" s="22"/>
      <c r="C52" s="26"/>
      <c r="D52" s="26"/>
      <c r="E52" s="18"/>
      <c r="F52" s="26"/>
      <c r="G52" s="31" t="str">
        <f aca="false">IF(F52="","",IFERROR(INDEX(請求台帳!$C$5:$C$504,MATCH(F52,請求台帳!$A$5:$A$504,0)),""))</f>
        <v/>
      </c>
      <c r="H52" s="31" t="str">
        <f aca="false">IF(F52="","",IFERROR(INDEX(請求台帳!$D$5:$D$504,MATCH(F52,請求台帳!$A$5:$A$504,0)),""))</f>
        <v/>
      </c>
      <c r="I52" s="27" t="str">
        <f aca="false">IF(F52="","",IFERROR(INDEX(請求台帳!$F$5:$F$504,MATCH(F52,請求台帳!$A$5:$A$504,0)),""))</f>
        <v/>
      </c>
      <c r="J52" s="28" t="str">
        <f aca="false">IF(COUNTA(B52,D52,E52,F52)=0,"",IF(OR(B52="",E52=""),"要入力",IF(N(B52)&gt;設定!$C$5,"日付誤り",IF(F52="","未消込",IF(ISNA(MATCH(F52,請求台帳!$A$5:$A$504,0)),"番号誤り",IF(INDEX(請求台帳!$Q$5:$Q$504,MATCH(F52,請求台帳!$A$5:$A$504,0))="取消","取消請求へ消込","消込済"))))))</f>
        <v/>
      </c>
      <c r="K52" s="26"/>
      <c r="L52" s="26"/>
    </row>
    <row r="53" customFormat="false" ht="15" hidden="false" customHeight="false" outlineLevel="0" collapsed="false">
      <c r="A53" s="31" t="str">
        <f aca="false">IF(COUNTA(B53,D53,E53,F53)=0,"",ROW()-4)</f>
        <v/>
      </c>
      <c r="B53" s="22"/>
      <c r="C53" s="26"/>
      <c r="D53" s="26"/>
      <c r="E53" s="18"/>
      <c r="F53" s="26"/>
      <c r="G53" s="31" t="str">
        <f aca="false">IF(F53="","",IFERROR(INDEX(請求台帳!$C$5:$C$504,MATCH(F53,請求台帳!$A$5:$A$504,0)),""))</f>
        <v/>
      </c>
      <c r="H53" s="31" t="str">
        <f aca="false">IF(F53="","",IFERROR(INDEX(請求台帳!$D$5:$D$504,MATCH(F53,請求台帳!$A$5:$A$504,0)),""))</f>
        <v/>
      </c>
      <c r="I53" s="27" t="str">
        <f aca="false">IF(F53="","",IFERROR(INDEX(請求台帳!$F$5:$F$504,MATCH(F53,請求台帳!$A$5:$A$504,0)),""))</f>
        <v/>
      </c>
      <c r="J53" s="28" t="str">
        <f aca="false">IF(COUNTA(B53,D53,E53,F53)=0,"",IF(OR(B53="",E53=""),"要入力",IF(N(B53)&gt;設定!$C$5,"日付誤り",IF(F53="","未消込",IF(ISNA(MATCH(F53,請求台帳!$A$5:$A$504,0)),"番号誤り",IF(INDEX(請求台帳!$Q$5:$Q$504,MATCH(F53,請求台帳!$A$5:$A$504,0))="取消","取消請求へ消込","消込済"))))))</f>
        <v/>
      </c>
      <c r="K53" s="26"/>
      <c r="L53" s="26"/>
    </row>
    <row r="54" customFormat="false" ht="15" hidden="false" customHeight="false" outlineLevel="0" collapsed="false">
      <c r="A54" s="31" t="str">
        <f aca="false">IF(COUNTA(B54,D54,E54,F54)=0,"",ROW()-4)</f>
        <v/>
      </c>
      <c r="B54" s="22"/>
      <c r="C54" s="26"/>
      <c r="D54" s="26"/>
      <c r="E54" s="18"/>
      <c r="F54" s="26"/>
      <c r="G54" s="31" t="str">
        <f aca="false">IF(F54="","",IFERROR(INDEX(請求台帳!$C$5:$C$504,MATCH(F54,請求台帳!$A$5:$A$504,0)),""))</f>
        <v/>
      </c>
      <c r="H54" s="31" t="str">
        <f aca="false">IF(F54="","",IFERROR(INDEX(請求台帳!$D$5:$D$504,MATCH(F54,請求台帳!$A$5:$A$504,0)),""))</f>
        <v/>
      </c>
      <c r="I54" s="27" t="str">
        <f aca="false">IF(F54="","",IFERROR(INDEX(請求台帳!$F$5:$F$504,MATCH(F54,請求台帳!$A$5:$A$504,0)),""))</f>
        <v/>
      </c>
      <c r="J54" s="28" t="str">
        <f aca="false">IF(COUNTA(B54,D54,E54,F54)=0,"",IF(OR(B54="",E54=""),"要入力",IF(N(B54)&gt;設定!$C$5,"日付誤り",IF(F54="","未消込",IF(ISNA(MATCH(F54,請求台帳!$A$5:$A$504,0)),"番号誤り",IF(INDEX(請求台帳!$Q$5:$Q$504,MATCH(F54,請求台帳!$A$5:$A$504,0))="取消","取消請求へ消込","消込済"))))))</f>
        <v/>
      </c>
      <c r="K54" s="26"/>
      <c r="L54" s="26"/>
    </row>
    <row r="55" customFormat="false" ht="15" hidden="false" customHeight="false" outlineLevel="0" collapsed="false">
      <c r="A55" s="31" t="str">
        <f aca="false">IF(COUNTA(B55,D55,E55,F55)=0,"",ROW()-4)</f>
        <v/>
      </c>
      <c r="B55" s="22"/>
      <c r="C55" s="26"/>
      <c r="D55" s="26"/>
      <c r="E55" s="18"/>
      <c r="F55" s="26"/>
      <c r="G55" s="31" t="str">
        <f aca="false">IF(F55="","",IFERROR(INDEX(請求台帳!$C$5:$C$504,MATCH(F55,請求台帳!$A$5:$A$504,0)),""))</f>
        <v/>
      </c>
      <c r="H55" s="31" t="str">
        <f aca="false">IF(F55="","",IFERROR(INDEX(請求台帳!$D$5:$D$504,MATCH(F55,請求台帳!$A$5:$A$504,0)),""))</f>
        <v/>
      </c>
      <c r="I55" s="27" t="str">
        <f aca="false">IF(F55="","",IFERROR(INDEX(請求台帳!$F$5:$F$504,MATCH(F55,請求台帳!$A$5:$A$504,0)),""))</f>
        <v/>
      </c>
      <c r="J55" s="28" t="str">
        <f aca="false">IF(COUNTA(B55,D55,E55,F55)=0,"",IF(OR(B55="",E55=""),"要入力",IF(N(B55)&gt;設定!$C$5,"日付誤り",IF(F55="","未消込",IF(ISNA(MATCH(F55,請求台帳!$A$5:$A$504,0)),"番号誤り",IF(INDEX(請求台帳!$Q$5:$Q$504,MATCH(F55,請求台帳!$A$5:$A$504,0))="取消","取消請求へ消込","消込済"))))))</f>
        <v/>
      </c>
      <c r="K55" s="26"/>
      <c r="L55" s="26"/>
    </row>
    <row r="56" customFormat="false" ht="15" hidden="false" customHeight="false" outlineLevel="0" collapsed="false">
      <c r="A56" s="31" t="str">
        <f aca="false">IF(COUNTA(B56,D56,E56,F56)=0,"",ROW()-4)</f>
        <v/>
      </c>
      <c r="B56" s="22"/>
      <c r="C56" s="26"/>
      <c r="D56" s="26"/>
      <c r="E56" s="18"/>
      <c r="F56" s="26"/>
      <c r="G56" s="31" t="str">
        <f aca="false">IF(F56="","",IFERROR(INDEX(請求台帳!$C$5:$C$504,MATCH(F56,請求台帳!$A$5:$A$504,0)),""))</f>
        <v/>
      </c>
      <c r="H56" s="31" t="str">
        <f aca="false">IF(F56="","",IFERROR(INDEX(請求台帳!$D$5:$D$504,MATCH(F56,請求台帳!$A$5:$A$504,0)),""))</f>
        <v/>
      </c>
      <c r="I56" s="27" t="str">
        <f aca="false">IF(F56="","",IFERROR(INDEX(請求台帳!$F$5:$F$504,MATCH(F56,請求台帳!$A$5:$A$504,0)),""))</f>
        <v/>
      </c>
      <c r="J56" s="28" t="str">
        <f aca="false">IF(COUNTA(B56,D56,E56,F56)=0,"",IF(OR(B56="",E56=""),"要入力",IF(N(B56)&gt;設定!$C$5,"日付誤り",IF(F56="","未消込",IF(ISNA(MATCH(F56,請求台帳!$A$5:$A$504,0)),"番号誤り",IF(INDEX(請求台帳!$Q$5:$Q$504,MATCH(F56,請求台帳!$A$5:$A$504,0))="取消","取消請求へ消込","消込済"))))))</f>
        <v/>
      </c>
      <c r="K56" s="26"/>
      <c r="L56" s="26"/>
    </row>
    <row r="57" customFormat="false" ht="15" hidden="false" customHeight="false" outlineLevel="0" collapsed="false">
      <c r="A57" s="31" t="str">
        <f aca="false">IF(COUNTA(B57,D57,E57,F57)=0,"",ROW()-4)</f>
        <v/>
      </c>
      <c r="B57" s="22"/>
      <c r="C57" s="26"/>
      <c r="D57" s="26"/>
      <c r="E57" s="18"/>
      <c r="F57" s="26"/>
      <c r="G57" s="31" t="str">
        <f aca="false">IF(F57="","",IFERROR(INDEX(請求台帳!$C$5:$C$504,MATCH(F57,請求台帳!$A$5:$A$504,0)),""))</f>
        <v/>
      </c>
      <c r="H57" s="31" t="str">
        <f aca="false">IF(F57="","",IFERROR(INDEX(請求台帳!$D$5:$D$504,MATCH(F57,請求台帳!$A$5:$A$504,0)),""))</f>
        <v/>
      </c>
      <c r="I57" s="27" t="str">
        <f aca="false">IF(F57="","",IFERROR(INDEX(請求台帳!$F$5:$F$504,MATCH(F57,請求台帳!$A$5:$A$504,0)),""))</f>
        <v/>
      </c>
      <c r="J57" s="28" t="str">
        <f aca="false">IF(COUNTA(B57,D57,E57,F57)=0,"",IF(OR(B57="",E57=""),"要入力",IF(N(B57)&gt;設定!$C$5,"日付誤り",IF(F57="","未消込",IF(ISNA(MATCH(F57,請求台帳!$A$5:$A$504,0)),"番号誤り",IF(INDEX(請求台帳!$Q$5:$Q$504,MATCH(F57,請求台帳!$A$5:$A$504,0))="取消","取消請求へ消込","消込済"))))))</f>
        <v/>
      </c>
      <c r="K57" s="26"/>
      <c r="L57" s="26"/>
    </row>
    <row r="58" customFormat="false" ht="15" hidden="false" customHeight="false" outlineLevel="0" collapsed="false">
      <c r="A58" s="31" t="str">
        <f aca="false">IF(COUNTA(B58,D58,E58,F58)=0,"",ROW()-4)</f>
        <v/>
      </c>
      <c r="B58" s="22"/>
      <c r="C58" s="26"/>
      <c r="D58" s="26"/>
      <c r="E58" s="18"/>
      <c r="F58" s="26"/>
      <c r="G58" s="31" t="str">
        <f aca="false">IF(F58="","",IFERROR(INDEX(請求台帳!$C$5:$C$504,MATCH(F58,請求台帳!$A$5:$A$504,0)),""))</f>
        <v/>
      </c>
      <c r="H58" s="31" t="str">
        <f aca="false">IF(F58="","",IFERROR(INDEX(請求台帳!$D$5:$D$504,MATCH(F58,請求台帳!$A$5:$A$504,0)),""))</f>
        <v/>
      </c>
      <c r="I58" s="27" t="str">
        <f aca="false">IF(F58="","",IFERROR(INDEX(請求台帳!$F$5:$F$504,MATCH(F58,請求台帳!$A$5:$A$504,0)),""))</f>
        <v/>
      </c>
      <c r="J58" s="28" t="str">
        <f aca="false">IF(COUNTA(B58,D58,E58,F58)=0,"",IF(OR(B58="",E58=""),"要入力",IF(N(B58)&gt;設定!$C$5,"日付誤り",IF(F58="","未消込",IF(ISNA(MATCH(F58,請求台帳!$A$5:$A$504,0)),"番号誤り",IF(INDEX(請求台帳!$Q$5:$Q$504,MATCH(F58,請求台帳!$A$5:$A$504,0))="取消","取消請求へ消込","消込済"))))))</f>
        <v/>
      </c>
      <c r="K58" s="26"/>
      <c r="L58" s="26"/>
    </row>
    <row r="59" customFormat="false" ht="15" hidden="false" customHeight="false" outlineLevel="0" collapsed="false">
      <c r="A59" s="31" t="str">
        <f aca="false">IF(COUNTA(B59,D59,E59,F59)=0,"",ROW()-4)</f>
        <v/>
      </c>
      <c r="B59" s="22"/>
      <c r="C59" s="26"/>
      <c r="D59" s="26"/>
      <c r="E59" s="18"/>
      <c r="F59" s="26"/>
      <c r="G59" s="31" t="str">
        <f aca="false">IF(F59="","",IFERROR(INDEX(請求台帳!$C$5:$C$504,MATCH(F59,請求台帳!$A$5:$A$504,0)),""))</f>
        <v/>
      </c>
      <c r="H59" s="31" t="str">
        <f aca="false">IF(F59="","",IFERROR(INDEX(請求台帳!$D$5:$D$504,MATCH(F59,請求台帳!$A$5:$A$504,0)),""))</f>
        <v/>
      </c>
      <c r="I59" s="27" t="str">
        <f aca="false">IF(F59="","",IFERROR(INDEX(請求台帳!$F$5:$F$504,MATCH(F59,請求台帳!$A$5:$A$504,0)),""))</f>
        <v/>
      </c>
      <c r="J59" s="28" t="str">
        <f aca="false">IF(COUNTA(B59,D59,E59,F59)=0,"",IF(OR(B59="",E59=""),"要入力",IF(N(B59)&gt;設定!$C$5,"日付誤り",IF(F59="","未消込",IF(ISNA(MATCH(F59,請求台帳!$A$5:$A$504,0)),"番号誤り",IF(INDEX(請求台帳!$Q$5:$Q$504,MATCH(F59,請求台帳!$A$5:$A$504,0))="取消","取消請求へ消込","消込済"))))))</f>
        <v/>
      </c>
      <c r="K59" s="26"/>
      <c r="L59" s="26"/>
    </row>
    <row r="60" customFormat="false" ht="15" hidden="false" customHeight="false" outlineLevel="0" collapsed="false">
      <c r="A60" s="31" t="str">
        <f aca="false">IF(COUNTA(B60,D60,E60,F60)=0,"",ROW()-4)</f>
        <v/>
      </c>
      <c r="B60" s="22"/>
      <c r="C60" s="26"/>
      <c r="D60" s="26"/>
      <c r="E60" s="18"/>
      <c r="F60" s="26"/>
      <c r="G60" s="31" t="str">
        <f aca="false">IF(F60="","",IFERROR(INDEX(請求台帳!$C$5:$C$504,MATCH(F60,請求台帳!$A$5:$A$504,0)),""))</f>
        <v/>
      </c>
      <c r="H60" s="31" t="str">
        <f aca="false">IF(F60="","",IFERROR(INDEX(請求台帳!$D$5:$D$504,MATCH(F60,請求台帳!$A$5:$A$504,0)),""))</f>
        <v/>
      </c>
      <c r="I60" s="27" t="str">
        <f aca="false">IF(F60="","",IFERROR(INDEX(請求台帳!$F$5:$F$504,MATCH(F60,請求台帳!$A$5:$A$504,0)),""))</f>
        <v/>
      </c>
      <c r="J60" s="28" t="str">
        <f aca="false">IF(COUNTA(B60,D60,E60,F60)=0,"",IF(OR(B60="",E60=""),"要入力",IF(N(B60)&gt;設定!$C$5,"日付誤り",IF(F60="","未消込",IF(ISNA(MATCH(F60,請求台帳!$A$5:$A$504,0)),"番号誤り",IF(INDEX(請求台帳!$Q$5:$Q$504,MATCH(F60,請求台帳!$A$5:$A$504,0))="取消","取消請求へ消込","消込済"))))))</f>
        <v/>
      </c>
      <c r="K60" s="26"/>
      <c r="L60" s="26"/>
    </row>
    <row r="61" customFormat="false" ht="15" hidden="false" customHeight="false" outlineLevel="0" collapsed="false">
      <c r="A61" s="31" t="str">
        <f aca="false">IF(COUNTA(B61,D61,E61,F61)=0,"",ROW()-4)</f>
        <v/>
      </c>
      <c r="B61" s="22"/>
      <c r="C61" s="26"/>
      <c r="D61" s="26"/>
      <c r="E61" s="18"/>
      <c r="F61" s="26"/>
      <c r="G61" s="31" t="str">
        <f aca="false">IF(F61="","",IFERROR(INDEX(請求台帳!$C$5:$C$504,MATCH(F61,請求台帳!$A$5:$A$504,0)),""))</f>
        <v/>
      </c>
      <c r="H61" s="31" t="str">
        <f aca="false">IF(F61="","",IFERROR(INDEX(請求台帳!$D$5:$D$504,MATCH(F61,請求台帳!$A$5:$A$504,0)),""))</f>
        <v/>
      </c>
      <c r="I61" s="27" t="str">
        <f aca="false">IF(F61="","",IFERROR(INDEX(請求台帳!$F$5:$F$504,MATCH(F61,請求台帳!$A$5:$A$504,0)),""))</f>
        <v/>
      </c>
      <c r="J61" s="28" t="str">
        <f aca="false">IF(COUNTA(B61,D61,E61,F61)=0,"",IF(OR(B61="",E61=""),"要入力",IF(N(B61)&gt;設定!$C$5,"日付誤り",IF(F61="","未消込",IF(ISNA(MATCH(F61,請求台帳!$A$5:$A$504,0)),"番号誤り",IF(INDEX(請求台帳!$Q$5:$Q$504,MATCH(F61,請求台帳!$A$5:$A$504,0))="取消","取消請求へ消込","消込済"))))))</f>
        <v/>
      </c>
      <c r="K61" s="26"/>
      <c r="L61" s="26"/>
    </row>
    <row r="62" customFormat="false" ht="15" hidden="false" customHeight="false" outlineLevel="0" collapsed="false">
      <c r="A62" s="31" t="str">
        <f aca="false">IF(COUNTA(B62,D62,E62,F62)=0,"",ROW()-4)</f>
        <v/>
      </c>
      <c r="B62" s="22"/>
      <c r="C62" s="26"/>
      <c r="D62" s="26"/>
      <c r="E62" s="18"/>
      <c r="F62" s="26"/>
      <c r="G62" s="31" t="str">
        <f aca="false">IF(F62="","",IFERROR(INDEX(請求台帳!$C$5:$C$504,MATCH(F62,請求台帳!$A$5:$A$504,0)),""))</f>
        <v/>
      </c>
      <c r="H62" s="31" t="str">
        <f aca="false">IF(F62="","",IFERROR(INDEX(請求台帳!$D$5:$D$504,MATCH(F62,請求台帳!$A$5:$A$504,0)),""))</f>
        <v/>
      </c>
      <c r="I62" s="27" t="str">
        <f aca="false">IF(F62="","",IFERROR(INDEX(請求台帳!$F$5:$F$504,MATCH(F62,請求台帳!$A$5:$A$504,0)),""))</f>
        <v/>
      </c>
      <c r="J62" s="28" t="str">
        <f aca="false">IF(COUNTA(B62,D62,E62,F62)=0,"",IF(OR(B62="",E62=""),"要入力",IF(N(B62)&gt;設定!$C$5,"日付誤り",IF(F62="","未消込",IF(ISNA(MATCH(F62,請求台帳!$A$5:$A$504,0)),"番号誤り",IF(INDEX(請求台帳!$Q$5:$Q$504,MATCH(F62,請求台帳!$A$5:$A$504,0))="取消","取消請求へ消込","消込済"))))))</f>
        <v/>
      </c>
      <c r="K62" s="26"/>
      <c r="L62" s="26"/>
    </row>
    <row r="63" customFormat="false" ht="15" hidden="false" customHeight="false" outlineLevel="0" collapsed="false">
      <c r="A63" s="31" t="str">
        <f aca="false">IF(COUNTA(B63,D63,E63,F63)=0,"",ROW()-4)</f>
        <v/>
      </c>
      <c r="B63" s="22"/>
      <c r="C63" s="26"/>
      <c r="D63" s="26"/>
      <c r="E63" s="18"/>
      <c r="F63" s="26"/>
      <c r="G63" s="31" t="str">
        <f aca="false">IF(F63="","",IFERROR(INDEX(請求台帳!$C$5:$C$504,MATCH(F63,請求台帳!$A$5:$A$504,0)),""))</f>
        <v/>
      </c>
      <c r="H63" s="31" t="str">
        <f aca="false">IF(F63="","",IFERROR(INDEX(請求台帳!$D$5:$D$504,MATCH(F63,請求台帳!$A$5:$A$504,0)),""))</f>
        <v/>
      </c>
      <c r="I63" s="27" t="str">
        <f aca="false">IF(F63="","",IFERROR(INDEX(請求台帳!$F$5:$F$504,MATCH(F63,請求台帳!$A$5:$A$504,0)),""))</f>
        <v/>
      </c>
      <c r="J63" s="28" t="str">
        <f aca="false">IF(COUNTA(B63,D63,E63,F63)=0,"",IF(OR(B63="",E63=""),"要入力",IF(N(B63)&gt;設定!$C$5,"日付誤り",IF(F63="","未消込",IF(ISNA(MATCH(F63,請求台帳!$A$5:$A$504,0)),"番号誤り",IF(INDEX(請求台帳!$Q$5:$Q$504,MATCH(F63,請求台帳!$A$5:$A$504,0))="取消","取消請求へ消込","消込済"))))))</f>
        <v/>
      </c>
      <c r="K63" s="26"/>
      <c r="L63" s="26"/>
    </row>
    <row r="64" customFormat="false" ht="15" hidden="false" customHeight="false" outlineLevel="0" collapsed="false">
      <c r="A64" s="31" t="str">
        <f aca="false">IF(COUNTA(B64,D64,E64,F64)=0,"",ROW()-4)</f>
        <v/>
      </c>
      <c r="B64" s="22"/>
      <c r="C64" s="26"/>
      <c r="D64" s="26"/>
      <c r="E64" s="18"/>
      <c r="F64" s="26"/>
      <c r="G64" s="31" t="str">
        <f aca="false">IF(F64="","",IFERROR(INDEX(請求台帳!$C$5:$C$504,MATCH(F64,請求台帳!$A$5:$A$504,0)),""))</f>
        <v/>
      </c>
      <c r="H64" s="31" t="str">
        <f aca="false">IF(F64="","",IFERROR(INDEX(請求台帳!$D$5:$D$504,MATCH(F64,請求台帳!$A$5:$A$504,0)),""))</f>
        <v/>
      </c>
      <c r="I64" s="27" t="str">
        <f aca="false">IF(F64="","",IFERROR(INDEX(請求台帳!$F$5:$F$504,MATCH(F64,請求台帳!$A$5:$A$504,0)),""))</f>
        <v/>
      </c>
      <c r="J64" s="28" t="str">
        <f aca="false">IF(COUNTA(B64,D64,E64,F64)=0,"",IF(OR(B64="",E64=""),"要入力",IF(N(B64)&gt;設定!$C$5,"日付誤り",IF(F64="","未消込",IF(ISNA(MATCH(F64,請求台帳!$A$5:$A$504,0)),"番号誤り",IF(INDEX(請求台帳!$Q$5:$Q$504,MATCH(F64,請求台帳!$A$5:$A$504,0))="取消","取消請求へ消込","消込済"))))))</f>
        <v/>
      </c>
      <c r="K64" s="26"/>
      <c r="L64" s="26"/>
    </row>
    <row r="65" customFormat="false" ht="15" hidden="false" customHeight="false" outlineLevel="0" collapsed="false">
      <c r="A65" s="31" t="str">
        <f aca="false">IF(COUNTA(B65,D65,E65,F65)=0,"",ROW()-4)</f>
        <v/>
      </c>
      <c r="B65" s="22"/>
      <c r="C65" s="26"/>
      <c r="D65" s="26"/>
      <c r="E65" s="18"/>
      <c r="F65" s="26"/>
      <c r="G65" s="31" t="str">
        <f aca="false">IF(F65="","",IFERROR(INDEX(請求台帳!$C$5:$C$504,MATCH(F65,請求台帳!$A$5:$A$504,0)),""))</f>
        <v/>
      </c>
      <c r="H65" s="31" t="str">
        <f aca="false">IF(F65="","",IFERROR(INDEX(請求台帳!$D$5:$D$504,MATCH(F65,請求台帳!$A$5:$A$504,0)),""))</f>
        <v/>
      </c>
      <c r="I65" s="27" t="str">
        <f aca="false">IF(F65="","",IFERROR(INDEX(請求台帳!$F$5:$F$504,MATCH(F65,請求台帳!$A$5:$A$504,0)),""))</f>
        <v/>
      </c>
      <c r="J65" s="28" t="str">
        <f aca="false">IF(COUNTA(B65,D65,E65,F65)=0,"",IF(OR(B65="",E65=""),"要入力",IF(N(B65)&gt;設定!$C$5,"日付誤り",IF(F65="","未消込",IF(ISNA(MATCH(F65,請求台帳!$A$5:$A$504,0)),"番号誤り",IF(INDEX(請求台帳!$Q$5:$Q$504,MATCH(F65,請求台帳!$A$5:$A$504,0))="取消","取消請求へ消込","消込済"))))))</f>
        <v/>
      </c>
      <c r="K65" s="26"/>
      <c r="L65" s="26"/>
    </row>
    <row r="66" customFormat="false" ht="15" hidden="false" customHeight="false" outlineLevel="0" collapsed="false">
      <c r="A66" s="31" t="str">
        <f aca="false">IF(COUNTA(B66,D66,E66,F66)=0,"",ROW()-4)</f>
        <v/>
      </c>
      <c r="B66" s="22"/>
      <c r="C66" s="26"/>
      <c r="D66" s="26"/>
      <c r="E66" s="18"/>
      <c r="F66" s="26"/>
      <c r="G66" s="31" t="str">
        <f aca="false">IF(F66="","",IFERROR(INDEX(請求台帳!$C$5:$C$504,MATCH(F66,請求台帳!$A$5:$A$504,0)),""))</f>
        <v/>
      </c>
      <c r="H66" s="31" t="str">
        <f aca="false">IF(F66="","",IFERROR(INDEX(請求台帳!$D$5:$D$504,MATCH(F66,請求台帳!$A$5:$A$504,0)),""))</f>
        <v/>
      </c>
      <c r="I66" s="27" t="str">
        <f aca="false">IF(F66="","",IFERROR(INDEX(請求台帳!$F$5:$F$504,MATCH(F66,請求台帳!$A$5:$A$504,0)),""))</f>
        <v/>
      </c>
      <c r="J66" s="28" t="str">
        <f aca="false">IF(COUNTA(B66,D66,E66,F66)=0,"",IF(OR(B66="",E66=""),"要入力",IF(N(B66)&gt;設定!$C$5,"日付誤り",IF(F66="","未消込",IF(ISNA(MATCH(F66,請求台帳!$A$5:$A$504,0)),"番号誤り",IF(INDEX(請求台帳!$Q$5:$Q$504,MATCH(F66,請求台帳!$A$5:$A$504,0))="取消","取消請求へ消込","消込済"))))))</f>
        <v/>
      </c>
      <c r="K66" s="26"/>
      <c r="L66" s="26"/>
    </row>
    <row r="67" customFormat="false" ht="15" hidden="false" customHeight="false" outlineLevel="0" collapsed="false">
      <c r="A67" s="31" t="str">
        <f aca="false">IF(COUNTA(B67,D67,E67,F67)=0,"",ROW()-4)</f>
        <v/>
      </c>
      <c r="B67" s="22"/>
      <c r="C67" s="26"/>
      <c r="D67" s="26"/>
      <c r="E67" s="18"/>
      <c r="F67" s="26"/>
      <c r="G67" s="31" t="str">
        <f aca="false">IF(F67="","",IFERROR(INDEX(請求台帳!$C$5:$C$504,MATCH(F67,請求台帳!$A$5:$A$504,0)),""))</f>
        <v/>
      </c>
      <c r="H67" s="31" t="str">
        <f aca="false">IF(F67="","",IFERROR(INDEX(請求台帳!$D$5:$D$504,MATCH(F67,請求台帳!$A$5:$A$504,0)),""))</f>
        <v/>
      </c>
      <c r="I67" s="27" t="str">
        <f aca="false">IF(F67="","",IFERROR(INDEX(請求台帳!$F$5:$F$504,MATCH(F67,請求台帳!$A$5:$A$504,0)),""))</f>
        <v/>
      </c>
      <c r="J67" s="28" t="str">
        <f aca="false">IF(COUNTA(B67,D67,E67,F67)=0,"",IF(OR(B67="",E67=""),"要入力",IF(N(B67)&gt;設定!$C$5,"日付誤り",IF(F67="","未消込",IF(ISNA(MATCH(F67,請求台帳!$A$5:$A$504,0)),"番号誤り",IF(INDEX(請求台帳!$Q$5:$Q$504,MATCH(F67,請求台帳!$A$5:$A$504,0))="取消","取消請求へ消込","消込済"))))))</f>
        <v/>
      </c>
      <c r="K67" s="26"/>
      <c r="L67" s="26"/>
    </row>
    <row r="68" customFormat="false" ht="15" hidden="false" customHeight="false" outlineLevel="0" collapsed="false">
      <c r="A68" s="31" t="str">
        <f aca="false">IF(COUNTA(B68,D68,E68,F68)=0,"",ROW()-4)</f>
        <v/>
      </c>
      <c r="B68" s="22"/>
      <c r="C68" s="26"/>
      <c r="D68" s="26"/>
      <c r="E68" s="18"/>
      <c r="F68" s="26"/>
      <c r="G68" s="31" t="str">
        <f aca="false">IF(F68="","",IFERROR(INDEX(請求台帳!$C$5:$C$504,MATCH(F68,請求台帳!$A$5:$A$504,0)),""))</f>
        <v/>
      </c>
      <c r="H68" s="31" t="str">
        <f aca="false">IF(F68="","",IFERROR(INDEX(請求台帳!$D$5:$D$504,MATCH(F68,請求台帳!$A$5:$A$504,0)),""))</f>
        <v/>
      </c>
      <c r="I68" s="27" t="str">
        <f aca="false">IF(F68="","",IFERROR(INDEX(請求台帳!$F$5:$F$504,MATCH(F68,請求台帳!$A$5:$A$504,0)),""))</f>
        <v/>
      </c>
      <c r="J68" s="28" t="str">
        <f aca="false">IF(COUNTA(B68,D68,E68,F68)=0,"",IF(OR(B68="",E68=""),"要入力",IF(N(B68)&gt;設定!$C$5,"日付誤り",IF(F68="","未消込",IF(ISNA(MATCH(F68,請求台帳!$A$5:$A$504,0)),"番号誤り",IF(INDEX(請求台帳!$Q$5:$Q$504,MATCH(F68,請求台帳!$A$5:$A$504,0))="取消","取消請求へ消込","消込済"))))))</f>
        <v/>
      </c>
      <c r="K68" s="26"/>
      <c r="L68" s="26"/>
    </row>
    <row r="69" customFormat="false" ht="15" hidden="false" customHeight="false" outlineLevel="0" collapsed="false">
      <c r="A69" s="31" t="str">
        <f aca="false">IF(COUNTA(B69,D69,E69,F69)=0,"",ROW()-4)</f>
        <v/>
      </c>
      <c r="B69" s="22"/>
      <c r="C69" s="26"/>
      <c r="D69" s="26"/>
      <c r="E69" s="18"/>
      <c r="F69" s="26"/>
      <c r="G69" s="31" t="str">
        <f aca="false">IF(F69="","",IFERROR(INDEX(請求台帳!$C$5:$C$504,MATCH(F69,請求台帳!$A$5:$A$504,0)),""))</f>
        <v/>
      </c>
      <c r="H69" s="31" t="str">
        <f aca="false">IF(F69="","",IFERROR(INDEX(請求台帳!$D$5:$D$504,MATCH(F69,請求台帳!$A$5:$A$504,0)),""))</f>
        <v/>
      </c>
      <c r="I69" s="27" t="str">
        <f aca="false">IF(F69="","",IFERROR(INDEX(請求台帳!$F$5:$F$504,MATCH(F69,請求台帳!$A$5:$A$504,0)),""))</f>
        <v/>
      </c>
      <c r="J69" s="28" t="str">
        <f aca="false">IF(COUNTA(B69,D69,E69,F69)=0,"",IF(OR(B69="",E69=""),"要入力",IF(N(B69)&gt;設定!$C$5,"日付誤り",IF(F69="","未消込",IF(ISNA(MATCH(F69,請求台帳!$A$5:$A$504,0)),"番号誤り",IF(INDEX(請求台帳!$Q$5:$Q$504,MATCH(F69,請求台帳!$A$5:$A$504,0))="取消","取消請求へ消込","消込済"))))))</f>
        <v/>
      </c>
      <c r="K69" s="26"/>
      <c r="L69" s="26"/>
    </row>
    <row r="70" customFormat="false" ht="15" hidden="false" customHeight="false" outlineLevel="0" collapsed="false">
      <c r="A70" s="31" t="str">
        <f aca="false">IF(COUNTA(B70,D70,E70,F70)=0,"",ROW()-4)</f>
        <v/>
      </c>
      <c r="B70" s="22"/>
      <c r="C70" s="26"/>
      <c r="D70" s="26"/>
      <c r="E70" s="18"/>
      <c r="F70" s="26"/>
      <c r="G70" s="31" t="str">
        <f aca="false">IF(F70="","",IFERROR(INDEX(請求台帳!$C$5:$C$504,MATCH(F70,請求台帳!$A$5:$A$504,0)),""))</f>
        <v/>
      </c>
      <c r="H70" s="31" t="str">
        <f aca="false">IF(F70="","",IFERROR(INDEX(請求台帳!$D$5:$D$504,MATCH(F70,請求台帳!$A$5:$A$504,0)),""))</f>
        <v/>
      </c>
      <c r="I70" s="27" t="str">
        <f aca="false">IF(F70="","",IFERROR(INDEX(請求台帳!$F$5:$F$504,MATCH(F70,請求台帳!$A$5:$A$504,0)),""))</f>
        <v/>
      </c>
      <c r="J70" s="28" t="str">
        <f aca="false">IF(COUNTA(B70,D70,E70,F70)=0,"",IF(OR(B70="",E70=""),"要入力",IF(N(B70)&gt;設定!$C$5,"日付誤り",IF(F70="","未消込",IF(ISNA(MATCH(F70,請求台帳!$A$5:$A$504,0)),"番号誤り",IF(INDEX(請求台帳!$Q$5:$Q$504,MATCH(F70,請求台帳!$A$5:$A$504,0))="取消","取消請求へ消込","消込済"))))))</f>
        <v/>
      </c>
      <c r="K70" s="26"/>
      <c r="L70" s="26"/>
    </row>
    <row r="71" customFormat="false" ht="15" hidden="false" customHeight="false" outlineLevel="0" collapsed="false">
      <c r="A71" s="31" t="str">
        <f aca="false">IF(COUNTA(B71,D71,E71,F71)=0,"",ROW()-4)</f>
        <v/>
      </c>
      <c r="B71" s="22"/>
      <c r="C71" s="26"/>
      <c r="D71" s="26"/>
      <c r="E71" s="18"/>
      <c r="F71" s="26"/>
      <c r="G71" s="31" t="str">
        <f aca="false">IF(F71="","",IFERROR(INDEX(請求台帳!$C$5:$C$504,MATCH(F71,請求台帳!$A$5:$A$504,0)),""))</f>
        <v/>
      </c>
      <c r="H71" s="31" t="str">
        <f aca="false">IF(F71="","",IFERROR(INDEX(請求台帳!$D$5:$D$504,MATCH(F71,請求台帳!$A$5:$A$504,0)),""))</f>
        <v/>
      </c>
      <c r="I71" s="27" t="str">
        <f aca="false">IF(F71="","",IFERROR(INDEX(請求台帳!$F$5:$F$504,MATCH(F71,請求台帳!$A$5:$A$504,0)),""))</f>
        <v/>
      </c>
      <c r="J71" s="28" t="str">
        <f aca="false">IF(COUNTA(B71,D71,E71,F71)=0,"",IF(OR(B71="",E71=""),"要入力",IF(N(B71)&gt;設定!$C$5,"日付誤り",IF(F71="","未消込",IF(ISNA(MATCH(F71,請求台帳!$A$5:$A$504,0)),"番号誤り",IF(INDEX(請求台帳!$Q$5:$Q$504,MATCH(F71,請求台帳!$A$5:$A$504,0))="取消","取消請求へ消込","消込済"))))))</f>
        <v/>
      </c>
      <c r="K71" s="26"/>
      <c r="L71" s="26"/>
    </row>
    <row r="72" customFormat="false" ht="15" hidden="false" customHeight="false" outlineLevel="0" collapsed="false">
      <c r="A72" s="31" t="str">
        <f aca="false">IF(COUNTA(B72,D72,E72,F72)=0,"",ROW()-4)</f>
        <v/>
      </c>
      <c r="B72" s="22"/>
      <c r="C72" s="26"/>
      <c r="D72" s="26"/>
      <c r="E72" s="18"/>
      <c r="F72" s="26"/>
      <c r="G72" s="31" t="str">
        <f aca="false">IF(F72="","",IFERROR(INDEX(請求台帳!$C$5:$C$504,MATCH(F72,請求台帳!$A$5:$A$504,0)),""))</f>
        <v/>
      </c>
      <c r="H72" s="31" t="str">
        <f aca="false">IF(F72="","",IFERROR(INDEX(請求台帳!$D$5:$D$504,MATCH(F72,請求台帳!$A$5:$A$504,0)),""))</f>
        <v/>
      </c>
      <c r="I72" s="27" t="str">
        <f aca="false">IF(F72="","",IFERROR(INDEX(請求台帳!$F$5:$F$504,MATCH(F72,請求台帳!$A$5:$A$504,0)),""))</f>
        <v/>
      </c>
      <c r="J72" s="28" t="str">
        <f aca="false">IF(COUNTA(B72,D72,E72,F72)=0,"",IF(OR(B72="",E72=""),"要入力",IF(N(B72)&gt;設定!$C$5,"日付誤り",IF(F72="","未消込",IF(ISNA(MATCH(F72,請求台帳!$A$5:$A$504,0)),"番号誤り",IF(INDEX(請求台帳!$Q$5:$Q$504,MATCH(F72,請求台帳!$A$5:$A$504,0))="取消","取消請求へ消込","消込済"))))))</f>
        <v/>
      </c>
      <c r="K72" s="26"/>
      <c r="L72" s="26"/>
    </row>
    <row r="73" customFormat="false" ht="15" hidden="false" customHeight="false" outlineLevel="0" collapsed="false">
      <c r="A73" s="31" t="str">
        <f aca="false">IF(COUNTA(B73,D73,E73,F73)=0,"",ROW()-4)</f>
        <v/>
      </c>
      <c r="B73" s="22"/>
      <c r="C73" s="26"/>
      <c r="D73" s="26"/>
      <c r="E73" s="18"/>
      <c r="F73" s="26"/>
      <c r="G73" s="31" t="str">
        <f aca="false">IF(F73="","",IFERROR(INDEX(請求台帳!$C$5:$C$504,MATCH(F73,請求台帳!$A$5:$A$504,0)),""))</f>
        <v/>
      </c>
      <c r="H73" s="31" t="str">
        <f aca="false">IF(F73="","",IFERROR(INDEX(請求台帳!$D$5:$D$504,MATCH(F73,請求台帳!$A$5:$A$504,0)),""))</f>
        <v/>
      </c>
      <c r="I73" s="27" t="str">
        <f aca="false">IF(F73="","",IFERROR(INDEX(請求台帳!$F$5:$F$504,MATCH(F73,請求台帳!$A$5:$A$504,0)),""))</f>
        <v/>
      </c>
      <c r="J73" s="28" t="str">
        <f aca="false">IF(COUNTA(B73,D73,E73,F73)=0,"",IF(OR(B73="",E73=""),"要入力",IF(N(B73)&gt;設定!$C$5,"日付誤り",IF(F73="","未消込",IF(ISNA(MATCH(F73,請求台帳!$A$5:$A$504,0)),"番号誤り",IF(INDEX(請求台帳!$Q$5:$Q$504,MATCH(F73,請求台帳!$A$5:$A$504,0))="取消","取消請求へ消込","消込済"))))))</f>
        <v/>
      </c>
      <c r="K73" s="26"/>
      <c r="L73" s="26"/>
    </row>
    <row r="74" customFormat="false" ht="15" hidden="false" customHeight="false" outlineLevel="0" collapsed="false">
      <c r="A74" s="31" t="str">
        <f aca="false">IF(COUNTA(B74,D74,E74,F74)=0,"",ROW()-4)</f>
        <v/>
      </c>
      <c r="B74" s="22"/>
      <c r="C74" s="26"/>
      <c r="D74" s="26"/>
      <c r="E74" s="18"/>
      <c r="F74" s="26"/>
      <c r="G74" s="31" t="str">
        <f aca="false">IF(F74="","",IFERROR(INDEX(請求台帳!$C$5:$C$504,MATCH(F74,請求台帳!$A$5:$A$504,0)),""))</f>
        <v/>
      </c>
      <c r="H74" s="31" t="str">
        <f aca="false">IF(F74="","",IFERROR(INDEX(請求台帳!$D$5:$D$504,MATCH(F74,請求台帳!$A$5:$A$504,0)),""))</f>
        <v/>
      </c>
      <c r="I74" s="27" t="str">
        <f aca="false">IF(F74="","",IFERROR(INDEX(請求台帳!$F$5:$F$504,MATCH(F74,請求台帳!$A$5:$A$504,0)),""))</f>
        <v/>
      </c>
      <c r="J74" s="28" t="str">
        <f aca="false">IF(COUNTA(B74,D74,E74,F74)=0,"",IF(OR(B74="",E74=""),"要入力",IF(N(B74)&gt;設定!$C$5,"日付誤り",IF(F74="","未消込",IF(ISNA(MATCH(F74,請求台帳!$A$5:$A$504,0)),"番号誤り",IF(INDEX(請求台帳!$Q$5:$Q$504,MATCH(F74,請求台帳!$A$5:$A$504,0))="取消","取消請求へ消込","消込済"))))))</f>
        <v/>
      </c>
      <c r="K74" s="26"/>
      <c r="L74" s="26"/>
    </row>
    <row r="75" customFormat="false" ht="15" hidden="false" customHeight="false" outlineLevel="0" collapsed="false">
      <c r="A75" s="31" t="str">
        <f aca="false">IF(COUNTA(B75,D75,E75,F75)=0,"",ROW()-4)</f>
        <v/>
      </c>
      <c r="B75" s="22"/>
      <c r="C75" s="26"/>
      <c r="D75" s="26"/>
      <c r="E75" s="18"/>
      <c r="F75" s="26"/>
      <c r="G75" s="31" t="str">
        <f aca="false">IF(F75="","",IFERROR(INDEX(請求台帳!$C$5:$C$504,MATCH(F75,請求台帳!$A$5:$A$504,0)),""))</f>
        <v/>
      </c>
      <c r="H75" s="31" t="str">
        <f aca="false">IF(F75="","",IFERROR(INDEX(請求台帳!$D$5:$D$504,MATCH(F75,請求台帳!$A$5:$A$504,0)),""))</f>
        <v/>
      </c>
      <c r="I75" s="27" t="str">
        <f aca="false">IF(F75="","",IFERROR(INDEX(請求台帳!$F$5:$F$504,MATCH(F75,請求台帳!$A$5:$A$504,0)),""))</f>
        <v/>
      </c>
      <c r="J75" s="28" t="str">
        <f aca="false">IF(COUNTA(B75,D75,E75,F75)=0,"",IF(OR(B75="",E75=""),"要入力",IF(N(B75)&gt;設定!$C$5,"日付誤り",IF(F75="","未消込",IF(ISNA(MATCH(F75,請求台帳!$A$5:$A$504,0)),"番号誤り",IF(INDEX(請求台帳!$Q$5:$Q$504,MATCH(F75,請求台帳!$A$5:$A$504,0))="取消","取消請求へ消込","消込済"))))))</f>
        <v/>
      </c>
      <c r="K75" s="26"/>
      <c r="L75" s="26"/>
    </row>
    <row r="76" customFormat="false" ht="15" hidden="false" customHeight="false" outlineLevel="0" collapsed="false">
      <c r="A76" s="31" t="str">
        <f aca="false">IF(COUNTA(B76,D76,E76,F76)=0,"",ROW()-4)</f>
        <v/>
      </c>
      <c r="B76" s="22"/>
      <c r="C76" s="26"/>
      <c r="D76" s="26"/>
      <c r="E76" s="18"/>
      <c r="F76" s="26"/>
      <c r="G76" s="31" t="str">
        <f aca="false">IF(F76="","",IFERROR(INDEX(請求台帳!$C$5:$C$504,MATCH(F76,請求台帳!$A$5:$A$504,0)),""))</f>
        <v/>
      </c>
      <c r="H76" s="31" t="str">
        <f aca="false">IF(F76="","",IFERROR(INDEX(請求台帳!$D$5:$D$504,MATCH(F76,請求台帳!$A$5:$A$504,0)),""))</f>
        <v/>
      </c>
      <c r="I76" s="27" t="str">
        <f aca="false">IF(F76="","",IFERROR(INDEX(請求台帳!$F$5:$F$504,MATCH(F76,請求台帳!$A$5:$A$504,0)),""))</f>
        <v/>
      </c>
      <c r="J76" s="28" t="str">
        <f aca="false">IF(COUNTA(B76,D76,E76,F76)=0,"",IF(OR(B76="",E76=""),"要入力",IF(N(B76)&gt;設定!$C$5,"日付誤り",IF(F76="","未消込",IF(ISNA(MATCH(F76,請求台帳!$A$5:$A$504,0)),"番号誤り",IF(INDEX(請求台帳!$Q$5:$Q$504,MATCH(F76,請求台帳!$A$5:$A$504,0))="取消","取消請求へ消込","消込済"))))))</f>
        <v/>
      </c>
      <c r="K76" s="26"/>
      <c r="L76" s="26"/>
    </row>
    <row r="77" customFormat="false" ht="15" hidden="false" customHeight="false" outlineLevel="0" collapsed="false">
      <c r="A77" s="31" t="str">
        <f aca="false">IF(COUNTA(B77,D77,E77,F77)=0,"",ROW()-4)</f>
        <v/>
      </c>
      <c r="B77" s="22"/>
      <c r="C77" s="26"/>
      <c r="D77" s="26"/>
      <c r="E77" s="18"/>
      <c r="F77" s="26"/>
      <c r="G77" s="31" t="str">
        <f aca="false">IF(F77="","",IFERROR(INDEX(請求台帳!$C$5:$C$504,MATCH(F77,請求台帳!$A$5:$A$504,0)),""))</f>
        <v/>
      </c>
      <c r="H77" s="31" t="str">
        <f aca="false">IF(F77="","",IFERROR(INDEX(請求台帳!$D$5:$D$504,MATCH(F77,請求台帳!$A$5:$A$504,0)),""))</f>
        <v/>
      </c>
      <c r="I77" s="27" t="str">
        <f aca="false">IF(F77="","",IFERROR(INDEX(請求台帳!$F$5:$F$504,MATCH(F77,請求台帳!$A$5:$A$504,0)),""))</f>
        <v/>
      </c>
      <c r="J77" s="28" t="str">
        <f aca="false">IF(COUNTA(B77,D77,E77,F77)=0,"",IF(OR(B77="",E77=""),"要入力",IF(N(B77)&gt;設定!$C$5,"日付誤り",IF(F77="","未消込",IF(ISNA(MATCH(F77,請求台帳!$A$5:$A$504,0)),"番号誤り",IF(INDEX(請求台帳!$Q$5:$Q$504,MATCH(F77,請求台帳!$A$5:$A$504,0))="取消","取消請求へ消込","消込済"))))))</f>
        <v/>
      </c>
      <c r="K77" s="26"/>
      <c r="L77" s="26"/>
    </row>
    <row r="78" customFormat="false" ht="15" hidden="false" customHeight="false" outlineLevel="0" collapsed="false">
      <c r="A78" s="31" t="str">
        <f aca="false">IF(COUNTA(B78,D78,E78,F78)=0,"",ROW()-4)</f>
        <v/>
      </c>
      <c r="B78" s="22"/>
      <c r="C78" s="26"/>
      <c r="D78" s="26"/>
      <c r="E78" s="18"/>
      <c r="F78" s="26"/>
      <c r="G78" s="31" t="str">
        <f aca="false">IF(F78="","",IFERROR(INDEX(請求台帳!$C$5:$C$504,MATCH(F78,請求台帳!$A$5:$A$504,0)),""))</f>
        <v/>
      </c>
      <c r="H78" s="31" t="str">
        <f aca="false">IF(F78="","",IFERROR(INDEX(請求台帳!$D$5:$D$504,MATCH(F78,請求台帳!$A$5:$A$504,0)),""))</f>
        <v/>
      </c>
      <c r="I78" s="27" t="str">
        <f aca="false">IF(F78="","",IFERROR(INDEX(請求台帳!$F$5:$F$504,MATCH(F78,請求台帳!$A$5:$A$504,0)),""))</f>
        <v/>
      </c>
      <c r="J78" s="28" t="str">
        <f aca="false">IF(COUNTA(B78,D78,E78,F78)=0,"",IF(OR(B78="",E78=""),"要入力",IF(N(B78)&gt;設定!$C$5,"日付誤り",IF(F78="","未消込",IF(ISNA(MATCH(F78,請求台帳!$A$5:$A$504,0)),"番号誤り",IF(INDEX(請求台帳!$Q$5:$Q$504,MATCH(F78,請求台帳!$A$5:$A$504,0))="取消","取消請求へ消込","消込済"))))))</f>
        <v/>
      </c>
      <c r="K78" s="26"/>
      <c r="L78" s="26"/>
    </row>
    <row r="79" customFormat="false" ht="15" hidden="false" customHeight="false" outlineLevel="0" collapsed="false">
      <c r="A79" s="31" t="str">
        <f aca="false">IF(COUNTA(B79,D79,E79,F79)=0,"",ROW()-4)</f>
        <v/>
      </c>
      <c r="B79" s="22"/>
      <c r="C79" s="26"/>
      <c r="D79" s="26"/>
      <c r="E79" s="18"/>
      <c r="F79" s="26"/>
      <c r="G79" s="31" t="str">
        <f aca="false">IF(F79="","",IFERROR(INDEX(請求台帳!$C$5:$C$504,MATCH(F79,請求台帳!$A$5:$A$504,0)),""))</f>
        <v/>
      </c>
      <c r="H79" s="31" t="str">
        <f aca="false">IF(F79="","",IFERROR(INDEX(請求台帳!$D$5:$D$504,MATCH(F79,請求台帳!$A$5:$A$504,0)),""))</f>
        <v/>
      </c>
      <c r="I79" s="27" t="str">
        <f aca="false">IF(F79="","",IFERROR(INDEX(請求台帳!$F$5:$F$504,MATCH(F79,請求台帳!$A$5:$A$504,0)),""))</f>
        <v/>
      </c>
      <c r="J79" s="28" t="str">
        <f aca="false">IF(COUNTA(B79,D79,E79,F79)=0,"",IF(OR(B79="",E79=""),"要入力",IF(N(B79)&gt;設定!$C$5,"日付誤り",IF(F79="","未消込",IF(ISNA(MATCH(F79,請求台帳!$A$5:$A$504,0)),"番号誤り",IF(INDEX(請求台帳!$Q$5:$Q$504,MATCH(F79,請求台帳!$A$5:$A$504,0))="取消","取消請求へ消込","消込済"))))))</f>
        <v/>
      </c>
      <c r="K79" s="26"/>
      <c r="L79" s="26"/>
    </row>
    <row r="80" customFormat="false" ht="15" hidden="false" customHeight="false" outlineLevel="0" collapsed="false">
      <c r="A80" s="31" t="str">
        <f aca="false">IF(COUNTA(B80,D80,E80,F80)=0,"",ROW()-4)</f>
        <v/>
      </c>
      <c r="B80" s="22"/>
      <c r="C80" s="26"/>
      <c r="D80" s="26"/>
      <c r="E80" s="18"/>
      <c r="F80" s="26"/>
      <c r="G80" s="31" t="str">
        <f aca="false">IF(F80="","",IFERROR(INDEX(請求台帳!$C$5:$C$504,MATCH(F80,請求台帳!$A$5:$A$504,0)),""))</f>
        <v/>
      </c>
      <c r="H80" s="31" t="str">
        <f aca="false">IF(F80="","",IFERROR(INDEX(請求台帳!$D$5:$D$504,MATCH(F80,請求台帳!$A$5:$A$504,0)),""))</f>
        <v/>
      </c>
      <c r="I80" s="27" t="str">
        <f aca="false">IF(F80="","",IFERROR(INDEX(請求台帳!$F$5:$F$504,MATCH(F80,請求台帳!$A$5:$A$504,0)),""))</f>
        <v/>
      </c>
      <c r="J80" s="28" t="str">
        <f aca="false">IF(COUNTA(B80,D80,E80,F80)=0,"",IF(OR(B80="",E80=""),"要入力",IF(N(B80)&gt;設定!$C$5,"日付誤り",IF(F80="","未消込",IF(ISNA(MATCH(F80,請求台帳!$A$5:$A$504,0)),"番号誤り",IF(INDEX(請求台帳!$Q$5:$Q$504,MATCH(F80,請求台帳!$A$5:$A$504,0))="取消","取消請求へ消込","消込済"))))))</f>
        <v/>
      </c>
      <c r="K80" s="26"/>
      <c r="L80" s="26"/>
    </row>
    <row r="81" customFormat="false" ht="15" hidden="false" customHeight="false" outlineLevel="0" collapsed="false">
      <c r="A81" s="31" t="str">
        <f aca="false">IF(COUNTA(B81,D81,E81,F81)=0,"",ROW()-4)</f>
        <v/>
      </c>
      <c r="B81" s="22"/>
      <c r="C81" s="26"/>
      <c r="D81" s="26"/>
      <c r="E81" s="18"/>
      <c r="F81" s="26"/>
      <c r="G81" s="31" t="str">
        <f aca="false">IF(F81="","",IFERROR(INDEX(請求台帳!$C$5:$C$504,MATCH(F81,請求台帳!$A$5:$A$504,0)),""))</f>
        <v/>
      </c>
      <c r="H81" s="31" t="str">
        <f aca="false">IF(F81="","",IFERROR(INDEX(請求台帳!$D$5:$D$504,MATCH(F81,請求台帳!$A$5:$A$504,0)),""))</f>
        <v/>
      </c>
      <c r="I81" s="27" t="str">
        <f aca="false">IF(F81="","",IFERROR(INDEX(請求台帳!$F$5:$F$504,MATCH(F81,請求台帳!$A$5:$A$504,0)),""))</f>
        <v/>
      </c>
      <c r="J81" s="28" t="str">
        <f aca="false">IF(COUNTA(B81,D81,E81,F81)=0,"",IF(OR(B81="",E81=""),"要入力",IF(N(B81)&gt;設定!$C$5,"日付誤り",IF(F81="","未消込",IF(ISNA(MATCH(F81,請求台帳!$A$5:$A$504,0)),"番号誤り",IF(INDEX(請求台帳!$Q$5:$Q$504,MATCH(F81,請求台帳!$A$5:$A$504,0))="取消","取消請求へ消込","消込済"))))))</f>
        <v/>
      </c>
      <c r="K81" s="26"/>
      <c r="L81" s="26"/>
    </row>
    <row r="82" customFormat="false" ht="15" hidden="false" customHeight="false" outlineLevel="0" collapsed="false">
      <c r="A82" s="31" t="str">
        <f aca="false">IF(COUNTA(B82,D82,E82,F82)=0,"",ROW()-4)</f>
        <v/>
      </c>
      <c r="B82" s="22"/>
      <c r="C82" s="26"/>
      <c r="D82" s="26"/>
      <c r="E82" s="18"/>
      <c r="F82" s="26"/>
      <c r="G82" s="31" t="str">
        <f aca="false">IF(F82="","",IFERROR(INDEX(請求台帳!$C$5:$C$504,MATCH(F82,請求台帳!$A$5:$A$504,0)),""))</f>
        <v/>
      </c>
      <c r="H82" s="31" t="str">
        <f aca="false">IF(F82="","",IFERROR(INDEX(請求台帳!$D$5:$D$504,MATCH(F82,請求台帳!$A$5:$A$504,0)),""))</f>
        <v/>
      </c>
      <c r="I82" s="27" t="str">
        <f aca="false">IF(F82="","",IFERROR(INDEX(請求台帳!$F$5:$F$504,MATCH(F82,請求台帳!$A$5:$A$504,0)),""))</f>
        <v/>
      </c>
      <c r="J82" s="28" t="str">
        <f aca="false">IF(COUNTA(B82,D82,E82,F82)=0,"",IF(OR(B82="",E82=""),"要入力",IF(N(B82)&gt;設定!$C$5,"日付誤り",IF(F82="","未消込",IF(ISNA(MATCH(F82,請求台帳!$A$5:$A$504,0)),"番号誤り",IF(INDEX(請求台帳!$Q$5:$Q$504,MATCH(F82,請求台帳!$A$5:$A$504,0))="取消","取消請求へ消込","消込済"))))))</f>
        <v/>
      </c>
      <c r="K82" s="26"/>
      <c r="L82" s="26"/>
    </row>
    <row r="83" customFormat="false" ht="15" hidden="false" customHeight="false" outlineLevel="0" collapsed="false">
      <c r="A83" s="31" t="str">
        <f aca="false">IF(COUNTA(B83,D83,E83,F83)=0,"",ROW()-4)</f>
        <v/>
      </c>
      <c r="B83" s="22"/>
      <c r="C83" s="26"/>
      <c r="D83" s="26"/>
      <c r="E83" s="18"/>
      <c r="F83" s="26"/>
      <c r="G83" s="31" t="str">
        <f aca="false">IF(F83="","",IFERROR(INDEX(請求台帳!$C$5:$C$504,MATCH(F83,請求台帳!$A$5:$A$504,0)),""))</f>
        <v/>
      </c>
      <c r="H83" s="31" t="str">
        <f aca="false">IF(F83="","",IFERROR(INDEX(請求台帳!$D$5:$D$504,MATCH(F83,請求台帳!$A$5:$A$504,0)),""))</f>
        <v/>
      </c>
      <c r="I83" s="27" t="str">
        <f aca="false">IF(F83="","",IFERROR(INDEX(請求台帳!$F$5:$F$504,MATCH(F83,請求台帳!$A$5:$A$504,0)),""))</f>
        <v/>
      </c>
      <c r="J83" s="28" t="str">
        <f aca="false">IF(COUNTA(B83,D83,E83,F83)=0,"",IF(OR(B83="",E83=""),"要入力",IF(N(B83)&gt;設定!$C$5,"日付誤り",IF(F83="","未消込",IF(ISNA(MATCH(F83,請求台帳!$A$5:$A$504,0)),"番号誤り",IF(INDEX(請求台帳!$Q$5:$Q$504,MATCH(F83,請求台帳!$A$5:$A$504,0))="取消","取消請求へ消込","消込済"))))))</f>
        <v/>
      </c>
      <c r="K83" s="26"/>
      <c r="L83" s="26"/>
    </row>
    <row r="84" customFormat="false" ht="15" hidden="false" customHeight="false" outlineLevel="0" collapsed="false">
      <c r="A84" s="31" t="str">
        <f aca="false">IF(COUNTA(B84,D84,E84,F84)=0,"",ROW()-4)</f>
        <v/>
      </c>
      <c r="B84" s="22"/>
      <c r="C84" s="26"/>
      <c r="D84" s="26"/>
      <c r="E84" s="18"/>
      <c r="F84" s="26"/>
      <c r="G84" s="31" t="str">
        <f aca="false">IF(F84="","",IFERROR(INDEX(請求台帳!$C$5:$C$504,MATCH(F84,請求台帳!$A$5:$A$504,0)),""))</f>
        <v/>
      </c>
      <c r="H84" s="31" t="str">
        <f aca="false">IF(F84="","",IFERROR(INDEX(請求台帳!$D$5:$D$504,MATCH(F84,請求台帳!$A$5:$A$504,0)),""))</f>
        <v/>
      </c>
      <c r="I84" s="27" t="str">
        <f aca="false">IF(F84="","",IFERROR(INDEX(請求台帳!$F$5:$F$504,MATCH(F84,請求台帳!$A$5:$A$504,0)),""))</f>
        <v/>
      </c>
      <c r="J84" s="28" t="str">
        <f aca="false">IF(COUNTA(B84,D84,E84,F84)=0,"",IF(OR(B84="",E84=""),"要入力",IF(N(B84)&gt;設定!$C$5,"日付誤り",IF(F84="","未消込",IF(ISNA(MATCH(F84,請求台帳!$A$5:$A$504,0)),"番号誤り",IF(INDEX(請求台帳!$Q$5:$Q$504,MATCH(F84,請求台帳!$A$5:$A$504,0))="取消","取消請求へ消込","消込済"))))))</f>
        <v/>
      </c>
      <c r="K84" s="26"/>
      <c r="L84" s="26"/>
    </row>
    <row r="85" customFormat="false" ht="15" hidden="false" customHeight="false" outlineLevel="0" collapsed="false">
      <c r="A85" s="31" t="str">
        <f aca="false">IF(COUNTA(B85,D85,E85,F85)=0,"",ROW()-4)</f>
        <v/>
      </c>
      <c r="B85" s="22"/>
      <c r="C85" s="26"/>
      <c r="D85" s="26"/>
      <c r="E85" s="18"/>
      <c r="F85" s="26"/>
      <c r="G85" s="31" t="str">
        <f aca="false">IF(F85="","",IFERROR(INDEX(請求台帳!$C$5:$C$504,MATCH(F85,請求台帳!$A$5:$A$504,0)),""))</f>
        <v/>
      </c>
      <c r="H85" s="31" t="str">
        <f aca="false">IF(F85="","",IFERROR(INDEX(請求台帳!$D$5:$D$504,MATCH(F85,請求台帳!$A$5:$A$504,0)),""))</f>
        <v/>
      </c>
      <c r="I85" s="27" t="str">
        <f aca="false">IF(F85="","",IFERROR(INDEX(請求台帳!$F$5:$F$504,MATCH(F85,請求台帳!$A$5:$A$504,0)),""))</f>
        <v/>
      </c>
      <c r="J85" s="28" t="str">
        <f aca="false">IF(COUNTA(B85,D85,E85,F85)=0,"",IF(OR(B85="",E85=""),"要入力",IF(N(B85)&gt;設定!$C$5,"日付誤り",IF(F85="","未消込",IF(ISNA(MATCH(F85,請求台帳!$A$5:$A$504,0)),"番号誤り",IF(INDEX(請求台帳!$Q$5:$Q$504,MATCH(F85,請求台帳!$A$5:$A$504,0))="取消","取消請求へ消込","消込済"))))))</f>
        <v/>
      </c>
      <c r="K85" s="26"/>
      <c r="L85" s="26"/>
    </row>
    <row r="86" customFormat="false" ht="15" hidden="false" customHeight="false" outlineLevel="0" collapsed="false">
      <c r="A86" s="31" t="str">
        <f aca="false">IF(COUNTA(B86,D86,E86,F86)=0,"",ROW()-4)</f>
        <v/>
      </c>
      <c r="B86" s="22"/>
      <c r="C86" s="26"/>
      <c r="D86" s="26"/>
      <c r="E86" s="18"/>
      <c r="F86" s="26"/>
      <c r="G86" s="31" t="str">
        <f aca="false">IF(F86="","",IFERROR(INDEX(請求台帳!$C$5:$C$504,MATCH(F86,請求台帳!$A$5:$A$504,0)),""))</f>
        <v/>
      </c>
      <c r="H86" s="31" t="str">
        <f aca="false">IF(F86="","",IFERROR(INDEX(請求台帳!$D$5:$D$504,MATCH(F86,請求台帳!$A$5:$A$504,0)),""))</f>
        <v/>
      </c>
      <c r="I86" s="27" t="str">
        <f aca="false">IF(F86="","",IFERROR(INDEX(請求台帳!$F$5:$F$504,MATCH(F86,請求台帳!$A$5:$A$504,0)),""))</f>
        <v/>
      </c>
      <c r="J86" s="28" t="str">
        <f aca="false">IF(COUNTA(B86,D86,E86,F86)=0,"",IF(OR(B86="",E86=""),"要入力",IF(N(B86)&gt;設定!$C$5,"日付誤り",IF(F86="","未消込",IF(ISNA(MATCH(F86,請求台帳!$A$5:$A$504,0)),"番号誤り",IF(INDEX(請求台帳!$Q$5:$Q$504,MATCH(F86,請求台帳!$A$5:$A$504,0))="取消","取消請求へ消込","消込済"))))))</f>
        <v/>
      </c>
      <c r="K86" s="26"/>
      <c r="L86" s="26"/>
    </row>
    <row r="87" customFormat="false" ht="15" hidden="false" customHeight="false" outlineLevel="0" collapsed="false">
      <c r="A87" s="31" t="str">
        <f aca="false">IF(COUNTA(B87,D87,E87,F87)=0,"",ROW()-4)</f>
        <v/>
      </c>
      <c r="B87" s="22"/>
      <c r="C87" s="26"/>
      <c r="D87" s="26"/>
      <c r="E87" s="18"/>
      <c r="F87" s="26"/>
      <c r="G87" s="31" t="str">
        <f aca="false">IF(F87="","",IFERROR(INDEX(請求台帳!$C$5:$C$504,MATCH(F87,請求台帳!$A$5:$A$504,0)),""))</f>
        <v/>
      </c>
      <c r="H87" s="31" t="str">
        <f aca="false">IF(F87="","",IFERROR(INDEX(請求台帳!$D$5:$D$504,MATCH(F87,請求台帳!$A$5:$A$504,0)),""))</f>
        <v/>
      </c>
      <c r="I87" s="27" t="str">
        <f aca="false">IF(F87="","",IFERROR(INDEX(請求台帳!$F$5:$F$504,MATCH(F87,請求台帳!$A$5:$A$504,0)),""))</f>
        <v/>
      </c>
      <c r="J87" s="28" t="str">
        <f aca="false">IF(COUNTA(B87,D87,E87,F87)=0,"",IF(OR(B87="",E87=""),"要入力",IF(N(B87)&gt;設定!$C$5,"日付誤り",IF(F87="","未消込",IF(ISNA(MATCH(F87,請求台帳!$A$5:$A$504,0)),"番号誤り",IF(INDEX(請求台帳!$Q$5:$Q$504,MATCH(F87,請求台帳!$A$5:$A$504,0))="取消","取消請求へ消込","消込済"))))))</f>
        <v/>
      </c>
      <c r="K87" s="26"/>
      <c r="L87" s="26"/>
    </row>
    <row r="88" customFormat="false" ht="15" hidden="false" customHeight="false" outlineLevel="0" collapsed="false">
      <c r="A88" s="31" t="str">
        <f aca="false">IF(COUNTA(B88,D88,E88,F88)=0,"",ROW()-4)</f>
        <v/>
      </c>
      <c r="B88" s="22"/>
      <c r="C88" s="26"/>
      <c r="D88" s="26"/>
      <c r="E88" s="18"/>
      <c r="F88" s="26"/>
      <c r="G88" s="31" t="str">
        <f aca="false">IF(F88="","",IFERROR(INDEX(請求台帳!$C$5:$C$504,MATCH(F88,請求台帳!$A$5:$A$504,0)),""))</f>
        <v/>
      </c>
      <c r="H88" s="31" t="str">
        <f aca="false">IF(F88="","",IFERROR(INDEX(請求台帳!$D$5:$D$504,MATCH(F88,請求台帳!$A$5:$A$504,0)),""))</f>
        <v/>
      </c>
      <c r="I88" s="27" t="str">
        <f aca="false">IF(F88="","",IFERROR(INDEX(請求台帳!$F$5:$F$504,MATCH(F88,請求台帳!$A$5:$A$504,0)),""))</f>
        <v/>
      </c>
      <c r="J88" s="28" t="str">
        <f aca="false">IF(COUNTA(B88,D88,E88,F88)=0,"",IF(OR(B88="",E88=""),"要入力",IF(N(B88)&gt;設定!$C$5,"日付誤り",IF(F88="","未消込",IF(ISNA(MATCH(F88,請求台帳!$A$5:$A$504,0)),"番号誤り",IF(INDEX(請求台帳!$Q$5:$Q$504,MATCH(F88,請求台帳!$A$5:$A$504,0))="取消","取消請求へ消込","消込済"))))))</f>
        <v/>
      </c>
      <c r="K88" s="26"/>
      <c r="L88" s="26"/>
    </row>
    <row r="89" customFormat="false" ht="15" hidden="false" customHeight="false" outlineLevel="0" collapsed="false">
      <c r="A89" s="31" t="str">
        <f aca="false">IF(COUNTA(B89,D89,E89,F89)=0,"",ROW()-4)</f>
        <v/>
      </c>
      <c r="B89" s="22"/>
      <c r="C89" s="26"/>
      <c r="D89" s="26"/>
      <c r="E89" s="18"/>
      <c r="F89" s="26"/>
      <c r="G89" s="31" t="str">
        <f aca="false">IF(F89="","",IFERROR(INDEX(請求台帳!$C$5:$C$504,MATCH(F89,請求台帳!$A$5:$A$504,0)),""))</f>
        <v/>
      </c>
      <c r="H89" s="31" t="str">
        <f aca="false">IF(F89="","",IFERROR(INDEX(請求台帳!$D$5:$D$504,MATCH(F89,請求台帳!$A$5:$A$504,0)),""))</f>
        <v/>
      </c>
      <c r="I89" s="27" t="str">
        <f aca="false">IF(F89="","",IFERROR(INDEX(請求台帳!$F$5:$F$504,MATCH(F89,請求台帳!$A$5:$A$504,0)),""))</f>
        <v/>
      </c>
      <c r="J89" s="28" t="str">
        <f aca="false">IF(COUNTA(B89,D89,E89,F89)=0,"",IF(OR(B89="",E89=""),"要入力",IF(N(B89)&gt;設定!$C$5,"日付誤り",IF(F89="","未消込",IF(ISNA(MATCH(F89,請求台帳!$A$5:$A$504,0)),"番号誤り",IF(INDEX(請求台帳!$Q$5:$Q$504,MATCH(F89,請求台帳!$A$5:$A$504,0))="取消","取消請求へ消込","消込済"))))))</f>
        <v/>
      </c>
      <c r="K89" s="26"/>
      <c r="L89" s="26"/>
    </row>
    <row r="90" customFormat="false" ht="15" hidden="false" customHeight="false" outlineLevel="0" collapsed="false">
      <c r="A90" s="31" t="str">
        <f aca="false">IF(COUNTA(B90,D90,E90,F90)=0,"",ROW()-4)</f>
        <v/>
      </c>
      <c r="B90" s="22"/>
      <c r="C90" s="26"/>
      <c r="D90" s="26"/>
      <c r="E90" s="18"/>
      <c r="F90" s="26"/>
      <c r="G90" s="31" t="str">
        <f aca="false">IF(F90="","",IFERROR(INDEX(請求台帳!$C$5:$C$504,MATCH(F90,請求台帳!$A$5:$A$504,0)),""))</f>
        <v/>
      </c>
      <c r="H90" s="31" t="str">
        <f aca="false">IF(F90="","",IFERROR(INDEX(請求台帳!$D$5:$D$504,MATCH(F90,請求台帳!$A$5:$A$504,0)),""))</f>
        <v/>
      </c>
      <c r="I90" s="27" t="str">
        <f aca="false">IF(F90="","",IFERROR(INDEX(請求台帳!$F$5:$F$504,MATCH(F90,請求台帳!$A$5:$A$504,0)),""))</f>
        <v/>
      </c>
      <c r="J90" s="28" t="str">
        <f aca="false">IF(COUNTA(B90,D90,E90,F90)=0,"",IF(OR(B90="",E90=""),"要入力",IF(N(B90)&gt;設定!$C$5,"日付誤り",IF(F90="","未消込",IF(ISNA(MATCH(F90,請求台帳!$A$5:$A$504,0)),"番号誤り",IF(INDEX(請求台帳!$Q$5:$Q$504,MATCH(F90,請求台帳!$A$5:$A$504,0))="取消","取消請求へ消込","消込済"))))))</f>
        <v/>
      </c>
      <c r="K90" s="26"/>
      <c r="L90" s="26"/>
    </row>
    <row r="91" customFormat="false" ht="15" hidden="false" customHeight="false" outlineLevel="0" collapsed="false">
      <c r="A91" s="31" t="str">
        <f aca="false">IF(COUNTA(B91,D91,E91,F91)=0,"",ROW()-4)</f>
        <v/>
      </c>
      <c r="B91" s="22"/>
      <c r="C91" s="26"/>
      <c r="D91" s="26"/>
      <c r="E91" s="18"/>
      <c r="F91" s="26"/>
      <c r="G91" s="31" t="str">
        <f aca="false">IF(F91="","",IFERROR(INDEX(請求台帳!$C$5:$C$504,MATCH(F91,請求台帳!$A$5:$A$504,0)),""))</f>
        <v/>
      </c>
      <c r="H91" s="31" t="str">
        <f aca="false">IF(F91="","",IFERROR(INDEX(請求台帳!$D$5:$D$504,MATCH(F91,請求台帳!$A$5:$A$504,0)),""))</f>
        <v/>
      </c>
      <c r="I91" s="27" t="str">
        <f aca="false">IF(F91="","",IFERROR(INDEX(請求台帳!$F$5:$F$504,MATCH(F91,請求台帳!$A$5:$A$504,0)),""))</f>
        <v/>
      </c>
      <c r="J91" s="28" t="str">
        <f aca="false">IF(COUNTA(B91,D91,E91,F91)=0,"",IF(OR(B91="",E91=""),"要入力",IF(N(B91)&gt;設定!$C$5,"日付誤り",IF(F91="","未消込",IF(ISNA(MATCH(F91,請求台帳!$A$5:$A$504,0)),"番号誤り",IF(INDEX(請求台帳!$Q$5:$Q$504,MATCH(F91,請求台帳!$A$5:$A$504,0))="取消","取消請求へ消込","消込済"))))))</f>
        <v/>
      </c>
      <c r="K91" s="26"/>
      <c r="L91" s="26"/>
    </row>
    <row r="92" customFormat="false" ht="15" hidden="false" customHeight="false" outlineLevel="0" collapsed="false">
      <c r="A92" s="31" t="str">
        <f aca="false">IF(COUNTA(B92,D92,E92,F92)=0,"",ROW()-4)</f>
        <v/>
      </c>
      <c r="B92" s="22"/>
      <c r="C92" s="26"/>
      <c r="D92" s="26"/>
      <c r="E92" s="18"/>
      <c r="F92" s="26"/>
      <c r="G92" s="31" t="str">
        <f aca="false">IF(F92="","",IFERROR(INDEX(請求台帳!$C$5:$C$504,MATCH(F92,請求台帳!$A$5:$A$504,0)),""))</f>
        <v/>
      </c>
      <c r="H92" s="31" t="str">
        <f aca="false">IF(F92="","",IFERROR(INDEX(請求台帳!$D$5:$D$504,MATCH(F92,請求台帳!$A$5:$A$504,0)),""))</f>
        <v/>
      </c>
      <c r="I92" s="27" t="str">
        <f aca="false">IF(F92="","",IFERROR(INDEX(請求台帳!$F$5:$F$504,MATCH(F92,請求台帳!$A$5:$A$504,0)),""))</f>
        <v/>
      </c>
      <c r="J92" s="28" t="str">
        <f aca="false">IF(COUNTA(B92,D92,E92,F92)=0,"",IF(OR(B92="",E92=""),"要入力",IF(N(B92)&gt;設定!$C$5,"日付誤り",IF(F92="","未消込",IF(ISNA(MATCH(F92,請求台帳!$A$5:$A$504,0)),"番号誤り",IF(INDEX(請求台帳!$Q$5:$Q$504,MATCH(F92,請求台帳!$A$5:$A$504,0))="取消","取消請求へ消込","消込済"))))))</f>
        <v/>
      </c>
      <c r="K92" s="26"/>
      <c r="L92" s="26"/>
    </row>
    <row r="93" customFormat="false" ht="15" hidden="false" customHeight="false" outlineLevel="0" collapsed="false">
      <c r="A93" s="31" t="str">
        <f aca="false">IF(COUNTA(B93,D93,E93,F93)=0,"",ROW()-4)</f>
        <v/>
      </c>
      <c r="B93" s="22"/>
      <c r="C93" s="26"/>
      <c r="D93" s="26"/>
      <c r="E93" s="18"/>
      <c r="F93" s="26"/>
      <c r="G93" s="31" t="str">
        <f aca="false">IF(F93="","",IFERROR(INDEX(請求台帳!$C$5:$C$504,MATCH(F93,請求台帳!$A$5:$A$504,0)),""))</f>
        <v/>
      </c>
      <c r="H93" s="31" t="str">
        <f aca="false">IF(F93="","",IFERROR(INDEX(請求台帳!$D$5:$D$504,MATCH(F93,請求台帳!$A$5:$A$504,0)),""))</f>
        <v/>
      </c>
      <c r="I93" s="27" t="str">
        <f aca="false">IF(F93="","",IFERROR(INDEX(請求台帳!$F$5:$F$504,MATCH(F93,請求台帳!$A$5:$A$504,0)),""))</f>
        <v/>
      </c>
      <c r="J93" s="28" t="str">
        <f aca="false">IF(COUNTA(B93,D93,E93,F93)=0,"",IF(OR(B93="",E93=""),"要入力",IF(N(B93)&gt;設定!$C$5,"日付誤り",IF(F93="","未消込",IF(ISNA(MATCH(F93,請求台帳!$A$5:$A$504,0)),"番号誤り",IF(INDEX(請求台帳!$Q$5:$Q$504,MATCH(F93,請求台帳!$A$5:$A$504,0))="取消","取消請求へ消込","消込済"))))))</f>
        <v/>
      </c>
      <c r="K93" s="26"/>
      <c r="L93" s="26"/>
    </row>
    <row r="94" customFormat="false" ht="15" hidden="false" customHeight="false" outlineLevel="0" collapsed="false">
      <c r="A94" s="31" t="str">
        <f aca="false">IF(COUNTA(B94,D94,E94,F94)=0,"",ROW()-4)</f>
        <v/>
      </c>
      <c r="B94" s="22"/>
      <c r="C94" s="26"/>
      <c r="D94" s="26"/>
      <c r="E94" s="18"/>
      <c r="F94" s="26"/>
      <c r="G94" s="31" t="str">
        <f aca="false">IF(F94="","",IFERROR(INDEX(請求台帳!$C$5:$C$504,MATCH(F94,請求台帳!$A$5:$A$504,0)),""))</f>
        <v/>
      </c>
      <c r="H94" s="31" t="str">
        <f aca="false">IF(F94="","",IFERROR(INDEX(請求台帳!$D$5:$D$504,MATCH(F94,請求台帳!$A$5:$A$504,0)),""))</f>
        <v/>
      </c>
      <c r="I94" s="27" t="str">
        <f aca="false">IF(F94="","",IFERROR(INDEX(請求台帳!$F$5:$F$504,MATCH(F94,請求台帳!$A$5:$A$504,0)),""))</f>
        <v/>
      </c>
      <c r="J94" s="28" t="str">
        <f aca="false">IF(COUNTA(B94,D94,E94,F94)=0,"",IF(OR(B94="",E94=""),"要入力",IF(N(B94)&gt;設定!$C$5,"日付誤り",IF(F94="","未消込",IF(ISNA(MATCH(F94,請求台帳!$A$5:$A$504,0)),"番号誤り",IF(INDEX(請求台帳!$Q$5:$Q$504,MATCH(F94,請求台帳!$A$5:$A$504,0))="取消","取消請求へ消込","消込済"))))))</f>
        <v/>
      </c>
      <c r="K94" s="26"/>
      <c r="L94" s="26"/>
    </row>
    <row r="95" customFormat="false" ht="15" hidden="false" customHeight="false" outlineLevel="0" collapsed="false">
      <c r="A95" s="31" t="str">
        <f aca="false">IF(COUNTA(B95,D95,E95,F95)=0,"",ROW()-4)</f>
        <v/>
      </c>
      <c r="B95" s="22"/>
      <c r="C95" s="26"/>
      <c r="D95" s="26"/>
      <c r="E95" s="18"/>
      <c r="F95" s="26"/>
      <c r="G95" s="31" t="str">
        <f aca="false">IF(F95="","",IFERROR(INDEX(請求台帳!$C$5:$C$504,MATCH(F95,請求台帳!$A$5:$A$504,0)),""))</f>
        <v/>
      </c>
      <c r="H95" s="31" t="str">
        <f aca="false">IF(F95="","",IFERROR(INDEX(請求台帳!$D$5:$D$504,MATCH(F95,請求台帳!$A$5:$A$504,0)),""))</f>
        <v/>
      </c>
      <c r="I95" s="27" t="str">
        <f aca="false">IF(F95="","",IFERROR(INDEX(請求台帳!$F$5:$F$504,MATCH(F95,請求台帳!$A$5:$A$504,0)),""))</f>
        <v/>
      </c>
      <c r="J95" s="28" t="str">
        <f aca="false">IF(COUNTA(B95,D95,E95,F95)=0,"",IF(OR(B95="",E95=""),"要入力",IF(N(B95)&gt;設定!$C$5,"日付誤り",IF(F95="","未消込",IF(ISNA(MATCH(F95,請求台帳!$A$5:$A$504,0)),"番号誤り",IF(INDEX(請求台帳!$Q$5:$Q$504,MATCH(F95,請求台帳!$A$5:$A$504,0))="取消","取消請求へ消込","消込済"))))))</f>
        <v/>
      </c>
      <c r="K95" s="26"/>
      <c r="L95" s="26"/>
    </row>
    <row r="96" customFormat="false" ht="15" hidden="false" customHeight="false" outlineLevel="0" collapsed="false">
      <c r="A96" s="31" t="str">
        <f aca="false">IF(COUNTA(B96,D96,E96,F96)=0,"",ROW()-4)</f>
        <v/>
      </c>
      <c r="B96" s="22"/>
      <c r="C96" s="26"/>
      <c r="D96" s="26"/>
      <c r="E96" s="18"/>
      <c r="F96" s="26"/>
      <c r="G96" s="31" t="str">
        <f aca="false">IF(F96="","",IFERROR(INDEX(請求台帳!$C$5:$C$504,MATCH(F96,請求台帳!$A$5:$A$504,0)),""))</f>
        <v/>
      </c>
      <c r="H96" s="31" t="str">
        <f aca="false">IF(F96="","",IFERROR(INDEX(請求台帳!$D$5:$D$504,MATCH(F96,請求台帳!$A$5:$A$504,0)),""))</f>
        <v/>
      </c>
      <c r="I96" s="27" t="str">
        <f aca="false">IF(F96="","",IFERROR(INDEX(請求台帳!$F$5:$F$504,MATCH(F96,請求台帳!$A$5:$A$504,0)),""))</f>
        <v/>
      </c>
      <c r="J96" s="28" t="str">
        <f aca="false">IF(COUNTA(B96,D96,E96,F96)=0,"",IF(OR(B96="",E96=""),"要入力",IF(N(B96)&gt;設定!$C$5,"日付誤り",IF(F96="","未消込",IF(ISNA(MATCH(F96,請求台帳!$A$5:$A$504,0)),"番号誤り",IF(INDEX(請求台帳!$Q$5:$Q$504,MATCH(F96,請求台帳!$A$5:$A$504,0))="取消","取消請求へ消込","消込済"))))))</f>
        <v/>
      </c>
      <c r="K96" s="26"/>
      <c r="L96" s="26"/>
    </row>
    <row r="97" customFormat="false" ht="15" hidden="false" customHeight="false" outlineLevel="0" collapsed="false">
      <c r="A97" s="31" t="str">
        <f aca="false">IF(COUNTA(B97,D97,E97,F97)=0,"",ROW()-4)</f>
        <v/>
      </c>
      <c r="B97" s="22"/>
      <c r="C97" s="26"/>
      <c r="D97" s="26"/>
      <c r="E97" s="18"/>
      <c r="F97" s="26"/>
      <c r="G97" s="31" t="str">
        <f aca="false">IF(F97="","",IFERROR(INDEX(請求台帳!$C$5:$C$504,MATCH(F97,請求台帳!$A$5:$A$504,0)),""))</f>
        <v/>
      </c>
      <c r="H97" s="31" t="str">
        <f aca="false">IF(F97="","",IFERROR(INDEX(請求台帳!$D$5:$D$504,MATCH(F97,請求台帳!$A$5:$A$504,0)),""))</f>
        <v/>
      </c>
      <c r="I97" s="27" t="str">
        <f aca="false">IF(F97="","",IFERROR(INDEX(請求台帳!$F$5:$F$504,MATCH(F97,請求台帳!$A$5:$A$504,0)),""))</f>
        <v/>
      </c>
      <c r="J97" s="28" t="str">
        <f aca="false">IF(COUNTA(B97,D97,E97,F97)=0,"",IF(OR(B97="",E97=""),"要入力",IF(N(B97)&gt;設定!$C$5,"日付誤り",IF(F97="","未消込",IF(ISNA(MATCH(F97,請求台帳!$A$5:$A$504,0)),"番号誤り",IF(INDEX(請求台帳!$Q$5:$Q$504,MATCH(F97,請求台帳!$A$5:$A$504,0))="取消","取消請求へ消込","消込済"))))))</f>
        <v/>
      </c>
      <c r="K97" s="26"/>
      <c r="L97" s="26"/>
    </row>
    <row r="98" customFormat="false" ht="15" hidden="false" customHeight="false" outlineLevel="0" collapsed="false">
      <c r="A98" s="31" t="str">
        <f aca="false">IF(COUNTA(B98,D98,E98,F98)=0,"",ROW()-4)</f>
        <v/>
      </c>
      <c r="B98" s="22"/>
      <c r="C98" s="26"/>
      <c r="D98" s="26"/>
      <c r="E98" s="18"/>
      <c r="F98" s="26"/>
      <c r="G98" s="31" t="str">
        <f aca="false">IF(F98="","",IFERROR(INDEX(請求台帳!$C$5:$C$504,MATCH(F98,請求台帳!$A$5:$A$504,0)),""))</f>
        <v/>
      </c>
      <c r="H98" s="31" t="str">
        <f aca="false">IF(F98="","",IFERROR(INDEX(請求台帳!$D$5:$D$504,MATCH(F98,請求台帳!$A$5:$A$504,0)),""))</f>
        <v/>
      </c>
      <c r="I98" s="27" t="str">
        <f aca="false">IF(F98="","",IFERROR(INDEX(請求台帳!$F$5:$F$504,MATCH(F98,請求台帳!$A$5:$A$504,0)),""))</f>
        <v/>
      </c>
      <c r="J98" s="28" t="str">
        <f aca="false">IF(COUNTA(B98,D98,E98,F98)=0,"",IF(OR(B98="",E98=""),"要入力",IF(N(B98)&gt;設定!$C$5,"日付誤り",IF(F98="","未消込",IF(ISNA(MATCH(F98,請求台帳!$A$5:$A$504,0)),"番号誤り",IF(INDEX(請求台帳!$Q$5:$Q$504,MATCH(F98,請求台帳!$A$5:$A$504,0))="取消","取消請求へ消込","消込済"))))))</f>
        <v/>
      </c>
      <c r="K98" s="26"/>
      <c r="L98" s="26"/>
    </row>
    <row r="99" customFormat="false" ht="15" hidden="false" customHeight="false" outlineLevel="0" collapsed="false">
      <c r="A99" s="31" t="str">
        <f aca="false">IF(COUNTA(B99,D99,E99,F99)=0,"",ROW()-4)</f>
        <v/>
      </c>
      <c r="B99" s="22"/>
      <c r="C99" s="26"/>
      <c r="D99" s="26"/>
      <c r="E99" s="18"/>
      <c r="F99" s="26"/>
      <c r="G99" s="31" t="str">
        <f aca="false">IF(F99="","",IFERROR(INDEX(請求台帳!$C$5:$C$504,MATCH(F99,請求台帳!$A$5:$A$504,0)),""))</f>
        <v/>
      </c>
      <c r="H99" s="31" t="str">
        <f aca="false">IF(F99="","",IFERROR(INDEX(請求台帳!$D$5:$D$504,MATCH(F99,請求台帳!$A$5:$A$504,0)),""))</f>
        <v/>
      </c>
      <c r="I99" s="27" t="str">
        <f aca="false">IF(F99="","",IFERROR(INDEX(請求台帳!$F$5:$F$504,MATCH(F99,請求台帳!$A$5:$A$504,0)),""))</f>
        <v/>
      </c>
      <c r="J99" s="28" t="str">
        <f aca="false">IF(COUNTA(B99,D99,E99,F99)=0,"",IF(OR(B99="",E99=""),"要入力",IF(N(B99)&gt;設定!$C$5,"日付誤り",IF(F99="","未消込",IF(ISNA(MATCH(F99,請求台帳!$A$5:$A$504,0)),"番号誤り",IF(INDEX(請求台帳!$Q$5:$Q$504,MATCH(F99,請求台帳!$A$5:$A$504,0))="取消","取消請求へ消込","消込済"))))))</f>
        <v/>
      </c>
      <c r="K99" s="26"/>
      <c r="L99" s="26"/>
    </row>
    <row r="100" customFormat="false" ht="15" hidden="false" customHeight="false" outlineLevel="0" collapsed="false">
      <c r="A100" s="31" t="str">
        <f aca="false">IF(COUNTA(B100,D100,E100,F100)=0,"",ROW()-4)</f>
        <v/>
      </c>
      <c r="B100" s="22"/>
      <c r="C100" s="26"/>
      <c r="D100" s="26"/>
      <c r="E100" s="18"/>
      <c r="F100" s="26"/>
      <c r="G100" s="31" t="str">
        <f aca="false">IF(F100="","",IFERROR(INDEX(請求台帳!$C$5:$C$504,MATCH(F100,請求台帳!$A$5:$A$504,0)),""))</f>
        <v/>
      </c>
      <c r="H100" s="31" t="str">
        <f aca="false">IF(F100="","",IFERROR(INDEX(請求台帳!$D$5:$D$504,MATCH(F100,請求台帳!$A$5:$A$504,0)),""))</f>
        <v/>
      </c>
      <c r="I100" s="27" t="str">
        <f aca="false">IF(F100="","",IFERROR(INDEX(請求台帳!$F$5:$F$504,MATCH(F100,請求台帳!$A$5:$A$504,0)),""))</f>
        <v/>
      </c>
      <c r="J100" s="28" t="str">
        <f aca="false">IF(COUNTA(B100,D100,E100,F100)=0,"",IF(OR(B100="",E100=""),"要入力",IF(N(B100)&gt;設定!$C$5,"日付誤り",IF(F100="","未消込",IF(ISNA(MATCH(F100,請求台帳!$A$5:$A$504,0)),"番号誤り",IF(INDEX(請求台帳!$Q$5:$Q$504,MATCH(F100,請求台帳!$A$5:$A$504,0))="取消","取消請求へ消込","消込済"))))))</f>
        <v/>
      </c>
      <c r="K100" s="26"/>
      <c r="L100" s="26"/>
    </row>
    <row r="101" customFormat="false" ht="15" hidden="false" customHeight="false" outlineLevel="0" collapsed="false">
      <c r="A101" s="31" t="str">
        <f aca="false">IF(COUNTA(B101,D101,E101,F101)=0,"",ROW()-4)</f>
        <v/>
      </c>
      <c r="B101" s="22"/>
      <c r="C101" s="26"/>
      <c r="D101" s="26"/>
      <c r="E101" s="18"/>
      <c r="F101" s="26"/>
      <c r="G101" s="31" t="str">
        <f aca="false">IF(F101="","",IFERROR(INDEX(請求台帳!$C$5:$C$504,MATCH(F101,請求台帳!$A$5:$A$504,0)),""))</f>
        <v/>
      </c>
      <c r="H101" s="31" t="str">
        <f aca="false">IF(F101="","",IFERROR(INDEX(請求台帳!$D$5:$D$504,MATCH(F101,請求台帳!$A$5:$A$504,0)),""))</f>
        <v/>
      </c>
      <c r="I101" s="27" t="str">
        <f aca="false">IF(F101="","",IFERROR(INDEX(請求台帳!$F$5:$F$504,MATCH(F101,請求台帳!$A$5:$A$504,0)),""))</f>
        <v/>
      </c>
      <c r="J101" s="28" t="str">
        <f aca="false">IF(COUNTA(B101,D101,E101,F101)=0,"",IF(OR(B101="",E101=""),"要入力",IF(N(B101)&gt;設定!$C$5,"日付誤り",IF(F101="","未消込",IF(ISNA(MATCH(F101,請求台帳!$A$5:$A$504,0)),"番号誤り",IF(INDEX(請求台帳!$Q$5:$Q$504,MATCH(F101,請求台帳!$A$5:$A$504,0))="取消","取消請求へ消込","消込済"))))))</f>
        <v/>
      </c>
      <c r="K101" s="26"/>
      <c r="L101" s="26"/>
    </row>
    <row r="102" customFormat="false" ht="15" hidden="false" customHeight="false" outlineLevel="0" collapsed="false">
      <c r="A102" s="31" t="str">
        <f aca="false">IF(COUNTA(B102,D102,E102,F102)=0,"",ROW()-4)</f>
        <v/>
      </c>
      <c r="B102" s="22"/>
      <c r="C102" s="26"/>
      <c r="D102" s="26"/>
      <c r="E102" s="18"/>
      <c r="F102" s="26"/>
      <c r="G102" s="31" t="str">
        <f aca="false">IF(F102="","",IFERROR(INDEX(請求台帳!$C$5:$C$504,MATCH(F102,請求台帳!$A$5:$A$504,0)),""))</f>
        <v/>
      </c>
      <c r="H102" s="31" t="str">
        <f aca="false">IF(F102="","",IFERROR(INDEX(請求台帳!$D$5:$D$504,MATCH(F102,請求台帳!$A$5:$A$504,0)),""))</f>
        <v/>
      </c>
      <c r="I102" s="27" t="str">
        <f aca="false">IF(F102="","",IFERROR(INDEX(請求台帳!$F$5:$F$504,MATCH(F102,請求台帳!$A$5:$A$504,0)),""))</f>
        <v/>
      </c>
      <c r="J102" s="28" t="str">
        <f aca="false">IF(COUNTA(B102,D102,E102,F102)=0,"",IF(OR(B102="",E102=""),"要入力",IF(N(B102)&gt;設定!$C$5,"日付誤り",IF(F102="","未消込",IF(ISNA(MATCH(F102,請求台帳!$A$5:$A$504,0)),"番号誤り",IF(INDEX(請求台帳!$Q$5:$Q$504,MATCH(F102,請求台帳!$A$5:$A$504,0))="取消","取消請求へ消込","消込済"))))))</f>
        <v/>
      </c>
      <c r="K102" s="26"/>
      <c r="L102" s="26"/>
    </row>
    <row r="103" customFormat="false" ht="15" hidden="false" customHeight="false" outlineLevel="0" collapsed="false">
      <c r="A103" s="31" t="str">
        <f aca="false">IF(COUNTA(B103,D103,E103,F103)=0,"",ROW()-4)</f>
        <v/>
      </c>
      <c r="B103" s="22"/>
      <c r="C103" s="26"/>
      <c r="D103" s="26"/>
      <c r="E103" s="18"/>
      <c r="F103" s="26"/>
      <c r="G103" s="31" t="str">
        <f aca="false">IF(F103="","",IFERROR(INDEX(請求台帳!$C$5:$C$504,MATCH(F103,請求台帳!$A$5:$A$504,0)),""))</f>
        <v/>
      </c>
      <c r="H103" s="31" t="str">
        <f aca="false">IF(F103="","",IFERROR(INDEX(請求台帳!$D$5:$D$504,MATCH(F103,請求台帳!$A$5:$A$504,0)),""))</f>
        <v/>
      </c>
      <c r="I103" s="27" t="str">
        <f aca="false">IF(F103="","",IFERROR(INDEX(請求台帳!$F$5:$F$504,MATCH(F103,請求台帳!$A$5:$A$504,0)),""))</f>
        <v/>
      </c>
      <c r="J103" s="28" t="str">
        <f aca="false">IF(COUNTA(B103,D103,E103,F103)=0,"",IF(OR(B103="",E103=""),"要入力",IF(N(B103)&gt;設定!$C$5,"日付誤り",IF(F103="","未消込",IF(ISNA(MATCH(F103,請求台帳!$A$5:$A$504,0)),"番号誤り",IF(INDEX(請求台帳!$Q$5:$Q$504,MATCH(F103,請求台帳!$A$5:$A$504,0))="取消","取消請求へ消込","消込済"))))))</f>
        <v/>
      </c>
      <c r="K103" s="26"/>
      <c r="L103" s="26"/>
    </row>
    <row r="104" customFormat="false" ht="15" hidden="false" customHeight="false" outlineLevel="0" collapsed="false">
      <c r="A104" s="31" t="str">
        <f aca="false">IF(COUNTA(B104,D104,E104,F104)=0,"",ROW()-4)</f>
        <v/>
      </c>
      <c r="B104" s="22"/>
      <c r="C104" s="26"/>
      <c r="D104" s="26"/>
      <c r="E104" s="18"/>
      <c r="F104" s="26"/>
      <c r="G104" s="31" t="str">
        <f aca="false">IF(F104="","",IFERROR(INDEX(請求台帳!$C$5:$C$504,MATCH(F104,請求台帳!$A$5:$A$504,0)),""))</f>
        <v/>
      </c>
      <c r="H104" s="31" t="str">
        <f aca="false">IF(F104="","",IFERROR(INDEX(請求台帳!$D$5:$D$504,MATCH(F104,請求台帳!$A$5:$A$504,0)),""))</f>
        <v/>
      </c>
      <c r="I104" s="27" t="str">
        <f aca="false">IF(F104="","",IFERROR(INDEX(請求台帳!$F$5:$F$504,MATCH(F104,請求台帳!$A$5:$A$504,0)),""))</f>
        <v/>
      </c>
      <c r="J104" s="28" t="str">
        <f aca="false">IF(COUNTA(B104,D104,E104,F104)=0,"",IF(OR(B104="",E104=""),"要入力",IF(N(B104)&gt;設定!$C$5,"日付誤り",IF(F104="","未消込",IF(ISNA(MATCH(F104,請求台帳!$A$5:$A$504,0)),"番号誤り",IF(INDEX(請求台帳!$Q$5:$Q$504,MATCH(F104,請求台帳!$A$5:$A$504,0))="取消","取消請求へ消込","消込済"))))))</f>
        <v/>
      </c>
      <c r="K104" s="26"/>
      <c r="L104" s="26"/>
    </row>
    <row r="105" customFormat="false" ht="15" hidden="false" customHeight="false" outlineLevel="0" collapsed="false">
      <c r="A105" s="31" t="str">
        <f aca="false">IF(COUNTA(B105,D105,E105,F105)=0,"",ROW()-4)</f>
        <v/>
      </c>
      <c r="B105" s="22"/>
      <c r="C105" s="26"/>
      <c r="D105" s="26"/>
      <c r="E105" s="18"/>
      <c r="F105" s="26"/>
      <c r="G105" s="31" t="str">
        <f aca="false">IF(F105="","",IFERROR(INDEX(請求台帳!$C$5:$C$504,MATCH(F105,請求台帳!$A$5:$A$504,0)),""))</f>
        <v/>
      </c>
      <c r="H105" s="31" t="str">
        <f aca="false">IF(F105="","",IFERROR(INDEX(請求台帳!$D$5:$D$504,MATCH(F105,請求台帳!$A$5:$A$504,0)),""))</f>
        <v/>
      </c>
      <c r="I105" s="27" t="str">
        <f aca="false">IF(F105="","",IFERROR(INDEX(請求台帳!$F$5:$F$504,MATCH(F105,請求台帳!$A$5:$A$504,0)),""))</f>
        <v/>
      </c>
      <c r="J105" s="28" t="str">
        <f aca="false">IF(COUNTA(B105,D105,E105,F105)=0,"",IF(OR(B105="",E105=""),"要入力",IF(N(B105)&gt;設定!$C$5,"日付誤り",IF(F105="","未消込",IF(ISNA(MATCH(F105,請求台帳!$A$5:$A$504,0)),"番号誤り",IF(INDEX(請求台帳!$Q$5:$Q$504,MATCH(F105,請求台帳!$A$5:$A$504,0))="取消","取消請求へ消込","消込済"))))))</f>
        <v/>
      </c>
      <c r="K105" s="26"/>
      <c r="L105" s="26"/>
    </row>
    <row r="106" customFormat="false" ht="15" hidden="false" customHeight="false" outlineLevel="0" collapsed="false">
      <c r="A106" s="31" t="str">
        <f aca="false">IF(COUNTA(B106,D106,E106,F106)=0,"",ROW()-4)</f>
        <v/>
      </c>
      <c r="B106" s="22"/>
      <c r="C106" s="26"/>
      <c r="D106" s="26"/>
      <c r="E106" s="18"/>
      <c r="F106" s="26"/>
      <c r="G106" s="31" t="str">
        <f aca="false">IF(F106="","",IFERROR(INDEX(請求台帳!$C$5:$C$504,MATCH(F106,請求台帳!$A$5:$A$504,0)),""))</f>
        <v/>
      </c>
      <c r="H106" s="31" t="str">
        <f aca="false">IF(F106="","",IFERROR(INDEX(請求台帳!$D$5:$D$504,MATCH(F106,請求台帳!$A$5:$A$504,0)),""))</f>
        <v/>
      </c>
      <c r="I106" s="27" t="str">
        <f aca="false">IF(F106="","",IFERROR(INDEX(請求台帳!$F$5:$F$504,MATCH(F106,請求台帳!$A$5:$A$504,0)),""))</f>
        <v/>
      </c>
      <c r="J106" s="28" t="str">
        <f aca="false">IF(COUNTA(B106,D106,E106,F106)=0,"",IF(OR(B106="",E106=""),"要入力",IF(N(B106)&gt;設定!$C$5,"日付誤り",IF(F106="","未消込",IF(ISNA(MATCH(F106,請求台帳!$A$5:$A$504,0)),"番号誤り",IF(INDEX(請求台帳!$Q$5:$Q$504,MATCH(F106,請求台帳!$A$5:$A$504,0))="取消","取消請求へ消込","消込済"))))))</f>
        <v/>
      </c>
      <c r="K106" s="26"/>
      <c r="L106" s="26"/>
    </row>
    <row r="107" customFormat="false" ht="15" hidden="false" customHeight="false" outlineLevel="0" collapsed="false">
      <c r="A107" s="31" t="str">
        <f aca="false">IF(COUNTA(B107,D107,E107,F107)=0,"",ROW()-4)</f>
        <v/>
      </c>
      <c r="B107" s="22"/>
      <c r="C107" s="26"/>
      <c r="D107" s="26"/>
      <c r="E107" s="18"/>
      <c r="F107" s="26"/>
      <c r="G107" s="31" t="str">
        <f aca="false">IF(F107="","",IFERROR(INDEX(請求台帳!$C$5:$C$504,MATCH(F107,請求台帳!$A$5:$A$504,0)),""))</f>
        <v/>
      </c>
      <c r="H107" s="31" t="str">
        <f aca="false">IF(F107="","",IFERROR(INDEX(請求台帳!$D$5:$D$504,MATCH(F107,請求台帳!$A$5:$A$504,0)),""))</f>
        <v/>
      </c>
      <c r="I107" s="27" t="str">
        <f aca="false">IF(F107="","",IFERROR(INDEX(請求台帳!$F$5:$F$504,MATCH(F107,請求台帳!$A$5:$A$504,0)),""))</f>
        <v/>
      </c>
      <c r="J107" s="28" t="str">
        <f aca="false">IF(COUNTA(B107,D107,E107,F107)=0,"",IF(OR(B107="",E107=""),"要入力",IF(N(B107)&gt;設定!$C$5,"日付誤り",IF(F107="","未消込",IF(ISNA(MATCH(F107,請求台帳!$A$5:$A$504,0)),"番号誤り",IF(INDEX(請求台帳!$Q$5:$Q$504,MATCH(F107,請求台帳!$A$5:$A$504,0))="取消","取消請求へ消込","消込済"))))))</f>
        <v/>
      </c>
      <c r="K107" s="26"/>
      <c r="L107" s="26"/>
    </row>
    <row r="108" customFormat="false" ht="15" hidden="false" customHeight="false" outlineLevel="0" collapsed="false">
      <c r="A108" s="31" t="str">
        <f aca="false">IF(COUNTA(B108,D108,E108,F108)=0,"",ROW()-4)</f>
        <v/>
      </c>
      <c r="B108" s="22"/>
      <c r="C108" s="26"/>
      <c r="D108" s="26"/>
      <c r="E108" s="18"/>
      <c r="F108" s="26"/>
      <c r="G108" s="31" t="str">
        <f aca="false">IF(F108="","",IFERROR(INDEX(請求台帳!$C$5:$C$504,MATCH(F108,請求台帳!$A$5:$A$504,0)),""))</f>
        <v/>
      </c>
      <c r="H108" s="31" t="str">
        <f aca="false">IF(F108="","",IFERROR(INDEX(請求台帳!$D$5:$D$504,MATCH(F108,請求台帳!$A$5:$A$504,0)),""))</f>
        <v/>
      </c>
      <c r="I108" s="27" t="str">
        <f aca="false">IF(F108="","",IFERROR(INDEX(請求台帳!$F$5:$F$504,MATCH(F108,請求台帳!$A$5:$A$504,0)),""))</f>
        <v/>
      </c>
      <c r="J108" s="28" t="str">
        <f aca="false">IF(COUNTA(B108,D108,E108,F108)=0,"",IF(OR(B108="",E108=""),"要入力",IF(N(B108)&gt;設定!$C$5,"日付誤り",IF(F108="","未消込",IF(ISNA(MATCH(F108,請求台帳!$A$5:$A$504,0)),"番号誤り",IF(INDEX(請求台帳!$Q$5:$Q$504,MATCH(F108,請求台帳!$A$5:$A$504,0))="取消","取消請求へ消込","消込済"))))))</f>
        <v/>
      </c>
      <c r="K108" s="26"/>
      <c r="L108" s="26"/>
    </row>
    <row r="109" customFormat="false" ht="15" hidden="false" customHeight="false" outlineLevel="0" collapsed="false">
      <c r="A109" s="31" t="str">
        <f aca="false">IF(COUNTA(B109,D109,E109,F109)=0,"",ROW()-4)</f>
        <v/>
      </c>
      <c r="B109" s="22"/>
      <c r="C109" s="26"/>
      <c r="D109" s="26"/>
      <c r="E109" s="18"/>
      <c r="F109" s="26"/>
      <c r="G109" s="31" t="str">
        <f aca="false">IF(F109="","",IFERROR(INDEX(請求台帳!$C$5:$C$504,MATCH(F109,請求台帳!$A$5:$A$504,0)),""))</f>
        <v/>
      </c>
      <c r="H109" s="31" t="str">
        <f aca="false">IF(F109="","",IFERROR(INDEX(請求台帳!$D$5:$D$504,MATCH(F109,請求台帳!$A$5:$A$504,0)),""))</f>
        <v/>
      </c>
      <c r="I109" s="27" t="str">
        <f aca="false">IF(F109="","",IFERROR(INDEX(請求台帳!$F$5:$F$504,MATCH(F109,請求台帳!$A$5:$A$504,0)),""))</f>
        <v/>
      </c>
      <c r="J109" s="28" t="str">
        <f aca="false">IF(COUNTA(B109,D109,E109,F109)=0,"",IF(OR(B109="",E109=""),"要入力",IF(N(B109)&gt;設定!$C$5,"日付誤り",IF(F109="","未消込",IF(ISNA(MATCH(F109,請求台帳!$A$5:$A$504,0)),"番号誤り",IF(INDEX(請求台帳!$Q$5:$Q$504,MATCH(F109,請求台帳!$A$5:$A$504,0))="取消","取消請求へ消込","消込済"))))))</f>
        <v/>
      </c>
      <c r="K109" s="26"/>
      <c r="L109" s="26"/>
    </row>
    <row r="110" customFormat="false" ht="15" hidden="false" customHeight="false" outlineLevel="0" collapsed="false">
      <c r="A110" s="31" t="str">
        <f aca="false">IF(COUNTA(B110,D110,E110,F110)=0,"",ROW()-4)</f>
        <v/>
      </c>
      <c r="B110" s="22"/>
      <c r="C110" s="26"/>
      <c r="D110" s="26"/>
      <c r="E110" s="18"/>
      <c r="F110" s="26"/>
      <c r="G110" s="31" t="str">
        <f aca="false">IF(F110="","",IFERROR(INDEX(請求台帳!$C$5:$C$504,MATCH(F110,請求台帳!$A$5:$A$504,0)),""))</f>
        <v/>
      </c>
      <c r="H110" s="31" t="str">
        <f aca="false">IF(F110="","",IFERROR(INDEX(請求台帳!$D$5:$D$504,MATCH(F110,請求台帳!$A$5:$A$504,0)),""))</f>
        <v/>
      </c>
      <c r="I110" s="27" t="str">
        <f aca="false">IF(F110="","",IFERROR(INDEX(請求台帳!$F$5:$F$504,MATCH(F110,請求台帳!$A$5:$A$504,0)),""))</f>
        <v/>
      </c>
      <c r="J110" s="28" t="str">
        <f aca="false">IF(COUNTA(B110,D110,E110,F110)=0,"",IF(OR(B110="",E110=""),"要入力",IF(N(B110)&gt;設定!$C$5,"日付誤り",IF(F110="","未消込",IF(ISNA(MATCH(F110,請求台帳!$A$5:$A$504,0)),"番号誤り",IF(INDEX(請求台帳!$Q$5:$Q$504,MATCH(F110,請求台帳!$A$5:$A$504,0))="取消","取消請求へ消込","消込済"))))))</f>
        <v/>
      </c>
      <c r="K110" s="26"/>
      <c r="L110" s="26"/>
    </row>
    <row r="111" customFormat="false" ht="15" hidden="false" customHeight="false" outlineLevel="0" collapsed="false">
      <c r="A111" s="31" t="str">
        <f aca="false">IF(COUNTA(B111,D111,E111,F111)=0,"",ROW()-4)</f>
        <v/>
      </c>
      <c r="B111" s="22"/>
      <c r="C111" s="26"/>
      <c r="D111" s="26"/>
      <c r="E111" s="18"/>
      <c r="F111" s="26"/>
      <c r="G111" s="31" t="str">
        <f aca="false">IF(F111="","",IFERROR(INDEX(請求台帳!$C$5:$C$504,MATCH(F111,請求台帳!$A$5:$A$504,0)),""))</f>
        <v/>
      </c>
      <c r="H111" s="31" t="str">
        <f aca="false">IF(F111="","",IFERROR(INDEX(請求台帳!$D$5:$D$504,MATCH(F111,請求台帳!$A$5:$A$504,0)),""))</f>
        <v/>
      </c>
      <c r="I111" s="27" t="str">
        <f aca="false">IF(F111="","",IFERROR(INDEX(請求台帳!$F$5:$F$504,MATCH(F111,請求台帳!$A$5:$A$504,0)),""))</f>
        <v/>
      </c>
      <c r="J111" s="28" t="str">
        <f aca="false">IF(COUNTA(B111,D111,E111,F111)=0,"",IF(OR(B111="",E111=""),"要入力",IF(N(B111)&gt;設定!$C$5,"日付誤り",IF(F111="","未消込",IF(ISNA(MATCH(F111,請求台帳!$A$5:$A$504,0)),"番号誤り",IF(INDEX(請求台帳!$Q$5:$Q$504,MATCH(F111,請求台帳!$A$5:$A$504,0))="取消","取消請求へ消込","消込済"))))))</f>
        <v/>
      </c>
      <c r="K111" s="26"/>
      <c r="L111" s="26"/>
    </row>
    <row r="112" customFormat="false" ht="15" hidden="false" customHeight="false" outlineLevel="0" collapsed="false">
      <c r="A112" s="31" t="str">
        <f aca="false">IF(COUNTA(B112,D112,E112,F112)=0,"",ROW()-4)</f>
        <v/>
      </c>
      <c r="B112" s="22"/>
      <c r="C112" s="26"/>
      <c r="D112" s="26"/>
      <c r="E112" s="18"/>
      <c r="F112" s="26"/>
      <c r="G112" s="31" t="str">
        <f aca="false">IF(F112="","",IFERROR(INDEX(請求台帳!$C$5:$C$504,MATCH(F112,請求台帳!$A$5:$A$504,0)),""))</f>
        <v/>
      </c>
      <c r="H112" s="31" t="str">
        <f aca="false">IF(F112="","",IFERROR(INDEX(請求台帳!$D$5:$D$504,MATCH(F112,請求台帳!$A$5:$A$504,0)),""))</f>
        <v/>
      </c>
      <c r="I112" s="27" t="str">
        <f aca="false">IF(F112="","",IFERROR(INDEX(請求台帳!$F$5:$F$504,MATCH(F112,請求台帳!$A$5:$A$504,0)),""))</f>
        <v/>
      </c>
      <c r="J112" s="28" t="str">
        <f aca="false">IF(COUNTA(B112,D112,E112,F112)=0,"",IF(OR(B112="",E112=""),"要入力",IF(N(B112)&gt;設定!$C$5,"日付誤り",IF(F112="","未消込",IF(ISNA(MATCH(F112,請求台帳!$A$5:$A$504,0)),"番号誤り",IF(INDEX(請求台帳!$Q$5:$Q$504,MATCH(F112,請求台帳!$A$5:$A$504,0))="取消","取消請求へ消込","消込済"))))))</f>
        <v/>
      </c>
      <c r="K112" s="26"/>
      <c r="L112" s="26"/>
    </row>
    <row r="113" customFormat="false" ht="15" hidden="false" customHeight="false" outlineLevel="0" collapsed="false">
      <c r="A113" s="31" t="str">
        <f aca="false">IF(COUNTA(B113,D113,E113,F113)=0,"",ROW()-4)</f>
        <v/>
      </c>
      <c r="B113" s="22"/>
      <c r="C113" s="26"/>
      <c r="D113" s="26"/>
      <c r="E113" s="18"/>
      <c r="F113" s="26"/>
      <c r="G113" s="31" t="str">
        <f aca="false">IF(F113="","",IFERROR(INDEX(請求台帳!$C$5:$C$504,MATCH(F113,請求台帳!$A$5:$A$504,0)),""))</f>
        <v/>
      </c>
      <c r="H113" s="31" t="str">
        <f aca="false">IF(F113="","",IFERROR(INDEX(請求台帳!$D$5:$D$504,MATCH(F113,請求台帳!$A$5:$A$504,0)),""))</f>
        <v/>
      </c>
      <c r="I113" s="27" t="str">
        <f aca="false">IF(F113="","",IFERROR(INDEX(請求台帳!$F$5:$F$504,MATCH(F113,請求台帳!$A$5:$A$504,0)),""))</f>
        <v/>
      </c>
      <c r="J113" s="28" t="str">
        <f aca="false">IF(COUNTA(B113,D113,E113,F113)=0,"",IF(OR(B113="",E113=""),"要入力",IF(N(B113)&gt;設定!$C$5,"日付誤り",IF(F113="","未消込",IF(ISNA(MATCH(F113,請求台帳!$A$5:$A$504,0)),"番号誤り",IF(INDEX(請求台帳!$Q$5:$Q$504,MATCH(F113,請求台帳!$A$5:$A$504,0))="取消","取消請求へ消込","消込済"))))))</f>
        <v/>
      </c>
      <c r="K113" s="26"/>
      <c r="L113" s="26"/>
    </row>
    <row r="114" customFormat="false" ht="15" hidden="false" customHeight="false" outlineLevel="0" collapsed="false">
      <c r="A114" s="31" t="str">
        <f aca="false">IF(COUNTA(B114,D114,E114,F114)=0,"",ROW()-4)</f>
        <v/>
      </c>
      <c r="B114" s="22"/>
      <c r="C114" s="26"/>
      <c r="D114" s="26"/>
      <c r="E114" s="18"/>
      <c r="F114" s="26"/>
      <c r="G114" s="31" t="str">
        <f aca="false">IF(F114="","",IFERROR(INDEX(請求台帳!$C$5:$C$504,MATCH(F114,請求台帳!$A$5:$A$504,0)),""))</f>
        <v/>
      </c>
      <c r="H114" s="31" t="str">
        <f aca="false">IF(F114="","",IFERROR(INDEX(請求台帳!$D$5:$D$504,MATCH(F114,請求台帳!$A$5:$A$504,0)),""))</f>
        <v/>
      </c>
      <c r="I114" s="27" t="str">
        <f aca="false">IF(F114="","",IFERROR(INDEX(請求台帳!$F$5:$F$504,MATCH(F114,請求台帳!$A$5:$A$504,0)),""))</f>
        <v/>
      </c>
      <c r="J114" s="28" t="str">
        <f aca="false">IF(COUNTA(B114,D114,E114,F114)=0,"",IF(OR(B114="",E114=""),"要入力",IF(N(B114)&gt;設定!$C$5,"日付誤り",IF(F114="","未消込",IF(ISNA(MATCH(F114,請求台帳!$A$5:$A$504,0)),"番号誤り",IF(INDEX(請求台帳!$Q$5:$Q$504,MATCH(F114,請求台帳!$A$5:$A$504,0))="取消","取消請求へ消込","消込済"))))))</f>
        <v/>
      </c>
      <c r="K114" s="26"/>
      <c r="L114" s="26"/>
    </row>
    <row r="115" customFormat="false" ht="15" hidden="false" customHeight="false" outlineLevel="0" collapsed="false">
      <c r="A115" s="31" t="str">
        <f aca="false">IF(COUNTA(B115,D115,E115,F115)=0,"",ROW()-4)</f>
        <v/>
      </c>
      <c r="B115" s="22"/>
      <c r="C115" s="26"/>
      <c r="D115" s="26"/>
      <c r="E115" s="18"/>
      <c r="F115" s="26"/>
      <c r="G115" s="31" t="str">
        <f aca="false">IF(F115="","",IFERROR(INDEX(請求台帳!$C$5:$C$504,MATCH(F115,請求台帳!$A$5:$A$504,0)),""))</f>
        <v/>
      </c>
      <c r="H115" s="31" t="str">
        <f aca="false">IF(F115="","",IFERROR(INDEX(請求台帳!$D$5:$D$504,MATCH(F115,請求台帳!$A$5:$A$504,0)),""))</f>
        <v/>
      </c>
      <c r="I115" s="27" t="str">
        <f aca="false">IF(F115="","",IFERROR(INDEX(請求台帳!$F$5:$F$504,MATCH(F115,請求台帳!$A$5:$A$504,0)),""))</f>
        <v/>
      </c>
      <c r="J115" s="28" t="str">
        <f aca="false">IF(COUNTA(B115,D115,E115,F115)=0,"",IF(OR(B115="",E115=""),"要入力",IF(N(B115)&gt;設定!$C$5,"日付誤り",IF(F115="","未消込",IF(ISNA(MATCH(F115,請求台帳!$A$5:$A$504,0)),"番号誤り",IF(INDEX(請求台帳!$Q$5:$Q$504,MATCH(F115,請求台帳!$A$5:$A$504,0))="取消","取消請求へ消込","消込済"))))))</f>
        <v/>
      </c>
      <c r="K115" s="26"/>
      <c r="L115" s="26"/>
    </row>
    <row r="116" customFormat="false" ht="15" hidden="false" customHeight="false" outlineLevel="0" collapsed="false">
      <c r="A116" s="31" t="str">
        <f aca="false">IF(COUNTA(B116,D116,E116,F116)=0,"",ROW()-4)</f>
        <v/>
      </c>
      <c r="B116" s="22"/>
      <c r="C116" s="26"/>
      <c r="D116" s="26"/>
      <c r="E116" s="18"/>
      <c r="F116" s="26"/>
      <c r="G116" s="31" t="str">
        <f aca="false">IF(F116="","",IFERROR(INDEX(請求台帳!$C$5:$C$504,MATCH(F116,請求台帳!$A$5:$A$504,0)),""))</f>
        <v/>
      </c>
      <c r="H116" s="31" t="str">
        <f aca="false">IF(F116="","",IFERROR(INDEX(請求台帳!$D$5:$D$504,MATCH(F116,請求台帳!$A$5:$A$504,0)),""))</f>
        <v/>
      </c>
      <c r="I116" s="27" t="str">
        <f aca="false">IF(F116="","",IFERROR(INDEX(請求台帳!$F$5:$F$504,MATCH(F116,請求台帳!$A$5:$A$504,0)),""))</f>
        <v/>
      </c>
      <c r="J116" s="28" t="str">
        <f aca="false">IF(COUNTA(B116,D116,E116,F116)=0,"",IF(OR(B116="",E116=""),"要入力",IF(N(B116)&gt;設定!$C$5,"日付誤り",IF(F116="","未消込",IF(ISNA(MATCH(F116,請求台帳!$A$5:$A$504,0)),"番号誤り",IF(INDEX(請求台帳!$Q$5:$Q$504,MATCH(F116,請求台帳!$A$5:$A$504,0))="取消","取消請求へ消込","消込済"))))))</f>
        <v/>
      </c>
      <c r="K116" s="26"/>
      <c r="L116" s="26"/>
    </row>
    <row r="117" customFormat="false" ht="15" hidden="false" customHeight="false" outlineLevel="0" collapsed="false">
      <c r="A117" s="31" t="str">
        <f aca="false">IF(COUNTA(B117,D117,E117,F117)=0,"",ROW()-4)</f>
        <v/>
      </c>
      <c r="B117" s="22"/>
      <c r="C117" s="26"/>
      <c r="D117" s="26"/>
      <c r="E117" s="18"/>
      <c r="F117" s="26"/>
      <c r="G117" s="31" t="str">
        <f aca="false">IF(F117="","",IFERROR(INDEX(請求台帳!$C$5:$C$504,MATCH(F117,請求台帳!$A$5:$A$504,0)),""))</f>
        <v/>
      </c>
      <c r="H117" s="31" t="str">
        <f aca="false">IF(F117="","",IFERROR(INDEX(請求台帳!$D$5:$D$504,MATCH(F117,請求台帳!$A$5:$A$504,0)),""))</f>
        <v/>
      </c>
      <c r="I117" s="27" t="str">
        <f aca="false">IF(F117="","",IFERROR(INDEX(請求台帳!$F$5:$F$504,MATCH(F117,請求台帳!$A$5:$A$504,0)),""))</f>
        <v/>
      </c>
      <c r="J117" s="28" t="str">
        <f aca="false">IF(COUNTA(B117,D117,E117,F117)=0,"",IF(OR(B117="",E117=""),"要入力",IF(N(B117)&gt;設定!$C$5,"日付誤り",IF(F117="","未消込",IF(ISNA(MATCH(F117,請求台帳!$A$5:$A$504,0)),"番号誤り",IF(INDEX(請求台帳!$Q$5:$Q$504,MATCH(F117,請求台帳!$A$5:$A$504,0))="取消","取消請求へ消込","消込済"))))))</f>
        <v/>
      </c>
      <c r="K117" s="26"/>
      <c r="L117" s="26"/>
    </row>
    <row r="118" customFormat="false" ht="15" hidden="false" customHeight="false" outlineLevel="0" collapsed="false">
      <c r="A118" s="31" t="str">
        <f aca="false">IF(COUNTA(B118,D118,E118,F118)=0,"",ROW()-4)</f>
        <v/>
      </c>
      <c r="B118" s="22"/>
      <c r="C118" s="26"/>
      <c r="D118" s="26"/>
      <c r="E118" s="18"/>
      <c r="F118" s="26"/>
      <c r="G118" s="31" t="str">
        <f aca="false">IF(F118="","",IFERROR(INDEX(請求台帳!$C$5:$C$504,MATCH(F118,請求台帳!$A$5:$A$504,0)),""))</f>
        <v/>
      </c>
      <c r="H118" s="31" t="str">
        <f aca="false">IF(F118="","",IFERROR(INDEX(請求台帳!$D$5:$D$504,MATCH(F118,請求台帳!$A$5:$A$504,0)),""))</f>
        <v/>
      </c>
      <c r="I118" s="27" t="str">
        <f aca="false">IF(F118="","",IFERROR(INDEX(請求台帳!$F$5:$F$504,MATCH(F118,請求台帳!$A$5:$A$504,0)),""))</f>
        <v/>
      </c>
      <c r="J118" s="28" t="str">
        <f aca="false">IF(COUNTA(B118,D118,E118,F118)=0,"",IF(OR(B118="",E118=""),"要入力",IF(N(B118)&gt;設定!$C$5,"日付誤り",IF(F118="","未消込",IF(ISNA(MATCH(F118,請求台帳!$A$5:$A$504,0)),"番号誤り",IF(INDEX(請求台帳!$Q$5:$Q$504,MATCH(F118,請求台帳!$A$5:$A$504,0))="取消","取消請求へ消込","消込済"))))))</f>
        <v/>
      </c>
      <c r="K118" s="26"/>
      <c r="L118" s="26"/>
    </row>
    <row r="119" customFormat="false" ht="15" hidden="false" customHeight="false" outlineLevel="0" collapsed="false">
      <c r="A119" s="31" t="str">
        <f aca="false">IF(COUNTA(B119,D119,E119,F119)=0,"",ROW()-4)</f>
        <v/>
      </c>
      <c r="B119" s="22"/>
      <c r="C119" s="26"/>
      <c r="D119" s="26"/>
      <c r="E119" s="18"/>
      <c r="F119" s="26"/>
      <c r="G119" s="31" t="str">
        <f aca="false">IF(F119="","",IFERROR(INDEX(請求台帳!$C$5:$C$504,MATCH(F119,請求台帳!$A$5:$A$504,0)),""))</f>
        <v/>
      </c>
      <c r="H119" s="31" t="str">
        <f aca="false">IF(F119="","",IFERROR(INDEX(請求台帳!$D$5:$D$504,MATCH(F119,請求台帳!$A$5:$A$504,0)),""))</f>
        <v/>
      </c>
      <c r="I119" s="27" t="str">
        <f aca="false">IF(F119="","",IFERROR(INDEX(請求台帳!$F$5:$F$504,MATCH(F119,請求台帳!$A$5:$A$504,0)),""))</f>
        <v/>
      </c>
      <c r="J119" s="28" t="str">
        <f aca="false">IF(COUNTA(B119,D119,E119,F119)=0,"",IF(OR(B119="",E119=""),"要入力",IF(N(B119)&gt;設定!$C$5,"日付誤り",IF(F119="","未消込",IF(ISNA(MATCH(F119,請求台帳!$A$5:$A$504,0)),"番号誤り",IF(INDEX(請求台帳!$Q$5:$Q$504,MATCH(F119,請求台帳!$A$5:$A$504,0))="取消","取消請求へ消込","消込済"))))))</f>
        <v/>
      </c>
      <c r="K119" s="26"/>
      <c r="L119" s="26"/>
    </row>
    <row r="120" customFormat="false" ht="15" hidden="false" customHeight="false" outlineLevel="0" collapsed="false">
      <c r="A120" s="31" t="str">
        <f aca="false">IF(COUNTA(B120,D120,E120,F120)=0,"",ROW()-4)</f>
        <v/>
      </c>
      <c r="B120" s="22"/>
      <c r="C120" s="26"/>
      <c r="D120" s="26"/>
      <c r="E120" s="18"/>
      <c r="F120" s="26"/>
      <c r="G120" s="31" t="str">
        <f aca="false">IF(F120="","",IFERROR(INDEX(請求台帳!$C$5:$C$504,MATCH(F120,請求台帳!$A$5:$A$504,0)),""))</f>
        <v/>
      </c>
      <c r="H120" s="31" t="str">
        <f aca="false">IF(F120="","",IFERROR(INDEX(請求台帳!$D$5:$D$504,MATCH(F120,請求台帳!$A$5:$A$504,0)),""))</f>
        <v/>
      </c>
      <c r="I120" s="27" t="str">
        <f aca="false">IF(F120="","",IFERROR(INDEX(請求台帳!$F$5:$F$504,MATCH(F120,請求台帳!$A$5:$A$504,0)),""))</f>
        <v/>
      </c>
      <c r="J120" s="28" t="str">
        <f aca="false">IF(COUNTA(B120,D120,E120,F120)=0,"",IF(OR(B120="",E120=""),"要入力",IF(N(B120)&gt;設定!$C$5,"日付誤り",IF(F120="","未消込",IF(ISNA(MATCH(F120,請求台帳!$A$5:$A$504,0)),"番号誤り",IF(INDEX(請求台帳!$Q$5:$Q$504,MATCH(F120,請求台帳!$A$5:$A$504,0))="取消","取消請求へ消込","消込済"))))))</f>
        <v/>
      </c>
      <c r="K120" s="26"/>
      <c r="L120" s="26"/>
    </row>
    <row r="121" customFormat="false" ht="15" hidden="false" customHeight="false" outlineLevel="0" collapsed="false">
      <c r="A121" s="31" t="str">
        <f aca="false">IF(COUNTA(B121,D121,E121,F121)=0,"",ROW()-4)</f>
        <v/>
      </c>
      <c r="B121" s="22"/>
      <c r="C121" s="26"/>
      <c r="D121" s="26"/>
      <c r="E121" s="18"/>
      <c r="F121" s="26"/>
      <c r="G121" s="31" t="str">
        <f aca="false">IF(F121="","",IFERROR(INDEX(請求台帳!$C$5:$C$504,MATCH(F121,請求台帳!$A$5:$A$504,0)),""))</f>
        <v/>
      </c>
      <c r="H121" s="31" t="str">
        <f aca="false">IF(F121="","",IFERROR(INDEX(請求台帳!$D$5:$D$504,MATCH(F121,請求台帳!$A$5:$A$504,0)),""))</f>
        <v/>
      </c>
      <c r="I121" s="27" t="str">
        <f aca="false">IF(F121="","",IFERROR(INDEX(請求台帳!$F$5:$F$504,MATCH(F121,請求台帳!$A$5:$A$504,0)),""))</f>
        <v/>
      </c>
      <c r="J121" s="28" t="str">
        <f aca="false">IF(COUNTA(B121,D121,E121,F121)=0,"",IF(OR(B121="",E121=""),"要入力",IF(N(B121)&gt;設定!$C$5,"日付誤り",IF(F121="","未消込",IF(ISNA(MATCH(F121,請求台帳!$A$5:$A$504,0)),"番号誤り",IF(INDEX(請求台帳!$Q$5:$Q$504,MATCH(F121,請求台帳!$A$5:$A$504,0))="取消","取消請求へ消込","消込済"))))))</f>
        <v/>
      </c>
      <c r="K121" s="26"/>
      <c r="L121" s="26"/>
    </row>
    <row r="122" customFormat="false" ht="15" hidden="false" customHeight="false" outlineLevel="0" collapsed="false">
      <c r="A122" s="31" t="str">
        <f aca="false">IF(COUNTA(B122,D122,E122,F122)=0,"",ROW()-4)</f>
        <v/>
      </c>
      <c r="B122" s="22"/>
      <c r="C122" s="26"/>
      <c r="D122" s="26"/>
      <c r="E122" s="18"/>
      <c r="F122" s="26"/>
      <c r="G122" s="31" t="str">
        <f aca="false">IF(F122="","",IFERROR(INDEX(請求台帳!$C$5:$C$504,MATCH(F122,請求台帳!$A$5:$A$504,0)),""))</f>
        <v/>
      </c>
      <c r="H122" s="31" t="str">
        <f aca="false">IF(F122="","",IFERROR(INDEX(請求台帳!$D$5:$D$504,MATCH(F122,請求台帳!$A$5:$A$504,0)),""))</f>
        <v/>
      </c>
      <c r="I122" s="27" t="str">
        <f aca="false">IF(F122="","",IFERROR(INDEX(請求台帳!$F$5:$F$504,MATCH(F122,請求台帳!$A$5:$A$504,0)),""))</f>
        <v/>
      </c>
      <c r="J122" s="28" t="str">
        <f aca="false">IF(COUNTA(B122,D122,E122,F122)=0,"",IF(OR(B122="",E122=""),"要入力",IF(N(B122)&gt;設定!$C$5,"日付誤り",IF(F122="","未消込",IF(ISNA(MATCH(F122,請求台帳!$A$5:$A$504,0)),"番号誤り",IF(INDEX(請求台帳!$Q$5:$Q$504,MATCH(F122,請求台帳!$A$5:$A$504,0))="取消","取消請求へ消込","消込済"))))))</f>
        <v/>
      </c>
      <c r="K122" s="26"/>
      <c r="L122" s="26"/>
    </row>
    <row r="123" customFormat="false" ht="15" hidden="false" customHeight="false" outlineLevel="0" collapsed="false">
      <c r="A123" s="31" t="str">
        <f aca="false">IF(COUNTA(B123,D123,E123,F123)=0,"",ROW()-4)</f>
        <v/>
      </c>
      <c r="B123" s="22"/>
      <c r="C123" s="26"/>
      <c r="D123" s="26"/>
      <c r="E123" s="18"/>
      <c r="F123" s="26"/>
      <c r="G123" s="31" t="str">
        <f aca="false">IF(F123="","",IFERROR(INDEX(請求台帳!$C$5:$C$504,MATCH(F123,請求台帳!$A$5:$A$504,0)),""))</f>
        <v/>
      </c>
      <c r="H123" s="31" t="str">
        <f aca="false">IF(F123="","",IFERROR(INDEX(請求台帳!$D$5:$D$504,MATCH(F123,請求台帳!$A$5:$A$504,0)),""))</f>
        <v/>
      </c>
      <c r="I123" s="27" t="str">
        <f aca="false">IF(F123="","",IFERROR(INDEX(請求台帳!$F$5:$F$504,MATCH(F123,請求台帳!$A$5:$A$504,0)),""))</f>
        <v/>
      </c>
      <c r="J123" s="28" t="str">
        <f aca="false">IF(COUNTA(B123,D123,E123,F123)=0,"",IF(OR(B123="",E123=""),"要入力",IF(N(B123)&gt;設定!$C$5,"日付誤り",IF(F123="","未消込",IF(ISNA(MATCH(F123,請求台帳!$A$5:$A$504,0)),"番号誤り",IF(INDEX(請求台帳!$Q$5:$Q$504,MATCH(F123,請求台帳!$A$5:$A$504,0))="取消","取消請求へ消込","消込済"))))))</f>
        <v/>
      </c>
      <c r="K123" s="26"/>
      <c r="L123" s="26"/>
    </row>
    <row r="124" customFormat="false" ht="15" hidden="false" customHeight="false" outlineLevel="0" collapsed="false">
      <c r="A124" s="31" t="str">
        <f aca="false">IF(COUNTA(B124,D124,E124,F124)=0,"",ROW()-4)</f>
        <v/>
      </c>
      <c r="B124" s="22"/>
      <c r="C124" s="26"/>
      <c r="D124" s="26"/>
      <c r="E124" s="18"/>
      <c r="F124" s="26"/>
      <c r="G124" s="31" t="str">
        <f aca="false">IF(F124="","",IFERROR(INDEX(請求台帳!$C$5:$C$504,MATCH(F124,請求台帳!$A$5:$A$504,0)),""))</f>
        <v/>
      </c>
      <c r="H124" s="31" t="str">
        <f aca="false">IF(F124="","",IFERROR(INDEX(請求台帳!$D$5:$D$504,MATCH(F124,請求台帳!$A$5:$A$504,0)),""))</f>
        <v/>
      </c>
      <c r="I124" s="27" t="str">
        <f aca="false">IF(F124="","",IFERROR(INDEX(請求台帳!$F$5:$F$504,MATCH(F124,請求台帳!$A$5:$A$504,0)),""))</f>
        <v/>
      </c>
      <c r="J124" s="28" t="str">
        <f aca="false">IF(COUNTA(B124,D124,E124,F124)=0,"",IF(OR(B124="",E124=""),"要入力",IF(N(B124)&gt;設定!$C$5,"日付誤り",IF(F124="","未消込",IF(ISNA(MATCH(F124,請求台帳!$A$5:$A$504,0)),"番号誤り",IF(INDEX(請求台帳!$Q$5:$Q$504,MATCH(F124,請求台帳!$A$5:$A$504,0))="取消","取消請求へ消込","消込済"))))))</f>
        <v/>
      </c>
      <c r="K124" s="26"/>
      <c r="L124" s="26"/>
    </row>
    <row r="125" customFormat="false" ht="15" hidden="false" customHeight="false" outlineLevel="0" collapsed="false">
      <c r="A125" s="31" t="str">
        <f aca="false">IF(COUNTA(B125,D125,E125,F125)=0,"",ROW()-4)</f>
        <v/>
      </c>
      <c r="B125" s="22"/>
      <c r="C125" s="26"/>
      <c r="D125" s="26"/>
      <c r="E125" s="18"/>
      <c r="F125" s="26"/>
      <c r="G125" s="31" t="str">
        <f aca="false">IF(F125="","",IFERROR(INDEX(請求台帳!$C$5:$C$504,MATCH(F125,請求台帳!$A$5:$A$504,0)),""))</f>
        <v/>
      </c>
      <c r="H125" s="31" t="str">
        <f aca="false">IF(F125="","",IFERROR(INDEX(請求台帳!$D$5:$D$504,MATCH(F125,請求台帳!$A$5:$A$504,0)),""))</f>
        <v/>
      </c>
      <c r="I125" s="27" t="str">
        <f aca="false">IF(F125="","",IFERROR(INDEX(請求台帳!$F$5:$F$504,MATCH(F125,請求台帳!$A$5:$A$504,0)),""))</f>
        <v/>
      </c>
      <c r="J125" s="28" t="str">
        <f aca="false">IF(COUNTA(B125,D125,E125,F125)=0,"",IF(OR(B125="",E125=""),"要入力",IF(N(B125)&gt;設定!$C$5,"日付誤り",IF(F125="","未消込",IF(ISNA(MATCH(F125,請求台帳!$A$5:$A$504,0)),"番号誤り",IF(INDEX(請求台帳!$Q$5:$Q$504,MATCH(F125,請求台帳!$A$5:$A$504,0))="取消","取消請求へ消込","消込済"))))))</f>
        <v/>
      </c>
      <c r="K125" s="26"/>
      <c r="L125" s="26"/>
    </row>
    <row r="126" customFormat="false" ht="15" hidden="false" customHeight="false" outlineLevel="0" collapsed="false">
      <c r="A126" s="31" t="str">
        <f aca="false">IF(COUNTA(B126,D126,E126,F126)=0,"",ROW()-4)</f>
        <v/>
      </c>
      <c r="B126" s="22"/>
      <c r="C126" s="26"/>
      <c r="D126" s="26"/>
      <c r="E126" s="18"/>
      <c r="F126" s="26"/>
      <c r="G126" s="31" t="str">
        <f aca="false">IF(F126="","",IFERROR(INDEX(請求台帳!$C$5:$C$504,MATCH(F126,請求台帳!$A$5:$A$504,0)),""))</f>
        <v/>
      </c>
      <c r="H126" s="31" t="str">
        <f aca="false">IF(F126="","",IFERROR(INDEX(請求台帳!$D$5:$D$504,MATCH(F126,請求台帳!$A$5:$A$504,0)),""))</f>
        <v/>
      </c>
      <c r="I126" s="27" t="str">
        <f aca="false">IF(F126="","",IFERROR(INDEX(請求台帳!$F$5:$F$504,MATCH(F126,請求台帳!$A$5:$A$504,0)),""))</f>
        <v/>
      </c>
      <c r="J126" s="28" t="str">
        <f aca="false">IF(COUNTA(B126,D126,E126,F126)=0,"",IF(OR(B126="",E126=""),"要入力",IF(N(B126)&gt;設定!$C$5,"日付誤り",IF(F126="","未消込",IF(ISNA(MATCH(F126,請求台帳!$A$5:$A$504,0)),"番号誤り",IF(INDEX(請求台帳!$Q$5:$Q$504,MATCH(F126,請求台帳!$A$5:$A$504,0))="取消","取消請求へ消込","消込済"))))))</f>
        <v/>
      </c>
      <c r="K126" s="26"/>
      <c r="L126" s="26"/>
    </row>
    <row r="127" customFormat="false" ht="15" hidden="false" customHeight="false" outlineLevel="0" collapsed="false">
      <c r="A127" s="31" t="str">
        <f aca="false">IF(COUNTA(B127,D127,E127,F127)=0,"",ROW()-4)</f>
        <v/>
      </c>
      <c r="B127" s="22"/>
      <c r="C127" s="26"/>
      <c r="D127" s="26"/>
      <c r="E127" s="18"/>
      <c r="F127" s="26"/>
      <c r="G127" s="31" t="str">
        <f aca="false">IF(F127="","",IFERROR(INDEX(請求台帳!$C$5:$C$504,MATCH(F127,請求台帳!$A$5:$A$504,0)),""))</f>
        <v/>
      </c>
      <c r="H127" s="31" t="str">
        <f aca="false">IF(F127="","",IFERROR(INDEX(請求台帳!$D$5:$D$504,MATCH(F127,請求台帳!$A$5:$A$504,0)),""))</f>
        <v/>
      </c>
      <c r="I127" s="27" t="str">
        <f aca="false">IF(F127="","",IFERROR(INDEX(請求台帳!$F$5:$F$504,MATCH(F127,請求台帳!$A$5:$A$504,0)),""))</f>
        <v/>
      </c>
      <c r="J127" s="28" t="str">
        <f aca="false">IF(COUNTA(B127,D127,E127,F127)=0,"",IF(OR(B127="",E127=""),"要入力",IF(N(B127)&gt;設定!$C$5,"日付誤り",IF(F127="","未消込",IF(ISNA(MATCH(F127,請求台帳!$A$5:$A$504,0)),"番号誤り",IF(INDEX(請求台帳!$Q$5:$Q$504,MATCH(F127,請求台帳!$A$5:$A$504,0))="取消","取消請求へ消込","消込済"))))))</f>
        <v/>
      </c>
      <c r="K127" s="26"/>
      <c r="L127" s="26"/>
    </row>
    <row r="128" customFormat="false" ht="15" hidden="false" customHeight="false" outlineLevel="0" collapsed="false">
      <c r="A128" s="31" t="str">
        <f aca="false">IF(COUNTA(B128,D128,E128,F128)=0,"",ROW()-4)</f>
        <v/>
      </c>
      <c r="B128" s="22"/>
      <c r="C128" s="26"/>
      <c r="D128" s="26"/>
      <c r="E128" s="18"/>
      <c r="F128" s="26"/>
      <c r="G128" s="31" t="str">
        <f aca="false">IF(F128="","",IFERROR(INDEX(請求台帳!$C$5:$C$504,MATCH(F128,請求台帳!$A$5:$A$504,0)),""))</f>
        <v/>
      </c>
      <c r="H128" s="31" t="str">
        <f aca="false">IF(F128="","",IFERROR(INDEX(請求台帳!$D$5:$D$504,MATCH(F128,請求台帳!$A$5:$A$504,0)),""))</f>
        <v/>
      </c>
      <c r="I128" s="27" t="str">
        <f aca="false">IF(F128="","",IFERROR(INDEX(請求台帳!$F$5:$F$504,MATCH(F128,請求台帳!$A$5:$A$504,0)),""))</f>
        <v/>
      </c>
      <c r="J128" s="28" t="str">
        <f aca="false">IF(COUNTA(B128,D128,E128,F128)=0,"",IF(OR(B128="",E128=""),"要入力",IF(N(B128)&gt;設定!$C$5,"日付誤り",IF(F128="","未消込",IF(ISNA(MATCH(F128,請求台帳!$A$5:$A$504,0)),"番号誤り",IF(INDEX(請求台帳!$Q$5:$Q$504,MATCH(F128,請求台帳!$A$5:$A$504,0))="取消","取消請求へ消込","消込済"))))))</f>
        <v/>
      </c>
      <c r="K128" s="26"/>
      <c r="L128" s="26"/>
    </row>
    <row r="129" customFormat="false" ht="15" hidden="false" customHeight="false" outlineLevel="0" collapsed="false">
      <c r="A129" s="31" t="str">
        <f aca="false">IF(COUNTA(B129,D129,E129,F129)=0,"",ROW()-4)</f>
        <v/>
      </c>
      <c r="B129" s="22"/>
      <c r="C129" s="26"/>
      <c r="D129" s="26"/>
      <c r="E129" s="18"/>
      <c r="F129" s="26"/>
      <c r="G129" s="31" t="str">
        <f aca="false">IF(F129="","",IFERROR(INDEX(請求台帳!$C$5:$C$504,MATCH(F129,請求台帳!$A$5:$A$504,0)),""))</f>
        <v/>
      </c>
      <c r="H129" s="31" t="str">
        <f aca="false">IF(F129="","",IFERROR(INDEX(請求台帳!$D$5:$D$504,MATCH(F129,請求台帳!$A$5:$A$504,0)),""))</f>
        <v/>
      </c>
      <c r="I129" s="27" t="str">
        <f aca="false">IF(F129="","",IFERROR(INDEX(請求台帳!$F$5:$F$504,MATCH(F129,請求台帳!$A$5:$A$504,0)),""))</f>
        <v/>
      </c>
      <c r="J129" s="28" t="str">
        <f aca="false">IF(COUNTA(B129,D129,E129,F129)=0,"",IF(OR(B129="",E129=""),"要入力",IF(N(B129)&gt;設定!$C$5,"日付誤り",IF(F129="","未消込",IF(ISNA(MATCH(F129,請求台帳!$A$5:$A$504,0)),"番号誤り",IF(INDEX(請求台帳!$Q$5:$Q$504,MATCH(F129,請求台帳!$A$5:$A$504,0))="取消","取消請求へ消込","消込済"))))))</f>
        <v/>
      </c>
      <c r="K129" s="26"/>
      <c r="L129" s="26"/>
    </row>
    <row r="130" customFormat="false" ht="15" hidden="false" customHeight="false" outlineLevel="0" collapsed="false">
      <c r="A130" s="31" t="str">
        <f aca="false">IF(COUNTA(B130,D130,E130,F130)=0,"",ROW()-4)</f>
        <v/>
      </c>
      <c r="B130" s="22"/>
      <c r="C130" s="26"/>
      <c r="D130" s="26"/>
      <c r="E130" s="18"/>
      <c r="F130" s="26"/>
      <c r="G130" s="31" t="str">
        <f aca="false">IF(F130="","",IFERROR(INDEX(請求台帳!$C$5:$C$504,MATCH(F130,請求台帳!$A$5:$A$504,0)),""))</f>
        <v/>
      </c>
      <c r="H130" s="31" t="str">
        <f aca="false">IF(F130="","",IFERROR(INDEX(請求台帳!$D$5:$D$504,MATCH(F130,請求台帳!$A$5:$A$504,0)),""))</f>
        <v/>
      </c>
      <c r="I130" s="27" t="str">
        <f aca="false">IF(F130="","",IFERROR(INDEX(請求台帳!$F$5:$F$504,MATCH(F130,請求台帳!$A$5:$A$504,0)),""))</f>
        <v/>
      </c>
      <c r="J130" s="28" t="str">
        <f aca="false">IF(COUNTA(B130,D130,E130,F130)=0,"",IF(OR(B130="",E130=""),"要入力",IF(N(B130)&gt;設定!$C$5,"日付誤り",IF(F130="","未消込",IF(ISNA(MATCH(F130,請求台帳!$A$5:$A$504,0)),"番号誤り",IF(INDEX(請求台帳!$Q$5:$Q$504,MATCH(F130,請求台帳!$A$5:$A$504,0))="取消","取消請求へ消込","消込済"))))))</f>
        <v/>
      </c>
      <c r="K130" s="26"/>
      <c r="L130" s="26"/>
    </row>
    <row r="131" customFormat="false" ht="15" hidden="false" customHeight="false" outlineLevel="0" collapsed="false">
      <c r="A131" s="31" t="str">
        <f aca="false">IF(COUNTA(B131,D131,E131,F131)=0,"",ROW()-4)</f>
        <v/>
      </c>
      <c r="B131" s="22"/>
      <c r="C131" s="26"/>
      <c r="D131" s="26"/>
      <c r="E131" s="18"/>
      <c r="F131" s="26"/>
      <c r="G131" s="31" t="str">
        <f aca="false">IF(F131="","",IFERROR(INDEX(請求台帳!$C$5:$C$504,MATCH(F131,請求台帳!$A$5:$A$504,0)),""))</f>
        <v/>
      </c>
      <c r="H131" s="31" t="str">
        <f aca="false">IF(F131="","",IFERROR(INDEX(請求台帳!$D$5:$D$504,MATCH(F131,請求台帳!$A$5:$A$504,0)),""))</f>
        <v/>
      </c>
      <c r="I131" s="27" t="str">
        <f aca="false">IF(F131="","",IFERROR(INDEX(請求台帳!$F$5:$F$504,MATCH(F131,請求台帳!$A$5:$A$504,0)),""))</f>
        <v/>
      </c>
      <c r="J131" s="28" t="str">
        <f aca="false">IF(COUNTA(B131,D131,E131,F131)=0,"",IF(OR(B131="",E131=""),"要入力",IF(N(B131)&gt;設定!$C$5,"日付誤り",IF(F131="","未消込",IF(ISNA(MATCH(F131,請求台帳!$A$5:$A$504,0)),"番号誤り",IF(INDEX(請求台帳!$Q$5:$Q$504,MATCH(F131,請求台帳!$A$5:$A$504,0))="取消","取消請求へ消込","消込済"))))))</f>
        <v/>
      </c>
      <c r="K131" s="26"/>
      <c r="L131" s="26"/>
    </row>
    <row r="132" customFormat="false" ht="15" hidden="false" customHeight="false" outlineLevel="0" collapsed="false">
      <c r="A132" s="31" t="str">
        <f aca="false">IF(COUNTA(B132,D132,E132,F132)=0,"",ROW()-4)</f>
        <v/>
      </c>
      <c r="B132" s="22"/>
      <c r="C132" s="26"/>
      <c r="D132" s="26"/>
      <c r="E132" s="18"/>
      <c r="F132" s="26"/>
      <c r="G132" s="31" t="str">
        <f aca="false">IF(F132="","",IFERROR(INDEX(請求台帳!$C$5:$C$504,MATCH(F132,請求台帳!$A$5:$A$504,0)),""))</f>
        <v/>
      </c>
      <c r="H132" s="31" t="str">
        <f aca="false">IF(F132="","",IFERROR(INDEX(請求台帳!$D$5:$D$504,MATCH(F132,請求台帳!$A$5:$A$504,0)),""))</f>
        <v/>
      </c>
      <c r="I132" s="27" t="str">
        <f aca="false">IF(F132="","",IFERROR(INDEX(請求台帳!$F$5:$F$504,MATCH(F132,請求台帳!$A$5:$A$504,0)),""))</f>
        <v/>
      </c>
      <c r="J132" s="28" t="str">
        <f aca="false">IF(COUNTA(B132,D132,E132,F132)=0,"",IF(OR(B132="",E132=""),"要入力",IF(N(B132)&gt;設定!$C$5,"日付誤り",IF(F132="","未消込",IF(ISNA(MATCH(F132,請求台帳!$A$5:$A$504,0)),"番号誤り",IF(INDEX(請求台帳!$Q$5:$Q$504,MATCH(F132,請求台帳!$A$5:$A$504,0))="取消","取消請求へ消込","消込済"))))))</f>
        <v/>
      </c>
      <c r="K132" s="26"/>
      <c r="L132" s="26"/>
    </row>
    <row r="133" customFormat="false" ht="15" hidden="false" customHeight="false" outlineLevel="0" collapsed="false">
      <c r="A133" s="31" t="str">
        <f aca="false">IF(COUNTA(B133,D133,E133,F133)=0,"",ROW()-4)</f>
        <v/>
      </c>
      <c r="B133" s="22"/>
      <c r="C133" s="26"/>
      <c r="D133" s="26"/>
      <c r="E133" s="18"/>
      <c r="F133" s="26"/>
      <c r="G133" s="31" t="str">
        <f aca="false">IF(F133="","",IFERROR(INDEX(請求台帳!$C$5:$C$504,MATCH(F133,請求台帳!$A$5:$A$504,0)),""))</f>
        <v/>
      </c>
      <c r="H133" s="31" t="str">
        <f aca="false">IF(F133="","",IFERROR(INDEX(請求台帳!$D$5:$D$504,MATCH(F133,請求台帳!$A$5:$A$504,0)),""))</f>
        <v/>
      </c>
      <c r="I133" s="27" t="str">
        <f aca="false">IF(F133="","",IFERROR(INDEX(請求台帳!$F$5:$F$504,MATCH(F133,請求台帳!$A$5:$A$504,0)),""))</f>
        <v/>
      </c>
      <c r="J133" s="28" t="str">
        <f aca="false">IF(COUNTA(B133,D133,E133,F133)=0,"",IF(OR(B133="",E133=""),"要入力",IF(N(B133)&gt;設定!$C$5,"日付誤り",IF(F133="","未消込",IF(ISNA(MATCH(F133,請求台帳!$A$5:$A$504,0)),"番号誤り",IF(INDEX(請求台帳!$Q$5:$Q$504,MATCH(F133,請求台帳!$A$5:$A$504,0))="取消","取消請求へ消込","消込済"))))))</f>
        <v/>
      </c>
      <c r="K133" s="26"/>
      <c r="L133" s="26"/>
    </row>
    <row r="134" customFormat="false" ht="15" hidden="false" customHeight="false" outlineLevel="0" collapsed="false">
      <c r="A134" s="31" t="str">
        <f aca="false">IF(COUNTA(B134,D134,E134,F134)=0,"",ROW()-4)</f>
        <v/>
      </c>
      <c r="B134" s="22"/>
      <c r="C134" s="26"/>
      <c r="D134" s="26"/>
      <c r="E134" s="18"/>
      <c r="F134" s="26"/>
      <c r="G134" s="31" t="str">
        <f aca="false">IF(F134="","",IFERROR(INDEX(請求台帳!$C$5:$C$504,MATCH(F134,請求台帳!$A$5:$A$504,0)),""))</f>
        <v/>
      </c>
      <c r="H134" s="31" t="str">
        <f aca="false">IF(F134="","",IFERROR(INDEX(請求台帳!$D$5:$D$504,MATCH(F134,請求台帳!$A$5:$A$504,0)),""))</f>
        <v/>
      </c>
      <c r="I134" s="27" t="str">
        <f aca="false">IF(F134="","",IFERROR(INDEX(請求台帳!$F$5:$F$504,MATCH(F134,請求台帳!$A$5:$A$504,0)),""))</f>
        <v/>
      </c>
      <c r="J134" s="28" t="str">
        <f aca="false">IF(COUNTA(B134,D134,E134,F134)=0,"",IF(OR(B134="",E134=""),"要入力",IF(N(B134)&gt;設定!$C$5,"日付誤り",IF(F134="","未消込",IF(ISNA(MATCH(F134,請求台帳!$A$5:$A$504,0)),"番号誤り",IF(INDEX(請求台帳!$Q$5:$Q$504,MATCH(F134,請求台帳!$A$5:$A$504,0))="取消","取消請求へ消込","消込済"))))))</f>
        <v/>
      </c>
      <c r="K134" s="26"/>
      <c r="L134" s="26"/>
    </row>
    <row r="135" customFormat="false" ht="15" hidden="false" customHeight="false" outlineLevel="0" collapsed="false">
      <c r="A135" s="31" t="str">
        <f aca="false">IF(COUNTA(B135,D135,E135,F135)=0,"",ROW()-4)</f>
        <v/>
      </c>
      <c r="B135" s="22"/>
      <c r="C135" s="26"/>
      <c r="D135" s="26"/>
      <c r="E135" s="18"/>
      <c r="F135" s="26"/>
      <c r="G135" s="31" t="str">
        <f aca="false">IF(F135="","",IFERROR(INDEX(請求台帳!$C$5:$C$504,MATCH(F135,請求台帳!$A$5:$A$504,0)),""))</f>
        <v/>
      </c>
      <c r="H135" s="31" t="str">
        <f aca="false">IF(F135="","",IFERROR(INDEX(請求台帳!$D$5:$D$504,MATCH(F135,請求台帳!$A$5:$A$504,0)),""))</f>
        <v/>
      </c>
      <c r="I135" s="27" t="str">
        <f aca="false">IF(F135="","",IFERROR(INDEX(請求台帳!$F$5:$F$504,MATCH(F135,請求台帳!$A$5:$A$504,0)),""))</f>
        <v/>
      </c>
      <c r="J135" s="28" t="str">
        <f aca="false">IF(COUNTA(B135,D135,E135,F135)=0,"",IF(OR(B135="",E135=""),"要入力",IF(N(B135)&gt;設定!$C$5,"日付誤り",IF(F135="","未消込",IF(ISNA(MATCH(F135,請求台帳!$A$5:$A$504,0)),"番号誤り",IF(INDEX(請求台帳!$Q$5:$Q$504,MATCH(F135,請求台帳!$A$5:$A$504,0))="取消","取消請求へ消込","消込済"))))))</f>
        <v/>
      </c>
      <c r="K135" s="26"/>
      <c r="L135" s="26"/>
    </row>
    <row r="136" customFormat="false" ht="15" hidden="false" customHeight="false" outlineLevel="0" collapsed="false">
      <c r="A136" s="31" t="str">
        <f aca="false">IF(COUNTA(B136,D136,E136,F136)=0,"",ROW()-4)</f>
        <v/>
      </c>
      <c r="B136" s="22"/>
      <c r="C136" s="26"/>
      <c r="D136" s="26"/>
      <c r="E136" s="18"/>
      <c r="F136" s="26"/>
      <c r="G136" s="31" t="str">
        <f aca="false">IF(F136="","",IFERROR(INDEX(請求台帳!$C$5:$C$504,MATCH(F136,請求台帳!$A$5:$A$504,0)),""))</f>
        <v/>
      </c>
      <c r="H136" s="31" t="str">
        <f aca="false">IF(F136="","",IFERROR(INDEX(請求台帳!$D$5:$D$504,MATCH(F136,請求台帳!$A$5:$A$504,0)),""))</f>
        <v/>
      </c>
      <c r="I136" s="27" t="str">
        <f aca="false">IF(F136="","",IFERROR(INDEX(請求台帳!$F$5:$F$504,MATCH(F136,請求台帳!$A$5:$A$504,0)),""))</f>
        <v/>
      </c>
      <c r="J136" s="28" t="str">
        <f aca="false">IF(COUNTA(B136,D136,E136,F136)=0,"",IF(OR(B136="",E136=""),"要入力",IF(N(B136)&gt;設定!$C$5,"日付誤り",IF(F136="","未消込",IF(ISNA(MATCH(F136,請求台帳!$A$5:$A$504,0)),"番号誤り",IF(INDEX(請求台帳!$Q$5:$Q$504,MATCH(F136,請求台帳!$A$5:$A$504,0))="取消","取消請求へ消込","消込済"))))))</f>
        <v/>
      </c>
      <c r="K136" s="26"/>
      <c r="L136" s="26"/>
    </row>
    <row r="137" customFormat="false" ht="15" hidden="false" customHeight="false" outlineLevel="0" collapsed="false">
      <c r="A137" s="31" t="str">
        <f aca="false">IF(COUNTA(B137,D137,E137,F137)=0,"",ROW()-4)</f>
        <v/>
      </c>
      <c r="B137" s="22"/>
      <c r="C137" s="26"/>
      <c r="D137" s="26"/>
      <c r="E137" s="18"/>
      <c r="F137" s="26"/>
      <c r="G137" s="31" t="str">
        <f aca="false">IF(F137="","",IFERROR(INDEX(請求台帳!$C$5:$C$504,MATCH(F137,請求台帳!$A$5:$A$504,0)),""))</f>
        <v/>
      </c>
      <c r="H137" s="31" t="str">
        <f aca="false">IF(F137="","",IFERROR(INDEX(請求台帳!$D$5:$D$504,MATCH(F137,請求台帳!$A$5:$A$504,0)),""))</f>
        <v/>
      </c>
      <c r="I137" s="27" t="str">
        <f aca="false">IF(F137="","",IFERROR(INDEX(請求台帳!$F$5:$F$504,MATCH(F137,請求台帳!$A$5:$A$504,0)),""))</f>
        <v/>
      </c>
      <c r="J137" s="28" t="str">
        <f aca="false">IF(COUNTA(B137,D137,E137,F137)=0,"",IF(OR(B137="",E137=""),"要入力",IF(N(B137)&gt;設定!$C$5,"日付誤り",IF(F137="","未消込",IF(ISNA(MATCH(F137,請求台帳!$A$5:$A$504,0)),"番号誤り",IF(INDEX(請求台帳!$Q$5:$Q$504,MATCH(F137,請求台帳!$A$5:$A$504,0))="取消","取消請求へ消込","消込済"))))))</f>
        <v/>
      </c>
      <c r="K137" s="26"/>
      <c r="L137" s="26"/>
    </row>
    <row r="138" customFormat="false" ht="15" hidden="false" customHeight="false" outlineLevel="0" collapsed="false">
      <c r="A138" s="31" t="str">
        <f aca="false">IF(COUNTA(B138,D138,E138,F138)=0,"",ROW()-4)</f>
        <v/>
      </c>
      <c r="B138" s="22"/>
      <c r="C138" s="26"/>
      <c r="D138" s="26"/>
      <c r="E138" s="18"/>
      <c r="F138" s="26"/>
      <c r="G138" s="31" t="str">
        <f aca="false">IF(F138="","",IFERROR(INDEX(請求台帳!$C$5:$C$504,MATCH(F138,請求台帳!$A$5:$A$504,0)),""))</f>
        <v/>
      </c>
      <c r="H138" s="31" t="str">
        <f aca="false">IF(F138="","",IFERROR(INDEX(請求台帳!$D$5:$D$504,MATCH(F138,請求台帳!$A$5:$A$504,0)),""))</f>
        <v/>
      </c>
      <c r="I138" s="27" t="str">
        <f aca="false">IF(F138="","",IFERROR(INDEX(請求台帳!$F$5:$F$504,MATCH(F138,請求台帳!$A$5:$A$504,0)),""))</f>
        <v/>
      </c>
      <c r="J138" s="28" t="str">
        <f aca="false">IF(COUNTA(B138,D138,E138,F138)=0,"",IF(OR(B138="",E138=""),"要入力",IF(N(B138)&gt;設定!$C$5,"日付誤り",IF(F138="","未消込",IF(ISNA(MATCH(F138,請求台帳!$A$5:$A$504,0)),"番号誤り",IF(INDEX(請求台帳!$Q$5:$Q$504,MATCH(F138,請求台帳!$A$5:$A$504,0))="取消","取消請求へ消込","消込済"))))))</f>
        <v/>
      </c>
      <c r="K138" s="26"/>
      <c r="L138" s="26"/>
    </row>
    <row r="139" customFormat="false" ht="15" hidden="false" customHeight="false" outlineLevel="0" collapsed="false">
      <c r="A139" s="31" t="str">
        <f aca="false">IF(COUNTA(B139,D139,E139,F139)=0,"",ROW()-4)</f>
        <v/>
      </c>
      <c r="B139" s="22"/>
      <c r="C139" s="26"/>
      <c r="D139" s="26"/>
      <c r="E139" s="18"/>
      <c r="F139" s="26"/>
      <c r="G139" s="31" t="str">
        <f aca="false">IF(F139="","",IFERROR(INDEX(請求台帳!$C$5:$C$504,MATCH(F139,請求台帳!$A$5:$A$504,0)),""))</f>
        <v/>
      </c>
      <c r="H139" s="31" t="str">
        <f aca="false">IF(F139="","",IFERROR(INDEX(請求台帳!$D$5:$D$504,MATCH(F139,請求台帳!$A$5:$A$504,0)),""))</f>
        <v/>
      </c>
      <c r="I139" s="27" t="str">
        <f aca="false">IF(F139="","",IFERROR(INDEX(請求台帳!$F$5:$F$504,MATCH(F139,請求台帳!$A$5:$A$504,0)),""))</f>
        <v/>
      </c>
      <c r="J139" s="28" t="str">
        <f aca="false">IF(COUNTA(B139,D139,E139,F139)=0,"",IF(OR(B139="",E139=""),"要入力",IF(N(B139)&gt;設定!$C$5,"日付誤り",IF(F139="","未消込",IF(ISNA(MATCH(F139,請求台帳!$A$5:$A$504,0)),"番号誤り",IF(INDEX(請求台帳!$Q$5:$Q$504,MATCH(F139,請求台帳!$A$5:$A$504,0))="取消","取消請求へ消込","消込済"))))))</f>
        <v/>
      </c>
      <c r="K139" s="26"/>
      <c r="L139" s="26"/>
    </row>
    <row r="140" customFormat="false" ht="15" hidden="false" customHeight="false" outlineLevel="0" collapsed="false">
      <c r="A140" s="31" t="str">
        <f aca="false">IF(COUNTA(B140,D140,E140,F140)=0,"",ROW()-4)</f>
        <v/>
      </c>
      <c r="B140" s="22"/>
      <c r="C140" s="26"/>
      <c r="D140" s="26"/>
      <c r="E140" s="18"/>
      <c r="F140" s="26"/>
      <c r="G140" s="31" t="str">
        <f aca="false">IF(F140="","",IFERROR(INDEX(請求台帳!$C$5:$C$504,MATCH(F140,請求台帳!$A$5:$A$504,0)),""))</f>
        <v/>
      </c>
      <c r="H140" s="31" t="str">
        <f aca="false">IF(F140="","",IFERROR(INDEX(請求台帳!$D$5:$D$504,MATCH(F140,請求台帳!$A$5:$A$504,0)),""))</f>
        <v/>
      </c>
      <c r="I140" s="27" t="str">
        <f aca="false">IF(F140="","",IFERROR(INDEX(請求台帳!$F$5:$F$504,MATCH(F140,請求台帳!$A$5:$A$504,0)),""))</f>
        <v/>
      </c>
      <c r="J140" s="28" t="str">
        <f aca="false">IF(COUNTA(B140,D140,E140,F140)=0,"",IF(OR(B140="",E140=""),"要入力",IF(N(B140)&gt;設定!$C$5,"日付誤り",IF(F140="","未消込",IF(ISNA(MATCH(F140,請求台帳!$A$5:$A$504,0)),"番号誤り",IF(INDEX(請求台帳!$Q$5:$Q$504,MATCH(F140,請求台帳!$A$5:$A$504,0))="取消","取消請求へ消込","消込済"))))))</f>
        <v/>
      </c>
      <c r="K140" s="26"/>
      <c r="L140" s="26"/>
    </row>
    <row r="141" customFormat="false" ht="15" hidden="false" customHeight="false" outlineLevel="0" collapsed="false">
      <c r="A141" s="31" t="str">
        <f aca="false">IF(COUNTA(B141,D141,E141,F141)=0,"",ROW()-4)</f>
        <v/>
      </c>
      <c r="B141" s="22"/>
      <c r="C141" s="26"/>
      <c r="D141" s="26"/>
      <c r="E141" s="18"/>
      <c r="F141" s="26"/>
      <c r="G141" s="31" t="str">
        <f aca="false">IF(F141="","",IFERROR(INDEX(請求台帳!$C$5:$C$504,MATCH(F141,請求台帳!$A$5:$A$504,0)),""))</f>
        <v/>
      </c>
      <c r="H141" s="31" t="str">
        <f aca="false">IF(F141="","",IFERROR(INDEX(請求台帳!$D$5:$D$504,MATCH(F141,請求台帳!$A$5:$A$504,0)),""))</f>
        <v/>
      </c>
      <c r="I141" s="27" t="str">
        <f aca="false">IF(F141="","",IFERROR(INDEX(請求台帳!$F$5:$F$504,MATCH(F141,請求台帳!$A$5:$A$504,0)),""))</f>
        <v/>
      </c>
      <c r="J141" s="28" t="str">
        <f aca="false">IF(COUNTA(B141,D141,E141,F141)=0,"",IF(OR(B141="",E141=""),"要入力",IF(N(B141)&gt;設定!$C$5,"日付誤り",IF(F141="","未消込",IF(ISNA(MATCH(F141,請求台帳!$A$5:$A$504,0)),"番号誤り",IF(INDEX(請求台帳!$Q$5:$Q$504,MATCH(F141,請求台帳!$A$5:$A$504,0))="取消","取消請求へ消込","消込済"))))))</f>
        <v/>
      </c>
      <c r="K141" s="26"/>
      <c r="L141" s="26"/>
    </row>
    <row r="142" customFormat="false" ht="15" hidden="false" customHeight="false" outlineLevel="0" collapsed="false">
      <c r="A142" s="31" t="str">
        <f aca="false">IF(COUNTA(B142,D142,E142,F142)=0,"",ROW()-4)</f>
        <v/>
      </c>
      <c r="B142" s="22"/>
      <c r="C142" s="26"/>
      <c r="D142" s="26"/>
      <c r="E142" s="18"/>
      <c r="F142" s="26"/>
      <c r="G142" s="31" t="str">
        <f aca="false">IF(F142="","",IFERROR(INDEX(請求台帳!$C$5:$C$504,MATCH(F142,請求台帳!$A$5:$A$504,0)),""))</f>
        <v/>
      </c>
      <c r="H142" s="31" t="str">
        <f aca="false">IF(F142="","",IFERROR(INDEX(請求台帳!$D$5:$D$504,MATCH(F142,請求台帳!$A$5:$A$504,0)),""))</f>
        <v/>
      </c>
      <c r="I142" s="27" t="str">
        <f aca="false">IF(F142="","",IFERROR(INDEX(請求台帳!$F$5:$F$504,MATCH(F142,請求台帳!$A$5:$A$504,0)),""))</f>
        <v/>
      </c>
      <c r="J142" s="28" t="str">
        <f aca="false">IF(COUNTA(B142,D142,E142,F142)=0,"",IF(OR(B142="",E142=""),"要入力",IF(N(B142)&gt;設定!$C$5,"日付誤り",IF(F142="","未消込",IF(ISNA(MATCH(F142,請求台帳!$A$5:$A$504,0)),"番号誤り",IF(INDEX(請求台帳!$Q$5:$Q$504,MATCH(F142,請求台帳!$A$5:$A$504,0))="取消","取消請求へ消込","消込済"))))))</f>
        <v/>
      </c>
      <c r="K142" s="26"/>
      <c r="L142" s="26"/>
    </row>
    <row r="143" customFormat="false" ht="15" hidden="false" customHeight="false" outlineLevel="0" collapsed="false">
      <c r="A143" s="31" t="str">
        <f aca="false">IF(COUNTA(B143,D143,E143,F143)=0,"",ROW()-4)</f>
        <v/>
      </c>
      <c r="B143" s="22"/>
      <c r="C143" s="26"/>
      <c r="D143" s="26"/>
      <c r="E143" s="18"/>
      <c r="F143" s="26"/>
      <c r="G143" s="31" t="str">
        <f aca="false">IF(F143="","",IFERROR(INDEX(請求台帳!$C$5:$C$504,MATCH(F143,請求台帳!$A$5:$A$504,0)),""))</f>
        <v/>
      </c>
      <c r="H143" s="31" t="str">
        <f aca="false">IF(F143="","",IFERROR(INDEX(請求台帳!$D$5:$D$504,MATCH(F143,請求台帳!$A$5:$A$504,0)),""))</f>
        <v/>
      </c>
      <c r="I143" s="27" t="str">
        <f aca="false">IF(F143="","",IFERROR(INDEX(請求台帳!$F$5:$F$504,MATCH(F143,請求台帳!$A$5:$A$504,0)),""))</f>
        <v/>
      </c>
      <c r="J143" s="28" t="str">
        <f aca="false">IF(COUNTA(B143,D143,E143,F143)=0,"",IF(OR(B143="",E143=""),"要入力",IF(N(B143)&gt;設定!$C$5,"日付誤り",IF(F143="","未消込",IF(ISNA(MATCH(F143,請求台帳!$A$5:$A$504,0)),"番号誤り",IF(INDEX(請求台帳!$Q$5:$Q$504,MATCH(F143,請求台帳!$A$5:$A$504,0))="取消","取消請求へ消込","消込済"))))))</f>
        <v/>
      </c>
      <c r="K143" s="26"/>
      <c r="L143" s="26"/>
    </row>
    <row r="144" customFormat="false" ht="15" hidden="false" customHeight="false" outlineLevel="0" collapsed="false">
      <c r="A144" s="31" t="str">
        <f aca="false">IF(COUNTA(B144,D144,E144,F144)=0,"",ROW()-4)</f>
        <v/>
      </c>
      <c r="B144" s="22"/>
      <c r="C144" s="26"/>
      <c r="D144" s="26"/>
      <c r="E144" s="18"/>
      <c r="F144" s="26"/>
      <c r="G144" s="31" t="str">
        <f aca="false">IF(F144="","",IFERROR(INDEX(請求台帳!$C$5:$C$504,MATCH(F144,請求台帳!$A$5:$A$504,0)),""))</f>
        <v/>
      </c>
      <c r="H144" s="31" t="str">
        <f aca="false">IF(F144="","",IFERROR(INDEX(請求台帳!$D$5:$D$504,MATCH(F144,請求台帳!$A$5:$A$504,0)),""))</f>
        <v/>
      </c>
      <c r="I144" s="27" t="str">
        <f aca="false">IF(F144="","",IFERROR(INDEX(請求台帳!$F$5:$F$504,MATCH(F144,請求台帳!$A$5:$A$504,0)),""))</f>
        <v/>
      </c>
      <c r="J144" s="28" t="str">
        <f aca="false">IF(COUNTA(B144,D144,E144,F144)=0,"",IF(OR(B144="",E144=""),"要入力",IF(N(B144)&gt;設定!$C$5,"日付誤り",IF(F144="","未消込",IF(ISNA(MATCH(F144,請求台帳!$A$5:$A$504,0)),"番号誤り",IF(INDEX(請求台帳!$Q$5:$Q$504,MATCH(F144,請求台帳!$A$5:$A$504,0))="取消","取消請求へ消込","消込済"))))))</f>
        <v/>
      </c>
      <c r="K144" s="26"/>
      <c r="L144" s="26"/>
    </row>
    <row r="145" customFormat="false" ht="15" hidden="false" customHeight="false" outlineLevel="0" collapsed="false">
      <c r="A145" s="31" t="str">
        <f aca="false">IF(COUNTA(B145,D145,E145,F145)=0,"",ROW()-4)</f>
        <v/>
      </c>
      <c r="B145" s="22"/>
      <c r="C145" s="26"/>
      <c r="D145" s="26"/>
      <c r="E145" s="18"/>
      <c r="F145" s="26"/>
      <c r="G145" s="31" t="str">
        <f aca="false">IF(F145="","",IFERROR(INDEX(請求台帳!$C$5:$C$504,MATCH(F145,請求台帳!$A$5:$A$504,0)),""))</f>
        <v/>
      </c>
      <c r="H145" s="31" t="str">
        <f aca="false">IF(F145="","",IFERROR(INDEX(請求台帳!$D$5:$D$504,MATCH(F145,請求台帳!$A$5:$A$504,0)),""))</f>
        <v/>
      </c>
      <c r="I145" s="27" t="str">
        <f aca="false">IF(F145="","",IFERROR(INDEX(請求台帳!$F$5:$F$504,MATCH(F145,請求台帳!$A$5:$A$504,0)),""))</f>
        <v/>
      </c>
      <c r="J145" s="28" t="str">
        <f aca="false">IF(COUNTA(B145,D145,E145,F145)=0,"",IF(OR(B145="",E145=""),"要入力",IF(N(B145)&gt;設定!$C$5,"日付誤り",IF(F145="","未消込",IF(ISNA(MATCH(F145,請求台帳!$A$5:$A$504,0)),"番号誤り",IF(INDEX(請求台帳!$Q$5:$Q$504,MATCH(F145,請求台帳!$A$5:$A$504,0))="取消","取消請求へ消込","消込済"))))))</f>
        <v/>
      </c>
      <c r="K145" s="26"/>
      <c r="L145" s="26"/>
    </row>
    <row r="146" customFormat="false" ht="15" hidden="false" customHeight="false" outlineLevel="0" collapsed="false">
      <c r="A146" s="31" t="str">
        <f aca="false">IF(COUNTA(B146,D146,E146,F146)=0,"",ROW()-4)</f>
        <v/>
      </c>
      <c r="B146" s="22"/>
      <c r="C146" s="26"/>
      <c r="D146" s="26"/>
      <c r="E146" s="18"/>
      <c r="F146" s="26"/>
      <c r="G146" s="31" t="str">
        <f aca="false">IF(F146="","",IFERROR(INDEX(請求台帳!$C$5:$C$504,MATCH(F146,請求台帳!$A$5:$A$504,0)),""))</f>
        <v/>
      </c>
      <c r="H146" s="31" t="str">
        <f aca="false">IF(F146="","",IFERROR(INDEX(請求台帳!$D$5:$D$504,MATCH(F146,請求台帳!$A$5:$A$504,0)),""))</f>
        <v/>
      </c>
      <c r="I146" s="27" t="str">
        <f aca="false">IF(F146="","",IFERROR(INDEX(請求台帳!$F$5:$F$504,MATCH(F146,請求台帳!$A$5:$A$504,0)),""))</f>
        <v/>
      </c>
      <c r="J146" s="28" t="str">
        <f aca="false">IF(COUNTA(B146,D146,E146,F146)=0,"",IF(OR(B146="",E146=""),"要入力",IF(N(B146)&gt;設定!$C$5,"日付誤り",IF(F146="","未消込",IF(ISNA(MATCH(F146,請求台帳!$A$5:$A$504,0)),"番号誤り",IF(INDEX(請求台帳!$Q$5:$Q$504,MATCH(F146,請求台帳!$A$5:$A$504,0))="取消","取消請求へ消込","消込済"))))))</f>
        <v/>
      </c>
      <c r="K146" s="26"/>
      <c r="L146" s="26"/>
    </row>
    <row r="147" customFormat="false" ht="15" hidden="false" customHeight="false" outlineLevel="0" collapsed="false">
      <c r="A147" s="31" t="str">
        <f aca="false">IF(COUNTA(B147,D147,E147,F147)=0,"",ROW()-4)</f>
        <v/>
      </c>
      <c r="B147" s="22"/>
      <c r="C147" s="26"/>
      <c r="D147" s="26"/>
      <c r="E147" s="18"/>
      <c r="F147" s="26"/>
      <c r="G147" s="31" t="str">
        <f aca="false">IF(F147="","",IFERROR(INDEX(請求台帳!$C$5:$C$504,MATCH(F147,請求台帳!$A$5:$A$504,0)),""))</f>
        <v/>
      </c>
      <c r="H147" s="31" t="str">
        <f aca="false">IF(F147="","",IFERROR(INDEX(請求台帳!$D$5:$D$504,MATCH(F147,請求台帳!$A$5:$A$504,0)),""))</f>
        <v/>
      </c>
      <c r="I147" s="27" t="str">
        <f aca="false">IF(F147="","",IFERROR(INDEX(請求台帳!$F$5:$F$504,MATCH(F147,請求台帳!$A$5:$A$504,0)),""))</f>
        <v/>
      </c>
      <c r="J147" s="28" t="str">
        <f aca="false">IF(COUNTA(B147,D147,E147,F147)=0,"",IF(OR(B147="",E147=""),"要入力",IF(N(B147)&gt;設定!$C$5,"日付誤り",IF(F147="","未消込",IF(ISNA(MATCH(F147,請求台帳!$A$5:$A$504,0)),"番号誤り",IF(INDEX(請求台帳!$Q$5:$Q$504,MATCH(F147,請求台帳!$A$5:$A$504,0))="取消","取消請求へ消込","消込済"))))))</f>
        <v/>
      </c>
      <c r="K147" s="26"/>
      <c r="L147" s="26"/>
    </row>
    <row r="148" customFormat="false" ht="15" hidden="false" customHeight="false" outlineLevel="0" collapsed="false">
      <c r="A148" s="31" t="str">
        <f aca="false">IF(COUNTA(B148,D148,E148,F148)=0,"",ROW()-4)</f>
        <v/>
      </c>
      <c r="B148" s="22"/>
      <c r="C148" s="26"/>
      <c r="D148" s="26"/>
      <c r="E148" s="18"/>
      <c r="F148" s="26"/>
      <c r="G148" s="31" t="str">
        <f aca="false">IF(F148="","",IFERROR(INDEX(請求台帳!$C$5:$C$504,MATCH(F148,請求台帳!$A$5:$A$504,0)),""))</f>
        <v/>
      </c>
      <c r="H148" s="31" t="str">
        <f aca="false">IF(F148="","",IFERROR(INDEX(請求台帳!$D$5:$D$504,MATCH(F148,請求台帳!$A$5:$A$504,0)),""))</f>
        <v/>
      </c>
      <c r="I148" s="27" t="str">
        <f aca="false">IF(F148="","",IFERROR(INDEX(請求台帳!$F$5:$F$504,MATCH(F148,請求台帳!$A$5:$A$504,0)),""))</f>
        <v/>
      </c>
      <c r="J148" s="28" t="str">
        <f aca="false">IF(COUNTA(B148,D148,E148,F148)=0,"",IF(OR(B148="",E148=""),"要入力",IF(N(B148)&gt;設定!$C$5,"日付誤り",IF(F148="","未消込",IF(ISNA(MATCH(F148,請求台帳!$A$5:$A$504,0)),"番号誤り",IF(INDEX(請求台帳!$Q$5:$Q$504,MATCH(F148,請求台帳!$A$5:$A$504,0))="取消","取消請求へ消込","消込済"))))))</f>
        <v/>
      </c>
      <c r="K148" s="26"/>
      <c r="L148" s="26"/>
    </row>
    <row r="149" customFormat="false" ht="15" hidden="false" customHeight="false" outlineLevel="0" collapsed="false">
      <c r="A149" s="31" t="str">
        <f aca="false">IF(COUNTA(B149,D149,E149,F149)=0,"",ROW()-4)</f>
        <v/>
      </c>
      <c r="B149" s="22"/>
      <c r="C149" s="26"/>
      <c r="D149" s="26"/>
      <c r="E149" s="18"/>
      <c r="F149" s="26"/>
      <c r="G149" s="31" t="str">
        <f aca="false">IF(F149="","",IFERROR(INDEX(請求台帳!$C$5:$C$504,MATCH(F149,請求台帳!$A$5:$A$504,0)),""))</f>
        <v/>
      </c>
      <c r="H149" s="31" t="str">
        <f aca="false">IF(F149="","",IFERROR(INDEX(請求台帳!$D$5:$D$504,MATCH(F149,請求台帳!$A$5:$A$504,0)),""))</f>
        <v/>
      </c>
      <c r="I149" s="27" t="str">
        <f aca="false">IF(F149="","",IFERROR(INDEX(請求台帳!$F$5:$F$504,MATCH(F149,請求台帳!$A$5:$A$504,0)),""))</f>
        <v/>
      </c>
      <c r="J149" s="28" t="str">
        <f aca="false">IF(COUNTA(B149,D149,E149,F149)=0,"",IF(OR(B149="",E149=""),"要入力",IF(N(B149)&gt;設定!$C$5,"日付誤り",IF(F149="","未消込",IF(ISNA(MATCH(F149,請求台帳!$A$5:$A$504,0)),"番号誤り",IF(INDEX(請求台帳!$Q$5:$Q$504,MATCH(F149,請求台帳!$A$5:$A$504,0))="取消","取消請求へ消込","消込済"))))))</f>
        <v/>
      </c>
      <c r="K149" s="26"/>
      <c r="L149" s="26"/>
    </row>
    <row r="150" customFormat="false" ht="15" hidden="false" customHeight="false" outlineLevel="0" collapsed="false">
      <c r="A150" s="31" t="str">
        <f aca="false">IF(COUNTA(B150,D150,E150,F150)=0,"",ROW()-4)</f>
        <v/>
      </c>
      <c r="B150" s="22"/>
      <c r="C150" s="26"/>
      <c r="D150" s="26"/>
      <c r="E150" s="18"/>
      <c r="F150" s="26"/>
      <c r="G150" s="31" t="str">
        <f aca="false">IF(F150="","",IFERROR(INDEX(請求台帳!$C$5:$C$504,MATCH(F150,請求台帳!$A$5:$A$504,0)),""))</f>
        <v/>
      </c>
      <c r="H150" s="31" t="str">
        <f aca="false">IF(F150="","",IFERROR(INDEX(請求台帳!$D$5:$D$504,MATCH(F150,請求台帳!$A$5:$A$504,0)),""))</f>
        <v/>
      </c>
      <c r="I150" s="27" t="str">
        <f aca="false">IF(F150="","",IFERROR(INDEX(請求台帳!$F$5:$F$504,MATCH(F150,請求台帳!$A$5:$A$504,0)),""))</f>
        <v/>
      </c>
      <c r="J150" s="28" t="str">
        <f aca="false">IF(COUNTA(B150,D150,E150,F150)=0,"",IF(OR(B150="",E150=""),"要入力",IF(N(B150)&gt;設定!$C$5,"日付誤り",IF(F150="","未消込",IF(ISNA(MATCH(F150,請求台帳!$A$5:$A$504,0)),"番号誤り",IF(INDEX(請求台帳!$Q$5:$Q$504,MATCH(F150,請求台帳!$A$5:$A$504,0))="取消","取消請求へ消込","消込済"))))))</f>
        <v/>
      </c>
      <c r="K150" s="26"/>
      <c r="L150" s="26"/>
    </row>
    <row r="151" customFormat="false" ht="15" hidden="false" customHeight="false" outlineLevel="0" collapsed="false">
      <c r="A151" s="31" t="str">
        <f aca="false">IF(COUNTA(B151,D151,E151,F151)=0,"",ROW()-4)</f>
        <v/>
      </c>
      <c r="B151" s="22"/>
      <c r="C151" s="26"/>
      <c r="D151" s="26"/>
      <c r="E151" s="18"/>
      <c r="F151" s="26"/>
      <c r="G151" s="31" t="str">
        <f aca="false">IF(F151="","",IFERROR(INDEX(請求台帳!$C$5:$C$504,MATCH(F151,請求台帳!$A$5:$A$504,0)),""))</f>
        <v/>
      </c>
      <c r="H151" s="31" t="str">
        <f aca="false">IF(F151="","",IFERROR(INDEX(請求台帳!$D$5:$D$504,MATCH(F151,請求台帳!$A$5:$A$504,0)),""))</f>
        <v/>
      </c>
      <c r="I151" s="27" t="str">
        <f aca="false">IF(F151="","",IFERROR(INDEX(請求台帳!$F$5:$F$504,MATCH(F151,請求台帳!$A$5:$A$504,0)),""))</f>
        <v/>
      </c>
      <c r="J151" s="28" t="str">
        <f aca="false">IF(COUNTA(B151,D151,E151,F151)=0,"",IF(OR(B151="",E151=""),"要入力",IF(N(B151)&gt;設定!$C$5,"日付誤り",IF(F151="","未消込",IF(ISNA(MATCH(F151,請求台帳!$A$5:$A$504,0)),"番号誤り",IF(INDEX(請求台帳!$Q$5:$Q$504,MATCH(F151,請求台帳!$A$5:$A$504,0))="取消","取消請求へ消込","消込済"))))))</f>
        <v/>
      </c>
      <c r="K151" s="26"/>
      <c r="L151" s="26"/>
    </row>
    <row r="152" customFormat="false" ht="15" hidden="false" customHeight="false" outlineLevel="0" collapsed="false">
      <c r="A152" s="31" t="str">
        <f aca="false">IF(COUNTA(B152,D152,E152,F152)=0,"",ROW()-4)</f>
        <v/>
      </c>
      <c r="B152" s="22"/>
      <c r="C152" s="26"/>
      <c r="D152" s="26"/>
      <c r="E152" s="18"/>
      <c r="F152" s="26"/>
      <c r="G152" s="31" t="str">
        <f aca="false">IF(F152="","",IFERROR(INDEX(請求台帳!$C$5:$C$504,MATCH(F152,請求台帳!$A$5:$A$504,0)),""))</f>
        <v/>
      </c>
      <c r="H152" s="31" t="str">
        <f aca="false">IF(F152="","",IFERROR(INDEX(請求台帳!$D$5:$D$504,MATCH(F152,請求台帳!$A$5:$A$504,0)),""))</f>
        <v/>
      </c>
      <c r="I152" s="27" t="str">
        <f aca="false">IF(F152="","",IFERROR(INDEX(請求台帳!$F$5:$F$504,MATCH(F152,請求台帳!$A$5:$A$504,0)),""))</f>
        <v/>
      </c>
      <c r="J152" s="28" t="str">
        <f aca="false">IF(COUNTA(B152,D152,E152,F152)=0,"",IF(OR(B152="",E152=""),"要入力",IF(N(B152)&gt;設定!$C$5,"日付誤り",IF(F152="","未消込",IF(ISNA(MATCH(F152,請求台帳!$A$5:$A$504,0)),"番号誤り",IF(INDEX(請求台帳!$Q$5:$Q$504,MATCH(F152,請求台帳!$A$5:$A$504,0))="取消","取消請求へ消込","消込済"))))))</f>
        <v/>
      </c>
      <c r="K152" s="26"/>
      <c r="L152" s="26"/>
    </row>
    <row r="153" customFormat="false" ht="15" hidden="false" customHeight="false" outlineLevel="0" collapsed="false">
      <c r="A153" s="31" t="str">
        <f aca="false">IF(COUNTA(B153,D153,E153,F153)=0,"",ROW()-4)</f>
        <v/>
      </c>
      <c r="B153" s="22"/>
      <c r="C153" s="26"/>
      <c r="D153" s="26"/>
      <c r="E153" s="18"/>
      <c r="F153" s="26"/>
      <c r="G153" s="31" t="str">
        <f aca="false">IF(F153="","",IFERROR(INDEX(請求台帳!$C$5:$C$504,MATCH(F153,請求台帳!$A$5:$A$504,0)),""))</f>
        <v/>
      </c>
      <c r="H153" s="31" t="str">
        <f aca="false">IF(F153="","",IFERROR(INDEX(請求台帳!$D$5:$D$504,MATCH(F153,請求台帳!$A$5:$A$504,0)),""))</f>
        <v/>
      </c>
      <c r="I153" s="27" t="str">
        <f aca="false">IF(F153="","",IFERROR(INDEX(請求台帳!$F$5:$F$504,MATCH(F153,請求台帳!$A$5:$A$504,0)),""))</f>
        <v/>
      </c>
      <c r="J153" s="28" t="str">
        <f aca="false">IF(COUNTA(B153,D153,E153,F153)=0,"",IF(OR(B153="",E153=""),"要入力",IF(N(B153)&gt;設定!$C$5,"日付誤り",IF(F153="","未消込",IF(ISNA(MATCH(F153,請求台帳!$A$5:$A$504,0)),"番号誤り",IF(INDEX(請求台帳!$Q$5:$Q$504,MATCH(F153,請求台帳!$A$5:$A$504,0))="取消","取消請求へ消込","消込済"))))))</f>
        <v/>
      </c>
      <c r="K153" s="26"/>
      <c r="L153" s="26"/>
    </row>
    <row r="154" customFormat="false" ht="15" hidden="false" customHeight="false" outlineLevel="0" collapsed="false">
      <c r="A154" s="31" t="str">
        <f aca="false">IF(COUNTA(B154,D154,E154,F154)=0,"",ROW()-4)</f>
        <v/>
      </c>
      <c r="B154" s="22"/>
      <c r="C154" s="26"/>
      <c r="D154" s="26"/>
      <c r="E154" s="18"/>
      <c r="F154" s="26"/>
      <c r="G154" s="31" t="str">
        <f aca="false">IF(F154="","",IFERROR(INDEX(請求台帳!$C$5:$C$504,MATCH(F154,請求台帳!$A$5:$A$504,0)),""))</f>
        <v/>
      </c>
      <c r="H154" s="31" t="str">
        <f aca="false">IF(F154="","",IFERROR(INDEX(請求台帳!$D$5:$D$504,MATCH(F154,請求台帳!$A$5:$A$504,0)),""))</f>
        <v/>
      </c>
      <c r="I154" s="27" t="str">
        <f aca="false">IF(F154="","",IFERROR(INDEX(請求台帳!$F$5:$F$504,MATCH(F154,請求台帳!$A$5:$A$504,0)),""))</f>
        <v/>
      </c>
      <c r="J154" s="28" t="str">
        <f aca="false">IF(COUNTA(B154,D154,E154,F154)=0,"",IF(OR(B154="",E154=""),"要入力",IF(N(B154)&gt;設定!$C$5,"日付誤り",IF(F154="","未消込",IF(ISNA(MATCH(F154,請求台帳!$A$5:$A$504,0)),"番号誤り",IF(INDEX(請求台帳!$Q$5:$Q$504,MATCH(F154,請求台帳!$A$5:$A$504,0))="取消","取消請求へ消込","消込済"))))))</f>
        <v/>
      </c>
      <c r="K154" s="26"/>
      <c r="L154" s="26"/>
    </row>
    <row r="155" customFormat="false" ht="15" hidden="false" customHeight="false" outlineLevel="0" collapsed="false">
      <c r="A155" s="31" t="str">
        <f aca="false">IF(COUNTA(B155,D155,E155,F155)=0,"",ROW()-4)</f>
        <v/>
      </c>
      <c r="B155" s="22"/>
      <c r="C155" s="26"/>
      <c r="D155" s="26"/>
      <c r="E155" s="18"/>
      <c r="F155" s="26"/>
      <c r="G155" s="31" t="str">
        <f aca="false">IF(F155="","",IFERROR(INDEX(請求台帳!$C$5:$C$504,MATCH(F155,請求台帳!$A$5:$A$504,0)),""))</f>
        <v/>
      </c>
      <c r="H155" s="31" t="str">
        <f aca="false">IF(F155="","",IFERROR(INDEX(請求台帳!$D$5:$D$504,MATCH(F155,請求台帳!$A$5:$A$504,0)),""))</f>
        <v/>
      </c>
      <c r="I155" s="27" t="str">
        <f aca="false">IF(F155="","",IFERROR(INDEX(請求台帳!$F$5:$F$504,MATCH(F155,請求台帳!$A$5:$A$504,0)),""))</f>
        <v/>
      </c>
      <c r="J155" s="28" t="str">
        <f aca="false">IF(COUNTA(B155,D155,E155,F155)=0,"",IF(OR(B155="",E155=""),"要入力",IF(N(B155)&gt;設定!$C$5,"日付誤り",IF(F155="","未消込",IF(ISNA(MATCH(F155,請求台帳!$A$5:$A$504,0)),"番号誤り",IF(INDEX(請求台帳!$Q$5:$Q$504,MATCH(F155,請求台帳!$A$5:$A$504,0))="取消","取消請求へ消込","消込済"))))))</f>
        <v/>
      </c>
      <c r="K155" s="26"/>
      <c r="L155" s="26"/>
    </row>
    <row r="156" customFormat="false" ht="15" hidden="false" customHeight="false" outlineLevel="0" collapsed="false">
      <c r="A156" s="31" t="str">
        <f aca="false">IF(COUNTA(B156,D156,E156,F156)=0,"",ROW()-4)</f>
        <v/>
      </c>
      <c r="B156" s="22"/>
      <c r="C156" s="26"/>
      <c r="D156" s="26"/>
      <c r="E156" s="18"/>
      <c r="F156" s="26"/>
      <c r="G156" s="31" t="str">
        <f aca="false">IF(F156="","",IFERROR(INDEX(請求台帳!$C$5:$C$504,MATCH(F156,請求台帳!$A$5:$A$504,0)),""))</f>
        <v/>
      </c>
      <c r="H156" s="31" t="str">
        <f aca="false">IF(F156="","",IFERROR(INDEX(請求台帳!$D$5:$D$504,MATCH(F156,請求台帳!$A$5:$A$504,0)),""))</f>
        <v/>
      </c>
      <c r="I156" s="27" t="str">
        <f aca="false">IF(F156="","",IFERROR(INDEX(請求台帳!$F$5:$F$504,MATCH(F156,請求台帳!$A$5:$A$504,0)),""))</f>
        <v/>
      </c>
      <c r="J156" s="28" t="str">
        <f aca="false">IF(COUNTA(B156,D156,E156,F156)=0,"",IF(OR(B156="",E156=""),"要入力",IF(N(B156)&gt;設定!$C$5,"日付誤り",IF(F156="","未消込",IF(ISNA(MATCH(F156,請求台帳!$A$5:$A$504,0)),"番号誤り",IF(INDEX(請求台帳!$Q$5:$Q$504,MATCH(F156,請求台帳!$A$5:$A$504,0))="取消","取消請求へ消込","消込済"))))))</f>
        <v/>
      </c>
      <c r="K156" s="26"/>
      <c r="L156" s="26"/>
    </row>
    <row r="157" customFormat="false" ht="15" hidden="false" customHeight="false" outlineLevel="0" collapsed="false">
      <c r="A157" s="31" t="str">
        <f aca="false">IF(COUNTA(B157,D157,E157,F157)=0,"",ROW()-4)</f>
        <v/>
      </c>
      <c r="B157" s="22"/>
      <c r="C157" s="26"/>
      <c r="D157" s="26"/>
      <c r="E157" s="18"/>
      <c r="F157" s="26"/>
      <c r="G157" s="31" t="str">
        <f aca="false">IF(F157="","",IFERROR(INDEX(請求台帳!$C$5:$C$504,MATCH(F157,請求台帳!$A$5:$A$504,0)),""))</f>
        <v/>
      </c>
      <c r="H157" s="31" t="str">
        <f aca="false">IF(F157="","",IFERROR(INDEX(請求台帳!$D$5:$D$504,MATCH(F157,請求台帳!$A$5:$A$504,0)),""))</f>
        <v/>
      </c>
      <c r="I157" s="27" t="str">
        <f aca="false">IF(F157="","",IFERROR(INDEX(請求台帳!$F$5:$F$504,MATCH(F157,請求台帳!$A$5:$A$504,0)),""))</f>
        <v/>
      </c>
      <c r="J157" s="28" t="str">
        <f aca="false">IF(COUNTA(B157,D157,E157,F157)=0,"",IF(OR(B157="",E157=""),"要入力",IF(N(B157)&gt;設定!$C$5,"日付誤り",IF(F157="","未消込",IF(ISNA(MATCH(F157,請求台帳!$A$5:$A$504,0)),"番号誤り",IF(INDEX(請求台帳!$Q$5:$Q$504,MATCH(F157,請求台帳!$A$5:$A$504,0))="取消","取消請求へ消込","消込済"))))))</f>
        <v/>
      </c>
      <c r="K157" s="26"/>
      <c r="L157" s="26"/>
    </row>
    <row r="158" customFormat="false" ht="15" hidden="false" customHeight="false" outlineLevel="0" collapsed="false">
      <c r="A158" s="31" t="str">
        <f aca="false">IF(COUNTA(B158,D158,E158,F158)=0,"",ROW()-4)</f>
        <v/>
      </c>
      <c r="B158" s="22"/>
      <c r="C158" s="26"/>
      <c r="D158" s="26"/>
      <c r="E158" s="18"/>
      <c r="F158" s="26"/>
      <c r="G158" s="31" t="str">
        <f aca="false">IF(F158="","",IFERROR(INDEX(請求台帳!$C$5:$C$504,MATCH(F158,請求台帳!$A$5:$A$504,0)),""))</f>
        <v/>
      </c>
      <c r="H158" s="31" t="str">
        <f aca="false">IF(F158="","",IFERROR(INDEX(請求台帳!$D$5:$D$504,MATCH(F158,請求台帳!$A$5:$A$504,0)),""))</f>
        <v/>
      </c>
      <c r="I158" s="27" t="str">
        <f aca="false">IF(F158="","",IFERROR(INDEX(請求台帳!$F$5:$F$504,MATCH(F158,請求台帳!$A$5:$A$504,0)),""))</f>
        <v/>
      </c>
      <c r="J158" s="28" t="str">
        <f aca="false">IF(COUNTA(B158,D158,E158,F158)=0,"",IF(OR(B158="",E158=""),"要入力",IF(N(B158)&gt;設定!$C$5,"日付誤り",IF(F158="","未消込",IF(ISNA(MATCH(F158,請求台帳!$A$5:$A$504,0)),"番号誤り",IF(INDEX(請求台帳!$Q$5:$Q$504,MATCH(F158,請求台帳!$A$5:$A$504,0))="取消","取消請求へ消込","消込済"))))))</f>
        <v/>
      </c>
      <c r="K158" s="26"/>
      <c r="L158" s="26"/>
    </row>
    <row r="159" customFormat="false" ht="15" hidden="false" customHeight="false" outlineLevel="0" collapsed="false">
      <c r="A159" s="31" t="str">
        <f aca="false">IF(COUNTA(B159,D159,E159,F159)=0,"",ROW()-4)</f>
        <v/>
      </c>
      <c r="B159" s="22"/>
      <c r="C159" s="26"/>
      <c r="D159" s="26"/>
      <c r="E159" s="18"/>
      <c r="F159" s="26"/>
      <c r="G159" s="31" t="str">
        <f aca="false">IF(F159="","",IFERROR(INDEX(請求台帳!$C$5:$C$504,MATCH(F159,請求台帳!$A$5:$A$504,0)),""))</f>
        <v/>
      </c>
      <c r="H159" s="31" t="str">
        <f aca="false">IF(F159="","",IFERROR(INDEX(請求台帳!$D$5:$D$504,MATCH(F159,請求台帳!$A$5:$A$504,0)),""))</f>
        <v/>
      </c>
      <c r="I159" s="27" t="str">
        <f aca="false">IF(F159="","",IFERROR(INDEX(請求台帳!$F$5:$F$504,MATCH(F159,請求台帳!$A$5:$A$504,0)),""))</f>
        <v/>
      </c>
      <c r="J159" s="28" t="str">
        <f aca="false">IF(COUNTA(B159,D159,E159,F159)=0,"",IF(OR(B159="",E159=""),"要入力",IF(N(B159)&gt;設定!$C$5,"日付誤り",IF(F159="","未消込",IF(ISNA(MATCH(F159,請求台帳!$A$5:$A$504,0)),"番号誤り",IF(INDEX(請求台帳!$Q$5:$Q$504,MATCH(F159,請求台帳!$A$5:$A$504,0))="取消","取消請求へ消込","消込済"))))))</f>
        <v/>
      </c>
      <c r="K159" s="26"/>
      <c r="L159" s="26"/>
    </row>
    <row r="160" customFormat="false" ht="15" hidden="false" customHeight="false" outlineLevel="0" collapsed="false">
      <c r="A160" s="31" t="str">
        <f aca="false">IF(COUNTA(B160,D160,E160,F160)=0,"",ROW()-4)</f>
        <v/>
      </c>
      <c r="B160" s="22"/>
      <c r="C160" s="26"/>
      <c r="D160" s="26"/>
      <c r="E160" s="18"/>
      <c r="F160" s="26"/>
      <c r="G160" s="31" t="str">
        <f aca="false">IF(F160="","",IFERROR(INDEX(請求台帳!$C$5:$C$504,MATCH(F160,請求台帳!$A$5:$A$504,0)),""))</f>
        <v/>
      </c>
      <c r="H160" s="31" t="str">
        <f aca="false">IF(F160="","",IFERROR(INDEX(請求台帳!$D$5:$D$504,MATCH(F160,請求台帳!$A$5:$A$504,0)),""))</f>
        <v/>
      </c>
      <c r="I160" s="27" t="str">
        <f aca="false">IF(F160="","",IFERROR(INDEX(請求台帳!$F$5:$F$504,MATCH(F160,請求台帳!$A$5:$A$504,0)),""))</f>
        <v/>
      </c>
      <c r="J160" s="28" t="str">
        <f aca="false">IF(COUNTA(B160,D160,E160,F160)=0,"",IF(OR(B160="",E160=""),"要入力",IF(N(B160)&gt;設定!$C$5,"日付誤り",IF(F160="","未消込",IF(ISNA(MATCH(F160,請求台帳!$A$5:$A$504,0)),"番号誤り",IF(INDEX(請求台帳!$Q$5:$Q$504,MATCH(F160,請求台帳!$A$5:$A$504,0))="取消","取消請求へ消込","消込済"))))))</f>
        <v/>
      </c>
      <c r="K160" s="26"/>
      <c r="L160" s="26"/>
    </row>
    <row r="161" customFormat="false" ht="15" hidden="false" customHeight="false" outlineLevel="0" collapsed="false">
      <c r="A161" s="31" t="str">
        <f aca="false">IF(COUNTA(B161,D161,E161,F161)=0,"",ROW()-4)</f>
        <v/>
      </c>
      <c r="B161" s="22"/>
      <c r="C161" s="26"/>
      <c r="D161" s="26"/>
      <c r="E161" s="18"/>
      <c r="F161" s="26"/>
      <c r="G161" s="31" t="str">
        <f aca="false">IF(F161="","",IFERROR(INDEX(請求台帳!$C$5:$C$504,MATCH(F161,請求台帳!$A$5:$A$504,0)),""))</f>
        <v/>
      </c>
      <c r="H161" s="31" t="str">
        <f aca="false">IF(F161="","",IFERROR(INDEX(請求台帳!$D$5:$D$504,MATCH(F161,請求台帳!$A$5:$A$504,0)),""))</f>
        <v/>
      </c>
      <c r="I161" s="27" t="str">
        <f aca="false">IF(F161="","",IFERROR(INDEX(請求台帳!$F$5:$F$504,MATCH(F161,請求台帳!$A$5:$A$504,0)),""))</f>
        <v/>
      </c>
      <c r="J161" s="28" t="str">
        <f aca="false">IF(COUNTA(B161,D161,E161,F161)=0,"",IF(OR(B161="",E161=""),"要入力",IF(N(B161)&gt;設定!$C$5,"日付誤り",IF(F161="","未消込",IF(ISNA(MATCH(F161,請求台帳!$A$5:$A$504,0)),"番号誤り",IF(INDEX(請求台帳!$Q$5:$Q$504,MATCH(F161,請求台帳!$A$5:$A$504,0))="取消","取消請求へ消込","消込済"))))))</f>
        <v/>
      </c>
      <c r="K161" s="26"/>
      <c r="L161" s="26"/>
    </row>
    <row r="162" customFormat="false" ht="15" hidden="false" customHeight="false" outlineLevel="0" collapsed="false">
      <c r="A162" s="31" t="str">
        <f aca="false">IF(COUNTA(B162,D162,E162,F162)=0,"",ROW()-4)</f>
        <v/>
      </c>
      <c r="B162" s="22"/>
      <c r="C162" s="26"/>
      <c r="D162" s="26"/>
      <c r="E162" s="18"/>
      <c r="F162" s="26"/>
      <c r="G162" s="31" t="str">
        <f aca="false">IF(F162="","",IFERROR(INDEX(請求台帳!$C$5:$C$504,MATCH(F162,請求台帳!$A$5:$A$504,0)),""))</f>
        <v/>
      </c>
      <c r="H162" s="31" t="str">
        <f aca="false">IF(F162="","",IFERROR(INDEX(請求台帳!$D$5:$D$504,MATCH(F162,請求台帳!$A$5:$A$504,0)),""))</f>
        <v/>
      </c>
      <c r="I162" s="27" t="str">
        <f aca="false">IF(F162="","",IFERROR(INDEX(請求台帳!$F$5:$F$504,MATCH(F162,請求台帳!$A$5:$A$504,0)),""))</f>
        <v/>
      </c>
      <c r="J162" s="28" t="str">
        <f aca="false">IF(COUNTA(B162,D162,E162,F162)=0,"",IF(OR(B162="",E162=""),"要入力",IF(N(B162)&gt;設定!$C$5,"日付誤り",IF(F162="","未消込",IF(ISNA(MATCH(F162,請求台帳!$A$5:$A$504,0)),"番号誤り",IF(INDEX(請求台帳!$Q$5:$Q$504,MATCH(F162,請求台帳!$A$5:$A$504,0))="取消","取消請求へ消込","消込済"))))))</f>
        <v/>
      </c>
      <c r="K162" s="26"/>
      <c r="L162" s="26"/>
    </row>
    <row r="163" customFormat="false" ht="15" hidden="false" customHeight="false" outlineLevel="0" collapsed="false">
      <c r="A163" s="31" t="str">
        <f aca="false">IF(COUNTA(B163,D163,E163,F163)=0,"",ROW()-4)</f>
        <v/>
      </c>
      <c r="B163" s="22"/>
      <c r="C163" s="26"/>
      <c r="D163" s="26"/>
      <c r="E163" s="18"/>
      <c r="F163" s="26"/>
      <c r="G163" s="31" t="str">
        <f aca="false">IF(F163="","",IFERROR(INDEX(請求台帳!$C$5:$C$504,MATCH(F163,請求台帳!$A$5:$A$504,0)),""))</f>
        <v/>
      </c>
      <c r="H163" s="31" t="str">
        <f aca="false">IF(F163="","",IFERROR(INDEX(請求台帳!$D$5:$D$504,MATCH(F163,請求台帳!$A$5:$A$504,0)),""))</f>
        <v/>
      </c>
      <c r="I163" s="27" t="str">
        <f aca="false">IF(F163="","",IFERROR(INDEX(請求台帳!$F$5:$F$504,MATCH(F163,請求台帳!$A$5:$A$504,0)),""))</f>
        <v/>
      </c>
      <c r="J163" s="28" t="str">
        <f aca="false">IF(COUNTA(B163,D163,E163,F163)=0,"",IF(OR(B163="",E163=""),"要入力",IF(N(B163)&gt;設定!$C$5,"日付誤り",IF(F163="","未消込",IF(ISNA(MATCH(F163,請求台帳!$A$5:$A$504,0)),"番号誤り",IF(INDEX(請求台帳!$Q$5:$Q$504,MATCH(F163,請求台帳!$A$5:$A$504,0))="取消","取消請求へ消込","消込済"))))))</f>
        <v/>
      </c>
      <c r="K163" s="26"/>
      <c r="L163" s="26"/>
    </row>
    <row r="164" customFormat="false" ht="15" hidden="false" customHeight="false" outlineLevel="0" collapsed="false">
      <c r="A164" s="31" t="str">
        <f aca="false">IF(COUNTA(B164,D164,E164,F164)=0,"",ROW()-4)</f>
        <v/>
      </c>
      <c r="B164" s="22"/>
      <c r="C164" s="26"/>
      <c r="D164" s="26"/>
      <c r="E164" s="18"/>
      <c r="F164" s="26"/>
      <c r="G164" s="31" t="str">
        <f aca="false">IF(F164="","",IFERROR(INDEX(請求台帳!$C$5:$C$504,MATCH(F164,請求台帳!$A$5:$A$504,0)),""))</f>
        <v/>
      </c>
      <c r="H164" s="31" t="str">
        <f aca="false">IF(F164="","",IFERROR(INDEX(請求台帳!$D$5:$D$504,MATCH(F164,請求台帳!$A$5:$A$504,0)),""))</f>
        <v/>
      </c>
      <c r="I164" s="27" t="str">
        <f aca="false">IF(F164="","",IFERROR(INDEX(請求台帳!$F$5:$F$504,MATCH(F164,請求台帳!$A$5:$A$504,0)),""))</f>
        <v/>
      </c>
      <c r="J164" s="28" t="str">
        <f aca="false">IF(COUNTA(B164,D164,E164,F164)=0,"",IF(OR(B164="",E164=""),"要入力",IF(N(B164)&gt;設定!$C$5,"日付誤り",IF(F164="","未消込",IF(ISNA(MATCH(F164,請求台帳!$A$5:$A$504,0)),"番号誤り",IF(INDEX(請求台帳!$Q$5:$Q$504,MATCH(F164,請求台帳!$A$5:$A$504,0))="取消","取消請求へ消込","消込済"))))))</f>
        <v/>
      </c>
      <c r="K164" s="26"/>
      <c r="L164" s="26"/>
    </row>
    <row r="165" customFormat="false" ht="15" hidden="false" customHeight="false" outlineLevel="0" collapsed="false">
      <c r="A165" s="31" t="str">
        <f aca="false">IF(COUNTA(B165,D165,E165,F165)=0,"",ROW()-4)</f>
        <v/>
      </c>
      <c r="B165" s="22"/>
      <c r="C165" s="26"/>
      <c r="D165" s="26"/>
      <c r="E165" s="18"/>
      <c r="F165" s="26"/>
      <c r="G165" s="31" t="str">
        <f aca="false">IF(F165="","",IFERROR(INDEX(請求台帳!$C$5:$C$504,MATCH(F165,請求台帳!$A$5:$A$504,0)),""))</f>
        <v/>
      </c>
      <c r="H165" s="31" t="str">
        <f aca="false">IF(F165="","",IFERROR(INDEX(請求台帳!$D$5:$D$504,MATCH(F165,請求台帳!$A$5:$A$504,0)),""))</f>
        <v/>
      </c>
      <c r="I165" s="27" t="str">
        <f aca="false">IF(F165="","",IFERROR(INDEX(請求台帳!$F$5:$F$504,MATCH(F165,請求台帳!$A$5:$A$504,0)),""))</f>
        <v/>
      </c>
      <c r="J165" s="28" t="str">
        <f aca="false">IF(COUNTA(B165,D165,E165,F165)=0,"",IF(OR(B165="",E165=""),"要入力",IF(N(B165)&gt;設定!$C$5,"日付誤り",IF(F165="","未消込",IF(ISNA(MATCH(F165,請求台帳!$A$5:$A$504,0)),"番号誤り",IF(INDEX(請求台帳!$Q$5:$Q$504,MATCH(F165,請求台帳!$A$5:$A$504,0))="取消","取消請求へ消込","消込済"))))))</f>
        <v/>
      </c>
      <c r="K165" s="26"/>
      <c r="L165" s="26"/>
    </row>
    <row r="166" customFormat="false" ht="15" hidden="false" customHeight="false" outlineLevel="0" collapsed="false">
      <c r="A166" s="31" t="str">
        <f aca="false">IF(COUNTA(B166,D166,E166,F166)=0,"",ROW()-4)</f>
        <v/>
      </c>
      <c r="B166" s="22"/>
      <c r="C166" s="26"/>
      <c r="D166" s="26"/>
      <c r="E166" s="18"/>
      <c r="F166" s="26"/>
      <c r="G166" s="31" t="str">
        <f aca="false">IF(F166="","",IFERROR(INDEX(請求台帳!$C$5:$C$504,MATCH(F166,請求台帳!$A$5:$A$504,0)),""))</f>
        <v/>
      </c>
      <c r="H166" s="31" t="str">
        <f aca="false">IF(F166="","",IFERROR(INDEX(請求台帳!$D$5:$D$504,MATCH(F166,請求台帳!$A$5:$A$504,0)),""))</f>
        <v/>
      </c>
      <c r="I166" s="27" t="str">
        <f aca="false">IF(F166="","",IFERROR(INDEX(請求台帳!$F$5:$F$504,MATCH(F166,請求台帳!$A$5:$A$504,0)),""))</f>
        <v/>
      </c>
      <c r="J166" s="28" t="str">
        <f aca="false">IF(COUNTA(B166,D166,E166,F166)=0,"",IF(OR(B166="",E166=""),"要入力",IF(N(B166)&gt;設定!$C$5,"日付誤り",IF(F166="","未消込",IF(ISNA(MATCH(F166,請求台帳!$A$5:$A$504,0)),"番号誤り",IF(INDEX(請求台帳!$Q$5:$Q$504,MATCH(F166,請求台帳!$A$5:$A$504,0))="取消","取消請求へ消込","消込済"))))))</f>
        <v/>
      </c>
      <c r="K166" s="26"/>
      <c r="L166" s="26"/>
    </row>
    <row r="167" customFormat="false" ht="15" hidden="false" customHeight="false" outlineLevel="0" collapsed="false">
      <c r="A167" s="31" t="str">
        <f aca="false">IF(COUNTA(B167,D167,E167,F167)=0,"",ROW()-4)</f>
        <v/>
      </c>
      <c r="B167" s="22"/>
      <c r="C167" s="26"/>
      <c r="D167" s="26"/>
      <c r="E167" s="18"/>
      <c r="F167" s="26"/>
      <c r="G167" s="31" t="str">
        <f aca="false">IF(F167="","",IFERROR(INDEX(請求台帳!$C$5:$C$504,MATCH(F167,請求台帳!$A$5:$A$504,0)),""))</f>
        <v/>
      </c>
      <c r="H167" s="31" t="str">
        <f aca="false">IF(F167="","",IFERROR(INDEX(請求台帳!$D$5:$D$504,MATCH(F167,請求台帳!$A$5:$A$504,0)),""))</f>
        <v/>
      </c>
      <c r="I167" s="27" t="str">
        <f aca="false">IF(F167="","",IFERROR(INDEX(請求台帳!$F$5:$F$504,MATCH(F167,請求台帳!$A$5:$A$504,0)),""))</f>
        <v/>
      </c>
      <c r="J167" s="28" t="str">
        <f aca="false">IF(COUNTA(B167,D167,E167,F167)=0,"",IF(OR(B167="",E167=""),"要入力",IF(N(B167)&gt;設定!$C$5,"日付誤り",IF(F167="","未消込",IF(ISNA(MATCH(F167,請求台帳!$A$5:$A$504,0)),"番号誤り",IF(INDEX(請求台帳!$Q$5:$Q$504,MATCH(F167,請求台帳!$A$5:$A$504,0))="取消","取消請求へ消込","消込済"))))))</f>
        <v/>
      </c>
      <c r="K167" s="26"/>
      <c r="L167" s="26"/>
    </row>
    <row r="168" customFormat="false" ht="15" hidden="false" customHeight="false" outlineLevel="0" collapsed="false">
      <c r="A168" s="31" t="str">
        <f aca="false">IF(COUNTA(B168,D168,E168,F168)=0,"",ROW()-4)</f>
        <v/>
      </c>
      <c r="B168" s="22"/>
      <c r="C168" s="26"/>
      <c r="D168" s="26"/>
      <c r="E168" s="18"/>
      <c r="F168" s="26"/>
      <c r="G168" s="31" t="str">
        <f aca="false">IF(F168="","",IFERROR(INDEX(請求台帳!$C$5:$C$504,MATCH(F168,請求台帳!$A$5:$A$504,0)),""))</f>
        <v/>
      </c>
      <c r="H168" s="31" t="str">
        <f aca="false">IF(F168="","",IFERROR(INDEX(請求台帳!$D$5:$D$504,MATCH(F168,請求台帳!$A$5:$A$504,0)),""))</f>
        <v/>
      </c>
      <c r="I168" s="27" t="str">
        <f aca="false">IF(F168="","",IFERROR(INDEX(請求台帳!$F$5:$F$504,MATCH(F168,請求台帳!$A$5:$A$504,0)),""))</f>
        <v/>
      </c>
      <c r="J168" s="28" t="str">
        <f aca="false">IF(COUNTA(B168,D168,E168,F168)=0,"",IF(OR(B168="",E168=""),"要入力",IF(N(B168)&gt;設定!$C$5,"日付誤り",IF(F168="","未消込",IF(ISNA(MATCH(F168,請求台帳!$A$5:$A$504,0)),"番号誤り",IF(INDEX(請求台帳!$Q$5:$Q$504,MATCH(F168,請求台帳!$A$5:$A$504,0))="取消","取消請求へ消込","消込済"))))))</f>
        <v/>
      </c>
      <c r="K168" s="26"/>
      <c r="L168" s="26"/>
    </row>
    <row r="169" customFormat="false" ht="15" hidden="false" customHeight="false" outlineLevel="0" collapsed="false">
      <c r="A169" s="31" t="str">
        <f aca="false">IF(COUNTA(B169,D169,E169,F169)=0,"",ROW()-4)</f>
        <v/>
      </c>
      <c r="B169" s="22"/>
      <c r="C169" s="26"/>
      <c r="D169" s="26"/>
      <c r="E169" s="18"/>
      <c r="F169" s="26"/>
      <c r="G169" s="31" t="str">
        <f aca="false">IF(F169="","",IFERROR(INDEX(請求台帳!$C$5:$C$504,MATCH(F169,請求台帳!$A$5:$A$504,0)),""))</f>
        <v/>
      </c>
      <c r="H169" s="31" t="str">
        <f aca="false">IF(F169="","",IFERROR(INDEX(請求台帳!$D$5:$D$504,MATCH(F169,請求台帳!$A$5:$A$504,0)),""))</f>
        <v/>
      </c>
      <c r="I169" s="27" t="str">
        <f aca="false">IF(F169="","",IFERROR(INDEX(請求台帳!$F$5:$F$504,MATCH(F169,請求台帳!$A$5:$A$504,0)),""))</f>
        <v/>
      </c>
      <c r="J169" s="28" t="str">
        <f aca="false">IF(COUNTA(B169,D169,E169,F169)=0,"",IF(OR(B169="",E169=""),"要入力",IF(N(B169)&gt;設定!$C$5,"日付誤り",IF(F169="","未消込",IF(ISNA(MATCH(F169,請求台帳!$A$5:$A$504,0)),"番号誤り",IF(INDEX(請求台帳!$Q$5:$Q$504,MATCH(F169,請求台帳!$A$5:$A$504,0))="取消","取消請求へ消込","消込済"))))))</f>
        <v/>
      </c>
      <c r="K169" s="26"/>
      <c r="L169" s="26"/>
    </row>
    <row r="170" customFormat="false" ht="15" hidden="false" customHeight="false" outlineLevel="0" collapsed="false">
      <c r="A170" s="31" t="str">
        <f aca="false">IF(COUNTA(B170,D170,E170,F170)=0,"",ROW()-4)</f>
        <v/>
      </c>
      <c r="B170" s="22"/>
      <c r="C170" s="26"/>
      <c r="D170" s="26"/>
      <c r="E170" s="18"/>
      <c r="F170" s="26"/>
      <c r="G170" s="31" t="str">
        <f aca="false">IF(F170="","",IFERROR(INDEX(請求台帳!$C$5:$C$504,MATCH(F170,請求台帳!$A$5:$A$504,0)),""))</f>
        <v/>
      </c>
      <c r="H170" s="31" t="str">
        <f aca="false">IF(F170="","",IFERROR(INDEX(請求台帳!$D$5:$D$504,MATCH(F170,請求台帳!$A$5:$A$504,0)),""))</f>
        <v/>
      </c>
      <c r="I170" s="27" t="str">
        <f aca="false">IF(F170="","",IFERROR(INDEX(請求台帳!$F$5:$F$504,MATCH(F170,請求台帳!$A$5:$A$504,0)),""))</f>
        <v/>
      </c>
      <c r="J170" s="28" t="str">
        <f aca="false">IF(COUNTA(B170,D170,E170,F170)=0,"",IF(OR(B170="",E170=""),"要入力",IF(N(B170)&gt;設定!$C$5,"日付誤り",IF(F170="","未消込",IF(ISNA(MATCH(F170,請求台帳!$A$5:$A$504,0)),"番号誤り",IF(INDEX(請求台帳!$Q$5:$Q$504,MATCH(F170,請求台帳!$A$5:$A$504,0))="取消","取消請求へ消込","消込済"))))))</f>
        <v/>
      </c>
      <c r="K170" s="26"/>
      <c r="L170" s="26"/>
    </row>
    <row r="171" customFormat="false" ht="15" hidden="false" customHeight="false" outlineLevel="0" collapsed="false">
      <c r="A171" s="31" t="str">
        <f aca="false">IF(COUNTA(B171,D171,E171,F171)=0,"",ROW()-4)</f>
        <v/>
      </c>
      <c r="B171" s="22"/>
      <c r="C171" s="26"/>
      <c r="D171" s="26"/>
      <c r="E171" s="18"/>
      <c r="F171" s="26"/>
      <c r="G171" s="31" t="str">
        <f aca="false">IF(F171="","",IFERROR(INDEX(請求台帳!$C$5:$C$504,MATCH(F171,請求台帳!$A$5:$A$504,0)),""))</f>
        <v/>
      </c>
      <c r="H171" s="31" t="str">
        <f aca="false">IF(F171="","",IFERROR(INDEX(請求台帳!$D$5:$D$504,MATCH(F171,請求台帳!$A$5:$A$504,0)),""))</f>
        <v/>
      </c>
      <c r="I171" s="27" t="str">
        <f aca="false">IF(F171="","",IFERROR(INDEX(請求台帳!$F$5:$F$504,MATCH(F171,請求台帳!$A$5:$A$504,0)),""))</f>
        <v/>
      </c>
      <c r="J171" s="28" t="str">
        <f aca="false">IF(COUNTA(B171,D171,E171,F171)=0,"",IF(OR(B171="",E171=""),"要入力",IF(N(B171)&gt;設定!$C$5,"日付誤り",IF(F171="","未消込",IF(ISNA(MATCH(F171,請求台帳!$A$5:$A$504,0)),"番号誤り",IF(INDEX(請求台帳!$Q$5:$Q$504,MATCH(F171,請求台帳!$A$5:$A$504,0))="取消","取消請求へ消込","消込済"))))))</f>
        <v/>
      </c>
      <c r="K171" s="26"/>
      <c r="L171" s="26"/>
    </row>
    <row r="172" customFormat="false" ht="15" hidden="false" customHeight="false" outlineLevel="0" collapsed="false">
      <c r="A172" s="31" t="str">
        <f aca="false">IF(COUNTA(B172,D172,E172,F172)=0,"",ROW()-4)</f>
        <v/>
      </c>
      <c r="B172" s="22"/>
      <c r="C172" s="26"/>
      <c r="D172" s="26"/>
      <c r="E172" s="18"/>
      <c r="F172" s="26"/>
      <c r="G172" s="31" t="str">
        <f aca="false">IF(F172="","",IFERROR(INDEX(請求台帳!$C$5:$C$504,MATCH(F172,請求台帳!$A$5:$A$504,0)),""))</f>
        <v/>
      </c>
      <c r="H172" s="31" t="str">
        <f aca="false">IF(F172="","",IFERROR(INDEX(請求台帳!$D$5:$D$504,MATCH(F172,請求台帳!$A$5:$A$504,0)),""))</f>
        <v/>
      </c>
      <c r="I172" s="27" t="str">
        <f aca="false">IF(F172="","",IFERROR(INDEX(請求台帳!$F$5:$F$504,MATCH(F172,請求台帳!$A$5:$A$504,0)),""))</f>
        <v/>
      </c>
      <c r="J172" s="28" t="str">
        <f aca="false">IF(COUNTA(B172,D172,E172,F172)=0,"",IF(OR(B172="",E172=""),"要入力",IF(N(B172)&gt;設定!$C$5,"日付誤り",IF(F172="","未消込",IF(ISNA(MATCH(F172,請求台帳!$A$5:$A$504,0)),"番号誤り",IF(INDEX(請求台帳!$Q$5:$Q$504,MATCH(F172,請求台帳!$A$5:$A$504,0))="取消","取消請求へ消込","消込済"))))))</f>
        <v/>
      </c>
      <c r="K172" s="26"/>
      <c r="L172" s="26"/>
    </row>
    <row r="173" customFormat="false" ht="15" hidden="false" customHeight="false" outlineLevel="0" collapsed="false">
      <c r="A173" s="31" t="str">
        <f aca="false">IF(COUNTA(B173,D173,E173,F173)=0,"",ROW()-4)</f>
        <v/>
      </c>
      <c r="B173" s="22"/>
      <c r="C173" s="26"/>
      <c r="D173" s="26"/>
      <c r="E173" s="18"/>
      <c r="F173" s="26"/>
      <c r="G173" s="31" t="str">
        <f aca="false">IF(F173="","",IFERROR(INDEX(請求台帳!$C$5:$C$504,MATCH(F173,請求台帳!$A$5:$A$504,0)),""))</f>
        <v/>
      </c>
      <c r="H173" s="31" t="str">
        <f aca="false">IF(F173="","",IFERROR(INDEX(請求台帳!$D$5:$D$504,MATCH(F173,請求台帳!$A$5:$A$504,0)),""))</f>
        <v/>
      </c>
      <c r="I173" s="27" t="str">
        <f aca="false">IF(F173="","",IFERROR(INDEX(請求台帳!$F$5:$F$504,MATCH(F173,請求台帳!$A$5:$A$504,0)),""))</f>
        <v/>
      </c>
      <c r="J173" s="28" t="str">
        <f aca="false">IF(COUNTA(B173,D173,E173,F173)=0,"",IF(OR(B173="",E173=""),"要入力",IF(N(B173)&gt;設定!$C$5,"日付誤り",IF(F173="","未消込",IF(ISNA(MATCH(F173,請求台帳!$A$5:$A$504,0)),"番号誤り",IF(INDEX(請求台帳!$Q$5:$Q$504,MATCH(F173,請求台帳!$A$5:$A$504,0))="取消","取消請求へ消込","消込済"))))))</f>
        <v/>
      </c>
      <c r="K173" s="26"/>
      <c r="L173" s="26"/>
    </row>
    <row r="174" customFormat="false" ht="15" hidden="false" customHeight="false" outlineLevel="0" collapsed="false">
      <c r="A174" s="31" t="str">
        <f aca="false">IF(COUNTA(B174,D174,E174,F174)=0,"",ROW()-4)</f>
        <v/>
      </c>
      <c r="B174" s="22"/>
      <c r="C174" s="26"/>
      <c r="D174" s="26"/>
      <c r="E174" s="18"/>
      <c r="F174" s="26"/>
      <c r="G174" s="31" t="str">
        <f aca="false">IF(F174="","",IFERROR(INDEX(請求台帳!$C$5:$C$504,MATCH(F174,請求台帳!$A$5:$A$504,0)),""))</f>
        <v/>
      </c>
      <c r="H174" s="31" t="str">
        <f aca="false">IF(F174="","",IFERROR(INDEX(請求台帳!$D$5:$D$504,MATCH(F174,請求台帳!$A$5:$A$504,0)),""))</f>
        <v/>
      </c>
      <c r="I174" s="27" t="str">
        <f aca="false">IF(F174="","",IFERROR(INDEX(請求台帳!$F$5:$F$504,MATCH(F174,請求台帳!$A$5:$A$504,0)),""))</f>
        <v/>
      </c>
      <c r="J174" s="28" t="str">
        <f aca="false">IF(COUNTA(B174,D174,E174,F174)=0,"",IF(OR(B174="",E174=""),"要入力",IF(N(B174)&gt;設定!$C$5,"日付誤り",IF(F174="","未消込",IF(ISNA(MATCH(F174,請求台帳!$A$5:$A$504,0)),"番号誤り",IF(INDEX(請求台帳!$Q$5:$Q$504,MATCH(F174,請求台帳!$A$5:$A$504,0))="取消","取消請求へ消込","消込済"))))))</f>
        <v/>
      </c>
      <c r="K174" s="26"/>
      <c r="L174" s="26"/>
    </row>
    <row r="175" customFormat="false" ht="15" hidden="false" customHeight="false" outlineLevel="0" collapsed="false">
      <c r="A175" s="31" t="str">
        <f aca="false">IF(COUNTA(B175,D175,E175,F175)=0,"",ROW()-4)</f>
        <v/>
      </c>
      <c r="B175" s="22"/>
      <c r="C175" s="26"/>
      <c r="D175" s="26"/>
      <c r="E175" s="18"/>
      <c r="F175" s="26"/>
      <c r="G175" s="31" t="str">
        <f aca="false">IF(F175="","",IFERROR(INDEX(請求台帳!$C$5:$C$504,MATCH(F175,請求台帳!$A$5:$A$504,0)),""))</f>
        <v/>
      </c>
      <c r="H175" s="31" t="str">
        <f aca="false">IF(F175="","",IFERROR(INDEX(請求台帳!$D$5:$D$504,MATCH(F175,請求台帳!$A$5:$A$504,0)),""))</f>
        <v/>
      </c>
      <c r="I175" s="27" t="str">
        <f aca="false">IF(F175="","",IFERROR(INDEX(請求台帳!$F$5:$F$504,MATCH(F175,請求台帳!$A$5:$A$504,0)),""))</f>
        <v/>
      </c>
      <c r="J175" s="28" t="str">
        <f aca="false">IF(COUNTA(B175,D175,E175,F175)=0,"",IF(OR(B175="",E175=""),"要入力",IF(N(B175)&gt;設定!$C$5,"日付誤り",IF(F175="","未消込",IF(ISNA(MATCH(F175,請求台帳!$A$5:$A$504,0)),"番号誤り",IF(INDEX(請求台帳!$Q$5:$Q$504,MATCH(F175,請求台帳!$A$5:$A$504,0))="取消","取消請求へ消込","消込済"))))))</f>
        <v/>
      </c>
      <c r="K175" s="26"/>
      <c r="L175" s="26"/>
    </row>
    <row r="176" customFormat="false" ht="15" hidden="false" customHeight="false" outlineLevel="0" collapsed="false">
      <c r="A176" s="31" t="str">
        <f aca="false">IF(COUNTA(B176,D176,E176,F176)=0,"",ROW()-4)</f>
        <v/>
      </c>
      <c r="B176" s="22"/>
      <c r="C176" s="26"/>
      <c r="D176" s="26"/>
      <c r="E176" s="18"/>
      <c r="F176" s="26"/>
      <c r="G176" s="31" t="str">
        <f aca="false">IF(F176="","",IFERROR(INDEX(請求台帳!$C$5:$C$504,MATCH(F176,請求台帳!$A$5:$A$504,0)),""))</f>
        <v/>
      </c>
      <c r="H176" s="31" t="str">
        <f aca="false">IF(F176="","",IFERROR(INDEX(請求台帳!$D$5:$D$504,MATCH(F176,請求台帳!$A$5:$A$504,0)),""))</f>
        <v/>
      </c>
      <c r="I176" s="27" t="str">
        <f aca="false">IF(F176="","",IFERROR(INDEX(請求台帳!$F$5:$F$504,MATCH(F176,請求台帳!$A$5:$A$504,0)),""))</f>
        <v/>
      </c>
      <c r="J176" s="28" t="str">
        <f aca="false">IF(COUNTA(B176,D176,E176,F176)=0,"",IF(OR(B176="",E176=""),"要入力",IF(N(B176)&gt;設定!$C$5,"日付誤り",IF(F176="","未消込",IF(ISNA(MATCH(F176,請求台帳!$A$5:$A$504,0)),"番号誤り",IF(INDEX(請求台帳!$Q$5:$Q$504,MATCH(F176,請求台帳!$A$5:$A$504,0))="取消","取消請求へ消込","消込済"))))))</f>
        <v/>
      </c>
      <c r="K176" s="26"/>
      <c r="L176" s="26"/>
    </row>
    <row r="177" customFormat="false" ht="15" hidden="false" customHeight="false" outlineLevel="0" collapsed="false">
      <c r="A177" s="31" t="str">
        <f aca="false">IF(COUNTA(B177,D177,E177,F177)=0,"",ROW()-4)</f>
        <v/>
      </c>
      <c r="B177" s="22"/>
      <c r="C177" s="26"/>
      <c r="D177" s="26"/>
      <c r="E177" s="18"/>
      <c r="F177" s="26"/>
      <c r="G177" s="31" t="str">
        <f aca="false">IF(F177="","",IFERROR(INDEX(請求台帳!$C$5:$C$504,MATCH(F177,請求台帳!$A$5:$A$504,0)),""))</f>
        <v/>
      </c>
      <c r="H177" s="31" t="str">
        <f aca="false">IF(F177="","",IFERROR(INDEX(請求台帳!$D$5:$D$504,MATCH(F177,請求台帳!$A$5:$A$504,0)),""))</f>
        <v/>
      </c>
      <c r="I177" s="27" t="str">
        <f aca="false">IF(F177="","",IFERROR(INDEX(請求台帳!$F$5:$F$504,MATCH(F177,請求台帳!$A$5:$A$504,0)),""))</f>
        <v/>
      </c>
      <c r="J177" s="28" t="str">
        <f aca="false">IF(COUNTA(B177,D177,E177,F177)=0,"",IF(OR(B177="",E177=""),"要入力",IF(N(B177)&gt;設定!$C$5,"日付誤り",IF(F177="","未消込",IF(ISNA(MATCH(F177,請求台帳!$A$5:$A$504,0)),"番号誤り",IF(INDEX(請求台帳!$Q$5:$Q$504,MATCH(F177,請求台帳!$A$5:$A$504,0))="取消","取消請求へ消込","消込済"))))))</f>
        <v/>
      </c>
      <c r="K177" s="26"/>
      <c r="L177" s="26"/>
    </row>
    <row r="178" customFormat="false" ht="15" hidden="false" customHeight="false" outlineLevel="0" collapsed="false">
      <c r="A178" s="31" t="str">
        <f aca="false">IF(COUNTA(B178,D178,E178,F178)=0,"",ROW()-4)</f>
        <v/>
      </c>
      <c r="B178" s="22"/>
      <c r="C178" s="26"/>
      <c r="D178" s="26"/>
      <c r="E178" s="18"/>
      <c r="F178" s="26"/>
      <c r="G178" s="31" t="str">
        <f aca="false">IF(F178="","",IFERROR(INDEX(請求台帳!$C$5:$C$504,MATCH(F178,請求台帳!$A$5:$A$504,0)),""))</f>
        <v/>
      </c>
      <c r="H178" s="31" t="str">
        <f aca="false">IF(F178="","",IFERROR(INDEX(請求台帳!$D$5:$D$504,MATCH(F178,請求台帳!$A$5:$A$504,0)),""))</f>
        <v/>
      </c>
      <c r="I178" s="27" t="str">
        <f aca="false">IF(F178="","",IFERROR(INDEX(請求台帳!$F$5:$F$504,MATCH(F178,請求台帳!$A$5:$A$504,0)),""))</f>
        <v/>
      </c>
      <c r="J178" s="28" t="str">
        <f aca="false">IF(COUNTA(B178,D178,E178,F178)=0,"",IF(OR(B178="",E178=""),"要入力",IF(N(B178)&gt;設定!$C$5,"日付誤り",IF(F178="","未消込",IF(ISNA(MATCH(F178,請求台帳!$A$5:$A$504,0)),"番号誤り",IF(INDEX(請求台帳!$Q$5:$Q$504,MATCH(F178,請求台帳!$A$5:$A$504,0))="取消","取消請求へ消込","消込済"))))))</f>
        <v/>
      </c>
      <c r="K178" s="26"/>
      <c r="L178" s="26"/>
    </row>
    <row r="179" customFormat="false" ht="15" hidden="false" customHeight="false" outlineLevel="0" collapsed="false">
      <c r="A179" s="31" t="str">
        <f aca="false">IF(COUNTA(B179,D179,E179,F179)=0,"",ROW()-4)</f>
        <v/>
      </c>
      <c r="B179" s="22"/>
      <c r="C179" s="26"/>
      <c r="D179" s="26"/>
      <c r="E179" s="18"/>
      <c r="F179" s="26"/>
      <c r="G179" s="31" t="str">
        <f aca="false">IF(F179="","",IFERROR(INDEX(請求台帳!$C$5:$C$504,MATCH(F179,請求台帳!$A$5:$A$504,0)),""))</f>
        <v/>
      </c>
      <c r="H179" s="31" t="str">
        <f aca="false">IF(F179="","",IFERROR(INDEX(請求台帳!$D$5:$D$504,MATCH(F179,請求台帳!$A$5:$A$504,0)),""))</f>
        <v/>
      </c>
      <c r="I179" s="27" t="str">
        <f aca="false">IF(F179="","",IFERROR(INDEX(請求台帳!$F$5:$F$504,MATCH(F179,請求台帳!$A$5:$A$504,0)),""))</f>
        <v/>
      </c>
      <c r="J179" s="28" t="str">
        <f aca="false">IF(COUNTA(B179,D179,E179,F179)=0,"",IF(OR(B179="",E179=""),"要入力",IF(N(B179)&gt;設定!$C$5,"日付誤り",IF(F179="","未消込",IF(ISNA(MATCH(F179,請求台帳!$A$5:$A$504,0)),"番号誤り",IF(INDEX(請求台帳!$Q$5:$Q$504,MATCH(F179,請求台帳!$A$5:$A$504,0))="取消","取消請求へ消込","消込済"))))))</f>
        <v/>
      </c>
      <c r="K179" s="26"/>
      <c r="L179" s="26"/>
    </row>
    <row r="180" customFormat="false" ht="15" hidden="false" customHeight="false" outlineLevel="0" collapsed="false">
      <c r="A180" s="31" t="str">
        <f aca="false">IF(COUNTA(B180,D180,E180,F180)=0,"",ROW()-4)</f>
        <v/>
      </c>
      <c r="B180" s="22"/>
      <c r="C180" s="26"/>
      <c r="D180" s="26"/>
      <c r="E180" s="18"/>
      <c r="F180" s="26"/>
      <c r="G180" s="31" t="str">
        <f aca="false">IF(F180="","",IFERROR(INDEX(請求台帳!$C$5:$C$504,MATCH(F180,請求台帳!$A$5:$A$504,0)),""))</f>
        <v/>
      </c>
      <c r="H180" s="31" t="str">
        <f aca="false">IF(F180="","",IFERROR(INDEX(請求台帳!$D$5:$D$504,MATCH(F180,請求台帳!$A$5:$A$504,0)),""))</f>
        <v/>
      </c>
      <c r="I180" s="27" t="str">
        <f aca="false">IF(F180="","",IFERROR(INDEX(請求台帳!$F$5:$F$504,MATCH(F180,請求台帳!$A$5:$A$504,0)),""))</f>
        <v/>
      </c>
      <c r="J180" s="28" t="str">
        <f aca="false">IF(COUNTA(B180,D180,E180,F180)=0,"",IF(OR(B180="",E180=""),"要入力",IF(N(B180)&gt;設定!$C$5,"日付誤り",IF(F180="","未消込",IF(ISNA(MATCH(F180,請求台帳!$A$5:$A$504,0)),"番号誤り",IF(INDEX(請求台帳!$Q$5:$Q$504,MATCH(F180,請求台帳!$A$5:$A$504,0))="取消","取消請求へ消込","消込済"))))))</f>
        <v/>
      </c>
      <c r="K180" s="26"/>
      <c r="L180" s="26"/>
    </row>
    <row r="181" customFormat="false" ht="15" hidden="false" customHeight="false" outlineLevel="0" collapsed="false">
      <c r="A181" s="31" t="str">
        <f aca="false">IF(COUNTA(B181,D181,E181,F181)=0,"",ROW()-4)</f>
        <v/>
      </c>
      <c r="B181" s="22"/>
      <c r="C181" s="26"/>
      <c r="D181" s="26"/>
      <c r="E181" s="18"/>
      <c r="F181" s="26"/>
      <c r="G181" s="31" t="str">
        <f aca="false">IF(F181="","",IFERROR(INDEX(請求台帳!$C$5:$C$504,MATCH(F181,請求台帳!$A$5:$A$504,0)),""))</f>
        <v/>
      </c>
      <c r="H181" s="31" t="str">
        <f aca="false">IF(F181="","",IFERROR(INDEX(請求台帳!$D$5:$D$504,MATCH(F181,請求台帳!$A$5:$A$504,0)),""))</f>
        <v/>
      </c>
      <c r="I181" s="27" t="str">
        <f aca="false">IF(F181="","",IFERROR(INDEX(請求台帳!$F$5:$F$504,MATCH(F181,請求台帳!$A$5:$A$504,0)),""))</f>
        <v/>
      </c>
      <c r="J181" s="28" t="str">
        <f aca="false">IF(COUNTA(B181,D181,E181,F181)=0,"",IF(OR(B181="",E181=""),"要入力",IF(N(B181)&gt;設定!$C$5,"日付誤り",IF(F181="","未消込",IF(ISNA(MATCH(F181,請求台帳!$A$5:$A$504,0)),"番号誤り",IF(INDEX(請求台帳!$Q$5:$Q$504,MATCH(F181,請求台帳!$A$5:$A$504,0))="取消","取消請求へ消込","消込済"))))))</f>
        <v/>
      </c>
      <c r="K181" s="26"/>
      <c r="L181" s="26"/>
    </row>
    <row r="182" customFormat="false" ht="15" hidden="false" customHeight="false" outlineLevel="0" collapsed="false">
      <c r="A182" s="31" t="str">
        <f aca="false">IF(COUNTA(B182,D182,E182,F182)=0,"",ROW()-4)</f>
        <v/>
      </c>
      <c r="B182" s="22"/>
      <c r="C182" s="26"/>
      <c r="D182" s="26"/>
      <c r="E182" s="18"/>
      <c r="F182" s="26"/>
      <c r="G182" s="31" t="str">
        <f aca="false">IF(F182="","",IFERROR(INDEX(請求台帳!$C$5:$C$504,MATCH(F182,請求台帳!$A$5:$A$504,0)),""))</f>
        <v/>
      </c>
      <c r="H182" s="31" t="str">
        <f aca="false">IF(F182="","",IFERROR(INDEX(請求台帳!$D$5:$D$504,MATCH(F182,請求台帳!$A$5:$A$504,0)),""))</f>
        <v/>
      </c>
      <c r="I182" s="27" t="str">
        <f aca="false">IF(F182="","",IFERROR(INDEX(請求台帳!$F$5:$F$504,MATCH(F182,請求台帳!$A$5:$A$504,0)),""))</f>
        <v/>
      </c>
      <c r="J182" s="28" t="str">
        <f aca="false">IF(COUNTA(B182,D182,E182,F182)=0,"",IF(OR(B182="",E182=""),"要入力",IF(N(B182)&gt;設定!$C$5,"日付誤り",IF(F182="","未消込",IF(ISNA(MATCH(F182,請求台帳!$A$5:$A$504,0)),"番号誤り",IF(INDEX(請求台帳!$Q$5:$Q$504,MATCH(F182,請求台帳!$A$5:$A$504,0))="取消","取消請求へ消込","消込済"))))))</f>
        <v/>
      </c>
      <c r="K182" s="26"/>
      <c r="L182" s="26"/>
    </row>
    <row r="183" customFormat="false" ht="15" hidden="false" customHeight="false" outlineLevel="0" collapsed="false">
      <c r="A183" s="31" t="str">
        <f aca="false">IF(COUNTA(B183,D183,E183,F183)=0,"",ROW()-4)</f>
        <v/>
      </c>
      <c r="B183" s="22"/>
      <c r="C183" s="26"/>
      <c r="D183" s="26"/>
      <c r="E183" s="18"/>
      <c r="F183" s="26"/>
      <c r="G183" s="31" t="str">
        <f aca="false">IF(F183="","",IFERROR(INDEX(請求台帳!$C$5:$C$504,MATCH(F183,請求台帳!$A$5:$A$504,0)),""))</f>
        <v/>
      </c>
      <c r="H183" s="31" t="str">
        <f aca="false">IF(F183="","",IFERROR(INDEX(請求台帳!$D$5:$D$504,MATCH(F183,請求台帳!$A$5:$A$504,0)),""))</f>
        <v/>
      </c>
      <c r="I183" s="27" t="str">
        <f aca="false">IF(F183="","",IFERROR(INDEX(請求台帳!$F$5:$F$504,MATCH(F183,請求台帳!$A$5:$A$504,0)),""))</f>
        <v/>
      </c>
      <c r="J183" s="28" t="str">
        <f aca="false">IF(COUNTA(B183,D183,E183,F183)=0,"",IF(OR(B183="",E183=""),"要入力",IF(N(B183)&gt;設定!$C$5,"日付誤り",IF(F183="","未消込",IF(ISNA(MATCH(F183,請求台帳!$A$5:$A$504,0)),"番号誤り",IF(INDEX(請求台帳!$Q$5:$Q$504,MATCH(F183,請求台帳!$A$5:$A$504,0))="取消","取消請求へ消込","消込済"))))))</f>
        <v/>
      </c>
      <c r="K183" s="26"/>
      <c r="L183" s="26"/>
    </row>
    <row r="184" customFormat="false" ht="15" hidden="false" customHeight="false" outlineLevel="0" collapsed="false">
      <c r="A184" s="31" t="str">
        <f aca="false">IF(COUNTA(B184,D184,E184,F184)=0,"",ROW()-4)</f>
        <v/>
      </c>
      <c r="B184" s="22"/>
      <c r="C184" s="26"/>
      <c r="D184" s="26"/>
      <c r="E184" s="18"/>
      <c r="F184" s="26"/>
      <c r="G184" s="31" t="str">
        <f aca="false">IF(F184="","",IFERROR(INDEX(請求台帳!$C$5:$C$504,MATCH(F184,請求台帳!$A$5:$A$504,0)),""))</f>
        <v/>
      </c>
      <c r="H184" s="31" t="str">
        <f aca="false">IF(F184="","",IFERROR(INDEX(請求台帳!$D$5:$D$504,MATCH(F184,請求台帳!$A$5:$A$504,0)),""))</f>
        <v/>
      </c>
      <c r="I184" s="27" t="str">
        <f aca="false">IF(F184="","",IFERROR(INDEX(請求台帳!$F$5:$F$504,MATCH(F184,請求台帳!$A$5:$A$504,0)),""))</f>
        <v/>
      </c>
      <c r="J184" s="28" t="str">
        <f aca="false">IF(COUNTA(B184,D184,E184,F184)=0,"",IF(OR(B184="",E184=""),"要入力",IF(N(B184)&gt;設定!$C$5,"日付誤り",IF(F184="","未消込",IF(ISNA(MATCH(F184,請求台帳!$A$5:$A$504,0)),"番号誤り",IF(INDEX(請求台帳!$Q$5:$Q$504,MATCH(F184,請求台帳!$A$5:$A$504,0))="取消","取消請求へ消込","消込済"))))))</f>
        <v/>
      </c>
      <c r="K184" s="26"/>
      <c r="L184" s="26"/>
    </row>
    <row r="185" customFormat="false" ht="15" hidden="false" customHeight="false" outlineLevel="0" collapsed="false">
      <c r="A185" s="31" t="str">
        <f aca="false">IF(COUNTA(B185,D185,E185,F185)=0,"",ROW()-4)</f>
        <v/>
      </c>
      <c r="B185" s="22"/>
      <c r="C185" s="26"/>
      <c r="D185" s="26"/>
      <c r="E185" s="18"/>
      <c r="F185" s="26"/>
      <c r="G185" s="31" t="str">
        <f aca="false">IF(F185="","",IFERROR(INDEX(請求台帳!$C$5:$C$504,MATCH(F185,請求台帳!$A$5:$A$504,0)),""))</f>
        <v/>
      </c>
      <c r="H185" s="31" t="str">
        <f aca="false">IF(F185="","",IFERROR(INDEX(請求台帳!$D$5:$D$504,MATCH(F185,請求台帳!$A$5:$A$504,0)),""))</f>
        <v/>
      </c>
      <c r="I185" s="27" t="str">
        <f aca="false">IF(F185="","",IFERROR(INDEX(請求台帳!$F$5:$F$504,MATCH(F185,請求台帳!$A$5:$A$504,0)),""))</f>
        <v/>
      </c>
      <c r="J185" s="28" t="str">
        <f aca="false">IF(COUNTA(B185,D185,E185,F185)=0,"",IF(OR(B185="",E185=""),"要入力",IF(N(B185)&gt;設定!$C$5,"日付誤り",IF(F185="","未消込",IF(ISNA(MATCH(F185,請求台帳!$A$5:$A$504,0)),"番号誤り",IF(INDEX(請求台帳!$Q$5:$Q$504,MATCH(F185,請求台帳!$A$5:$A$504,0))="取消","取消請求へ消込","消込済"))))))</f>
        <v/>
      </c>
      <c r="K185" s="26"/>
      <c r="L185" s="26"/>
    </row>
    <row r="186" customFormat="false" ht="15" hidden="false" customHeight="false" outlineLevel="0" collapsed="false">
      <c r="A186" s="31" t="str">
        <f aca="false">IF(COUNTA(B186,D186,E186,F186)=0,"",ROW()-4)</f>
        <v/>
      </c>
      <c r="B186" s="22"/>
      <c r="C186" s="26"/>
      <c r="D186" s="26"/>
      <c r="E186" s="18"/>
      <c r="F186" s="26"/>
      <c r="G186" s="31" t="str">
        <f aca="false">IF(F186="","",IFERROR(INDEX(請求台帳!$C$5:$C$504,MATCH(F186,請求台帳!$A$5:$A$504,0)),""))</f>
        <v/>
      </c>
      <c r="H186" s="31" t="str">
        <f aca="false">IF(F186="","",IFERROR(INDEX(請求台帳!$D$5:$D$504,MATCH(F186,請求台帳!$A$5:$A$504,0)),""))</f>
        <v/>
      </c>
      <c r="I186" s="27" t="str">
        <f aca="false">IF(F186="","",IFERROR(INDEX(請求台帳!$F$5:$F$504,MATCH(F186,請求台帳!$A$5:$A$504,0)),""))</f>
        <v/>
      </c>
      <c r="J186" s="28" t="str">
        <f aca="false">IF(COUNTA(B186,D186,E186,F186)=0,"",IF(OR(B186="",E186=""),"要入力",IF(N(B186)&gt;設定!$C$5,"日付誤り",IF(F186="","未消込",IF(ISNA(MATCH(F186,請求台帳!$A$5:$A$504,0)),"番号誤り",IF(INDEX(請求台帳!$Q$5:$Q$504,MATCH(F186,請求台帳!$A$5:$A$504,0))="取消","取消請求へ消込","消込済"))))))</f>
        <v/>
      </c>
      <c r="K186" s="26"/>
      <c r="L186" s="26"/>
    </row>
    <row r="187" customFormat="false" ht="15" hidden="false" customHeight="false" outlineLevel="0" collapsed="false">
      <c r="A187" s="31" t="str">
        <f aca="false">IF(COUNTA(B187,D187,E187,F187)=0,"",ROW()-4)</f>
        <v/>
      </c>
      <c r="B187" s="22"/>
      <c r="C187" s="26"/>
      <c r="D187" s="26"/>
      <c r="E187" s="18"/>
      <c r="F187" s="26"/>
      <c r="G187" s="31" t="str">
        <f aca="false">IF(F187="","",IFERROR(INDEX(請求台帳!$C$5:$C$504,MATCH(F187,請求台帳!$A$5:$A$504,0)),""))</f>
        <v/>
      </c>
      <c r="H187" s="31" t="str">
        <f aca="false">IF(F187="","",IFERROR(INDEX(請求台帳!$D$5:$D$504,MATCH(F187,請求台帳!$A$5:$A$504,0)),""))</f>
        <v/>
      </c>
      <c r="I187" s="27" t="str">
        <f aca="false">IF(F187="","",IFERROR(INDEX(請求台帳!$F$5:$F$504,MATCH(F187,請求台帳!$A$5:$A$504,0)),""))</f>
        <v/>
      </c>
      <c r="J187" s="28" t="str">
        <f aca="false">IF(COUNTA(B187,D187,E187,F187)=0,"",IF(OR(B187="",E187=""),"要入力",IF(N(B187)&gt;設定!$C$5,"日付誤り",IF(F187="","未消込",IF(ISNA(MATCH(F187,請求台帳!$A$5:$A$504,0)),"番号誤り",IF(INDEX(請求台帳!$Q$5:$Q$504,MATCH(F187,請求台帳!$A$5:$A$504,0))="取消","取消請求へ消込","消込済"))))))</f>
        <v/>
      </c>
      <c r="K187" s="26"/>
      <c r="L187" s="26"/>
    </row>
    <row r="188" customFormat="false" ht="15" hidden="false" customHeight="false" outlineLevel="0" collapsed="false">
      <c r="A188" s="31" t="str">
        <f aca="false">IF(COUNTA(B188,D188,E188,F188)=0,"",ROW()-4)</f>
        <v/>
      </c>
      <c r="B188" s="22"/>
      <c r="C188" s="26"/>
      <c r="D188" s="26"/>
      <c r="E188" s="18"/>
      <c r="F188" s="26"/>
      <c r="G188" s="31" t="str">
        <f aca="false">IF(F188="","",IFERROR(INDEX(請求台帳!$C$5:$C$504,MATCH(F188,請求台帳!$A$5:$A$504,0)),""))</f>
        <v/>
      </c>
      <c r="H188" s="31" t="str">
        <f aca="false">IF(F188="","",IFERROR(INDEX(請求台帳!$D$5:$D$504,MATCH(F188,請求台帳!$A$5:$A$504,0)),""))</f>
        <v/>
      </c>
      <c r="I188" s="27" t="str">
        <f aca="false">IF(F188="","",IFERROR(INDEX(請求台帳!$F$5:$F$504,MATCH(F188,請求台帳!$A$5:$A$504,0)),""))</f>
        <v/>
      </c>
      <c r="J188" s="28" t="str">
        <f aca="false">IF(COUNTA(B188,D188,E188,F188)=0,"",IF(OR(B188="",E188=""),"要入力",IF(N(B188)&gt;設定!$C$5,"日付誤り",IF(F188="","未消込",IF(ISNA(MATCH(F188,請求台帳!$A$5:$A$504,0)),"番号誤り",IF(INDEX(請求台帳!$Q$5:$Q$504,MATCH(F188,請求台帳!$A$5:$A$504,0))="取消","取消請求へ消込","消込済"))))))</f>
        <v/>
      </c>
      <c r="K188" s="26"/>
      <c r="L188" s="26"/>
    </row>
    <row r="189" customFormat="false" ht="15" hidden="false" customHeight="false" outlineLevel="0" collapsed="false">
      <c r="A189" s="31" t="str">
        <f aca="false">IF(COUNTA(B189,D189,E189,F189)=0,"",ROW()-4)</f>
        <v/>
      </c>
      <c r="B189" s="22"/>
      <c r="C189" s="26"/>
      <c r="D189" s="26"/>
      <c r="E189" s="18"/>
      <c r="F189" s="26"/>
      <c r="G189" s="31" t="str">
        <f aca="false">IF(F189="","",IFERROR(INDEX(請求台帳!$C$5:$C$504,MATCH(F189,請求台帳!$A$5:$A$504,0)),""))</f>
        <v/>
      </c>
      <c r="H189" s="31" t="str">
        <f aca="false">IF(F189="","",IFERROR(INDEX(請求台帳!$D$5:$D$504,MATCH(F189,請求台帳!$A$5:$A$504,0)),""))</f>
        <v/>
      </c>
      <c r="I189" s="27" t="str">
        <f aca="false">IF(F189="","",IFERROR(INDEX(請求台帳!$F$5:$F$504,MATCH(F189,請求台帳!$A$5:$A$504,0)),""))</f>
        <v/>
      </c>
      <c r="J189" s="28" t="str">
        <f aca="false">IF(COUNTA(B189,D189,E189,F189)=0,"",IF(OR(B189="",E189=""),"要入力",IF(N(B189)&gt;設定!$C$5,"日付誤り",IF(F189="","未消込",IF(ISNA(MATCH(F189,請求台帳!$A$5:$A$504,0)),"番号誤り",IF(INDEX(請求台帳!$Q$5:$Q$504,MATCH(F189,請求台帳!$A$5:$A$504,0))="取消","取消請求へ消込","消込済"))))))</f>
        <v/>
      </c>
      <c r="K189" s="26"/>
      <c r="L189" s="26"/>
    </row>
    <row r="190" customFormat="false" ht="15" hidden="false" customHeight="false" outlineLevel="0" collapsed="false">
      <c r="A190" s="31" t="str">
        <f aca="false">IF(COUNTA(B190,D190,E190,F190)=0,"",ROW()-4)</f>
        <v/>
      </c>
      <c r="B190" s="22"/>
      <c r="C190" s="26"/>
      <c r="D190" s="26"/>
      <c r="E190" s="18"/>
      <c r="F190" s="26"/>
      <c r="G190" s="31" t="str">
        <f aca="false">IF(F190="","",IFERROR(INDEX(請求台帳!$C$5:$C$504,MATCH(F190,請求台帳!$A$5:$A$504,0)),""))</f>
        <v/>
      </c>
      <c r="H190" s="31" t="str">
        <f aca="false">IF(F190="","",IFERROR(INDEX(請求台帳!$D$5:$D$504,MATCH(F190,請求台帳!$A$5:$A$504,0)),""))</f>
        <v/>
      </c>
      <c r="I190" s="27" t="str">
        <f aca="false">IF(F190="","",IFERROR(INDEX(請求台帳!$F$5:$F$504,MATCH(F190,請求台帳!$A$5:$A$504,0)),""))</f>
        <v/>
      </c>
      <c r="J190" s="28" t="str">
        <f aca="false">IF(COUNTA(B190,D190,E190,F190)=0,"",IF(OR(B190="",E190=""),"要入力",IF(N(B190)&gt;設定!$C$5,"日付誤り",IF(F190="","未消込",IF(ISNA(MATCH(F190,請求台帳!$A$5:$A$504,0)),"番号誤り",IF(INDEX(請求台帳!$Q$5:$Q$504,MATCH(F190,請求台帳!$A$5:$A$504,0))="取消","取消請求へ消込","消込済"))))))</f>
        <v/>
      </c>
      <c r="K190" s="26"/>
      <c r="L190" s="26"/>
    </row>
    <row r="191" customFormat="false" ht="15" hidden="false" customHeight="false" outlineLevel="0" collapsed="false">
      <c r="A191" s="31" t="str">
        <f aca="false">IF(COUNTA(B191,D191,E191,F191)=0,"",ROW()-4)</f>
        <v/>
      </c>
      <c r="B191" s="22"/>
      <c r="C191" s="26"/>
      <c r="D191" s="26"/>
      <c r="E191" s="18"/>
      <c r="F191" s="26"/>
      <c r="G191" s="31" t="str">
        <f aca="false">IF(F191="","",IFERROR(INDEX(請求台帳!$C$5:$C$504,MATCH(F191,請求台帳!$A$5:$A$504,0)),""))</f>
        <v/>
      </c>
      <c r="H191" s="31" t="str">
        <f aca="false">IF(F191="","",IFERROR(INDEX(請求台帳!$D$5:$D$504,MATCH(F191,請求台帳!$A$5:$A$504,0)),""))</f>
        <v/>
      </c>
      <c r="I191" s="27" t="str">
        <f aca="false">IF(F191="","",IFERROR(INDEX(請求台帳!$F$5:$F$504,MATCH(F191,請求台帳!$A$5:$A$504,0)),""))</f>
        <v/>
      </c>
      <c r="J191" s="28" t="str">
        <f aca="false">IF(COUNTA(B191,D191,E191,F191)=0,"",IF(OR(B191="",E191=""),"要入力",IF(N(B191)&gt;設定!$C$5,"日付誤り",IF(F191="","未消込",IF(ISNA(MATCH(F191,請求台帳!$A$5:$A$504,0)),"番号誤り",IF(INDEX(請求台帳!$Q$5:$Q$504,MATCH(F191,請求台帳!$A$5:$A$504,0))="取消","取消請求へ消込","消込済"))))))</f>
        <v/>
      </c>
      <c r="K191" s="26"/>
      <c r="L191" s="26"/>
    </row>
    <row r="192" customFormat="false" ht="15" hidden="false" customHeight="false" outlineLevel="0" collapsed="false">
      <c r="A192" s="31" t="str">
        <f aca="false">IF(COUNTA(B192,D192,E192,F192)=0,"",ROW()-4)</f>
        <v/>
      </c>
      <c r="B192" s="22"/>
      <c r="C192" s="26"/>
      <c r="D192" s="26"/>
      <c r="E192" s="18"/>
      <c r="F192" s="26"/>
      <c r="G192" s="31" t="str">
        <f aca="false">IF(F192="","",IFERROR(INDEX(請求台帳!$C$5:$C$504,MATCH(F192,請求台帳!$A$5:$A$504,0)),""))</f>
        <v/>
      </c>
      <c r="H192" s="31" t="str">
        <f aca="false">IF(F192="","",IFERROR(INDEX(請求台帳!$D$5:$D$504,MATCH(F192,請求台帳!$A$5:$A$504,0)),""))</f>
        <v/>
      </c>
      <c r="I192" s="27" t="str">
        <f aca="false">IF(F192="","",IFERROR(INDEX(請求台帳!$F$5:$F$504,MATCH(F192,請求台帳!$A$5:$A$504,0)),""))</f>
        <v/>
      </c>
      <c r="J192" s="28" t="str">
        <f aca="false">IF(COUNTA(B192,D192,E192,F192)=0,"",IF(OR(B192="",E192=""),"要入力",IF(N(B192)&gt;設定!$C$5,"日付誤り",IF(F192="","未消込",IF(ISNA(MATCH(F192,請求台帳!$A$5:$A$504,0)),"番号誤り",IF(INDEX(請求台帳!$Q$5:$Q$504,MATCH(F192,請求台帳!$A$5:$A$504,0))="取消","取消請求へ消込","消込済"))))))</f>
        <v/>
      </c>
      <c r="K192" s="26"/>
      <c r="L192" s="26"/>
    </row>
    <row r="193" customFormat="false" ht="15" hidden="false" customHeight="false" outlineLevel="0" collapsed="false">
      <c r="A193" s="31" t="str">
        <f aca="false">IF(COUNTA(B193,D193,E193,F193)=0,"",ROW()-4)</f>
        <v/>
      </c>
      <c r="B193" s="22"/>
      <c r="C193" s="26"/>
      <c r="D193" s="26"/>
      <c r="E193" s="18"/>
      <c r="F193" s="26"/>
      <c r="G193" s="31" t="str">
        <f aca="false">IF(F193="","",IFERROR(INDEX(請求台帳!$C$5:$C$504,MATCH(F193,請求台帳!$A$5:$A$504,0)),""))</f>
        <v/>
      </c>
      <c r="H193" s="31" t="str">
        <f aca="false">IF(F193="","",IFERROR(INDEX(請求台帳!$D$5:$D$504,MATCH(F193,請求台帳!$A$5:$A$504,0)),""))</f>
        <v/>
      </c>
      <c r="I193" s="27" t="str">
        <f aca="false">IF(F193="","",IFERROR(INDEX(請求台帳!$F$5:$F$504,MATCH(F193,請求台帳!$A$5:$A$504,0)),""))</f>
        <v/>
      </c>
      <c r="J193" s="28" t="str">
        <f aca="false">IF(COUNTA(B193,D193,E193,F193)=0,"",IF(OR(B193="",E193=""),"要入力",IF(N(B193)&gt;設定!$C$5,"日付誤り",IF(F193="","未消込",IF(ISNA(MATCH(F193,請求台帳!$A$5:$A$504,0)),"番号誤り",IF(INDEX(請求台帳!$Q$5:$Q$504,MATCH(F193,請求台帳!$A$5:$A$504,0))="取消","取消請求へ消込","消込済"))))))</f>
        <v/>
      </c>
      <c r="K193" s="26"/>
      <c r="L193" s="26"/>
    </row>
    <row r="194" customFormat="false" ht="15" hidden="false" customHeight="false" outlineLevel="0" collapsed="false">
      <c r="A194" s="31" t="str">
        <f aca="false">IF(COUNTA(B194,D194,E194,F194)=0,"",ROW()-4)</f>
        <v/>
      </c>
      <c r="B194" s="22"/>
      <c r="C194" s="26"/>
      <c r="D194" s="26"/>
      <c r="E194" s="18"/>
      <c r="F194" s="26"/>
      <c r="G194" s="31" t="str">
        <f aca="false">IF(F194="","",IFERROR(INDEX(請求台帳!$C$5:$C$504,MATCH(F194,請求台帳!$A$5:$A$504,0)),""))</f>
        <v/>
      </c>
      <c r="H194" s="31" t="str">
        <f aca="false">IF(F194="","",IFERROR(INDEX(請求台帳!$D$5:$D$504,MATCH(F194,請求台帳!$A$5:$A$504,0)),""))</f>
        <v/>
      </c>
      <c r="I194" s="27" t="str">
        <f aca="false">IF(F194="","",IFERROR(INDEX(請求台帳!$F$5:$F$504,MATCH(F194,請求台帳!$A$5:$A$504,0)),""))</f>
        <v/>
      </c>
      <c r="J194" s="28" t="str">
        <f aca="false">IF(COUNTA(B194,D194,E194,F194)=0,"",IF(OR(B194="",E194=""),"要入力",IF(N(B194)&gt;設定!$C$5,"日付誤り",IF(F194="","未消込",IF(ISNA(MATCH(F194,請求台帳!$A$5:$A$504,0)),"番号誤り",IF(INDEX(請求台帳!$Q$5:$Q$504,MATCH(F194,請求台帳!$A$5:$A$504,0))="取消","取消請求へ消込","消込済"))))))</f>
        <v/>
      </c>
      <c r="K194" s="26"/>
      <c r="L194" s="26"/>
    </row>
    <row r="195" customFormat="false" ht="15" hidden="false" customHeight="false" outlineLevel="0" collapsed="false">
      <c r="A195" s="31" t="str">
        <f aca="false">IF(COUNTA(B195,D195,E195,F195)=0,"",ROW()-4)</f>
        <v/>
      </c>
      <c r="B195" s="22"/>
      <c r="C195" s="26"/>
      <c r="D195" s="26"/>
      <c r="E195" s="18"/>
      <c r="F195" s="26"/>
      <c r="G195" s="31" t="str">
        <f aca="false">IF(F195="","",IFERROR(INDEX(請求台帳!$C$5:$C$504,MATCH(F195,請求台帳!$A$5:$A$504,0)),""))</f>
        <v/>
      </c>
      <c r="H195" s="31" t="str">
        <f aca="false">IF(F195="","",IFERROR(INDEX(請求台帳!$D$5:$D$504,MATCH(F195,請求台帳!$A$5:$A$504,0)),""))</f>
        <v/>
      </c>
      <c r="I195" s="27" t="str">
        <f aca="false">IF(F195="","",IFERROR(INDEX(請求台帳!$F$5:$F$504,MATCH(F195,請求台帳!$A$5:$A$504,0)),""))</f>
        <v/>
      </c>
      <c r="J195" s="28" t="str">
        <f aca="false">IF(COUNTA(B195,D195,E195,F195)=0,"",IF(OR(B195="",E195=""),"要入力",IF(N(B195)&gt;設定!$C$5,"日付誤り",IF(F195="","未消込",IF(ISNA(MATCH(F195,請求台帳!$A$5:$A$504,0)),"番号誤り",IF(INDEX(請求台帳!$Q$5:$Q$504,MATCH(F195,請求台帳!$A$5:$A$504,0))="取消","取消請求へ消込","消込済"))))))</f>
        <v/>
      </c>
      <c r="K195" s="26"/>
      <c r="L195" s="26"/>
    </row>
    <row r="196" customFormat="false" ht="15" hidden="false" customHeight="false" outlineLevel="0" collapsed="false">
      <c r="A196" s="31" t="str">
        <f aca="false">IF(COUNTA(B196,D196,E196,F196)=0,"",ROW()-4)</f>
        <v/>
      </c>
      <c r="B196" s="22"/>
      <c r="C196" s="26"/>
      <c r="D196" s="26"/>
      <c r="E196" s="18"/>
      <c r="F196" s="26"/>
      <c r="G196" s="31" t="str">
        <f aca="false">IF(F196="","",IFERROR(INDEX(請求台帳!$C$5:$C$504,MATCH(F196,請求台帳!$A$5:$A$504,0)),""))</f>
        <v/>
      </c>
      <c r="H196" s="31" t="str">
        <f aca="false">IF(F196="","",IFERROR(INDEX(請求台帳!$D$5:$D$504,MATCH(F196,請求台帳!$A$5:$A$504,0)),""))</f>
        <v/>
      </c>
      <c r="I196" s="27" t="str">
        <f aca="false">IF(F196="","",IFERROR(INDEX(請求台帳!$F$5:$F$504,MATCH(F196,請求台帳!$A$5:$A$504,0)),""))</f>
        <v/>
      </c>
      <c r="J196" s="28" t="str">
        <f aca="false">IF(COUNTA(B196,D196,E196,F196)=0,"",IF(OR(B196="",E196=""),"要入力",IF(N(B196)&gt;設定!$C$5,"日付誤り",IF(F196="","未消込",IF(ISNA(MATCH(F196,請求台帳!$A$5:$A$504,0)),"番号誤り",IF(INDEX(請求台帳!$Q$5:$Q$504,MATCH(F196,請求台帳!$A$5:$A$504,0))="取消","取消請求へ消込","消込済"))))))</f>
        <v/>
      </c>
      <c r="K196" s="26"/>
      <c r="L196" s="26"/>
    </row>
    <row r="197" customFormat="false" ht="15" hidden="false" customHeight="false" outlineLevel="0" collapsed="false">
      <c r="A197" s="31" t="str">
        <f aca="false">IF(COUNTA(B197,D197,E197,F197)=0,"",ROW()-4)</f>
        <v/>
      </c>
      <c r="B197" s="22"/>
      <c r="C197" s="26"/>
      <c r="D197" s="26"/>
      <c r="E197" s="18"/>
      <c r="F197" s="26"/>
      <c r="G197" s="31" t="str">
        <f aca="false">IF(F197="","",IFERROR(INDEX(請求台帳!$C$5:$C$504,MATCH(F197,請求台帳!$A$5:$A$504,0)),""))</f>
        <v/>
      </c>
      <c r="H197" s="31" t="str">
        <f aca="false">IF(F197="","",IFERROR(INDEX(請求台帳!$D$5:$D$504,MATCH(F197,請求台帳!$A$5:$A$504,0)),""))</f>
        <v/>
      </c>
      <c r="I197" s="27" t="str">
        <f aca="false">IF(F197="","",IFERROR(INDEX(請求台帳!$F$5:$F$504,MATCH(F197,請求台帳!$A$5:$A$504,0)),""))</f>
        <v/>
      </c>
      <c r="J197" s="28" t="str">
        <f aca="false">IF(COUNTA(B197,D197,E197,F197)=0,"",IF(OR(B197="",E197=""),"要入力",IF(N(B197)&gt;設定!$C$5,"日付誤り",IF(F197="","未消込",IF(ISNA(MATCH(F197,請求台帳!$A$5:$A$504,0)),"番号誤り",IF(INDEX(請求台帳!$Q$5:$Q$504,MATCH(F197,請求台帳!$A$5:$A$504,0))="取消","取消請求へ消込","消込済"))))))</f>
        <v/>
      </c>
      <c r="K197" s="26"/>
      <c r="L197" s="26"/>
    </row>
    <row r="198" customFormat="false" ht="15" hidden="false" customHeight="false" outlineLevel="0" collapsed="false">
      <c r="A198" s="31" t="str">
        <f aca="false">IF(COUNTA(B198,D198,E198,F198)=0,"",ROW()-4)</f>
        <v/>
      </c>
      <c r="B198" s="22"/>
      <c r="C198" s="26"/>
      <c r="D198" s="26"/>
      <c r="E198" s="18"/>
      <c r="F198" s="26"/>
      <c r="G198" s="31" t="str">
        <f aca="false">IF(F198="","",IFERROR(INDEX(請求台帳!$C$5:$C$504,MATCH(F198,請求台帳!$A$5:$A$504,0)),""))</f>
        <v/>
      </c>
      <c r="H198" s="31" t="str">
        <f aca="false">IF(F198="","",IFERROR(INDEX(請求台帳!$D$5:$D$504,MATCH(F198,請求台帳!$A$5:$A$504,0)),""))</f>
        <v/>
      </c>
      <c r="I198" s="27" t="str">
        <f aca="false">IF(F198="","",IFERROR(INDEX(請求台帳!$F$5:$F$504,MATCH(F198,請求台帳!$A$5:$A$504,0)),""))</f>
        <v/>
      </c>
      <c r="J198" s="28" t="str">
        <f aca="false">IF(COUNTA(B198,D198,E198,F198)=0,"",IF(OR(B198="",E198=""),"要入力",IF(N(B198)&gt;設定!$C$5,"日付誤り",IF(F198="","未消込",IF(ISNA(MATCH(F198,請求台帳!$A$5:$A$504,0)),"番号誤り",IF(INDEX(請求台帳!$Q$5:$Q$504,MATCH(F198,請求台帳!$A$5:$A$504,0))="取消","取消請求へ消込","消込済"))))))</f>
        <v/>
      </c>
      <c r="K198" s="26"/>
      <c r="L198" s="26"/>
    </row>
    <row r="199" customFormat="false" ht="15" hidden="false" customHeight="false" outlineLevel="0" collapsed="false">
      <c r="A199" s="31" t="str">
        <f aca="false">IF(COUNTA(B199,D199,E199,F199)=0,"",ROW()-4)</f>
        <v/>
      </c>
      <c r="B199" s="22"/>
      <c r="C199" s="26"/>
      <c r="D199" s="26"/>
      <c r="E199" s="18"/>
      <c r="F199" s="26"/>
      <c r="G199" s="31" t="str">
        <f aca="false">IF(F199="","",IFERROR(INDEX(請求台帳!$C$5:$C$504,MATCH(F199,請求台帳!$A$5:$A$504,0)),""))</f>
        <v/>
      </c>
      <c r="H199" s="31" t="str">
        <f aca="false">IF(F199="","",IFERROR(INDEX(請求台帳!$D$5:$D$504,MATCH(F199,請求台帳!$A$5:$A$504,0)),""))</f>
        <v/>
      </c>
      <c r="I199" s="27" t="str">
        <f aca="false">IF(F199="","",IFERROR(INDEX(請求台帳!$F$5:$F$504,MATCH(F199,請求台帳!$A$5:$A$504,0)),""))</f>
        <v/>
      </c>
      <c r="J199" s="28" t="str">
        <f aca="false">IF(COUNTA(B199,D199,E199,F199)=0,"",IF(OR(B199="",E199=""),"要入力",IF(N(B199)&gt;設定!$C$5,"日付誤り",IF(F199="","未消込",IF(ISNA(MATCH(F199,請求台帳!$A$5:$A$504,0)),"番号誤り",IF(INDEX(請求台帳!$Q$5:$Q$504,MATCH(F199,請求台帳!$A$5:$A$504,0))="取消","取消請求へ消込","消込済"))))))</f>
        <v/>
      </c>
      <c r="K199" s="26"/>
      <c r="L199" s="26"/>
    </row>
    <row r="200" customFormat="false" ht="15" hidden="false" customHeight="false" outlineLevel="0" collapsed="false">
      <c r="A200" s="31" t="str">
        <f aca="false">IF(COUNTA(B200,D200,E200,F200)=0,"",ROW()-4)</f>
        <v/>
      </c>
      <c r="B200" s="22"/>
      <c r="C200" s="26"/>
      <c r="D200" s="26"/>
      <c r="E200" s="18"/>
      <c r="F200" s="26"/>
      <c r="G200" s="31" t="str">
        <f aca="false">IF(F200="","",IFERROR(INDEX(請求台帳!$C$5:$C$504,MATCH(F200,請求台帳!$A$5:$A$504,0)),""))</f>
        <v/>
      </c>
      <c r="H200" s="31" t="str">
        <f aca="false">IF(F200="","",IFERROR(INDEX(請求台帳!$D$5:$D$504,MATCH(F200,請求台帳!$A$5:$A$504,0)),""))</f>
        <v/>
      </c>
      <c r="I200" s="27" t="str">
        <f aca="false">IF(F200="","",IFERROR(INDEX(請求台帳!$F$5:$F$504,MATCH(F200,請求台帳!$A$5:$A$504,0)),""))</f>
        <v/>
      </c>
      <c r="J200" s="28" t="str">
        <f aca="false">IF(COUNTA(B200,D200,E200,F200)=0,"",IF(OR(B200="",E200=""),"要入力",IF(N(B200)&gt;設定!$C$5,"日付誤り",IF(F200="","未消込",IF(ISNA(MATCH(F200,請求台帳!$A$5:$A$504,0)),"番号誤り",IF(INDEX(請求台帳!$Q$5:$Q$504,MATCH(F200,請求台帳!$A$5:$A$504,0))="取消","取消請求へ消込","消込済"))))))</f>
        <v/>
      </c>
      <c r="K200" s="26"/>
      <c r="L200" s="26"/>
    </row>
    <row r="201" customFormat="false" ht="15" hidden="false" customHeight="false" outlineLevel="0" collapsed="false">
      <c r="A201" s="31" t="str">
        <f aca="false">IF(COUNTA(B201,D201,E201,F201)=0,"",ROW()-4)</f>
        <v/>
      </c>
      <c r="B201" s="22"/>
      <c r="C201" s="26"/>
      <c r="D201" s="26"/>
      <c r="E201" s="18"/>
      <c r="F201" s="26"/>
      <c r="G201" s="31" t="str">
        <f aca="false">IF(F201="","",IFERROR(INDEX(請求台帳!$C$5:$C$504,MATCH(F201,請求台帳!$A$5:$A$504,0)),""))</f>
        <v/>
      </c>
      <c r="H201" s="31" t="str">
        <f aca="false">IF(F201="","",IFERROR(INDEX(請求台帳!$D$5:$D$504,MATCH(F201,請求台帳!$A$5:$A$504,0)),""))</f>
        <v/>
      </c>
      <c r="I201" s="27" t="str">
        <f aca="false">IF(F201="","",IFERROR(INDEX(請求台帳!$F$5:$F$504,MATCH(F201,請求台帳!$A$5:$A$504,0)),""))</f>
        <v/>
      </c>
      <c r="J201" s="28" t="str">
        <f aca="false">IF(COUNTA(B201,D201,E201,F201)=0,"",IF(OR(B201="",E201=""),"要入力",IF(N(B201)&gt;設定!$C$5,"日付誤り",IF(F201="","未消込",IF(ISNA(MATCH(F201,請求台帳!$A$5:$A$504,0)),"番号誤り",IF(INDEX(請求台帳!$Q$5:$Q$504,MATCH(F201,請求台帳!$A$5:$A$504,0))="取消","取消請求へ消込","消込済"))))))</f>
        <v/>
      </c>
      <c r="K201" s="26"/>
      <c r="L201" s="26"/>
    </row>
    <row r="202" customFormat="false" ht="15" hidden="false" customHeight="false" outlineLevel="0" collapsed="false">
      <c r="A202" s="31" t="str">
        <f aca="false">IF(COUNTA(B202,D202,E202,F202)=0,"",ROW()-4)</f>
        <v/>
      </c>
      <c r="B202" s="22"/>
      <c r="C202" s="26"/>
      <c r="D202" s="26"/>
      <c r="E202" s="18"/>
      <c r="F202" s="26"/>
      <c r="G202" s="31" t="str">
        <f aca="false">IF(F202="","",IFERROR(INDEX(請求台帳!$C$5:$C$504,MATCH(F202,請求台帳!$A$5:$A$504,0)),""))</f>
        <v/>
      </c>
      <c r="H202" s="31" t="str">
        <f aca="false">IF(F202="","",IFERROR(INDEX(請求台帳!$D$5:$D$504,MATCH(F202,請求台帳!$A$5:$A$504,0)),""))</f>
        <v/>
      </c>
      <c r="I202" s="27" t="str">
        <f aca="false">IF(F202="","",IFERROR(INDEX(請求台帳!$F$5:$F$504,MATCH(F202,請求台帳!$A$5:$A$504,0)),""))</f>
        <v/>
      </c>
      <c r="J202" s="28" t="str">
        <f aca="false">IF(COUNTA(B202,D202,E202,F202)=0,"",IF(OR(B202="",E202=""),"要入力",IF(N(B202)&gt;設定!$C$5,"日付誤り",IF(F202="","未消込",IF(ISNA(MATCH(F202,請求台帳!$A$5:$A$504,0)),"番号誤り",IF(INDEX(請求台帳!$Q$5:$Q$504,MATCH(F202,請求台帳!$A$5:$A$504,0))="取消","取消請求へ消込","消込済"))))))</f>
        <v/>
      </c>
      <c r="K202" s="26"/>
      <c r="L202" s="26"/>
    </row>
    <row r="203" customFormat="false" ht="15" hidden="false" customHeight="false" outlineLevel="0" collapsed="false">
      <c r="A203" s="31" t="str">
        <f aca="false">IF(COUNTA(B203,D203,E203,F203)=0,"",ROW()-4)</f>
        <v/>
      </c>
      <c r="B203" s="22"/>
      <c r="C203" s="26"/>
      <c r="D203" s="26"/>
      <c r="E203" s="18"/>
      <c r="F203" s="26"/>
      <c r="G203" s="31" t="str">
        <f aca="false">IF(F203="","",IFERROR(INDEX(請求台帳!$C$5:$C$504,MATCH(F203,請求台帳!$A$5:$A$504,0)),""))</f>
        <v/>
      </c>
      <c r="H203" s="31" t="str">
        <f aca="false">IF(F203="","",IFERROR(INDEX(請求台帳!$D$5:$D$504,MATCH(F203,請求台帳!$A$5:$A$504,0)),""))</f>
        <v/>
      </c>
      <c r="I203" s="27" t="str">
        <f aca="false">IF(F203="","",IFERROR(INDEX(請求台帳!$F$5:$F$504,MATCH(F203,請求台帳!$A$5:$A$504,0)),""))</f>
        <v/>
      </c>
      <c r="J203" s="28" t="str">
        <f aca="false">IF(COUNTA(B203,D203,E203,F203)=0,"",IF(OR(B203="",E203=""),"要入力",IF(N(B203)&gt;設定!$C$5,"日付誤り",IF(F203="","未消込",IF(ISNA(MATCH(F203,請求台帳!$A$5:$A$504,0)),"番号誤り",IF(INDEX(請求台帳!$Q$5:$Q$504,MATCH(F203,請求台帳!$A$5:$A$504,0))="取消","取消請求へ消込","消込済"))))))</f>
        <v/>
      </c>
      <c r="K203" s="26"/>
      <c r="L203" s="26"/>
    </row>
    <row r="204" customFormat="false" ht="15" hidden="false" customHeight="false" outlineLevel="0" collapsed="false">
      <c r="A204" s="31" t="str">
        <f aca="false">IF(COUNTA(B204,D204,E204,F204)=0,"",ROW()-4)</f>
        <v/>
      </c>
      <c r="B204" s="22"/>
      <c r="C204" s="26"/>
      <c r="D204" s="26"/>
      <c r="E204" s="18"/>
      <c r="F204" s="26"/>
      <c r="G204" s="31" t="str">
        <f aca="false">IF(F204="","",IFERROR(INDEX(請求台帳!$C$5:$C$504,MATCH(F204,請求台帳!$A$5:$A$504,0)),""))</f>
        <v/>
      </c>
      <c r="H204" s="31" t="str">
        <f aca="false">IF(F204="","",IFERROR(INDEX(請求台帳!$D$5:$D$504,MATCH(F204,請求台帳!$A$5:$A$504,0)),""))</f>
        <v/>
      </c>
      <c r="I204" s="27" t="str">
        <f aca="false">IF(F204="","",IFERROR(INDEX(請求台帳!$F$5:$F$504,MATCH(F204,請求台帳!$A$5:$A$504,0)),""))</f>
        <v/>
      </c>
      <c r="J204" s="28" t="str">
        <f aca="false">IF(COUNTA(B204,D204,E204,F204)=0,"",IF(OR(B204="",E204=""),"要入力",IF(N(B204)&gt;設定!$C$5,"日付誤り",IF(F204="","未消込",IF(ISNA(MATCH(F204,請求台帳!$A$5:$A$504,0)),"番号誤り",IF(INDEX(請求台帳!$Q$5:$Q$504,MATCH(F204,請求台帳!$A$5:$A$504,0))="取消","取消請求へ消込","消込済"))))))</f>
        <v/>
      </c>
      <c r="K204" s="26"/>
      <c r="L204" s="26"/>
    </row>
    <row r="205" customFormat="false" ht="15" hidden="false" customHeight="false" outlineLevel="0" collapsed="false">
      <c r="A205" s="31" t="str">
        <f aca="false">IF(COUNTA(B205,D205,E205,F205)=0,"",ROW()-4)</f>
        <v/>
      </c>
      <c r="B205" s="22"/>
      <c r="C205" s="26"/>
      <c r="D205" s="26"/>
      <c r="E205" s="18"/>
      <c r="F205" s="26"/>
      <c r="G205" s="31" t="str">
        <f aca="false">IF(F205="","",IFERROR(INDEX(請求台帳!$C$5:$C$504,MATCH(F205,請求台帳!$A$5:$A$504,0)),""))</f>
        <v/>
      </c>
      <c r="H205" s="31" t="str">
        <f aca="false">IF(F205="","",IFERROR(INDEX(請求台帳!$D$5:$D$504,MATCH(F205,請求台帳!$A$5:$A$504,0)),""))</f>
        <v/>
      </c>
      <c r="I205" s="27" t="str">
        <f aca="false">IF(F205="","",IFERROR(INDEX(請求台帳!$F$5:$F$504,MATCH(F205,請求台帳!$A$5:$A$504,0)),""))</f>
        <v/>
      </c>
      <c r="J205" s="28" t="str">
        <f aca="false">IF(COUNTA(B205,D205,E205,F205)=0,"",IF(OR(B205="",E205=""),"要入力",IF(N(B205)&gt;設定!$C$5,"日付誤り",IF(F205="","未消込",IF(ISNA(MATCH(F205,請求台帳!$A$5:$A$504,0)),"番号誤り",IF(INDEX(請求台帳!$Q$5:$Q$504,MATCH(F205,請求台帳!$A$5:$A$504,0))="取消","取消請求へ消込","消込済"))))))</f>
        <v/>
      </c>
      <c r="K205" s="26"/>
      <c r="L205" s="26"/>
    </row>
    <row r="206" customFormat="false" ht="15" hidden="false" customHeight="false" outlineLevel="0" collapsed="false">
      <c r="A206" s="31" t="str">
        <f aca="false">IF(COUNTA(B206,D206,E206,F206)=0,"",ROW()-4)</f>
        <v/>
      </c>
      <c r="B206" s="22"/>
      <c r="C206" s="26"/>
      <c r="D206" s="26"/>
      <c r="E206" s="18"/>
      <c r="F206" s="26"/>
      <c r="G206" s="31" t="str">
        <f aca="false">IF(F206="","",IFERROR(INDEX(請求台帳!$C$5:$C$504,MATCH(F206,請求台帳!$A$5:$A$504,0)),""))</f>
        <v/>
      </c>
      <c r="H206" s="31" t="str">
        <f aca="false">IF(F206="","",IFERROR(INDEX(請求台帳!$D$5:$D$504,MATCH(F206,請求台帳!$A$5:$A$504,0)),""))</f>
        <v/>
      </c>
      <c r="I206" s="27" t="str">
        <f aca="false">IF(F206="","",IFERROR(INDEX(請求台帳!$F$5:$F$504,MATCH(F206,請求台帳!$A$5:$A$504,0)),""))</f>
        <v/>
      </c>
      <c r="J206" s="28" t="str">
        <f aca="false">IF(COUNTA(B206,D206,E206,F206)=0,"",IF(OR(B206="",E206=""),"要入力",IF(N(B206)&gt;設定!$C$5,"日付誤り",IF(F206="","未消込",IF(ISNA(MATCH(F206,請求台帳!$A$5:$A$504,0)),"番号誤り",IF(INDEX(請求台帳!$Q$5:$Q$504,MATCH(F206,請求台帳!$A$5:$A$504,0))="取消","取消請求へ消込","消込済"))))))</f>
        <v/>
      </c>
      <c r="K206" s="26"/>
      <c r="L206" s="26"/>
    </row>
    <row r="207" customFormat="false" ht="15" hidden="false" customHeight="false" outlineLevel="0" collapsed="false">
      <c r="A207" s="31" t="str">
        <f aca="false">IF(COUNTA(B207,D207,E207,F207)=0,"",ROW()-4)</f>
        <v/>
      </c>
      <c r="B207" s="22"/>
      <c r="C207" s="26"/>
      <c r="D207" s="26"/>
      <c r="E207" s="18"/>
      <c r="F207" s="26"/>
      <c r="G207" s="31" t="str">
        <f aca="false">IF(F207="","",IFERROR(INDEX(請求台帳!$C$5:$C$504,MATCH(F207,請求台帳!$A$5:$A$504,0)),""))</f>
        <v/>
      </c>
      <c r="H207" s="31" t="str">
        <f aca="false">IF(F207="","",IFERROR(INDEX(請求台帳!$D$5:$D$504,MATCH(F207,請求台帳!$A$5:$A$504,0)),""))</f>
        <v/>
      </c>
      <c r="I207" s="27" t="str">
        <f aca="false">IF(F207="","",IFERROR(INDEX(請求台帳!$F$5:$F$504,MATCH(F207,請求台帳!$A$5:$A$504,0)),""))</f>
        <v/>
      </c>
      <c r="J207" s="28" t="str">
        <f aca="false">IF(COUNTA(B207,D207,E207,F207)=0,"",IF(OR(B207="",E207=""),"要入力",IF(N(B207)&gt;設定!$C$5,"日付誤り",IF(F207="","未消込",IF(ISNA(MATCH(F207,請求台帳!$A$5:$A$504,0)),"番号誤り",IF(INDEX(請求台帳!$Q$5:$Q$504,MATCH(F207,請求台帳!$A$5:$A$504,0))="取消","取消請求へ消込","消込済"))))))</f>
        <v/>
      </c>
      <c r="K207" s="26"/>
      <c r="L207" s="26"/>
    </row>
    <row r="208" customFormat="false" ht="15" hidden="false" customHeight="false" outlineLevel="0" collapsed="false">
      <c r="A208" s="31" t="str">
        <f aca="false">IF(COUNTA(B208,D208,E208,F208)=0,"",ROW()-4)</f>
        <v/>
      </c>
      <c r="B208" s="22"/>
      <c r="C208" s="26"/>
      <c r="D208" s="26"/>
      <c r="E208" s="18"/>
      <c r="F208" s="26"/>
      <c r="G208" s="31" t="str">
        <f aca="false">IF(F208="","",IFERROR(INDEX(請求台帳!$C$5:$C$504,MATCH(F208,請求台帳!$A$5:$A$504,0)),""))</f>
        <v/>
      </c>
      <c r="H208" s="31" t="str">
        <f aca="false">IF(F208="","",IFERROR(INDEX(請求台帳!$D$5:$D$504,MATCH(F208,請求台帳!$A$5:$A$504,0)),""))</f>
        <v/>
      </c>
      <c r="I208" s="27" t="str">
        <f aca="false">IF(F208="","",IFERROR(INDEX(請求台帳!$F$5:$F$504,MATCH(F208,請求台帳!$A$5:$A$504,0)),""))</f>
        <v/>
      </c>
      <c r="J208" s="28" t="str">
        <f aca="false">IF(COUNTA(B208,D208,E208,F208)=0,"",IF(OR(B208="",E208=""),"要入力",IF(N(B208)&gt;設定!$C$5,"日付誤り",IF(F208="","未消込",IF(ISNA(MATCH(F208,請求台帳!$A$5:$A$504,0)),"番号誤り",IF(INDEX(請求台帳!$Q$5:$Q$504,MATCH(F208,請求台帳!$A$5:$A$504,0))="取消","取消請求へ消込","消込済"))))))</f>
        <v/>
      </c>
      <c r="K208" s="26"/>
      <c r="L208" s="26"/>
    </row>
    <row r="209" customFormat="false" ht="15" hidden="false" customHeight="false" outlineLevel="0" collapsed="false">
      <c r="A209" s="31" t="str">
        <f aca="false">IF(COUNTA(B209,D209,E209,F209)=0,"",ROW()-4)</f>
        <v/>
      </c>
      <c r="B209" s="22"/>
      <c r="C209" s="26"/>
      <c r="D209" s="26"/>
      <c r="E209" s="18"/>
      <c r="F209" s="26"/>
      <c r="G209" s="31" t="str">
        <f aca="false">IF(F209="","",IFERROR(INDEX(請求台帳!$C$5:$C$504,MATCH(F209,請求台帳!$A$5:$A$504,0)),""))</f>
        <v/>
      </c>
      <c r="H209" s="31" t="str">
        <f aca="false">IF(F209="","",IFERROR(INDEX(請求台帳!$D$5:$D$504,MATCH(F209,請求台帳!$A$5:$A$504,0)),""))</f>
        <v/>
      </c>
      <c r="I209" s="27" t="str">
        <f aca="false">IF(F209="","",IFERROR(INDEX(請求台帳!$F$5:$F$504,MATCH(F209,請求台帳!$A$5:$A$504,0)),""))</f>
        <v/>
      </c>
      <c r="J209" s="28" t="str">
        <f aca="false">IF(COUNTA(B209,D209,E209,F209)=0,"",IF(OR(B209="",E209=""),"要入力",IF(N(B209)&gt;設定!$C$5,"日付誤り",IF(F209="","未消込",IF(ISNA(MATCH(F209,請求台帳!$A$5:$A$504,0)),"番号誤り",IF(INDEX(請求台帳!$Q$5:$Q$504,MATCH(F209,請求台帳!$A$5:$A$504,0))="取消","取消請求へ消込","消込済"))))))</f>
        <v/>
      </c>
      <c r="K209" s="26"/>
      <c r="L209" s="26"/>
    </row>
    <row r="210" customFormat="false" ht="15" hidden="false" customHeight="false" outlineLevel="0" collapsed="false">
      <c r="A210" s="31" t="str">
        <f aca="false">IF(COUNTA(B210,D210,E210,F210)=0,"",ROW()-4)</f>
        <v/>
      </c>
      <c r="B210" s="22"/>
      <c r="C210" s="26"/>
      <c r="D210" s="26"/>
      <c r="E210" s="18"/>
      <c r="F210" s="26"/>
      <c r="G210" s="31" t="str">
        <f aca="false">IF(F210="","",IFERROR(INDEX(請求台帳!$C$5:$C$504,MATCH(F210,請求台帳!$A$5:$A$504,0)),""))</f>
        <v/>
      </c>
      <c r="H210" s="31" t="str">
        <f aca="false">IF(F210="","",IFERROR(INDEX(請求台帳!$D$5:$D$504,MATCH(F210,請求台帳!$A$5:$A$504,0)),""))</f>
        <v/>
      </c>
      <c r="I210" s="27" t="str">
        <f aca="false">IF(F210="","",IFERROR(INDEX(請求台帳!$F$5:$F$504,MATCH(F210,請求台帳!$A$5:$A$504,0)),""))</f>
        <v/>
      </c>
      <c r="J210" s="28" t="str">
        <f aca="false">IF(COUNTA(B210,D210,E210,F210)=0,"",IF(OR(B210="",E210=""),"要入力",IF(N(B210)&gt;設定!$C$5,"日付誤り",IF(F210="","未消込",IF(ISNA(MATCH(F210,請求台帳!$A$5:$A$504,0)),"番号誤り",IF(INDEX(請求台帳!$Q$5:$Q$504,MATCH(F210,請求台帳!$A$5:$A$504,0))="取消","取消請求へ消込","消込済"))))))</f>
        <v/>
      </c>
      <c r="K210" s="26"/>
      <c r="L210" s="26"/>
    </row>
    <row r="211" customFormat="false" ht="15" hidden="false" customHeight="false" outlineLevel="0" collapsed="false">
      <c r="A211" s="31" t="str">
        <f aca="false">IF(COUNTA(B211,D211,E211,F211)=0,"",ROW()-4)</f>
        <v/>
      </c>
      <c r="B211" s="22"/>
      <c r="C211" s="26"/>
      <c r="D211" s="26"/>
      <c r="E211" s="18"/>
      <c r="F211" s="26"/>
      <c r="G211" s="31" t="str">
        <f aca="false">IF(F211="","",IFERROR(INDEX(請求台帳!$C$5:$C$504,MATCH(F211,請求台帳!$A$5:$A$504,0)),""))</f>
        <v/>
      </c>
      <c r="H211" s="31" t="str">
        <f aca="false">IF(F211="","",IFERROR(INDEX(請求台帳!$D$5:$D$504,MATCH(F211,請求台帳!$A$5:$A$504,0)),""))</f>
        <v/>
      </c>
      <c r="I211" s="27" t="str">
        <f aca="false">IF(F211="","",IFERROR(INDEX(請求台帳!$F$5:$F$504,MATCH(F211,請求台帳!$A$5:$A$504,0)),""))</f>
        <v/>
      </c>
      <c r="J211" s="28" t="str">
        <f aca="false">IF(COUNTA(B211,D211,E211,F211)=0,"",IF(OR(B211="",E211=""),"要入力",IF(N(B211)&gt;設定!$C$5,"日付誤り",IF(F211="","未消込",IF(ISNA(MATCH(F211,請求台帳!$A$5:$A$504,0)),"番号誤り",IF(INDEX(請求台帳!$Q$5:$Q$504,MATCH(F211,請求台帳!$A$5:$A$504,0))="取消","取消請求へ消込","消込済"))))))</f>
        <v/>
      </c>
      <c r="K211" s="26"/>
      <c r="L211" s="26"/>
    </row>
    <row r="212" customFormat="false" ht="15" hidden="false" customHeight="false" outlineLevel="0" collapsed="false">
      <c r="A212" s="31" t="str">
        <f aca="false">IF(COUNTA(B212,D212,E212,F212)=0,"",ROW()-4)</f>
        <v/>
      </c>
      <c r="B212" s="22"/>
      <c r="C212" s="26"/>
      <c r="D212" s="26"/>
      <c r="E212" s="18"/>
      <c r="F212" s="26"/>
      <c r="G212" s="31" t="str">
        <f aca="false">IF(F212="","",IFERROR(INDEX(請求台帳!$C$5:$C$504,MATCH(F212,請求台帳!$A$5:$A$504,0)),""))</f>
        <v/>
      </c>
      <c r="H212" s="31" t="str">
        <f aca="false">IF(F212="","",IFERROR(INDEX(請求台帳!$D$5:$D$504,MATCH(F212,請求台帳!$A$5:$A$504,0)),""))</f>
        <v/>
      </c>
      <c r="I212" s="27" t="str">
        <f aca="false">IF(F212="","",IFERROR(INDEX(請求台帳!$F$5:$F$504,MATCH(F212,請求台帳!$A$5:$A$504,0)),""))</f>
        <v/>
      </c>
      <c r="J212" s="28" t="str">
        <f aca="false">IF(COUNTA(B212,D212,E212,F212)=0,"",IF(OR(B212="",E212=""),"要入力",IF(N(B212)&gt;設定!$C$5,"日付誤り",IF(F212="","未消込",IF(ISNA(MATCH(F212,請求台帳!$A$5:$A$504,0)),"番号誤り",IF(INDEX(請求台帳!$Q$5:$Q$504,MATCH(F212,請求台帳!$A$5:$A$504,0))="取消","取消請求へ消込","消込済"))))))</f>
        <v/>
      </c>
      <c r="K212" s="26"/>
      <c r="L212" s="26"/>
    </row>
    <row r="213" customFormat="false" ht="15" hidden="false" customHeight="false" outlineLevel="0" collapsed="false">
      <c r="A213" s="31" t="str">
        <f aca="false">IF(COUNTA(B213,D213,E213,F213)=0,"",ROW()-4)</f>
        <v/>
      </c>
      <c r="B213" s="22"/>
      <c r="C213" s="26"/>
      <c r="D213" s="26"/>
      <c r="E213" s="18"/>
      <c r="F213" s="26"/>
      <c r="G213" s="31" t="str">
        <f aca="false">IF(F213="","",IFERROR(INDEX(請求台帳!$C$5:$C$504,MATCH(F213,請求台帳!$A$5:$A$504,0)),""))</f>
        <v/>
      </c>
      <c r="H213" s="31" t="str">
        <f aca="false">IF(F213="","",IFERROR(INDEX(請求台帳!$D$5:$D$504,MATCH(F213,請求台帳!$A$5:$A$504,0)),""))</f>
        <v/>
      </c>
      <c r="I213" s="27" t="str">
        <f aca="false">IF(F213="","",IFERROR(INDEX(請求台帳!$F$5:$F$504,MATCH(F213,請求台帳!$A$5:$A$504,0)),""))</f>
        <v/>
      </c>
      <c r="J213" s="28" t="str">
        <f aca="false">IF(COUNTA(B213,D213,E213,F213)=0,"",IF(OR(B213="",E213=""),"要入力",IF(N(B213)&gt;設定!$C$5,"日付誤り",IF(F213="","未消込",IF(ISNA(MATCH(F213,請求台帳!$A$5:$A$504,0)),"番号誤り",IF(INDEX(請求台帳!$Q$5:$Q$504,MATCH(F213,請求台帳!$A$5:$A$504,0))="取消","取消請求へ消込","消込済"))))))</f>
        <v/>
      </c>
      <c r="K213" s="26"/>
      <c r="L213" s="26"/>
    </row>
    <row r="214" customFormat="false" ht="15" hidden="false" customHeight="false" outlineLevel="0" collapsed="false">
      <c r="A214" s="31" t="str">
        <f aca="false">IF(COUNTA(B214,D214,E214,F214)=0,"",ROW()-4)</f>
        <v/>
      </c>
      <c r="B214" s="22"/>
      <c r="C214" s="26"/>
      <c r="D214" s="26"/>
      <c r="E214" s="18"/>
      <c r="F214" s="26"/>
      <c r="G214" s="31" t="str">
        <f aca="false">IF(F214="","",IFERROR(INDEX(請求台帳!$C$5:$C$504,MATCH(F214,請求台帳!$A$5:$A$504,0)),""))</f>
        <v/>
      </c>
      <c r="H214" s="31" t="str">
        <f aca="false">IF(F214="","",IFERROR(INDEX(請求台帳!$D$5:$D$504,MATCH(F214,請求台帳!$A$5:$A$504,0)),""))</f>
        <v/>
      </c>
      <c r="I214" s="27" t="str">
        <f aca="false">IF(F214="","",IFERROR(INDEX(請求台帳!$F$5:$F$504,MATCH(F214,請求台帳!$A$5:$A$504,0)),""))</f>
        <v/>
      </c>
      <c r="J214" s="28" t="str">
        <f aca="false">IF(COUNTA(B214,D214,E214,F214)=0,"",IF(OR(B214="",E214=""),"要入力",IF(N(B214)&gt;設定!$C$5,"日付誤り",IF(F214="","未消込",IF(ISNA(MATCH(F214,請求台帳!$A$5:$A$504,0)),"番号誤り",IF(INDEX(請求台帳!$Q$5:$Q$504,MATCH(F214,請求台帳!$A$5:$A$504,0))="取消","取消請求へ消込","消込済"))))))</f>
        <v/>
      </c>
      <c r="K214" s="26"/>
      <c r="L214" s="26"/>
    </row>
    <row r="215" customFormat="false" ht="15" hidden="false" customHeight="false" outlineLevel="0" collapsed="false">
      <c r="A215" s="31" t="str">
        <f aca="false">IF(COUNTA(B215,D215,E215,F215)=0,"",ROW()-4)</f>
        <v/>
      </c>
      <c r="B215" s="22"/>
      <c r="C215" s="26"/>
      <c r="D215" s="26"/>
      <c r="E215" s="18"/>
      <c r="F215" s="26"/>
      <c r="G215" s="31" t="str">
        <f aca="false">IF(F215="","",IFERROR(INDEX(請求台帳!$C$5:$C$504,MATCH(F215,請求台帳!$A$5:$A$504,0)),""))</f>
        <v/>
      </c>
      <c r="H215" s="31" t="str">
        <f aca="false">IF(F215="","",IFERROR(INDEX(請求台帳!$D$5:$D$504,MATCH(F215,請求台帳!$A$5:$A$504,0)),""))</f>
        <v/>
      </c>
      <c r="I215" s="27" t="str">
        <f aca="false">IF(F215="","",IFERROR(INDEX(請求台帳!$F$5:$F$504,MATCH(F215,請求台帳!$A$5:$A$504,0)),""))</f>
        <v/>
      </c>
      <c r="J215" s="28" t="str">
        <f aca="false">IF(COUNTA(B215,D215,E215,F215)=0,"",IF(OR(B215="",E215=""),"要入力",IF(N(B215)&gt;設定!$C$5,"日付誤り",IF(F215="","未消込",IF(ISNA(MATCH(F215,請求台帳!$A$5:$A$504,0)),"番号誤り",IF(INDEX(請求台帳!$Q$5:$Q$504,MATCH(F215,請求台帳!$A$5:$A$504,0))="取消","取消請求へ消込","消込済"))))))</f>
        <v/>
      </c>
      <c r="K215" s="26"/>
      <c r="L215" s="26"/>
    </row>
    <row r="216" customFormat="false" ht="15" hidden="false" customHeight="false" outlineLevel="0" collapsed="false">
      <c r="A216" s="31" t="str">
        <f aca="false">IF(COUNTA(B216,D216,E216,F216)=0,"",ROW()-4)</f>
        <v/>
      </c>
      <c r="B216" s="22"/>
      <c r="C216" s="26"/>
      <c r="D216" s="26"/>
      <c r="E216" s="18"/>
      <c r="F216" s="26"/>
      <c r="G216" s="31" t="str">
        <f aca="false">IF(F216="","",IFERROR(INDEX(請求台帳!$C$5:$C$504,MATCH(F216,請求台帳!$A$5:$A$504,0)),""))</f>
        <v/>
      </c>
      <c r="H216" s="31" t="str">
        <f aca="false">IF(F216="","",IFERROR(INDEX(請求台帳!$D$5:$D$504,MATCH(F216,請求台帳!$A$5:$A$504,0)),""))</f>
        <v/>
      </c>
      <c r="I216" s="27" t="str">
        <f aca="false">IF(F216="","",IFERROR(INDEX(請求台帳!$F$5:$F$504,MATCH(F216,請求台帳!$A$5:$A$504,0)),""))</f>
        <v/>
      </c>
      <c r="J216" s="28" t="str">
        <f aca="false">IF(COUNTA(B216,D216,E216,F216)=0,"",IF(OR(B216="",E216=""),"要入力",IF(N(B216)&gt;設定!$C$5,"日付誤り",IF(F216="","未消込",IF(ISNA(MATCH(F216,請求台帳!$A$5:$A$504,0)),"番号誤り",IF(INDEX(請求台帳!$Q$5:$Q$504,MATCH(F216,請求台帳!$A$5:$A$504,0))="取消","取消請求へ消込","消込済"))))))</f>
        <v/>
      </c>
      <c r="K216" s="26"/>
      <c r="L216" s="26"/>
    </row>
    <row r="217" customFormat="false" ht="15" hidden="false" customHeight="false" outlineLevel="0" collapsed="false">
      <c r="A217" s="31" t="str">
        <f aca="false">IF(COUNTA(B217,D217,E217,F217)=0,"",ROW()-4)</f>
        <v/>
      </c>
      <c r="B217" s="22"/>
      <c r="C217" s="26"/>
      <c r="D217" s="26"/>
      <c r="E217" s="18"/>
      <c r="F217" s="26"/>
      <c r="G217" s="31" t="str">
        <f aca="false">IF(F217="","",IFERROR(INDEX(請求台帳!$C$5:$C$504,MATCH(F217,請求台帳!$A$5:$A$504,0)),""))</f>
        <v/>
      </c>
      <c r="H217" s="31" t="str">
        <f aca="false">IF(F217="","",IFERROR(INDEX(請求台帳!$D$5:$D$504,MATCH(F217,請求台帳!$A$5:$A$504,0)),""))</f>
        <v/>
      </c>
      <c r="I217" s="27" t="str">
        <f aca="false">IF(F217="","",IFERROR(INDEX(請求台帳!$F$5:$F$504,MATCH(F217,請求台帳!$A$5:$A$504,0)),""))</f>
        <v/>
      </c>
      <c r="J217" s="28" t="str">
        <f aca="false">IF(COUNTA(B217,D217,E217,F217)=0,"",IF(OR(B217="",E217=""),"要入力",IF(N(B217)&gt;設定!$C$5,"日付誤り",IF(F217="","未消込",IF(ISNA(MATCH(F217,請求台帳!$A$5:$A$504,0)),"番号誤り",IF(INDEX(請求台帳!$Q$5:$Q$504,MATCH(F217,請求台帳!$A$5:$A$504,0))="取消","取消請求へ消込","消込済"))))))</f>
        <v/>
      </c>
      <c r="K217" s="26"/>
      <c r="L217" s="26"/>
    </row>
    <row r="218" customFormat="false" ht="15" hidden="false" customHeight="false" outlineLevel="0" collapsed="false">
      <c r="A218" s="31" t="str">
        <f aca="false">IF(COUNTA(B218,D218,E218,F218)=0,"",ROW()-4)</f>
        <v/>
      </c>
      <c r="B218" s="22"/>
      <c r="C218" s="26"/>
      <c r="D218" s="26"/>
      <c r="E218" s="18"/>
      <c r="F218" s="26"/>
      <c r="G218" s="31" t="str">
        <f aca="false">IF(F218="","",IFERROR(INDEX(請求台帳!$C$5:$C$504,MATCH(F218,請求台帳!$A$5:$A$504,0)),""))</f>
        <v/>
      </c>
      <c r="H218" s="31" t="str">
        <f aca="false">IF(F218="","",IFERROR(INDEX(請求台帳!$D$5:$D$504,MATCH(F218,請求台帳!$A$5:$A$504,0)),""))</f>
        <v/>
      </c>
      <c r="I218" s="27" t="str">
        <f aca="false">IF(F218="","",IFERROR(INDEX(請求台帳!$F$5:$F$504,MATCH(F218,請求台帳!$A$5:$A$504,0)),""))</f>
        <v/>
      </c>
      <c r="J218" s="28" t="str">
        <f aca="false">IF(COUNTA(B218,D218,E218,F218)=0,"",IF(OR(B218="",E218=""),"要入力",IF(N(B218)&gt;設定!$C$5,"日付誤り",IF(F218="","未消込",IF(ISNA(MATCH(F218,請求台帳!$A$5:$A$504,0)),"番号誤り",IF(INDEX(請求台帳!$Q$5:$Q$504,MATCH(F218,請求台帳!$A$5:$A$504,0))="取消","取消請求へ消込","消込済"))))))</f>
        <v/>
      </c>
      <c r="K218" s="26"/>
      <c r="L218" s="26"/>
    </row>
    <row r="219" customFormat="false" ht="15" hidden="false" customHeight="false" outlineLevel="0" collapsed="false">
      <c r="A219" s="31" t="str">
        <f aca="false">IF(COUNTA(B219,D219,E219,F219)=0,"",ROW()-4)</f>
        <v/>
      </c>
      <c r="B219" s="22"/>
      <c r="C219" s="26"/>
      <c r="D219" s="26"/>
      <c r="E219" s="18"/>
      <c r="F219" s="26"/>
      <c r="G219" s="31" t="str">
        <f aca="false">IF(F219="","",IFERROR(INDEX(請求台帳!$C$5:$C$504,MATCH(F219,請求台帳!$A$5:$A$504,0)),""))</f>
        <v/>
      </c>
      <c r="H219" s="31" t="str">
        <f aca="false">IF(F219="","",IFERROR(INDEX(請求台帳!$D$5:$D$504,MATCH(F219,請求台帳!$A$5:$A$504,0)),""))</f>
        <v/>
      </c>
      <c r="I219" s="27" t="str">
        <f aca="false">IF(F219="","",IFERROR(INDEX(請求台帳!$F$5:$F$504,MATCH(F219,請求台帳!$A$5:$A$504,0)),""))</f>
        <v/>
      </c>
      <c r="J219" s="28" t="str">
        <f aca="false">IF(COUNTA(B219,D219,E219,F219)=0,"",IF(OR(B219="",E219=""),"要入力",IF(N(B219)&gt;設定!$C$5,"日付誤り",IF(F219="","未消込",IF(ISNA(MATCH(F219,請求台帳!$A$5:$A$504,0)),"番号誤り",IF(INDEX(請求台帳!$Q$5:$Q$504,MATCH(F219,請求台帳!$A$5:$A$504,0))="取消","取消請求へ消込","消込済"))))))</f>
        <v/>
      </c>
      <c r="K219" s="26"/>
      <c r="L219" s="26"/>
    </row>
    <row r="220" customFormat="false" ht="15" hidden="false" customHeight="false" outlineLevel="0" collapsed="false">
      <c r="A220" s="31" t="str">
        <f aca="false">IF(COUNTA(B220,D220,E220,F220)=0,"",ROW()-4)</f>
        <v/>
      </c>
      <c r="B220" s="22"/>
      <c r="C220" s="26"/>
      <c r="D220" s="26"/>
      <c r="E220" s="18"/>
      <c r="F220" s="26"/>
      <c r="G220" s="31" t="str">
        <f aca="false">IF(F220="","",IFERROR(INDEX(請求台帳!$C$5:$C$504,MATCH(F220,請求台帳!$A$5:$A$504,0)),""))</f>
        <v/>
      </c>
      <c r="H220" s="31" t="str">
        <f aca="false">IF(F220="","",IFERROR(INDEX(請求台帳!$D$5:$D$504,MATCH(F220,請求台帳!$A$5:$A$504,0)),""))</f>
        <v/>
      </c>
      <c r="I220" s="27" t="str">
        <f aca="false">IF(F220="","",IFERROR(INDEX(請求台帳!$F$5:$F$504,MATCH(F220,請求台帳!$A$5:$A$504,0)),""))</f>
        <v/>
      </c>
      <c r="J220" s="28" t="str">
        <f aca="false">IF(COUNTA(B220,D220,E220,F220)=0,"",IF(OR(B220="",E220=""),"要入力",IF(N(B220)&gt;設定!$C$5,"日付誤り",IF(F220="","未消込",IF(ISNA(MATCH(F220,請求台帳!$A$5:$A$504,0)),"番号誤り",IF(INDEX(請求台帳!$Q$5:$Q$504,MATCH(F220,請求台帳!$A$5:$A$504,0))="取消","取消請求へ消込","消込済"))))))</f>
        <v/>
      </c>
      <c r="K220" s="26"/>
      <c r="L220" s="26"/>
    </row>
    <row r="221" customFormat="false" ht="15" hidden="false" customHeight="false" outlineLevel="0" collapsed="false">
      <c r="A221" s="31" t="str">
        <f aca="false">IF(COUNTA(B221,D221,E221,F221)=0,"",ROW()-4)</f>
        <v/>
      </c>
      <c r="B221" s="22"/>
      <c r="C221" s="26"/>
      <c r="D221" s="26"/>
      <c r="E221" s="18"/>
      <c r="F221" s="26"/>
      <c r="G221" s="31" t="str">
        <f aca="false">IF(F221="","",IFERROR(INDEX(請求台帳!$C$5:$C$504,MATCH(F221,請求台帳!$A$5:$A$504,0)),""))</f>
        <v/>
      </c>
      <c r="H221" s="31" t="str">
        <f aca="false">IF(F221="","",IFERROR(INDEX(請求台帳!$D$5:$D$504,MATCH(F221,請求台帳!$A$5:$A$504,0)),""))</f>
        <v/>
      </c>
      <c r="I221" s="27" t="str">
        <f aca="false">IF(F221="","",IFERROR(INDEX(請求台帳!$F$5:$F$504,MATCH(F221,請求台帳!$A$5:$A$504,0)),""))</f>
        <v/>
      </c>
      <c r="J221" s="28" t="str">
        <f aca="false">IF(COUNTA(B221,D221,E221,F221)=0,"",IF(OR(B221="",E221=""),"要入力",IF(N(B221)&gt;設定!$C$5,"日付誤り",IF(F221="","未消込",IF(ISNA(MATCH(F221,請求台帳!$A$5:$A$504,0)),"番号誤り",IF(INDEX(請求台帳!$Q$5:$Q$504,MATCH(F221,請求台帳!$A$5:$A$504,0))="取消","取消請求へ消込","消込済"))))))</f>
        <v/>
      </c>
      <c r="K221" s="26"/>
      <c r="L221" s="26"/>
    </row>
    <row r="222" customFormat="false" ht="15" hidden="false" customHeight="false" outlineLevel="0" collapsed="false">
      <c r="A222" s="31" t="str">
        <f aca="false">IF(COUNTA(B222,D222,E222,F222)=0,"",ROW()-4)</f>
        <v/>
      </c>
      <c r="B222" s="22"/>
      <c r="C222" s="26"/>
      <c r="D222" s="26"/>
      <c r="E222" s="18"/>
      <c r="F222" s="26"/>
      <c r="G222" s="31" t="str">
        <f aca="false">IF(F222="","",IFERROR(INDEX(請求台帳!$C$5:$C$504,MATCH(F222,請求台帳!$A$5:$A$504,0)),""))</f>
        <v/>
      </c>
      <c r="H222" s="31" t="str">
        <f aca="false">IF(F222="","",IFERROR(INDEX(請求台帳!$D$5:$D$504,MATCH(F222,請求台帳!$A$5:$A$504,0)),""))</f>
        <v/>
      </c>
      <c r="I222" s="27" t="str">
        <f aca="false">IF(F222="","",IFERROR(INDEX(請求台帳!$F$5:$F$504,MATCH(F222,請求台帳!$A$5:$A$504,0)),""))</f>
        <v/>
      </c>
      <c r="J222" s="28" t="str">
        <f aca="false">IF(COUNTA(B222,D222,E222,F222)=0,"",IF(OR(B222="",E222=""),"要入力",IF(N(B222)&gt;設定!$C$5,"日付誤り",IF(F222="","未消込",IF(ISNA(MATCH(F222,請求台帳!$A$5:$A$504,0)),"番号誤り",IF(INDEX(請求台帳!$Q$5:$Q$504,MATCH(F222,請求台帳!$A$5:$A$504,0))="取消","取消請求へ消込","消込済"))))))</f>
        <v/>
      </c>
      <c r="K222" s="26"/>
      <c r="L222" s="26"/>
    </row>
    <row r="223" customFormat="false" ht="15" hidden="false" customHeight="false" outlineLevel="0" collapsed="false">
      <c r="A223" s="31" t="str">
        <f aca="false">IF(COUNTA(B223,D223,E223,F223)=0,"",ROW()-4)</f>
        <v/>
      </c>
      <c r="B223" s="22"/>
      <c r="C223" s="26"/>
      <c r="D223" s="26"/>
      <c r="E223" s="18"/>
      <c r="F223" s="26"/>
      <c r="G223" s="31" t="str">
        <f aca="false">IF(F223="","",IFERROR(INDEX(請求台帳!$C$5:$C$504,MATCH(F223,請求台帳!$A$5:$A$504,0)),""))</f>
        <v/>
      </c>
      <c r="H223" s="31" t="str">
        <f aca="false">IF(F223="","",IFERROR(INDEX(請求台帳!$D$5:$D$504,MATCH(F223,請求台帳!$A$5:$A$504,0)),""))</f>
        <v/>
      </c>
      <c r="I223" s="27" t="str">
        <f aca="false">IF(F223="","",IFERROR(INDEX(請求台帳!$F$5:$F$504,MATCH(F223,請求台帳!$A$5:$A$504,0)),""))</f>
        <v/>
      </c>
      <c r="J223" s="28" t="str">
        <f aca="false">IF(COUNTA(B223,D223,E223,F223)=0,"",IF(OR(B223="",E223=""),"要入力",IF(N(B223)&gt;設定!$C$5,"日付誤り",IF(F223="","未消込",IF(ISNA(MATCH(F223,請求台帳!$A$5:$A$504,0)),"番号誤り",IF(INDEX(請求台帳!$Q$5:$Q$504,MATCH(F223,請求台帳!$A$5:$A$504,0))="取消","取消請求へ消込","消込済"))))))</f>
        <v/>
      </c>
      <c r="K223" s="26"/>
      <c r="L223" s="26"/>
    </row>
    <row r="224" customFormat="false" ht="15" hidden="false" customHeight="false" outlineLevel="0" collapsed="false">
      <c r="A224" s="31" t="str">
        <f aca="false">IF(COUNTA(B224,D224,E224,F224)=0,"",ROW()-4)</f>
        <v/>
      </c>
      <c r="B224" s="22"/>
      <c r="C224" s="26"/>
      <c r="D224" s="26"/>
      <c r="E224" s="18"/>
      <c r="F224" s="26"/>
      <c r="G224" s="31" t="str">
        <f aca="false">IF(F224="","",IFERROR(INDEX(請求台帳!$C$5:$C$504,MATCH(F224,請求台帳!$A$5:$A$504,0)),""))</f>
        <v/>
      </c>
      <c r="H224" s="31" t="str">
        <f aca="false">IF(F224="","",IFERROR(INDEX(請求台帳!$D$5:$D$504,MATCH(F224,請求台帳!$A$5:$A$504,0)),""))</f>
        <v/>
      </c>
      <c r="I224" s="27" t="str">
        <f aca="false">IF(F224="","",IFERROR(INDEX(請求台帳!$F$5:$F$504,MATCH(F224,請求台帳!$A$5:$A$504,0)),""))</f>
        <v/>
      </c>
      <c r="J224" s="28" t="str">
        <f aca="false">IF(COUNTA(B224,D224,E224,F224)=0,"",IF(OR(B224="",E224=""),"要入力",IF(N(B224)&gt;設定!$C$5,"日付誤り",IF(F224="","未消込",IF(ISNA(MATCH(F224,請求台帳!$A$5:$A$504,0)),"番号誤り",IF(INDEX(請求台帳!$Q$5:$Q$504,MATCH(F224,請求台帳!$A$5:$A$504,0))="取消","取消請求へ消込","消込済"))))))</f>
        <v/>
      </c>
      <c r="K224" s="26"/>
      <c r="L224" s="26"/>
    </row>
    <row r="225" customFormat="false" ht="15" hidden="false" customHeight="false" outlineLevel="0" collapsed="false">
      <c r="A225" s="31" t="str">
        <f aca="false">IF(COUNTA(B225,D225,E225,F225)=0,"",ROW()-4)</f>
        <v/>
      </c>
      <c r="B225" s="22"/>
      <c r="C225" s="26"/>
      <c r="D225" s="26"/>
      <c r="E225" s="18"/>
      <c r="F225" s="26"/>
      <c r="G225" s="31" t="str">
        <f aca="false">IF(F225="","",IFERROR(INDEX(請求台帳!$C$5:$C$504,MATCH(F225,請求台帳!$A$5:$A$504,0)),""))</f>
        <v/>
      </c>
      <c r="H225" s="31" t="str">
        <f aca="false">IF(F225="","",IFERROR(INDEX(請求台帳!$D$5:$D$504,MATCH(F225,請求台帳!$A$5:$A$504,0)),""))</f>
        <v/>
      </c>
      <c r="I225" s="27" t="str">
        <f aca="false">IF(F225="","",IFERROR(INDEX(請求台帳!$F$5:$F$504,MATCH(F225,請求台帳!$A$5:$A$504,0)),""))</f>
        <v/>
      </c>
      <c r="J225" s="28" t="str">
        <f aca="false">IF(COUNTA(B225,D225,E225,F225)=0,"",IF(OR(B225="",E225=""),"要入力",IF(N(B225)&gt;設定!$C$5,"日付誤り",IF(F225="","未消込",IF(ISNA(MATCH(F225,請求台帳!$A$5:$A$504,0)),"番号誤り",IF(INDEX(請求台帳!$Q$5:$Q$504,MATCH(F225,請求台帳!$A$5:$A$504,0))="取消","取消請求へ消込","消込済"))))))</f>
        <v/>
      </c>
      <c r="K225" s="26"/>
      <c r="L225" s="26"/>
    </row>
    <row r="226" customFormat="false" ht="15" hidden="false" customHeight="false" outlineLevel="0" collapsed="false">
      <c r="A226" s="31" t="str">
        <f aca="false">IF(COUNTA(B226,D226,E226,F226)=0,"",ROW()-4)</f>
        <v/>
      </c>
      <c r="B226" s="22"/>
      <c r="C226" s="26"/>
      <c r="D226" s="26"/>
      <c r="E226" s="18"/>
      <c r="F226" s="26"/>
      <c r="G226" s="31" t="str">
        <f aca="false">IF(F226="","",IFERROR(INDEX(請求台帳!$C$5:$C$504,MATCH(F226,請求台帳!$A$5:$A$504,0)),""))</f>
        <v/>
      </c>
      <c r="H226" s="31" t="str">
        <f aca="false">IF(F226="","",IFERROR(INDEX(請求台帳!$D$5:$D$504,MATCH(F226,請求台帳!$A$5:$A$504,0)),""))</f>
        <v/>
      </c>
      <c r="I226" s="27" t="str">
        <f aca="false">IF(F226="","",IFERROR(INDEX(請求台帳!$F$5:$F$504,MATCH(F226,請求台帳!$A$5:$A$504,0)),""))</f>
        <v/>
      </c>
      <c r="J226" s="28" t="str">
        <f aca="false">IF(COUNTA(B226,D226,E226,F226)=0,"",IF(OR(B226="",E226=""),"要入力",IF(N(B226)&gt;設定!$C$5,"日付誤り",IF(F226="","未消込",IF(ISNA(MATCH(F226,請求台帳!$A$5:$A$504,0)),"番号誤り",IF(INDEX(請求台帳!$Q$5:$Q$504,MATCH(F226,請求台帳!$A$5:$A$504,0))="取消","取消請求へ消込","消込済"))))))</f>
        <v/>
      </c>
      <c r="K226" s="26"/>
      <c r="L226" s="26"/>
    </row>
    <row r="227" customFormat="false" ht="15" hidden="false" customHeight="false" outlineLevel="0" collapsed="false">
      <c r="A227" s="31" t="str">
        <f aca="false">IF(COUNTA(B227,D227,E227,F227)=0,"",ROW()-4)</f>
        <v/>
      </c>
      <c r="B227" s="22"/>
      <c r="C227" s="26"/>
      <c r="D227" s="26"/>
      <c r="E227" s="18"/>
      <c r="F227" s="26"/>
      <c r="G227" s="31" t="str">
        <f aca="false">IF(F227="","",IFERROR(INDEX(請求台帳!$C$5:$C$504,MATCH(F227,請求台帳!$A$5:$A$504,0)),""))</f>
        <v/>
      </c>
      <c r="H227" s="31" t="str">
        <f aca="false">IF(F227="","",IFERROR(INDEX(請求台帳!$D$5:$D$504,MATCH(F227,請求台帳!$A$5:$A$504,0)),""))</f>
        <v/>
      </c>
      <c r="I227" s="27" t="str">
        <f aca="false">IF(F227="","",IFERROR(INDEX(請求台帳!$F$5:$F$504,MATCH(F227,請求台帳!$A$5:$A$504,0)),""))</f>
        <v/>
      </c>
      <c r="J227" s="28" t="str">
        <f aca="false">IF(COUNTA(B227,D227,E227,F227)=0,"",IF(OR(B227="",E227=""),"要入力",IF(N(B227)&gt;設定!$C$5,"日付誤り",IF(F227="","未消込",IF(ISNA(MATCH(F227,請求台帳!$A$5:$A$504,0)),"番号誤り",IF(INDEX(請求台帳!$Q$5:$Q$504,MATCH(F227,請求台帳!$A$5:$A$504,0))="取消","取消請求へ消込","消込済"))))))</f>
        <v/>
      </c>
      <c r="K227" s="26"/>
      <c r="L227" s="26"/>
    </row>
    <row r="228" customFormat="false" ht="15" hidden="false" customHeight="false" outlineLevel="0" collapsed="false">
      <c r="A228" s="31" t="str">
        <f aca="false">IF(COUNTA(B228,D228,E228,F228)=0,"",ROW()-4)</f>
        <v/>
      </c>
      <c r="B228" s="22"/>
      <c r="C228" s="26"/>
      <c r="D228" s="26"/>
      <c r="E228" s="18"/>
      <c r="F228" s="26"/>
      <c r="G228" s="31" t="str">
        <f aca="false">IF(F228="","",IFERROR(INDEX(請求台帳!$C$5:$C$504,MATCH(F228,請求台帳!$A$5:$A$504,0)),""))</f>
        <v/>
      </c>
      <c r="H228" s="31" t="str">
        <f aca="false">IF(F228="","",IFERROR(INDEX(請求台帳!$D$5:$D$504,MATCH(F228,請求台帳!$A$5:$A$504,0)),""))</f>
        <v/>
      </c>
      <c r="I228" s="27" t="str">
        <f aca="false">IF(F228="","",IFERROR(INDEX(請求台帳!$F$5:$F$504,MATCH(F228,請求台帳!$A$5:$A$504,0)),""))</f>
        <v/>
      </c>
      <c r="J228" s="28" t="str">
        <f aca="false">IF(COUNTA(B228,D228,E228,F228)=0,"",IF(OR(B228="",E228=""),"要入力",IF(N(B228)&gt;設定!$C$5,"日付誤り",IF(F228="","未消込",IF(ISNA(MATCH(F228,請求台帳!$A$5:$A$504,0)),"番号誤り",IF(INDEX(請求台帳!$Q$5:$Q$504,MATCH(F228,請求台帳!$A$5:$A$504,0))="取消","取消請求へ消込","消込済"))))))</f>
        <v/>
      </c>
      <c r="K228" s="26"/>
      <c r="L228" s="26"/>
    </row>
    <row r="229" customFormat="false" ht="15" hidden="false" customHeight="false" outlineLevel="0" collapsed="false">
      <c r="A229" s="31" t="str">
        <f aca="false">IF(COUNTA(B229,D229,E229,F229)=0,"",ROW()-4)</f>
        <v/>
      </c>
      <c r="B229" s="22"/>
      <c r="C229" s="26"/>
      <c r="D229" s="26"/>
      <c r="E229" s="18"/>
      <c r="F229" s="26"/>
      <c r="G229" s="31" t="str">
        <f aca="false">IF(F229="","",IFERROR(INDEX(請求台帳!$C$5:$C$504,MATCH(F229,請求台帳!$A$5:$A$504,0)),""))</f>
        <v/>
      </c>
      <c r="H229" s="31" t="str">
        <f aca="false">IF(F229="","",IFERROR(INDEX(請求台帳!$D$5:$D$504,MATCH(F229,請求台帳!$A$5:$A$504,0)),""))</f>
        <v/>
      </c>
      <c r="I229" s="27" t="str">
        <f aca="false">IF(F229="","",IFERROR(INDEX(請求台帳!$F$5:$F$504,MATCH(F229,請求台帳!$A$5:$A$504,0)),""))</f>
        <v/>
      </c>
      <c r="J229" s="28" t="str">
        <f aca="false">IF(COUNTA(B229,D229,E229,F229)=0,"",IF(OR(B229="",E229=""),"要入力",IF(N(B229)&gt;設定!$C$5,"日付誤り",IF(F229="","未消込",IF(ISNA(MATCH(F229,請求台帳!$A$5:$A$504,0)),"番号誤り",IF(INDEX(請求台帳!$Q$5:$Q$504,MATCH(F229,請求台帳!$A$5:$A$504,0))="取消","取消請求へ消込","消込済"))))))</f>
        <v/>
      </c>
      <c r="K229" s="26"/>
      <c r="L229" s="26"/>
    </row>
    <row r="230" customFormat="false" ht="15" hidden="false" customHeight="false" outlineLevel="0" collapsed="false">
      <c r="A230" s="31" t="str">
        <f aca="false">IF(COUNTA(B230,D230,E230,F230)=0,"",ROW()-4)</f>
        <v/>
      </c>
      <c r="B230" s="22"/>
      <c r="C230" s="26"/>
      <c r="D230" s="26"/>
      <c r="E230" s="18"/>
      <c r="F230" s="26"/>
      <c r="G230" s="31" t="str">
        <f aca="false">IF(F230="","",IFERROR(INDEX(請求台帳!$C$5:$C$504,MATCH(F230,請求台帳!$A$5:$A$504,0)),""))</f>
        <v/>
      </c>
      <c r="H230" s="31" t="str">
        <f aca="false">IF(F230="","",IFERROR(INDEX(請求台帳!$D$5:$D$504,MATCH(F230,請求台帳!$A$5:$A$504,0)),""))</f>
        <v/>
      </c>
      <c r="I230" s="27" t="str">
        <f aca="false">IF(F230="","",IFERROR(INDEX(請求台帳!$F$5:$F$504,MATCH(F230,請求台帳!$A$5:$A$504,0)),""))</f>
        <v/>
      </c>
      <c r="J230" s="28" t="str">
        <f aca="false">IF(COUNTA(B230,D230,E230,F230)=0,"",IF(OR(B230="",E230=""),"要入力",IF(N(B230)&gt;設定!$C$5,"日付誤り",IF(F230="","未消込",IF(ISNA(MATCH(F230,請求台帳!$A$5:$A$504,0)),"番号誤り",IF(INDEX(請求台帳!$Q$5:$Q$504,MATCH(F230,請求台帳!$A$5:$A$504,0))="取消","取消請求へ消込","消込済"))))))</f>
        <v/>
      </c>
      <c r="K230" s="26"/>
      <c r="L230" s="26"/>
    </row>
    <row r="231" customFormat="false" ht="15" hidden="false" customHeight="false" outlineLevel="0" collapsed="false">
      <c r="A231" s="31" t="str">
        <f aca="false">IF(COUNTA(B231,D231,E231,F231)=0,"",ROW()-4)</f>
        <v/>
      </c>
      <c r="B231" s="22"/>
      <c r="C231" s="26"/>
      <c r="D231" s="26"/>
      <c r="E231" s="18"/>
      <c r="F231" s="26"/>
      <c r="G231" s="31" t="str">
        <f aca="false">IF(F231="","",IFERROR(INDEX(請求台帳!$C$5:$C$504,MATCH(F231,請求台帳!$A$5:$A$504,0)),""))</f>
        <v/>
      </c>
      <c r="H231" s="31" t="str">
        <f aca="false">IF(F231="","",IFERROR(INDEX(請求台帳!$D$5:$D$504,MATCH(F231,請求台帳!$A$5:$A$504,0)),""))</f>
        <v/>
      </c>
      <c r="I231" s="27" t="str">
        <f aca="false">IF(F231="","",IFERROR(INDEX(請求台帳!$F$5:$F$504,MATCH(F231,請求台帳!$A$5:$A$504,0)),""))</f>
        <v/>
      </c>
      <c r="J231" s="28" t="str">
        <f aca="false">IF(COUNTA(B231,D231,E231,F231)=0,"",IF(OR(B231="",E231=""),"要入力",IF(N(B231)&gt;設定!$C$5,"日付誤り",IF(F231="","未消込",IF(ISNA(MATCH(F231,請求台帳!$A$5:$A$504,0)),"番号誤り",IF(INDEX(請求台帳!$Q$5:$Q$504,MATCH(F231,請求台帳!$A$5:$A$504,0))="取消","取消請求へ消込","消込済"))))))</f>
        <v/>
      </c>
      <c r="K231" s="26"/>
      <c r="L231" s="26"/>
    </row>
    <row r="232" customFormat="false" ht="15" hidden="false" customHeight="false" outlineLevel="0" collapsed="false">
      <c r="A232" s="31" t="str">
        <f aca="false">IF(COUNTA(B232,D232,E232,F232)=0,"",ROW()-4)</f>
        <v/>
      </c>
      <c r="B232" s="22"/>
      <c r="C232" s="26"/>
      <c r="D232" s="26"/>
      <c r="E232" s="18"/>
      <c r="F232" s="26"/>
      <c r="G232" s="31" t="str">
        <f aca="false">IF(F232="","",IFERROR(INDEX(請求台帳!$C$5:$C$504,MATCH(F232,請求台帳!$A$5:$A$504,0)),""))</f>
        <v/>
      </c>
      <c r="H232" s="31" t="str">
        <f aca="false">IF(F232="","",IFERROR(INDEX(請求台帳!$D$5:$D$504,MATCH(F232,請求台帳!$A$5:$A$504,0)),""))</f>
        <v/>
      </c>
      <c r="I232" s="27" t="str">
        <f aca="false">IF(F232="","",IFERROR(INDEX(請求台帳!$F$5:$F$504,MATCH(F232,請求台帳!$A$5:$A$504,0)),""))</f>
        <v/>
      </c>
      <c r="J232" s="28" t="str">
        <f aca="false">IF(COUNTA(B232,D232,E232,F232)=0,"",IF(OR(B232="",E232=""),"要入力",IF(N(B232)&gt;設定!$C$5,"日付誤り",IF(F232="","未消込",IF(ISNA(MATCH(F232,請求台帳!$A$5:$A$504,0)),"番号誤り",IF(INDEX(請求台帳!$Q$5:$Q$504,MATCH(F232,請求台帳!$A$5:$A$504,0))="取消","取消請求へ消込","消込済"))))))</f>
        <v/>
      </c>
      <c r="K232" s="26"/>
      <c r="L232" s="26"/>
    </row>
    <row r="233" customFormat="false" ht="15" hidden="false" customHeight="false" outlineLevel="0" collapsed="false">
      <c r="A233" s="31" t="str">
        <f aca="false">IF(COUNTA(B233,D233,E233,F233)=0,"",ROW()-4)</f>
        <v/>
      </c>
      <c r="B233" s="22"/>
      <c r="C233" s="26"/>
      <c r="D233" s="26"/>
      <c r="E233" s="18"/>
      <c r="F233" s="26"/>
      <c r="G233" s="31" t="str">
        <f aca="false">IF(F233="","",IFERROR(INDEX(請求台帳!$C$5:$C$504,MATCH(F233,請求台帳!$A$5:$A$504,0)),""))</f>
        <v/>
      </c>
      <c r="H233" s="31" t="str">
        <f aca="false">IF(F233="","",IFERROR(INDEX(請求台帳!$D$5:$D$504,MATCH(F233,請求台帳!$A$5:$A$504,0)),""))</f>
        <v/>
      </c>
      <c r="I233" s="27" t="str">
        <f aca="false">IF(F233="","",IFERROR(INDEX(請求台帳!$F$5:$F$504,MATCH(F233,請求台帳!$A$5:$A$504,0)),""))</f>
        <v/>
      </c>
      <c r="J233" s="28" t="str">
        <f aca="false">IF(COUNTA(B233,D233,E233,F233)=0,"",IF(OR(B233="",E233=""),"要入力",IF(N(B233)&gt;設定!$C$5,"日付誤り",IF(F233="","未消込",IF(ISNA(MATCH(F233,請求台帳!$A$5:$A$504,0)),"番号誤り",IF(INDEX(請求台帳!$Q$5:$Q$504,MATCH(F233,請求台帳!$A$5:$A$504,0))="取消","取消請求へ消込","消込済"))))))</f>
        <v/>
      </c>
      <c r="K233" s="26"/>
      <c r="L233" s="26"/>
    </row>
    <row r="234" customFormat="false" ht="15" hidden="false" customHeight="false" outlineLevel="0" collapsed="false">
      <c r="A234" s="31" t="str">
        <f aca="false">IF(COUNTA(B234,D234,E234,F234)=0,"",ROW()-4)</f>
        <v/>
      </c>
      <c r="B234" s="22"/>
      <c r="C234" s="26"/>
      <c r="D234" s="26"/>
      <c r="E234" s="18"/>
      <c r="F234" s="26"/>
      <c r="G234" s="31" t="str">
        <f aca="false">IF(F234="","",IFERROR(INDEX(請求台帳!$C$5:$C$504,MATCH(F234,請求台帳!$A$5:$A$504,0)),""))</f>
        <v/>
      </c>
      <c r="H234" s="31" t="str">
        <f aca="false">IF(F234="","",IFERROR(INDEX(請求台帳!$D$5:$D$504,MATCH(F234,請求台帳!$A$5:$A$504,0)),""))</f>
        <v/>
      </c>
      <c r="I234" s="27" t="str">
        <f aca="false">IF(F234="","",IFERROR(INDEX(請求台帳!$F$5:$F$504,MATCH(F234,請求台帳!$A$5:$A$504,0)),""))</f>
        <v/>
      </c>
      <c r="J234" s="28" t="str">
        <f aca="false">IF(COUNTA(B234,D234,E234,F234)=0,"",IF(OR(B234="",E234=""),"要入力",IF(N(B234)&gt;設定!$C$5,"日付誤り",IF(F234="","未消込",IF(ISNA(MATCH(F234,請求台帳!$A$5:$A$504,0)),"番号誤り",IF(INDEX(請求台帳!$Q$5:$Q$504,MATCH(F234,請求台帳!$A$5:$A$504,0))="取消","取消請求へ消込","消込済"))))))</f>
        <v/>
      </c>
      <c r="K234" s="26"/>
      <c r="L234" s="26"/>
    </row>
    <row r="235" customFormat="false" ht="15" hidden="false" customHeight="false" outlineLevel="0" collapsed="false">
      <c r="A235" s="31" t="str">
        <f aca="false">IF(COUNTA(B235,D235,E235,F235)=0,"",ROW()-4)</f>
        <v/>
      </c>
      <c r="B235" s="22"/>
      <c r="C235" s="26"/>
      <c r="D235" s="26"/>
      <c r="E235" s="18"/>
      <c r="F235" s="26"/>
      <c r="G235" s="31" t="str">
        <f aca="false">IF(F235="","",IFERROR(INDEX(請求台帳!$C$5:$C$504,MATCH(F235,請求台帳!$A$5:$A$504,0)),""))</f>
        <v/>
      </c>
      <c r="H235" s="31" t="str">
        <f aca="false">IF(F235="","",IFERROR(INDEX(請求台帳!$D$5:$D$504,MATCH(F235,請求台帳!$A$5:$A$504,0)),""))</f>
        <v/>
      </c>
      <c r="I235" s="27" t="str">
        <f aca="false">IF(F235="","",IFERROR(INDEX(請求台帳!$F$5:$F$504,MATCH(F235,請求台帳!$A$5:$A$504,0)),""))</f>
        <v/>
      </c>
      <c r="J235" s="28" t="str">
        <f aca="false">IF(COUNTA(B235,D235,E235,F235)=0,"",IF(OR(B235="",E235=""),"要入力",IF(N(B235)&gt;設定!$C$5,"日付誤り",IF(F235="","未消込",IF(ISNA(MATCH(F235,請求台帳!$A$5:$A$504,0)),"番号誤り",IF(INDEX(請求台帳!$Q$5:$Q$504,MATCH(F235,請求台帳!$A$5:$A$504,0))="取消","取消請求へ消込","消込済"))))))</f>
        <v/>
      </c>
      <c r="K235" s="26"/>
      <c r="L235" s="26"/>
    </row>
    <row r="236" customFormat="false" ht="15" hidden="false" customHeight="false" outlineLevel="0" collapsed="false">
      <c r="A236" s="31" t="str">
        <f aca="false">IF(COUNTA(B236,D236,E236,F236)=0,"",ROW()-4)</f>
        <v/>
      </c>
      <c r="B236" s="22"/>
      <c r="C236" s="26"/>
      <c r="D236" s="26"/>
      <c r="E236" s="18"/>
      <c r="F236" s="26"/>
      <c r="G236" s="31" t="str">
        <f aca="false">IF(F236="","",IFERROR(INDEX(請求台帳!$C$5:$C$504,MATCH(F236,請求台帳!$A$5:$A$504,0)),""))</f>
        <v/>
      </c>
      <c r="H236" s="31" t="str">
        <f aca="false">IF(F236="","",IFERROR(INDEX(請求台帳!$D$5:$D$504,MATCH(F236,請求台帳!$A$5:$A$504,0)),""))</f>
        <v/>
      </c>
      <c r="I236" s="27" t="str">
        <f aca="false">IF(F236="","",IFERROR(INDEX(請求台帳!$F$5:$F$504,MATCH(F236,請求台帳!$A$5:$A$504,0)),""))</f>
        <v/>
      </c>
      <c r="J236" s="28" t="str">
        <f aca="false">IF(COUNTA(B236,D236,E236,F236)=0,"",IF(OR(B236="",E236=""),"要入力",IF(N(B236)&gt;設定!$C$5,"日付誤り",IF(F236="","未消込",IF(ISNA(MATCH(F236,請求台帳!$A$5:$A$504,0)),"番号誤り",IF(INDEX(請求台帳!$Q$5:$Q$504,MATCH(F236,請求台帳!$A$5:$A$504,0))="取消","取消請求へ消込","消込済"))))))</f>
        <v/>
      </c>
      <c r="K236" s="26"/>
      <c r="L236" s="26"/>
    </row>
    <row r="237" customFormat="false" ht="15" hidden="false" customHeight="false" outlineLevel="0" collapsed="false">
      <c r="A237" s="31" t="str">
        <f aca="false">IF(COUNTA(B237,D237,E237,F237)=0,"",ROW()-4)</f>
        <v/>
      </c>
      <c r="B237" s="22"/>
      <c r="C237" s="26"/>
      <c r="D237" s="26"/>
      <c r="E237" s="18"/>
      <c r="F237" s="26"/>
      <c r="G237" s="31" t="str">
        <f aca="false">IF(F237="","",IFERROR(INDEX(請求台帳!$C$5:$C$504,MATCH(F237,請求台帳!$A$5:$A$504,0)),""))</f>
        <v/>
      </c>
      <c r="H237" s="31" t="str">
        <f aca="false">IF(F237="","",IFERROR(INDEX(請求台帳!$D$5:$D$504,MATCH(F237,請求台帳!$A$5:$A$504,0)),""))</f>
        <v/>
      </c>
      <c r="I237" s="27" t="str">
        <f aca="false">IF(F237="","",IFERROR(INDEX(請求台帳!$F$5:$F$504,MATCH(F237,請求台帳!$A$5:$A$504,0)),""))</f>
        <v/>
      </c>
      <c r="J237" s="28" t="str">
        <f aca="false">IF(COUNTA(B237,D237,E237,F237)=0,"",IF(OR(B237="",E237=""),"要入力",IF(N(B237)&gt;設定!$C$5,"日付誤り",IF(F237="","未消込",IF(ISNA(MATCH(F237,請求台帳!$A$5:$A$504,0)),"番号誤り",IF(INDEX(請求台帳!$Q$5:$Q$504,MATCH(F237,請求台帳!$A$5:$A$504,0))="取消","取消請求へ消込","消込済"))))))</f>
        <v/>
      </c>
      <c r="K237" s="26"/>
      <c r="L237" s="26"/>
    </row>
    <row r="238" customFormat="false" ht="15" hidden="false" customHeight="false" outlineLevel="0" collapsed="false">
      <c r="A238" s="31" t="str">
        <f aca="false">IF(COUNTA(B238,D238,E238,F238)=0,"",ROW()-4)</f>
        <v/>
      </c>
      <c r="B238" s="22"/>
      <c r="C238" s="26"/>
      <c r="D238" s="26"/>
      <c r="E238" s="18"/>
      <c r="F238" s="26"/>
      <c r="G238" s="31" t="str">
        <f aca="false">IF(F238="","",IFERROR(INDEX(請求台帳!$C$5:$C$504,MATCH(F238,請求台帳!$A$5:$A$504,0)),""))</f>
        <v/>
      </c>
      <c r="H238" s="31" t="str">
        <f aca="false">IF(F238="","",IFERROR(INDEX(請求台帳!$D$5:$D$504,MATCH(F238,請求台帳!$A$5:$A$504,0)),""))</f>
        <v/>
      </c>
      <c r="I238" s="27" t="str">
        <f aca="false">IF(F238="","",IFERROR(INDEX(請求台帳!$F$5:$F$504,MATCH(F238,請求台帳!$A$5:$A$504,0)),""))</f>
        <v/>
      </c>
      <c r="J238" s="28" t="str">
        <f aca="false">IF(COUNTA(B238,D238,E238,F238)=0,"",IF(OR(B238="",E238=""),"要入力",IF(N(B238)&gt;設定!$C$5,"日付誤り",IF(F238="","未消込",IF(ISNA(MATCH(F238,請求台帳!$A$5:$A$504,0)),"番号誤り",IF(INDEX(請求台帳!$Q$5:$Q$504,MATCH(F238,請求台帳!$A$5:$A$504,0))="取消","取消請求へ消込","消込済"))))))</f>
        <v/>
      </c>
      <c r="K238" s="26"/>
      <c r="L238" s="26"/>
    </row>
    <row r="239" customFormat="false" ht="15" hidden="false" customHeight="false" outlineLevel="0" collapsed="false">
      <c r="A239" s="31" t="str">
        <f aca="false">IF(COUNTA(B239,D239,E239,F239)=0,"",ROW()-4)</f>
        <v/>
      </c>
      <c r="B239" s="22"/>
      <c r="C239" s="26"/>
      <c r="D239" s="26"/>
      <c r="E239" s="18"/>
      <c r="F239" s="26"/>
      <c r="G239" s="31" t="str">
        <f aca="false">IF(F239="","",IFERROR(INDEX(請求台帳!$C$5:$C$504,MATCH(F239,請求台帳!$A$5:$A$504,0)),""))</f>
        <v/>
      </c>
      <c r="H239" s="31" t="str">
        <f aca="false">IF(F239="","",IFERROR(INDEX(請求台帳!$D$5:$D$504,MATCH(F239,請求台帳!$A$5:$A$504,0)),""))</f>
        <v/>
      </c>
      <c r="I239" s="27" t="str">
        <f aca="false">IF(F239="","",IFERROR(INDEX(請求台帳!$F$5:$F$504,MATCH(F239,請求台帳!$A$5:$A$504,0)),""))</f>
        <v/>
      </c>
      <c r="J239" s="28" t="str">
        <f aca="false">IF(COUNTA(B239,D239,E239,F239)=0,"",IF(OR(B239="",E239=""),"要入力",IF(N(B239)&gt;設定!$C$5,"日付誤り",IF(F239="","未消込",IF(ISNA(MATCH(F239,請求台帳!$A$5:$A$504,0)),"番号誤り",IF(INDEX(請求台帳!$Q$5:$Q$504,MATCH(F239,請求台帳!$A$5:$A$504,0))="取消","取消請求へ消込","消込済"))))))</f>
        <v/>
      </c>
      <c r="K239" s="26"/>
      <c r="L239" s="26"/>
    </row>
    <row r="240" customFormat="false" ht="15" hidden="false" customHeight="false" outlineLevel="0" collapsed="false">
      <c r="A240" s="31" t="str">
        <f aca="false">IF(COUNTA(B240,D240,E240,F240)=0,"",ROW()-4)</f>
        <v/>
      </c>
      <c r="B240" s="22"/>
      <c r="C240" s="26"/>
      <c r="D240" s="26"/>
      <c r="E240" s="18"/>
      <c r="F240" s="26"/>
      <c r="G240" s="31" t="str">
        <f aca="false">IF(F240="","",IFERROR(INDEX(請求台帳!$C$5:$C$504,MATCH(F240,請求台帳!$A$5:$A$504,0)),""))</f>
        <v/>
      </c>
      <c r="H240" s="31" t="str">
        <f aca="false">IF(F240="","",IFERROR(INDEX(請求台帳!$D$5:$D$504,MATCH(F240,請求台帳!$A$5:$A$504,0)),""))</f>
        <v/>
      </c>
      <c r="I240" s="27" t="str">
        <f aca="false">IF(F240="","",IFERROR(INDEX(請求台帳!$F$5:$F$504,MATCH(F240,請求台帳!$A$5:$A$504,0)),""))</f>
        <v/>
      </c>
      <c r="J240" s="28" t="str">
        <f aca="false">IF(COUNTA(B240,D240,E240,F240)=0,"",IF(OR(B240="",E240=""),"要入力",IF(N(B240)&gt;設定!$C$5,"日付誤り",IF(F240="","未消込",IF(ISNA(MATCH(F240,請求台帳!$A$5:$A$504,0)),"番号誤り",IF(INDEX(請求台帳!$Q$5:$Q$504,MATCH(F240,請求台帳!$A$5:$A$504,0))="取消","取消請求へ消込","消込済"))))))</f>
        <v/>
      </c>
      <c r="K240" s="26"/>
      <c r="L240" s="26"/>
    </row>
    <row r="241" customFormat="false" ht="15" hidden="false" customHeight="false" outlineLevel="0" collapsed="false">
      <c r="A241" s="31" t="str">
        <f aca="false">IF(COUNTA(B241,D241,E241,F241)=0,"",ROW()-4)</f>
        <v/>
      </c>
      <c r="B241" s="22"/>
      <c r="C241" s="26"/>
      <c r="D241" s="26"/>
      <c r="E241" s="18"/>
      <c r="F241" s="26"/>
      <c r="G241" s="31" t="str">
        <f aca="false">IF(F241="","",IFERROR(INDEX(請求台帳!$C$5:$C$504,MATCH(F241,請求台帳!$A$5:$A$504,0)),""))</f>
        <v/>
      </c>
      <c r="H241" s="31" t="str">
        <f aca="false">IF(F241="","",IFERROR(INDEX(請求台帳!$D$5:$D$504,MATCH(F241,請求台帳!$A$5:$A$504,0)),""))</f>
        <v/>
      </c>
      <c r="I241" s="27" t="str">
        <f aca="false">IF(F241="","",IFERROR(INDEX(請求台帳!$F$5:$F$504,MATCH(F241,請求台帳!$A$5:$A$504,0)),""))</f>
        <v/>
      </c>
      <c r="J241" s="28" t="str">
        <f aca="false">IF(COUNTA(B241,D241,E241,F241)=0,"",IF(OR(B241="",E241=""),"要入力",IF(N(B241)&gt;設定!$C$5,"日付誤り",IF(F241="","未消込",IF(ISNA(MATCH(F241,請求台帳!$A$5:$A$504,0)),"番号誤り",IF(INDEX(請求台帳!$Q$5:$Q$504,MATCH(F241,請求台帳!$A$5:$A$504,0))="取消","取消請求へ消込","消込済"))))))</f>
        <v/>
      </c>
      <c r="K241" s="26"/>
      <c r="L241" s="26"/>
    </row>
    <row r="242" customFormat="false" ht="15" hidden="false" customHeight="false" outlineLevel="0" collapsed="false">
      <c r="A242" s="31" t="str">
        <f aca="false">IF(COUNTA(B242,D242,E242,F242)=0,"",ROW()-4)</f>
        <v/>
      </c>
      <c r="B242" s="22"/>
      <c r="C242" s="26"/>
      <c r="D242" s="26"/>
      <c r="E242" s="18"/>
      <c r="F242" s="26"/>
      <c r="G242" s="31" t="str">
        <f aca="false">IF(F242="","",IFERROR(INDEX(請求台帳!$C$5:$C$504,MATCH(F242,請求台帳!$A$5:$A$504,0)),""))</f>
        <v/>
      </c>
      <c r="H242" s="31" t="str">
        <f aca="false">IF(F242="","",IFERROR(INDEX(請求台帳!$D$5:$D$504,MATCH(F242,請求台帳!$A$5:$A$504,0)),""))</f>
        <v/>
      </c>
      <c r="I242" s="27" t="str">
        <f aca="false">IF(F242="","",IFERROR(INDEX(請求台帳!$F$5:$F$504,MATCH(F242,請求台帳!$A$5:$A$504,0)),""))</f>
        <v/>
      </c>
      <c r="J242" s="28" t="str">
        <f aca="false">IF(COUNTA(B242,D242,E242,F242)=0,"",IF(OR(B242="",E242=""),"要入力",IF(N(B242)&gt;設定!$C$5,"日付誤り",IF(F242="","未消込",IF(ISNA(MATCH(F242,請求台帳!$A$5:$A$504,0)),"番号誤り",IF(INDEX(請求台帳!$Q$5:$Q$504,MATCH(F242,請求台帳!$A$5:$A$504,0))="取消","取消請求へ消込","消込済"))))))</f>
        <v/>
      </c>
      <c r="K242" s="26"/>
      <c r="L242" s="26"/>
    </row>
    <row r="243" customFormat="false" ht="15" hidden="false" customHeight="false" outlineLevel="0" collapsed="false">
      <c r="A243" s="31" t="str">
        <f aca="false">IF(COUNTA(B243,D243,E243,F243)=0,"",ROW()-4)</f>
        <v/>
      </c>
      <c r="B243" s="22"/>
      <c r="C243" s="26"/>
      <c r="D243" s="26"/>
      <c r="E243" s="18"/>
      <c r="F243" s="26"/>
      <c r="G243" s="31" t="str">
        <f aca="false">IF(F243="","",IFERROR(INDEX(請求台帳!$C$5:$C$504,MATCH(F243,請求台帳!$A$5:$A$504,0)),""))</f>
        <v/>
      </c>
      <c r="H243" s="31" t="str">
        <f aca="false">IF(F243="","",IFERROR(INDEX(請求台帳!$D$5:$D$504,MATCH(F243,請求台帳!$A$5:$A$504,0)),""))</f>
        <v/>
      </c>
      <c r="I243" s="27" t="str">
        <f aca="false">IF(F243="","",IFERROR(INDEX(請求台帳!$F$5:$F$504,MATCH(F243,請求台帳!$A$5:$A$504,0)),""))</f>
        <v/>
      </c>
      <c r="J243" s="28" t="str">
        <f aca="false">IF(COUNTA(B243,D243,E243,F243)=0,"",IF(OR(B243="",E243=""),"要入力",IF(N(B243)&gt;設定!$C$5,"日付誤り",IF(F243="","未消込",IF(ISNA(MATCH(F243,請求台帳!$A$5:$A$504,0)),"番号誤り",IF(INDEX(請求台帳!$Q$5:$Q$504,MATCH(F243,請求台帳!$A$5:$A$504,0))="取消","取消請求へ消込","消込済"))))))</f>
        <v/>
      </c>
      <c r="K243" s="26"/>
      <c r="L243" s="26"/>
    </row>
    <row r="244" customFormat="false" ht="15" hidden="false" customHeight="false" outlineLevel="0" collapsed="false">
      <c r="A244" s="31" t="str">
        <f aca="false">IF(COUNTA(B244,D244,E244,F244)=0,"",ROW()-4)</f>
        <v/>
      </c>
      <c r="B244" s="22"/>
      <c r="C244" s="26"/>
      <c r="D244" s="26"/>
      <c r="E244" s="18"/>
      <c r="F244" s="26"/>
      <c r="G244" s="31" t="str">
        <f aca="false">IF(F244="","",IFERROR(INDEX(請求台帳!$C$5:$C$504,MATCH(F244,請求台帳!$A$5:$A$504,0)),""))</f>
        <v/>
      </c>
      <c r="H244" s="31" t="str">
        <f aca="false">IF(F244="","",IFERROR(INDEX(請求台帳!$D$5:$D$504,MATCH(F244,請求台帳!$A$5:$A$504,0)),""))</f>
        <v/>
      </c>
      <c r="I244" s="27" t="str">
        <f aca="false">IF(F244="","",IFERROR(INDEX(請求台帳!$F$5:$F$504,MATCH(F244,請求台帳!$A$5:$A$504,0)),""))</f>
        <v/>
      </c>
      <c r="J244" s="28" t="str">
        <f aca="false">IF(COUNTA(B244,D244,E244,F244)=0,"",IF(OR(B244="",E244=""),"要入力",IF(N(B244)&gt;設定!$C$5,"日付誤り",IF(F244="","未消込",IF(ISNA(MATCH(F244,請求台帳!$A$5:$A$504,0)),"番号誤り",IF(INDEX(請求台帳!$Q$5:$Q$504,MATCH(F244,請求台帳!$A$5:$A$504,0))="取消","取消請求へ消込","消込済"))))))</f>
        <v/>
      </c>
      <c r="K244" s="26"/>
      <c r="L244" s="26"/>
    </row>
    <row r="245" customFormat="false" ht="15" hidden="false" customHeight="false" outlineLevel="0" collapsed="false">
      <c r="A245" s="31" t="str">
        <f aca="false">IF(COUNTA(B245,D245,E245,F245)=0,"",ROW()-4)</f>
        <v/>
      </c>
      <c r="B245" s="22"/>
      <c r="C245" s="26"/>
      <c r="D245" s="26"/>
      <c r="E245" s="18"/>
      <c r="F245" s="26"/>
      <c r="G245" s="31" t="str">
        <f aca="false">IF(F245="","",IFERROR(INDEX(請求台帳!$C$5:$C$504,MATCH(F245,請求台帳!$A$5:$A$504,0)),""))</f>
        <v/>
      </c>
      <c r="H245" s="31" t="str">
        <f aca="false">IF(F245="","",IFERROR(INDEX(請求台帳!$D$5:$D$504,MATCH(F245,請求台帳!$A$5:$A$504,0)),""))</f>
        <v/>
      </c>
      <c r="I245" s="27" t="str">
        <f aca="false">IF(F245="","",IFERROR(INDEX(請求台帳!$F$5:$F$504,MATCH(F245,請求台帳!$A$5:$A$504,0)),""))</f>
        <v/>
      </c>
      <c r="J245" s="28" t="str">
        <f aca="false">IF(COUNTA(B245,D245,E245,F245)=0,"",IF(OR(B245="",E245=""),"要入力",IF(N(B245)&gt;設定!$C$5,"日付誤り",IF(F245="","未消込",IF(ISNA(MATCH(F245,請求台帳!$A$5:$A$504,0)),"番号誤り",IF(INDEX(請求台帳!$Q$5:$Q$504,MATCH(F245,請求台帳!$A$5:$A$504,0))="取消","取消請求へ消込","消込済"))))))</f>
        <v/>
      </c>
      <c r="K245" s="26"/>
      <c r="L245" s="26"/>
    </row>
    <row r="246" customFormat="false" ht="15" hidden="false" customHeight="false" outlineLevel="0" collapsed="false">
      <c r="A246" s="31" t="str">
        <f aca="false">IF(COUNTA(B246,D246,E246,F246)=0,"",ROW()-4)</f>
        <v/>
      </c>
      <c r="B246" s="22"/>
      <c r="C246" s="26"/>
      <c r="D246" s="26"/>
      <c r="E246" s="18"/>
      <c r="F246" s="26"/>
      <c r="G246" s="31" t="str">
        <f aca="false">IF(F246="","",IFERROR(INDEX(請求台帳!$C$5:$C$504,MATCH(F246,請求台帳!$A$5:$A$504,0)),""))</f>
        <v/>
      </c>
      <c r="H246" s="31" t="str">
        <f aca="false">IF(F246="","",IFERROR(INDEX(請求台帳!$D$5:$D$504,MATCH(F246,請求台帳!$A$5:$A$504,0)),""))</f>
        <v/>
      </c>
      <c r="I246" s="27" t="str">
        <f aca="false">IF(F246="","",IFERROR(INDEX(請求台帳!$F$5:$F$504,MATCH(F246,請求台帳!$A$5:$A$504,0)),""))</f>
        <v/>
      </c>
      <c r="J246" s="28" t="str">
        <f aca="false">IF(COUNTA(B246,D246,E246,F246)=0,"",IF(OR(B246="",E246=""),"要入力",IF(N(B246)&gt;設定!$C$5,"日付誤り",IF(F246="","未消込",IF(ISNA(MATCH(F246,請求台帳!$A$5:$A$504,0)),"番号誤り",IF(INDEX(請求台帳!$Q$5:$Q$504,MATCH(F246,請求台帳!$A$5:$A$504,0))="取消","取消請求へ消込","消込済"))))))</f>
        <v/>
      </c>
      <c r="K246" s="26"/>
      <c r="L246" s="26"/>
    </row>
    <row r="247" customFormat="false" ht="15" hidden="false" customHeight="false" outlineLevel="0" collapsed="false">
      <c r="A247" s="31" t="str">
        <f aca="false">IF(COUNTA(B247,D247,E247,F247)=0,"",ROW()-4)</f>
        <v/>
      </c>
      <c r="B247" s="22"/>
      <c r="C247" s="26"/>
      <c r="D247" s="26"/>
      <c r="E247" s="18"/>
      <c r="F247" s="26"/>
      <c r="G247" s="31" t="str">
        <f aca="false">IF(F247="","",IFERROR(INDEX(請求台帳!$C$5:$C$504,MATCH(F247,請求台帳!$A$5:$A$504,0)),""))</f>
        <v/>
      </c>
      <c r="H247" s="31" t="str">
        <f aca="false">IF(F247="","",IFERROR(INDEX(請求台帳!$D$5:$D$504,MATCH(F247,請求台帳!$A$5:$A$504,0)),""))</f>
        <v/>
      </c>
      <c r="I247" s="27" t="str">
        <f aca="false">IF(F247="","",IFERROR(INDEX(請求台帳!$F$5:$F$504,MATCH(F247,請求台帳!$A$5:$A$504,0)),""))</f>
        <v/>
      </c>
      <c r="J247" s="28" t="str">
        <f aca="false">IF(COUNTA(B247,D247,E247,F247)=0,"",IF(OR(B247="",E247=""),"要入力",IF(N(B247)&gt;設定!$C$5,"日付誤り",IF(F247="","未消込",IF(ISNA(MATCH(F247,請求台帳!$A$5:$A$504,0)),"番号誤り",IF(INDEX(請求台帳!$Q$5:$Q$504,MATCH(F247,請求台帳!$A$5:$A$504,0))="取消","取消請求へ消込","消込済"))))))</f>
        <v/>
      </c>
      <c r="K247" s="26"/>
      <c r="L247" s="26"/>
    </row>
    <row r="248" customFormat="false" ht="15" hidden="false" customHeight="false" outlineLevel="0" collapsed="false">
      <c r="A248" s="31" t="str">
        <f aca="false">IF(COUNTA(B248,D248,E248,F248)=0,"",ROW()-4)</f>
        <v/>
      </c>
      <c r="B248" s="22"/>
      <c r="C248" s="26"/>
      <c r="D248" s="26"/>
      <c r="E248" s="18"/>
      <c r="F248" s="26"/>
      <c r="G248" s="31" t="str">
        <f aca="false">IF(F248="","",IFERROR(INDEX(請求台帳!$C$5:$C$504,MATCH(F248,請求台帳!$A$5:$A$504,0)),""))</f>
        <v/>
      </c>
      <c r="H248" s="31" t="str">
        <f aca="false">IF(F248="","",IFERROR(INDEX(請求台帳!$D$5:$D$504,MATCH(F248,請求台帳!$A$5:$A$504,0)),""))</f>
        <v/>
      </c>
      <c r="I248" s="27" t="str">
        <f aca="false">IF(F248="","",IFERROR(INDEX(請求台帳!$F$5:$F$504,MATCH(F248,請求台帳!$A$5:$A$504,0)),""))</f>
        <v/>
      </c>
      <c r="J248" s="28" t="str">
        <f aca="false">IF(COUNTA(B248,D248,E248,F248)=0,"",IF(OR(B248="",E248=""),"要入力",IF(N(B248)&gt;設定!$C$5,"日付誤り",IF(F248="","未消込",IF(ISNA(MATCH(F248,請求台帳!$A$5:$A$504,0)),"番号誤り",IF(INDEX(請求台帳!$Q$5:$Q$504,MATCH(F248,請求台帳!$A$5:$A$504,0))="取消","取消請求へ消込","消込済"))))))</f>
        <v/>
      </c>
      <c r="K248" s="26"/>
      <c r="L248" s="26"/>
    </row>
    <row r="249" customFormat="false" ht="15" hidden="false" customHeight="false" outlineLevel="0" collapsed="false">
      <c r="A249" s="31" t="str">
        <f aca="false">IF(COUNTA(B249,D249,E249,F249)=0,"",ROW()-4)</f>
        <v/>
      </c>
      <c r="B249" s="22"/>
      <c r="C249" s="26"/>
      <c r="D249" s="26"/>
      <c r="E249" s="18"/>
      <c r="F249" s="26"/>
      <c r="G249" s="31" t="str">
        <f aca="false">IF(F249="","",IFERROR(INDEX(請求台帳!$C$5:$C$504,MATCH(F249,請求台帳!$A$5:$A$504,0)),""))</f>
        <v/>
      </c>
      <c r="H249" s="31" t="str">
        <f aca="false">IF(F249="","",IFERROR(INDEX(請求台帳!$D$5:$D$504,MATCH(F249,請求台帳!$A$5:$A$504,0)),""))</f>
        <v/>
      </c>
      <c r="I249" s="27" t="str">
        <f aca="false">IF(F249="","",IFERROR(INDEX(請求台帳!$F$5:$F$504,MATCH(F249,請求台帳!$A$5:$A$504,0)),""))</f>
        <v/>
      </c>
      <c r="J249" s="28" t="str">
        <f aca="false">IF(COUNTA(B249,D249,E249,F249)=0,"",IF(OR(B249="",E249=""),"要入力",IF(N(B249)&gt;設定!$C$5,"日付誤り",IF(F249="","未消込",IF(ISNA(MATCH(F249,請求台帳!$A$5:$A$504,0)),"番号誤り",IF(INDEX(請求台帳!$Q$5:$Q$504,MATCH(F249,請求台帳!$A$5:$A$504,0))="取消","取消請求へ消込","消込済"))))))</f>
        <v/>
      </c>
      <c r="K249" s="26"/>
      <c r="L249" s="26"/>
    </row>
    <row r="250" customFormat="false" ht="15" hidden="false" customHeight="false" outlineLevel="0" collapsed="false">
      <c r="A250" s="31" t="str">
        <f aca="false">IF(COUNTA(B250,D250,E250,F250)=0,"",ROW()-4)</f>
        <v/>
      </c>
      <c r="B250" s="22"/>
      <c r="C250" s="26"/>
      <c r="D250" s="26"/>
      <c r="E250" s="18"/>
      <c r="F250" s="26"/>
      <c r="G250" s="31" t="str">
        <f aca="false">IF(F250="","",IFERROR(INDEX(請求台帳!$C$5:$C$504,MATCH(F250,請求台帳!$A$5:$A$504,0)),""))</f>
        <v/>
      </c>
      <c r="H250" s="31" t="str">
        <f aca="false">IF(F250="","",IFERROR(INDEX(請求台帳!$D$5:$D$504,MATCH(F250,請求台帳!$A$5:$A$504,0)),""))</f>
        <v/>
      </c>
      <c r="I250" s="27" t="str">
        <f aca="false">IF(F250="","",IFERROR(INDEX(請求台帳!$F$5:$F$504,MATCH(F250,請求台帳!$A$5:$A$504,0)),""))</f>
        <v/>
      </c>
      <c r="J250" s="28" t="str">
        <f aca="false">IF(COUNTA(B250,D250,E250,F250)=0,"",IF(OR(B250="",E250=""),"要入力",IF(N(B250)&gt;設定!$C$5,"日付誤り",IF(F250="","未消込",IF(ISNA(MATCH(F250,請求台帳!$A$5:$A$504,0)),"番号誤り",IF(INDEX(請求台帳!$Q$5:$Q$504,MATCH(F250,請求台帳!$A$5:$A$504,0))="取消","取消請求へ消込","消込済"))))))</f>
        <v/>
      </c>
      <c r="K250" s="26"/>
      <c r="L250" s="26"/>
    </row>
    <row r="251" customFormat="false" ht="15" hidden="false" customHeight="false" outlineLevel="0" collapsed="false">
      <c r="A251" s="31" t="str">
        <f aca="false">IF(COUNTA(B251,D251,E251,F251)=0,"",ROW()-4)</f>
        <v/>
      </c>
      <c r="B251" s="22"/>
      <c r="C251" s="26"/>
      <c r="D251" s="26"/>
      <c r="E251" s="18"/>
      <c r="F251" s="26"/>
      <c r="G251" s="31" t="str">
        <f aca="false">IF(F251="","",IFERROR(INDEX(請求台帳!$C$5:$C$504,MATCH(F251,請求台帳!$A$5:$A$504,0)),""))</f>
        <v/>
      </c>
      <c r="H251" s="31" t="str">
        <f aca="false">IF(F251="","",IFERROR(INDEX(請求台帳!$D$5:$D$504,MATCH(F251,請求台帳!$A$5:$A$504,0)),""))</f>
        <v/>
      </c>
      <c r="I251" s="27" t="str">
        <f aca="false">IF(F251="","",IFERROR(INDEX(請求台帳!$F$5:$F$504,MATCH(F251,請求台帳!$A$5:$A$504,0)),""))</f>
        <v/>
      </c>
      <c r="J251" s="28" t="str">
        <f aca="false">IF(COUNTA(B251,D251,E251,F251)=0,"",IF(OR(B251="",E251=""),"要入力",IF(N(B251)&gt;設定!$C$5,"日付誤り",IF(F251="","未消込",IF(ISNA(MATCH(F251,請求台帳!$A$5:$A$504,0)),"番号誤り",IF(INDEX(請求台帳!$Q$5:$Q$504,MATCH(F251,請求台帳!$A$5:$A$504,0))="取消","取消請求へ消込","消込済"))))))</f>
        <v/>
      </c>
      <c r="K251" s="26"/>
      <c r="L251" s="26"/>
    </row>
    <row r="252" customFormat="false" ht="15" hidden="false" customHeight="false" outlineLevel="0" collapsed="false">
      <c r="A252" s="31" t="str">
        <f aca="false">IF(COUNTA(B252,D252,E252,F252)=0,"",ROW()-4)</f>
        <v/>
      </c>
      <c r="B252" s="22"/>
      <c r="C252" s="26"/>
      <c r="D252" s="26"/>
      <c r="E252" s="18"/>
      <c r="F252" s="26"/>
      <c r="G252" s="31" t="str">
        <f aca="false">IF(F252="","",IFERROR(INDEX(請求台帳!$C$5:$C$504,MATCH(F252,請求台帳!$A$5:$A$504,0)),""))</f>
        <v/>
      </c>
      <c r="H252" s="31" t="str">
        <f aca="false">IF(F252="","",IFERROR(INDEX(請求台帳!$D$5:$D$504,MATCH(F252,請求台帳!$A$5:$A$504,0)),""))</f>
        <v/>
      </c>
      <c r="I252" s="27" t="str">
        <f aca="false">IF(F252="","",IFERROR(INDEX(請求台帳!$F$5:$F$504,MATCH(F252,請求台帳!$A$5:$A$504,0)),""))</f>
        <v/>
      </c>
      <c r="J252" s="28" t="str">
        <f aca="false">IF(COUNTA(B252,D252,E252,F252)=0,"",IF(OR(B252="",E252=""),"要入力",IF(N(B252)&gt;設定!$C$5,"日付誤り",IF(F252="","未消込",IF(ISNA(MATCH(F252,請求台帳!$A$5:$A$504,0)),"番号誤り",IF(INDEX(請求台帳!$Q$5:$Q$504,MATCH(F252,請求台帳!$A$5:$A$504,0))="取消","取消請求へ消込","消込済"))))))</f>
        <v/>
      </c>
      <c r="K252" s="26"/>
      <c r="L252" s="26"/>
    </row>
    <row r="253" customFormat="false" ht="15" hidden="false" customHeight="false" outlineLevel="0" collapsed="false">
      <c r="A253" s="31" t="str">
        <f aca="false">IF(COUNTA(B253,D253,E253,F253)=0,"",ROW()-4)</f>
        <v/>
      </c>
      <c r="B253" s="22"/>
      <c r="C253" s="26"/>
      <c r="D253" s="26"/>
      <c r="E253" s="18"/>
      <c r="F253" s="26"/>
      <c r="G253" s="31" t="str">
        <f aca="false">IF(F253="","",IFERROR(INDEX(請求台帳!$C$5:$C$504,MATCH(F253,請求台帳!$A$5:$A$504,0)),""))</f>
        <v/>
      </c>
      <c r="H253" s="31" t="str">
        <f aca="false">IF(F253="","",IFERROR(INDEX(請求台帳!$D$5:$D$504,MATCH(F253,請求台帳!$A$5:$A$504,0)),""))</f>
        <v/>
      </c>
      <c r="I253" s="27" t="str">
        <f aca="false">IF(F253="","",IFERROR(INDEX(請求台帳!$F$5:$F$504,MATCH(F253,請求台帳!$A$5:$A$504,0)),""))</f>
        <v/>
      </c>
      <c r="J253" s="28" t="str">
        <f aca="false">IF(COUNTA(B253,D253,E253,F253)=0,"",IF(OR(B253="",E253=""),"要入力",IF(N(B253)&gt;設定!$C$5,"日付誤り",IF(F253="","未消込",IF(ISNA(MATCH(F253,請求台帳!$A$5:$A$504,0)),"番号誤り",IF(INDEX(請求台帳!$Q$5:$Q$504,MATCH(F253,請求台帳!$A$5:$A$504,0))="取消","取消請求へ消込","消込済"))))))</f>
        <v/>
      </c>
      <c r="K253" s="26"/>
      <c r="L253" s="26"/>
    </row>
    <row r="254" customFormat="false" ht="15" hidden="false" customHeight="false" outlineLevel="0" collapsed="false">
      <c r="A254" s="31" t="str">
        <f aca="false">IF(COUNTA(B254,D254,E254,F254)=0,"",ROW()-4)</f>
        <v/>
      </c>
      <c r="B254" s="22"/>
      <c r="C254" s="26"/>
      <c r="D254" s="26"/>
      <c r="E254" s="18"/>
      <c r="F254" s="26"/>
      <c r="G254" s="31" t="str">
        <f aca="false">IF(F254="","",IFERROR(INDEX(請求台帳!$C$5:$C$504,MATCH(F254,請求台帳!$A$5:$A$504,0)),""))</f>
        <v/>
      </c>
      <c r="H254" s="31" t="str">
        <f aca="false">IF(F254="","",IFERROR(INDEX(請求台帳!$D$5:$D$504,MATCH(F254,請求台帳!$A$5:$A$504,0)),""))</f>
        <v/>
      </c>
      <c r="I254" s="27" t="str">
        <f aca="false">IF(F254="","",IFERROR(INDEX(請求台帳!$F$5:$F$504,MATCH(F254,請求台帳!$A$5:$A$504,0)),""))</f>
        <v/>
      </c>
      <c r="J254" s="28" t="str">
        <f aca="false">IF(COUNTA(B254,D254,E254,F254)=0,"",IF(OR(B254="",E254=""),"要入力",IF(N(B254)&gt;設定!$C$5,"日付誤り",IF(F254="","未消込",IF(ISNA(MATCH(F254,請求台帳!$A$5:$A$504,0)),"番号誤り",IF(INDEX(請求台帳!$Q$5:$Q$504,MATCH(F254,請求台帳!$A$5:$A$504,0))="取消","取消請求へ消込","消込済"))))))</f>
        <v/>
      </c>
      <c r="K254" s="26"/>
      <c r="L254" s="26"/>
    </row>
    <row r="255" customFormat="false" ht="15" hidden="false" customHeight="false" outlineLevel="0" collapsed="false">
      <c r="A255" s="31" t="str">
        <f aca="false">IF(COUNTA(B255,D255,E255,F255)=0,"",ROW()-4)</f>
        <v/>
      </c>
      <c r="B255" s="22"/>
      <c r="C255" s="26"/>
      <c r="D255" s="26"/>
      <c r="E255" s="18"/>
      <c r="F255" s="26"/>
      <c r="G255" s="31" t="str">
        <f aca="false">IF(F255="","",IFERROR(INDEX(請求台帳!$C$5:$C$504,MATCH(F255,請求台帳!$A$5:$A$504,0)),""))</f>
        <v/>
      </c>
      <c r="H255" s="31" t="str">
        <f aca="false">IF(F255="","",IFERROR(INDEX(請求台帳!$D$5:$D$504,MATCH(F255,請求台帳!$A$5:$A$504,0)),""))</f>
        <v/>
      </c>
      <c r="I255" s="27" t="str">
        <f aca="false">IF(F255="","",IFERROR(INDEX(請求台帳!$F$5:$F$504,MATCH(F255,請求台帳!$A$5:$A$504,0)),""))</f>
        <v/>
      </c>
      <c r="J255" s="28" t="str">
        <f aca="false">IF(COUNTA(B255,D255,E255,F255)=0,"",IF(OR(B255="",E255=""),"要入力",IF(N(B255)&gt;設定!$C$5,"日付誤り",IF(F255="","未消込",IF(ISNA(MATCH(F255,請求台帳!$A$5:$A$504,0)),"番号誤り",IF(INDEX(請求台帳!$Q$5:$Q$504,MATCH(F255,請求台帳!$A$5:$A$504,0))="取消","取消請求へ消込","消込済"))))))</f>
        <v/>
      </c>
      <c r="K255" s="26"/>
      <c r="L255" s="26"/>
    </row>
    <row r="256" customFormat="false" ht="15" hidden="false" customHeight="false" outlineLevel="0" collapsed="false">
      <c r="A256" s="31" t="str">
        <f aca="false">IF(COUNTA(B256,D256,E256,F256)=0,"",ROW()-4)</f>
        <v/>
      </c>
      <c r="B256" s="22"/>
      <c r="C256" s="26"/>
      <c r="D256" s="26"/>
      <c r="E256" s="18"/>
      <c r="F256" s="26"/>
      <c r="G256" s="31" t="str">
        <f aca="false">IF(F256="","",IFERROR(INDEX(請求台帳!$C$5:$C$504,MATCH(F256,請求台帳!$A$5:$A$504,0)),""))</f>
        <v/>
      </c>
      <c r="H256" s="31" t="str">
        <f aca="false">IF(F256="","",IFERROR(INDEX(請求台帳!$D$5:$D$504,MATCH(F256,請求台帳!$A$5:$A$504,0)),""))</f>
        <v/>
      </c>
      <c r="I256" s="27" t="str">
        <f aca="false">IF(F256="","",IFERROR(INDEX(請求台帳!$F$5:$F$504,MATCH(F256,請求台帳!$A$5:$A$504,0)),""))</f>
        <v/>
      </c>
      <c r="J256" s="28" t="str">
        <f aca="false">IF(COUNTA(B256,D256,E256,F256)=0,"",IF(OR(B256="",E256=""),"要入力",IF(N(B256)&gt;設定!$C$5,"日付誤り",IF(F256="","未消込",IF(ISNA(MATCH(F256,請求台帳!$A$5:$A$504,0)),"番号誤り",IF(INDEX(請求台帳!$Q$5:$Q$504,MATCH(F256,請求台帳!$A$5:$A$504,0))="取消","取消請求へ消込","消込済"))))))</f>
        <v/>
      </c>
      <c r="K256" s="26"/>
      <c r="L256" s="26"/>
    </row>
    <row r="257" customFormat="false" ht="15" hidden="false" customHeight="false" outlineLevel="0" collapsed="false">
      <c r="A257" s="31" t="str">
        <f aca="false">IF(COUNTA(B257,D257,E257,F257)=0,"",ROW()-4)</f>
        <v/>
      </c>
      <c r="B257" s="22"/>
      <c r="C257" s="26"/>
      <c r="D257" s="26"/>
      <c r="E257" s="18"/>
      <c r="F257" s="26"/>
      <c r="G257" s="31" t="str">
        <f aca="false">IF(F257="","",IFERROR(INDEX(請求台帳!$C$5:$C$504,MATCH(F257,請求台帳!$A$5:$A$504,0)),""))</f>
        <v/>
      </c>
      <c r="H257" s="31" t="str">
        <f aca="false">IF(F257="","",IFERROR(INDEX(請求台帳!$D$5:$D$504,MATCH(F257,請求台帳!$A$5:$A$504,0)),""))</f>
        <v/>
      </c>
      <c r="I257" s="27" t="str">
        <f aca="false">IF(F257="","",IFERROR(INDEX(請求台帳!$F$5:$F$504,MATCH(F257,請求台帳!$A$5:$A$504,0)),""))</f>
        <v/>
      </c>
      <c r="J257" s="28" t="str">
        <f aca="false">IF(COUNTA(B257,D257,E257,F257)=0,"",IF(OR(B257="",E257=""),"要入力",IF(N(B257)&gt;設定!$C$5,"日付誤り",IF(F257="","未消込",IF(ISNA(MATCH(F257,請求台帳!$A$5:$A$504,0)),"番号誤り",IF(INDEX(請求台帳!$Q$5:$Q$504,MATCH(F257,請求台帳!$A$5:$A$504,0))="取消","取消請求へ消込","消込済"))))))</f>
        <v/>
      </c>
      <c r="K257" s="26"/>
      <c r="L257" s="26"/>
    </row>
    <row r="258" customFormat="false" ht="15" hidden="false" customHeight="false" outlineLevel="0" collapsed="false">
      <c r="A258" s="31" t="str">
        <f aca="false">IF(COUNTA(B258,D258,E258,F258)=0,"",ROW()-4)</f>
        <v/>
      </c>
      <c r="B258" s="22"/>
      <c r="C258" s="26"/>
      <c r="D258" s="26"/>
      <c r="E258" s="18"/>
      <c r="F258" s="26"/>
      <c r="G258" s="31" t="str">
        <f aca="false">IF(F258="","",IFERROR(INDEX(請求台帳!$C$5:$C$504,MATCH(F258,請求台帳!$A$5:$A$504,0)),""))</f>
        <v/>
      </c>
      <c r="H258" s="31" t="str">
        <f aca="false">IF(F258="","",IFERROR(INDEX(請求台帳!$D$5:$D$504,MATCH(F258,請求台帳!$A$5:$A$504,0)),""))</f>
        <v/>
      </c>
      <c r="I258" s="27" t="str">
        <f aca="false">IF(F258="","",IFERROR(INDEX(請求台帳!$F$5:$F$504,MATCH(F258,請求台帳!$A$5:$A$504,0)),""))</f>
        <v/>
      </c>
      <c r="J258" s="28" t="str">
        <f aca="false">IF(COUNTA(B258,D258,E258,F258)=0,"",IF(OR(B258="",E258=""),"要入力",IF(N(B258)&gt;設定!$C$5,"日付誤り",IF(F258="","未消込",IF(ISNA(MATCH(F258,請求台帳!$A$5:$A$504,0)),"番号誤り",IF(INDEX(請求台帳!$Q$5:$Q$504,MATCH(F258,請求台帳!$A$5:$A$504,0))="取消","取消請求へ消込","消込済"))))))</f>
        <v/>
      </c>
      <c r="K258" s="26"/>
      <c r="L258" s="26"/>
    </row>
    <row r="259" customFormat="false" ht="15" hidden="false" customHeight="false" outlineLevel="0" collapsed="false">
      <c r="A259" s="31" t="str">
        <f aca="false">IF(COUNTA(B259,D259,E259,F259)=0,"",ROW()-4)</f>
        <v/>
      </c>
      <c r="B259" s="22"/>
      <c r="C259" s="26"/>
      <c r="D259" s="26"/>
      <c r="E259" s="18"/>
      <c r="F259" s="26"/>
      <c r="G259" s="31" t="str">
        <f aca="false">IF(F259="","",IFERROR(INDEX(請求台帳!$C$5:$C$504,MATCH(F259,請求台帳!$A$5:$A$504,0)),""))</f>
        <v/>
      </c>
      <c r="H259" s="31" t="str">
        <f aca="false">IF(F259="","",IFERROR(INDEX(請求台帳!$D$5:$D$504,MATCH(F259,請求台帳!$A$5:$A$504,0)),""))</f>
        <v/>
      </c>
      <c r="I259" s="27" t="str">
        <f aca="false">IF(F259="","",IFERROR(INDEX(請求台帳!$F$5:$F$504,MATCH(F259,請求台帳!$A$5:$A$504,0)),""))</f>
        <v/>
      </c>
      <c r="J259" s="28" t="str">
        <f aca="false">IF(COUNTA(B259,D259,E259,F259)=0,"",IF(OR(B259="",E259=""),"要入力",IF(N(B259)&gt;設定!$C$5,"日付誤り",IF(F259="","未消込",IF(ISNA(MATCH(F259,請求台帳!$A$5:$A$504,0)),"番号誤り",IF(INDEX(請求台帳!$Q$5:$Q$504,MATCH(F259,請求台帳!$A$5:$A$504,0))="取消","取消請求へ消込","消込済"))))))</f>
        <v/>
      </c>
      <c r="K259" s="26"/>
      <c r="L259" s="26"/>
    </row>
    <row r="260" customFormat="false" ht="15" hidden="false" customHeight="false" outlineLevel="0" collapsed="false">
      <c r="A260" s="31" t="str">
        <f aca="false">IF(COUNTA(B260,D260,E260,F260)=0,"",ROW()-4)</f>
        <v/>
      </c>
      <c r="B260" s="22"/>
      <c r="C260" s="26"/>
      <c r="D260" s="26"/>
      <c r="E260" s="18"/>
      <c r="F260" s="26"/>
      <c r="G260" s="31" t="str">
        <f aca="false">IF(F260="","",IFERROR(INDEX(請求台帳!$C$5:$C$504,MATCH(F260,請求台帳!$A$5:$A$504,0)),""))</f>
        <v/>
      </c>
      <c r="H260" s="31" t="str">
        <f aca="false">IF(F260="","",IFERROR(INDEX(請求台帳!$D$5:$D$504,MATCH(F260,請求台帳!$A$5:$A$504,0)),""))</f>
        <v/>
      </c>
      <c r="I260" s="27" t="str">
        <f aca="false">IF(F260="","",IFERROR(INDEX(請求台帳!$F$5:$F$504,MATCH(F260,請求台帳!$A$5:$A$504,0)),""))</f>
        <v/>
      </c>
      <c r="J260" s="28" t="str">
        <f aca="false">IF(COUNTA(B260,D260,E260,F260)=0,"",IF(OR(B260="",E260=""),"要入力",IF(N(B260)&gt;設定!$C$5,"日付誤り",IF(F260="","未消込",IF(ISNA(MATCH(F260,請求台帳!$A$5:$A$504,0)),"番号誤り",IF(INDEX(請求台帳!$Q$5:$Q$504,MATCH(F260,請求台帳!$A$5:$A$504,0))="取消","取消請求へ消込","消込済"))))))</f>
        <v/>
      </c>
      <c r="K260" s="26"/>
      <c r="L260" s="26"/>
    </row>
    <row r="261" customFormat="false" ht="15" hidden="false" customHeight="false" outlineLevel="0" collapsed="false">
      <c r="A261" s="31" t="str">
        <f aca="false">IF(COUNTA(B261,D261,E261,F261)=0,"",ROW()-4)</f>
        <v/>
      </c>
      <c r="B261" s="22"/>
      <c r="C261" s="26"/>
      <c r="D261" s="26"/>
      <c r="E261" s="18"/>
      <c r="F261" s="26"/>
      <c r="G261" s="31" t="str">
        <f aca="false">IF(F261="","",IFERROR(INDEX(請求台帳!$C$5:$C$504,MATCH(F261,請求台帳!$A$5:$A$504,0)),""))</f>
        <v/>
      </c>
      <c r="H261" s="31" t="str">
        <f aca="false">IF(F261="","",IFERROR(INDEX(請求台帳!$D$5:$D$504,MATCH(F261,請求台帳!$A$5:$A$504,0)),""))</f>
        <v/>
      </c>
      <c r="I261" s="27" t="str">
        <f aca="false">IF(F261="","",IFERROR(INDEX(請求台帳!$F$5:$F$504,MATCH(F261,請求台帳!$A$5:$A$504,0)),""))</f>
        <v/>
      </c>
      <c r="J261" s="28" t="str">
        <f aca="false">IF(COUNTA(B261,D261,E261,F261)=0,"",IF(OR(B261="",E261=""),"要入力",IF(N(B261)&gt;設定!$C$5,"日付誤り",IF(F261="","未消込",IF(ISNA(MATCH(F261,請求台帳!$A$5:$A$504,0)),"番号誤り",IF(INDEX(請求台帳!$Q$5:$Q$504,MATCH(F261,請求台帳!$A$5:$A$504,0))="取消","取消請求へ消込","消込済"))))))</f>
        <v/>
      </c>
      <c r="K261" s="26"/>
      <c r="L261" s="26"/>
    </row>
    <row r="262" customFormat="false" ht="15" hidden="false" customHeight="false" outlineLevel="0" collapsed="false">
      <c r="A262" s="31" t="str">
        <f aca="false">IF(COUNTA(B262,D262,E262,F262)=0,"",ROW()-4)</f>
        <v/>
      </c>
      <c r="B262" s="22"/>
      <c r="C262" s="26"/>
      <c r="D262" s="26"/>
      <c r="E262" s="18"/>
      <c r="F262" s="26"/>
      <c r="G262" s="31" t="str">
        <f aca="false">IF(F262="","",IFERROR(INDEX(請求台帳!$C$5:$C$504,MATCH(F262,請求台帳!$A$5:$A$504,0)),""))</f>
        <v/>
      </c>
      <c r="H262" s="31" t="str">
        <f aca="false">IF(F262="","",IFERROR(INDEX(請求台帳!$D$5:$D$504,MATCH(F262,請求台帳!$A$5:$A$504,0)),""))</f>
        <v/>
      </c>
      <c r="I262" s="27" t="str">
        <f aca="false">IF(F262="","",IFERROR(INDEX(請求台帳!$F$5:$F$504,MATCH(F262,請求台帳!$A$5:$A$504,0)),""))</f>
        <v/>
      </c>
      <c r="J262" s="28" t="str">
        <f aca="false">IF(COUNTA(B262,D262,E262,F262)=0,"",IF(OR(B262="",E262=""),"要入力",IF(N(B262)&gt;設定!$C$5,"日付誤り",IF(F262="","未消込",IF(ISNA(MATCH(F262,請求台帳!$A$5:$A$504,0)),"番号誤り",IF(INDEX(請求台帳!$Q$5:$Q$504,MATCH(F262,請求台帳!$A$5:$A$504,0))="取消","取消請求へ消込","消込済"))))))</f>
        <v/>
      </c>
      <c r="K262" s="26"/>
      <c r="L262" s="26"/>
    </row>
    <row r="263" customFormat="false" ht="15" hidden="false" customHeight="false" outlineLevel="0" collapsed="false">
      <c r="A263" s="31" t="str">
        <f aca="false">IF(COUNTA(B263,D263,E263,F263)=0,"",ROW()-4)</f>
        <v/>
      </c>
      <c r="B263" s="22"/>
      <c r="C263" s="26"/>
      <c r="D263" s="26"/>
      <c r="E263" s="18"/>
      <c r="F263" s="26"/>
      <c r="G263" s="31" t="str">
        <f aca="false">IF(F263="","",IFERROR(INDEX(請求台帳!$C$5:$C$504,MATCH(F263,請求台帳!$A$5:$A$504,0)),""))</f>
        <v/>
      </c>
      <c r="H263" s="31" t="str">
        <f aca="false">IF(F263="","",IFERROR(INDEX(請求台帳!$D$5:$D$504,MATCH(F263,請求台帳!$A$5:$A$504,0)),""))</f>
        <v/>
      </c>
      <c r="I263" s="27" t="str">
        <f aca="false">IF(F263="","",IFERROR(INDEX(請求台帳!$F$5:$F$504,MATCH(F263,請求台帳!$A$5:$A$504,0)),""))</f>
        <v/>
      </c>
      <c r="J263" s="28" t="str">
        <f aca="false">IF(COUNTA(B263,D263,E263,F263)=0,"",IF(OR(B263="",E263=""),"要入力",IF(N(B263)&gt;設定!$C$5,"日付誤り",IF(F263="","未消込",IF(ISNA(MATCH(F263,請求台帳!$A$5:$A$504,0)),"番号誤り",IF(INDEX(請求台帳!$Q$5:$Q$504,MATCH(F263,請求台帳!$A$5:$A$504,0))="取消","取消請求へ消込","消込済"))))))</f>
        <v/>
      </c>
      <c r="K263" s="26"/>
      <c r="L263" s="26"/>
    </row>
    <row r="264" customFormat="false" ht="15" hidden="false" customHeight="false" outlineLevel="0" collapsed="false">
      <c r="A264" s="31" t="str">
        <f aca="false">IF(COUNTA(B264,D264,E264,F264)=0,"",ROW()-4)</f>
        <v/>
      </c>
      <c r="B264" s="22"/>
      <c r="C264" s="26"/>
      <c r="D264" s="26"/>
      <c r="E264" s="18"/>
      <c r="F264" s="26"/>
      <c r="G264" s="31" t="str">
        <f aca="false">IF(F264="","",IFERROR(INDEX(請求台帳!$C$5:$C$504,MATCH(F264,請求台帳!$A$5:$A$504,0)),""))</f>
        <v/>
      </c>
      <c r="H264" s="31" t="str">
        <f aca="false">IF(F264="","",IFERROR(INDEX(請求台帳!$D$5:$D$504,MATCH(F264,請求台帳!$A$5:$A$504,0)),""))</f>
        <v/>
      </c>
      <c r="I264" s="27" t="str">
        <f aca="false">IF(F264="","",IFERROR(INDEX(請求台帳!$F$5:$F$504,MATCH(F264,請求台帳!$A$5:$A$504,0)),""))</f>
        <v/>
      </c>
      <c r="J264" s="28" t="str">
        <f aca="false">IF(COUNTA(B264,D264,E264,F264)=0,"",IF(OR(B264="",E264=""),"要入力",IF(N(B264)&gt;設定!$C$5,"日付誤り",IF(F264="","未消込",IF(ISNA(MATCH(F264,請求台帳!$A$5:$A$504,0)),"番号誤り",IF(INDEX(請求台帳!$Q$5:$Q$504,MATCH(F264,請求台帳!$A$5:$A$504,0))="取消","取消請求へ消込","消込済"))))))</f>
        <v/>
      </c>
      <c r="K264" s="26"/>
      <c r="L264" s="26"/>
    </row>
    <row r="265" customFormat="false" ht="15" hidden="false" customHeight="false" outlineLevel="0" collapsed="false">
      <c r="A265" s="31" t="str">
        <f aca="false">IF(COUNTA(B265,D265,E265,F265)=0,"",ROW()-4)</f>
        <v/>
      </c>
      <c r="B265" s="22"/>
      <c r="C265" s="26"/>
      <c r="D265" s="26"/>
      <c r="E265" s="18"/>
      <c r="F265" s="26"/>
      <c r="G265" s="31" t="str">
        <f aca="false">IF(F265="","",IFERROR(INDEX(請求台帳!$C$5:$C$504,MATCH(F265,請求台帳!$A$5:$A$504,0)),""))</f>
        <v/>
      </c>
      <c r="H265" s="31" t="str">
        <f aca="false">IF(F265="","",IFERROR(INDEX(請求台帳!$D$5:$D$504,MATCH(F265,請求台帳!$A$5:$A$504,0)),""))</f>
        <v/>
      </c>
      <c r="I265" s="27" t="str">
        <f aca="false">IF(F265="","",IFERROR(INDEX(請求台帳!$F$5:$F$504,MATCH(F265,請求台帳!$A$5:$A$504,0)),""))</f>
        <v/>
      </c>
      <c r="J265" s="28" t="str">
        <f aca="false">IF(COUNTA(B265,D265,E265,F265)=0,"",IF(OR(B265="",E265=""),"要入力",IF(N(B265)&gt;設定!$C$5,"日付誤り",IF(F265="","未消込",IF(ISNA(MATCH(F265,請求台帳!$A$5:$A$504,0)),"番号誤り",IF(INDEX(請求台帳!$Q$5:$Q$504,MATCH(F265,請求台帳!$A$5:$A$504,0))="取消","取消請求へ消込","消込済"))))))</f>
        <v/>
      </c>
      <c r="K265" s="26"/>
      <c r="L265" s="26"/>
    </row>
    <row r="266" customFormat="false" ht="15" hidden="false" customHeight="false" outlineLevel="0" collapsed="false">
      <c r="A266" s="31" t="str">
        <f aca="false">IF(COUNTA(B266,D266,E266,F266)=0,"",ROW()-4)</f>
        <v/>
      </c>
      <c r="B266" s="22"/>
      <c r="C266" s="26"/>
      <c r="D266" s="26"/>
      <c r="E266" s="18"/>
      <c r="F266" s="26"/>
      <c r="G266" s="31" t="str">
        <f aca="false">IF(F266="","",IFERROR(INDEX(請求台帳!$C$5:$C$504,MATCH(F266,請求台帳!$A$5:$A$504,0)),""))</f>
        <v/>
      </c>
      <c r="H266" s="31" t="str">
        <f aca="false">IF(F266="","",IFERROR(INDEX(請求台帳!$D$5:$D$504,MATCH(F266,請求台帳!$A$5:$A$504,0)),""))</f>
        <v/>
      </c>
      <c r="I266" s="27" t="str">
        <f aca="false">IF(F266="","",IFERROR(INDEX(請求台帳!$F$5:$F$504,MATCH(F266,請求台帳!$A$5:$A$504,0)),""))</f>
        <v/>
      </c>
      <c r="J266" s="28" t="str">
        <f aca="false">IF(COUNTA(B266,D266,E266,F266)=0,"",IF(OR(B266="",E266=""),"要入力",IF(N(B266)&gt;設定!$C$5,"日付誤り",IF(F266="","未消込",IF(ISNA(MATCH(F266,請求台帳!$A$5:$A$504,0)),"番号誤り",IF(INDEX(請求台帳!$Q$5:$Q$504,MATCH(F266,請求台帳!$A$5:$A$504,0))="取消","取消請求へ消込","消込済"))))))</f>
        <v/>
      </c>
      <c r="K266" s="26"/>
      <c r="L266" s="26"/>
    </row>
    <row r="267" customFormat="false" ht="15" hidden="false" customHeight="false" outlineLevel="0" collapsed="false">
      <c r="A267" s="31" t="str">
        <f aca="false">IF(COUNTA(B267,D267,E267,F267)=0,"",ROW()-4)</f>
        <v/>
      </c>
      <c r="B267" s="22"/>
      <c r="C267" s="26"/>
      <c r="D267" s="26"/>
      <c r="E267" s="18"/>
      <c r="F267" s="26"/>
      <c r="G267" s="31" t="str">
        <f aca="false">IF(F267="","",IFERROR(INDEX(請求台帳!$C$5:$C$504,MATCH(F267,請求台帳!$A$5:$A$504,0)),""))</f>
        <v/>
      </c>
      <c r="H267" s="31" t="str">
        <f aca="false">IF(F267="","",IFERROR(INDEX(請求台帳!$D$5:$D$504,MATCH(F267,請求台帳!$A$5:$A$504,0)),""))</f>
        <v/>
      </c>
      <c r="I267" s="27" t="str">
        <f aca="false">IF(F267="","",IFERROR(INDEX(請求台帳!$F$5:$F$504,MATCH(F267,請求台帳!$A$5:$A$504,0)),""))</f>
        <v/>
      </c>
      <c r="J267" s="28" t="str">
        <f aca="false">IF(COUNTA(B267,D267,E267,F267)=0,"",IF(OR(B267="",E267=""),"要入力",IF(N(B267)&gt;設定!$C$5,"日付誤り",IF(F267="","未消込",IF(ISNA(MATCH(F267,請求台帳!$A$5:$A$504,0)),"番号誤り",IF(INDEX(請求台帳!$Q$5:$Q$504,MATCH(F267,請求台帳!$A$5:$A$504,0))="取消","取消請求へ消込","消込済"))))))</f>
        <v/>
      </c>
      <c r="K267" s="26"/>
      <c r="L267" s="26"/>
    </row>
    <row r="268" customFormat="false" ht="15" hidden="false" customHeight="false" outlineLevel="0" collapsed="false">
      <c r="A268" s="31" t="str">
        <f aca="false">IF(COUNTA(B268,D268,E268,F268)=0,"",ROW()-4)</f>
        <v/>
      </c>
      <c r="B268" s="22"/>
      <c r="C268" s="26"/>
      <c r="D268" s="26"/>
      <c r="E268" s="18"/>
      <c r="F268" s="26"/>
      <c r="G268" s="31" t="str">
        <f aca="false">IF(F268="","",IFERROR(INDEX(請求台帳!$C$5:$C$504,MATCH(F268,請求台帳!$A$5:$A$504,0)),""))</f>
        <v/>
      </c>
      <c r="H268" s="31" t="str">
        <f aca="false">IF(F268="","",IFERROR(INDEX(請求台帳!$D$5:$D$504,MATCH(F268,請求台帳!$A$5:$A$504,0)),""))</f>
        <v/>
      </c>
      <c r="I268" s="27" t="str">
        <f aca="false">IF(F268="","",IFERROR(INDEX(請求台帳!$F$5:$F$504,MATCH(F268,請求台帳!$A$5:$A$504,0)),""))</f>
        <v/>
      </c>
      <c r="J268" s="28" t="str">
        <f aca="false">IF(COUNTA(B268,D268,E268,F268)=0,"",IF(OR(B268="",E268=""),"要入力",IF(N(B268)&gt;設定!$C$5,"日付誤り",IF(F268="","未消込",IF(ISNA(MATCH(F268,請求台帳!$A$5:$A$504,0)),"番号誤り",IF(INDEX(請求台帳!$Q$5:$Q$504,MATCH(F268,請求台帳!$A$5:$A$504,0))="取消","取消請求へ消込","消込済"))))))</f>
        <v/>
      </c>
      <c r="K268" s="26"/>
      <c r="L268" s="26"/>
    </row>
    <row r="269" customFormat="false" ht="15" hidden="false" customHeight="false" outlineLevel="0" collapsed="false">
      <c r="A269" s="31" t="str">
        <f aca="false">IF(COUNTA(B269,D269,E269,F269)=0,"",ROW()-4)</f>
        <v/>
      </c>
      <c r="B269" s="22"/>
      <c r="C269" s="26"/>
      <c r="D269" s="26"/>
      <c r="E269" s="18"/>
      <c r="F269" s="26"/>
      <c r="G269" s="31" t="str">
        <f aca="false">IF(F269="","",IFERROR(INDEX(請求台帳!$C$5:$C$504,MATCH(F269,請求台帳!$A$5:$A$504,0)),""))</f>
        <v/>
      </c>
      <c r="H269" s="31" t="str">
        <f aca="false">IF(F269="","",IFERROR(INDEX(請求台帳!$D$5:$D$504,MATCH(F269,請求台帳!$A$5:$A$504,0)),""))</f>
        <v/>
      </c>
      <c r="I269" s="27" t="str">
        <f aca="false">IF(F269="","",IFERROR(INDEX(請求台帳!$F$5:$F$504,MATCH(F269,請求台帳!$A$5:$A$504,0)),""))</f>
        <v/>
      </c>
      <c r="J269" s="28" t="str">
        <f aca="false">IF(COUNTA(B269,D269,E269,F269)=0,"",IF(OR(B269="",E269=""),"要入力",IF(N(B269)&gt;設定!$C$5,"日付誤り",IF(F269="","未消込",IF(ISNA(MATCH(F269,請求台帳!$A$5:$A$504,0)),"番号誤り",IF(INDEX(請求台帳!$Q$5:$Q$504,MATCH(F269,請求台帳!$A$5:$A$504,0))="取消","取消請求へ消込","消込済"))))))</f>
        <v/>
      </c>
      <c r="K269" s="26"/>
      <c r="L269" s="26"/>
    </row>
    <row r="270" customFormat="false" ht="15" hidden="false" customHeight="false" outlineLevel="0" collapsed="false">
      <c r="A270" s="31" t="str">
        <f aca="false">IF(COUNTA(B270,D270,E270,F270)=0,"",ROW()-4)</f>
        <v/>
      </c>
      <c r="B270" s="22"/>
      <c r="C270" s="26"/>
      <c r="D270" s="26"/>
      <c r="E270" s="18"/>
      <c r="F270" s="26"/>
      <c r="G270" s="31" t="str">
        <f aca="false">IF(F270="","",IFERROR(INDEX(請求台帳!$C$5:$C$504,MATCH(F270,請求台帳!$A$5:$A$504,0)),""))</f>
        <v/>
      </c>
      <c r="H270" s="31" t="str">
        <f aca="false">IF(F270="","",IFERROR(INDEX(請求台帳!$D$5:$D$504,MATCH(F270,請求台帳!$A$5:$A$504,0)),""))</f>
        <v/>
      </c>
      <c r="I270" s="27" t="str">
        <f aca="false">IF(F270="","",IFERROR(INDEX(請求台帳!$F$5:$F$504,MATCH(F270,請求台帳!$A$5:$A$504,0)),""))</f>
        <v/>
      </c>
      <c r="J270" s="28" t="str">
        <f aca="false">IF(COUNTA(B270,D270,E270,F270)=0,"",IF(OR(B270="",E270=""),"要入力",IF(N(B270)&gt;設定!$C$5,"日付誤り",IF(F270="","未消込",IF(ISNA(MATCH(F270,請求台帳!$A$5:$A$504,0)),"番号誤り",IF(INDEX(請求台帳!$Q$5:$Q$504,MATCH(F270,請求台帳!$A$5:$A$504,0))="取消","取消請求へ消込","消込済"))))))</f>
        <v/>
      </c>
      <c r="K270" s="26"/>
      <c r="L270" s="26"/>
    </row>
    <row r="271" customFormat="false" ht="15" hidden="false" customHeight="false" outlineLevel="0" collapsed="false">
      <c r="A271" s="31" t="str">
        <f aca="false">IF(COUNTA(B271,D271,E271,F271)=0,"",ROW()-4)</f>
        <v/>
      </c>
      <c r="B271" s="22"/>
      <c r="C271" s="26"/>
      <c r="D271" s="26"/>
      <c r="E271" s="18"/>
      <c r="F271" s="26"/>
      <c r="G271" s="31" t="str">
        <f aca="false">IF(F271="","",IFERROR(INDEX(請求台帳!$C$5:$C$504,MATCH(F271,請求台帳!$A$5:$A$504,0)),""))</f>
        <v/>
      </c>
      <c r="H271" s="31" t="str">
        <f aca="false">IF(F271="","",IFERROR(INDEX(請求台帳!$D$5:$D$504,MATCH(F271,請求台帳!$A$5:$A$504,0)),""))</f>
        <v/>
      </c>
      <c r="I271" s="27" t="str">
        <f aca="false">IF(F271="","",IFERROR(INDEX(請求台帳!$F$5:$F$504,MATCH(F271,請求台帳!$A$5:$A$504,0)),""))</f>
        <v/>
      </c>
      <c r="J271" s="28" t="str">
        <f aca="false">IF(COUNTA(B271,D271,E271,F271)=0,"",IF(OR(B271="",E271=""),"要入力",IF(N(B271)&gt;設定!$C$5,"日付誤り",IF(F271="","未消込",IF(ISNA(MATCH(F271,請求台帳!$A$5:$A$504,0)),"番号誤り",IF(INDEX(請求台帳!$Q$5:$Q$504,MATCH(F271,請求台帳!$A$5:$A$504,0))="取消","取消請求へ消込","消込済"))))))</f>
        <v/>
      </c>
      <c r="K271" s="26"/>
      <c r="L271" s="26"/>
    </row>
    <row r="272" customFormat="false" ht="15" hidden="false" customHeight="false" outlineLevel="0" collapsed="false">
      <c r="A272" s="31" t="str">
        <f aca="false">IF(COUNTA(B272,D272,E272,F272)=0,"",ROW()-4)</f>
        <v/>
      </c>
      <c r="B272" s="22"/>
      <c r="C272" s="26"/>
      <c r="D272" s="26"/>
      <c r="E272" s="18"/>
      <c r="F272" s="26"/>
      <c r="G272" s="31" t="str">
        <f aca="false">IF(F272="","",IFERROR(INDEX(請求台帳!$C$5:$C$504,MATCH(F272,請求台帳!$A$5:$A$504,0)),""))</f>
        <v/>
      </c>
      <c r="H272" s="31" t="str">
        <f aca="false">IF(F272="","",IFERROR(INDEX(請求台帳!$D$5:$D$504,MATCH(F272,請求台帳!$A$5:$A$504,0)),""))</f>
        <v/>
      </c>
      <c r="I272" s="27" t="str">
        <f aca="false">IF(F272="","",IFERROR(INDEX(請求台帳!$F$5:$F$504,MATCH(F272,請求台帳!$A$5:$A$504,0)),""))</f>
        <v/>
      </c>
      <c r="J272" s="28" t="str">
        <f aca="false">IF(COUNTA(B272,D272,E272,F272)=0,"",IF(OR(B272="",E272=""),"要入力",IF(N(B272)&gt;設定!$C$5,"日付誤り",IF(F272="","未消込",IF(ISNA(MATCH(F272,請求台帳!$A$5:$A$504,0)),"番号誤り",IF(INDEX(請求台帳!$Q$5:$Q$504,MATCH(F272,請求台帳!$A$5:$A$504,0))="取消","取消請求へ消込","消込済"))))))</f>
        <v/>
      </c>
      <c r="K272" s="26"/>
      <c r="L272" s="26"/>
    </row>
    <row r="273" customFormat="false" ht="15" hidden="false" customHeight="false" outlineLevel="0" collapsed="false">
      <c r="A273" s="31" t="str">
        <f aca="false">IF(COUNTA(B273,D273,E273,F273)=0,"",ROW()-4)</f>
        <v/>
      </c>
      <c r="B273" s="22"/>
      <c r="C273" s="26"/>
      <c r="D273" s="26"/>
      <c r="E273" s="18"/>
      <c r="F273" s="26"/>
      <c r="G273" s="31" t="str">
        <f aca="false">IF(F273="","",IFERROR(INDEX(請求台帳!$C$5:$C$504,MATCH(F273,請求台帳!$A$5:$A$504,0)),""))</f>
        <v/>
      </c>
      <c r="H273" s="31" t="str">
        <f aca="false">IF(F273="","",IFERROR(INDEX(請求台帳!$D$5:$D$504,MATCH(F273,請求台帳!$A$5:$A$504,0)),""))</f>
        <v/>
      </c>
      <c r="I273" s="27" t="str">
        <f aca="false">IF(F273="","",IFERROR(INDEX(請求台帳!$F$5:$F$504,MATCH(F273,請求台帳!$A$5:$A$504,0)),""))</f>
        <v/>
      </c>
      <c r="J273" s="28" t="str">
        <f aca="false">IF(COUNTA(B273,D273,E273,F273)=0,"",IF(OR(B273="",E273=""),"要入力",IF(N(B273)&gt;設定!$C$5,"日付誤り",IF(F273="","未消込",IF(ISNA(MATCH(F273,請求台帳!$A$5:$A$504,0)),"番号誤り",IF(INDEX(請求台帳!$Q$5:$Q$504,MATCH(F273,請求台帳!$A$5:$A$504,0))="取消","取消請求へ消込","消込済"))))))</f>
        <v/>
      </c>
      <c r="K273" s="26"/>
      <c r="L273" s="26"/>
    </row>
    <row r="274" customFormat="false" ht="15" hidden="false" customHeight="false" outlineLevel="0" collapsed="false">
      <c r="A274" s="31" t="str">
        <f aca="false">IF(COUNTA(B274,D274,E274,F274)=0,"",ROW()-4)</f>
        <v/>
      </c>
      <c r="B274" s="22"/>
      <c r="C274" s="26"/>
      <c r="D274" s="26"/>
      <c r="E274" s="18"/>
      <c r="F274" s="26"/>
      <c r="G274" s="31" t="str">
        <f aca="false">IF(F274="","",IFERROR(INDEX(請求台帳!$C$5:$C$504,MATCH(F274,請求台帳!$A$5:$A$504,0)),""))</f>
        <v/>
      </c>
      <c r="H274" s="31" t="str">
        <f aca="false">IF(F274="","",IFERROR(INDEX(請求台帳!$D$5:$D$504,MATCH(F274,請求台帳!$A$5:$A$504,0)),""))</f>
        <v/>
      </c>
      <c r="I274" s="27" t="str">
        <f aca="false">IF(F274="","",IFERROR(INDEX(請求台帳!$F$5:$F$504,MATCH(F274,請求台帳!$A$5:$A$504,0)),""))</f>
        <v/>
      </c>
      <c r="J274" s="28" t="str">
        <f aca="false">IF(COUNTA(B274,D274,E274,F274)=0,"",IF(OR(B274="",E274=""),"要入力",IF(N(B274)&gt;設定!$C$5,"日付誤り",IF(F274="","未消込",IF(ISNA(MATCH(F274,請求台帳!$A$5:$A$504,0)),"番号誤り",IF(INDEX(請求台帳!$Q$5:$Q$504,MATCH(F274,請求台帳!$A$5:$A$504,0))="取消","取消請求へ消込","消込済"))))))</f>
        <v/>
      </c>
      <c r="K274" s="26"/>
      <c r="L274" s="26"/>
    </row>
    <row r="275" customFormat="false" ht="15" hidden="false" customHeight="false" outlineLevel="0" collapsed="false">
      <c r="A275" s="31" t="str">
        <f aca="false">IF(COUNTA(B275,D275,E275,F275)=0,"",ROW()-4)</f>
        <v/>
      </c>
      <c r="B275" s="22"/>
      <c r="C275" s="26"/>
      <c r="D275" s="26"/>
      <c r="E275" s="18"/>
      <c r="F275" s="26"/>
      <c r="G275" s="31" t="str">
        <f aca="false">IF(F275="","",IFERROR(INDEX(請求台帳!$C$5:$C$504,MATCH(F275,請求台帳!$A$5:$A$504,0)),""))</f>
        <v/>
      </c>
      <c r="H275" s="31" t="str">
        <f aca="false">IF(F275="","",IFERROR(INDEX(請求台帳!$D$5:$D$504,MATCH(F275,請求台帳!$A$5:$A$504,0)),""))</f>
        <v/>
      </c>
      <c r="I275" s="27" t="str">
        <f aca="false">IF(F275="","",IFERROR(INDEX(請求台帳!$F$5:$F$504,MATCH(F275,請求台帳!$A$5:$A$504,0)),""))</f>
        <v/>
      </c>
      <c r="J275" s="28" t="str">
        <f aca="false">IF(COUNTA(B275,D275,E275,F275)=0,"",IF(OR(B275="",E275=""),"要入力",IF(N(B275)&gt;設定!$C$5,"日付誤り",IF(F275="","未消込",IF(ISNA(MATCH(F275,請求台帳!$A$5:$A$504,0)),"番号誤り",IF(INDEX(請求台帳!$Q$5:$Q$504,MATCH(F275,請求台帳!$A$5:$A$504,0))="取消","取消請求へ消込","消込済"))))))</f>
        <v/>
      </c>
      <c r="K275" s="26"/>
      <c r="L275" s="26"/>
    </row>
    <row r="276" customFormat="false" ht="15" hidden="false" customHeight="false" outlineLevel="0" collapsed="false">
      <c r="A276" s="31" t="str">
        <f aca="false">IF(COUNTA(B276,D276,E276,F276)=0,"",ROW()-4)</f>
        <v/>
      </c>
      <c r="B276" s="22"/>
      <c r="C276" s="26"/>
      <c r="D276" s="26"/>
      <c r="E276" s="18"/>
      <c r="F276" s="26"/>
      <c r="G276" s="31" t="str">
        <f aca="false">IF(F276="","",IFERROR(INDEX(請求台帳!$C$5:$C$504,MATCH(F276,請求台帳!$A$5:$A$504,0)),""))</f>
        <v/>
      </c>
      <c r="H276" s="31" t="str">
        <f aca="false">IF(F276="","",IFERROR(INDEX(請求台帳!$D$5:$D$504,MATCH(F276,請求台帳!$A$5:$A$504,0)),""))</f>
        <v/>
      </c>
      <c r="I276" s="27" t="str">
        <f aca="false">IF(F276="","",IFERROR(INDEX(請求台帳!$F$5:$F$504,MATCH(F276,請求台帳!$A$5:$A$504,0)),""))</f>
        <v/>
      </c>
      <c r="J276" s="28" t="str">
        <f aca="false">IF(COUNTA(B276,D276,E276,F276)=0,"",IF(OR(B276="",E276=""),"要入力",IF(N(B276)&gt;設定!$C$5,"日付誤り",IF(F276="","未消込",IF(ISNA(MATCH(F276,請求台帳!$A$5:$A$504,0)),"番号誤り",IF(INDEX(請求台帳!$Q$5:$Q$504,MATCH(F276,請求台帳!$A$5:$A$504,0))="取消","取消請求へ消込","消込済"))))))</f>
        <v/>
      </c>
      <c r="K276" s="26"/>
      <c r="L276" s="26"/>
    </row>
    <row r="277" customFormat="false" ht="15" hidden="false" customHeight="false" outlineLevel="0" collapsed="false">
      <c r="A277" s="31" t="str">
        <f aca="false">IF(COUNTA(B277,D277,E277,F277)=0,"",ROW()-4)</f>
        <v/>
      </c>
      <c r="B277" s="22"/>
      <c r="C277" s="26"/>
      <c r="D277" s="26"/>
      <c r="E277" s="18"/>
      <c r="F277" s="26"/>
      <c r="G277" s="31" t="str">
        <f aca="false">IF(F277="","",IFERROR(INDEX(請求台帳!$C$5:$C$504,MATCH(F277,請求台帳!$A$5:$A$504,0)),""))</f>
        <v/>
      </c>
      <c r="H277" s="31" t="str">
        <f aca="false">IF(F277="","",IFERROR(INDEX(請求台帳!$D$5:$D$504,MATCH(F277,請求台帳!$A$5:$A$504,0)),""))</f>
        <v/>
      </c>
      <c r="I277" s="27" t="str">
        <f aca="false">IF(F277="","",IFERROR(INDEX(請求台帳!$F$5:$F$504,MATCH(F277,請求台帳!$A$5:$A$504,0)),""))</f>
        <v/>
      </c>
      <c r="J277" s="28" t="str">
        <f aca="false">IF(COUNTA(B277,D277,E277,F277)=0,"",IF(OR(B277="",E277=""),"要入力",IF(N(B277)&gt;設定!$C$5,"日付誤り",IF(F277="","未消込",IF(ISNA(MATCH(F277,請求台帳!$A$5:$A$504,0)),"番号誤り",IF(INDEX(請求台帳!$Q$5:$Q$504,MATCH(F277,請求台帳!$A$5:$A$504,0))="取消","取消請求へ消込","消込済"))))))</f>
        <v/>
      </c>
      <c r="K277" s="26"/>
      <c r="L277" s="26"/>
    </row>
    <row r="278" customFormat="false" ht="15" hidden="false" customHeight="false" outlineLevel="0" collapsed="false">
      <c r="A278" s="31" t="str">
        <f aca="false">IF(COUNTA(B278,D278,E278,F278)=0,"",ROW()-4)</f>
        <v/>
      </c>
      <c r="B278" s="22"/>
      <c r="C278" s="26"/>
      <c r="D278" s="26"/>
      <c r="E278" s="18"/>
      <c r="F278" s="26"/>
      <c r="G278" s="31" t="str">
        <f aca="false">IF(F278="","",IFERROR(INDEX(請求台帳!$C$5:$C$504,MATCH(F278,請求台帳!$A$5:$A$504,0)),""))</f>
        <v/>
      </c>
      <c r="H278" s="31" t="str">
        <f aca="false">IF(F278="","",IFERROR(INDEX(請求台帳!$D$5:$D$504,MATCH(F278,請求台帳!$A$5:$A$504,0)),""))</f>
        <v/>
      </c>
      <c r="I278" s="27" t="str">
        <f aca="false">IF(F278="","",IFERROR(INDEX(請求台帳!$F$5:$F$504,MATCH(F278,請求台帳!$A$5:$A$504,0)),""))</f>
        <v/>
      </c>
      <c r="J278" s="28" t="str">
        <f aca="false">IF(COUNTA(B278,D278,E278,F278)=0,"",IF(OR(B278="",E278=""),"要入力",IF(N(B278)&gt;設定!$C$5,"日付誤り",IF(F278="","未消込",IF(ISNA(MATCH(F278,請求台帳!$A$5:$A$504,0)),"番号誤り",IF(INDEX(請求台帳!$Q$5:$Q$504,MATCH(F278,請求台帳!$A$5:$A$504,0))="取消","取消請求へ消込","消込済"))))))</f>
        <v/>
      </c>
      <c r="K278" s="26"/>
      <c r="L278" s="26"/>
    </row>
    <row r="279" customFormat="false" ht="15" hidden="false" customHeight="false" outlineLevel="0" collapsed="false">
      <c r="A279" s="31" t="str">
        <f aca="false">IF(COUNTA(B279,D279,E279,F279)=0,"",ROW()-4)</f>
        <v/>
      </c>
      <c r="B279" s="22"/>
      <c r="C279" s="26"/>
      <c r="D279" s="26"/>
      <c r="E279" s="18"/>
      <c r="F279" s="26"/>
      <c r="G279" s="31" t="str">
        <f aca="false">IF(F279="","",IFERROR(INDEX(請求台帳!$C$5:$C$504,MATCH(F279,請求台帳!$A$5:$A$504,0)),""))</f>
        <v/>
      </c>
      <c r="H279" s="31" t="str">
        <f aca="false">IF(F279="","",IFERROR(INDEX(請求台帳!$D$5:$D$504,MATCH(F279,請求台帳!$A$5:$A$504,0)),""))</f>
        <v/>
      </c>
      <c r="I279" s="27" t="str">
        <f aca="false">IF(F279="","",IFERROR(INDEX(請求台帳!$F$5:$F$504,MATCH(F279,請求台帳!$A$5:$A$504,0)),""))</f>
        <v/>
      </c>
      <c r="J279" s="28" t="str">
        <f aca="false">IF(COUNTA(B279,D279,E279,F279)=0,"",IF(OR(B279="",E279=""),"要入力",IF(N(B279)&gt;設定!$C$5,"日付誤り",IF(F279="","未消込",IF(ISNA(MATCH(F279,請求台帳!$A$5:$A$504,0)),"番号誤り",IF(INDEX(請求台帳!$Q$5:$Q$504,MATCH(F279,請求台帳!$A$5:$A$504,0))="取消","取消請求へ消込","消込済"))))))</f>
        <v/>
      </c>
      <c r="K279" s="26"/>
      <c r="L279" s="26"/>
    </row>
    <row r="280" customFormat="false" ht="15" hidden="false" customHeight="false" outlineLevel="0" collapsed="false">
      <c r="A280" s="31" t="str">
        <f aca="false">IF(COUNTA(B280,D280,E280,F280)=0,"",ROW()-4)</f>
        <v/>
      </c>
      <c r="B280" s="22"/>
      <c r="C280" s="26"/>
      <c r="D280" s="26"/>
      <c r="E280" s="18"/>
      <c r="F280" s="26"/>
      <c r="G280" s="31" t="str">
        <f aca="false">IF(F280="","",IFERROR(INDEX(請求台帳!$C$5:$C$504,MATCH(F280,請求台帳!$A$5:$A$504,0)),""))</f>
        <v/>
      </c>
      <c r="H280" s="31" t="str">
        <f aca="false">IF(F280="","",IFERROR(INDEX(請求台帳!$D$5:$D$504,MATCH(F280,請求台帳!$A$5:$A$504,0)),""))</f>
        <v/>
      </c>
      <c r="I280" s="27" t="str">
        <f aca="false">IF(F280="","",IFERROR(INDEX(請求台帳!$F$5:$F$504,MATCH(F280,請求台帳!$A$5:$A$504,0)),""))</f>
        <v/>
      </c>
      <c r="J280" s="28" t="str">
        <f aca="false">IF(COUNTA(B280,D280,E280,F280)=0,"",IF(OR(B280="",E280=""),"要入力",IF(N(B280)&gt;設定!$C$5,"日付誤り",IF(F280="","未消込",IF(ISNA(MATCH(F280,請求台帳!$A$5:$A$504,0)),"番号誤り",IF(INDEX(請求台帳!$Q$5:$Q$504,MATCH(F280,請求台帳!$A$5:$A$504,0))="取消","取消請求へ消込","消込済"))))))</f>
        <v/>
      </c>
      <c r="K280" s="26"/>
      <c r="L280" s="26"/>
    </row>
    <row r="281" customFormat="false" ht="15" hidden="false" customHeight="false" outlineLevel="0" collapsed="false">
      <c r="A281" s="31" t="str">
        <f aca="false">IF(COUNTA(B281,D281,E281,F281)=0,"",ROW()-4)</f>
        <v/>
      </c>
      <c r="B281" s="22"/>
      <c r="C281" s="26"/>
      <c r="D281" s="26"/>
      <c r="E281" s="18"/>
      <c r="F281" s="26"/>
      <c r="G281" s="31" t="str">
        <f aca="false">IF(F281="","",IFERROR(INDEX(請求台帳!$C$5:$C$504,MATCH(F281,請求台帳!$A$5:$A$504,0)),""))</f>
        <v/>
      </c>
      <c r="H281" s="31" t="str">
        <f aca="false">IF(F281="","",IFERROR(INDEX(請求台帳!$D$5:$D$504,MATCH(F281,請求台帳!$A$5:$A$504,0)),""))</f>
        <v/>
      </c>
      <c r="I281" s="27" t="str">
        <f aca="false">IF(F281="","",IFERROR(INDEX(請求台帳!$F$5:$F$504,MATCH(F281,請求台帳!$A$5:$A$504,0)),""))</f>
        <v/>
      </c>
      <c r="J281" s="28" t="str">
        <f aca="false">IF(COUNTA(B281,D281,E281,F281)=0,"",IF(OR(B281="",E281=""),"要入力",IF(N(B281)&gt;設定!$C$5,"日付誤り",IF(F281="","未消込",IF(ISNA(MATCH(F281,請求台帳!$A$5:$A$504,0)),"番号誤り",IF(INDEX(請求台帳!$Q$5:$Q$504,MATCH(F281,請求台帳!$A$5:$A$504,0))="取消","取消請求へ消込","消込済"))))))</f>
        <v/>
      </c>
      <c r="K281" s="26"/>
      <c r="L281" s="26"/>
    </row>
    <row r="282" customFormat="false" ht="15" hidden="false" customHeight="false" outlineLevel="0" collapsed="false">
      <c r="A282" s="31" t="str">
        <f aca="false">IF(COUNTA(B282,D282,E282,F282)=0,"",ROW()-4)</f>
        <v/>
      </c>
      <c r="B282" s="22"/>
      <c r="C282" s="26"/>
      <c r="D282" s="26"/>
      <c r="E282" s="18"/>
      <c r="F282" s="26"/>
      <c r="G282" s="31" t="str">
        <f aca="false">IF(F282="","",IFERROR(INDEX(請求台帳!$C$5:$C$504,MATCH(F282,請求台帳!$A$5:$A$504,0)),""))</f>
        <v/>
      </c>
      <c r="H282" s="31" t="str">
        <f aca="false">IF(F282="","",IFERROR(INDEX(請求台帳!$D$5:$D$504,MATCH(F282,請求台帳!$A$5:$A$504,0)),""))</f>
        <v/>
      </c>
      <c r="I282" s="27" t="str">
        <f aca="false">IF(F282="","",IFERROR(INDEX(請求台帳!$F$5:$F$504,MATCH(F282,請求台帳!$A$5:$A$504,0)),""))</f>
        <v/>
      </c>
      <c r="J282" s="28" t="str">
        <f aca="false">IF(COUNTA(B282,D282,E282,F282)=0,"",IF(OR(B282="",E282=""),"要入力",IF(N(B282)&gt;設定!$C$5,"日付誤り",IF(F282="","未消込",IF(ISNA(MATCH(F282,請求台帳!$A$5:$A$504,0)),"番号誤り",IF(INDEX(請求台帳!$Q$5:$Q$504,MATCH(F282,請求台帳!$A$5:$A$504,0))="取消","取消請求へ消込","消込済"))))))</f>
        <v/>
      </c>
      <c r="K282" s="26"/>
      <c r="L282" s="26"/>
    </row>
    <row r="283" customFormat="false" ht="15" hidden="false" customHeight="false" outlineLevel="0" collapsed="false">
      <c r="A283" s="31" t="str">
        <f aca="false">IF(COUNTA(B283,D283,E283,F283)=0,"",ROW()-4)</f>
        <v/>
      </c>
      <c r="B283" s="22"/>
      <c r="C283" s="26"/>
      <c r="D283" s="26"/>
      <c r="E283" s="18"/>
      <c r="F283" s="26"/>
      <c r="G283" s="31" t="str">
        <f aca="false">IF(F283="","",IFERROR(INDEX(請求台帳!$C$5:$C$504,MATCH(F283,請求台帳!$A$5:$A$504,0)),""))</f>
        <v/>
      </c>
      <c r="H283" s="31" t="str">
        <f aca="false">IF(F283="","",IFERROR(INDEX(請求台帳!$D$5:$D$504,MATCH(F283,請求台帳!$A$5:$A$504,0)),""))</f>
        <v/>
      </c>
      <c r="I283" s="27" t="str">
        <f aca="false">IF(F283="","",IFERROR(INDEX(請求台帳!$F$5:$F$504,MATCH(F283,請求台帳!$A$5:$A$504,0)),""))</f>
        <v/>
      </c>
      <c r="J283" s="28" t="str">
        <f aca="false">IF(COUNTA(B283,D283,E283,F283)=0,"",IF(OR(B283="",E283=""),"要入力",IF(N(B283)&gt;設定!$C$5,"日付誤り",IF(F283="","未消込",IF(ISNA(MATCH(F283,請求台帳!$A$5:$A$504,0)),"番号誤り",IF(INDEX(請求台帳!$Q$5:$Q$504,MATCH(F283,請求台帳!$A$5:$A$504,0))="取消","取消請求へ消込","消込済"))))))</f>
        <v/>
      </c>
      <c r="K283" s="26"/>
      <c r="L283" s="26"/>
    </row>
    <row r="284" customFormat="false" ht="15" hidden="false" customHeight="false" outlineLevel="0" collapsed="false">
      <c r="A284" s="31" t="str">
        <f aca="false">IF(COUNTA(B284,D284,E284,F284)=0,"",ROW()-4)</f>
        <v/>
      </c>
      <c r="B284" s="22"/>
      <c r="C284" s="26"/>
      <c r="D284" s="26"/>
      <c r="E284" s="18"/>
      <c r="F284" s="26"/>
      <c r="G284" s="31" t="str">
        <f aca="false">IF(F284="","",IFERROR(INDEX(請求台帳!$C$5:$C$504,MATCH(F284,請求台帳!$A$5:$A$504,0)),""))</f>
        <v/>
      </c>
      <c r="H284" s="31" t="str">
        <f aca="false">IF(F284="","",IFERROR(INDEX(請求台帳!$D$5:$D$504,MATCH(F284,請求台帳!$A$5:$A$504,0)),""))</f>
        <v/>
      </c>
      <c r="I284" s="27" t="str">
        <f aca="false">IF(F284="","",IFERROR(INDEX(請求台帳!$F$5:$F$504,MATCH(F284,請求台帳!$A$5:$A$504,0)),""))</f>
        <v/>
      </c>
      <c r="J284" s="28" t="str">
        <f aca="false">IF(COUNTA(B284,D284,E284,F284)=0,"",IF(OR(B284="",E284=""),"要入力",IF(N(B284)&gt;設定!$C$5,"日付誤り",IF(F284="","未消込",IF(ISNA(MATCH(F284,請求台帳!$A$5:$A$504,0)),"番号誤り",IF(INDEX(請求台帳!$Q$5:$Q$504,MATCH(F284,請求台帳!$A$5:$A$504,0))="取消","取消請求へ消込","消込済"))))))</f>
        <v/>
      </c>
      <c r="K284" s="26"/>
      <c r="L284" s="26"/>
    </row>
    <row r="285" customFormat="false" ht="15" hidden="false" customHeight="false" outlineLevel="0" collapsed="false">
      <c r="A285" s="31" t="str">
        <f aca="false">IF(COUNTA(B285,D285,E285,F285)=0,"",ROW()-4)</f>
        <v/>
      </c>
      <c r="B285" s="22"/>
      <c r="C285" s="26"/>
      <c r="D285" s="26"/>
      <c r="E285" s="18"/>
      <c r="F285" s="26"/>
      <c r="G285" s="31" t="str">
        <f aca="false">IF(F285="","",IFERROR(INDEX(請求台帳!$C$5:$C$504,MATCH(F285,請求台帳!$A$5:$A$504,0)),""))</f>
        <v/>
      </c>
      <c r="H285" s="31" t="str">
        <f aca="false">IF(F285="","",IFERROR(INDEX(請求台帳!$D$5:$D$504,MATCH(F285,請求台帳!$A$5:$A$504,0)),""))</f>
        <v/>
      </c>
      <c r="I285" s="27" t="str">
        <f aca="false">IF(F285="","",IFERROR(INDEX(請求台帳!$F$5:$F$504,MATCH(F285,請求台帳!$A$5:$A$504,0)),""))</f>
        <v/>
      </c>
      <c r="J285" s="28" t="str">
        <f aca="false">IF(COUNTA(B285,D285,E285,F285)=0,"",IF(OR(B285="",E285=""),"要入力",IF(N(B285)&gt;設定!$C$5,"日付誤り",IF(F285="","未消込",IF(ISNA(MATCH(F285,請求台帳!$A$5:$A$504,0)),"番号誤り",IF(INDEX(請求台帳!$Q$5:$Q$504,MATCH(F285,請求台帳!$A$5:$A$504,0))="取消","取消請求へ消込","消込済"))))))</f>
        <v/>
      </c>
      <c r="K285" s="26"/>
      <c r="L285" s="26"/>
    </row>
    <row r="286" customFormat="false" ht="15" hidden="false" customHeight="false" outlineLevel="0" collapsed="false">
      <c r="A286" s="31" t="str">
        <f aca="false">IF(COUNTA(B286,D286,E286,F286)=0,"",ROW()-4)</f>
        <v/>
      </c>
      <c r="B286" s="22"/>
      <c r="C286" s="26"/>
      <c r="D286" s="26"/>
      <c r="E286" s="18"/>
      <c r="F286" s="26"/>
      <c r="G286" s="31" t="str">
        <f aca="false">IF(F286="","",IFERROR(INDEX(請求台帳!$C$5:$C$504,MATCH(F286,請求台帳!$A$5:$A$504,0)),""))</f>
        <v/>
      </c>
      <c r="H286" s="31" t="str">
        <f aca="false">IF(F286="","",IFERROR(INDEX(請求台帳!$D$5:$D$504,MATCH(F286,請求台帳!$A$5:$A$504,0)),""))</f>
        <v/>
      </c>
      <c r="I286" s="27" t="str">
        <f aca="false">IF(F286="","",IFERROR(INDEX(請求台帳!$F$5:$F$504,MATCH(F286,請求台帳!$A$5:$A$504,0)),""))</f>
        <v/>
      </c>
      <c r="J286" s="28" t="str">
        <f aca="false">IF(COUNTA(B286,D286,E286,F286)=0,"",IF(OR(B286="",E286=""),"要入力",IF(N(B286)&gt;設定!$C$5,"日付誤り",IF(F286="","未消込",IF(ISNA(MATCH(F286,請求台帳!$A$5:$A$504,0)),"番号誤り",IF(INDEX(請求台帳!$Q$5:$Q$504,MATCH(F286,請求台帳!$A$5:$A$504,0))="取消","取消請求へ消込","消込済"))))))</f>
        <v/>
      </c>
      <c r="K286" s="26"/>
      <c r="L286" s="26"/>
    </row>
    <row r="287" customFormat="false" ht="15" hidden="false" customHeight="false" outlineLevel="0" collapsed="false">
      <c r="A287" s="31" t="str">
        <f aca="false">IF(COUNTA(B287,D287,E287,F287)=0,"",ROW()-4)</f>
        <v/>
      </c>
      <c r="B287" s="22"/>
      <c r="C287" s="26"/>
      <c r="D287" s="26"/>
      <c r="E287" s="18"/>
      <c r="F287" s="26"/>
      <c r="G287" s="31" t="str">
        <f aca="false">IF(F287="","",IFERROR(INDEX(請求台帳!$C$5:$C$504,MATCH(F287,請求台帳!$A$5:$A$504,0)),""))</f>
        <v/>
      </c>
      <c r="H287" s="31" t="str">
        <f aca="false">IF(F287="","",IFERROR(INDEX(請求台帳!$D$5:$D$504,MATCH(F287,請求台帳!$A$5:$A$504,0)),""))</f>
        <v/>
      </c>
      <c r="I287" s="27" t="str">
        <f aca="false">IF(F287="","",IFERROR(INDEX(請求台帳!$F$5:$F$504,MATCH(F287,請求台帳!$A$5:$A$504,0)),""))</f>
        <v/>
      </c>
      <c r="J287" s="28" t="str">
        <f aca="false">IF(COUNTA(B287,D287,E287,F287)=0,"",IF(OR(B287="",E287=""),"要入力",IF(N(B287)&gt;設定!$C$5,"日付誤り",IF(F287="","未消込",IF(ISNA(MATCH(F287,請求台帳!$A$5:$A$504,0)),"番号誤り",IF(INDEX(請求台帳!$Q$5:$Q$504,MATCH(F287,請求台帳!$A$5:$A$504,0))="取消","取消請求へ消込","消込済"))))))</f>
        <v/>
      </c>
      <c r="K287" s="26"/>
      <c r="L287" s="26"/>
    </row>
    <row r="288" customFormat="false" ht="15" hidden="false" customHeight="false" outlineLevel="0" collapsed="false">
      <c r="A288" s="31" t="str">
        <f aca="false">IF(COUNTA(B288,D288,E288,F288)=0,"",ROW()-4)</f>
        <v/>
      </c>
      <c r="B288" s="22"/>
      <c r="C288" s="26"/>
      <c r="D288" s="26"/>
      <c r="E288" s="18"/>
      <c r="F288" s="26"/>
      <c r="G288" s="31" t="str">
        <f aca="false">IF(F288="","",IFERROR(INDEX(請求台帳!$C$5:$C$504,MATCH(F288,請求台帳!$A$5:$A$504,0)),""))</f>
        <v/>
      </c>
      <c r="H288" s="31" t="str">
        <f aca="false">IF(F288="","",IFERROR(INDEX(請求台帳!$D$5:$D$504,MATCH(F288,請求台帳!$A$5:$A$504,0)),""))</f>
        <v/>
      </c>
      <c r="I288" s="27" t="str">
        <f aca="false">IF(F288="","",IFERROR(INDEX(請求台帳!$F$5:$F$504,MATCH(F288,請求台帳!$A$5:$A$504,0)),""))</f>
        <v/>
      </c>
      <c r="J288" s="28" t="str">
        <f aca="false">IF(COUNTA(B288,D288,E288,F288)=0,"",IF(OR(B288="",E288=""),"要入力",IF(N(B288)&gt;設定!$C$5,"日付誤り",IF(F288="","未消込",IF(ISNA(MATCH(F288,請求台帳!$A$5:$A$504,0)),"番号誤り",IF(INDEX(請求台帳!$Q$5:$Q$504,MATCH(F288,請求台帳!$A$5:$A$504,0))="取消","取消請求へ消込","消込済"))))))</f>
        <v/>
      </c>
      <c r="K288" s="26"/>
      <c r="L288" s="26"/>
    </row>
    <row r="289" customFormat="false" ht="15" hidden="false" customHeight="false" outlineLevel="0" collapsed="false">
      <c r="A289" s="31" t="str">
        <f aca="false">IF(COUNTA(B289,D289,E289,F289)=0,"",ROW()-4)</f>
        <v/>
      </c>
      <c r="B289" s="22"/>
      <c r="C289" s="26"/>
      <c r="D289" s="26"/>
      <c r="E289" s="18"/>
      <c r="F289" s="26"/>
      <c r="G289" s="31" t="str">
        <f aca="false">IF(F289="","",IFERROR(INDEX(請求台帳!$C$5:$C$504,MATCH(F289,請求台帳!$A$5:$A$504,0)),""))</f>
        <v/>
      </c>
      <c r="H289" s="31" t="str">
        <f aca="false">IF(F289="","",IFERROR(INDEX(請求台帳!$D$5:$D$504,MATCH(F289,請求台帳!$A$5:$A$504,0)),""))</f>
        <v/>
      </c>
      <c r="I289" s="27" t="str">
        <f aca="false">IF(F289="","",IFERROR(INDEX(請求台帳!$F$5:$F$504,MATCH(F289,請求台帳!$A$5:$A$504,0)),""))</f>
        <v/>
      </c>
      <c r="J289" s="28" t="str">
        <f aca="false">IF(COUNTA(B289,D289,E289,F289)=0,"",IF(OR(B289="",E289=""),"要入力",IF(N(B289)&gt;設定!$C$5,"日付誤り",IF(F289="","未消込",IF(ISNA(MATCH(F289,請求台帳!$A$5:$A$504,0)),"番号誤り",IF(INDEX(請求台帳!$Q$5:$Q$504,MATCH(F289,請求台帳!$A$5:$A$504,0))="取消","取消請求へ消込","消込済"))))))</f>
        <v/>
      </c>
      <c r="K289" s="26"/>
      <c r="L289" s="26"/>
    </row>
    <row r="290" customFormat="false" ht="15" hidden="false" customHeight="false" outlineLevel="0" collapsed="false">
      <c r="A290" s="31" t="str">
        <f aca="false">IF(COUNTA(B290,D290,E290,F290)=0,"",ROW()-4)</f>
        <v/>
      </c>
      <c r="B290" s="22"/>
      <c r="C290" s="26"/>
      <c r="D290" s="26"/>
      <c r="E290" s="18"/>
      <c r="F290" s="26"/>
      <c r="G290" s="31" t="str">
        <f aca="false">IF(F290="","",IFERROR(INDEX(請求台帳!$C$5:$C$504,MATCH(F290,請求台帳!$A$5:$A$504,0)),""))</f>
        <v/>
      </c>
      <c r="H290" s="31" t="str">
        <f aca="false">IF(F290="","",IFERROR(INDEX(請求台帳!$D$5:$D$504,MATCH(F290,請求台帳!$A$5:$A$504,0)),""))</f>
        <v/>
      </c>
      <c r="I290" s="27" t="str">
        <f aca="false">IF(F290="","",IFERROR(INDEX(請求台帳!$F$5:$F$504,MATCH(F290,請求台帳!$A$5:$A$504,0)),""))</f>
        <v/>
      </c>
      <c r="J290" s="28" t="str">
        <f aca="false">IF(COUNTA(B290,D290,E290,F290)=0,"",IF(OR(B290="",E290=""),"要入力",IF(N(B290)&gt;設定!$C$5,"日付誤り",IF(F290="","未消込",IF(ISNA(MATCH(F290,請求台帳!$A$5:$A$504,0)),"番号誤り",IF(INDEX(請求台帳!$Q$5:$Q$504,MATCH(F290,請求台帳!$A$5:$A$504,0))="取消","取消請求へ消込","消込済"))))))</f>
        <v/>
      </c>
      <c r="K290" s="26"/>
      <c r="L290" s="26"/>
    </row>
    <row r="291" customFormat="false" ht="15" hidden="false" customHeight="false" outlineLevel="0" collapsed="false">
      <c r="A291" s="31" t="str">
        <f aca="false">IF(COUNTA(B291,D291,E291,F291)=0,"",ROW()-4)</f>
        <v/>
      </c>
      <c r="B291" s="22"/>
      <c r="C291" s="26"/>
      <c r="D291" s="26"/>
      <c r="E291" s="18"/>
      <c r="F291" s="26"/>
      <c r="G291" s="31" t="str">
        <f aca="false">IF(F291="","",IFERROR(INDEX(請求台帳!$C$5:$C$504,MATCH(F291,請求台帳!$A$5:$A$504,0)),""))</f>
        <v/>
      </c>
      <c r="H291" s="31" t="str">
        <f aca="false">IF(F291="","",IFERROR(INDEX(請求台帳!$D$5:$D$504,MATCH(F291,請求台帳!$A$5:$A$504,0)),""))</f>
        <v/>
      </c>
      <c r="I291" s="27" t="str">
        <f aca="false">IF(F291="","",IFERROR(INDEX(請求台帳!$F$5:$F$504,MATCH(F291,請求台帳!$A$5:$A$504,0)),""))</f>
        <v/>
      </c>
      <c r="J291" s="28" t="str">
        <f aca="false">IF(COUNTA(B291,D291,E291,F291)=0,"",IF(OR(B291="",E291=""),"要入力",IF(N(B291)&gt;設定!$C$5,"日付誤り",IF(F291="","未消込",IF(ISNA(MATCH(F291,請求台帳!$A$5:$A$504,0)),"番号誤り",IF(INDEX(請求台帳!$Q$5:$Q$504,MATCH(F291,請求台帳!$A$5:$A$504,0))="取消","取消請求へ消込","消込済"))))))</f>
        <v/>
      </c>
      <c r="K291" s="26"/>
      <c r="L291" s="26"/>
    </row>
    <row r="292" customFormat="false" ht="15" hidden="false" customHeight="false" outlineLevel="0" collapsed="false">
      <c r="A292" s="31" t="str">
        <f aca="false">IF(COUNTA(B292,D292,E292,F292)=0,"",ROW()-4)</f>
        <v/>
      </c>
      <c r="B292" s="22"/>
      <c r="C292" s="26"/>
      <c r="D292" s="26"/>
      <c r="E292" s="18"/>
      <c r="F292" s="26"/>
      <c r="G292" s="31" t="str">
        <f aca="false">IF(F292="","",IFERROR(INDEX(請求台帳!$C$5:$C$504,MATCH(F292,請求台帳!$A$5:$A$504,0)),""))</f>
        <v/>
      </c>
      <c r="H292" s="31" t="str">
        <f aca="false">IF(F292="","",IFERROR(INDEX(請求台帳!$D$5:$D$504,MATCH(F292,請求台帳!$A$5:$A$504,0)),""))</f>
        <v/>
      </c>
      <c r="I292" s="27" t="str">
        <f aca="false">IF(F292="","",IFERROR(INDEX(請求台帳!$F$5:$F$504,MATCH(F292,請求台帳!$A$5:$A$504,0)),""))</f>
        <v/>
      </c>
      <c r="J292" s="28" t="str">
        <f aca="false">IF(COUNTA(B292,D292,E292,F292)=0,"",IF(OR(B292="",E292=""),"要入力",IF(N(B292)&gt;設定!$C$5,"日付誤り",IF(F292="","未消込",IF(ISNA(MATCH(F292,請求台帳!$A$5:$A$504,0)),"番号誤り",IF(INDEX(請求台帳!$Q$5:$Q$504,MATCH(F292,請求台帳!$A$5:$A$504,0))="取消","取消請求へ消込","消込済"))))))</f>
        <v/>
      </c>
      <c r="K292" s="26"/>
      <c r="L292" s="26"/>
    </row>
    <row r="293" customFormat="false" ht="15" hidden="false" customHeight="false" outlineLevel="0" collapsed="false">
      <c r="A293" s="31" t="str">
        <f aca="false">IF(COUNTA(B293,D293,E293,F293)=0,"",ROW()-4)</f>
        <v/>
      </c>
      <c r="B293" s="22"/>
      <c r="C293" s="26"/>
      <c r="D293" s="26"/>
      <c r="E293" s="18"/>
      <c r="F293" s="26"/>
      <c r="G293" s="31" t="str">
        <f aca="false">IF(F293="","",IFERROR(INDEX(請求台帳!$C$5:$C$504,MATCH(F293,請求台帳!$A$5:$A$504,0)),""))</f>
        <v/>
      </c>
      <c r="H293" s="31" t="str">
        <f aca="false">IF(F293="","",IFERROR(INDEX(請求台帳!$D$5:$D$504,MATCH(F293,請求台帳!$A$5:$A$504,0)),""))</f>
        <v/>
      </c>
      <c r="I293" s="27" t="str">
        <f aca="false">IF(F293="","",IFERROR(INDEX(請求台帳!$F$5:$F$504,MATCH(F293,請求台帳!$A$5:$A$504,0)),""))</f>
        <v/>
      </c>
      <c r="J293" s="28" t="str">
        <f aca="false">IF(COUNTA(B293,D293,E293,F293)=0,"",IF(OR(B293="",E293=""),"要入力",IF(N(B293)&gt;設定!$C$5,"日付誤り",IF(F293="","未消込",IF(ISNA(MATCH(F293,請求台帳!$A$5:$A$504,0)),"番号誤り",IF(INDEX(請求台帳!$Q$5:$Q$504,MATCH(F293,請求台帳!$A$5:$A$504,0))="取消","取消請求へ消込","消込済"))))))</f>
        <v/>
      </c>
      <c r="K293" s="26"/>
      <c r="L293" s="26"/>
    </row>
    <row r="294" customFormat="false" ht="15" hidden="false" customHeight="false" outlineLevel="0" collapsed="false">
      <c r="A294" s="31" t="str">
        <f aca="false">IF(COUNTA(B294,D294,E294,F294)=0,"",ROW()-4)</f>
        <v/>
      </c>
      <c r="B294" s="22"/>
      <c r="C294" s="26"/>
      <c r="D294" s="26"/>
      <c r="E294" s="18"/>
      <c r="F294" s="26"/>
      <c r="G294" s="31" t="str">
        <f aca="false">IF(F294="","",IFERROR(INDEX(請求台帳!$C$5:$C$504,MATCH(F294,請求台帳!$A$5:$A$504,0)),""))</f>
        <v/>
      </c>
      <c r="H294" s="31" t="str">
        <f aca="false">IF(F294="","",IFERROR(INDEX(請求台帳!$D$5:$D$504,MATCH(F294,請求台帳!$A$5:$A$504,0)),""))</f>
        <v/>
      </c>
      <c r="I294" s="27" t="str">
        <f aca="false">IF(F294="","",IFERROR(INDEX(請求台帳!$F$5:$F$504,MATCH(F294,請求台帳!$A$5:$A$504,0)),""))</f>
        <v/>
      </c>
      <c r="J294" s="28" t="str">
        <f aca="false">IF(COUNTA(B294,D294,E294,F294)=0,"",IF(OR(B294="",E294=""),"要入力",IF(N(B294)&gt;設定!$C$5,"日付誤り",IF(F294="","未消込",IF(ISNA(MATCH(F294,請求台帳!$A$5:$A$504,0)),"番号誤り",IF(INDEX(請求台帳!$Q$5:$Q$504,MATCH(F294,請求台帳!$A$5:$A$504,0))="取消","取消請求へ消込","消込済"))))))</f>
        <v/>
      </c>
      <c r="K294" s="26"/>
      <c r="L294" s="26"/>
    </row>
    <row r="295" customFormat="false" ht="15" hidden="false" customHeight="false" outlineLevel="0" collapsed="false">
      <c r="A295" s="31" t="str">
        <f aca="false">IF(COUNTA(B295,D295,E295,F295)=0,"",ROW()-4)</f>
        <v/>
      </c>
      <c r="B295" s="22"/>
      <c r="C295" s="26"/>
      <c r="D295" s="26"/>
      <c r="E295" s="18"/>
      <c r="F295" s="26"/>
      <c r="G295" s="31" t="str">
        <f aca="false">IF(F295="","",IFERROR(INDEX(請求台帳!$C$5:$C$504,MATCH(F295,請求台帳!$A$5:$A$504,0)),""))</f>
        <v/>
      </c>
      <c r="H295" s="31" t="str">
        <f aca="false">IF(F295="","",IFERROR(INDEX(請求台帳!$D$5:$D$504,MATCH(F295,請求台帳!$A$5:$A$504,0)),""))</f>
        <v/>
      </c>
      <c r="I295" s="27" t="str">
        <f aca="false">IF(F295="","",IFERROR(INDEX(請求台帳!$F$5:$F$504,MATCH(F295,請求台帳!$A$5:$A$504,0)),""))</f>
        <v/>
      </c>
      <c r="J295" s="28" t="str">
        <f aca="false">IF(COUNTA(B295,D295,E295,F295)=0,"",IF(OR(B295="",E295=""),"要入力",IF(N(B295)&gt;設定!$C$5,"日付誤り",IF(F295="","未消込",IF(ISNA(MATCH(F295,請求台帳!$A$5:$A$504,0)),"番号誤り",IF(INDEX(請求台帳!$Q$5:$Q$504,MATCH(F295,請求台帳!$A$5:$A$504,0))="取消","取消請求へ消込","消込済"))))))</f>
        <v/>
      </c>
      <c r="K295" s="26"/>
      <c r="L295" s="26"/>
    </row>
    <row r="296" customFormat="false" ht="15" hidden="false" customHeight="false" outlineLevel="0" collapsed="false">
      <c r="A296" s="31" t="str">
        <f aca="false">IF(COUNTA(B296,D296,E296,F296)=0,"",ROW()-4)</f>
        <v/>
      </c>
      <c r="B296" s="22"/>
      <c r="C296" s="26"/>
      <c r="D296" s="26"/>
      <c r="E296" s="18"/>
      <c r="F296" s="26"/>
      <c r="G296" s="31" t="str">
        <f aca="false">IF(F296="","",IFERROR(INDEX(請求台帳!$C$5:$C$504,MATCH(F296,請求台帳!$A$5:$A$504,0)),""))</f>
        <v/>
      </c>
      <c r="H296" s="31" t="str">
        <f aca="false">IF(F296="","",IFERROR(INDEX(請求台帳!$D$5:$D$504,MATCH(F296,請求台帳!$A$5:$A$504,0)),""))</f>
        <v/>
      </c>
      <c r="I296" s="27" t="str">
        <f aca="false">IF(F296="","",IFERROR(INDEX(請求台帳!$F$5:$F$504,MATCH(F296,請求台帳!$A$5:$A$504,0)),""))</f>
        <v/>
      </c>
      <c r="J296" s="28" t="str">
        <f aca="false">IF(COUNTA(B296,D296,E296,F296)=0,"",IF(OR(B296="",E296=""),"要入力",IF(N(B296)&gt;設定!$C$5,"日付誤り",IF(F296="","未消込",IF(ISNA(MATCH(F296,請求台帳!$A$5:$A$504,0)),"番号誤り",IF(INDEX(請求台帳!$Q$5:$Q$504,MATCH(F296,請求台帳!$A$5:$A$504,0))="取消","取消請求へ消込","消込済"))))))</f>
        <v/>
      </c>
      <c r="K296" s="26"/>
      <c r="L296" s="26"/>
    </row>
    <row r="297" customFormat="false" ht="15" hidden="false" customHeight="false" outlineLevel="0" collapsed="false">
      <c r="A297" s="31" t="str">
        <f aca="false">IF(COUNTA(B297,D297,E297,F297)=0,"",ROW()-4)</f>
        <v/>
      </c>
      <c r="B297" s="22"/>
      <c r="C297" s="26"/>
      <c r="D297" s="26"/>
      <c r="E297" s="18"/>
      <c r="F297" s="26"/>
      <c r="G297" s="31" t="str">
        <f aca="false">IF(F297="","",IFERROR(INDEX(請求台帳!$C$5:$C$504,MATCH(F297,請求台帳!$A$5:$A$504,0)),""))</f>
        <v/>
      </c>
      <c r="H297" s="31" t="str">
        <f aca="false">IF(F297="","",IFERROR(INDEX(請求台帳!$D$5:$D$504,MATCH(F297,請求台帳!$A$5:$A$504,0)),""))</f>
        <v/>
      </c>
      <c r="I297" s="27" t="str">
        <f aca="false">IF(F297="","",IFERROR(INDEX(請求台帳!$F$5:$F$504,MATCH(F297,請求台帳!$A$5:$A$504,0)),""))</f>
        <v/>
      </c>
      <c r="J297" s="28" t="str">
        <f aca="false">IF(COUNTA(B297,D297,E297,F297)=0,"",IF(OR(B297="",E297=""),"要入力",IF(N(B297)&gt;設定!$C$5,"日付誤り",IF(F297="","未消込",IF(ISNA(MATCH(F297,請求台帳!$A$5:$A$504,0)),"番号誤り",IF(INDEX(請求台帳!$Q$5:$Q$504,MATCH(F297,請求台帳!$A$5:$A$504,0))="取消","取消請求へ消込","消込済"))))))</f>
        <v/>
      </c>
      <c r="K297" s="26"/>
      <c r="L297" s="26"/>
    </row>
    <row r="298" customFormat="false" ht="15" hidden="false" customHeight="false" outlineLevel="0" collapsed="false">
      <c r="A298" s="31" t="str">
        <f aca="false">IF(COUNTA(B298,D298,E298,F298)=0,"",ROW()-4)</f>
        <v/>
      </c>
      <c r="B298" s="22"/>
      <c r="C298" s="26"/>
      <c r="D298" s="26"/>
      <c r="E298" s="18"/>
      <c r="F298" s="26"/>
      <c r="G298" s="31" t="str">
        <f aca="false">IF(F298="","",IFERROR(INDEX(請求台帳!$C$5:$C$504,MATCH(F298,請求台帳!$A$5:$A$504,0)),""))</f>
        <v/>
      </c>
      <c r="H298" s="31" t="str">
        <f aca="false">IF(F298="","",IFERROR(INDEX(請求台帳!$D$5:$D$504,MATCH(F298,請求台帳!$A$5:$A$504,0)),""))</f>
        <v/>
      </c>
      <c r="I298" s="27" t="str">
        <f aca="false">IF(F298="","",IFERROR(INDEX(請求台帳!$F$5:$F$504,MATCH(F298,請求台帳!$A$5:$A$504,0)),""))</f>
        <v/>
      </c>
      <c r="J298" s="28" t="str">
        <f aca="false">IF(COUNTA(B298,D298,E298,F298)=0,"",IF(OR(B298="",E298=""),"要入力",IF(N(B298)&gt;設定!$C$5,"日付誤り",IF(F298="","未消込",IF(ISNA(MATCH(F298,請求台帳!$A$5:$A$504,0)),"番号誤り",IF(INDEX(請求台帳!$Q$5:$Q$504,MATCH(F298,請求台帳!$A$5:$A$504,0))="取消","取消請求へ消込","消込済"))))))</f>
        <v/>
      </c>
      <c r="K298" s="26"/>
      <c r="L298" s="26"/>
    </row>
    <row r="299" customFormat="false" ht="15" hidden="false" customHeight="false" outlineLevel="0" collapsed="false">
      <c r="A299" s="31" t="str">
        <f aca="false">IF(COUNTA(B299,D299,E299,F299)=0,"",ROW()-4)</f>
        <v/>
      </c>
      <c r="B299" s="22"/>
      <c r="C299" s="26"/>
      <c r="D299" s="26"/>
      <c r="E299" s="18"/>
      <c r="F299" s="26"/>
      <c r="G299" s="31" t="str">
        <f aca="false">IF(F299="","",IFERROR(INDEX(請求台帳!$C$5:$C$504,MATCH(F299,請求台帳!$A$5:$A$504,0)),""))</f>
        <v/>
      </c>
      <c r="H299" s="31" t="str">
        <f aca="false">IF(F299="","",IFERROR(INDEX(請求台帳!$D$5:$D$504,MATCH(F299,請求台帳!$A$5:$A$504,0)),""))</f>
        <v/>
      </c>
      <c r="I299" s="27" t="str">
        <f aca="false">IF(F299="","",IFERROR(INDEX(請求台帳!$F$5:$F$504,MATCH(F299,請求台帳!$A$5:$A$504,0)),""))</f>
        <v/>
      </c>
      <c r="J299" s="28" t="str">
        <f aca="false">IF(COUNTA(B299,D299,E299,F299)=0,"",IF(OR(B299="",E299=""),"要入力",IF(N(B299)&gt;設定!$C$5,"日付誤り",IF(F299="","未消込",IF(ISNA(MATCH(F299,請求台帳!$A$5:$A$504,0)),"番号誤り",IF(INDEX(請求台帳!$Q$5:$Q$504,MATCH(F299,請求台帳!$A$5:$A$504,0))="取消","取消請求へ消込","消込済"))))))</f>
        <v/>
      </c>
      <c r="K299" s="26"/>
      <c r="L299" s="26"/>
    </row>
    <row r="300" customFormat="false" ht="15" hidden="false" customHeight="false" outlineLevel="0" collapsed="false">
      <c r="A300" s="31" t="str">
        <f aca="false">IF(COUNTA(B300,D300,E300,F300)=0,"",ROW()-4)</f>
        <v/>
      </c>
      <c r="B300" s="22"/>
      <c r="C300" s="26"/>
      <c r="D300" s="26"/>
      <c r="E300" s="18"/>
      <c r="F300" s="26"/>
      <c r="G300" s="31" t="str">
        <f aca="false">IF(F300="","",IFERROR(INDEX(請求台帳!$C$5:$C$504,MATCH(F300,請求台帳!$A$5:$A$504,0)),""))</f>
        <v/>
      </c>
      <c r="H300" s="31" t="str">
        <f aca="false">IF(F300="","",IFERROR(INDEX(請求台帳!$D$5:$D$504,MATCH(F300,請求台帳!$A$5:$A$504,0)),""))</f>
        <v/>
      </c>
      <c r="I300" s="27" t="str">
        <f aca="false">IF(F300="","",IFERROR(INDEX(請求台帳!$F$5:$F$504,MATCH(F300,請求台帳!$A$5:$A$504,0)),""))</f>
        <v/>
      </c>
      <c r="J300" s="28" t="str">
        <f aca="false">IF(COUNTA(B300,D300,E300,F300)=0,"",IF(OR(B300="",E300=""),"要入力",IF(N(B300)&gt;設定!$C$5,"日付誤り",IF(F300="","未消込",IF(ISNA(MATCH(F300,請求台帳!$A$5:$A$504,0)),"番号誤り",IF(INDEX(請求台帳!$Q$5:$Q$504,MATCH(F300,請求台帳!$A$5:$A$504,0))="取消","取消請求へ消込","消込済"))))))</f>
        <v/>
      </c>
      <c r="K300" s="26"/>
      <c r="L300" s="26"/>
    </row>
    <row r="301" customFormat="false" ht="15" hidden="false" customHeight="false" outlineLevel="0" collapsed="false">
      <c r="A301" s="31" t="str">
        <f aca="false">IF(COUNTA(B301,D301,E301,F301)=0,"",ROW()-4)</f>
        <v/>
      </c>
      <c r="B301" s="22"/>
      <c r="C301" s="26"/>
      <c r="D301" s="26"/>
      <c r="E301" s="18"/>
      <c r="F301" s="26"/>
      <c r="G301" s="31" t="str">
        <f aca="false">IF(F301="","",IFERROR(INDEX(請求台帳!$C$5:$C$504,MATCH(F301,請求台帳!$A$5:$A$504,0)),""))</f>
        <v/>
      </c>
      <c r="H301" s="31" t="str">
        <f aca="false">IF(F301="","",IFERROR(INDEX(請求台帳!$D$5:$D$504,MATCH(F301,請求台帳!$A$5:$A$504,0)),""))</f>
        <v/>
      </c>
      <c r="I301" s="27" t="str">
        <f aca="false">IF(F301="","",IFERROR(INDEX(請求台帳!$F$5:$F$504,MATCH(F301,請求台帳!$A$5:$A$504,0)),""))</f>
        <v/>
      </c>
      <c r="J301" s="28" t="str">
        <f aca="false">IF(COUNTA(B301,D301,E301,F301)=0,"",IF(OR(B301="",E301=""),"要入力",IF(N(B301)&gt;設定!$C$5,"日付誤り",IF(F301="","未消込",IF(ISNA(MATCH(F301,請求台帳!$A$5:$A$504,0)),"番号誤り",IF(INDEX(請求台帳!$Q$5:$Q$504,MATCH(F301,請求台帳!$A$5:$A$504,0))="取消","取消請求へ消込","消込済"))))))</f>
        <v/>
      </c>
      <c r="K301" s="26"/>
      <c r="L301" s="26"/>
    </row>
    <row r="302" customFormat="false" ht="15" hidden="false" customHeight="false" outlineLevel="0" collapsed="false">
      <c r="A302" s="31" t="str">
        <f aca="false">IF(COUNTA(B302,D302,E302,F302)=0,"",ROW()-4)</f>
        <v/>
      </c>
      <c r="B302" s="22"/>
      <c r="C302" s="26"/>
      <c r="D302" s="26"/>
      <c r="E302" s="18"/>
      <c r="F302" s="26"/>
      <c r="G302" s="31" t="str">
        <f aca="false">IF(F302="","",IFERROR(INDEX(請求台帳!$C$5:$C$504,MATCH(F302,請求台帳!$A$5:$A$504,0)),""))</f>
        <v/>
      </c>
      <c r="H302" s="31" t="str">
        <f aca="false">IF(F302="","",IFERROR(INDEX(請求台帳!$D$5:$D$504,MATCH(F302,請求台帳!$A$5:$A$504,0)),""))</f>
        <v/>
      </c>
      <c r="I302" s="27" t="str">
        <f aca="false">IF(F302="","",IFERROR(INDEX(請求台帳!$F$5:$F$504,MATCH(F302,請求台帳!$A$5:$A$504,0)),""))</f>
        <v/>
      </c>
      <c r="J302" s="28" t="str">
        <f aca="false">IF(COUNTA(B302,D302,E302,F302)=0,"",IF(OR(B302="",E302=""),"要入力",IF(N(B302)&gt;設定!$C$5,"日付誤り",IF(F302="","未消込",IF(ISNA(MATCH(F302,請求台帳!$A$5:$A$504,0)),"番号誤り",IF(INDEX(請求台帳!$Q$5:$Q$504,MATCH(F302,請求台帳!$A$5:$A$504,0))="取消","取消請求へ消込","消込済"))))))</f>
        <v/>
      </c>
      <c r="K302" s="26"/>
      <c r="L302" s="26"/>
    </row>
    <row r="303" customFormat="false" ht="15" hidden="false" customHeight="false" outlineLevel="0" collapsed="false">
      <c r="A303" s="31" t="str">
        <f aca="false">IF(COUNTA(B303,D303,E303,F303)=0,"",ROW()-4)</f>
        <v/>
      </c>
      <c r="B303" s="22"/>
      <c r="C303" s="26"/>
      <c r="D303" s="26"/>
      <c r="E303" s="18"/>
      <c r="F303" s="26"/>
      <c r="G303" s="31" t="str">
        <f aca="false">IF(F303="","",IFERROR(INDEX(請求台帳!$C$5:$C$504,MATCH(F303,請求台帳!$A$5:$A$504,0)),""))</f>
        <v/>
      </c>
      <c r="H303" s="31" t="str">
        <f aca="false">IF(F303="","",IFERROR(INDEX(請求台帳!$D$5:$D$504,MATCH(F303,請求台帳!$A$5:$A$504,0)),""))</f>
        <v/>
      </c>
      <c r="I303" s="27" t="str">
        <f aca="false">IF(F303="","",IFERROR(INDEX(請求台帳!$F$5:$F$504,MATCH(F303,請求台帳!$A$5:$A$504,0)),""))</f>
        <v/>
      </c>
      <c r="J303" s="28" t="str">
        <f aca="false">IF(COUNTA(B303,D303,E303,F303)=0,"",IF(OR(B303="",E303=""),"要入力",IF(N(B303)&gt;設定!$C$5,"日付誤り",IF(F303="","未消込",IF(ISNA(MATCH(F303,請求台帳!$A$5:$A$504,0)),"番号誤り",IF(INDEX(請求台帳!$Q$5:$Q$504,MATCH(F303,請求台帳!$A$5:$A$504,0))="取消","取消請求へ消込","消込済"))))))</f>
        <v/>
      </c>
      <c r="K303" s="26"/>
      <c r="L303" s="26"/>
    </row>
    <row r="304" customFormat="false" ht="15" hidden="false" customHeight="false" outlineLevel="0" collapsed="false">
      <c r="A304" s="31" t="str">
        <f aca="false">IF(COUNTA(B304,D304,E304,F304)=0,"",ROW()-4)</f>
        <v/>
      </c>
      <c r="B304" s="22"/>
      <c r="C304" s="26"/>
      <c r="D304" s="26"/>
      <c r="E304" s="18"/>
      <c r="F304" s="26"/>
      <c r="G304" s="31" t="str">
        <f aca="false">IF(F304="","",IFERROR(INDEX(請求台帳!$C$5:$C$504,MATCH(F304,請求台帳!$A$5:$A$504,0)),""))</f>
        <v/>
      </c>
      <c r="H304" s="31" t="str">
        <f aca="false">IF(F304="","",IFERROR(INDEX(請求台帳!$D$5:$D$504,MATCH(F304,請求台帳!$A$5:$A$504,0)),""))</f>
        <v/>
      </c>
      <c r="I304" s="27" t="str">
        <f aca="false">IF(F304="","",IFERROR(INDEX(請求台帳!$F$5:$F$504,MATCH(F304,請求台帳!$A$5:$A$504,0)),""))</f>
        <v/>
      </c>
      <c r="J304" s="28" t="str">
        <f aca="false">IF(COUNTA(B304,D304,E304,F304)=0,"",IF(OR(B304="",E304=""),"要入力",IF(N(B304)&gt;設定!$C$5,"日付誤り",IF(F304="","未消込",IF(ISNA(MATCH(F304,請求台帳!$A$5:$A$504,0)),"番号誤り",IF(INDEX(請求台帳!$Q$5:$Q$504,MATCH(F304,請求台帳!$A$5:$A$504,0))="取消","取消請求へ消込","消込済"))))))</f>
        <v/>
      </c>
      <c r="K304" s="26"/>
      <c r="L304" s="26"/>
    </row>
    <row r="305" customFormat="false" ht="15" hidden="false" customHeight="false" outlineLevel="0" collapsed="false">
      <c r="A305" s="31" t="str">
        <f aca="false">IF(COUNTA(B305,D305,E305,F305)=0,"",ROW()-4)</f>
        <v/>
      </c>
      <c r="B305" s="22"/>
      <c r="C305" s="26"/>
      <c r="D305" s="26"/>
      <c r="E305" s="18"/>
      <c r="F305" s="26"/>
      <c r="G305" s="31" t="str">
        <f aca="false">IF(F305="","",IFERROR(INDEX(請求台帳!$C$5:$C$504,MATCH(F305,請求台帳!$A$5:$A$504,0)),""))</f>
        <v/>
      </c>
      <c r="H305" s="31" t="str">
        <f aca="false">IF(F305="","",IFERROR(INDEX(請求台帳!$D$5:$D$504,MATCH(F305,請求台帳!$A$5:$A$504,0)),""))</f>
        <v/>
      </c>
      <c r="I305" s="27" t="str">
        <f aca="false">IF(F305="","",IFERROR(INDEX(請求台帳!$F$5:$F$504,MATCH(F305,請求台帳!$A$5:$A$504,0)),""))</f>
        <v/>
      </c>
      <c r="J305" s="28" t="str">
        <f aca="false">IF(COUNTA(B305,D305,E305,F305)=0,"",IF(OR(B305="",E305=""),"要入力",IF(N(B305)&gt;設定!$C$5,"日付誤り",IF(F305="","未消込",IF(ISNA(MATCH(F305,請求台帳!$A$5:$A$504,0)),"番号誤り",IF(INDEX(請求台帳!$Q$5:$Q$504,MATCH(F305,請求台帳!$A$5:$A$504,0))="取消","取消請求へ消込","消込済"))))))</f>
        <v/>
      </c>
      <c r="K305" s="26"/>
      <c r="L305" s="26"/>
    </row>
    <row r="306" customFormat="false" ht="15" hidden="false" customHeight="false" outlineLevel="0" collapsed="false">
      <c r="A306" s="31" t="str">
        <f aca="false">IF(COUNTA(B306,D306,E306,F306)=0,"",ROW()-4)</f>
        <v/>
      </c>
      <c r="B306" s="22"/>
      <c r="C306" s="26"/>
      <c r="D306" s="26"/>
      <c r="E306" s="18"/>
      <c r="F306" s="26"/>
      <c r="G306" s="31" t="str">
        <f aca="false">IF(F306="","",IFERROR(INDEX(請求台帳!$C$5:$C$504,MATCH(F306,請求台帳!$A$5:$A$504,0)),""))</f>
        <v/>
      </c>
      <c r="H306" s="31" t="str">
        <f aca="false">IF(F306="","",IFERROR(INDEX(請求台帳!$D$5:$D$504,MATCH(F306,請求台帳!$A$5:$A$504,0)),""))</f>
        <v/>
      </c>
      <c r="I306" s="27" t="str">
        <f aca="false">IF(F306="","",IFERROR(INDEX(請求台帳!$F$5:$F$504,MATCH(F306,請求台帳!$A$5:$A$504,0)),""))</f>
        <v/>
      </c>
      <c r="J306" s="28" t="str">
        <f aca="false">IF(COUNTA(B306,D306,E306,F306)=0,"",IF(OR(B306="",E306=""),"要入力",IF(N(B306)&gt;設定!$C$5,"日付誤り",IF(F306="","未消込",IF(ISNA(MATCH(F306,請求台帳!$A$5:$A$504,0)),"番号誤り",IF(INDEX(請求台帳!$Q$5:$Q$504,MATCH(F306,請求台帳!$A$5:$A$504,0))="取消","取消請求へ消込","消込済"))))))</f>
        <v/>
      </c>
      <c r="K306" s="26"/>
      <c r="L306" s="26"/>
    </row>
    <row r="307" customFormat="false" ht="15" hidden="false" customHeight="false" outlineLevel="0" collapsed="false">
      <c r="A307" s="31" t="str">
        <f aca="false">IF(COUNTA(B307,D307,E307,F307)=0,"",ROW()-4)</f>
        <v/>
      </c>
      <c r="B307" s="22"/>
      <c r="C307" s="26"/>
      <c r="D307" s="26"/>
      <c r="E307" s="18"/>
      <c r="F307" s="26"/>
      <c r="G307" s="31" t="str">
        <f aca="false">IF(F307="","",IFERROR(INDEX(請求台帳!$C$5:$C$504,MATCH(F307,請求台帳!$A$5:$A$504,0)),""))</f>
        <v/>
      </c>
      <c r="H307" s="31" t="str">
        <f aca="false">IF(F307="","",IFERROR(INDEX(請求台帳!$D$5:$D$504,MATCH(F307,請求台帳!$A$5:$A$504,0)),""))</f>
        <v/>
      </c>
      <c r="I307" s="27" t="str">
        <f aca="false">IF(F307="","",IFERROR(INDEX(請求台帳!$F$5:$F$504,MATCH(F307,請求台帳!$A$5:$A$504,0)),""))</f>
        <v/>
      </c>
      <c r="J307" s="28" t="str">
        <f aca="false">IF(COUNTA(B307,D307,E307,F307)=0,"",IF(OR(B307="",E307=""),"要入力",IF(N(B307)&gt;設定!$C$5,"日付誤り",IF(F307="","未消込",IF(ISNA(MATCH(F307,請求台帳!$A$5:$A$504,0)),"番号誤り",IF(INDEX(請求台帳!$Q$5:$Q$504,MATCH(F307,請求台帳!$A$5:$A$504,0))="取消","取消請求へ消込","消込済"))))))</f>
        <v/>
      </c>
      <c r="K307" s="26"/>
      <c r="L307" s="26"/>
    </row>
    <row r="308" customFormat="false" ht="15" hidden="false" customHeight="false" outlineLevel="0" collapsed="false">
      <c r="A308" s="31" t="str">
        <f aca="false">IF(COUNTA(B308,D308,E308,F308)=0,"",ROW()-4)</f>
        <v/>
      </c>
      <c r="B308" s="22"/>
      <c r="C308" s="26"/>
      <c r="D308" s="26"/>
      <c r="E308" s="18"/>
      <c r="F308" s="26"/>
      <c r="G308" s="31" t="str">
        <f aca="false">IF(F308="","",IFERROR(INDEX(請求台帳!$C$5:$C$504,MATCH(F308,請求台帳!$A$5:$A$504,0)),""))</f>
        <v/>
      </c>
      <c r="H308" s="31" t="str">
        <f aca="false">IF(F308="","",IFERROR(INDEX(請求台帳!$D$5:$D$504,MATCH(F308,請求台帳!$A$5:$A$504,0)),""))</f>
        <v/>
      </c>
      <c r="I308" s="27" t="str">
        <f aca="false">IF(F308="","",IFERROR(INDEX(請求台帳!$F$5:$F$504,MATCH(F308,請求台帳!$A$5:$A$504,0)),""))</f>
        <v/>
      </c>
      <c r="J308" s="28" t="str">
        <f aca="false">IF(COUNTA(B308,D308,E308,F308)=0,"",IF(OR(B308="",E308=""),"要入力",IF(N(B308)&gt;設定!$C$5,"日付誤り",IF(F308="","未消込",IF(ISNA(MATCH(F308,請求台帳!$A$5:$A$504,0)),"番号誤り",IF(INDEX(請求台帳!$Q$5:$Q$504,MATCH(F308,請求台帳!$A$5:$A$504,0))="取消","取消請求へ消込","消込済"))))))</f>
        <v/>
      </c>
      <c r="K308" s="26"/>
      <c r="L308" s="26"/>
    </row>
    <row r="309" customFormat="false" ht="15" hidden="false" customHeight="false" outlineLevel="0" collapsed="false">
      <c r="A309" s="31" t="str">
        <f aca="false">IF(COUNTA(B309,D309,E309,F309)=0,"",ROW()-4)</f>
        <v/>
      </c>
      <c r="B309" s="22"/>
      <c r="C309" s="26"/>
      <c r="D309" s="26"/>
      <c r="E309" s="18"/>
      <c r="F309" s="26"/>
      <c r="G309" s="31" t="str">
        <f aca="false">IF(F309="","",IFERROR(INDEX(請求台帳!$C$5:$C$504,MATCH(F309,請求台帳!$A$5:$A$504,0)),""))</f>
        <v/>
      </c>
      <c r="H309" s="31" t="str">
        <f aca="false">IF(F309="","",IFERROR(INDEX(請求台帳!$D$5:$D$504,MATCH(F309,請求台帳!$A$5:$A$504,0)),""))</f>
        <v/>
      </c>
      <c r="I309" s="27" t="str">
        <f aca="false">IF(F309="","",IFERROR(INDEX(請求台帳!$F$5:$F$504,MATCH(F309,請求台帳!$A$5:$A$504,0)),""))</f>
        <v/>
      </c>
      <c r="J309" s="28" t="str">
        <f aca="false">IF(COUNTA(B309,D309,E309,F309)=0,"",IF(OR(B309="",E309=""),"要入力",IF(N(B309)&gt;設定!$C$5,"日付誤り",IF(F309="","未消込",IF(ISNA(MATCH(F309,請求台帳!$A$5:$A$504,0)),"番号誤り",IF(INDEX(請求台帳!$Q$5:$Q$504,MATCH(F309,請求台帳!$A$5:$A$504,0))="取消","取消請求へ消込","消込済"))))))</f>
        <v/>
      </c>
      <c r="K309" s="26"/>
      <c r="L309" s="26"/>
    </row>
    <row r="310" customFormat="false" ht="15" hidden="false" customHeight="false" outlineLevel="0" collapsed="false">
      <c r="A310" s="31" t="str">
        <f aca="false">IF(COUNTA(B310,D310,E310,F310)=0,"",ROW()-4)</f>
        <v/>
      </c>
      <c r="B310" s="22"/>
      <c r="C310" s="26"/>
      <c r="D310" s="26"/>
      <c r="E310" s="18"/>
      <c r="F310" s="26"/>
      <c r="G310" s="31" t="str">
        <f aca="false">IF(F310="","",IFERROR(INDEX(請求台帳!$C$5:$C$504,MATCH(F310,請求台帳!$A$5:$A$504,0)),""))</f>
        <v/>
      </c>
      <c r="H310" s="31" t="str">
        <f aca="false">IF(F310="","",IFERROR(INDEX(請求台帳!$D$5:$D$504,MATCH(F310,請求台帳!$A$5:$A$504,0)),""))</f>
        <v/>
      </c>
      <c r="I310" s="27" t="str">
        <f aca="false">IF(F310="","",IFERROR(INDEX(請求台帳!$F$5:$F$504,MATCH(F310,請求台帳!$A$5:$A$504,0)),""))</f>
        <v/>
      </c>
      <c r="J310" s="28" t="str">
        <f aca="false">IF(COUNTA(B310,D310,E310,F310)=0,"",IF(OR(B310="",E310=""),"要入力",IF(N(B310)&gt;設定!$C$5,"日付誤り",IF(F310="","未消込",IF(ISNA(MATCH(F310,請求台帳!$A$5:$A$504,0)),"番号誤り",IF(INDEX(請求台帳!$Q$5:$Q$504,MATCH(F310,請求台帳!$A$5:$A$504,0))="取消","取消請求へ消込","消込済"))))))</f>
        <v/>
      </c>
      <c r="K310" s="26"/>
      <c r="L310" s="26"/>
    </row>
    <row r="311" customFormat="false" ht="15" hidden="false" customHeight="false" outlineLevel="0" collapsed="false">
      <c r="A311" s="31" t="str">
        <f aca="false">IF(COUNTA(B311,D311,E311,F311)=0,"",ROW()-4)</f>
        <v/>
      </c>
      <c r="B311" s="22"/>
      <c r="C311" s="26"/>
      <c r="D311" s="26"/>
      <c r="E311" s="18"/>
      <c r="F311" s="26"/>
      <c r="G311" s="31" t="str">
        <f aca="false">IF(F311="","",IFERROR(INDEX(請求台帳!$C$5:$C$504,MATCH(F311,請求台帳!$A$5:$A$504,0)),""))</f>
        <v/>
      </c>
      <c r="H311" s="31" t="str">
        <f aca="false">IF(F311="","",IFERROR(INDEX(請求台帳!$D$5:$D$504,MATCH(F311,請求台帳!$A$5:$A$504,0)),""))</f>
        <v/>
      </c>
      <c r="I311" s="27" t="str">
        <f aca="false">IF(F311="","",IFERROR(INDEX(請求台帳!$F$5:$F$504,MATCH(F311,請求台帳!$A$5:$A$504,0)),""))</f>
        <v/>
      </c>
      <c r="J311" s="28" t="str">
        <f aca="false">IF(COUNTA(B311,D311,E311,F311)=0,"",IF(OR(B311="",E311=""),"要入力",IF(N(B311)&gt;設定!$C$5,"日付誤り",IF(F311="","未消込",IF(ISNA(MATCH(F311,請求台帳!$A$5:$A$504,0)),"番号誤り",IF(INDEX(請求台帳!$Q$5:$Q$504,MATCH(F311,請求台帳!$A$5:$A$504,0))="取消","取消請求へ消込","消込済"))))))</f>
        <v/>
      </c>
      <c r="K311" s="26"/>
      <c r="L311" s="26"/>
    </row>
    <row r="312" customFormat="false" ht="15" hidden="false" customHeight="false" outlineLevel="0" collapsed="false">
      <c r="A312" s="31" t="str">
        <f aca="false">IF(COUNTA(B312,D312,E312,F312)=0,"",ROW()-4)</f>
        <v/>
      </c>
      <c r="B312" s="22"/>
      <c r="C312" s="26"/>
      <c r="D312" s="26"/>
      <c r="E312" s="18"/>
      <c r="F312" s="26"/>
      <c r="G312" s="31" t="str">
        <f aca="false">IF(F312="","",IFERROR(INDEX(請求台帳!$C$5:$C$504,MATCH(F312,請求台帳!$A$5:$A$504,0)),""))</f>
        <v/>
      </c>
      <c r="H312" s="31" t="str">
        <f aca="false">IF(F312="","",IFERROR(INDEX(請求台帳!$D$5:$D$504,MATCH(F312,請求台帳!$A$5:$A$504,0)),""))</f>
        <v/>
      </c>
      <c r="I312" s="27" t="str">
        <f aca="false">IF(F312="","",IFERROR(INDEX(請求台帳!$F$5:$F$504,MATCH(F312,請求台帳!$A$5:$A$504,0)),""))</f>
        <v/>
      </c>
      <c r="J312" s="28" t="str">
        <f aca="false">IF(COUNTA(B312,D312,E312,F312)=0,"",IF(OR(B312="",E312=""),"要入力",IF(N(B312)&gt;設定!$C$5,"日付誤り",IF(F312="","未消込",IF(ISNA(MATCH(F312,請求台帳!$A$5:$A$504,0)),"番号誤り",IF(INDEX(請求台帳!$Q$5:$Q$504,MATCH(F312,請求台帳!$A$5:$A$504,0))="取消","取消請求へ消込","消込済"))))))</f>
        <v/>
      </c>
      <c r="K312" s="26"/>
      <c r="L312" s="26"/>
    </row>
    <row r="313" customFormat="false" ht="15" hidden="false" customHeight="false" outlineLevel="0" collapsed="false">
      <c r="A313" s="31" t="str">
        <f aca="false">IF(COUNTA(B313,D313,E313,F313)=0,"",ROW()-4)</f>
        <v/>
      </c>
      <c r="B313" s="22"/>
      <c r="C313" s="26"/>
      <c r="D313" s="26"/>
      <c r="E313" s="18"/>
      <c r="F313" s="26"/>
      <c r="G313" s="31" t="str">
        <f aca="false">IF(F313="","",IFERROR(INDEX(請求台帳!$C$5:$C$504,MATCH(F313,請求台帳!$A$5:$A$504,0)),""))</f>
        <v/>
      </c>
      <c r="H313" s="31" t="str">
        <f aca="false">IF(F313="","",IFERROR(INDEX(請求台帳!$D$5:$D$504,MATCH(F313,請求台帳!$A$5:$A$504,0)),""))</f>
        <v/>
      </c>
      <c r="I313" s="27" t="str">
        <f aca="false">IF(F313="","",IFERROR(INDEX(請求台帳!$F$5:$F$504,MATCH(F313,請求台帳!$A$5:$A$504,0)),""))</f>
        <v/>
      </c>
      <c r="J313" s="28" t="str">
        <f aca="false">IF(COUNTA(B313,D313,E313,F313)=0,"",IF(OR(B313="",E313=""),"要入力",IF(N(B313)&gt;設定!$C$5,"日付誤り",IF(F313="","未消込",IF(ISNA(MATCH(F313,請求台帳!$A$5:$A$504,0)),"番号誤り",IF(INDEX(請求台帳!$Q$5:$Q$504,MATCH(F313,請求台帳!$A$5:$A$504,0))="取消","取消請求へ消込","消込済"))))))</f>
        <v/>
      </c>
      <c r="K313" s="26"/>
      <c r="L313" s="26"/>
    </row>
    <row r="314" customFormat="false" ht="15" hidden="false" customHeight="false" outlineLevel="0" collapsed="false">
      <c r="A314" s="31" t="str">
        <f aca="false">IF(COUNTA(B314,D314,E314,F314)=0,"",ROW()-4)</f>
        <v/>
      </c>
      <c r="B314" s="22"/>
      <c r="C314" s="26"/>
      <c r="D314" s="26"/>
      <c r="E314" s="18"/>
      <c r="F314" s="26"/>
      <c r="G314" s="31" t="str">
        <f aca="false">IF(F314="","",IFERROR(INDEX(請求台帳!$C$5:$C$504,MATCH(F314,請求台帳!$A$5:$A$504,0)),""))</f>
        <v/>
      </c>
      <c r="H314" s="31" t="str">
        <f aca="false">IF(F314="","",IFERROR(INDEX(請求台帳!$D$5:$D$504,MATCH(F314,請求台帳!$A$5:$A$504,0)),""))</f>
        <v/>
      </c>
      <c r="I314" s="27" t="str">
        <f aca="false">IF(F314="","",IFERROR(INDEX(請求台帳!$F$5:$F$504,MATCH(F314,請求台帳!$A$5:$A$504,0)),""))</f>
        <v/>
      </c>
      <c r="J314" s="28" t="str">
        <f aca="false">IF(COUNTA(B314,D314,E314,F314)=0,"",IF(OR(B314="",E314=""),"要入力",IF(N(B314)&gt;設定!$C$5,"日付誤り",IF(F314="","未消込",IF(ISNA(MATCH(F314,請求台帳!$A$5:$A$504,0)),"番号誤り",IF(INDEX(請求台帳!$Q$5:$Q$504,MATCH(F314,請求台帳!$A$5:$A$504,0))="取消","取消請求へ消込","消込済"))))))</f>
        <v/>
      </c>
      <c r="K314" s="26"/>
      <c r="L314" s="26"/>
    </row>
    <row r="315" customFormat="false" ht="15" hidden="false" customHeight="false" outlineLevel="0" collapsed="false">
      <c r="A315" s="31" t="str">
        <f aca="false">IF(COUNTA(B315,D315,E315,F315)=0,"",ROW()-4)</f>
        <v/>
      </c>
      <c r="B315" s="22"/>
      <c r="C315" s="26"/>
      <c r="D315" s="26"/>
      <c r="E315" s="18"/>
      <c r="F315" s="26"/>
      <c r="G315" s="31" t="str">
        <f aca="false">IF(F315="","",IFERROR(INDEX(請求台帳!$C$5:$C$504,MATCH(F315,請求台帳!$A$5:$A$504,0)),""))</f>
        <v/>
      </c>
      <c r="H315" s="31" t="str">
        <f aca="false">IF(F315="","",IFERROR(INDEX(請求台帳!$D$5:$D$504,MATCH(F315,請求台帳!$A$5:$A$504,0)),""))</f>
        <v/>
      </c>
      <c r="I315" s="27" t="str">
        <f aca="false">IF(F315="","",IFERROR(INDEX(請求台帳!$F$5:$F$504,MATCH(F315,請求台帳!$A$5:$A$504,0)),""))</f>
        <v/>
      </c>
      <c r="J315" s="28" t="str">
        <f aca="false">IF(COUNTA(B315,D315,E315,F315)=0,"",IF(OR(B315="",E315=""),"要入力",IF(N(B315)&gt;設定!$C$5,"日付誤り",IF(F315="","未消込",IF(ISNA(MATCH(F315,請求台帳!$A$5:$A$504,0)),"番号誤り",IF(INDEX(請求台帳!$Q$5:$Q$504,MATCH(F315,請求台帳!$A$5:$A$504,0))="取消","取消請求へ消込","消込済"))))))</f>
        <v/>
      </c>
      <c r="K315" s="26"/>
      <c r="L315" s="26"/>
    </row>
    <row r="316" customFormat="false" ht="15" hidden="false" customHeight="false" outlineLevel="0" collapsed="false">
      <c r="A316" s="31" t="str">
        <f aca="false">IF(COUNTA(B316,D316,E316,F316)=0,"",ROW()-4)</f>
        <v/>
      </c>
      <c r="B316" s="22"/>
      <c r="C316" s="26"/>
      <c r="D316" s="26"/>
      <c r="E316" s="18"/>
      <c r="F316" s="26"/>
      <c r="G316" s="31" t="str">
        <f aca="false">IF(F316="","",IFERROR(INDEX(請求台帳!$C$5:$C$504,MATCH(F316,請求台帳!$A$5:$A$504,0)),""))</f>
        <v/>
      </c>
      <c r="H316" s="31" t="str">
        <f aca="false">IF(F316="","",IFERROR(INDEX(請求台帳!$D$5:$D$504,MATCH(F316,請求台帳!$A$5:$A$504,0)),""))</f>
        <v/>
      </c>
      <c r="I316" s="27" t="str">
        <f aca="false">IF(F316="","",IFERROR(INDEX(請求台帳!$F$5:$F$504,MATCH(F316,請求台帳!$A$5:$A$504,0)),""))</f>
        <v/>
      </c>
      <c r="J316" s="28" t="str">
        <f aca="false">IF(COUNTA(B316,D316,E316,F316)=0,"",IF(OR(B316="",E316=""),"要入力",IF(N(B316)&gt;設定!$C$5,"日付誤り",IF(F316="","未消込",IF(ISNA(MATCH(F316,請求台帳!$A$5:$A$504,0)),"番号誤り",IF(INDEX(請求台帳!$Q$5:$Q$504,MATCH(F316,請求台帳!$A$5:$A$504,0))="取消","取消請求へ消込","消込済"))))))</f>
        <v/>
      </c>
      <c r="K316" s="26"/>
      <c r="L316" s="26"/>
    </row>
    <row r="317" customFormat="false" ht="15" hidden="false" customHeight="false" outlineLevel="0" collapsed="false">
      <c r="A317" s="31" t="str">
        <f aca="false">IF(COUNTA(B317,D317,E317,F317)=0,"",ROW()-4)</f>
        <v/>
      </c>
      <c r="B317" s="22"/>
      <c r="C317" s="26"/>
      <c r="D317" s="26"/>
      <c r="E317" s="18"/>
      <c r="F317" s="26"/>
      <c r="G317" s="31" t="str">
        <f aca="false">IF(F317="","",IFERROR(INDEX(請求台帳!$C$5:$C$504,MATCH(F317,請求台帳!$A$5:$A$504,0)),""))</f>
        <v/>
      </c>
      <c r="H317" s="31" t="str">
        <f aca="false">IF(F317="","",IFERROR(INDEX(請求台帳!$D$5:$D$504,MATCH(F317,請求台帳!$A$5:$A$504,0)),""))</f>
        <v/>
      </c>
      <c r="I317" s="27" t="str">
        <f aca="false">IF(F317="","",IFERROR(INDEX(請求台帳!$F$5:$F$504,MATCH(F317,請求台帳!$A$5:$A$504,0)),""))</f>
        <v/>
      </c>
      <c r="J317" s="28" t="str">
        <f aca="false">IF(COUNTA(B317,D317,E317,F317)=0,"",IF(OR(B317="",E317=""),"要入力",IF(N(B317)&gt;設定!$C$5,"日付誤り",IF(F317="","未消込",IF(ISNA(MATCH(F317,請求台帳!$A$5:$A$504,0)),"番号誤り",IF(INDEX(請求台帳!$Q$5:$Q$504,MATCH(F317,請求台帳!$A$5:$A$504,0))="取消","取消請求へ消込","消込済"))))))</f>
        <v/>
      </c>
      <c r="K317" s="26"/>
      <c r="L317" s="26"/>
    </row>
    <row r="318" customFormat="false" ht="15" hidden="false" customHeight="false" outlineLevel="0" collapsed="false">
      <c r="A318" s="31" t="str">
        <f aca="false">IF(COUNTA(B318,D318,E318,F318)=0,"",ROW()-4)</f>
        <v/>
      </c>
      <c r="B318" s="22"/>
      <c r="C318" s="26"/>
      <c r="D318" s="26"/>
      <c r="E318" s="18"/>
      <c r="F318" s="26"/>
      <c r="G318" s="31" t="str">
        <f aca="false">IF(F318="","",IFERROR(INDEX(請求台帳!$C$5:$C$504,MATCH(F318,請求台帳!$A$5:$A$504,0)),""))</f>
        <v/>
      </c>
      <c r="H318" s="31" t="str">
        <f aca="false">IF(F318="","",IFERROR(INDEX(請求台帳!$D$5:$D$504,MATCH(F318,請求台帳!$A$5:$A$504,0)),""))</f>
        <v/>
      </c>
      <c r="I318" s="27" t="str">
        <f aca="false">IF(F318="","",IFERROR(INDEX(請求台帳!$F$5:$F$504,MATCH(F318,請求台帳!$A$5:$A$504,0)),""))</f>
        <v/>
      </c>
      <c r="J318" s="28" t="str">
        <f aca="false">IF(COUNTA(B318,D318,E318,F318)=0,"",IF(OR(B318="",E318=""),"要入力",IF(N(B318)&gt;設定!$C$5,"日付誤り",IF(F318="","未消込",IF(ISNA(MATCH(F318,請求台帳!$A$5:$A$504,0)),"番号誤り",IF(INDEX(請求台帳!$Q$5:$Q$504,MATCH(F318,請求台帳!$A$5:$A$504,0))="取消","取消請求へ消込","消込済"))))))</f>
        <v/>
      </c>
      <c r="K318" s="26"/>
      <c r="L318" s="26"/>
    </row>
    <row r="319" customFormat="false" ht="15" hidden="false" customHeight="false" outlineLevel="0" collapsed="false">
      <c r="A319" s="31" t="str">
        <f aca="false">IF(COUNTA(B319,D319,E319,F319)=0,"",ROW()-4)</f>
        <v/>
      </c>
      <c r="B319" s="22"/>
      <c r="C319" s="26"/>
      <c r="D319" s="26"/>
      <c r="E319" s="18"/>
      <c r="F319" s="26"/>
      <c r="G319" s="31" t="str">
        <f aca="false">IF(F319="","",IFERROR(INDEX(請求台帳!$C$5:$C$504,MATCH(F319,請求台帳!$A$5:$A$504,0)),""))</f>
        <v/>
      </c>
      <c r="H319" s="31" t="str">
        <f aca="false">IF(F319="","",IFERROR(INDEX(請求台帳!$D$5:$D$504,MATCH(F319,請求台帳!$A$5:$A$504,0)),""))</f>
        <v/>
      </c>
      <c r="I319" s="27" t="str">
        <f aca="false">IF(F319="","",IFERROR(INDEX(請求台帳!$F$5:$F$504,MATCH(F319,請求台帳!$A$5:$A$504,0)),""))</f>
        <v/>
      </c>
      <c r="J319" s="28" t="str">
        <f aca="false">IF(COUNTA(B319,D319,E319,F319)=0,"",IF(OR(B319="",E319=""),"要入力",IF(N(B319)&gt;設定!$C$5,"日付誤り",IF(F319="","未消込",IF(ISNA(MATCH(F319,請求台帳!$A$5:$A$504,0)),"番号誤り",IF(INDEX(請求台帳!$Q$5:$Q$504,MATCH(F319,請求台帳!$A$5:$A$504,0))="取消","取消請求へ消込","消込済"))))))</f>
        <v/>
      </c>
      <c r="K319" s="26"/>
      <c r="L319" s="26"/>
    </row>
    <row r="320" customFormat="false" ht="15" hidden="false" customHeight="false" outlineLevel="0" collapsed="false">
      <c r="A320" s="31" t="str">
        <f aca="false">IF(COUNTA(B320,D320,E320,F320)=0,"",ROW()-4)</f>
        <v/>
      </c>
      <c r="B320" s="22"/>
      <c r="C320" s="26"/>
      <c r="D320" s="26"/>
      <c r="E320" s="18"/>
      <c r="F320" s="26"/>
      <c r="G320" s="31" t="str">
        <f aca="false">IF(F320="","",IFERROR(INDEX(請求台帳!$C$5:$C$504,MATCH(F320,請求台帳!$A$5:$A$504,0)),""))</f>
        <v/>
      </c>
      <c r="H320" s="31" t="str">
        <f aca="false">IF(F320="","",IFERROR(INDEX(請求台帳!$D$5:$D$504,MATCH(F320,請求台帳!$A$5:$A$504,0)),""))</f>
        <v/>
      </c>
      <c r="I320" s="27" t="str">
        <f aca="false">IF(F320="","",IFERROR(INDEX(請求台帳!$F$5:$F$504,MATCH(F320,請求台帳!$A$5:$A$504,0)),""))</f>
        <v/>
      </c>
      <c r="J320" s="28" t="str">
        <f aca="false">IF(COUNTA(B320,D320,E320,F320)=0,"",IF(OR(B320="",E320=""),"要入力",IF(N(B320)&gt;設定!$C$5,"日付誤り",IF(F320="","未消込",IF(ISNA(MATCH(F320,請求台帳!$A$5:$A$504,0)),"番号誤り",IF(INDEX(請求台帳!$Q$5:$Q$504,MATCH(F320,請求台帳!$A$5:$A$504,0))="取消","取消請求へ消込","消込済"))))))</f>
        <v/>
      </c>
      <c r="K320" s="26"/>
      <c r="L320" s="26"/>
    </row>
    <row r="321" customFormat="false" ht="15" hidden="false" customHeight="false" outlineLevel="0" collapsed="false">
      <c r="A321" s="31" t="str">
        <f aca="false">IF(COUNTA(B321,D321,E321,F321)=0,"",ROW()-4)</f>
        <v/>
      </c>
      <c r="B321" s="22"/>
      <c r="C321" s="26"/>
      <c r="D321" s="26"/>
      <c r="E321" s="18"/>
      <c r="F321" s="26"/>
      <c r="G321" s="31" t="str">
        <f aca="false">IF(F321="","",IFERROR(INDEX(請求台帳!$C$5:$C$504,MATCH(F321,請求台帳!$A$5:$A$504,0)),""))</f>
        <v/>
      </c>
      <c r="H321" s="31" t="str">
        <f aca="false">IF(F321="","",IFERROR(INDEX(請求台帳!$D$5:$D$504,MATCH(F321,請求台帳!$A$5:$A$504,0)),""))</f>
        <v/>
      </c>
      <c r="I321" s="27" t="str">
        <f aca="false">IF(F321="","",IFERROR(INDEX(請求台帳!$F$5:$F$504,MATCH(F321,請求台帳!$A$5:$A$504,0)),""))</f>
        <v/>
      </c>
      <c r="J321" s="28" t="str">
        <f aca="false">IF(COUNTA(B321,D321,E321,F321)=0,"",IF(OR(B321="",E321=""),"要入力",IF(N(B321)&gt;設定!$C$5,"日付誤り",IF(F321="","未消込",IF(ISNA(MATCH(F321,請求台帳!$A$5:$A$504,0)),"番号誤り",IF(INDEX(請求台帳!$Q$5:$Q$504,MATCH(F321,請求台帳!$A$5:$A$504,0))="取消","取消請求へ消込","消込済"))))))</f>
        <v/>
      </c>
      <c r="K321" s="26"/>
      <c r="L321" s="26"/>
    </row>
    <row r="322" customFormat="false" ht="15" hidden="false" customHeight="false" outlineLevel="0" collapsed="false">
      <c r="A322" s="31" t="str">
        <f aca="false">IF(COUNTA(B322,D322,E322,F322)=0,"",ROW()-4)</f>
        <v/>
      </c>
      <c r="B322" s="22"/>
      <c r="C322" s="26"/>
      <c r="D322" s="26"/>
      <c r="E322" s="18"/>
      <c r="F322" s="26"/>
      <c r="G322" s="31" t="str">
        <f aca="false">IF(F322="","",IFERROR(INDEX(請求台帳!$C$5:$C$504,MATCH(F322,請求台帳!$A$5:$A$504,0)),""))</f>
        <v/>
      </c>
      <c r="H322" s="31" t="str">
        <f aca="false">IF(F322="","",IFERROR(INDEX(請求台帳!$D$5:$D$504,MATCH(F322,請求台帳!$A$5:$A$504,0)),""))</f>
        <v/>
      </c>
      <c r="I322" s="27" t="str">
        <f aca="false">IF(F322="","",IFERROR(INDEX(請求台帳!$F$5:$F$504,MATCH(F322,請求台帳!$A$5:$A$504,0)),""))</f>
        <v/>
      </c>
      <c r="J322" s="28" t="str">
        <f aca="false">IF(COUNTA(B322,D322,E322,F322)=0,"",IF(OR(B322="",E322=""),"要入力",IF(N(B322)&gt;設定!$C$5,"日付誤り",IF(F322="","未消込",IF(ISNA(MATCH(F322,請求台帳!$A$5:$A$504,0)),"番号誤り",IF(INDEX(請求台帳!$Q$5:$Q$504,MATCH(F322,請求台帳!$A$5:$A$504,0))="取消","取消請求へ消込","消込済"))))))</f>
        <v/>
      </c>
      <c r="K322" s="26"/>
      <c r="L322" s="26"/>
    </row>
    <row r="323" customFormat="false" ht="15" hidden="false" customHeight="false" outlineLevel="0" collapsed="false">
      <c r="A323" s="31" t="str">
        <f aca="false">IF(COUNTA(B323,D323,E323,F323)=0,"",ROW()-4)</f>
        <v/>
      </c>
      <c r="B323" s="22"/>
      <c r="C323" s="26"/>
      <c r="D323" s="26"/>
      <c r="E323" s="18"/>
      <c r="F323" s="26"/>
      <c r="G323" s="31" t="str">
        <f aca="false">IF(F323="","",IFERROR(INDEX(請求台帳!$C$5:$C$504,MATCH(F323,請求台帳!$A$5:$A$504,0)),""))</f>
        <v/>
      </c>
      <c r="H323" s="31" t="str">
        <f aca="false">IF(F323="","",IFERROR(INDEX(請求台帳!$D$5:$D$504,MATCH(F323,請求台帳!$A$5:$A$504,0)),""))</f>
        <v/>
      </c>
      <c r="I323" s="27" t="str">
        <f aca="false">IF(F323="","",IFERROR(INDEX(請求台帳!$F$5:$F$504,MATCH(F323,請求台帳!$A$5:$A$504,0)),""))</f>
        <v/>
      </c>
      <c r="J323" s="28" t="str">
        <f aca="false">IF(COUNTA(B323,D323,E323,F323)=0,"",IF(OR(B323="",E323=""),"要入力",IF(N(B323)&gt;設定!$C$5,"日付誤り",IF(F323="","未消込",IF(ISNA(MATCH(F323,請求台帳!$A$5:$A$504,0)),"番号誤り",IF(INDEX(請求台帳!$Q$5:$Q$504,MATCH(F323,請求台帳!$A$5:$A$504,0))="取消","取消請求へ消込","消込済"))))))</f>
        <v/>
      </c>
      <c r="K323" s="26"/>
      <c r="L323" s="26"/>
    </row>
    <row r="324" customFormat="false" ht="15" hidden="false" customHeight="false" outlineLevel="0" collapsed="false">
      <c r="A324" s="31" t="str">
        <f aca="false">IF(COUNTA(B324,D324,E324,F324)=0,"",ROW()-4)</f>
        <v/>
      </c>
      <c r="B324" s="22"/>
      <c r="C324" s="26"/>
      <c r="D324" s="26"/>
      <c r="E324" s="18"/>
      <c r="F324" s="26"/>
      <c r="G324" s="31" t="str">
        <f aca="false">IF(F324="","",IFERROR(INDEX(請求台帳!$C$5:$C$504,MATCH(F324,請求台帳!$A$5:$A$504,0)),""))</f>
        <v/>
      </c>
      <c r="H324" s="31" t="str">
        <f aca="false">IF(F324="","",IFERROR(INDEX(請求台帳!$D$5:$D$504,MATCH(F324,請求台帳!$A$5:$A$504,0)),""))</f>
        <v/>
      </c>
      <c r="I324" s="27" t="str">
        <f aca="false">IF(F324="","",IFERROR(INDEX(請求台帳!$F$5:$F$504,MATCH(F324,請求台帳!$A$5:$A$504,0)),""))</f>
        <v/>
      </c>
      <c r="J324" s="28" t="str">
        <f aca="false">IF(COUNTA(B324,D324,E324,F324)=0,"",IF(OR(B324="",E324=""),"要入力",IF(N(B324)&gt;設定!$C$5,"日付誤り",IF(F324="","未消込",IF(ISNA(MATCH(F324,請求台帳!$A$5:$A$504,0)),"番号誤り",IF(INDEX(請求台帳!$Q$5:$Q$504,MATCH(F324,請求台帳!$A$5:$A$504,0))="取消","取消請求へ消込","消込済"))))))</f>
        <v/>
      </c>
      <c r="K324" s="26"/>
      <c r="L324" s="26"/>
    </row>
    <row r="325" customFormat="false" ht="15" hidden="false" customHeight="false" outlineLevel="0" collapsed="false">
      <c r="A325" s="31" t="str">
        <f aca="false">IF(COUNTA(B325,D325,E325,F325)=0,"",ROW()-4)</f>
        <v/>
      </c>
      <c r="B325" s="22"/>
      <c r="C325" s="26"/>
      <c r="D325" s="26"/>
      <c r="E325" s="18"/>
      <c r="F325" s="26"/>
      <c r="G325" s="31" t="str">
        <f aca="false">IF(F325="","",IFERROR(INDEX(請求台帳!$C$5:$C$504,MATCH(F325,請求台帳!$A$5:$A$504,0)),""))</f>
        <v/>
      </c>
      <c r="H325" s="31" t="str">
        <f aca="false">IF(F325="","",IFERROR(INDEX(請求台帳!$D$5:$D$504,MATCH(F325,請求台帳!$A$5:$A$504,0)),""))</f>
        <v/>
      </c>
      <c r="I325" s="27" t="str">
        <f aca="false">IF(F325="","",IFERROR(INDEX(請求台帳!$F$5:$F$504,MATCH(F325,請求台帳!$A$5:$A$504,0)),""))</f>
        <v/>
      </c>
      <c r="J325" s="28" t="str">
        <f aca="false">IF(COUNTA(B325,D325,E325,F325)=0,"",IF(OR(B325="",E325=""),"要入力",IF(N(B325)&gt;設定!$C$5,"日付誤り",IF(F325="","未消込",IF(ISNA(MATCH(F325,請求台帳!$A$5:$A$504,0)),"番号誤り",IF(INDEX(請求台帳!$Q$5:$Q$504,MATCH(F325,請求台帳!$A$5:$A$504,0))="取消","取消請求へ消込","消込済"))))))</f>
        <v/>
      </c>
      <c r="K325" s="26"/>
      <c r="L325" s="26"/>
    </row>
    <row r="326" customFormat="false" ht="15" hidden="false" customHeight="false" outlineLevel="0" collapsed="false">
      <c r="A326" s="31" t="str">
        <f aca="false">IF(COUNTA(B326,D326,E326,F326)=0,"",ROW()-4)</f>
        <v/>
      </c>
      <c r="B326" s="22"/>
      <c r="C326" s="26"/>
      <c r="D326" s="26"/>
      <c r="E326" s="18"/>
      <c r="F326" s="26"/>
      <c r="G326" s="31" t="str">
        <f aca="false">IF(F326="","",IFERROR(INDEX(請求台帳!$C$5:$C$504,MATCH(F326,請求台帳!$A$5:$A$504,0)),""))</f>
        <v/>
      </c>
      <c r="H326" s="31" t="str">
        <f aca="false">IF(F326="","",IFERROR(INDEX(請求台帳!$D$5:$D$504,MATCH(F326,請求台帳!$A$5:$A$504,0)),""))</f>
        <v/>
      </c>
      <c r="I326" s="27" t="str">
        <f aca="false">IF(F326="","",IFERROR(INDEX(請求台帳!$F$5:$F$504,MATCH(F326,請求台帳!$A$5:$A$504,0)),""))</f>
        <v/>
      </c>
      <c r="J326" s="28" t="str">
        <f aca="false">IF(COUNTA(B326,D326,E326,F326)=0,"",IF(OR(B326="",E326=""),"要入力",IF(N(B326)&gt;設定!$C$5,"日付誤り",IF(F326="","未消込",IF(ISNA(MATCH(F326,請求台帳!$A$5:$A$504,0)),"番号誤り",IF(INDEX(請求台帳!$Q$5:$Q$504,MATCH(F326,請求台帳!$A$5:$A$504,0))="取消","取消請求へ消込","消込済"))))))</f>
        <v/>
      </c>
      <c r="K326" s="26"/>
      <c r="L326" s="26"/>
    </row>
    <row r="327" customFormat="false" ht="15" hidden="false" customHeight="false" outlineLevel="0" collapsed="false">
      <c r="A327" s="31" t="str">
        <f aca="false">IF(COUNTA(B327,D327,E327,F327)=0,"",ROW()-4)</f>
        <v/>
      </c>
      <c r="B327" s="22"/>
      <c r="C327" s="26"/>
      <c r="D327" s="26"/>
      <c r="E327" s="18"/>
      <c r="F327" s="26"/>
      <c r="G327" s="31" t="str">
        <f aca="false">IF(F327="","",IFERROR(INDEX(請求台帳!$C$5:$C$504,MATCH(F327,請求台帳!$A$5:$A$504,0)),""))</f>
        <v/>
      </c>
      <c r="H327" s="31" t="str">
        <f aca="false">IF(F327="","",IFERROR(INDEX(請求台帳!$D$5:$D$504,MATCH(F327,請求台帳!$A$5:$A$504,0)),""))</f>
        <v/>
      </c>
      <c r="I327" s="27" t="str">
        <f aca="false">IF(F327="","",IFERROR(INDEX(請求台帳!$F$5:$F$504,MATCH(F327,請求台帳!$A$5:$A$504,0)),""))</f>
        <v/>
      </c>
      <c r="J327" s="28" t="str">
        <f aca="false">IF(COUNTA(B327,D327,E327,F327)=0,"",IF(OR(B327="",E327=""),"要入力",IF(N(B327)&gt;設定!$C$5,"日付誤り",IF(F327="","未消込",IF(ISNA(MATCH(F327,請求台帳!$A$5:$A$504,0)),"番号誤り",IF(INDEX(請求台帳!$Q$5:$Q$504,MATCH(F327,請求台帳!$A$5:$A$504,0))="取消","取消請求へ消込","消込済"))))))</f>
        <v/>
      </c>
      <c r="K327" s="26"/>
      <c r="L327" s="26"/>
    </row>
    <row r="328" customFormat="false" ht="15" hidden="false" customHeight="false" outlineLevel="0" collapsed="false">
      <c r="A328" s="31" t="str">
        <f aca="false">IF(COUNTA(B328,D328,E328,F328)=0,"",ROW()-4)</f>
        <v/>
      </c>
      <c r="B328" s="22"/>
      <c r="C328" s="26"/>
      <c r="D328" s="26"/>
      <c r="E328" s="18"/>
      <c r="F328" s="26"/>
      <c r="G328" s="31" t="str">
        <f aca="false">IF(F328="","",IFERROR(INDEX(請求台帳!$C$5:$C$504,MATCH(F328,請求台帳!$A$5:$A$504,0)),""))</f>
        <v/>
      </c>
      <c r="H328" s="31" t="str">
        <f aca="false">IF(F328="","",IFERROR(INDEX(請求台帳!$D$5:$D$504,MATCH(F328,請求台帳!$A$5:$A$504,0)),""))</f>
        <v/>
      </c>
      <c r="I328" s="27" t="str">
        <f aca="false">IF(F328="","",IFERROR(INDEX(請求台帳!$F$5:$F$504,MATCH(F328,請求台帳!$A$5:$A$504,0)),""))</f>
        <v/>
      </c>
      <c r="J328" s="28" t="str">
        <f aca="false">IF(COUNTA(B328,D328,E328,F328)=0,"",IF(OR(B328="",E328=""),"要入力",IF(N(B328)&gt;設定!$C$5,"日付誤り",IF(F328="","未消込",IF(ISNA(MATCH(F328,請求台帳!$A$5:$A$504,0)),"番号誤り",IF(INDEX(請求台帳!$Q$5:$Q$504,MATCH(F328,請求台帳!$A$5:$A$504,0))="取消","取消請求へ消込","消込済"))))))</f>
        <v/>
      </c>
      <c r="K328" s="26"/>
      <c r="L328" s="26"/>
    </row>
    <row r="329" customFormat="false" ht="15" hidden="false" customHeight="false" outlineLevel="0" collapsed="false">
      <c r="A329" s="31" t="str">
        <f aca="false">IF(COUNTA(B329,D329,E329,F329)=0,"",ROW()-4)</f>
        <v/>
      </c>
      <c r="B329" s="22"/>
      <c r="C329" s="26"/>
      <c r="D329" s="26"/>
      <c r="E329" s="18"/>
      <c r="F329" s="26"/>
      <c r="G329" s="31" t="str">
        <f aca="false">IF(F329="","",IFERROR(INDEX(請求台帳!$C$5:$C$504,MATCH(F329,請求台帳!$A$5:$A$504,0)),""))</f>
        <v/>
      </c>
      <c r="H329" s="31" t="str">
        <f aca="false">IF(F329="","",IFERROR(INDEX(請求台帳!$D$5:$D$504,MATCH(F329,請求台帳!$A$5:$A$504,0)),""))</f>
        <v/>
      </c>
      <c r="I329" s="27" t="str">
        <f aca="false">IF(F329="","",IFERROR(INDEX(請求台帳!$F$5:$F$504,MATCH(F329,請求台帳!$A$5:$A$504,0)),""))</f>
        <v/>
      </c>
      <c r="J329" s="28" t="str">
        <f aca="false">IF(COUNTA(B329,D329,E329,F329)=0,"",IF(OR(B329="",E329=""),"要入力",IF(N(B329)&gt;設定!$C$5,"日付誤り",IF(F329="","未消込",IF(ISNA(MATCH(F329,請求台帳!$A$5:$A$504,0)),"番号誤り",IF(INDEX(請求台帳!$Q$5:$Q$504,MATCH(F329,請求台帳!$A$5:$A$504,0))="取消","取消請求へ消込","消込済"))))))</f>
        <v/>
      </c>
      <c r="K329" s="26"/>
      <c r="L329" s="26"/>
    </row>
    <row r="330" customFormat="false" ht="15" hidden="false" customHeight="false" outlineLevel="0" collapsed="false">
      <c r="A330" s="31" t="str">
        <f aca="false">IF(COUNTA(B330,D330,E330,F330)=0,"",ROW()-4)</f>
        <v/>
      </c>
      <c r="B330" s="22"/>
      <c r="C330" s="26"/>
      <c r="D330" s="26"/>
      <c r="E330" s="18"/>
      <c r="F330" s="26"/>
      <c r="G330" s="31" t="str">
        <f aca="false">IF(F330="","",IFERROR(INDEX(請求台帳!$C$5:$C$504,MATCH(F330,請求台帳!$A$5:$A$504,0)),""))</f>
        <v/>
      </c>
      <c r="H330" s="31" t="str">
        <f aca="false">IF(F330="","",IFERROR(INDEX(請求台帳!$D$5:$D$504,MATCH(F330,請求台帳!$A$5:$A$504,0)),""))</f>
        <v/>
      </c>
      <c r="I330" s="27" t="str">
        <f aca="false">IF(F330="","",IFERROR(INDEX(請求台帳!$F$5:$F$504,MATCH(F330,請求台帳!$A$5:$A$504,0)),""))</f>
        <v/>
      </c>
      <c r="J330" s="28" t="str">
        <f aca="false">IF(COUNTA(B330,D330,E330,F330)=0,"",IF(OR(B330="",E330=""),"要入力",IF(N(B330)&gt;設定!$C$5,"日付誤り",IF(F330="","未消込",IF(ISNA(MATCH(F330,請求台帳!$A$5:$A$504,0)),"番号誤り",IF(INDEX(請求台帳!$Q$5:$Q$504,MATCH(F330,請求台帳!$A$5:$A$504,0))="取消","取消請求へ消込","消込済"))))))</f>
        <v/>
      </c>
      <c r="K330" s="26"/>
      <c r="L330" s="26"/>
    </row>
    <row r="331" customFormat="false" ht="15" hidden="false" customHeight="false" outlineLevel="0" collapsed="false">
      <c r="A331" s="31" t="str">
        <f aca="false">IF(COUNTA(B331,D331,E331,F331)=0,"",ROW()-4)</f>
        <v/>
      </c>
      <c r="B331" s="22"/>
      <c r="C331" s="26"/>
      <c r="D331" s="26"/>
      <c r="E331" s="18"/>
      <c r="F331" s="26"/>
      <c r="G331" s="31" t="str">
        <f aca="false">IF(F331="","",IFERROR(INDEX(請求台帳!$C$5:$C$504,MATCH(F331,請求台帳!$A$5:$A$504,0)),""))</f>
        <v/>
      </c>
      <c r="H331" s="31" t="str">
        <f aca="false">IF(F331="","",IFERROR(INDEX(請求台帳!$D$5:$D$504,MATCH(F331,請求台帳!$A$5:$A$504,0)),""))</f>
        <v/>
      </c>
      <c r="I331" s="27" t="str">
        <f aca="false">IF(F331="","",IFERROR(INDEX(請求台帳!$F$5:$F$504,MATCH(F331,請求台帳!$A$5:$A$504,0)),""))</f>
        <v/>
      </c>
      <c r="J331" s="28" t="str">
        <f aca="false">IF(COUNTA(B331,D331,E331,F331)=0,"",IF(OR(B331="",E331=""),"要入力",IF(N(B331)&gt;設定!$C$5,"日付誤り",IF(F331="","未消込",IF(ISNA(MATCH(F331,請求台帳!$A$5:$A$504,0)),"番号誤り",IF(INDEX(請求台帳!$Q$5:$Q$504,MATCH(F331,請求台帳!$A$5:$A$504,0))="取消","取消請求へ消込","消込済"))))))</f>
        <v/>
      </c>
      <c r="K331" s="26"/>
      <c r="L331" s="26"/>
    </row>
    <row r="332" customFormat="false" ht="15" hidden="false" customHeight="false" outlineLevel="0" collapsed="false">
      <c r="A332" s="31" t="str">
        <f aca="false">IF(COUNTA(B332,D332,E332,F332)=0,"",ROW()-4)</f>
        <v/>
      </c>
      <c r="B332" s="22"/>
      <c r="C332" s="26"/>
      <c r="D332" s="26"/>
      <c r="E332" s="18"/>
      <c r="F332" s="26"/>
      <c r="G332" s="31" t="str">
        <f aca="false">IF(F332="","",IFERROR(INDEX(請求台帳!$C$5:$C$504,MATCH(F332,請求台帳!$A$5:$A$504,0)),""))</f>
        <v/>
      </c>
      <c r="H332" s="31" t="str">
        <f aca="false">IF(F332="","",IFERROR(INDEX(請求台帳!$D$5:$D$504,MATCH(F332,請求台帳!$A$5:$A$504,0)),""))</f>
        <v/>
      </c>
      <c r="I332" s="27" t="str">
        <f aca="false">IF(F332="","",IFERROR(INDEX(請求台帳!$F$5:$F$504,MATCH(F332,請求台帳!$A$5:$A$504,0)),""))</f>
        <v/>
      </c>
      <c r="J332" s="28" t="str">
        <f aca="false">IF(COUNTA(B332,D332,E332,F332)=0,"",IF(OR(B332="",E332=""),"要入力",IF(N(B332)&gt;設定!$C$5,"日付誤り",IF(F332="","未消込",IF(ISNA(MATCH(F332,請求台帳!$A$5:$A$504,0)),"番号誤り",IF(INDEX(請求台帳!$Q$5:$Q$504,MATCH(F332,請求台帳!$A$5:$A$504,0))="取消","取消請求へ消込","消込済"))))))</f>
        <v/>
      </c>
      <c r="K332" s="26"/>
      <c r="L332" s="26"/>
    </row>
    <row r="333" customFormat="false" ht="15" hidden="false" customHeight="false" outlineLevel="0" collapsed="false">
      <c r="A333" s="31" t="str">
        <f aca="false">IF(COUNTA(B333,D333,E333,F333)=0,"",ROW()-4)</f>
        <v/>
      </c>
      <c r="B333" s="22"/>
      <c r="C333" s="26"/>
      <c r="D333" s="26"/>
      <c r="E333" s="18"/>
      <c r="F333" s="26"/>
      <c r="G333" s="31" t="str">
        <f aca="false">IF(F333="","",IFERROR(INDEX(請求台帳!$C$5:$C$504,MATCH(F333,請求台帳!$A$5:$A$504,0)),""))</f>
        <v/>
      </c>
      <c r="H333" s="31" t="str">
        <f aca="false">IF(F333="","",IFERROR(INDEX(請求台帳!$D$5:$D$504,MATCH(F333,請求台帳!$A$5:$A$504,0)),""))</f>
        <v/>
      </c>
      <c r="I333" s="27" t="str">
        <f aca="false">IF(F333="","",IFERROR(INDEX(請求台帳!$F$5:$F$504,MATCH(F333,請求台帳!$A$5:$A$504,0)),""))</f>
        <v/>
      </c>
      <c r="J333" s="28" t="str">
        <f aca="false">IF(COUNTA(B333,D333,E333,F333)=0,"",IF(OR(B333="",E333=""),"要入力",IF(N(B333)&gt;設定!$C$5,"日付誤り",IF(F333="","未消込",IF(ISNA(MATCH(F333,請求台帳!$A$5:$A$504,0)),"番号誤り",IF(INDEX(請求台帳!$Q$5:$Q$504,MATCH(F333,請求台帳!$A$5:$A$504,0))="取消","取消請求へ消込","消込済"))))))</f>
        <v/>
      </c>
      <c r="K333" s="26"/>
      <c r="L333" s="26"/>
    </row>
    <row r="334" customFormat="false" ht="15" hidden="false" customHeight="false" outlineLevel="0" collapsed="false">
      <c r="A334" s="31" t="str">
        <f aca="false">IF(COUNTA(B334,D334,E334,F334)=0,"",ROW()-4)</f>
        <v/>
      </c>
      <c r="B334" s="22"/>
      <c r="C334" s="26"/>
      <c r="D334" s="26"/>
      <c r="E334" s="18"/>
      <c r="F334" s="26"/>
      <c r="G334" s="31" t="str">
        <f aca="false">IF(F334="","",IFERROR(INDEX(請求台帳!$C$5:$C$504,MATCH(F334,請求台帳!$A$5:$A$504,0)),""))</f>
        <v/>
      </c>
      <c r="H334" s="31" t="str">
        <f aca="false">IF(F334="","",IFERROR(INDEX(請求台帳!$D$5:$D$504,MATCH(F334,請求台帳!$A$5:$A$504,0)),""))</f>
        <v/>
      </c>
      <c r="I334" s="27" t="str">
        <f aca="false">IF(F334="","",IFERROR(INDEX(請求台帳!$F$5:$F$504,MATCH(F334,請求台帳!$A$5:$A$504,0)),""))</f>
        <v/>
      </c>
      <c r="J334" s="28" t="str">
        <f aca="false">IF(COUNTA(B334,D334,E334,F334)=0,"",IF(OR(B334="",E334=""),"要入力",IF(N(B334)&gt;設定!$C$5,"日付誤り",IF(F334="","未消込",IF(ISNA(MATCH(F334,請求台帳!$A$5:$A$504,0)),"番号誤り",IF(INDEX(請求台帳!$Q$5:$Q$504,MATCH(F334,請求台帳!$A$5:$A$504,0))="取消","取消請求へ消込","消込済"))))))</f>
        <v/>
      </c>
      <c r="K334" s="26"/>
      <c r="L334" s="26"/>
    </row>
    <row r="335" customFormat="false" ht="15" hidden="false" customHeight="false" outlineLevel="0" collapsed="false">
      <c r="A335" s="31" t="str">
        <f aca="false">IF(COUNTA(B335,D335,E335,F335)=0,"",ROW()-4)</f>
        <v/>
      </c>
      <c r="B335" s="22"/>
      <c r="C335" s="26"/>
      <c r="D335" s="26"/>
      <c r="E335" s="18"/>
      <c r="F335" s="26"/>
      <c r="G335" s="31" t="str">
        <f aca="false">IF(F335="","",IFERROR(INDEX(請求台帳!$C$5:$C$504,MATCH(F335,請求台帳!$A$5:$A$504,0)),""))</f>
        <v/>
      </c>
      <c r="H335" s="31" t="str">
        <f aca="false">IF(F335="","",IFERROR(INDEX(請求台帳!$D$5:$D$504,MATCH(F335,請求台帳!$A$5:$A$504,0)),""))</f>
        <v/>
      </c>
      <c r="I335" s="27" t="str">
        <f aca="false">IF(F335="","",IFERROR(INDEX(請求台帳!$F$5:$F$504,MATCH(F335,請求台帳!$A$5:$A$504,0)),""))</f>
        <v/>
      </c>
      <c r="J335" s="28" t="str">
        <f aca="false">IF(COUNTA(B335,D335,E335,F335)=0,"",IF(OR(B335="",E335=""),"要入力",IF(N(B335)&gt;設定!$C$5,"日付誤り",IF(F335="","未消込",IF(ISNA(MATCH(F335,請求台帳!$A$5:$A$504,0)),"番号誤り",IF(INDEX(請求台帳!$Q$5:$Q$504,MATCH(F335,請求台帳!$A$5:$A$504,0))="取消","取消請求へ消込","消込済"))))))</f>
        <v/>
      </c>
      <c r="K335" s="26"/>
      <c r="L335" s="26"/>
    </row>
    <row r="336" customFormat="false" ht="15" hidden="false" customHeight="false" outlineLevel="0" collapsed="false">
      <c r="A336" s="31" t="str">
        <f aca="false">IF(COUNTA(B336,D336,E336,F336)=0,"",ROW()-4)</f>
        <v/>
      </c>
      <c r="B336" s="22"/>
      <c r="C336" s="26"/>
      <c r="D336" s="26"/>
      <c r="E336" s="18"/>
      <c r="F336" s="26"/>
      <c r="G336" s="31" t="str">
        <f aca="false">IF(F336="","",IFERROR(INDEX(請求台帳!$C$5:$C$504,MATCH(F336,請求台帳!$A$5:$A$504,0)),""))</f>
        <v/>
      </c>
      <c r="H336" s="31" t="str">
        <f aca="false">IF(F336="","",IFERROR(INDEX(請求台帳!$D$5:$D$504,MATCH(F336,請求台帳!$A$5:$A$504,0)),""))</f>
        <v/>
      </c>
      <c r="I336" s="27" t="str">
        <f aca="false">IF(F336="","",IFERROR(INDEX(請求台帳!$F$5:$F$504,MATCH(F336,請求台帳!$A$5:$A$504,0)),""))</f>
        <v/>
      </c>
      <c r="J336" s="28" t="str">
        <f aca="false">IF(COUNTA(B336,D336,E336,F336)=0,"",IF(OR(B336="",E336=""),"要入力",IF(N(B336)&gt;設定!$C$5,"日付誤り",IF(F336="","未消込",IF(ISNA(MATCH(F336,請求台帳!$A$5:$A$504,0)),"番号誤り",IF(INDEX(請求台帳!$Q$5:$Q$504,MATCH(F336,請求台帳!$A$5:$A$504,0))="取消","取消請求へ消込","消込済"))))))</f>
        <v/>
      </c>
      <c r="K336" s="26"/>
      <c r="L336" s="26"/>
    </row>
    <row r="337" customFormat="false" ht="15" hidden="false" customHeight="false" outlineLevel="0" collapsed="false">
      <c r="A337" s="31" t="str">
        <f aca="false">IF(COUNTA(B337,D337,E337,F337)=0,"",ROW()-4)</f>
        <v/>
      </c>
      <c r="B337" s="22"/>
      <c r="C337" s="26"/>
      <c r="D337" s="26"/>
      <c r="E337" s="18"/>
      <c r="F337" s="26"/>
      <c r="G337" s="31" t="str">
        <f aca="false">IF(F337="","",IFERROR(INDEX(請求台帳!$C$5:$C$504,MATCH(F337,請求台帳!$A$5:$A$504,0)),""))</f>
        <v/>
      </c>
      <c r="H337" s="31" t="str">
        <f aca="false">IF(F337="","",IFERROR(INDEX(請求台帳!$D$5:$D$504,MATCH(F337,請求台帳!$A$5:$A$504,0)),""))</f>
        <v/>
      </c>
      <c r="I337" s="27" t="str">
        <f aca="false">IF(F337="","",IFERROR(INDEX(請求台帳!$F$5:$F$504,MATCH(F337,請求台帳!$A$5:$A$504,0)),""))</f>
        <v/>
      </c>
      <c r="J337" s="28" t="str">
        <f aca="false">IF(COUNTA(B337,D337,E337,F337)=0,"",IF(OR(B337="",E337=""),"要入力",IF(N(B337)&gt;設定!$C$5,"日付誤り",IF(F337="","未消込",IF(ISNA(MATCH(F337,請求台帳!$A$5:$A$504,0)),"番号誤り",IF(INDEX(請求台帳!$Q$5:$Q$504,MATCH(F337,請求台帳!$A$5:$A$504,0))="取消","取消請求へ消込","消込済"))))))</f>
        <v/>
      </c>
      <c r="K337" s="26"/>
      <c r="L337" s="26"/>
    </row>
    <row r="338" customFormat="false" ht="15" hidden="false" customHeight="false" outlineLevel="0" collapsed="false">
      <c r="A338" s="31" t="str">
        <f aca="false">IF(COUNTA(B338,D338,E338,F338)=0,"",ROW()-4)</f>
        <v/>
      </c>
      <c r="B338" s="22"/>
      <c r="C338" s="26"/>
      <c r="D338" s="26"/>
      <c r="E338" s="18"/>
      <c r="F338" s="26"/>
      <c r="G338" s="31" t="str">
        <f aca="false">IF(F338="","",IFERROR(INDEX(請求台帳!$C$5:$C$504,MATCH(F338,請求台帳!$A$5:$A$504,0)),""))</f>
        <v/>
      </c>
      <c r="H338" s="31" t="str">
        <f aca="false">IF(F338="","",IFERROR(INDEX(請求台帳!$D$5:$D$504,MATCH(F338,請求台帳!$A$5:$A$504,0)),""))</f>
        <v/>
      </c>
      <c r="I338" s="27" t="str">
        <f aca="false">IF(F338="","",IFERROR(INDEX(請求台帳!$F$5:$F$504,MATCH(F338,請求台帳!$A$5:$A$504,0)),""))</f>
        <v/>
      </c>
      <c r="J338" s="28" t="str">
        <f aca="false">IF(COUNTA(B338,D338,E338,F338)=0,"",IF(OR(B338="",E338=""),"要入力",IF(N(B338)&gt;設定!$C$5,"日付誤り",IF(F338="","未消込",IF(ISNA(MATCH(F338,請求台帳!$A$5:$A$504,0)),"番号誤り",IF(INDEX(請求台帳!$Q$5:$Q$504,MATCH(F338,請求台帳!$A$5:$A$504,0))="取消","取消請求へ消込","消込済"))))))</f>
        <v/>
      </c>
      <c r="K338" s="26"/>
      <c r="L338" s="26"/>
    </row>
    <row r="339" customFormat="false" ht="15" hidden="false" customHeight="false" outlineLevel="0" collapsed="false">
      <c r="A339" s="31" t="str">
        <f aca="false">IF(COUNTA(B339,D339,E339,F339)=0,"",ROW()-4)</f>
        <v/>
      </c>
      <c r="B339" s="22"/>
      <c r="C339" s="26"/>
      <c r="D339" s="26"/>
      <c r="E339" s="18"/>
      <c r="F339" s="26"/>
      <c r="G339" s="31" t="str">
        <f aca="false">IF(F339="","",IFERROR(INDEX(請求台帳!$C$5:$C$504,MATCH(F339,請求台帳!$A$5:$A$504,0)),""))</f>
        <v/>
      </c>
      <c r="H339" s="31" t="str">
        <f aca="false">IF(F339="","",IFERROR(INDEX(請求台帳!$D$5:$D$504,MATCH(F339,請求台帳!$A$5:$A$504,0)),""))</f>
        <v/>
      </c>
      <c r="I339" s="27" t="str">
        <f aca="false">IF(F339="","",IFERROR(INDEX(請求台帳!$F$5:$F$504,MATCH(F339,請求台帳!$A$5:$A$504,0)),""))</f>
        <v/>
      </c>
      <c r="J339" s="28" t="str">
        <f aca="false">IF(COUNTA(B339,D339,E339,F339)=0,"",IF(OR(B339="",E339=""),"要入力",IF(N(B339)&gt;設定!$C$5,"日付誤り",IF(F339="","未消込",IF(ISNA(MATCH(F339,請求台帳!$A$5:$A$504,0)),"番号誤り",IF(INDEX(請求台帳!$Q$5:$Q$504,MATCH(F339,請求台帳!$A$5:$A$504,0))="取消","取消請求へ消込","消込済"))))))</f>
        <v/>
      </c>
      <c r="K339" s="26"/>
      <c r="L339" s="26"/>
    </row>
    <row r="340" customFormat="false" ht="15" hidden="false" customHeight="false" outlineLevel="0" collapsed="false">
      <c r="A340" s="31" t="str">
        <f aca="false">IF(COUNTA(B340,D340,E340,F340)=0,"",ROW()-4)</f>
        <v/>
      </c>
      <c r="B340" s="22"/>
      <c r="C340" s="26"/>
      <c r="D340" s="26"/>
      <c r="E340" s="18"/>
      <c r="F340" s="26"/>
      <c r="G340" s="31" t="str">
        <f aca="false">IF(F340="","",IFERROR(INDEX(請求台帳!$C$5:$C$504,MATCH(F340,請求台帳!$A$5:$A$504,0)),""))</f>
        <v/>
      </c>
      <c r="H340" s="31" t="str">
        <f aca="false">IF(F340="","",IFERROR(INDEX(請求台帳!$D$5:$D$504,MATCH(F340,請求台帳!$A$5:$A$504,0)),""))</f>
        <v/>
      </c>
      <c r="I340" s="27" t="str">
        <f aca="false">IF(F340="","",IFERROR(INDEX(請求台帳!$F$5:$F$504,MATCH(F340,請求台帳!$A$5:$A$504,0)),""))</f>
        <v/>
      </c>
      <c r="J340" s="28" t="str">
        <f aca="false">IF(COUNTA(B340,D340,E340,F340)=0,"",IF(OR(B340="",E340=""),"要入力",IF(N(B340)&gt;設定!$C$5,"日付誤り",IF(F340="","未消込",IF(ISNA(MATCH(F340,請求台帳!$A$5:$A$504,0)),"番号誤り",IF(INDEX(請求台帳!$Q$5:$Q$504,MATCH(F340,請求台帳!$A$5:$A$504,0))="取消","取消請求へ消込","消込済"))))))</f>
        <v/>
      </c>
      <c r="K340" s="26"/>
      <c r="L340" s="26"/>
    </row>
    <row r="341" customFormat="false" ht="15" hidden="false" customHeight="false" outlineLevel="0" collapsed="false">
      <c r="A341" s="31" t="str">
        <f aca="false">IF(COUNTA(B341,D341,E341,F341)=0,"",ROW()-4)</f>
        <v/>
      </c>
      <c r="B341" s="22"/>
      <c r="C341" s="26"/>
      <c r="D341" s="26"/>
      <c r="E341" s="18"/>
      <c r="F341" s="26"/>
      <c r="G341" s="31" t="str">
        <f aca="false">IF(F341="","",IFERROR(INDEX(請求台帳!$C$5:$C$504,MATCH(F341,請求台帳!$A$5:$A$504,0)),""))</f>
        <v/>
      </c>
      <c r="H341" s="31" t="str">
        <f aca="false">IF(F341="","",IFERROR(INDEX(請求台帳!$D$5:$D$504,MATCH(F341,請求台帳!$A$5:$A$504,0)),""))</f>
        <v/>
      </c>
      <c r="I341" s="27" t="str">
        <f aca="false">IF(F341="","",IFERROR(INDEX(請求台帳!$F$5:$F$504,MATCH(F341,請求台帳!$A$5:$A$504,0)),""))</f>
        <v/>
      </c>
      <c r="J341" s="28" t="str">
        <f aca="false">IF(COUNTA(B341,D341,E341,F341)=0,"",IF(OR(B341="",E341=""),"要入力",IF(N(B341)&gt;設定!$C$5,"日付誤り",IF(F341="","未消込",IF(ISNA(MATCH(F341,請求台帳!$A$5:$A$504,0)),"番号誤り",IF(INDEX(請求台帳!$Q$5:$Q$504,MATCH(F341,請求台帳!$A$5:$A$504,0))="取消","取消請求へ消込","消込済"))))))</f>
        <v/>
      </c>
      <c r="K341" s="26"/>
      <c r="L341" s="26"/>
    </row>
    <row r="342" customFormat="false" ht="15" hidden="false" customHeight="false" outlineLevel="0" collapsed="false">
      <c r="A342" s="31" t="str">
        <f aca="false">IF(COUNTA(B342,D342,E342,F342)=0,"",ROW()-4)</f>
        <v/>
      </c>
      <c r="B342" s="22"/>
      <c r="C342" s="26"/>
      <c r="D342" s="26"/>
      <c r="E342" s="18"/>
      <c r="F342" s="26"/>
      <c r="G342" s="31" t="str">
        <f aca="false">IF(F342="","",IFERROR(INDEX(請求台帳!$C$5:$C$504,MATCH(F342,請求台帳!$A$5:$A$504,0)),""))</f>
        <v/>
      </c>
      <c r="H342" s="31" t="str">
        <f aca="false">IF(F342="","",IFERROR(INDEX(請求台帳!$D$5:$D$504,MATCH(F342,請求台帳!$A$5:$A$504,0)),""))</f>
        <v/>
      </c>
      <c r="I342" s="27" t="str">
        <f aca="false">IF(F342="","",IFERROR(INDEX(請求台帳!$F$5:$F$504,MATCH(F342,請求台帳!$A$5:$A$504,0)),""))</f>
        <v/>
      </c>
      <c r="J342" s="28" t="str">
        <f aca="false">IF(COUNTA(B342,D342,E342,F342)=0,"",IF(OR(B342="",E342=""),"要入力",IF(N(B342)&gt;設定!$C$5,"日付誤り",IF(F342="","未消込",IF(ISNA(MATCH(F342,請求台帳!$A$5:$A$504,0)),"番号誤り",IF(INDEX(請求台帳!$Q$5:$Q$504,MATCH(F342,請求台帳!$A$5:$A$504,0))="取消","取消請求へ消込","消込済"))))))</f>
        <v/>
      </c>
      <c r="K342" s="26"/>
      <c r="L342" s="26"/>
    </row>
    <row r="343" customFormat="false" ht="15" hidden="false" customHeight="false" outlineLevel="0" collapsed="false">
      <c r="A343" s="31" t="str">
        <f aca="false">IF(COUNTA(B343,D343,E343,F343)=0,"",ROW()-4)</f>
        <v/>
      </c>
      <c r="B343" s="22"/>
      <c r="C343" s="26"/>
      <c r="D343" s="26"/>
      <c r="E343" s="18"/>
      <c r="F343" s="26"/>
      <c r="G343" s="31" t="str">
        <f aca="false">IF(F343="","",IFERROR(INDEX(請求台帳!$C$5:$C$504,MATCH(F343,請求台帳!$A$5:$A$504,0)),""))</f>
        <v/>
      </c>
      <c r="H343" s="31" t="str">
        <f aca="false">IF(F343="","",IFERROR(INDEX(請求台帳!$D$5:$D$504,MATCH(F343,請求台帳!$A$5:$A$504,0)),""))</f>
        <v/>
      </c>
      <c r="I343" s="27" t="str">
        <f aca="false">IF(F343="","",IFERROR(INDEX(請求台帳!$F$5:$F$504,MATCH(F343,請求台帳!$A$5:$A$504,0)),""))</f>
        <v/>
      </c>
      <c r="J343" s="28" t="str">
        <f aca="false">IF(COUNTA(B343,D343,E343,F343)=0,"",IF(OR(B343="",E343=""),"要入力",IF(N(B343)&gt;設定!$C$5,"日付誤り",IF(F343="","未消込",IF(ISNA(MATCH(F343,請求台帳!$A$5:$A$504,0)),"番号誤り",IF(INDEX(請求台帳!$Q$5:$Q$504,MATCH(F343,請求台帳!$A$5:$A$504,0))="取消","取消請求へ消込","消込済"))))))</f>
        <v/>
      </c>
      <c r="K343" s="26"/>
      <c r="L343" s="26"/>
    </row>
    <row r="344" customFormat="false" ht="15" hidden="false" customHeight="false" outlineLevel="0" collapsed="false">
      <c r="A344" s="31" t="str">
        <f aca="false">IF(COUNTA(B344,D344,E344,F344)=0,"",ROW()-4)</f>
        <v/>
      </c>
      <c r="B344" s="22"/>
      <c r="C344" s="26"/>
      <c r="D344" s="26"/>
      <c r="E344" s="18"/>
      <c r="F344" s="26"/>
      <c r="G344" s="31" t="str">
        <f aca="false">IF(F344="","",IFERROR(INDEX(請求台帳!$C$5:$C$504,MATCH(F344,請求台帳!$A$5:$A$504,0)),""))</f>
        <v/>
      </c>
      <c r="H344" s="31" t="str">
        <f aca="false">IF(F344="","",IFERROR(INDEX(請求台帳!$D$5:$D$504,MATCH(F344,請求台帳!$A$5:$A$504,0)),""))</f>
        <v/>
      </c>
      <c r="I344" s="27" t="str">
        <f aca="false">IF(F344="","",IFERROR(INDEX(請求台帳!$F$5:$F$504,MATCH(F344,請求台帳!$A$5:$A$504,0)),""))</f>
        <v/>
      </c>
      <c r="J344" s="28" t="str">
        <f aca="false">IF(COUNTA(B344,D344,E344,F344)=0,"",IF(OR(B344="",E344=""),"要入力",IF(N(B344)&gt;設定!$C$5,"日付誤り",IF(F344="","未消込",IF(ISNA(MATCH(F344,請求台帳!$A$5:$A$504,0)),"番号誤り",IF(INDEX(請求台帳!$Q$5:$Q$504,MATCH(F344,請求台帳!$A$5:$A$504,0))="取消","取消請求へ消込","消込済"))))))</f>
        <v/>
      </c>
      <c r="K344" s="26"/>
      <c r="L344" s="26"/>
    </row>
    <row r="345" customFormat="false" ht="15" hidden="false" customHeight="false" outlineLevel="0" collapsed="false">
      <c r="A345" s="31" t="str">
        <f aca="false">IF(COUNTA(B345,D345,E345,F345)=0,"",ROW()-4)</f>
        <v/>
      </c>
      <c r="B345" s="22"/>
      <c r="C345" s="26"/>
      <c r="D345" s="26"/>
      <c r="E345" s="18"/>
      <c r="F345" s="26"/>
      <c r="G345" s="31" t="str">
        <f aca="false">IF(F345="","",IFERROR(INDEX(請求台帳!$C$5:$C$504,MATCH(F345,請求台帳!$A$5:$A$504,0)),""))</f>
        <v/>
      </c>
      <c r="H345" s="31" t="str">
        <f aca="false">IF(F345="","",IFERROR(INDEX(請求台帳!$D$5:$D$504,MATCH(F345,請求台帳!$A$5:$A$504,0)),""))</f>
        <v/>
      </c>
      <c r="I345" s="27" t="str">
        <f aca="false">IF(F345="","",IFERROR(INDEX(請求台帳!$F$5:$F$504,MATCH(F345,請求台帳!$A$5:$A$504,0)),""))</f>
        <v/>
      </c>
      <c r="J345" s="28" t="str">
        <f aca="false">IF(COUNTA(B345,D345,E345,F345)=0,"",IF(OR(B345="",E345=""),"要入力",IF(N(B345)&gt;設定!$C$5,"日付誤り",IF(F345="","未消込",IF(ISNA(MATCH(F345,請求台帳!$A$5:$A$504,0)),"番号誤り",IF(INDEX(請求台帳!$Q$5:$Q$504,MATCH(F345,請求台帳!$A$5:$A$504,0))="取消","取消請求へ消込","消込済"))))))</f>
        <v/>
      </c>
      <c r="K345" s="26"/>
      <c r="L345" s="26"/>
    </row>
    <row r="346" customFormat="false" ht="15" hidden="false" customHeight="false" outlineLevel="0" collapsed="false">
      <c r="A346" s="31" t="str">
        <f aca="false">IF(COUNTA(B346,D346,E346,F346)=0,"",ROW()-4)</f>
        <v/>
      </c>
      <c r="B346" s="22"/>
      <c r="C346" s="26"/>
      <c r="D346" s="26"/>
      <c r="E346" s="18"/>
      <c r="F346" s="26"/>
      <c r="G346" s="31" t="str">
        <f aca="false">IF(F346="","",IFERROR(INDEX(請求台帳!$C$5:$C$504,MATCH(F346,請求台帳!$A$5:$A$504,0)),""))</f>
        <v/>
      </c>
      <c r="H346" s="31" t="str">
        <f aca="false">IF(F346="","",IFERROR(INDEX(請求台帳!$D$5:$D$504,MATCH(F346,請求台帳!$A$5:$A$504,0)),""))</f>
        <v/>
      </c>
      <c r="I346" s="27" t="str">
        <f aca="false">IF(F346="","",IFERROR(INDEX(請求台帳!$F$5:$F$504,MATCH(F346,請求台帳!$A$5:$A$504,0)),""))</f>
        <v/>
      </c>
      <c r="J346" s="28" t="str">
        <f aca="false">IF(COUNTA(B346,D346,E346,F346)=0,"",IF(OR(B346="",E346=""),"要入力",IF(N(B346)&gt;設定!$C$5,"日付誤り",IF(F346="","未消込",IF(ISNA(MATCH(F346,請求台帳!$A$5:$A$504,0)),"番号誤り",IF(INDEX(請求台帳!$Q$5:$Q$504,MATCH(F346,請求台帳!$A$5:$A$504,0))="取消","取消請求へ消込","消込済"))))))</f>
        <v/>
      </c>
      <c r="K346" s="26"/>
      <c r="L346" s="26"/>
    </row>
    <row r="347" customFormat="false" ht="15" hidden="false" customHeight="false" outlineLevel="0" collapsed="false">
      <c r="A347" s="31" t="str">
        <f aca="false">IF(COUNTA(B347,D347,E347,F347)=0,"",ROW()-4)</f>
        <v/>
      </c>
      <c r="B347" s="22"/>
      <c r="C347" s="26"/>
      <c r="D347" s="26"/>
      <c r="E347" s="18"/>
      <c r="F347" s="26"/>
      <c r="G347" s="31" t="str">
        <f aca="false">IF(F347="","",IFERROR(INDEX(請求台帳!$C$5:$C$504,MATCH(F347,請求台帳!$A$5:$A$504,0)),""))</f>
        <v/>
      </c>
      <c r="H347" s="31" t="str">
        <f aca="false">IF(F347="","",IFERROR(INDEX(請求台帳!$D$5:$D$504,MATCH(F347,請求台帳!$A$5:$A$504,0)),""))</f>
        <v/>
      </c>
      <c r="I347" s="27" t="str">
        <f aca="false">IF(F347="","",IFERROR(INDEX(請求台帳!$F$5:$F$504,MATCH(F347,請求台帳!$A$5:$A$504,0)),""))</f>
        <v/>
      </c>
      <c r="J347" s="28" t="str">
        <f aca="false">IF(COUNTA(B347,D347,E347,F347)=0,"",IF(OR(B347="",E347=""),"要入力",IF(N(B347)&gt;設定!$C$5,"日付誤り",IF(F347="","未消込",IF(ISNA(MATCH(F347,請求台帳!$A$5:$A$504,0)),"番号誤り",IF(INDEX(請求台帳!$Q$5:$Q$504,MATCH(F347,請求台帳!$A$5:$A$504,0))="取消","取消請求へ消込","消込済"))))))</f>
        <v/>
      </c>
      <c r="K347" s="26"/>
      <c r="L347" s="26"/>
    </row>
    <row r="348" customFormat="false" ht="15" hidden="false" customHeight="false" outlineLevel="0" collapsed="false">
      <c r="A348" s="31" t="str">
        <f aca="false">IF(COUNTA(B348,D348,E348,F348)=0,"",ROW()-4)</f>
        <v/>
      </c>
      <c r="B348" s="22"/>
      <c r="C348" s="26"/>
      <c r="D348" s="26"/>
      <c r="E348" s="18"/>
      <c r="F348" s="26"/>
      <c r="G348" s="31" t="str">
        <f aca="false">IF(F348="","",IFERROR(INDEX(請求台帳!$C$5:$C$504,MATCH(F348,請求台帳!$A$5:$A$504,0)),""))</f>
        <v/>
      </c>
      <c r="H348" s="31" t="str">
        <f aca="false">IF(F348="","",IFERROR(INDEX(請求台帳!$D$5:$D$504,MATCH(F348,請求台帳!$A$5:$A$504,0)),""))</f>
        <v/>
      </c>
      <c r="I348" s="27" t="str">
        <f aca="false">IF(F348="","",IFERROR(INDEX(請求台帳!$F$5:$F$504,MATCH(F348,請求台帳!$A$5:$A$504,0)),""))</f>
        <v/>
      </c>
      <c r="J348" s="28" t="str">
        <f aca="false">IF(COUNTA(B348,D348,E348,F348)=0,"",IF(OR(B348="",E348=""),"要入力",IF(N(B348)&gt;設定!$C$5,"日付誤り",IF(F348="","未消込",IF(ISNA(MATCH(F348,請求台帳!$A$5:$A$504,0)),"番号誤り",IF(INDEX(請求台帳!$Q$5:$Q$504,MATCH(F348,請求台帳!$A$5:$A$504,0))="取消","取消請求へ消込","消込済"))))))</f>
        <v/>
      </c>
      <c r="K348" s="26"/>
      <c r="L348" s="26"/>
    </row>
    <row r="349" customFormat="false" ht="15" hidden="false" customHeight="false" outlineLevel="0" collapsed="false">
      <c r="A349" s="31" t="str">
        <f aca="false">IF(COUNTA(B349,D349,E349,F349)=0,"",ROW()-4)</f>
        <v/>
      </c>
      <c r="B349" s="22"/>
      <c r="C349" s="26"/>
      <c r="D349" s="26"/>
      <c r="E349" s="18"/>
      <c r="F349" s="26"/>
      <c r="G349" s="31" t="str">
        <f aca="false">IF(F349="","",IFERROR(INDEX(請求台帳!$C$5:$C$504,MATCH(F349,請求台帳!$A$5:$A$504,0)),""))</f>
        <v/>
      </c>
      <c r="H349" s="31" t="str">
        <f aca="false">IF(F349="","",IFERROR(INDEX(請求台帳!$D$5:$D$504,MATCH(F349,請求台帳!$A$5:$A$504,0)),""))</f>
        <v/>
      </c>
      <c r="I349" s="27" t="str">
        <f aca="false">IF(F349="","",IFERROR(INDEX(請求台帳!$F$5:$F$504,MATCH(F349,請求台帳!$A$5:$A$504,0)),""))</f>
        <v/>
      </c>
      <c r="J349" s="28" t="str">
        <f aca="false">IF(COUNTA(B349,D349,E349,F349)=0,"",IF(OR(B349="",E349=""),"要入力",IF(N(B349)&gt;設定!$C$5,"日付誤り",IF(F349="","未消込",IF(ISNA(MATCH(F349,請求台帳!$A$5:$A$504,0)),"番号誤り",IF(INDEX(請求台帳!$Q$5:$Q$504,MATCH(F349,請求台帳!$A$5:$A$504,0))="取消","取消請求へ消込","消込済"))))))</f>
        <v/>
      </c>
      <c r="K349" s="26"/>
      <c r="L349" s="26"/>
    </row>
    <row r="350" customFormat="false" ht="15" hidden="false" customHeight="false" outlineLevel="0" collapsed="false">
      <c r="A350" s="31" t="str">
        <f aca="false">IF(COUNTA(B350,D350,E350,F350)=0,"",ROW()-4)</f>
        <v/>
      </c>
      <c r="B350" s="22"/>
      <c r="C350" s="26"/>
      <c r="D350" s="26"/>
      <c r="E350" s="18"/>
      <c r="F350" s="26"/>
      <c r="G350" s="31" t="str">
        <f aca="false">IF(F350="","",IFERROR(INDEX(請求台帳!$C$5:$C$504,MATCH(F350,請求台帳!$A$5:$A$504,0)),""))</f>
        <v/>
      </c>
      <c r="H350" s="31" t="str">
        <f aca="false">IF(F350="","",IFERROR(INDEX(請求台帳!$D$5:$D$504,MATCH(F350,請求台帳!$A$5:$A$504,0)),""))</f>
        <v/>
      </c>
      <c r="I350" s="27" t="str">
        <f aca="false">IF(F350="","",IFERROR(INDEX(請求台帳!$F$5:$F$504,MATCH(F350,請求台帳!$A$5:$A$504,0)),""))</f>
        <v/>
      </c>
      <c r="J350" s="28" t="str">
        <f aca="false">IF(COUNTA(B350,D350,E350,F350)=0,"",IF(OR(B350="",E350=""),"要入力",IF(N(B350)&gt;設定!$C$5,"日付誤り",IF(F350="","未消込",IF(ISNA(MATCH(F350,請求台帳!$A$5:$A$504,0)),"番号誤り",IF(INDEX(請求台帳!$Q$5:$Q$504,MATCH(F350,請求台帳!$A$5:$A$504,0))="取消","取消請求へ消込","消込済"))))))</f>
        <v/>
      </c>
      <c r="K350" s="26"/>
      <c r="L350" s="26"/>
    </row>
    <row r="351" customFormat="false" ht="15" hidden="false" customHeight="false" outlineLevel="0" collapsed="false">
      <c r="A351" s="31" t="str">
        <f aca="false">IF(COUNTA(B351,D351,E351,F351)=0,"",ROW()-4)</f>
        <v/>
      </c>
      <c r="B351" s="22"/>
      <c r="C351" s="26"/>
      <c r="D351" s="26"/>
      <c r="E351" s="18"/>
      <c r="F351" s="26"/>
      <c r="G351" s="31" t="str">
        <f aca="false">IF(F351="","",IFERROR(INDEX(請求台帳!$C$5:$C$504,MATCH(F351,請求台帳!$A$5:$A$504,0)),""))</f>
        <v/>
      </c>
      <c r="H351" s="31" t="str">
        <f aca="false">IF(F351="","",IFERROR(INDEX(請求台帳!$D$5:$D$504,MATCH(F351,請求台帳!$A$5:$A$504,0)),""))</f>
        <v/>
      </c>
      <c r="I351" s="27" t="str">
        <f aca="false">IF(F351="","",IFERROR(INDEX(請求台帳!$F$5:$F$504,MATCH(F351,請求台帳!$A$5:$A$504,0)),""))</f>
        <v/>
      </c>
      <c r="J351" s="28" t="str">
        <f aca="false">IF(COUNTA(B351,D351,E351,F351)=0,"",IF(OR(B351="",E351=""),"要入力",IF(N(B351)&gt;設定!$C$5,"日付誤り",IF(F351="","未消込",IF(ISNA(MATCH(F351,請求台帳!$A$5:$A$504,0)),"番号誤り",IF(INDEX(請求台帳!$Q$5:$Q$504,MATCH(F351,請求台帳!$A$5:$A$504,0))="取消","取消請求へ消込","消込済"))))))</f>
        <v/>
      </c>
      <c r="K351" s="26"/>
      <c r="L351" s="26"/>
    </row>
    <row r="352" customFormat="false" ht="15" hidden="false" customHeight="false" outlineLevel="0" collapsed="false">
      <c r="A352" s="31" t="str">
        <f aca="false">IF(COUNTA(B352,D352,E352,F352)=0,"",ROW()-4)</f>
        <v/>
      </c>
      <c r="B352" s="22"/>
      <c r="C352" s="26"/>
      <c r="D352" s="26"/>
      <c r="E352" s="18"/>
      <c r="F352" s="26"/>
      <c r="G352" s="31" t="str">
        <f aca="false">IF(F352="","",IFERROR(INDEX(請求台帳!$C$5:$C$504,MATCH(F352,請求台帳!$A$5:$A$504,0)),""))</f>
        <v/>
      </c>
      <c r="H352" s="31" t="str">
        <f aca="false">IF(F352="","",IFERROR(INDEX(請求台帳!$D$5:$D$504,MATCH(F352,請求台帳!$A$5:$A$504,0)),""))</f>
        <v/>
      </c>
      <c r="I352" s="27" t="str">
        <f aca="false">IF(F352="","",IFERROR(INDEX(請求台帳!$F$5:$F$504,MATCH(F352,請求台帳!$A$5:$A$504,0)),""))</f>
        <v/>
      </c>
      <c r="J352" s="28" t="str">
        <f aca="false">IF(COUNTA(B352,D352,E352,F352)=0,"",IF(OR(B352="",E352=""),"要入力",IF(N(B352)&gt;設定!$C$5,"日付誤り",IF(F352="","未消込",IF(ISNA(MATCH(F352,請求台帳!$A$5:$A$504,0)),"番号誤り",IF(INDEX(請求台帳!$Q$5:$Q$504,MATCH(F352,請求台帳!$A$5:$A$504,0))="取消","取消請求へ消込","消込済"))))))</f>
        <v/>
      </c>
      <c r="K352" s="26"/>
      <c r="L352" s="26"/>
    </row>
    <row r="353" customFormat="false" ht="15" hidden="false" customHeight="false" outlineLevel="0" collapsed="false">
      <c r="A353" s="31" t="str">
        <f aca="false">IF(COUNTA(B353,D353,E353,F353)=0,"",ROW()-4)</f>
        <v/>
      </c>
      <c r="B353" s="22"/>
      <c r="C353" s="26"/>
      <c r="D353" s="26"/>
      <c r="E353" s="18"/>
      <c r="F353" s="26"/>
      <c r="G353" s="31" t="str">
        <f aca="false">IF(F353="","",IFERROR(INDEX(請求台帳!$C$5:$C$504,MATCH(F353,請求台帳!$A$5:$A$504,0)),""))</f>
        <v/>
      </c>
      <c r="H353" s="31" t="str">
        <f aca="false">IF(F353="","",IFERROR(INDEX(請求台帳!$D$5:$D$504,MATCH(F353,請求台帳!$A$5:$A$504,0)),""))</f>
        <v/>
      </c>
      <c r="I353" s="27" t="str">
        <f aca="false">IF(F353="","",IFERROR(INDEX(請求台帳!$F$5:$F$504,MATCH(F353,請求台帳!$A$5:$A$504,0)),""))</f>
        <v/>
      </c>
      <c r="J353" s="28" t="str">
        <f aca="false">IF(COUNTA(B353,D353,E353,F353)=0,"",IF(OR(B353="",E353=""),"要入力",IF(N(B353)&gt;設定!$C$5,"日付誤り",IF(F353="","未消込",IF(ISNA(MATCH(F353,請求台帳!$A$5:$A$504,0)),"番号誤り",IF(INDEX(請求台帳!$Q$5:$Q$504,MATCH(F353,請求台帳!$A$5:$A$504,0))="取消","取消請求へ消込","消込済"))))))</f>
        <v/>
      </c>
      <c r="K353" s="26"/>
      <c r="L353" s="26"/>
    </row>
    <row r="354" customFormat="false" ht="15" hidden="false" customHeight="false" outlineLevel="0" collapsed="false">
      <c r="A354" s="31" t="str">
        <f aca="false">IF(COUNTA(B354,D354,E354,F354)=0,"",ROW()-4)</f>
        <v/>
      </c>
      <c r="B354" s="22"/>
      <c r="C354" s="26"/>
      <c r="D354" s="26"/>
      <c r="E354" s="18"/>
      <c r="F354" s="26"/>
      <c r="G354" s="31" t="str">
        <f aca="false">IF(F354="","",IFERROR(INDEX(請求台帳!$C$5:$C$504,MATCH(F354,請求台帳!$A$5:$A$504,0)),""))</f>
        <v/>
      </c>
      <c r="H354" s="31" t="str">
        <f aca="false">IF(F354="","",IFERROR(INDEX(請求台帳!$D$5:$D$504,MATCH(F354,請求台帳!$A$5:$A$504,0)),""))</f>
        <v/>
      </c>
      <c r="I354" s="27" t="str">
        <f aca="false">IF(F354="","",IFERROR(INDEX(請求台帳!$F$5:$F$504,MATCH(F354,請求台帳!$A$5:$A$504,0)),""))</f>
        <v/>
      </c>
      <c r="J354" s="28" t="str">
        <f aca="false">IF(COUNTA(B354,D354,E354,F354)=0,"",IF(OR(B354="",E354=""),"要入力",IF(N(B354)&gt;設定!$C$5,"日付誤り",IF(F354="","未消込",IF(ISNA(MATCH(F354,請求台帳!$A$5:$A$504,0)),"番号誤り",IF(INDEX(請求台帳!$Q$5:$Q$504,MATCH(F354,請求台帳!$A$5:$A$504,0))="取消","取消請求へ消込","消込済"))))))</f>
        <v/>
      </c>
      <c r="K354" s="26"/>
      <c r="L354" s="26"/>
    </row>
    <row r="355" customFormat="false" ht="15" hidden="false" customHeight="false" outlineLevel="0" collapsed="false">
      <c r="A355" s="31" t="str">
        <f aca="false">IF(COUNTA(B355,D355,E355,F355)=0,"",ROW()-4)</f>
        <v/>
      </c>
      <c r="B355" s="22"/>
      <c r="C355" s="26"/>
      <c r="D355" s="26"/>
      <c r="E355" s="18"/>
      <c r="F355" s="26"/>
      <c r="G355" s="31" t="str">
        <f aca="false">IF(F355="","",IFERROR(INDEX(請求台帳!$C$5:$C$504,MATCH(F355,請求台帳!$A$5:$A$504,0)),""))</f>
        <v/>
      </c>
      <c r="H355" s="31" t="str">
        <f aca="false">IF(F355="","",IFERROR(INDEX(請求台帳!$D$5:$D$504,MATCH(F355,請求台帳!$A$5:$A$504,0)),""))</f>
        <v/>
      </c>
      <c r="I355" s="27" t="str">
        <f aca="false">IF(F355="","",IFERROR(INDEX(請求台帳!$F$5:$F$504,MATCH(F355,請求台帳!$A$5:$A$504,0)),""))</f>
        <v/>
      </c>
      <c r="J355" s="28" t="str">
        <f aca="false">IF(COUNTA(B355,D355,E355,F355)=0,"",IF(OR(B355="",E355=""),"要入力",IF(N(B355)&gt;設定!$C$5,"日付誤り",IF(F355="","未消込",IF(ISNA(MATCH(F355,請求台帳!$A$5:$A$504,0)),"番号誤り",IF(INDEX(請求台帳!$Q$5:$Q$504,MATCH(F355,請求台帳!$A$5:$A$504,0))="取消","取消請求へ消込","消込済"))))))</f>
        <v/>
      </c>
      <c r="K355" s="26"/>
      <c r="L355" s="26"/>
    </row>
    <row r="356" customFormat="false" ht="15" hidden="false" customHeight="false" outlineLevel="0" collapsed="false">
      <c r="A356" s="31" t="str">
        <f aca="false">IF(COUNTA(B356,D356,E356,F356)=0,"",ROW()-4)</f>
        <v/>
      </c>
      <c r="B356" s="22"/>
      <c r="C356" s="26"/>
      <c r="D356" s="26"/>
      <c r="E356" s="18"/>
      <c r="F356" s="26"/>
      <c r="G356" s="31" t="str">
        <f aca="false">IF(F356="","",IFERROR(INDEX(請求台帳!$C$5:$C$504,MATCH(F356,請求台帳!$A$5:$A$504,0)),""))</f>
        <v/>
      </c>
      <c r="H356" s="31" t="str">
        <f aca="false">IF(F356="","",IFERROR(INDEX(請求台帳!$D$5:$D$504,MATCH(F356,請求台帳!$A$5:$A$504,0)),""))</f>
        <v/>
      </c>
      <c r="I356" s="27" t="str">
        <f aca="false">IF(F356="","",IFERROR(INDEX(請求台帳!$F$5:$F$504,MATCH(F356,請求台帳!$A$5:$A$504,0)),""))</f>
        <v/>
      </c>
      <c r="J356" s="28" t="str">
        <f aca="false">IF(COUNTA(B356,D356,E356,F356)=0,"",IF(OR(B356="",E356=""),"要入力",IF(N(B356)&gt;設定!$C$5,"日付誤り",IF(F356="","未消込",IF(ISNA(MATCH(F356,請求台帳!$A$5:$A$504,0)),"番号誤り",IF(INDEX(請求台帳!$Q$5:$Q$504,MATCH(F356,請求台帳!$A$5:$A$504,0))="取消","取消請求へ消込","消込済"))))))</f>
        <v/>
      </c>
      <c r="K356" s="26"/>
      <c r="L356" s="26"/>
    </row>
    <row r="357" customFormat="false" ht="15" hidden="false" customHeight="false" outlineLevel="0" collapsed="false">
      <c r="A357" s="31" t="str">
        <f aca="false">IF(COUNTA(B357,D357,E357,F357)=0,"",ROW()-4)</f>
        <v/>
      </c>
      <c r="B357" s="22"/>
      <c r="C357" s="26"/>
      <c r="D357" s="26"/>
      <c r="E357" s="18"/>
      <c r="F357" s="26"/>
      <c r="G357" s="31" t="str">
        <f aca="false">IF(F357="","",IFERROR(INDEX(請求台帳!$C$5:$C$504,MATCH(F357,請求台帳!$A$5:$A$504,0)),""))</f>
        <v/>
      </c>
      <c r="H357" s="31" t="str">
        <f aca="false">IF(F357="","",IFERROR(INDEX(請求台帳!$D$5:$D$504,MATCH(F357,請求台帳!$A$5:$A$504,0)),""))</f>
        <v/>
      </c>
      <c r="I357" s="27" t="str">
        <f aca="false">IF(F357="","",IFERROR(INDEX(請求台帳!$F$5:$F$504,MATCH(F357,請求台帳!$A$5:$A$504,0)),""))</f>
        <v/>
      </c>
      <c r="J357" s="28" t="str">
        <f aca="false">IF(COUNTA(B357,D357,E357,F357)=0,"",IF(OR(B357="",E357=""),"要入力",IF(N(B357)&gt;設定!$C$5,"日付誤り",IF(F357="","未消込",IF(ISNA(MATCH(F357,請求台帳!$A$5:$A$504,0)),"番号誤り",IF(INDEX(請求台帳!$Q$5:$Q$504,MATCH(F357,請求台帳!$A$5:$A$504,0))="取消","取消請求へ消込","消込済"))))))</f>
        <v/>
      </c>
      <c r="K357" s="26"/>
      <c r="L357" s="26"/>
    </row>
    <row r="358" customFormat="false" ht="15" hidden="false" customHeight="false" outlineLevel="0" collapsed="false">
      <c r="A358" s="31" t="str">
        <f aca="false">IF(COUNTA(B358,D358,E358,F358)=0,"",ROW()-4)</f>
        <v/>
      </c>
      <c r="B358" s="22"/>
      <c r="C358" s="26"/>
      <c r="D358" s="26"/>
      <c r="E358" s="18"/>
      <c r="F358" s="26"/>
      <c r="G358" s="31" t="str">
        <f aca="false">IF(F358="","",IFERROR(INDEX(請求台帳!$C$5:$C$504,MATCH(F358,請求台帳!$A$5:$A$504,0)),""))</f>
        <v/>
      </c>
      <c r="H358" s="31" t="str">
        <f aca="false">IF(F358="","",IFERROR(INDEX(請求台帳!$D$5:$D$504,MATCH(F358,請求台帳!$A$5:$A$504,0)),""))</f>
        <v/>
      </c>
      <c r="I358" s="27" t="str">
        <f aca="false">IF(F358="","",IFERROR(INDEX(請求台帳!$F$5:$F$504,MATCH(F358,請求台帳!$A$5:$A$504,0)),""))</f>
        <v/>
      </c>
      <c r="J358" s="28" t="str">
        <f aca="false">IF(COUNTA(B358,D358,E358,F358)=0,"",IF(OR(B358="",E358=""),"要入力",IF(N(B358)&gt;設定!$C$5,"日付誤り",IF(F358="","未消込",IF(ISNA(MATCH(F358,請求台帳!$A$5:$A$504,0)),"番号誤り",IF(INDEX(請求台帳!$Q$5:$Q$504,MATCH(F358,請求台帳!$A$5:$A$504,0))="取消","取消請求へ消込","消込済"))))))</f>
        <v/>
      </c>
      <c r="K358" s="26"/>
      <c r="L358" s="26"/>
    </row>
    <row r="359" customFormat="false" ht="15" hidden="false" customHeight="false" outlineLevel="0" collapsed="false">
      <c r="A359" s="31" t="str">
        <f aca="false">IF(COUNTA(B359,D359,E359,F359)=0,"",ROW()-4)</f>
        <v/>
      </c>
      <c r="B359" s="22"/>
      <c r="C359" s="26"/>
      <c r="D359" s="26"/>
      <c r="E359" s="18"/>
      <c r="F359" s="26"/>
      <c r="G359" s="31" t="str">
        <f aca="false">IF(F359="","",IFERROR(INDEX(請求台帳!$C$5:$C$504,MATCH(F359,請求台帳!$A$5:$A$504,0)),""))</f>
        <v/>
      </c>
      <c r="H359" s="31" t="str">
        <f aca="false">IF(F359="","",IFERROR(INDEX(請求台帳!$D$5:$D$504,MATCH(F359,請求台帳!$A$5:$A$504,0)),""))</f>
        <v/>
      </c>
      <c r="I359" s="27" t="str">
        <f aca="false">IF(F359="","",IFERROR(INDEX(請求台帳!$F$5:$F$504,MATCH(F359,請求台帳!$A$5:$A$504,0)),""))</f>
        <v/>
      </c>
      <c r="J359" s="28" t="str">
        <f aca="false">IF(COUNTA(B359,D359,E359,F359)=0,"",IF(OR(B359="",E359=""),"要入力",IF(N(B359)&gt;設定!$C$5,"日付誤り",IF(F359="","未消込",IF(ISNA(MATCH(F359,請求台帳!$A$5:$A$504,0)),"番号誤り",IF(INDEX(請求台帳!$Q$5:$Q$504,MATCH(F359,請求台帳!$A$5:$A$504,0))="取消","取消請求へ消込","消込済"))))))</f>
        <v/>
      </c>
      <c r="K359" s="26"/>
      <c r="L359" s="26"/>
    </row>
    <row r="360" customFormat="false" ht="15" hidden="false" customHeight="false" outlineLevel="0" collapsed="false">
      <c r="A360" s="31" t="str">
        <f aca="false">IF(COUNTA(B360,D360,E360,F360)=0,"",ROW()-4)</f>
        <v/>
      </c>
      <c r="B360" s="22"/>
      <c r="C360" s="26"/>
      <c r="D360" s="26"/>
      <c r="E360" s="18"/>
      <c r="F360" s="26"/>
      <c r="G360" s="31" t="str">
        <f aca="false">IF(F360="","",IFERROR(INDEX(請求台帳!$C$5:$C$504,MATCH(F360,請求台帳!$A$5:$A$504,0)),""))</f>
        <v/>
      </c>
      <c r="H360" s="31" t="str">
        <f aca="false">IF(F360="","",IFERROR(INDEX(請求台帳!$D$5:$D$504,MATCH(F360,請求台帳!$A$5:$A$504,0)),""))</f>
        <v/>
      </c>
      <c r="I360" s="27" t="str">
        <f aca="false">IF(F360="","",IFERROR(INDEX(請求台帳!$F$5:$F$504,MATCH(F360,請求台帳!$A$5:$A$504,0)),""))</f>
        <v/>
      </c>
      <c r="J360" s="28" t="str">
        <f aca="false">IF(COUNTA(B360,D360,E360,F360)=0,"",IF(OR(B360="",E360=""),"要入力",IF(N(B360)&gt;設定!$C$5,"日付誤り",IF(F360="","未消込",IF(ISNA(MATCH(F360,請求台帳!$A$5:$A$504,0)),"番号誤り",IF(INDEX(請求台帳!$Q$5:$Q$504,MATCH(F360,請求台帳!$A$5:$A$504,0))="取消","取消請求へ消込","消込済"))))))</f>
        <v/>
      </c>
      <c r="K360" s="26"/>
      <c r="L360" s="26"/>
    </row>
    <row r="361" customFormat="false" ht="15" hidden="false" customHeight="false" outlineLevel="0" collapsed="false">
      <c r="A361" s="31" t="str">
        <f aca="false">IF(COUNTA(B361,D361,E361,F361)=0,"",ROW()-4)</f>
        <v/>
      </c>
      <c r="B361" s="22"/>
      <c r="C361" s="26"/>
      <c r="D361" s="26"/>
      <c r="E361" s="18"/>
      <c r="F361" s="26"/>
      <c r="G361" s="31" t="str">
        <f aca="false">IF(F361="","",IFERROR(INDEX(請求台帳!$C$5:$C$504,MATCH(F361,請求台帳!$A$5:$A$504,0)),""))</f>
        <v/>
      </c>
      <c r="H361" s="31" t="str">
        <f aca="false">IF(F361="","",IFERROR(INDEX(請求台帳!$D$5:$D$504,MATCH(F361,請求台帳!$A$5:$A$504,0)),""))</f>
        <v/>
      </c>
      <c r="I361" s="27" t="str">
        <f aca="false">IF(F361="","",IFERROR(INDEX(請求台帳!$F$5:$F$504,MATCH(F361,請求台帳!$A$5:$A$504,0)),""))</f>
        <v/>
      </c>
      <c r="J361" s="28" t="str">
        <f aca="false">IF(COUNTA(B361,D361,E361,F361)=0,"",IF(OR(B361="",E361=""),"要入力",IF(N(B361)&gt;設定!$C$5,"日付誤り",IF(F361="","未消込",IF(ISNA(MATCH(F361,請求台帳!$A$5:$A$504,0)),"番号誤り",IF(INDEX(請求台帳!$Q$5:$Q$504,MATCH(F361,請求台帳!$A$5:$A$504,0))="取消","取消請求へ消込","消込済"))))))</f>
        <v/>
      </c>
      <c r="K361" s="26"/>
      <c r="L361" s="26"/>
    </row>
    <row r="362" customFormat="false" ht="15" hidden="false" customHeight="false" outlineLevel="0" collapsed="false">
      <c r="A362" s="31" t="str">
        <f aca="false">IF(COUNTA(B362,D362,E362,F362)=0,"",ROW()-4)</f>
        <v/>
      </c>
      <c r="B362" s="22"/>
      <c r="C362" s="26"/>
      <c r="D362" s="26"/>
      <c r="E362" s="18"/>
      <c r="F362" s="26"/>
      <c r="G362" s="31" t="str">
        <f aca="false">IF(F362="","",IFERROR(INDEX(請求台帳!$C$5:$C$504,MATCH(F362,請求台帳!$A$5:$A$504,0)),""))</f>
        <v/>
      </c>
      <c r="H362" s="31" t="str">
        <f aca="false">IF(F362="","",IFERROR(INDEX(請求台帳!$D$5:$D$504,MATCH(F362,請求台帳!$A$5:$A$504,0)),""))</f>
        <v/>
      </c>
      <c r="I362" s="27" t="str">
        <f aca="false">IF(F362="","",IFERROR(INDEX(請求台帳!$F$5:$F$504,MATCH(F362,請求台帳!$A$5:$A$504,0)),""))</f>
        <v/>
      </c>
      <c r="J362" s="28" t="str">
        <f aca="false">IF(COUNTA(B362,D362,E362,F362)=0,"",IF(OR(B362="",E362=""),"要入力",IF(N(B362)&gt;設定!$C$5,"日付誤り",IF(F362="","未消込",IF(ISNA(MATCH(F362,請求台帳!$A$5:$A$504,0)),"番号誤り",IF(INDEX(請求台帳!$Q$5:$Q$504,MATCH(F362,請求台帳!$A$5:$A$504,0))="取消","取消請求へ消込","消込済"))))))</f>
        <v/>
      </c>
      <c r="K362" s="26"/>
      <c r="L362" s="26"/>
    </row>
    <row r="363" customFormat="false" ht="15" hidden="false" customHeight="false" outlineLevel="0" collapsed="false">
      <c r="A363" s="31" t="str">
        <f aca="false">IF(COUNTA(B363,D363,E363,F363)=0,"",ROW()-4)</f>
        <v/>
      </c>
      <c r="B363" s="22"/>
      <c r="C363" s="26"/>
      <c r="D363" s="26"/>
      <c r="E363" s="18"/>
      <c r="F363" s="26"/>
      <c r="G363" s="31" t="str">
        <f aca="false">IF(F363="","",IFERROR(INDEX(請求台帳!$C$5:$C$504,MATCH(F363,請求台帳!$A$5:$A$504,0)),""))</f>
        <v/>
      </c>
      <c r="H363" s="31" t="str">
        <f aca="false">IF(F363="","",IFERROR(INDEX(請求台帳!$D$5:$D$504,MATCH(F363,請求台帳!$A$5:$A$504,0)),""))</f>
        <v/>
      </c>
      <c r="I363" s="27" t="str">
        <f aca="false">IF(F363="","",IFERROR(INDEX(請求台帳!$F$5:$F$504,MATCH(F363,請求台帳!$A$5:$A$504,0)),""))</f>
        <v/>
      </c>
      <c r="J363" s="28" t="str">
        <f aca="false">IF(COUNTA(B363,D363,E363,F363)=0,"",IF(OR(B363="",E363=""),"要入力",IF(N(B363)&gt;設定!$C$5,"日付誤り",IF(F363="","未消込",IF(ISNA(MATCH(F363,請求台帳!$A$5:$A$504,0)),"番号誤り",IF(INDEX(請求台帳!$Q$5:$Q$504,MATCH(F363,請求台帳!$A$5:$A$504,0))="取消","取消請求へ消込","消込済"))))))</f>
        <v/>
      </c>
      <c r="K363" s="26"/>
      <c r="L363" s="26"/>
    </row>
    <row r="364" customFormat="false" ht="15" hidden="false" customHeight="false" outlineLevel="0" collapsed="false">
      <c r="A364" s="31" t="str">
        <f aca="false">IF(COUNTA(B364,D364,E364,F364)=0,"",ROW()-4)</f>
        <v/>
      </c>
      <c r="B364" s="22"/>
      <c r="C364" s="26"/>
      <c r="D364" s="26"/>
      <c r="E364" s="18"/>
      <c r="F364" s="26"/>
      <c r="G364" s="31" t="str">
        <f aca="false">IF(F364="","",IFERROR(INDEX(請求台帳!$C$5:$C$504,MATCH(F364,請求台帳!$A$5:$A$504,0)),""))</f>
        <v/>
      </c>
      <c r="H364" s="31" t="str">
        <f aca="false">IF(F364="","",IFERROR(INDEX(請求台帳!$D$5:$D$504,MATCH(F364,請求台帳!$A$5:$A$504,0)),""))</f>
        <v/>
      </c>
      <c r="I364" s="27" t="str">
        <f aca="false">IF(F364="","",IFERROR(INDEX(請求台帳!$F$5:$F$504,MATCH(F364,請求台帳!$A$5:$A$504,0)),""))</f>
        <v/>
      </c>
      <c r="J364" s="28" t="str">
        <f aca="false">IF(COUNTA(B364,D364,E364,F364)=0,"",IF(OR(B364="",E364=""),"要入力",IF(N(B364)&gt;設定!$C$5,"日付誤り",IF(F364="","未消込",IF(ISNA(MATCH(F364,請求台帳!$A$5:$A$504,0)),"番号誤り",IF(INDEX(請求台帳!$Q$5:$Q$504,MATCH(F364,請求台帳!$A$5:$A$504,0))="取消","取消請求へ消込","消込済"))))))</f>
        <v/>
      </c>
      <c r="K364" s="26"/>
      <c r="L364" s="26"/>
    </row>
    <row r="365" customFormat="false" ht="15" hidden="false" customHeight="false" outlineLevel="0" collapsed="false">
      <c r="A365" s="31" t="str">
        <f aca="false">IF(COUNTA(B365,D365,E365,F365)=0,"",ROW()-4)</f>
        <v/>
      </c>
      <c r="B365" s="22"/>
      <c r="C365" s="26"/>
      <c r="D365" s="26"/>
      <c r="E365" s="18"/>
      <c r="F365" s="26"/>
      <c r="G365" s="31" t="str">
        <f aca="false">IF(F365="","",IFERROR(INDEX(請求台帳!$C$5:$C$504,MATCH(F365,請求台帳!$A$5:$A$504,0)),""))</f>
        <v/>
      </c>
      <c r="H365" s="31" t="str">
        <f aca="false">IF(F365="","",IFERROR(INDEX(請求台帳!$D$5:$D$504,MATCH(F365,請求台帳!$A$5:$A$504,0)),""))</f>
        <v/>
      </c>
      <c r="I365" s="27" t="str">
        <f aca="false">IF(F365="","",IFERROR(INDEX(請求台帳!$F$5:$F$504,MATCH(F365,請求台帳!$A$5:$A$504,0)),""))</f>
        <v/>
      </c>
      <c r="J365" s="28" t="str">
        <f aca="false">IF(COUNTA(B365,D365,E365,F365)=0,"",IF(OR(B365="",E365=""),"要入力",IF(N(B365)&gt;設定!$C$5,"日付誤り",IF(F365="","未消込",IF(ISNA(MATCH(F365,請求台帳!$A$5:$A$504,0)),"番号誤り",IF(INDEX(請求台帳!$Q$5:$Q$504,MATCH(F365,請求台帳!$A$5:$A$504,0))="取消","取消請求へ消込","消込済"))))))</f>
        <v/>
      </c>
      <c r="K365" s="26"/>
      <c r="L365" s="26"/>
    </row>
    <row r="366" customFormat="false" ht="15" hidden="false" customHeight="false" outlineLevel="0" collapsed="false">
      <c r="A366" s="31" t="str">
        <f aca="false">IF(COUNTA(B366,D366,E366,F366)=0,"",ROW()-4)</f>
        <v/>
      </c>
      <c r="B366" s="22"/>
      <c r="C366" s="26"/>
      <c r="D366" s="26"/>
      <c r="E366" s="18"/>
      <c r="F366" s="26"/>
      <c r="G366" s="31" t="str">
        <f aca="false">IF(F366="","",IFERROR(INDEX(請求台帳!$C$5:$C$504,MATCH(F366,請求台帳!$A$5:$A$504,0)),""))</f>
        <v/>
      </c>
      <c r="H366" s="31" t="str">
        <f aca="false">IF(F366="","",IFERROR(INDEX(請求台帳!$D$5:$D$504,MATCH(F366,請求台帳!$A$5:$A$504,0)),""))</f>
        <v/>
      </c>
      <c r="I366" s="27" t="str">
        <f aca="false">IF(F366="","",IFERROR(INDEX(請求台帳!$F$5:$F$504,MATCH(F366,請求台帳!$A$5:$A$504,0)),""))</f>
        <v/>
      </c>
      <c r="J366" s="28" t="str">
        <f aca="false">IF(COUNTA(B366,D366,E366,F366)=0,"",IF(OR(B366="",E366=""),"要入力",IF(N(B366)&gt;設定!$C$5,"日付誤り",IF(F366="","未消込",IF(ISNA(MATCH(F366,請求台帳!$A$5:$A$504,0)),"番号誤り",IF(INDEX(請求台帳!$Q$5:$Q$504,MATCH(F366,請求台帳!$A$5:$A$504,0))="取消","取消請求へ消込","消込済"))))))</f>
        <v/>
      </c>
      <c r="K366" s="26"/>
      <c r="L366" s="26"/>
    </row>
    <row r="367" customFormat="false" ht="15" hidden="false" customHeight="false" outlineLevel="0" collapsed="false">
      <c r="A367" s="31" t="str">
        <f aca="false">IF(COUNTA(B367,D367,E367,F367)=0,"",ROW()-4)</f>
        <v/>
      </c>
      <c r="B367" s="22"/>
      <c r="C367" s="26"/>
      <c r="D367" s="26"/>
      <c r="E367" s="18"/>
      <c r="F367" s="26"/>
      <c r="G367" s="31" t="str">
        <f aca="false">IF(F367="","",IFERROR(INDEX(請求台帳!$C$5:$C$504,MATCH(F367,請求台帳!$A$5:$A$504,0)),""))</f>
        <v/>
      </c>
      <c r="H367" s="31" t="str">
        <f aca="false">IF(F367="","",IFERROR(INDEX(請求台帳!$D$5:$D$504,MATCH(F367,請求台帳!$A$5:$A$504,0)),""))</f>
        <v/>
      </c>
      <c r="I367" s="27" t="str">
        <f aca="false">IF(F367="","",IFERROR(INDEX(請求台帳!$F$5:$F$504,MATCH(F367,請求台帳!$A$5:$A$504,0)),""))</f>
        <v/>
      </c>
      <c r="J367" s="28" t="str">
        <f aca="false">IF(COUNTA(B367,D367,E367,F367)=0,"",IF(OR(B367="",E367=""),"要入力",IF(N(B367)&gt;設定!$C$5,"日付誤り",IF(F367="","未消込",IF(ISNA(MATCH(F367,請求台帳!$A$5:$A$504,0)),"番号誤り",IF(INDEX(請求台帳!$Q$5:$Q$504,MATCH(F367,請求台帳!$A$5:$A$504,0))="取消","取消請求へ消込","消込済"))))))</f>
        <v/>
      </c>
      <c r="K367" s="26"/>
      <c r="L367" s="26"/>
    </row>
    <row r="368" customFormat="false" ht="15" hidden="false" customHeight="false" outlineLevel="0" collapsed="false">
      <c r="A368" s="31" t="str">
        <f aca="false">IF(COUNTA(B368,D368,E368,F368)=0,"",ROW()-4)</f>
        <v/>
      </c>
      <c r="B368" s="22"/>
      <c r="C368" s="26"/>
      <c r="D368" s="26"/>
      <c r="E368" s="18"/>
      <c r="F368" s="26"/>
      <c r="G368" s="31" t="str">
        <f aca="false">IF(F368="","",IFERROR(INDEX(請求台帳!$C$5:$C$504,MATCH(F368,請求台帳!$A$5:$A$504,0)),""))</f>
        <v/>
      </c>
      <c r="H368" s="31" t="str">
        <f aca="false">IF(F368="","",IFERROR(INDEX(請求台帳!$D$5:$D$504,MATCH(F368,請求台帳!$A$5:$A$504,0)),""))</f>
        <v/>
      </c>
      <c r="I368" s="27" t="str">
        <f aca="false">IF(F368="","",IFERROR(INDEX(請求台帳!$F$5:$F$504,MATCH(F368,請求台帳!$A$5:$A$504,0)),""))</f>
        <v/>
      </c>
      <c r="J368" s="28" t="str">
        <f aca="false">IF(COUNTA(B368,D368,E368,F368)=0,"",IF(OR(B368="",E368=""),"要入力",IF(N(B368)&gt;設定!$C$5,"日付誤り",IF(F368="","未消込",IF(ISNA(MATCH(F368,請求台帳!$A$5:$A$504,0)),"番号誤り",IF(INDEX(請求台帳!$Q$5:$Q$504,MATCH(F368,請求台帳!$A$5:$A$504,0))="取消","取消請求へ消込","消込済"))))))</f>
        <v/>
      </c>
      <c r="K368" s="26"/>
      <c r="L368" s="26"/>
    </row>
    <row r="369" customFormat="false" ht="15" hidden="false" customHeight="false" outlineLevel="0" collapsed="false">
      <c r="A369" s="31" t="str">
        <f aca="false">IF(COUNTA(B369,D369,E369,F369)=0,"",ROW()-4)</f>
        <v/>
      </c>
      <c r="B369" s="22"/>
      <c r="C369" s="26"/>
      <c r="D369" s="26"/>
      <c r="E369" s="18"/>
      <c r="F369" s="26"/>
      <c r="G369" s="31" t="str">
        <f aca="false">IF(F369="","",IFERROR(INDEX(請求台帳!$C$5:$C$504,MATCH(F369,請求台帳!$A$5:$A$504,0)),""))</f>
        <v/>
      </c>
      <c r="H369" s="31" t="str">
        <f aca="false">IF(F369="","",IFERROR(INDEX(請求台帳!$D$5:$D$504,MATCH(F369,請求台帳!$A$5:$A$504,0)),""))</f>
        <v/>
      </c>
      <c r="I369" s="27" t="str">
        <f aca="false">IF(F369="","",IFERROR(INDEX(請求台帳!$F$5:$F$504,MATCH(F369,請求台帳!$A$5:$A$504,0)),""))</f>
        <v/>
      </c>
      <c r="J369" s="28" t="str">
        <f aca="false">IF(COUNTA(B369,D369,E369,F369)=0,"",IF(OR(B369="",E369=""),"要入力",IF(N(B369)&gt;設定!$C$5,"日付誤り",IF(F369="","未消込",IF(ISNA(MATCH(F369,請求台帳!$A$5:$A$504,0)),"番号誤り",IF(INDEX(請求台帳!$Q$5:$Q$504,MATCH(F369,請求台帳!$A$5:$A$504,0))="取消","取消請求へ消込","消込済"))))))</f>
        <v/>
      </c>
      <c r="K369" s="26"/>
      <c r="L369" s="26"/>
    </row>
    <row r="370" customFormat="false" ht="15" hidden="false" customHeight="false" outlineLevel="0" collapsed="false">
      <c r="A370" s="31" t="str">
        <f aca="false">IF(COUNTA(B370,D370,E370,F370)=0,"",ROW()-4)</f>
        <v/>
      </c>
      <c r="B370" s="22"/>
      <c r="C370" s="26"/>
      <c r="D370" s="26"/>
      <c r="E370" s="18"/>
      <c r="F370" s="26"/>
      <c r="G370" s="31" t="str">
        <f aca="false">IF(F370="","",IFERROR(INDEX(請求台帳!$C$5:$C$504,MATCH(F370,請求台帳!$A$5:$A$504,0)),""))</f>
        <v/>
      </c>
      <c r="H370" s="31" t="str">
        <f aca="false">IF(F370="","",IFERROR(INDEX(請求台帳!$D$5:$D$504,MATCH(F370,請求台帳!$A$5:$A$504,0)),""))</f>
        <v/>
      </c>
      <c r="I370" s="27" t="str">
        <f aca="false">IF(F370="","",IFERROR(INDEX(請求台帳!$F$5:$F$504,MATCH(F370,請求台帳!$A$5:$A$504,0)),""))</f>
        <v/>
      </c>
      <c r="J370" s="28" t="str">
        <f aca="false">IF(COUNTA(B370,D370,E370,F370)=0,"",IF(OR(B370="",E370=""),"要入力",IF(N(B370)&gt;設定!$C$5,"日付誤り",IF(F370="","未消込",IF(ISNA(MATCH(F370,請求台帳!$A$5:$A$504,0)),"番号誤り",IF(INDEX(請求台帳!$Q$5:$Q$504,MATCH(F370,請求台帳!$A$5:$A$504,0))="取消","取消請求へ消込","消込済"))))))</f>
        <v/>
      </c>
      <c r="K370" s="26"/>
      <c r="L370" s="26"/>
    </row>
    <row r="371" customFormat="false" ht="15" hidden="false" customHeight="false" outlineLevel="0" collapsed="false">
      <c r="A371" s="31" t="str">
        <f aca="false">IF(COUNTA(B371,D371,E371,F371)=0,"",ROW()-4)</f>
        <v/>
      </c>
      <c r="B371" s="22"/>
      <c r="C371" s="26"/>
      <c r="D371" s="26"/>
      <c r="E371" s="18"/>
      <c r="F371" s="26"/>
      <c r="G371" s="31" t="str">
        <f aca="false">IF(F371="","",IFERROR(INDEX(請求台帳!$C$5:$C$504,MATCH(F371,請求台帳!$A$5:$A$504,0)),""))</f>
        <v/>
      </c>
      <c r="H371" s="31" t="str">
        <f aca="false">IF(F371="","",IFERROR(INDEX(請求台帳!$D$5:$D$504,MATCH(F371,請求台帳!$A$5:$A$504,0)),""))</f>
        <v/>
      </c>
      <c r="I371" s="27" t="str">
        <f aca="false">IF(F371="","",IFERROR(INDEX(請求台帳!$F$5:$F$504,MATCH(F371,請求台帳!$A$5:$A$504,0)),""))</f>
        <v/>
      </c>
      <c r="J371" s="28" t="str">
        <f aca="false">IF(COUNTA(B371,D371,E371,F371)=0,"",IF(OR(B371="",E371=""),"要入力",IF(N(B371)&gt;設定!$C$5,"日付誤り",IF(F371="","未消込",IF(ISNA(MATCH(F371,請求台帳!$A$5:$A$504,0)),"番号誤り",IF(INDEX(請求台帳!$Q$5:$Q$504,MATCH(F371,請求台帳!$A$5:$A$504,0))="取消","取消請求へ消込","消込済"))))))</f>
        <v/>
      </c>
      <c r="K371" s="26"/>
      <c r="L371" s="26"/>
    </row>
    <row r="372" customFormat="false" ht="15" hidden="false" customHeight="false" outlineLevel="0" collapsed="false">
      <c r="A372" s="31" t="str">
        <f aca="false">IF(COUNTA(B372,D372,E372,F372)=0,"",ROW()-4)</f>
        <v/>
      </c>
      <c r="B372" s="22"/>
      <c r="C372" s="26"/>
      <c r="D372" s="26"/>
      <c r="E372" s="18"/>
      <c r="F372" s="26"/>
      <c r="G372" s="31" t="str">
        <f aca="false">IF(F372="","",IFERROR(INDEX(請求台帳!$C$5:$C$504,MATCH(F372,請求台帳!$A$5:$A$504,0)),""))</f>
        <v/>
      </c>
      <c r="H372" s="31" t="str">
        <f aca="false">IF(F372="","",IFERROR(INDEX(請求台帳!$D$5:$D$504,MATCH(F372,請求台帳!$A$5:$A$504,0)),""))</f>
        <v/>
      </c>
      <c r="I372" s="27" t="str">
        <f aca="false">IF(F372="","",IFERROR(INDEX(請求台帳!$F$5:$F$504,MATCH(F372,請求台帳!$A$5:$A$504,0)),""))</f>
        <v/>
      </c>
      <c r="J372" s="28" t="str">
        <f aca="false">IF(COUNTA(B372,D372,E372,F372)=0,"",IF(OR(B372="",E372=""),"要入力",IF(N(B372)&gt;設定!$C$5,"日付誤り",IF(F372="","未消込",IF(ISNA(MATCH(F372,請求台帳!$A$5:$A$504,0)),"番号誤り",IF(INDEX(請求台帳!$Q$5:$Q$504,MATCH(F372,請求台帳!$A$5:$A$504,0))="取消","取消請求へ消込","消込済"))))))</f>
        <v/>
      </c>
      <c r="K372" s="26"/>
      <c r="L372" s="26"/>
    </row>
    <row r="373" customFormat="false" ht="15" hidden="false" customHeight="false" outlineLevel="0" collapsed="false">
      <c r="A373" s="31" t="str">
        <f aca="false">IF(COUNTA(B373,D373,E373,F373)=0,"",ROW()-4)</f>
        <v/>
      </c>
      <c r="B373" s="22"/>
      <c r="C373" s="26"/>
      <c r="D373" s="26"/>
      <c r="E373" s="18"/>
      <c r="F373" s="26"/>
      <c r="G373" s="31" t="str">
        <f aca="false">IF(F373="","",IFERROR(INDEX(請求台帳!$C$5:$C$504,MATCH(F373,請求台帳!$A$5:$A$504,0)),""))</f>
        <v/>
      </c>
      <c r="H373" s="31" t="str">
        <f aca="false">IF(F373="","",IFERROR(INDEX(請求台帳!$D$5:$D$504,MATCH(F373,請求台帳!$A$5:$A$504,0)),""))</f>
        <v/>
      </c>
      <c r="I373" s="27" t="str">
        <f aca="false">IF(F373="","",IFERROR(INDEX(請求台帳!$F$5:$F$504,MATCH(F373,請求台帳!$A$5:$A$504,0)),""))</f>
        <v/>
      </c>
      <c r="J373" s="28" t="str">
        <f aca="false">IF(COUNTA(B373,D373,E373,F373)=0,"",IF(OR(B373="",E373=""),"要入力",IF(N(B373)&gt;設定!$C$5,"日付誤り",IF(F373="","未消込",IF(ISNA(MATCH(F373,請求台帳!$A$5:$A$504,0)),"番号誤り",IF(INDEX(請求台帳!$Q$5:$Q$504,MATCH(F373,請求台帳!$A$5:$A$504,0))="取消","取消請求へ消込","消込済"))))))</f>
        <v/>
      </c>
      <c r="K373" s="26"/>
      <c r="L373" s="26"/>
    </row>
    <row r="374" customFormat="false" ht="15" hidden="false" customHeight="false" outlineLevel="0" collapsed="false">
      <c r="A374" s="31" t="str">
        <f aca="false">IF(COUNTA(B374,D374,E374,F374)=0,"",ROW()-4)</f>
        <v/>
      </c>
      <c r="B374" s="22"/>
      <c r="C374" s="26"/>
      <c r="D374" s="26"/>
      <c r="E374" s="18"/>
      <c r="F374" s="26"/>
      <c r="G374" s="31" t="str">
        <f aca="false">IF(F374="","",IFERROR(INDEX(請求台帳!$C$5:$C$504,MATCH(F374,請求台帳!$A$5:$A$504,0)),""))</f>
        <v/>
      </c>
      <c r="H374" s="31" t="str">
        <f aca="false">IF(F374="","",IFERROR(INDEX(請求台帳!$D$5:$D$504,MATCH(F374,請求台帳!$A$5:$A$504,0)),""))</f>
        <v/>
      </c>
      <c r="I374" s="27" t="str">
        <f aca="false">IF(F374="","",IFERROR(INDEX(請求台帳!$F$5:$F$504,MATCH(F374,請求台帳!$A$5:$A$504,0)),""))</f>
        <v/>
      </c>
      <c r="J374" s="28" t="str">
        <f aca="false">IF(COUNTA(B374,D374,E374,F374)=0,"",IF(OR(B374="",E374=""),"要入力",IF(N(B374)&gt;設定!$C$5,"日付誤り",IF(F374="","未消込",IF(ISNA(MATCH(F374,請求台帳!$A$5:$A$504,0)),"番号誤り",IF(INDEX(請求台帳!$Q$5:$Q$504,MATCH(F374,請求台帳!$A$5:$A$504,0))="取消","取消請求へ消込","消込済"))))))</f>
        <v/>
      </c>
      <c r="K374" s="26"/>
      <c r="L374" s="26"/>
    </row>
    <row r="375" customFormat="false" ht="15" hidden="false" customHeight="false" outlineLevel="0" collapsed="false">
      <c r="A375" s="31" t="str">
        <f aca="false">IF(COUNTA(B375,D375,E375,F375)=0,"",ROW()-4)</f>
        <v/>
      </c>
      <c r="B375" s="22"/>
      <c r="C375" s="26"/>
      <c r="D375" s="26"/>
      <c r="E375" s="18"/>
      <c r="F375" s="26"/>
      <c r="G375" s="31" t="str">
        <f aca="false">IF(F375="","",IFERROR(INDEX(請求台帳!$C$5:$C$504,MATCH(F375,請求台帳!$A$5:$A$504,0)),""))</f>
        <v/>
      </c>
      <c r="H375" s="31" t="str">
        <f aca="false">IF(F375="","",IFERROR(INDEX(請求台帳!$D$5:$D$504,MATCH(F375,請求台帳!$A$5:$A$504,0)),""))</f>
        <v/>
      </c>
      <c r="I375" s="27" t="str">
        <f aca="false">IF(F375="","",IFERROR(INDEX(請求台帳!$F$5:$F$504,MATCH(F375,請求台帳!$A$5:$A$504,0)),""))</f>
        <v/>
      </c>
      <c r="J375" s="28" t="str">
        <f aca="false">IF(COUNTA(B375,D375,E375,F375)=0,"",IF(OR(B375="",E375=""),"要入力",IF(N(B375)&gt;設定!$C$5,"日付誤り",IF(F375="","未消込",IF(ISNA(MATCH(F375,請求台帳!$A$5:$A$504,0)),"番号誤り",IF(INDEX(請求台帳!$Q$5:$Q$504,MATCH(F375,請求台帳!$A$5:$A$504,0))="取消","取消請求へ消込","消込済"))))))</f>
        <v/>
      </c>
      <c r="K375" s="26"/>
      <c r="L375" s="26"/>
    </row>
    <row r="376" customFormat="false" ht="15" hidden="false" customHeight="false" outlineLevel="0" collapsed="false">
      <c r="A376" s="31" t="str">
        <f aca="false">IF(COUNTA(B376,D376,E376,F376)=0,"",ROW()-4)</f>
        <v/>
      </c>
      <c r="B376" s="22"/>
      <c r="C376" s="26"/>
      <c r="D376" s="26"/>
      <c r="E376" s="18"/>
      <c r="F376" s="26"/>
      <c r="G376" s="31" t="str">
        <f aca="false">IF(F376="","",IFERROR(INDEX(請求台帳!$C$5:$C$504,MATCH(F376,請求台帳!$A$5:$A$504,0)),""))</f>
        <v/>
      </c>
      <c r="H376" s="31" t="str">
        <f aca="false">IF(F376="","",IFERROR(INDEX(請求台帳!$D$5:$D$504,MATCH(F376,請求台帳!$A$5:$A$504,0)),""))</f>
        <v/>
      </c>
      <c r="I376" s="27" t="str">
        <f aca="false">IF(F376="","",IFERROR(INDEX(請求台帳!$F$5:$F$504,MATCH(F376,請求台帳!$A$5:$A$504,0)),""))</f>
        <v/>
      </c>
      <c r="J376" s="28" t="str">
        <f aca="false">IF(COUNTA(B376,D376,E376,F376)=0,"",IF(OR(B376="",E376=""),"要入力",IF(N(B376)&gt;設定!$C$5,"日付誤り",IF(F376="","未消込",IF(ISNA(MATCH(F376,請求台帳!$A$5:$A$504,0)),"番号誤り",IF(INDEX(請求台帳!$Q$5:$Q$504,MATCH(F376,請求台帳!$A$5:$A$504,0))="取消","取消請求へ消込","消込済"))))))</f>
        <v/>
      </c>
      <c r="K376" s="26"/>
      <c r="L376" s="26"/>
    </row>
    <row r="377" customFormat="false" ht="15" hidden="false" customHeight="false" outlineLevel="0" collapsed="false">
      <c r="A377" s="31" t="str">
        <f aca="false">IF(COUNTA(B377,D377,E377,F377)=0,"",ROW()-4)</f>
        <v/>
      </c>
      <c r="B377" s="22"/>
      <c r="C377" s="26"/>
      <c r="D377" s="26"/>
      <c r="E377" s="18"/>
      <c r="F377" s="26"/>
      <c r="G377" s="31" t="str">
        <f aca="false">IF(F377="","",IFERROR(INDEX(請求台帳!$C$5:$C$504,MATCH(F377,請求台帳!$A$5:$A$504,0)),""))</f>
        <v/>
      </c>
      <c r="H377" s="31" t="str">
        <f aca="false">IF(F377="","",IFERROR(INDEX(請求台帳!$D$5:$D$504,MATCH(F377,請求台帳!$A$5:$A$504,0)),""))</f>
        <v/>
      </c>
      <c r="I377" s="27" t="str">
        <f aca="false">IF(F377="","",IFERROR(INDEX(請求台帳!$F$5:$F$504,MATCH(F377,請求台帳!$A$5:$A$504,0)),""))</f>
        <v/>
      </c>
      <c r="J377" s="28" t="str">
        <f aca="false">IF(COUNTA(B377,D377,E377,F377)=0,"",IF(OR(B377="",E377=""),"要入力",IF(N(B377)&gt;設定!$C$5,"日付誤り",IF(F377="","未消込",IF(ISNA(MATCH(F377,請求台帳!$A$5:$A$504,0)),"番号誤り",IF(INDEX(請求台帳!$Q$5:$Q$504,MATCH(F377,請求台帳!$A$5:$A$504,0))="取消","取消請求へ消込","消込済"))))))</f>
        <v/>
      </c>
      <c r="K377" s="26"/>
      <c r="L377" s="26"/>
    </row>
    <row r="378" customFormat="false" ht="15" hidden="false" customHeight="false" outlineLevel="0" collapsed="false">
      <c r="A378" s="31" t="str">
        <f aca="false">IF(COUNTA(B378,D378,E378,F378)=0,"",ROW()-4)</f>
        <v/>
      </c>
      <c r="B378" s="22"/>
      <c r="C378" s="26"/>
      <c r="D378" s="26"/>
      <c r="E378" s="18"/>
      <c r="F378" s="26"/>
      <c r="G378" s="31" t="str">
        <f aca="false">IF(F378="","",IFERROR(INDEX(請求台帳!$C$5:$C$504,MATCH(F378,請求台帳!$A$5:$A$504,0)),""))</f>
        <v/>
      </c>
      <c r="H378" s="31" t="str">
        <f aca="false">IF(F378="","",IFERROR(INDEX(請求台帳!$D$5:$D$504,MATCH(F378,請求台帳!$A$5:$A$504,0)),""))</f>
        <v/>
      </c>
      <c r="I378" s="27" t="str">
        <f aca="false">IF(F378="","",IFERROR(INDEX(請求台帳!$F$5:$F$504,MATCH(F378,請求台帳!$A$5:$A$504,0)),""))</f>
        <v/>
      </c>
      <c r="J378" s="28" t="str">
        <f aca="false">IF(COUNTA(B378,D378,E378,F378)=0,"",IF(OR(B378="",E378=""),"要入力",IF(N(B378)&gt;設定!$C$5,"日付誤り",IF(F378="","未消込",IF(ISNA(MATCH(F378,請求台帳!$A$5:$A$504,0)),"番号誤り",IF(INDEX(請求台帳!$Q$5:$Q$504,MATCH(F378,請求台帳!$A$5:$A$504,0))="取消","取消請求へ消込","消込済"))))))</f>
        <v/>
      </c>
      <c r="K378" s="26"/>
      <c r="L378" s="26"/>
    </row>
    <row r="379" customFormat="false" ht="15" hidden="false" customHeight="false" outlineLevel="0" collapsed="false">
      <c r="A379" s="31" t="str">
        <f aca="false">IF(COUNTA(B379,D379,E379,F379)=0,"",ROW()-4)</f>
        <v/>
      </c>
      <c r="B379" s="22"/>
      <c r="C379" s="26"/>
      <c r="D379" s="26"/>
      <c r="E379" s="18"/>
      <c r="F379" s="26"/>
      <c r="G379" s="31" t="str">
        <f aca="false">IF(F379="","",IFERROR(INDEX(請求台帳!$C$5:$C$504,MATCH(F379,請求台帳!$A$5:$A$504,0)),""))</f>
        <v/>
      </c>
      <c r="H379" s="31" t="str">
        <f aca="false">IF(F379="","",IFERROR(INDEX(請求台帳!$D$5:$D$504,MATCH(F379,請求台帳!$A$5:$A$504,0)),""))</f>
        <v/>
      </c>
      <c r="I379" s="27" t="str">
        <f aca="false">IF(F379="","",IFERROR(INDEX(請求台帳!$F$5:$F$504,MATCH(F379,請求台帳!$A$5:$A$504,0)),""))</f>
        <v/>
      </c>
      <c r="J379" s="28" t="str">
        <f aca="false">IF(COUNTA(B379,D379,E379,F379)=0,"",IF(OR(B379="",E379=""),"要入力",IF(N(B379)&gt;設定!$C$5,"日付誤り",IF(F379="","未消込",IF(ISNA(MATCH(F379,請求台帳!$A$5:$A$504,0)),"番号誤り",IF(INDEX(請求台帳!$Q$5:$Q$504,MATCH(F379,請求台帳!$A$5:$A$504,0))="取消","取消請求へ消込","消込済"))))))</f>
        <v/>
      </c>
      <c r="K379" s="26"/>
      <c r="L379" s="26"/>
    </row>
    <row r="380" customFormat="false" ht="15" hidden="false" customHeight="false" outlineLevel="0" collapsed="false">
      <c r="A380" s="31" t="str">
        <f aca="false">IF(COUNTA(B380,D380,E380,F380)=0,"",ROW()-4)</f>
        <v/>
      </c>
      <c r="B380" s="22"/>
      <c r="C380" s="26"/>
      <c r="D380" s="26"/>
      <c r="E380" s="18"/>
      <c r="F380" s="26"/>
      <c r="G380" s="31" t="str">
        <f aca="false">IF(F380="","",IFERROR(INDEX(請求台帳!$C$5:$C$504,MATCH(F380,請求台帳!$A$5:$A$504,0)),""))</f>
        <v/>
      </c>
      <c r="H380" s="31" t="str">
        <f aca="false">IF(F380="","",IFERROR(INDEX(請求台帳!$D$5:$D$504,MATCH(F380,請求台帳!$A$5:$A$504,0)),""))</f>
        <v/>
      </c>
      <c r="I380" s="27" t="str">
        <f aca="false">IF(F380="","",IFERROR(INDEX(請求台帳!$F$5:$F$504,MATCH(F380,請求台帳!$A$5:$A$504,0)),""))</f>
        <v/>
      </c>
      <c r="J380" s="28" t="str">
        <f aca="false">IF(COUNTA(B380,D380,E380,F380)=0,"",IF(OR(B380="",E380=""),"要入力",IF(N(B380)&gt;設定!$C$5,"日付誤り",IF(F380="","未消込",IF(ISNA(MATCH(F380,請求台帳!$A$5:$A$504,0)),"番号誤り",IF(INDEX(請求台帳!$Q$5:$Q$504,MATCH(F380,請求台帳!$A$5:$A$504,0))="取消","取消請求へ消込","消込済"))))))</f>
        <v/>
      </c>
      <c r="K380" s="26"/>
      <c r="L380" s="26"/>
    </row>
    <row r="381" customFormat="false" ht="15" hidden="false" customHeight="false" outlineLevel="0" collapsed="false">
      <c r="A381" s="31" t="str">
        <f aca="false">IF(COUNTA(B381,D381,E381,F381)=0,"",ROW()-4)</f>
        <v/>
      </c>
      <c r="B381" s="22"/>
      <c r="C381" s="26"/>
      <c r="D381" s="26"/>
      <c r="E381" s="18"/>
      <c r="F381" s="26"/>
      <c r="G381" s="31" t="str">
        <f aca="false">IF(F381="","",IFERROR(INDEX(請求台帳!$C$5:$C$504,MATCH(F381,請求台帳!$A$5:$A$504,0)),""))</f>
        <v/>
      </c>
      <c r="H381" s="31" t="str">
        <f aca="false">IF(F381="","",IFERROR(INDEX(請求台帳!$D$5:$D$504,MATCH(F381,請求台帳!$A$5:$A$504,0)),""))</f>
        <v/>
      </c>
      <c r="I381" s="27" t="str">
        <f aca="false">IF(F381="","",IFERROR(INDEX(請求台帳!$F$5:$F$504,MATCH(F381,請求台帳!$A$5:$A$504,0)),""))</f>
        <v/>
      </c>
      <c r="J381" s="28" t="str">
        <f aca="false">IF(COUNTA(B381,D381,E381,F381)=0,"",IF(OR(B381="",E381=""),"要入力",IF(N(B381)&gt;設定!$C$5,"日付誤り",IF(F381="","未消込",IF(ISNA(MATCH(F381,請求台帳!$A$5:$A$504,0)),"番号誤り",IF(INDEX(請求台帳!$Q$5:$Q$504,MATCH(F381,請求台帳!$A$5:$A$504,0))="取消","取消請求へ消込","消込済"))))))</f>
        <v/>
      </c>
      <c r="K381" s="26"/>
      <c r="L381" s="26"/>
    </row>
    <row r="382" customFormat="false" ht="15" hidden="false" customHeight="false" outlineLevel="0" collapsed="false">
      <c r="A382" s="31" t="str">
        <f aca="false">IF(COUNTA(B382,D382,E382,F382)=0,"",ROW()-4)</f>
        <v/>
      </c>
      <c r="B382" s="22"/>
      <c r="C382" s="26"/>
      <c r="D382" s="26"/>
      <c r="E382" s="18"/>
      <c r="F382" s="26"/>
      <c r="G382" s="31" t="str">
        <f aca="false">IF(F382="","",IFERROR(INDEX(請求台帳!$C$5:$C$504,MATCH(F382,請求台帳!$A$5:$A$504,0)),""))</f>
        <v/>
      </c>
      <c r="H382" s="31" t="str">
        <f aca="false">IF(F382="","",IFERROR(INDEX(請求台帳!$D$5:$D$504,MATCH(F382,請求台帳!$A$5:$A$504,0)),""))</f>
        <v/>
      </c>
      <c r="I382" s="27" t="str">
        <f aca="false">IF(F382="","",IFERROR(INDEX(請求台帳!$F$5:$F$504,MATCH(F382,請求台帳!$A$5:$A$504,0)),""))</f>
        <v/>
      </c>
      <c r="J382" s="28" t="str">
        <f aca="false">IF(COUNTA(B382,D382,E382,F382)=0,"",IF(OR(B382="",E382=""),"要入力",IF(N(B382)&gt;設定!$C$5,"日付誤り",IF(F382="","未消込",IF(ISNA(MATCH(F382,請求台帳!$A$5:$A$504,0)),"番号誤り",IF(INDEX(請求台帳!$Q$5:$Q$504,MATCH(F382,請求台帳!$A$5:$A$504,0))="取消","取消請求へ消込","消込済"))))))</f>
        <v/>
      </c>
      <c r="K382" s="26"/>
      <c r="L382" s="26"/>
    </row>
    <row r="383" customFormat="false" ht="15" hidden="false" customHeight="false" outlineLevel="0" collapsed="false">
      <c r="A383" s="31" t="str">
        <f aca="false">IF(COUNTA(B383,D383,E383,F383)=0,"",ROW()-4)</f>
        <v/>
      </c>
      <c r="B383" s="22"/>
      <c r="C383" s="26"/>
      <c r="D383" s="26"/>
      <c r="E383" s="18"/>
      <c r="F383" s="26"/>
      <c r="G383" s="31" t="str">
        <f aca="false">IF(F383="","",IFERROR(INDEX(請求台帳!$C$5:$C$504,MATCH(F383,請求台帳!$A$5:$A$504,0)),""))</f>
        <v/>
      </c>
      <c r="H383" s="31" t="str">
        <f aca="false">IF(F383="","",IFERROR(INDEX(請求台帳!$D$5:$D$504,MATCH(F383,請求台帳!$A$5:$A$504,0)),""))</f>
        <v/>
      </c>
      <c r="I383" s="27" t="str">
        <f aca="false">IF(F383="","",IFERROR(INDEX(請求台帳!$F$5:$F$504,MATCH(F383,請求台帳!$A$5:$A$504,0)),""))</f>
        <v/>
      </c>
      <c r="J383" s="28" t="str">
        <f aca="false">IF(COUNTA(B383,D383,E383,F383)=0,"",IF(OR(B383="",E383=""),"要入力",IF(N(B383)&gt;設定!$C$5,"日付誤り",IF(F383="","未消込",IF(ISNA(MATCH(F383,請求台帳!$A$5:$A$504,0)),"番号誤り",IF(INDEX(請求台帳!$Q$5:$Q$504,MATCH(F383,請求台帳!$A$5:$A$504,0))="取消","取消請求へ消込","消込済"))))))</f>
        <v/>
      </c>
      <c r="K383" s="26"/>
      <c r="L383" s="26"/>
    </row>
    <row r="384" customFormat="false" ht="15" hidden="false" customHeight="false" outlineLevel="0" collapsed="false">
      <c r="A384" s="31" t="str">
        <f aca="false">IF(COUNTA(B384,D384,E384,F384)=0,"",ROW()-4)</f>
        <v/>
      </c>
      <c r="B384" s="22"/>
      <c r="C384" s="26"/>
      <c r="D384" s="26"/>
      <c r="E384" s="18"/>
      <c r="F384" s="26"/>
      <c r="G384" s="31" t="str">
        <f aca="false">IF(F384="","",IFERROR(INDEX(請求台帳!$C$5:$C$504,MATCH(F384,請求台帳!$A$5:$A$504,0)),""))</f>
        <v/>
      </c>
      <c r="H384" s="31" t="str">
        <f aca="false">IF(F384="","",IFERROR(INDEX(請求台帳!$D$5:$D$504,MATCH(F384,請求台帳!$A$5:$A$504,0)),""))</f>
        <v/>
      </c>
      <c r="I384" s="27" t="str">
        <f aca="false">IF(F384="","",IFERROR(INDEX(請求台帳!$F$5:$F$504,MATCH(F384,請求台帳!$A$5:$A$504,0)),""))</f>
        <v/>
      </c>
      <c r="J384" s="28" t="str">
        <f aca="false">IF(COUNTA(B384,D384,E384,F384)=0,"",IF(OR(B384="",E384=""),"要入力",IF(N(B384)&gt;設定!$C$5,"日付誤り",IF(F384="","未消込",IF(ISNA(MATCH(F384,請求台帳!$A$5:$A$504,0)),"番号誤り",IF(INDEX(請求台帳!$Q$5:$Q$504,MATCH(F384,請求台帳!$A$5:$A$504,0))="取消","取消請求へ消込","消込済"))))))</f>
        <v/>
      </c>
      <c r="K384" s="26"/>
      <c r="L384" s="26"/>
    </row>
    <row r="385" customFormat="false" ht="15" hidden="false" customHeight="false" outlineLevel="0" collapsed="false">
      <c r="A385" s="31" t="str">
        <f aca="false">IF(COUNTA(B385,D385,E385,F385)=0,"",ROW()-4)</f>
        <v/>
      </c>
      <c r="B385" s="22"/>
      <c r="C385" s="26"/>
      <c r="D385" s="26"/>
      <c r="E385" s="18"/>
      <c r="F385" s="26"/>
      <c r="G385" s="31" t="str">
        <f aca="false">IF(F385="","",IFERROR(INDEX(請求台帳!$C$5:$C$504,MATCH(F385,請求台帳!$A$5:$A$504,0)),""))</f>
        <v/>
      </c>
      <c r="H385" s="31" t="str">
        <f aca="false">IF(F385="","",IFERROR(INDEX(請求台帳!$D$5:$D$504,MATCH(F385,請求台帳!$A$5:$A$504,0)),""))</f>
        <v/>
      </c>
      <c r="I385" s="27" t="str">
        <f aca="false">IF(F385="","",IFERROR(INDEX(請求台帳!$F$5:$F$504,MATCH(F385,請求台帳!$A$5:$A$504,0)),""))</f>
        <v/>
      </c>
      <c r="J385" s="28" t="str">
        <f aca="false">IF(COUNTA(B385,D385,E385,F385)=0,"",IF(OR(B385="",E385=""),"要入力",IF(N(B385)&gt;設定!$C$5,"日付誤り",IF(F385="","未消込",IF(ISNA(MATCH(F385,請求台帳!$A$5:$A$504,0)),"番号誤り",IF(INDEX(請求台帳!$Q$5:$Q$504,MATCH(F385,請求台帳!$A$5:$A$504,0))="取消","取消請求へ消込","消込済"))))))</f>
        <v/>
      </c>
      <c r="K385" s="26"/>
      <c r="L385" s="26"/>
    </row>
    <row r="386" customFormat="false" ht="15" hidden="false" customHeight="false" outlineLevel="0" collapsed="false">
      <c r="A386" s="31" t="str">
        <f aca="false">IF(COUNTA(B386,D386,E386,F386)=0,"",ROW()-4)</f>
        <v/>
      </c>
      <c r="B386" s="22"/>
      <c r="C386" s="26"/>
      <c r="D386" s="26"/>
      <c r="E386" s="18"/>
      <c r="F386" s="26"/>
      <c r="G386" s="31" t="str">
        <f aca="false">IF(F386="","",IFERROR(INDEX(請求台帳!$C$5:$C$504,MATCH(F386,請求台帳!$A$5:$A$504,0)),""))</f>
        <v/>
      </c>
      <c r="H386" s="31" t="str">
        <f aca="false">IF(F386="","",IFERROR(INDEX(請求台帳!$D$5:$D$504,MATCH(F386,請求台帳!$A$5:$A$504,0)),""))</f>
        <v/>
      </c>
      <c r="I386" s="27" t="str">
        <f aca="false">IF(F386="","",IFERROR(INDEX(請求台帳!$F$5:$F$504,MATCH(F386,請求台帳!$A$5:$A$504,0)),""))</f>
        <v/>
      </c>
      <c r="J386" s="28" t="str">
        <f aca="false">IF(COUNTA(B386,D386,E386,F386)=0,"",IF(OR(B386="",E386=""),"要入力",IF(N(B386)&gt;設定!$C$5,"日付誤り",IF(F386="","未消込",IF(ISNA(MATCH(F386,請求台帳!$A$5:$A$504,0)),"番号誤り",IF(INDEX(請求台帳!$Q$5:$Q$504,MATCH(F386,請求台帳!$A$5:$A$504,0))="取消","取消請求へ消込","消込済"))))))</f>
        <v/>
      </c>
      <c r="K386" s="26"/>
      <c r="L386" s="26"/>
    </row>
    <row r="387" customFormat="false" ht="15" hidden="false" customHeight="false" outlineLevel="0" collapsed="false">
      <c r="A387" s="31" t="str">
        <f aca="false">IF(COUNTA(B387,D387,E387,F387)=0,"",ROW()-4)</f>
        <v/>
      </c>
      <c r="B387" s="22"/>
      <c r="C387" s="26"/>
      <c r="D387" s="26"/>
      <c r="E387" s="18"/>
      <c r="F387" s="26"/>
      <c r="G387" s="31" t="str">
        <f aca="false">IF(F387="","",IFERROR(INDEX(請求台帳!$C$5:$C$504,MATCH(F387,請求台帳!$A$5:$A$504,0)),""))</f>
        <v/>
      </c>
      <c r="H387" s="31" t="str">
        <f aca="false">IF(F387="","",IFERROR(INDEX(請求台帳!$D$5:$D$504,MATCH(F387,請求台帳!$A$5:$A$504,0)),""))</f>
        <v/>
      </c>
      <c r="I387" s="27" t="str">
        <f aca="false">IF(F387="","",IFERROR(INDEX(請求台帳!$F$5:$F$504,MATCH(F387,請求台帳!$A$5:$A$504,0)),""))</f>
        <v/>
      </c>
      <c r="J387" s="28" t="str">
        <f aca="false">IF(COUNTA(B387,D387,E387,F387)=0,"",IF(OR(B387="",E387=""),"要入力",IF(N(B387)&gt;設定!$C$5,"日付誤り",IF(F387="","未消込",IF(ISNA(MATCH(F387,請求台帳!$A$5:$A$504,0)),"番号誤り",IF(INDEX(請求台帳!$Q$5:$Q$504,MATCH(F387,請求台帳!$A$5:$A$504,0))="取消","取消請求へ消込","消込済"))))))</f>
        <v/>
      </c>
      <c r="K387" s="26"/>
      <c r="L387" s="26"/>
    </row>
    <row r="388" customFormat="false" ht="15" hidden="false" customHeight="false" outlineLevel="0" collapsed="false">
      <c r="A388" s="31" t="str">
        <f aca="false">IF(COUNTA(B388,D388,E388,F388)=0,"",ROW()-4)</f>
        <v/>
      </c>
      <c r="B388" s="22"/>
      <c r="C388" s="26"/>
      <c r="D388" s="26"/>
      <c r="E388" s="18"/>
      <c r="F388" s="26"/>
      <c r="G388" s="31" t="str">
        <f aca="false">IF(F388="","",IFERROR(INDEX(請求台帳!$C$5:$C$504,MATCH(F388,請求台帳!$A$5:$A$504,0)),""))</f>
        <v/>
      </c>
      <c r="H388" s="31" t="str">
        <f aca="false">IF(F388="","",IFERROR(INDEX(請求台帳!$D$5:$D$504,MATCH(F388,請求台帳!$A$5:$A$504,0)),""))</f>
        <v/>
      </c>
      <c r="I388" s="27" t="str">
        <f aca="false">IF(F388="","",IFERROR(INDEX(請求台帳!$F$5:$F$504,MATCH(F388,請求台帳!$A$5:$A$504,0)),""))</f>
        <v/>
      </c>
      <c r="J388" s="28" t="str">
        <f aca="false">IF(COUNTA(B388,D388,E388,F388)=0,"",IF(OR(B388="",E388=""),"要入力",IF(N(B388)&gt;設定!$C$5,"日付誤り",IF(F388="","未消込",IF(ISNA(MATCH(F388,請求台帳!$A$5:$A$504,0)),"番号誤り",IF(INDEX(請求台帳!$Q$5:$Q$504,MATCH(F388,請求台帳!$A$5:$A$504,0))="取消","取消請求へ消込","消込済"))))))</f>
        <v/>
      </c>
      <c r="K388" s="26"/>
      <c r="L388" s="26"/>
    </row>
    <row r="389" customFormat="false" ht="15" hidden="false" customHeight="false" outlineLevel="0" collapsed="false">
      <c r="A389" s="31" t="str">
        <f aca="false">IF(COUNTA(B389,D389,E389,F389)=0,"",ROW()-4)</f>
        <v/>
      </c>
      <c r="B389" s="22"/>
      <c r="C389" s="26"/>
      <c r="D389" s="26"/>
      <c r="E389" s="18"/>
      <c r="F389" s="26"/>
      <c r="G389" s="31" t="str">
        <f aca="false">IF(F389="","",IFERROR(INDEX(請求台帳!$C$5:$C$504,MATCH(F389,請求台帳!$A$5:$A$504,0)),""))</f>
        <v/>
      </c>
      <c r="H389" s="31" t="str">
        <f aca="false">IF(F389="","",IFERROR(INDEX(請求台帳!$D$5:$D$504,MATCH(F389,請求台帳!$A$5:$A$504,0)),""))</f>
        <v/>
      </c>
      <c r="I389" s="27" t="str">
        <f aca="false">IF(F389="","",IFERROR(INDEX(請求台帳!$F$5:$F$504,MATCH(F389,請求台帳!$A$5:$A$504,0)),""))</f>
        <v/>
      </c>
      <c r="J389" s="28" t="str">
        <f aca="false">IF(COUNTA(B389,D389,E389,F389)=0,"",IF(OR(B389="",E389=""),"要入力",IF(N(B389)&gt;設定!$C$5,"日付誤り",IF(F389="","未消込",IF(ISNA(MATCH(F389,請求台帳!$A$5:$A$504,0)),"番号誤り",IF(INDEX(請求台帳!$Q$5:$Q$504,MATCH(F389,請求台帳!$A$5:$A$504,0))="取消","取消請求へ消込","消込済"))))))</f>
        <v/>
      </c>
      <c r="K389" s="26"/>
      <c r="L389" s="26"/>
    </row>
    <row r="390" customFormat="false" ht="15" hidden="false" customHeight="false" outlineLevel="0" collapsed="false">
      <c r="A390" s="31" t="str">
        <f aca="false">IF(COUNTA(B390,D390,E390,F390)=0,"",ROW()-4)</f>
        <v/>
      </c>
      <c r="B390" s="22"/>
      <c r="C390" s="26"/>
      <c r="D390" s="26"/>
      <c r="E390" s="18"/>
      <c r="F390" s="26"/>
      <c r="G390" s="31" t="str">
        <f aca="false">IF(F390="","",IFERROR(INDEX(請求台帳!$C$5:$C$504,MATCH(F390,請求台帳!$A$5:$A$504,0)),""))</f>
        <v/>
      </c>
      <c r="H390" s="31" t="str">
        <f aca="false">IF(F390="","",IFERROR(INDEX(請求台帳!$D$5:$D$504,MATCH(F390,請求台帳!$A$5:$A$504,0)),""))</f>
        <v/>
      </c>
      <c r="I390" s="27" t="str">
        <f aca="false">IF(F390="","",IFERROR(INDEX(請求台帳!$F$5:$F$504,MATCH(F390,請求台帳!$A$5:$A$504,0)),""))</f>
        <v/>
      </c>
      <c r="J390" s="28" t="str">
        <f aca="false">IF(COUNTA(B390,D390,E390,F390)=0,"",IF(OR(B390="",E390=""),"要入力",IF(N(B390)&gt;設定!$C$5,"日付誤り",IF(F390="","未消込",IF(ISNA(MATCH(F390,請求台帳!$A$5:$A$504,0)),"番号誤り",IF(INDEX(請求台帳!$Q$5:$Q$504,MATCH(F390,請求台帳!$A$5:$A$504,0))="取消","取消請求へ消込","消込済"))))))</f>
        <v/>
      </c>
      <c r="K390" s="26"/>
      <c r="L390" s="26"/>
    </row>
    <row r="391" customFormat="false" ht="15" hidden="false" customHeight="false" outlineLevel="0" collapsed="false">
      <c r="A391" s="31" t="str">
        <f aca="false">IF(COUNTA(B391,D391,E391,F391)=0,"",ROW()-4)</f>
        <v/>
      </c>
      <c r="B391" s="22"/>
      <c r="C391" s="26"/>
      <c r="D391" s="26"/>
      <c r="E391" s="18"/>
      <c r="F391" s="26"/>
      <c r="G391" s="31" t="str">
        <f aca="false">IF(F391="","",IFERROR(INDEX(請求台帳!$C$5:$C$504,MATCH(F391,請求台帳!$A$5:$A$504,0)),""))</f>
        <v/>
      </c>
      <c r="H391" s="31" t="str">
        <f aca="false">IF(F391="","",IFERROR(INDEX(請求台帳!$D$5:$D$504,MATCH(F391,請求台帳!$A$5:$A$504,0)),""))</f>
        <v/>
      </c>
      <c r="I391" s="27" t="str">
        <f aca="false">IF(F391="","",IFERROR(INDEX(請求台帳!$F$5:$F$504,MATCH(F391,請求台帳!$A$5:$A$504,0)),""))</f>
        <v/>
      </c>
      <c r="J391" s="28" t="str">
        <f aca="false">IF(COUNTA(B391,D391,E391,F391)=0,"",IF(OR(B391="",E391=""),"要入力",IF(N(B391)&gt;設定!$C$5,"日付誤り",IF(F391="","未消込",IF(ISNA(MATCH(F391,請求台帳!$A$5:$A$504,0)),"番号誤り",IF(INDEX(請求台帳!$Q$5:$Q$504,MATCH(F391,請求台帳!$A$5:$A$504,0))="取消","取消請求へ消込","消込済"))))))</f>
        <v/>
      </c>
      <c r="K391" s="26"/>
      <c r="L391" s="26"/>
    </row>
    <row r="392" customFormat="false" ht="15" hidden="false" customHeight="false" outlineLevel="0" collapsed="false">
      <c r="A392" s="31" t="str">
        <f aca="false">IF(COUNTA(B392,D392,E392,F392)=0,"",ROW()-4)</f>
        <v/>
      </c>
      <c r="B392" s="22"/>
      <c r="C392" s="26"/>
      <c r="D392" s="26"/>
      <c r="E392" s="18"/>
      <c r="F392" s="26"/>
      <c r="G392" s="31" t="str">
        <f aca="false">IF(F392="","",IFERROR(INDEX(請求台帳!$C$5:$C$504,MATCH(F392,請求台帳!$A$5:$A$504,0)),""))</f>
        <v/>
      </c>
      <c r="H392" s="31" t="str">
        <f aca="false">IF(F392="","",IFERROR(INDEX(請求台帳!$D$5:$D$504,MATCH(F392,請求台帳!$A$5:$A$504,0)),""))</f>
        <v/>
      </c>
      <c r="I392" s="27" t="str">
        <f aca="false">IF(F392="","",IFERROR(INDEX(請求台帳!$F$5:$F$504,MATCH(F392,請求台帳!$A$5:$A$504,0)),""))</f>
        <v/>
      </c>
      <c r="J392" s="28" t="str">
        <f aca="false">IF(COUNTA(B392,D392,E392,F392)=0,"",IF(OR(B392="",E392=""),"要入力",IF(N(B392)&gt;設定!$C$5,"日付誤り",IF(F392="","未消込",IF(ISNA(MATCH(F392,請求台帳!$A$5:$A$504,0)),"番号誤り",IF(INDEX(請求台帳!$Q$5:$Q$504,MATCH(F392,請求台帳!$A$5:$A$504,0))="取消","取消請求へ消込","消込済"))))))</f>
        <v/>
      </c>
      <c r="K392" s="26"/>
      <c r="L392" s="26"/>
    </row>
    <row r="393" customFormat="false" ht="15" hidden="false" customHeight="false" outlineLevel="0" collapsed="false">
      <c r="A393" s="31" t="str">
        <f aca="false">IF(COUNTA(B393,D393,E393,F393)=0,"",ROW()-4)</f>
        <v/>
      </c>
      <c r="B393" s="22"/>
      <c r="C393" s="26"/>
      <c r="D393" s="26"/>
      <c r="E393" s="18"/>
      <c r="F393" s="26"/>
      <c r="G393" s="31" t="str">
        <f aca="false">IF(F393="","",IFERROR(INDEX(請求台帳!$C$5:$C$504,MATCH(F393,請求台帳!$A$5:$A$504,0)),""))</f>
        <v/>
      </c>
      <c r="H393" s="31" t="str">
        <f aca="false">IF(F393="","",IFERROR(INDEX(請求台帳!$D$5:$D$504,MATCH(F393,請求台帳!$A$5:$A$504,0)),""))</f>
        <v/>
      </c>
      <c r="I393" s="27" t="str">
        <f aca="false">IF(F393="","",IFERROR(INDEX(請求台帳!$F$5:$F$504,MATCH(F393,請求台帳!$A$5:$A$504,0)),""))</f>
        <v/>
      </c>
      <c r="J393" s="28" t="str">
        <f aca="false">IF(COUNTA(B393,D393,E393,F393)=0,"",IF(OR(B393="",E393=""),"要入力",IF(N(B393)&gt;設定!$C$5,"日付誤り",IF(F393="","未消込",IF(ISNA(MATCH(F393,請求台帳!$A$5:$A$504,0)),"番号誤り",IF(INDEX(請求台帳!$Q$5:$Q$504,MATCH(F393,請求台帳!$A$5:$A$504,0))="取消","取消請求へ消込","消込済"))))))</f>
        <v/>
      </c>
      <c r="K393" s="26"/>
      <c r="L393" s="26"/>
    </row>
    <row r="394" customFormat="false" ht="15" hidden="false" customHeight="false" outlineLevel="0" collapsed="false">
      <c r="A394" s="31" t="str">
        <f aca="false">IF(COUNTA(B394,D394,E394,F394)=0,"",ROW()-4)</f>
        <v/>
      </c>
      <c r="B394" s="22"/>
      <c r="C394" s="26"/>
      <c r="D394" s="26"/>
      <c r="E394" s="18"/>
      <c r="F394" s="26"/>
      <c r="G394" s="31" t="str">
        <f aca="false">IF(F394="","",IFERROR(INDEX(請求台帳!$C$5:$C$504,MATCH(F394,請求台帳!$A$5:$A$504,0)),""))</f>
        <v/>
      </c>
      <c r="H394" s="31" t="str">
        <f aca="false">IF(F394="","",IFERROR(INDEX(請求台帳!$D$5:$D$504,MATCH(F394,請求台帳!$A$5:$A$504,0)),""))</f>
        <v/>
      </c>
      <c r="I394" s="27" t="str">
        <f aca="false">IF(F394="","",IFERROR(INDEX(請求台帳!$F$5:$F$504,MATCH(F394,請求台帳!$A$5:$A$504,0)),""))</f>
        <v/>
      </c>
      <c r="J394" s="28" t="str">
        <f aca="false">IF(COUNTA(B394,D394,E394,F394)=0,"",IF(OR(B394="",E394=""),"要入力",IF(N(B394)&gt;設定!$C$5,"日付誤り",IF(F394="","未消込",IF(ISNA(MATCH(F394,請求台帳!$A$5:$A$504,0)),"番号誤り",IF(INDEX(請求台帳!$Q$5:$Q$504,MATCH(F394,請求台帳!$A$5:$A$504,0))="取消","取消請求へ消込","消込済"))))))</f>
        <v/>
      </c>
      <c r="K394" s="26"/>
      <c r="L394" s="26"/>
    </row>
    <row r="395" customFormat="false" ht="15" hidden="false" customHeight="false" outlineLevel="0" collapsed="false">
      <c r="A395" s="31" t="str">
        <f aca="false">IF(COUNTA(B395,D395,E395,F395)=0,"",ROW()-4)</f>
        <v/>
      </c>
      <c r="B395" s="22"/>
      <c r="C395" s="26"/>
      <c r="D395" s="26"/>
      <c r="E395" s="18"/>
      <c r="F395" s="26"/>
      <c r="G395" s="31" t="str">
        <f aca="false">IF(F395="","",IFERROR(INDEX(請求台帳!$C$5:$C$504,MATCH(F395,請求台帳!$A$5:$A$504,0)),""))</f>
        <v/>
      </c>
      <c r="H395" s="31" t="str">
        <f aca="false">IF(F395="","",IFERROR(INDEX(請求台帳!$D$5:$D$504,MATCH(F395,請求台帳!$A$5:$A$504,0)),""))</f>
        <v/>
      </c>
      <c r="I395" s="27" t="str">
        <f aca="false">IF(F395="","",IFERROR(INDEX(請求台帳!$F$5:$F$504,MATCH(F395,請求台帳!$A$5:$A$504,0)),""))</f>
        <v/>
      </c>
      <c r="J395" s="28" t="str">
        <f aca="false">IF(COUNTA(B395,D395,E395,F395)=0,"",IF(OR(B395="",E395=""),"要入力",IF(N(B395)&gt;設定!$C$5,"日付誤り",IF(F395="","未消込",IF(ISNA(MATCH(F395,請求台帳!$A$5:$A$504,0)),"番号誤り",IF(INDEX(請求台帳!$Q$5:$Q$504,MATCH(F395,請求台帳!$A$5:$A$504,0))="取消","取消請求へ消込","消込済"))))))</f>
        <v/>
      </c>
      <c r="K395" s="26"/>
      <c r="L395" s="26"/>
    </row>
    <row r="396" customFormat="false" ht="15" hidden="false" customHeight="false" outlineLevel="0" collapsed="false">
      <c r="A396" s="31" t="str">
        <f aca="false">IF(COUNTA(B396,D396,E396,F396)=0,"",ROW()-4)</f>
        <v/>
      </c>
      <c r="B396" s="22"/>
      <c r="C396" s="26"/>
      <c r="D396" s="26"/>
      <c r="E396" s="18"/>
      <c r="F396" s="26"/>
      <c r="G396" s="31" t="str">
        <f aca="false">IF(F396="","",IFERROR(INDEX(請求台帳!$C$5:$C$504,MATCH(F396,請求台帳!$A$5:$A$504,0)),""))</f>
        <v/>
      </c>
      <c r="H396" s="31" t="str">
        <f aca="false">IF(F396="","",IFERROR(INDEX(請求台帳!$D$5:$D$504,MATCH(F396,請求台帳!$A$5:$A$504,0)),""))</f>
        <v/>
      </c>
      <c r="I396" s="27" t="str">
        <f aca="false">IF(F396="","",IFERROR(INDEX(請求台帳!$F$5:$F$504,MATCH(F396,請求台帳!$A$5:$A$504,0)),""))</f>
        <v/>
      </c>
      <c r="J396" s="28" t="str">
        <f aca="false">IF(COUNTA(B396,D396,E396,F396)=0,"",IF(OR(B396="",E396=""),"要入力",IF(N(B396)&gt;設定!$C$5,"日付誤り",IF(F396="","未消込",IF(ISNA(MATCH(F396,請求台帳!$A$5:$A$504,0)),"番号誤り",IF(INDEX(請求台帳!$Q$5:$Q$504,MATCH(F396,請求台帳!$A$5:$A$504,0))="取消","取消請求へ消込","消込済"))))))</f>
        <v/>
      </c>
      <c r="K396" s="26"/>
      <c r="L396" s="26"/>
    </row>
    <row r="397" customFormat="false" ht="15" hidden="false" customHeight="false" outlineLevel="0" collapsed="false">
      <c r="A397" s="31" t="str">
        <f aca="false">IF(COUNTA(B397,D397,E397,F397)=0,"",ROW()-4)</f>
        <v/>
      </c>
      <c r="B397" s="22"/>
      <c r="C397" s="26"/>
      <c r="D397" s="26"/>
      <c r="E397" s="18"/>
      <c r="F397" s="26"/>
      <c r="G397" s="31" t="str">
        <f aca="false">IF(F397="","",IFERROR(INDEX(請求台帳!$C$5:$C$504,MATCH(F397,請求台帳!$A$5:$A$504,0)),""))</f>
        <v/>
      </c>
      <c r="H397" s="31" t="str">
        <f aca="false">IF(F397="","",IFERROR(INDEX(請求台帳!$D$5:$D$504,MATCH(F397,請求台帳!$A$5:$A$504,0)),""))</f>
        <v/>
      </c>
      <c r="I397" s="27" t="str">
        <f aca="false">IF(F397="","",IFERROR(INDEX(請求台帳!$F$5:$F$504,MATCH(F397,請求台帳!$A$5:$A$504,0)),""))</f>
        <v/>
      </c>
      <c r="J397" s="28" t="str">
        <f aca="false">IF(COUNTA(B397,D397,E397,F397)=0,"",IF(OR(B397="",E397=""),"要入力",IF(N(B397)&gt;設定!$C$5,"日付誤り",IF(F397="","未消込",IF(ISNA(MATCH(F397,請求台帳!$A$5:$A$504,0)),"番号誤り",IF(INDEX(請求台帳!$Q$5:$Q$504,MATCH(F397,請求台帳!$A$5:$A$504,0))="取消","取消請求へ消込","消込済"))))))</f>
        <v/>
      </c>
      <c r="K397" s="26"/>
      <c r="L397" s="26"/>
    </row>
    <row r="398" customFormat="false" ht="15" hidden="false" customHeight="false" outlineLevel="0" collapsed="false">
      <c r="A398" s="31" t="str">
        <f aca="false">IF(COUNTA(B398,D398,E398,F398)=0,"",ROW()-4)</f>
        <v/>
      </c>
      <c r="B398" s="22"/>
      <c r="C398" s="26"/>
      <c r="D398" s="26"/>
      <c r="E398" s="18"/>
      <c r="F398" s="26"/>
      <c r="G398" s="31" t="str">
        <f aca="false">IF(F398="","",IFERROR(INDEX(請求台帳!$C$5:$C$504,MATCH(F398,請求台帳!$A$5:$A$504,0)),""))</f>
        <v/>
      </c>
      <c r="H398" s="31" t="str">
        <f aca="false">IF(F398="","",IFERROR(INDEX(請求台帳!$D$5:$D$504,MATCH(F398,請求台帳!$A$5:$A$504,0)),""))</f>
        <v/>
      </c>
      <c r="I398" s="27" t="str">
        <f aca="false">IF(F398="","",IFERROR(INDEX(請求台帳!$F$5:$F$504,MATCH(F398,請求台帳!$A$5:$A$504,0)),""))</f>
        <v/>
      </c>
      <c r="J398" s="28" t="str">
        <f aca="false">IF(COUNTA(B398,D398,E398,F398)=0,"",IF(OR(B398="",E398=""),"要入力",IF(N(B398)&gt;設定!$C$5,"日付誤り",IF(F398="","未消込",IF(ISNA(MATCH(F398,請求台帳!$A$5:$A$504,0)),"番号誤り",IF(INDEX(請求台帳!$Q$5:$Q$504,MATCH(F398,請求台帳!$A$5:$A$504,0))="取消","取消請求へ消込","消込済"))))))</f>
        <v/>
      </c>
      <c r="K398" s="26"/>
      <c r="L398" s="26"/>
    </row>
    <row r="399" customFormat="false" ht="15" hidden="false" customHeight="false" outlineLevel="0" collapsed="false">
      <c r="A399" s="31" t="str">
        <f aca="false">IF(COUNTA(B399,D399,E399,F399)=0,"",ROW()-4)</f>
        <v/>
      </c>
      <c r="B399" s="22"/>
      <c r="C399" s="26"/>
      <c r="D399" s="26"/>
      <c r="E399" s="18"/>
      <c r="F399" s="26"/>
      <c r="G399" s="31" t="str">
        <f aca="false">IF(F399="","",IFERROR(INDEX(請求台帳!$C$5:$C$504,MATCH(F399,請求台帳!$A$5:$A$504,0)),""))</f>
        <v/>
      </c>
      <c r="H399" s="31" t="str">
        <f aca="false">IF(F399="","",IFERROR(INDEX(請求台帳!$D$5:$D$504,MATCH(F399,請求台帳!$A$5:$A$504,0)),""))</f>
        <v/>
      </c>
      <c r="I399" s="27" t="str">
        <f aca="false">IF(F399="","",IFERROR(INDEX(請求台帳!$F$5:$F$504,MATCH(F399,請求台帳!$A$5:$A$504,0)),""))</f>
        <v/>
      </c>
      <c r="J399" s="28" t="str">
        <f aca="false">IF(COUNTA(B399,D399,E399,F399)=0,"",IF(OR(B399="",E399=""),"要入力",IF(N(B399)&gt;設定!$C$5,"日付誤り",IF(F399="","未消込",IF(ISNA(MATCH(F399,請求台帳!$A$5:$A$504,0)),"番号誤り",IF(INDEX(請求台帳!$Q$5:$Q$504,MATCH(F399,請求台帳!$A$5:$A$504,0))="取消","取消請求へ消込","消込済"))))))</f>
        <v/>
      </c>
      <c r="K399" s="26"/>
      <c r="L399" s="26"/>
    </row>
    <row r="400" customFormat="false" ht="15" hidden="false" customHeight="false" outlineLevel="0" collapsed="false">
      <c r="A400" s="31" t="str">
        <f aca="false">IF(COUNTA(B400,D400,E400,F400)=0,"",ROW()-4)</f>
        <v/>
      </c>
      <c r="B400" s="22"/>
      <c r="C400" s="26"/>
      <c r="D400" s="26"/>
      <c r="E400" s="18"/>
      <c r="F400" s="26"/>
      <c r="G400" s="31" t="str">
        <f aca="false">IF(F400="","",IFERROR(INDEX(請求台帳!$C$5:$C$504,MATCH(F400,請求台帳!$A$5:$A$504,0)),""))</f>
        <v/>
      </c>
      <c r="H400" s="31" t="str">
        <f aca="false">IF(F400="","",IFERROR(INDEX(請求台帳!$D$5:$D$504,MATCH(F400,請求台帳!$A$5:$A$504,0)),""))</f>
        <v/>
      </c>
      <c r="I400" s="27" t="str">
        <f aca="false">IF(F400="","",IFERROR(INDEX(請求台帳!$F$5:$F$504,MATCH(F400,請求台帳!$A$5:$A$504,0)),""))</f>
        <v/>
      </c>
      <c r="J400" s="28" t="str">
        <f aca="false">IF(COUNTA(B400,D400,E400,F400)=0,"",IF(OR(B400="",E400=""),"要入力",IF(N(B400)&gt;設定!$C$5,"日付誤り",IF(F400="","未消込",IF(ISNA(MATCH(F400,請求台帳!$A$5:$A$504,0)),"番号誤り",IF(INDEX(請求台帳!$Q$5:$Q$504,MATCH(F400,請求台帳!$A$5:$A$504,0))="取消","取消請求へ消込","消込済"))))))</f>
        <v/>
      </c>
      <c r="K400" s="26"/>
      <c r="L400" s="26"/>
    </row>
    <row r="401" customFormat="false" ht="15" hidden="false" customHeight="false" outlineLevel="0" collapsed="false">
      <c r="A401" s="31" t="str">
        <f aca="false">IF(COUNTA(B401,D401,E401,F401)=0,"",ROW()-4)</f>
        <v/>
      </c>
      <c r="B401" s="22"/>
      <c r="C401" s="26"/>
      <c r="D401" s="26"/>
      <c r="E401" s="18"/>
      <c r="F401" s="26"/>
      <c r="G401" s="31" t="str">
        <f aca="false">IF(F401="","",IFERROR(INDEX(請求台帳!$C$5:$C$504,MATCH(F401,請求台帳!$A$5:$A$504,0)),""))</f>
        <v/>
      </c>
      <c r="H401" s="31" t="str">
        <f aca="false">IF(F401="","",IFERROR(INDEX(請求台帳!$D$5:$D$504,MATCH(F401,請求台帳!$A$5:$A$504,0)),""))</f>
        <v/>
      </c>
      <c r="I401" s="27" t="str">
        <f aca="false">IF(F401="","",IFERROR(INDEX(請求台帳!$F$5:$F$504,MATCH(F401,請求台帳!$A$5:$A$504,0)),""))</f>
        <v/>
      </c>
      <c r="J401" s="28" t="str">
        <f aca="false">IF(COUNTA(B401,D401,E401,F401)=0,"",IF(OR(B401="",E401=""),"要入力",IF(N(B401)&gt;設定!$C$5,"日付誤り",IF(F401="","未消込",IF(ISNA(MATCH(F401,請求台帳!$A$5:$A$504,0)),"番号誤り",IF(INDEX(請求台帳!$Q$5:$Q$504,MATCH(F401,請求台帳!$A$5:$A$504,0))="取消","取消請求へ消込","消込済"))))))</f>
        <v/>
      </c>
      <c r="K401" s="26"/>
      <c r="L401" s="26"/>
    </row>
    <row r="402" customFormat="false" ht="15" hidden="false" customHeight="false" outlineLevel="0" collapsed="false">
      <c r="A402" s="31" t="str">
        <f aca="false">IF(COUNTA(B402,D402,E402,F402)=0,"",ROW()-4)</f>
        <v/>
      </c>
      <c r="B402" s="22"/>
      <c r="C402" s="26"/>
      <c r="D402" s="26"/>
      <c r="E402" s="18"/>
      <c r="F402" s="26"/>
      <c r="G402" s="31" t="str">
        <f aca="false">IF(F402="","",IFERROR(INDEX(請求台帳!$C$5:$C$504,MATCH(F402,請求台帳!$A$5:$A$504,0)),""))</f>
        <v/>
      </c>
      <c r="H402" s="31" t="str">
        <f aca="false">IF(F402="","",IFERROR(INDEX(請求台帳!$D$5:$D$504,MATCH(F402,請求台帳!$A$5:$A$504,0)),""))</f>
        <v/>
      </c>
      <c r="I402" s="27" t="str">
        <f aca="false">IF(F402="","",IFERROR(INDEX(請求台帳!$F$5:$F$504,MATCH(F402,請求台帳!$A$5:$A$504,0)),""))</f>
        <v/>
      </c>
      <c r="J402" s="28" t="str">
        <f aca="false">IF(COUNTA(B402,D402,E402,F402)=0,"",IF(OR(B402="",E402=""),"要入力",IF(N(B402)&gt;設定!$C$5,"日付誤り",IF(F402="","未消込",IF(ISNA(MATCH(F402,請求台帳!$A$5:$A$504,0)),"番号誤り",IF(INDEX(請求台帳!$Q$5:$Q$504,MATCH(F402,請求台帳!$A$5:$A$504,0))="取消","取消請求へ消込","消込済"))))))</f>
        <v/>
      </c>
      <c r="K402" s="26"/>
      <c r="L402" s="26"/>
    </row>
    <row r="403" customFormat="false" ht="15" hidden="false" customHeight="false" outlineLevel="0" collapsed="false">
      <c r="A403" s="31" t="str">
        <f aca="false">IF(COUNTA(B403,D403,E403,F403)=0,"",ROW()-4)</f>
        <v/>
      </c>
      <c r="B403" s="22"/>
      <c r="C403" s="26"/>
      <c r="D403" s="26"/>
      <c r="E403" s="18"/>
      <c r="F403" s="26"/>
      <c r="G403" s="31" t="str">
        <f aca="false">IF(F403="","",IFERROR(INDEX(請求台帳!$C$5:$C$504,MATCH(F403,請求台帳!$A$5:$A$504,0)),""))</f>
        <v/>
      </c>
      <c r="H403" s="31" t="str">
        <f aca="false">IF(F403="","",IFERROR(INDEX(請求台帳!$D$5:$D$504,MATCH(F403,請求台帳!$A$5:$A$504,0)),""))</f>
        <v/>
      </c>
      <c r="I403" s="27" t="str">
        <f aca="false">IF(F403="","",IFERROR(INDEX(請求台帳!$F$5:$F$504,MATCH(F403,請求台帳!$A$5:$A$504,0)),""))</f>
        <v/>
      </c>
      <c r="J403" s="28" t="str">
        <f aca="false">IF(COUNTA(B403,D403,E403,F403)=0,"",IF(OR(B403="",E403=""),"要入力",IF(N(B403)&gt;設定!$C$5,"日付誤り",IF(F403="","未消込",IF(ISNA(MATCH(F403,請求台帳!$A$5:$A$504,0)),"番号誤り",IF(INDEX(請求台帳!$Q$5:$Q$504,MATCH(F403,請求台帳!$A$5:$A$504,0))="取消","取消請求へ消込","消込済"))))))</f>
        <v/>
      </c>
      <c r="K403" s="26"/>
      <c r="L403" s="26"/>
    </row>
    <row r="404" customFormat="false" ht="15" hidden="false" customHeight="false" outlineLevel="0" collapsed="false">
      <c r="A404" s="31" t="str">
        <f aca="false">IF(COUNTA(B404,D404,E404,F404)=0,"",ROW()-4)</f>
        <v/>
      </c>
      <c r="B404" s="22"/>
      <c r="C404" s="26"/>
      <c r="D404" s="26"/>
      <c r="E404" s="18"/>
      <c r="F404" s="26"/>
      <c r="G404" s="31" t="str">
        <f aca="false">IF(F404="","",IFERROR(INDEX(請求台帳!$C$5:$C$504,MATCH(F404,請求台帳!$A$5:$A$504,0)),""))</f>
        <v/>
      </c>
      <c r="H404" s="31" t="str">
        <f aca="false">IF(F404="","",IFERROR(INDEX(請求台帳!$D$5:$D$504,MATCH(F404,請求台帳!$A$5:$A$504,0)),""))</f>
        <v/>
      </c>
      <c r="I404" s="27" t="str">
        <f aca="false">IF(F404="","",IFERROR(INDEX(請求台帳!$F$5:$F$504,MATCH(F404,請求台帳!$A$5:$A$504,0)),""))</f>
        <v/>
      </c>
      <c r="J404" s="28" t="str">
        <f aca="false">IF(COUNTA(B404,D404,E404,F404)=0,"",IF(OR(B404="",E404=""),"要入力",IF(N(B404)&gt;設定!$C$5,"日付誤り",IF(F404="","未消込",IF(ISNA(MATCH(F404,請求台帳!$A$5:$A$504,0)),"番号誤り",IF(INDEX(請求台帳!$Q$5:$Q$504,MATCH(F404,請求台帳!$A$5:$A$504,0))="取消","取消請求へ消込","消込済"))))))</f>
        <v/>
      </c>
      <c r="K404" s="26"/>
      <c r="L404" s="26"/>
    </row>
    <row r="405" customFormat="false" ht="15" hidden="false" customHeight="false" outlineLevel="0" collapsed="false">
      <c r="A405" s="31" t="str">
        <f aca="false">IF(COUNTA(B405,D405,E405,F405)=0,"",ROW()-4)</f>
        <v/>
      </c>
      <c r="B405" s="22"/>
      <c r="C405" s="26"/>
      <c r="D405" s="26"/>
      <c r="E405" s="18"/>
      <c r="F405" s="26"/>
      <c r="G405" s="31" t="str">
        <f aca="false">IF(F405="","",IFERROR(INDEX(請求台帳!$C$5:$C$504,MATCH(F405,請求台帳!$A$5:$A$504,0)),""))</f>
        <v/>
      </c>
      <c r="H405" s="31" t="str">
        <f aca="false">IF(F405="","",IFERROR(INDEX(請求台帳!$D$5:$D$504,MATCH(F405,請求台帳!$A$5:$A$504,0)),""))</f>
        <v/>
      </c>
      <c r="I405" s="27" t="str">
        <f aca="false">IF(F405="","",IFERROR(INDEX(請求台帳!$F$5:$F$504,MATCH(F405,請求台帳!$A$5:$A$504,0)),""))</f>
        <v/>
      </c>
      <c r="J405" s="28" t="str">
        <f aca="false">IF(COUNTA(B405,D405,E405,F405)=0,"",IF(OR(B405="",E405=""),"要入力",IF(N(B405)&gt;設定!$C$5,"日付誤り",IF(F405="","未消込",IF(ISNA(MATCH(F405,請求台帳!$A$5:$A$504,0)),"番号誤り",IF(INDEX(請求台帳!$Q$5:$Q$504,MATCH(F405,請求台帳!$A$5:$A$504,0))="取消","取消請求へ消込","消込済"))))))</f>
        <v/>
      </c>
      <c r="K405" s="26"/>
      <c r="L405" s="26"/>
    </row>
    <row r="406" customFormat="false" ht="15" hidden="false" customHeight="false" outlineLevel="0" collapsed="false">
      <c r="A406" s="31" t="str">
        <f aca="false">IF(COUNTA(B406,D406,E406,F406)=0,"",ROW()-4)</f>
        <v/>
      </c>
      <c r="B406" s="22"/>
      <c r="C406" s="26"/>
      <c r="D406" s="26"/>
      <c r="E406" s="18"/>
      <c r="F406" s="26"/>
      <c r="G406" s="31" t="str">
        <f aca="false">IF(F406="","",IFERROR(INDEX(請求台帳!$C$5:$C$504,MATCH(F406,請求台帳!$A$5:$A$504,0)),""))</f>
        <v/>
      </c>
      <c r="H406" s="31" t="str">
        <f aca="false">IF(F406="","",IFERROR(INDEX(請求台帳!$D$5:$D$504,MATCH(F406,請求台帳!$A$5:$A$504,0)),""))</f>
        <v/>
      </c>
      <c r="I406" s="27" t="str">
        <f aca="false">IF(F406="","",IFERROR(INDEX(請求台帳!$F$5:$F$504,MATCH(F406,請求台帳!$A$5:$A$504,0)),""))</f>
        <v/>
      </c>
      <c r="J406" s="28" t="str">
        <f aca="false">IF(COUNTA(B406,D406,E406,F406)=0,"",IF(OR(B406="",E406=""),"要入力",IF(N(B406)&gt;設定!$C$5,"日付誤り",IF(F406="","未消込",IF(ISNA(MATCH(F406,請求台帳!$A$5:$A$504,0)),"番号誤り",IF(INDEX(請求台帳!$Q$5:$Q$504,MATCH(F406,請求台帳!$A$5:$A$504,0))="取消","取消請求へ消込","消込済"))))))</f>
        <v/>
      </c>
      <c r="K406" s="26"/>
      <c r="L406" s="26"/>
    </row>
    <row r="407" customFormat="false" ht="15" hidden="false" customHeight="false" outlineLevel="0" collapsed="false">
      <c r="A407" s="31" t="str">
        <f aca="false">IF(COUNTA(B407,D407,E407,F407)=0,"",ROW()-4)</f>
        <v/>
      </c>
      <c r="B407" s="22"/>
      <c r="C407" s="26"/>
      <c r="D407" s="26"/>
      <c r="E407" s="18"/>
      <c r="F407" s="26"/>
      <c r="G407" s="31" t="str">
        <f aca="false">IF(F407="","",IFERROR(INDEX(請求台帳!$C$5:$C$504,MATCH(F407,請求台帳!$A$5:$A$504,0)),""))</f>
        <v/>
      </c>
      <c r="H407" s="31" t="str">
        <f aca="false">IF(F407="","",IFERROR(INDEX(請求台帳!$D$5:$D$504,MATCH(F407,請求台帳!$A$5:$A$504,0)),""))</f>
        <v/>
      </c>
      <c r="I407" s="27" t="str">
        <f aca="false">IF(F407="","",IFERROR(INDEX(請求台帳!$F$5:$F$504,MATCH(F407,請求台帳!$A$5:$A$504,0)),""))</f>
        <v/>
      </c>
      <c r="J407" s="28" t="str">
        <f aca="false">IF(COUNTA(B407,D407,E407,F407)=0,"",IF(OR(B407="",E407=""),"要入力",IF(N(B407)&gt;設定!$C$5,"日付誤り",IF(F407="","未消込",IF(ISNA(MATCH(F407,請求台帳!$A$5:$A$504,0)),"番号誤り",IF(INDEX(請求台帳!$Q$5:$Q$504,MATCH(F407,請求台帳!$A$5:$A$504,0))="取消","取消請求へ消込","消込済"))))))</f>
        <v/>
      </c>
      <c r="K407" s="26"/>
      <c r="L407" s="26"/>
    </row>
    <row r="408" customFormat="false" ht="15" hidden="false" customHeight="false" outlineLevel="0" collapsed="false">
      <c r="A408" s="31" t="str">
        <f aca="false">IF(COUNTA(B408,D408,E408,F408)=0,"",ROW()-4)</f>
        <v/>
      </c>
      <c r="B408" s="22"/>
      <c r="C408" s="26"/>
      <c r="D408" s="26"/>
      <c r="E408" s="18"/>
      <c r="F408" s="26"/>
      <c r="G408" s="31" t="str">
        <f aca="false">IF(F408="","",IFERROR(INDEX(請求台帳!$C$5:$C$504,MATCH(F408,請求台帳!$A$5:$A$504,0)),""))</f>
        <v/>
      </c>
      <c r="H408" s="31" t="str">
        <f aca="false">IF(F408="","",IFERROR(INDEX(請求台帳!$D$5:$D$504,MATCH(F408,請求台帳!$A$5:$A$504,0)),""))</f>
        <v/>
      </c>
      <c r="I408" s="27" t="str">
        <f aca="false">IF(F408="","",IFERROR(INDEX(請求台帳!$F$5:$F$504,MATCH(F408,請求台帳!$A$5:$A$504,0)),""))</f>
        <v/>
      </c>
      <c r="J408" s="28" t="str">
        <f aca="false">IF(COUNTA(B408,D408,E408,F408)=0,"",IF(OR(B408="",E408=""),"要入力",IF(N(B408)&gt;設定!$C$5,"日付誤り",IF(F408="","未消込",IF(ISNA(MATCH(F408,請求台帳!$A$5:$A$504,0)),"番号誤り",IF(INDEX(請求台帳!$Q$5:$Q$504,MATCH(F408,請求台帳!$A$5:$A$504,0))="取消","取消請求へ消込","消込済"))))))</f>
        <v/>
      </c>
      <c r="K408" s="26"/>
      <c r="L408" s="26"/>
    </row>
    <row r="409" customFormat="false" ht="15" hidden="false" customHeight="false" outlineLevel="0" collapsed="false">
      <c r="A409" s="31" t="str">
        <f aca="false">IF(COUNTA(B409,D409,E409,F409)=0,"",ROW()-4)</f>
        <v/>
      </c>
      <c r="B409" s="22"/>
      <c r="C409" s="26"/>
      <c r="D409" s="26"/>
      <c r="E409" s="18"/>
      <c r="F409" s="26"/>
      <c r="G409" s="31" t="str">
        <f aca="false">IF(F409="","",IFERROR(INDEX(請求台帳!$C$5:$C$504,MATCH(F409,請求台帳!$A$5:$A$504,0)),""))</f>
        <v/>
      </c>
      <c r="H409" s="31" t="str">
        <f aca="false">IF(F409="","",IFERROR(INDEX(請求台帳!$D$5:$D$504,MATCH(F409,請求台帳!$A$5:$A$504,0)),""))</f>
        <v/>
      </c>
      <c r="I409" s="27" t="str">
        <f aca="false">IF(F409="","",IFERROR(INDEX(請求台帳!$F$5:$F$504,MATCH(F409,請求台帳!$A$5:$A$504,0)),""))</f>
        <v/>
      </c>
      <c r="J409" s="28" t="str">
        <f aca="false">IF(COUNTA(B409,D409,E409,F409)=0,"",IF(OR(B409="",E409=""),"要入力",IF(N(B409)&gt;設定!$C$5,"日付誤り",IF(F409="","未消込",IF(ISNA(MATCH(F409,請求台帳!$A$5:$A$504,0)),"番号誤り",IF(INDEX(請求台帳!$Q$5:$Q$504,MATCH(F409,請求台帳!$A$5:$A$504,0))="取消","取消請求へ消込","消込済"))))))</f>
        <v/>
      </c>
      <c r="K409" s="26"/>
      <c r="L409" s="26"/>
    </row>
    <row r="410" customFormat="false" ht="15" hidden="false" customHeight="false" outlineLevel="0" collapsed="false">
      <c r="A410" s="31" t="str">
        <f aca="false">IF(COUNTA(B410,D410,E410,F410)=0,"",ROW()-4)</f>
        <v/>
      </c>
      <c r="B410" s="22"/>
      <c r="C410" s="26"/>
      <c r="D410" s="26"/>
      <c r="E410" s="18"/>
      <c r="F410" s="26"/>
      <c r="G410" s="31" t="str">
        <f aca="false">IF(F410="","",IFERROR(INDEX(請求台帳!$C$5:$C$504,MATCH(F410,請求台帳!$A$5:$A$504,0)),""))</f>
        <v/>
      </c>
      <c r="H410" s="31" t="str">
        <f aca="false">IF(F410="","",IFERROR(INDEX(請求台帳!$D$5:$D$504,MATCH(F410,請求台帳!$A$5:$A$504,0)),""))</f>
        <v/>
      </c>
      <c r="I410" s="27" t="str">
        <f aca="false">IF(F410="","",IFERROR(INDEX(請求台帳!$F$5:$F$504,MATCH(F410,請求台帳!$A$5:$A$504,0)),""))</f>
        <v/>
      </c>
      <c r="J410" s="28" t="str">
        <f aca="false">IF(COUNTA(B410,D410,E410,F410)=0,"",IF(OR(B410="",E410=""),"要入力",IF(N(B410)&gt;設定!$C$5,"日付誤り",IF(F410="","未消込",IF(ISNA(MATCH(F410,請求台帳!$A$5:$A$504,0)),"番号誤り",IF(INDEX(請求台帳!$Q$5:$Q$504,MATCH(F410,請求台帳!$A$5:$A$504,0))="取消","取消請求へ消込","消込済"))))))</f>
        <v/>
      </c>
      <c r="K410" s="26"/>
      <c r="L410" s="26"/>
    </row>
    <row r="411" customFormat="false" ht="15" hidden="false" customHeight="false" outlineLevel="0" collapsed="false">
      <c r="A411" s="31" t="str">
        <f aca="false">IF(COUNTA(B411,D411,E411,F411)=0,"",ROW()-4)</f>
        <v/>
      </c>
      <c r="B411" s="22"/>
      <c r="C411" s="26"/>
      <c r="D411" s="26"/>
      <c r="E411" s="18"/>
      <c r="F411" s="26"/>
      <c r="G411" s="31" t="str">
        <f aca="false">IF(F411="","",IFERROR(INDEX(請求台帳!$C$5:$C$504,MATCH(F411,請求台帳!$A$5:$A$504,0)),""))</f>
        <v/>
      </c>
      <c r="H411" s="31" t="str">
        <f aca="false">IF(F411="","",IFERROR(INDEX(請求台帳!$D$5:$D$504,MATCH(F411,請求台帳!$A$5:$A$504,0)),""))</f>
        <v/>
      </c>
      <c r="I411" s="27" t="str">
        <f aca="false">IF(F411="","",IFERROR(INDEX(請求台帳!$F$5:$F$504,MATCH(F411,請求台帳!$A$5:$A$504,0)),""))</f>
        <v/>
      </c>
      <c r="J411" s="28" t="str">
        <f aca="false">IF(COUNTA(B411,D411,E411,F411)=0,"",IF(OR(B411="",E411=""),"要入力",IF(N(B411)&gt;設定!$C$5,"日付誤り",IF(F411="","未消込",IF(ISNA(MATCH(F411,請求台帳!$A$5:$A$504,0)),"番号誤り",IF(INDEX(請求台帳!$Q$5:$Q$504,MATCH(F411,請求台帳!$A$5:$A$504,0))="取消","取消請求へ消込","消込済"))))))</f>
        <v/>
      </c>
      <c r="K411" s="26"/>
      <c r="L411" s="26"/>
    </row>
    <row r="412" customFormat="false" ht="15" hidden="false" customHeight="false" outlineLevel="0" collapsed="false">
      <c r="A412" s="31" t="str">
        <f aca="false">IF(COUNTA(B412,D412,E412,F412)=0,"",ROW()-4)</f>
        <v/>
      </c>
      <c r="B412" s="22"/>
      <c r="C412" s="26"/>
      <c r="D412" s="26"/>
      <c r="E412" s="18"/>
      <c r="F412" s="26"/>
      <c r="G412" s="31" t="str">
        <f aca="false">IF(F412="","",IFERROR(INDEX(請求台帳!$C$5:$C$504,MATCH(F412,請求台帳!$A$5:$A$504,0)),""))</f>
        <v/>
      </c>
      <c r="H412" s="31" t="str">
        <f aca="false">IF(F412="","",IFERROR(INDEX(請求台帳!$D$5:$D$504,MATCH(F412,請求台帳!$A$5:$A$504,0)),""))</f>
        <v/>
      </c>
      <c r="I412" s="27" t="str">
        <f aca="false">IF(F412="","",IFERROR(INDEX(請求台帳!$F$5:$F$504,MATCH(F412,請求台帳!$A$5:$A$504,0)),""))</f>
        <v/>
      </c>
      <c r="J412" s="28" t="str">
        <f aca="false">IF(COUNTA(B412,D412,E412,F412)=0,"",IF(OR(B412="",E412=""),"要入力",IF(N(B412)&gt;設定!$C$5,"日付誤り",IF(F412="","未消込",IF(ISNA(MATCH(F412,請求台帳!$A$5:$A$504,0)),"番号誤り",IF(INDEX(請求台帳!$Q$5:$Q$504,MATCH(F412,請求台帳!$A$5:$A$504,0))="取消","取消請求へ消込","消込済"))))))</f>
        <v/>
      </c>
      <c r="K412" s="26"/>
      <c r="L412" s="26"/>
    </row>
    <row r="413" customFormat="false" ht="15" hidden="false" customHeight="false" outlineLevel="0" collapsed="false">
      <c r="A413" s="31" t="str">
        <f aca="false">IF(COUNTA(B413,D413,E413,F413)=0,"",ROW()-4)</f>
        <v/>
      </c>
      <c r="B413" s="22"/>
      <c r="C413" s="26"/>
      <c r="D413" s="26"/>
      <c r="E413" s="18"/>
      <c r="F413" s="26"/>
      <c r="G413" s="31" t="str">
        <f aca="false">IF(F413="","",IFERROR(INDEX(請求台帳!$C$5:$C$504,MATCH(F413,請求台帳!$A$5:$A$504,0)),""))</f>
        <v/>
      </c>
      <c r="H413" s="31" t="str">
        <f aca="false">IF(F413="","",IFERROR(INDEX(請求台帳!$D$5:$D$504,MATCH(F413,請求台帳!$A$5:$A$504,0)),""))</f>
        <v/>
      </c>
      <c r="I413" s="27" t="str">
        <f aca="false">IF(F413="","",IFERROR(INDEX(請求台帳!$F$5:$F$504,MATCH(F413,請求台帳!$A$5:$A$504,0)),""))</f>
        <v/>
      </c>
      <c r="J413" s="28" t="str">
        <f aca="false">IF(COUNTA(B413,D413,E413,F413)=0,"",IF(OR(B413="",E413=""),"要入力",IF(N(B413)&gt;設定!$C$5,"日付誤り",IF(F413="","未消込",IF(ISNA(MATCH(F413,請求台帳!$A$5:$A$504,0)),"番号誤り",IF(INDEX(請求台帳!$Q$5:$Q$504,MATCH(F413,請求台帳!$A$5:$A$504,0))="取消","取消請求へ消込","消込済"))))))</f>
        <v/>
      </c>
      <c r="K413" s="26"/>
      <c r="L413" s="26"/>
    </row>
    <row r="414" customFormat="false" ht="15" hidden="false" customHeight="false" outlineLevel="0" collapsed="false">
      <c r="A414" s="31" t="str">
        <f aca="false">IF(COUNTA(B414,D414,E414,F414)=0,"",ROW()-4)</f>
        <v/>
      </c>
      <c r="B414" s="22"/>
      <c r="C414" s="26"/>
      <c r="D414" s="26"/>
      <c r="E414" s="18"/>
      <c r="F414" s="26"/>
      <c r="G414" s="31" t="str">
        <f aca="false">IF(F414="","",IFERROR(INDEX(請求台帳!$C$5:$C$504,MATCH(F414,請求台帳!$A$5:$A$504,0)),""))</f>
        <v/>
      </c>
      <c r="H414" s="31" t="str">
        <f aca="false">IF(F414="","",IFERROR(INDEX(請求台帳!$D$5:$D$504,MATCH(F414,請求台帳!$A$5:$A$504,0)),""))</f>
        <v/>
      </c>
      <c r="I414" s="27" t="str">
        <f aca="false">IF(F414="","",IFERROR(INDEX(請求台帳!$F$5:$F$504,MATCH(F414,請求台帳!$A$5:$A$504,0)),""))</f>
        <v/>
      </c>
      <c r="J414" s="28" t="str">
        <f aca="false">IF(COUNTA(B414,D414,E414,F414)=0,"",IF(OR(B414="",E414=""),"要入力",IF(N(B414)&gt;設定!$C$5,"日付誤り",IF(F414="","未消込",IF(ISNA(MATCH(F414,請求台帳!$A$5:$A$504,0)),"番号誤り",IF(INDEX(請求台帳!$Q$5:$Q$504,MATCH(F414,請求台帳!$A$5:$A$504,0))="取消","取消請求へ消込","消込済"))))))</f>
        <v/>
      </c>
      <c r="K414" s="26"/>
      <c r="L414" s="26"/>
    </row>
    <row r="415" customFormat="false" ht="15" hidden="false" customHeight="false" outlineLevel="0" collapsed="false">
      <c r="A415" s="31" t="str">
        <f aca="false">IF(COUNTA(B415,D415,E415,F415)=0,"",ROW()-4)</f>
        <v/>
      </c>
      <c r="B415" s="22"/>
      <c r="C415" s="26"/>
      <c r="D415" s="26"/>
      <c r="E415" s="18"/>
      <c r="F415" s="26"/>
      <c r="G415" s="31" t="str">
        <f aca="false">IF(F415="","",IFERROR(INDEX(請求台帳!$C$5:$C$504,MATCH(F415,請求台帳!$A$5:$A$504,0)),""))</f>
        <v/>
      </c>
      <c r="H415" s="31" t="str">
        <f aca="false">IF(F415="","",IFERROR(INDEX(請求台帳!$D$5:$D$504,MATCH(F415,請求台帳!$A$5:$A$504,0)),""))</f>
        <v/>
      </c>
      <c r="I415" s="27" t="str">
        <f aca="false">IF(F415="","",IFERROR(INDEX(請求台帳!$F$5:$F$504,MATCH(F415,請求台帳!$A$5:$A$504,0)),""))</f>
        <v/>
      </c>
      <c r="J415" s="28" t="str">
        <f aca="false">IF(COUNTA(B415,D415,E415,F415)=0,"",IF(OR(B415="",E415=""),"要入力",IF(N(B415)&gt;設定!$C$5,"日付誤り",IF(F415="","未消込",IF(ISNA(MATCH(F415,請求台帳!$A$5:$A$504,0)),"番号誤り",IF(INDEX(請求台帳!$Q$5:$Q$504,MATCH(F415,請求台帳!$A$5:$A$504,0))="取消","取消請求へ消込","消込済"))))))</f>
        <v/>
      </c>
      <c r="K415" s="26"/>
      <c r="L415" s="26"/>
    </row>
    <row r="416" customFormat="false" ht="15" hidden="false" customHeight="false" outlineLevel="0" collapsed="false">
      <c r="A416" s="31" t="str">
        <f aca="false">IF(COUNTA(B416,D416,E416,F416)=0,"",ROW()-4)</f>
        <v/>
      </c>
      <c r="B416" s="22"/>
      <c r="C416" s="26"/>
      <c r="D416" s="26"/>
      <c r="E416" s="18"/>
      <c r="F416" s="26"/>
      <c r="G416" s="31" t="str">
        <f aca="false">IF(F416="","",IFERROR(INDEX(請求台帳!$C$5:$C$504,MATCH(F416,請求台帳!$A$5:$A$504,0)),""))</f>
        <v/>
      </c>
      <c r="H416" s="31" t="str">
        <f aca="false">IF(F416="","",IFERROR(INDEX(請求台帳!$D$5:$D$504,MATCH(F416,請求台帳!$A$5:$A$504,0)),""))</f>
        <v/>
      </c>
      <c r="I416" s="27" t="str">
        <f aca="false">IF(F416="","",IFERROR(INDEX(請求台帳!$F$5:$F$504,MATCH(F416,請求台帳!$A$5:$A$504,0)),""))</f>
        <v/>
      </c>
      <c r="J416" s="28" t="str">
        <f aca="false">IF(COUNTA(B416,D416,E416,F416)=0,"",IF(OR(B416="",E416=""),"要入力",IF(N(B416)&gt;設定!$C$5,"日付誤り",IF(F416="","未消込",IF(ISNA(MATCH(F416,請求台帳!$A$5:$A$504,0)),"番号誤り",IF(INDEX(請求台帳!$Q$5:$Q$504,MATCH(F416,請求台帳!$A$5:$A$504,0))="取消","取消請求へ消込","消込済"))))))</f>
        <v/>
      </c>
      <c r="K416" s="26"/>
      <c r="L416" s="26"/>
    </row>
    <row r="417" customFormat="false" ht="15" hidden="false" customHeight="false" outlineLevel="0" collapsed="false">
      <c r="A417" s="31" t="str">
        <f aca="false">IF(COUNTA(B417,D417,E417,F417)=0,"",ROW()-4)</f>
        <v/>
      </c>
      <c r="B417" s="22"/>
      <c r="C417" s="26"/>
      <c r="D417" s="26"/>
      <c r="E417" s="18"/>
      <c r="F417" s="26"/>
      <c r="G417" s="31" t="str">
        <f aca="false">IF(F417="","",IFERROR(INDEX(請求台帳!$C$5:$C$504,MATCH(F417,請求台帳!$A$5:$A$504,0)),""))</f>
        <v/>
      </c>
      <c r="H417" s="31" t="str">
        <f aca="false">IF(F417="","",IFERROR(INDEX(請求台帳!$D$5:$D$504,MATCH(F417,請求台帳!$A$5:$A$504,0)),""))</f>
        <v/>
      </c>
      <c r="I417" s="27" t="str">
        <f aca="false">IF(F417="","",IFERROR(INDEX(請求台帳!$F$5:$F$504,MATCH(F417,請求台帳!$A$5:$A$504,0)),""))</f>
        <v/>
      </c>
      <c r="J417" s="28" t="str">
        <f aca="false">IF(COUNTA(B417,D417,E417,F417)=0,"",IF(OR(B417="",E417=""),"要入力",IF(N(B417)&gt;設定!$C$5,"日付誤り",IF(F417="","未消込",IF(ISNA(MATCH(F417,請求台帳!$A$5:$A$504,0)),"番号誤り",IF(INDEX(請求台帳!$Q$5:$Q$504,MATCH(F417,請求台帳!$A$5:$A$504,0))="取消","取消請求へ消込","消込済"))))))</f>
        <v/>
      </c>
      <c r="K417" s="26"/>
      <c r="L417" s="26"/>
    </row>
    <row r="418" customFormat="false" ht="15" hidden="false" customHeight="false" outlineLevel="0" collapsed="false">
      <c r="A418" s="31" t="str">
        <f aca="false">IF(COUNTA(B418,D418,E418,F418)=0,"",ROW()-4)</f>
        <v/>
      </c>
      <c r="B418" s="22"/>
      <c r="C418" s="26"/>
      <c r="D418" s="26"/>
      <c r="E418" s="18"/>
      <c r="F418" s="26"/>
      <c r="G418" s="31" t="str">
        <f aca="false">IF(F418="","",IFERROR(INDEX(請求台帳!$C$5:$C$504,MATCH(F418,請求台帳!$A$5:$A$504,0)),""))</f>
        <v/>
      </c>
      <c r="H418" s="31" t="str">
        <f aca="false">IF(F418="","",IFERROR(INDEX(請求台帳!$D$5:$D$504,MATCH(F418,請求台帳!$A$5:$A$504,0)),""))</f>
        <v/>
      </c>
      <c r="I418" s="27" t="str">
        <f aca="false">IF(F418="","",IFERROR(INDEX(請求台帳!$F$5:$F$504,MATCH(F418,請求台帳!$A$5:$A$504,0)),""))</f>
        <v/>
      </c>
      <c r="J418" s="28" t="str">
        <f aca="false">IF(COUNTA(B418,D418,E418,F418)=0,"",IF(OR(B418="",E418=""),"要入力",IF(N(B418)&gt;設定!$C$5,"日付誤り",IF(F418="","未消込",IF(ISNA(MATCH(F418,請求台帳!$A$5:$A$504,0)),"番号誤り",IF(INDEX(請求台帳!$Q$5:$Q$504,MATCH(F418,請求台帳!$A$5:$A$504,0))="取消","取消請求へ消込","消込済"))))))</f>
        <v/>
      </c>
      <c r="K418" s="26"/>
      <c r="L418" s="26"/>
    </row>
    <row r="419" customFormat="false" ht="15" hidden="false" customHeight="false" outlineLevel="0" collapsed="false">
      <c r="A419" s="31" t="str">
        <f aca="false">IF(COUNTA(B419,D419,E419,F419)=0,"",ROW()-4)</f>
        <v/>
      </c>
      <c r="B419" s="22"/>
      <c r="C419" s="26"/>
      <c r="D419" s="26"/>
      <c r="E419" s="18"/>
      <c r="F419" s="26"/>
      <c r="G419" s="31" t="str">
        <f aca="false">IF(F419="","",IFERROR(INDEX(請求台帳!$C$5:$C$504,MATCH(F419,請求台帳!$A$5:$A$504,0)),""))</f>
        <v/>
      </c>
      <c r="H419" s="31" t="str">
        <f aca="false">IF(F419="","",IFERROR(INDEX(請求台帳!$D$5:$D$504,MATCH(F419,請求台帳!$A$5:$A$504,0)),""))</f>
        <v/>
      </c>
      <c r="I419" s="27" t="str">
        <f aca="false">IF(F419="","",IFERROR(INDEX(請求台帳!$F$5:$F$504,MATCH(F419,請求台帳!$A$5:$A$504,0)),""))</f>
        <v/>
      </c>
      <c r="J419" s="28" t="str">
        <f aca="false">IF(COUNTA(B419,D419,E419,F419)=0,"",IF(OR(B419="",E419=""),"要入力",IF(N(B419)&gt;設定!$C$5,"日付誤り",IF(F419="","未消込",IF(ISNA(MATCH(F419,請求台帳!$A$5:$A$504,0)),"番号誤り",IF(INDEX(請求台帳!$Q$5:$Q$504,MATCH(F419,請求台帳!$A$5:$A$504,0))="取消","取消請求へ消込","消込済"))))))</f>
        <v/>
      </c>
      <c r="K419" s="26"/>
      <c r="L419" s="26"/>
    </row>
    <row r="420" customFormat="false" ht="15" hidden="false" customHeight="false" outlineLevel="0" collapsed="false">
      <c r="A420" s="31" t="str">
        <f aca="false">IF(COUNTA(B420,D420,E420,F420)=0,"",ROW()-4)</f>
        <v/>
      </c>
      <c r="B420" s="22"/>
      <c r="C420" s="26"/>
      <c r="D420" s="26"/>
      <c r="E420" s="18"/>
      <c r="F420" s="26"/>
      <c r="G420" s="31" t="str">
        <f aca="false">IF(F420="","",IFERROR(INDEX(請求台帳!$C$5:$C$504,MATCH(F420,請求台帳!$A$5:$A$504,0)),""))</f>
        <v/>
      </c>
      <c r="H420" s="31" t="str">
        <f aca="false">IF(F420="","",IFERROR(INDEX(請求台帳!$D$5:$D$504,MATCH(F420,請求台帳!$A$5:$A$504,0)),""))</f>
        <v/>
      </c>
      <c r="I420" s="27" t="str">
        <f aca="false">IF(F420="","",IFERROR(INDEX(請求台帳!$F$5:$F$504,MATCH(F420,請求台帳!$A$5:$A$504,0)),""))</f>
        <v/>
      </c>
      <c r="J420" s="28" t="str">
        <f aca="false">IF(COUNTA(B420,D420,E420,F420)=0,"",IF(OR(B420="",E420=""),"要入力",IF(N(B420)&gt;設定!$C$5,"日付誤り",IF(F420="","未消込",IF(ISNA(MATCH(F420,請求台帳!$A$5:$A$504,0)),"番号誤り",IF(INDEX(請求台帳!$Q$5:$Q$504,MATCH(F420,請求台帳!$A$5:$A$504,0))="取消","取消請求へ消込","消込済"))))))</f>
        <v/>
      </c>
      <c r="K420" s="26"/>
      <c r="L420" s="26"/>
    </row>
    <row r="421" customFormat="false" ht="15" hidden="false" customHeight="false" outlineLevel="0" collapsed="false">
      <c r="A421" s="31" t="str">
        <f aca="false">IF(COUNTA(B421,D421,E421,F421)=0,"",ROW()-4)</f>
        <v/>
      </c>
      <c r="B421" s="22"/>
      <c r="C421" s="26"/>
      <c r="D421" s="26"/>
      <c r="E421" s="18"/>
      <c r="F421" s="26"/>
      <c r="G421" s="31" t="str">
        <f aca="false">IF(F421="","",IFERROR(INDEX(請求台帳!$C$5:$C$504,MATCH(F421,請求台帳!$A$5:$A$504,0)),""))</f>
        <v/>
      </c>
      <c r="H421" s="31" t="str">
        <f aca="false">IF(F421="","",IFERROR(INDEX(請求台帳!$D$5:$D$504,MATCH(F421,請求台帳!$A$5:$A$504,0)),""))</f>
        <v/>
      </c>
      <c r="I421" s="27" t="str">
        <f aca="false">IF(F421="","",IFERROR(INDEX(請求台帳!$F$5:$F$504,MATCH(F421,請求台帳!$A$5:$A$504,0)),""))</f>
        <v/>
      </c>
      <c r="J421" s="28" t="str">
        <f aca="false">IF(COUNTA(B421,D421,E421,F421)=0,"",IF(OR(B421="",E421=""),"要入力",IF(N(B421)&gt;設定!$C$5,"日付誤り",IF(F421="","未消込",IF(ISNA(MATCH(F421,請求台帳!$A$5:$A$504,0)),"番号誤り",IF(INDEX(請求台帳!$Q$5:$Q$504,MATCH(F421,請求台帳!$A$5:$A$504,0))="取消","取消請求へ消込","消込済"))))))</f>
        <v/>
      </c>
      <c r="K421" s="26"/>
      <c r="L421" s="26"/>
    </row>
    <row r="422" customFormat="false" ht="15" hidden="false" customHeight="false" outlineLevel="0" collapsed="false">
      <c r="A422" s="31" t="str">
        <f aca="false">IF(COUNTA(B422,D422,E422,F422)=0,"",ROW()-4)</f>
        <v/>
      </c>
      <c r="B422" s="22"/>
      <c r="C422" s="26"/>
      <c r="D422" s="26"/>
      <c r="E422" s="18"/>
      <c r="F422" s="26"/>
      <c r="G422" s="31" t="str">
        <f aca="false">IF(F422="","",IFERROR(INDEX(請求台帳!$C$5:$C$504,MATCH(F422,請求台帳!$A$5:$A$504,0)),""))</f>
        <v/>
      </c>
      <c r="H422" s="31" t="str">
        <f aca="false">IF(F422="","",IFERROR(INDEX(請求台帳!$D$5:$D$504,MATCH(F422,請求台帳!$A$5:$A$504,0)),""))</f>
        <v/>
      </c>
      <c r="I422" s="27" t="str">
        <f aca="false">IF(F422="","",IFERROR(INDEX(請求台帳!$F$5:$F$504,MATCH(F422,請求台帳!$A$5:$A$504,0)),""))</f>
        <v/>
      </c>
      <c r="J422" s="28" t="str">
        <f aca="false">IF(COUNTA(B422,D422,E422,F422)=0,"",IF(OR(B422="",E422=""),"要入力",IF(N(B422)&gt;設定!$C$5,"日付誤り",IF(F422="","未消込",IF(ISNA(MATCH(F422,請求台帳!$A$5:$A$504,0)),"番号誤り",IF(INDEX(請求台帳!$Q$5:$Q$504,MATCH(F422,請求台帳!$A$5:$A$504,0))="取消","取消請求へ消込","消込済"))))))</f>
        <v/>
      </c>
      <c r="K422" s="26"/>
      <c r="L422" s="26"/>
    </row>
    <row r="423" customFormat="false" ht="15" hidden="false" customHeight="false" outlineLevel="0" collapsed="false">
      <c r="A423" s="31" t="str">
        <f aca="false">IF(COUNTA(B423,D423,E423,F423)=0,"",ROW()-4)</f>
        <v/>
      </c>
      <c r="B423" s="22"/>
      <c r="C423" s="26"/>
      <c r="D423" s="26"/>
      <c r="E423" s="18"/>
      <c r="F423" s="26"/>
      <c r="G423" s="31" t="str">
        <f aca="false">IF(F423="","",IFERROR(INDEX(請求台帳!$C$5:$C$504,MATCH(F423,請求台帳!$A$5:$A$504,0)),""))</f>
        <v/>
      </c>
      <c r="H423" s="31" t="str">
        <f aca="false">IF(F423="","",IFERROR(INDEX(請求台帳!$D$5:$D$504,MATCH(F423,請求台帳!$A$5:$A$504,0)),""))</f>
        <v/>
      </c>
      <c r="I423" s="27" t="str">
        <f aca="false">IF(F423="","",IFERROR(INDEX(請求台帳!$F$5:$F$504,MATCH(F423,請求台帳!$A$5:$A$504,0)),""))</f>
        <v/>
      </c>
      <c r="J423" s="28" t="str">
        <f aca="false">IF(COUNTA(B423,D423,E423,F423)=0,"",IF(OR(B423="",E423=""),"要入力",IF(N(B423)&gt;設定!$C$5,"日付誤り",IF(F423="","未消込",IF(ISNA(MATCH(F423,請求台帳!$A$5:$A$504,0)),"番号誤り",IF(INDEX(請求台帳!$Q$5:$Q$504,MATCH(F423,請求台帳!$A$5:$A$504,0))="取消","取消請求へ消込","消込済"))))))</f>
        <v/>
      </c>
      <c r="K423" s="26"/>
      <c r="L423" s="26"/>
    </row>
    <row r="424" customFormat="false" ht="15" hidden="false" customHeight="false" outlineLevel="0" collapsed="false">
      <c r="A424" s="31" t="str">
        <f aca="false">IF(COUNTA(B424,D424,E424,F424)=0,"",ROW()-4)</f>
        <v/>
      </c>
      <c r="B424" s="22"/>
      <c r="C424" s="26"/>
      <c r="D424" s="26"/>
      <c r="E424" s="18"/>
      <c r="F424" s="26"/>
      <c r="G424" s="31" t="str">
        <f aca="false">IF(F424="","",IFERROR(INDEX(請求台帳!$C$5:$C$504,MATCH(F424,請求台帳!$A$5:$A$504,0)),""))</f>
        <v/>
      </c>
      <c r="H424" s="31" t="str">
        <f aca="false">IF(F424="","",IFERROR(INDEX(請求台帳!$D$5:$D$504,MATCH(F424,請求台帳!$A$5:$A$504,0)),""))</f>
        <v/>
      </c>
      <c r="I424" s="27" t="str">
        <f aca="false">IF(F424="","",IFERROR(INDEX(請求台帳!$F$5:$F$504,MATCH(F424,請求台帳!$A$5:$A$504,0)),""))</f>
        <v/>
      </c>
      <c r="J424" s="28" t="str">
        <f aca="false">IF(COUNTA(B424,D424,E424,F424)=0,"",IF(OR(B424="",E424=""),"要入力",IF(N(B424)&gt;設定!$C$5,"日付誤り",IF(F424="","未消込",IF(ISNA(MATCH(F424,請求台帳!$A$5:$A$504,0)),"番号誤り",IF(INDEX(請求台帳!$Q$5:$Q$504,MATCH(F424,請求台帳!$A$5:$A$504,0))="取消","取消請求へ消込","消込済"))))))</f>
        <v/>
      </c>
      <c r="K424" s="26"/>
      <c r="L424" s="26"/>
    </row>
    <row r="425" customFormat="false" ht="15" hidden="false" customHeight="false" outlineLevel="0" collapsed="false">
      <c r="A425" s="31" t="str">
        <f aca="false">IF(COUNTA(B425,D425,E425,F425)=0,"",ROW()-4)</f>
        <v/>
      </c>
      <c r="B425" s="22"/>
      <c r="C425" s="26"/>
      <c r="D425" s="26"/>
      <c r="E425" s="18"/>
      <c r="F425" s="26"/>
      <c r="G425" s="31" t="str">
        <f aca="false">IF(F425="","",IFERROR(INDEX(請求台帳!$C$5:$C$504,MATCH(F425,請求台帳!$A$5:$A$504,0)),""))</f>
        <v/>
      </c>
      <c r="H425" s="31" t="str">
        <f aca="false">IF(F425="","",IFERROR(INDEX(請求台帳!$D$5:$D$504,MATCH(F425,請求台帳!$A$5:$A$504,0)),""))</f>
        <v/>
      </c>
      <c r="I425" s="27" t="str">
        <f aca="false">IF(F425="","",IFERROR(INDEX(請求台帳!$F$5:$F$504,MATCH(F425,請求台帳!$A$5:$A$504,0)),""))</f>
        <v/>
      </c>
      <c r="J425" s="28" t="str">
        <f aca="false">IF(COUNTA(B425,D425,E425,F425)=0,"",IF(OR(B425="",E425=""),"要入力",IF(N(B425)&gt;設定!$C$5,"日付誤り",IF(F425="","未消込",IF(ISNA(MATCH(F425,請求台帳!$A$5:$A$504,0)),"番号誤り",IF(INDEX(請求台帳!$Q$5:$Q$504,MATCH(F425,請求台帳!$A$5:$A$504,0))="取消","取消請求へ消込","消込済"))))))</f>
        <v/>
      </c>
      <c r="K425" s="26"/>
      <c r="L425" s="26"/>
    </row>
    <row r="426" customFormat="false" ht="15" hidden="false" customHeight="false" outlineLevel="0" collapsed="false">
      <c r="A426" s="31" t="str">
        <f aca="false">IF(COUNTA(B426,D426,E426,F426)=0,"",ROW()-4)</f>
        <v/>
      </c>
      <c r="B426" s="22"/>
      <c r="C426" s="26"/>
      <c r="D426" s="26"/>
      <c r="E426" s="18"/>
      <c r="F426" s="26"/>
      <c r="G426" s="31" t="str">
        <f aca="false">IF(F426="","",IFERROR(INDEX(請求台帳!$C$5:$C$504,MATCH(F426,請求台帳!$A$5:$A$504,0)),""))</f>
        <v/>
      </c>
      <c r="H426" s="31" t="str">
        <f aca="false">IF(F426="","",IFERROR(INDEX(請求台帳!$D$5:$D$504,MATCH(F426,請求台帳!$A$5:$A$504,0)),""))</f>
        <v/>
      </c>
      <c r="I426" s="27" t="str">
        <f aca="false">IF(F426="","",IFERROR(INDEX(請求台帳!$F$5:$F$504,MATCH(F426,請求台帳!$A$5:$A$504,0)),""))</f>
        <v/>
      </c>
      <c r="J426" s="28" t="str">
        <f aca="false">IF(COUNTA(B426,D426,E426,F426)=0,"",IF(OR(B426="",E426=""),"要入力",IF(N(B426)&gt;設定!$C$5,"日付誤り",IF(F426="","未消込",IF(ISNA(MATCH(F426,請求台帳!$A$5:$A$504,0)),"番号誤り",IF(INDEX(請求台帳!$Q$5:$Q$504,MATCH(F426,請求台帳!$A$5:$A$504,0))="取消","取消請求へ消込","消込済"))))))</f>
        <v/>
      </c>
      <c r="K426" s="26"/>
      <c r="L426" s="26"/>
    </row>
    <row r="427" customFormat="false" ht="15" hidden="false" customHeight="false" outlineLevel="0" collapsed="false">
      <c r="A427" s="31" t="str">
        <f aca="false">IF(COUNTA(B427,D427,E427,F427)=0,"",ROW()-4)</f>
        <v/>
      </c>
      <c r="B427" s="22"/>
      <c r="C427" s="26"/>
      <c r="D427" s="26"/>
      <c r="E427" s="18"/>
      <c r="F427" s="26"/>
      <c r="G427" s="31" t="str">
        <f aca="false">IF(F427="","",IFERROR(INDEX(請求台帳!$C$5:$C$504,MATCH(F427,請求台帳!$A$5:$A$504,0)),""))</f>
        <v/>
      </c>
      <c r="H427" s="31" t="str">
        <f aca="false">IF(F427="","",IFERROR(INDEX(請求台帳!$D$5:$D$504,MATCH(F427,請求台帳!$A$5:$A$504,0)),""))</f>
        <v/>
      </c>
      <c r="I427" s="27" t="str">
        <f aca="false">IF(F427="","",IFERROR(INDEX(請求台帳!$F$5:$F$504,MATCH(F427,請求台帳!$A$5:$A$504,0)),""))</f>
        <v/>
      </c>
      <c r="J427" s="28" t="str">
        <f aca="false">IF(COUNTA(B427,D427,E427,F427)=0,"",IF(OR(B427="",E427=""),"要入力",IF(N(B427)&gt;設定!$C$5,"日付誤り",IF(F427="","未消込",IF(ISNA(MATCH(F427,請求台帳!$A$5:$A$504,0)),"番号誤り",IF(INDEX(請求台帳!$Q$5:$Q$504,MATCH(F427,請求台帳!$A$5:$A$504,0))="取消","取消請求へ消込","消込済"))))))</f>
        <v/>
      </c>
      <c r="K427" s="26"/>
      <c r="L427" s="26"/>
    </row>
    <row r="428" customFormat="false" ht="15" hidden="false" customHeight="false" outlineLevel="0" collapsed="false">
      <c r="A428" s="31" t="str">
        <f aca="false">IF(COUNTA(B428,D428,E428,F428)=0,"",ROW()-4)</f>
        <v/>
      </c>
      <c r="B428" s="22"/>
      <c r="C428" s="26"/>
      <c r="D428" s="26"/>
      <c r="E428" s="18"/>
      <c r="F428" s="26"/>
      <c r="G428" s="31" t="str">
        <f aca="false">IF(F428="","",IFERROR(INDEX(請求台帳!$C$5:$C$504,MATCH(F428,請求台帳!$A$5:$A$504,0)),""))</f>
        <v/>
      </c>
      <c r="H428" s="31" t="str">
        <f aca="false">IF(F428="","",IFERROR(INDEX(請求台帳!$D$5:$D$504,MATCH(F428,請求台帳!$A$5:$A$504,0)),""))</f>
        <v/>
      </c>
      <c r="I428" s="27" t="str">
        <f aca="false">IF(F428="","",IFERROR(INDEX(請求台帳!$F$5:$F$504,MATCH(F428,請求台帳!$A$5:$A$504,0)),""))</f>
        <v/>
      </c>
      <c r="J428" s="28" t="str">
        <f aca="false">IF(COUNTA(B428,D428,E428,F428)=0,"",IF(OR(B428="",E428=""),"要入力",IF(N(B428)&gt;設定!$C$5,"日付誤り",IF(F428="","未消込",IF(ISNA(MATCH(F428,請求台帳!$A$5:$A$504,0)),"番号誤り",IF(INDEX(請求台帳!$Q$5:$Q$504,MATCH(F428,請求台帳!$A$5:$A$504,0))="取消","取消請求へ消込","消込済"))))))</f>
        <v/>
      </c>
      <c r="K428" s="26"/>
      <c r="L428" s="26"/>
    </row>
    <row r="429" customFormat="false" ht="15" hidden="false" customHeight="false" outlineLevel="0" collapsed="false">
      <c r="A429" s="31" t="str">
        <f aca="false">IF(COUNTA(B429,D429,E429,F429)=0,"",ROW()-4)</f>
        <v/>
      </c>
      <c r="B429" s="22"/>
      <c r="C429" s="26"/>
      <c r="D429" s="26"/>
      <c r="E429" s="18"/>
      <c r="F429" s="26"/>
      <c r="G429" s="31" t="str">
        <f aca="false">IF(F429="","",IFERROR(INDEX(請求台帳!$C$5:$C$504,MATCH(F429,請求台帳!$A$5:$A$504,0)),""))</f>
        <v/>
      </c>
      <c r="H429" s="31" t="str">
        <f aca="false">IF(F429="","",IFERROR(INDEX(請求台帳!$D$5:$D$504,MATCH(F429,請求台帳!$A$5:$A$504,0)),""))</f>
        <v/>
      </c>
      <c r="I429" s="27" t="str">
        <f aca="false">IF(F429="","",IFERROR(INDEX(請求台帳!$F$5:$F$504,MATCH(F429,請求台帳!$A$5:$A$504,0)),""))</f>
        <v/>
      </c>
      <c r="J429" s="28" t="str">
        <f aca="false">IF(COUNTA(B429,D429,E429,F429)=0,"",IF(OR(B429="",E429=""),"要入力",IF(N(B429)&gt;設定!$C$5,"日付誤り",IF(F429="","未消込",IF(ISNA(MATCH(F429,請求台帳!$A$5:$A$504,0)),"番号誤り",IF(INDEX(請求台帳!$Q$5:$Q$504,MATCH(F429,請求台帳!$A$5:$A$504,0))="取消","取消請求へ消込","消込済"))))))</f>
        <v/>
      </c>
      <c r="K429" s="26"/>
      <c r="L429" s="26"/>
    </row>
    <row r="430" customFormat="false" ht="15" hidden="false" customHeight="false" outlineLevel="0" collapsed="false">
      <c r="A430" s="31" t="str">
        <f aca="false">IF(COUNTA(B430,D430,E430,F430)=0,"",ROW()-4)</f>
        <v/>
      </c>
      <c r="B430" s="22"/>
      <c r="C430" s="26"/>
      <c r="D430" s="26"/>
      <c r="E430" s="18"/>
      <c r="F430" s="26"/>
      <c r="G430" s="31" t="str">
        <f aca="false">IF(F430="","",IFERROR(INDEX(請求台帳!$C$5:$C$504,MATCH(F430,請求台帳!$A$5:$A$504,0)),""))</f>
        <v/>
      </c>
      <c r="H430" s="31" t="str">
        <f aca="false">IF(F430="","",IFERROR(INDEX(請求台帳!$D$5:$D$504,MATCH(F430,請求台帳!$A$5:$A$504,0)),""))</f>
        <v/>
      </c>
      <c r="I430" s="27" t="str">
        <f aca="false">IF(F430="","",IFERROR(INDEX(請求台帳!$F$5:$F$504,MATCH(F430,請求台帳!$A$5:$A$504,0)),""))</f>
        <v/>
      </c>
      <c r="J430" s="28" t="str">
        <f aca="false">IF(COUNTA(B430,D430,E430,F430)=0,"",IF(OR(B430="",E430=""),"要入力",IF(N(B430)&gt;設定!$C$5,"日付誤り",IF(F430="","未消込",IF(ISNA(MATCH(F430,請求台帳!$A$5:$A$504,0)),"番号誤り",IF(INDEX(請求台帳!$Q$5:$Q$504,MATCH(F430,請求台帳!$A$5:$A$504,0))="取消","取消請求へ消込","消込済"))))))</f>
        <v/>
      </c>
      <c r="K430" s="26"/>
      <c r="L430" s="26"/>
    </row>
    <row r="431" customFormat="false" ht="15" hidden="false" customHeight="false" outlineLevel="0" collapsed="false">
      <c r="A431" s="31" t="str">
        <f aca="false">IF(COUNTA(B431,D431,E431,F431)=0,"",ROW()-4)</f>
        <v/>
      </c>
      <c r="B431" s="22"/>
      <c r="C431" s="26"/>
      <c r="D431" s="26"/>
      <c r="E431" s="18"/>
      <c r="F431" s="26"/>
      <c r="G431" s="31" t="str">
        <f aca="false">IF(F431="","",IFERROR(INDEX(請求台帳!$C$5:$C$504,MATCH(F431,請求台帳!$A$5:$A$504,0)),""))</f>
        <v/>
      </c>
      <c r="H431" s="31" t="str">
        <f aca="false">IF(F431="","",IFERROR(INDEX(請求台帳!$D$5:$D$504,MATCH(F431,請求台帳!$A$5:$A$504,0)),""))</f>
        <v/>
      </c>
      <c r="I431" s="27" t="str">
        <f aca="false">IF(F431="","",IFERROR(INDEX(請求台帳!$F$5:$F$504,MATCH(F431,請求台帳!$A$5:$A$504,0)),""))</f>
        <v/>
      </c>
      <c r="J431" s="28" t="str">
        <f aca="false">IF(COUNTA(B431,D431,E431,F431)=0,"",IF(OR(B431="",E431=""),"要入力",IF(N(B431)&gt;設定!$C$5,"日付誤り",IF(F431="","未消込",IF(ISNA(MATCH(F431,請求台帳!$A$5:$A$504,0)),"番号誤り",IF(INDEX(請求台帳!$Q$5:$Q$504,MATCH(F431,請求台帳!$A$5:$A$504,0))="取消","取消請求へ消込","消込済"))))))</f>
        <v/>
      </c>
      <c r="K431" s="26"/>
      <c r="L431" s="26"/>
    </row>
    <row r="432" customFormat="false" ht="15" hidden="false" customHeight="false" outlineLevel="0" collapsed="false">
      <c r="A432" s="31" t="str">
        <f aca="false">IF(COUNTA(B432,D432,E432,F432)=0,"",ROW()-4)</f>
        <v/>
      </c>
      <c r="B432" s="22"/>
      <c r="C432" s="26"/>
      <c r="D432" s="26"/>
      <c r="E432" s="18"/>
      <c r="F432" s="26"/>
      <c r="G432" s="31" t="str">
        <f aca="false">IF(F432="","",IFERROR(INDEX(請求台帳!$C$5:$C$504,MATCH(F432,請求台帳!$A$5:$A$504,0)),""))</f>
        <v/>
      </c>
      <c r="H432" s="31" t="str">
        <f aca="false">IF(F432="","",IFERROR(INDEX(請求台帳!$D$5:$D$504,MATCH(F432,請求台帳!$A$5:$A$504,0)),""))</f>
        <v/>
      </c>
      <c r="I432" s="27" t="str">
        <f aca="false">IF(F432="","",IFERROR(INDEX(請求台帳!$F$5:$F$504,MATCH(F432,請求台帳!$A$5:$A$504,0)),""))</f>
        <v/>
      </c>
      <c r="J432" s="28" t="str">
        <f aca="false">IF(COUNTA(B432,D432,E432,F432)=0,"",IF(OR(B432="",E432=""),"要入力",IF(N(B432)&gt;設定!$C$5,"日付誤り",IF(F432="","未消込",IF(ISNA(MATCH(F432,請求台帳!$A$5:$A$504,0)),"番号誤り",IF(INDEX(請求台帳!$Q$5:$Q$504,MATCH(F432,請求台帳!$A$5:$A$504,0))="取消","取消請求へ消込","消込済"))))))</f>
        <v/>
      </c>
      <c r="K432" s="26"/>
      <c r="L432" s="26"/>
    </row>
    <row r="433" customFormat="false" ht="15" hidden="false" customHeight="false" outlineLevel="0" collapsed="false">
      <c r="A433" s="31" t="str">
        <f aca="false">IF(COUNTA(B433,D433,E433,F433)=0,"",ROW()-4)</f>
        <v/>
      </c>
      <c r="B433" s="22"/>
      <c r="C433" s="26"/>
      <c r="D433" s="26"/>
      <c r="E433" s="18"/>
      <c r="F433" s="26"/>
      <c r="G433" s="31" t="str">
        <f aca="false">IF(F433="","",IFERROR(INDEX(請求台帳!$C$5:$C$504,MATCH(F433,請求台帳!$A$5:$A$504,0)),""))</f>
        <v/>
      </c>
      <c r="H433" s="31" t="str">
        <f aca="false">IF(F433="","",IFERROR(INDEX(請求台帳!$D$5:$D$504,MATCH(F433,請求台帳!$A$5:$A$504,0)),""))</f>
        <v/>
      </c>
      <c r="I433" s="27" t="str">
        <f aca="false">IF(F433="","",IFERROR(INDEX(請求台帳!$F$5:$F$504,MATCH(F433,請求台帳!$A$5:$A$504,0)),""))</f>
        <v/>
      </c>
      <c r="J433" s="28" t="str">
        <f aca="false">IF(COUNTA(B433,D433,E433,F433)=0,"",IF(OR(B433="",E433=""),"要入力",IF(N(B433)&gt;設定!$C$5,"日付誤り",IF(F433="","未消込",IF(ISNA(MATCH(F433,請求台帳!$A$5:$A$504,0)),"番号誤り",IF(INDEX(請求台帳!$Q$5:$Q$504,MATCH(F433,請求台帳!$A$5:$A$504,0))="取消","取消請求へ消込","消込済"))))))</f>
        <v/>
      </c>
      <c r="K433" s="26"/>
      <c r="L433" s="26"/>
    </row>
    <row r="434" customFormat="false" ht="15" hidden="false" customHeight="false" outlineLevel="0" collapsed="false">
      <c r="A434" s="31" t="str">
        <f aca="false">IF(COUNTA(B434,D434,E434,F434)=0,"",ROW()-4)</f>
        <v/>
      </c>
      <c r="B434" s="22"/>
      <c r="C434" s="26"/>
      <c r="D434" s="26"/>
      <c r="E434" s="18"/>
      <c r="F434" s="26"/>
      <c r="G434" s="31" t="str">
        <f aca="false">IF(F434="","",IFERROR(INDEX(請求台帳!$C$5:$C$504,MATCH(F434,請求台帳!$A$5:$A$504,0)),""))</f>
        <v/>
      </c>
      <c r="H434" s="31" t="str">
        <f aca="false">IF(F434="","",IFERROR(INDEX(請求台帳!$D$5:$D$504,MATCH(F434,請求台帳!$A$5:$A$504,0)),""))</f>
        <v/>
      </c>
      <c r="I434" s="27" t="str">
        <f aca="false">IF(F434="","",IFERROR(INDEX(請求台帳!$F$5:$F$504,MATCH(F434,請求台帳!$A$5:$A$504,0)),""))</f>
        <v/>
      </c>
      <c r="J434" s="28" t="str">
        <f aca="false">IF(COUNTA(B434,D434,E434,F434)=0,"",IF(OR(B434="",E434=""),"要入力",IF(N(B434)&gt;設定!$C$5,"日付誤り",IF(F434="","未消込",IF(ISNA(MATCH(F434,請求台帳!$A$5:$A$504,0)),"番号誤り",IF(INDEX(請求台帳!$Q$5:$Q$504,MATCH(F434,請求台帳!$A$5:$A$504,0))="取消","取消請求へ消込","消込済"))))))</f>
        <v/>
      </c>
      <c r="K434" s="26"/>
      <c r="L434" s="26"/>
    </row>
    <row r="435" customFormat="false" ht="15" hidden="false" customHeight="false" outlineLevel="0" collapsed="false">
      <c r="A435" s="31" t="str">
        <f aca="false">IF(COUNTA(B435,D435,E435,F435)=0,"",ROW()-4)</f>
        <v/>
      </c>
      <c r="B435" s="22"/>
      <c r="C435" s="26"/>
      <c r="D435" s="26"/>
      <c r="E435" s="18"/>
      <c r="F435" s="26"/>
      <c r="G435" s="31" t="str">
        <f aca="false">IF(F435="","",IFERROR(INDEX(請求台帳!$C$5:$C$504,MATCH(F435,請求台帳!$A$5:$A$504,0)),""))</f>
        <v/>
      </c>
      <c r="H435" s="31" t="str">
        <f aca="false">IF(F435="","",IFERROR(INDEX(請求台帳!$D$5:$D$504,MATCH(F435,請求台帳!$A$5:$A$504,0)),""))</f>
        <v/>
      </c>
      <c r="I435" s="27" t="str">
        <f aca="false">IF(F435="","",IFERROR(INDEX(請求台帳!$F$5:$F$504,MATCH(F435,請求台帳!$A$5:$A$504,0)),""))</f>
        <v/>
      </c>
      <c r="J435" s="28" t="str">
        <f aca="false">IF(COUNTA(B435,D435,E435,F435)=0,"",IF(OR(B435="",E435=""),"要入力",IF(N(B435)&gt;設定!$C$5,"日付誤り",IF(F435="","未消込",IF(ISNA(MATCH(F435,請求台帳!$A$5:$A$504,0)),"番号誤り",IF(INDEX(請求台帳!$Q$5:$Q$504,MATCH(F435,請求台帳!$A$5:$A$504,0))="取消","取消請求へ消込","消込済"))))))</f>
        <v/>
      </c>
      <c r="K435" s="26"/>
      <c r="L435" s="26"/>
    </row>
    <row r="436" customFormat="false" ht="15" hidden="false" customHeight="false" outlineLevel="0" collapsed="false">
      <c r="A436" s="31" t="str">
        <f aca="false">IF(COUNTA(B436,D436,E436,F436)=0,"",ROW()-4)</f>
        <v/>
      </c>
      <c r="B436" s="22"/>
      <c r="C436" s="26"/>
      <c r="D436" s="26"/>
      <c r="E436" s="18"/>
      <c r="F436" s="26"/>
      <c r="G436" s="31" t="str">
        <f aca="false">IF(F436="","",IFERROR(INDEX(請求台帳!$C$5:$C$504,MATCH(F436,請求台帳!$A$5:$A$504,0)),""))</f>
        <v/>
      </c>
      <c r="H436" s="31" t="str">
        <f aca="false">IF(F436="","",IFERROR(INDEX(請求台帳!$D$5:$D$504,MATCH(F436,請求台帳!$A$5:$A$504,0)),""))</f>
        <v/>
      </c>
      <c r="I436" s="27" t="str">
        <f aca="false">IF(F436="","",IFERROR(INDEX(請求台帳!$F$5:$F$504,MATCH(F436,請求台帳!$A$5:$A$504,0)),""))</f>
        <v/>
      </c>
      <c r="J436" s="28" t="str">
        <f aca="false">IF(COUNTA(B436,D436,E436,F436)=0,"",IF(OR(B436="",E436=""),"要入力",IF(N(B436)&gt;設定!$C$5,"日付誤り",IF(F436="","未消込",IF(ISNA(MATCH(F436,請求台帳!$A$5:$A$504,0)),"番号誤り",IF(INDEX(請求台帳!$Q$5:$Q$504,MATCH(F436,請求台帳!$A$5:$A$504,0))="取消","取消請求へ消込","消込済"))))))</f>
        <v/>
      </c>
      <c r="K436" s="26"/>
      <c r="L436" s="26"/>
    </row>
    <row r="437" customFormat="false" ht="15" hidden="false" customHeight="false" outlineLevel="0" collapsed="false">
      <c r="A437" s="31" t="str">
        <f aca="false">IF(COUNTA(B437,D437,E437,F437)=0,"",ROW()-4)</f>
        <v/>
      </c>
      <c r="B437" s="22"/>
      <c r="C437" s="26"/>
      <c r="D437" s="26"/>
      <c r="E437" s="18"/>
      <c r="F437" s="26"/>
      <c r="G437" s="31" t="str">
        <f aca="false">IF(F437="","",IFERROR(INDEX(請求台帳!$C$5:$C$504,MATCH(F437,請求台帳!$A$5:$A$504,0)),""))</f>
        <v/>
      </c>
      <c r="H437" s="31" t="str">
        <f aca="false">IF(F437="","",IFERROR(INDEX(請求台帳!$D$5:$D$504,MATCH(F437,請求台帳!$A$5:$A$504,0)),""))</f>
        <v/>
      </c>
      <c r="I437" s="27" t="str">
        <f aca="false">IF(F437="","",IFERROR(INDEX(請求台帳!$F$5:$F$504,MATCH(F437,請求台帳!$A$5:$A$504,0)),""))</f>
        <v/>
      </c>
      <c r="J437" s="28" t="str">
        <f aca="false">IF(COUNTA(B437,D437,E437,F437)=0,"",IF(OR(B437="",E437=""),"要入力",IF(N(B437)&gt;設定!$C$5,"日付誤り",IF(F437="","未消込",IF(ISNA(MATCH(F437,請求台帳!$A$5:$A$504,0)),"番号誤り",IF(INDEX(請求台帳!$Q$5:$Q$504,MATCH(F437,請求台帳!$A$5:$A$504,0))="取消","取消請求へ消込","消込済"))))))</f>
        <v/>
      </c>
      <c r="K437" s="26"/>
      <c r="L437" s="26"/>
    </row>
    <row r="438" customFormat="false" ht="15" hidden="false" customHeight="false" outlineLevel="0" collapsed="false">
      <c r="A438" s="31" t="str">
        <f aca="false">IF(COUNTA(B438,D438,E438,F438)=0,"",ROW()-4)</f>
        <v/>
      </c>
      <c r="B438" s="22"/>
      <c r="C438" s="26"/>
      <c r="D438" s="26"/>
      <c r="E438" s="18"/>
      <c r="F438" s="26"/>
      <c r="G438" s="31" t="str">
        <f aca="false">IF(F438="","",IFERROR(INDEX(請求台帳!$C$5:$C$504,MATCH(F438,請求台帳!$A$5:$A$504,0)),""))</f>
        <v/>
      </c>
      <c r="H438" s="31" t="str">
        <f aca="false">IF(F438="","",IFERROR(INDEX(請求台帳!$D$5:$D$504,MATCH(F438,請求台帳!$A$5:$A$504,0)),""))</f>
        <v/>
      </c>
      <c r="I438" s="27" t="str">
        <f aca="false">IF(F438="","",IFERROR(INDEX(請求台帳!$F$5:$F$504,MATCH(F438,請求台帳!$A$5:$A$504,0)),""))</f>
        <v/>
      </c>
      <c r="J438" s="28" t="str">
        <f aca="false">IF(COUNTA(B438,D438,E438,F438)=0,"",IF(OR(B438="",E438=""),"要入力",IF(N(B438)&gt;設定!$C$5,"日付誤り",IF(F438="","未消込",IF(ISNA(MATCH(F438,請求台帳!$A$5:$A$504,0)),"番号誤り",IF(INDEX(請求台帳!$Q$5:$Q$504,MATCH(F438,請求台帳!$A$5:$A$504,0))="取消","取消請求へ消込","消込済"))))))</f>
        <v/>
      </c>
      <c r="K438" s="26"/>
      <c r="L438" s="26"/>
    </row>
    <row r="439" customFormat="false" ht="15" hidden="false" customHeight="false" outlineLevel="0" collapsed="false">
      <c r="A439" s="31" t="str">
        <f aca="false">IF(COUNTA(B439,D439,E439,F439)=0,"",ROW()-4)</f>
        <v/>
      </c>
      <c r="B439" s="22"/>
      <c r="C439" s="26"/>
      <c r="D439" s="26"/>
      <c r="E439" s="18"/>
      <c r="F439" s="26"/>
      <c r="G439" s="31" t="str">
        <f aca="false">IF(F439="","",IFERROR(INDEX(請求台帳!$C$5:$C$504,MATCH(F439,請求台帳!$A$5:$A$504,0)),""))</f>
        <v/>
      </c>
      <c r="H439" s="31" t="str">
        <f aca="false">IF(F439="","",IFERROR(INDEX(請求台帳!$D$5:$D$504,MATCH(F439,請求台帳!$A$5:$A$504,0)),""))</f>
        <v/>
      </c>
      <c r="I439" s="27" t="str">
        <f aca="false">IF(F439="","",IFERROR(INDEX(請求台帳!$F$5:$F$504,MATCH(F439,請求台帳!$A$5:$A$504,0)),""))</f>
        <v/>
      </c>
      <c r="J439" s="28" t="str">
        <f aca="false">IF(COUNTA(B439,D439,E439,F439)=0,"",IF(OR(B439="",E439=""),"要入力",IF(N(B439)&gt;設定!$C$5,"日付誤り",IF(F439="","未消込",IF(ISNA(MATCH(F439,請求台帳!$A$5:$A$504,0)),"番号誤り",IF(INDEX(請求台帳!$Q$5:$Q$504,MATCH(F439,請求台帳!$A$5:$A$504,0))="取消","取消請求へ消込","消込済"))))))</f>
        <v/>
      </c>
      <c r="K439" s="26"/>
      <c r="L439" s="26"/>
    </row>
    <row r="440" customFormat="false" ht="15" hidden="false" customHeight="false" outlineLevel="0" collapsed="false">
      <c r="A440" s="31" t="str">
        <f aca="false">IF(COUNTA(B440,D440,E440,F440)=0,"",ROW()-4)</f>
        <v/>
      </c>
      <c r="B440" s="22"/>
      <c r="C440" s="26"/>
      <c r="D440" s="26"/>
      <c r="E440" s="18"/>
      <c r="F440" s="26"/>
      <c r="G440" s="31" t="str">
        <f aca="false">IF(F440="","",IFERROR(INDEX(請求台帳!$C$5:$C$504,MATCH(F440,請求台帳!$A$5:$A$504,0)),""))</f>
        <v/>
      </c>
      <c r="H440" s="31" t="str">
        <f aca="false">IF(F440="","",IFERROR(INDEX(請求台帳!$D$5:$D$504,MATCH(F440,請求台帳!$A$5:$A$504,0)),""))</f>
        <v/>
      </c>
      <c r="I440" s="27" t="str">
        <f aca="false">IF(F440="","",IFERROR(INDEX(請求台帳!$F$5:$F$504,MATCH(F440,請求台帳!$A$5:$A$504,0)),""))</f>
        <v/>
      </c>
      <c r="J440" s="28" t="str">
        <f aca="false">IF(COUNTA(B440,D440,E440,F440)=0,"",IF(OR(B440="",E440=""),"要入力",IF(N(B440)&gt;設定!$C$5,"日付誤り",IF(F440="","未消込",IF(ISNA(MATCH(F440,請求台帳!$A$5:$A$504,0)),"番号誤り",IF(INDEX(請求台帳!$Q$5:$Q$504,MATCH(F440,請求台帳!$A$5:$A$504,0))="取消","取消請求へ消込","消込済"))))))</f>
        <v/>
      </c>
      <c r="K440" s="26"/>
      <c r="L440" s="26"/>
    </row>
    <row r="441" customFormat="false" ht="15" hidden="false" customHeight="false" outlineLevel="0" collapsed="false">
      <c r="A441" s="31" t="str">
        <f aca="false">IF(COUNTA(B441,D441,E441,F441)=0,"",ROW()-4)</f>
        <v/>
      </c>
      <c r="B441" s="22"/>
      <c r="C441" s="26"/>
      <c r="D441" s="26"/>
      <c r="E441" s="18"/>
      <c r="F441" s="26"/>
      <c r="G441" s="31" t="str">
        <f aca="false">IF(F441="","",IFERROR(INDEX(請求台帳!$C$5:$C$504,MATCH(F441,請求台帳!$A$5:$A$504,0)),""))</f>
        <v/>
      </c>
      <c r="H441" s="31" t="str">
        <f aca="false">IF(F441="","",IFERROR(INDEX(請求台帳!$D$5:$D$504,MATCH(F441,請求台帳!$A$5:$A$504,0)),""))</f>
        <v/>
      </c>
      <c r="I441" s="27" t="str">
        <f aca="false">IF(F441="","",IFERROR(INDEX(請求台帳!$F$5:$F$504,MATCH(F441,請求台帳!$A$5:$A$504,0)),""))</f>
        <v/>
      </c>
      <c r="J441" s="28" t="str">
        <f aca="false">IF(COUNTA(B441,D441,E441,F441)=0,"",IF(OR(B441="",E441=""),"要入力",IF(N(B441)&gt;設定!$C$5,"日付誤り",IF(F441="","未消込",IF(ISNA(MATCH(F441,請求台帳!$A$5:$A$504,0)),"番号誤り",IF(INDEX(請求台帳!$Q$5:$Q$504,MATCH(F441,請求台帳!$A$5:$A$504,0))="取消","取消請求へ消込","消込済"))))))</f>
        <v/>
      </c>
      <c r="K441" s="26"/>
      <c r="L441" s="26"/>
    </row>
    <row r="442" customFormat="false" ht="15" hidden="false" customHeight="false" outlineLevel="0" collapsed="false">
      <c r="A442" s="31" t="str">
        <f aca="false">IF(COUNTA(B442,D442,E442,F442)=0,"",ROW()-4)</f>
        <v/>
      </c>
      <c r="B442" s="22"/>
      <c r="C442" s="26"/>
      <c r="D442" s="26"/>
      <c r="E442" s="18"/>
      <c r="F442" s="26"/>
      <c r="G442" s="31" t="str">
        <f aca="false">IF(F442="","",IFERROR(INDEX(請求台帳!$C$5:$C$504,MATCH(F442,請求台帳!$A$5:$A$504,0)),""))</f>
        <v/>
      </c>
      <c r="H442" s="31" t="str">
        <f aca="false">IF(F442="","",IFERROR(INDEX(請求台帳!$D$5:$D$504,MATCH(F442,請求台帳!$A$5:$A$504,0)),""))</f>
        <v/>
      </c>
      <c r="I442" s="27" t="str">
        <f aca="false">IF(F442="","",IFERROR(INDEX(請求台帳!$F$5:$F$504,MATCH(F442,請求台帳!$A$5:$A$504,0)),""))</f>
        <v/>
      </c>
      <c r="J442" s="28" t="str">
        <f aca="false">IF(COUNTA(B442,D442,E442,F442)=0,"",IF(OR(B442="",E442=""),"要入力",IF(N(B442)&gt;設定!$C$5,"日付誤り",IF(F442="","未消込",IF(ISNA(MATCH(F442,請求台帳!$A$5:$A$504,0)),"番号誤り",IF(INDEX(請求台帳!$Q$5:$Q$504,MATCH(F442,請求台帳!$A$5:$A$504,0))="取消","取消請求へ消込","消込済"))))))</f>
        <v/>
      </c>
      <c r="K442" s="26"/>
      <c r="L442" s="26"/>
    </row>
    <row r="443" customFormat="false" ht="15" hidden="false" customHeight="false" outlineLevel="0" collapsed="false">
      <c r="A443" s="31" t="str">
        <f aca="false">IF(COUNTA(B443,D443,E443,F443)=0,"",ROW()-4)</f>
        <v/>
      </c>
      <c r="B443" s="22"/>
      <c r="C443" s="26"/>
      <c r="D443" s="26"/>
      <c r="E443" s="18"/>
      <c r="F443" s="26"/>
      <c r="G443" s="31" t="str">
        <f aca="false">IF(F443="","",IFERROR(INDEX(請求台帳!$C$5:$C$504,MATCH(F443,請求台帳!$A$5:$A$504,0)),""))</f>
        <v/>
      </c>
      <c r="H443" s="31" t="str">
        <f aca="false">IF(F443="","",IFERROR(INDEX(請求台帳!$D$5:$D$504,MATCH(F443,請求台帳!$A$5:$A$504,0)),""))</f>
        <v/>
      </c>
      <c r="I443" s="27" t="str">
        <f aca="false">IF(F443="","",IFERROR(INDEX(請求台帳!$F$5:$F$504,MATCH(F443,請求台帳!$A$5:$A$504,0)),""))</f>
        <v/>
      </c>
      <c r="J443" s="28" t="str">
        <f aca="false">IF(COUNTA(B443,D443,E443,F443)=0,"",IF(OR(B443="",E443=""),"要入力",IF(N(B443)&gt;設定!$C$5,"日付誤り",IF(F443="","未消込",IF(ISNA(MATCH(F443,請求台帳!$A$5:$A$504,0)),"番号誤り",IF(INDEX(請求台帳!$Q$5:$Q$504,MATCH(F443,請求台帳!$A$5:$A$504,0))="取消","取消請求へ消込","消込済"))))))</f>
        <v/>
      </c>
      <c r="K443" s="26"/>
      <c r="L443" s="26"/>
    </row>
    <row r="444" customFormat="false" ht="15" hidden="false" customHeight="false" outlineLevel="0" collapsed="false">
      <c r="A444" s="31" t="str">
        <f aca="false">IF(COUNTA(B444,D444,E444,F444)=0,"",ROW()-4)</f>
        <v/>
      </c>
      <c r="B444" s="22"/>
      <c r="C444" s="26"/>
      <c r="D444" s="26"/>
      <c r="E444" s="18"/>
      <c r="F444" s="26"/>
      <c r="G444" s="31" t="str">
        <f aca="false">IF(F444="","",IFERROR(INDEX(請求台帳!$C$5:$C$504,MATCH(F444,請求台帳!$A$5:$A$504,0)),""))</f>
        <v/>
      </c>
      <c r="H444" s="31" t="str">
        <f aca="false">IF(F444="","",IFERROR(INDEX(請求台帳!$D$5:$D$504,MATCH(F444,請求台帳!$A$5:$A$504,0)),""))</f>
        <v/>
      </c>
      <c r="I444" s="27" t="str">
        <f aca="false">IF(F444="","",IFERROR(INDEX(請求台帳!$F$5:$F$504,MATCH(F444,請求台帳!$A$5:$A$504,0)),""))</f>
        <v/>
      </c>
      <c r="J444" s="28" t="str">
        <f aca="false">IF(COUNTA(B444,D444,E444,F444)=0,"",IF(OR(B444="",E444=""),"要入力",IF(N(B444)&gt;設定!$C$5,"日付誤り",IF(F444="","未消込",IF(ISNA(MATCH(F444,請求台帳!$A$5:$A$504,0)),"番号誤り",IF(INDEX(請求台帳!$Q$5:$Q$504,MATCH(F444,請求台帳!$A$5:$A$504,0))="取消","取消請求へ消込","消込済"))))))</f>
        <v/>
      </c>
      <c r="K444" s="26"/>
      <c r="L444" s="26"/>
    </row>
    <row r="445" customFormat="false" ht="15" hidden="false" customHeight="false" outlineLevel="0" collapsed="false">
      <c r="A445" s="31" t="str">
        <f aca="false">IF(COUNTA(B445,D445,E445,F445)=0,"",ROW()-4)</f>
        <v/>
      </c>
      <c r="B445" s="22"/>
      <c r="C445" s="26"/>
      <c r="D445" s="26"/>
      <c r="E445" s="18"/>
      <c r="F445" s="26"/>
      <c r="G445" s="31" t="str">
        <f aca="false">IF(F445="","",IFERROR(INDEX(請求台帳!$C$5:$C$504,MATCH(F445,請求台帳!$A$5:$A$504,0)),""))</f>
        <v/>
      </c>
      <c r="H445" s="31" t="str">
        <f aca="false">IF(F445="","",IFERROR(INDEX(請求台帳!$D$5:$D$504,MATCH(F445,請求台帳!$A$5:$A$504,0)),""))</f>
        <v/>
      </c>
      <c r="I445" s="27" t="str">
        <f aca="false">IF(F445="","",IFERROR(INDEX(請求台帳!$F$5:$F$504,MATCH(F445,請求台帳!$A$5:$A$504,0)),""))</f>
        <v/>
      </c>
      <c r="J445" s="28" t="str">
        <f aca="false">IF(COUNTA(B445,D445,E445,F445)=0,"",IF(OR(B445="",E445=""),"要入力",IF(N(B445)&gt;設定!$C$5,"日付誤り",IF(F445="","未消込",IF(ISNA(MATCH(F445,請求台帳!$A$5:$A$504,0)),"番号誤り",IF(INDEX(請求台帳!$Q$5:$Q$504,MATCH(F445,請求台帳!$A$5:$A$504,0))="取消","取消請求へ消込","消込済"))))))</f>
        <v/>
      </c>
      <c r="K445" s="26"/>
      <c r="L445" s="26"/>
    </row>
    <row r="446" customFormat="false" ht="15" hidden="false" customHeight="false" outlineLevel="0" collapsed="false">
      <c r="A446" s="31" t="str">
        <f aca="false">IF(COUNTA(B446,D446,E446,F446)=0,"",ROW()-4)</f>
        <v/>
      </c>
      <c r="B446" s="22"/>
      <c r="C446" s="26"/>
      <c r="D446" s="26"/>
      <c r="E446" s="18"/>
      <c r="F446" s="26"/>
      <c r="G446" s="31" t="str">
        <f aca="false">IF(F446="","",IFERROR(INDEX(請求台帳!$C$5:$C$504,MATCH(F446,請求台帳!$A$5:$A$504,0)),""))</f>
        <v/>
      </c>
      <c r="H446" s="31" t="str">
        <f aca="false">IF(F446="","",IFERROR(INDEX(請求台帳!$D$5:$D$504,MATCH(F446,請求台帳!$A$5:$A$504,0)),""))</f>
        <v/>
      </c>
      <c r="I446" s="27" t="str">
        <f aca="false">IF(F446="","",IFERROR(INDEX(請求台帳!$F$5:$F$504,MATCH(F446,請求台帳!$A$5:$A$504,0)),""))</f>
        <v/>
      </c>
      <c r="J446" s="28" t="str">
        <f aca="false">IF(COUNTA(B446,D446,E446,F446)=0,"",IF(OR(B446="",E446=""),"要入力",IF(N(B446)&gt;設定!$C$5,"日付誤り",IF(F446="","未消込",IF(ISNA(MATCH(F446,請求台帳!$A$5:$A$504,0)),"番号誤り",IF(INDEX(請求台帳!$Q$5:$Q$504,MATCH(F446,請求台帳!$A$5:$A$504,0))="取消","取消請求へ消込","消込済"))))))</f>
        <v/>
      </c>
      <c r="K446" s="26"/>
      <c r="L446" s="26"/>
    </row>
    <row r="447" customFormat="false" ht="15" hidden="false" customHeight="false" outlineLevel="0" collapsed="false">
      <c r="A447" s="31" t="str">
        <f aca="false">IF(COUNTA(B447,D447,E447,F447)=0,"",ROW()-4)</f>
        <v/>
      </c>
      <c r="B447" s="22"/>
      <c r="C447" s="26"/>
      <c r="D447" s="26"/>
      <c r="E447" s="18"/>
      <c r="F447" s="26"/>
      <c r="G447" s="31" t="str">
        <f aca="false">IF(F447="","",IFERROR(INDEX(請求台帳!$C$5:$C$504,MATCH(F447,請求台帳!$A$5:$A$504,0)),""))</f>
        <v/>
      </c>
      <c r="H447" s="31" t="str">
        <f aca="false">IF(F447="","",IFERROR(INDEX(請求台帳!$D$5:$D$504,MATCH(F447,請求台帳!$A$5:$A$504,0)),""))</f>
        <v/>
      </c>
      <c r="I447" s="27" t="str">
        <f aca="false">IF(F447="","",IFERROR(INDEX(請求台帳!$F$5:$F$504,MATCH(F447,請求台帳!$A$5:$A$504,0)),""))</f>
        <v/>
      </c>
      <c r="J447" s="28" t="str">
        <f aca="false">IF(COUNTA(B447,D447,E447,F447)=0,"",IF(OR(B447="",E447=""),"要入力",IF(N(B447)&gt;設定!$C$5,"日付誤り",IF(F447="","未消込",IF(ISNA(MATCH(F447,請求台帳!$A$5:$A$504,0)),"番号誤り",IF(INDEX(請求台帳!$Q$5:$Q$504,MATCH(F447,請求台帳!$A$5:$A$504,0))="取消","取消請求へ消込","消込済"))))))</f>
        <v/>
      </c>
      <c r="K447" s="26"/>
      <c r="L447" s="26"/>
    </row>
    <row r="448" customFormat="false" ht="15" hidden="false" customHeight="false" outlineLevel="0" collapsed="false">
      <c r="A448" s="31" t="str">
        <f aca="false">IF(COUNTA(B448,D448,E448,F448)=0,"",ROW()-4)</f>
        <v/>
      </c>
      <c r="B448" s="22"/>
      <c r="C448" s="26"/>
      <c r="D448" s="26"/>
      <c r="E448" s="18"/>
      <c r="F448" s="26"/>
      <c r="G448" s="31" t="str">
        <f aca="false">IF(F448="","",IFERROR(INDEX(請求台帳!$C$5:$C$504,MATCH(F448,請求台帳!$A$5:$A$504,0)),""))</f>
        <v/>
      </c>
      <c r="H448" s="31" t="str">
        <f aca="false">IF(F448="","",IFERROR(INDEX(請求台帳!$D$5:$D$504,MATCH(F448,請求台帳!$A$5:$A$504,0)),""))</f>
        <v/>
      </c>
      <c r="I448" s="27" t="str">
        <f aca="false">IF(F448="","",IFERROR(INDEX(請求台帳!$F$5:$F$504,MATCH(F448,請求台帳!$A$5:$A$504,0)),""))</f>
        <v/>
      </c>
      <c r="J448" s="28" t="str">
        <f aca="false">IF(COUNTA(B448,D448,E448,F448)=0,"",IF(OR(B448="",E448=""),"要入力",IF(N(B448)&gt;設定!$C$5,"日付誤り",IF(F448="","未消込",IF(ISNA(MATCH(F448,請求台帳!$A$5:$A$504,0)),"番号誤り",IF(INDEX(請求台帳!$Q$5:$Q$504,MATCH(F448,請求台帳!$A$5:$A$504,0))="取消","取消請求へ消込","消込済"))))))</f>
        <v/>
      </c>
      <c r="K448" s="26"/>
      <c r="L448" s="26"/>
    </row>
    <row r="449" customFormat="false" ht="15" hidden="false" customHeight="false" outlineLevel="0" collapsed="false">
      <c r="A449" s="31" t="str">
        <f aca="false">IF(COUNTA(B449,D449,E449,F449)=0,"",ROW()-4)</f>
        <v/>
      </c>
      <c r="B449" s="22"/>
      <c r="C449" s="26"/>
      <c r="D449" s="26"/>
      <c r="E449" s="18"/>
      <c r="F449" s="26"/>
      <c r="G449" s="31" t="str">
        <f aca="false">IF(F449="","",IFERROR(INDEX(請求台帳!$C$5:$C$504,MATCH(F449,請求台帳!$A$5:$A$504,0)),""))</f>
        <v/>
      </c>
      <c r="H449" s="31" t="str">
        <f aca="false">IF(F449="","",IFERROR(INDEX(請求台帳!$D$5:$D$504,MATCH(F449,請求台帳!$A$5:$A$504,0)),""))</f>
        <v/>
      </c>
      <c r="I449" s="27" t="str">
        <f aca="false">IF(F449="","",IFERROR(INDEX(請求台帳!$F$5:$F$504,MATCH(F449,請求台帳!$A$5:$A$504,0)),""))</f>
        <v/>
      </c>
      <c r="J449" s="28" t="str">
        <f aca="false">IF(COUNTA(B449,D449,E449,F449)=0,"",IF(OR(B449="",E449=""),"要入力",IF(N(B449)&gt;設定!$C$5,"日付誤り",IF(F449="","未消込",IF(ISNA(MATCH(F449,請求台帳!$A$5:$A$504,0)),"番号誤り",IF(INDEX(請求台帳!$Q$5:$Q$504,MATCH(F449,請求台帳!$A$5:$A$504,0))="取消","取消請求へ消込","消込済"))))))</f>
        <v/>
      </c>
      <c r="K449" s="26"/>
      <c r="L449" s="26"/>
    </row>
    <row r="450" customFormat="false" ht="15" hidden="false" customHeight="false" outlineLevel="0" collapsed="false">
      <c r="A450" s="31" t="str">
        <f aca="false">IF(COUNTA(B450,D450,E450,F450)=0,"",ROW()-4)</f>
        <v/>
      </c>
      <c r="B450" s="22"/>
      <c r="C450" s="26"/>
      <c r="D450" s="26"/>
      <c r="E450" s="18"/>
      <c r="F450" s="26"/>
      <c r="G450" s="31" t="str">
        <f aca="false">IF(F450="","",IFERROR(INDEX(請求台帳!$C$5:$C$504,MATCH(F450,請求台帳!$A$5:$A$504,0)),""))</f>
        <v/>
      </c>
      <c r="H450" s="31" t="str">
        <f aca="false">IF(F450="","",IFERROR(INDEX(請求台帳!$D$5:$D$504,MATCH(F450,請求台帳!$A$5:$A$504,0)),""))</f>
        <v/>
      </c>
      <c r="I450" s="27" t="str">
        <f aca="false">IF(F450="","",IFERROR(INDEX(請求台帳!$F$5:$F$504,MATCH(F450,請求台帳!$A$5:$A$504,0)),""))</f>
        <v/>
      </c>
      <c r="J450" s="28" t="str">
        <f aca="false">IF(COUNTA(B450,D450,E450,F450)=0,"",IF(OR(B450="",E450=""),"要入力",IF(N(B450)&gt;設定!$C$5,"日付誤り",IF(F450="","未消込",IF(ISNA(MATCH(F450,請求台帳!$A$5:$A$504,0)),"番号誤り",IF(INDEX(請求台帳!$Q$5:$Q$504,MATCH(F450,請求台帳!$A$5:$A$504,0))="取消","取消請求へ消込","消込済"))))))</f>
        <v/>
      </c>
      <c r="K450" s="26"/>
      <c r="L450" s="26"/>
    </row>
    <row r="451" customFormat="false" ht="15" hidden="false" customHeight="false" outlineLevel="0" collapsed="false">
      <c r="A451" s="31" t="str">
        <f aca="false">IF(COUNTA(B451,D451,E451,F451)=0,"",ROW()-4)</f>
        <v/>
      </c>
      <c r="B451" s="22"/>
      <c r="C451" s="26"/>
      <c r="D451" s="26"/>
      <c r="E451" s="18"/>
      <c r="F451" s="26"/>
      <c r="G451" s="31" t="str">
        <f aca="false">IF(F451="","",IFERROR(INDEX(請求台帳!$C$5:$C$504,MATCH(F451,請求台帳!$A$5:$A$504,0)),""))</f>
        <v/>
      </c>
      <c r="H451" s="31" t="str">
        <f aca="false">IF(F451="","",IFERROR(INDEX(請求台帳!$D$5:$D$504,MATCH(F451,請求台帳!$A$5:$A$504,0)),""))</f>
        <v/>
      </c>
      <c r="I451" s="27" t="str">
        <f aca="false">IF(F451="","",IFERROR(INDEX(請求台帳!$F$5:$F$504,MATCH(F451,請求台帳!$A$5:$A$504,0)),""))</f>
        <v/>
      </c>
      <c r="J451" s="28" t="str">
        <f aca="false">IF(COUNTA(B451,D451,E451,F451)=0,"",IF(OR(B451="",E451=""),"要入力",IF(N(B451)&gt;設定!$C$5,"日付誤り",IF(F451="","未消込",IF(ISNA(MATCH(F451,請求台帳!$A$5:$A$504,0)),"番号誤り",IF(INDEX(請求台帳!$Q$5:$Q$504,MATCH(F451,請求台帳!$A$5:$A$504,0))="取消","取消請求へ消込","消込済"))))))</f>
        <v/>
      </c>
      <c r="K451" s="26"/>
      <c r="L451" s="26"/>
    </row>
    <row r="452" customFormat="false" ht="15" hidden="false" customHeight="false" outlineLevel="0" collapsed="false">
      <c r="A452" s="31" t="str">
        <f aca="false">IF(COUNTA(B452,D452,E452,F452)=0,"",ROW()-4)</f>
        <v/>
      </c>
      <c r="B452" s="22"/>
      <c r="C452" s="26"/>
      <c r="D452" s="26"/>
      <c r="E452" s="18"/>
      <c r="F452" s="26"/>
      <c r="G452" s="31" t="str">
        <f aca="false">IF(F452="","",IFERROR(INDEX(請求台帳!$C$5:$C$504,MATCH(F452,請求台帳!$A$5:$A$504,0)),""))</f>
        <v/>
      </c>
      <c r="H452" s="31" t="str">
        <f aca="false">IF(F452="","",IFERROR(INDEX(請求台帳!$D$5:$D$504,MATCH(F452,請求台帳!$A$5:$A$504,0)),""))</f>
        <v/>
      </c>
      <c r="I452" s="27" t="str">
        <f aca="false">IF(F452="","",IFERROR(INDEX(請求台帳!$F$5:$F$504,MATCH(F452,請求台帳!$A$5:$A$504,0)),""))</f>
        <v/>
      </c>
      <c r="J452" s="28" t="str">
        <f aca="false">IF(COUNTA(B452,D452,E452,F452)=0,"",IF(OR(B452="",E452=""),"要入力",IF(N(B452)&gt;設定!$C$5,"日付誤り",IF(F452="","未消込",IF(ISNA(MATCH(F452,請求台帳!$A$5:$A$504,0)),"番号誤り",IF(INDEX(請求台帳!$Q$5:$Q$504,MATCH(F452,請求台帳!$A$5:$A$504,0))="取消","取消請求へ消込","消込済"))))))</f>
        <v/>
      </c>
      <c r="K452" s="26"/>
      <c r="L452" s="26"/>
    </row>
    <row r="453" customFormat="false" ht="15" hidden="false" customHeight="false" outlineLevel="0" collapsed="false">
      <c r="A453" s="31" t="str">
        <f aca="false">IF(COUNTA(B453,D453,E453,F453)=0,"",ROW()-4)</f>
        <v/>
      </c>
      <c r="B453" s="22"/>
      <c r="C453" s="26"/>
      <c r="D453" s="26"/>
      <c r="E453" s="18"/>
      <c r="F453" s="26"/>
      <c r="G453" s="31" t="str">
        <f aca="false">IF(F453="","",IFERROR(INDEX(請求台帳!$C$5:$C$504,MATCH(F453,請求台帳!$A$5:$A$504,0)),""))</f>
        <v/>
      </c>
      <c r="H453" s="31" t="str">
        <f aca="false">IF(F453="","",IFERROR(INDEX(請求台帳!$D$5:$D$504,MATCH(F453,請求台帳!$A$5:$A$504,0)),""))</f>
        <v/>
      </c>
      <c r="I453" s="27" t="str">
        <f aca="false">IF(F453="","",IFERROR(INDEX(請求台帳!$F$5:$F$504,MATCH(F453,請求台帳!$A$5:$A$504,0)),""))</f>
        <v/>
      </c>
      <c r="J453" s="28" t="str">
        <f aca="false">IF(COUNTA(B453,D453,E453,F453)=0,"",IF(OR(B453="",E453=""),"要入力",IF(N(B453)&gt;設定!$C$5,"日付誤り",IF(F453="","未消込",IF(ISNA(MATCH(F453,請求台帳!$A$5:$A$504,0)),"番号誤り",IF(INDEX(請求台帳!$Q$5:$Q$504,MATCH(F453,請求台帳!$A$5:$A$504,0))="取消","取消請求へ消込","消込済"))))))</f>
        <v/>
      </c>
      <c r="K453" s="26"/>
      <c r="L453" s="26"/>
    </row>
    <row r="454" customFormat="false" ht="15" hidden="false" customHeight="false" outlineLevel="0" collapsed="false">
      <c r="A454" s="31" t="str">
        <f aca="false">IF(COUNTA(B454,D454,E454,F454)=0,"",ROW()-4)</f>
        <v/>
      </c>
      <c r="B454" s="22"/>
      <c r="C454" s="26"/>
      <c r="D454" s="26"/>
      <c r="E454" s="18"/>
      <c r="F454" s="26"/>
      <c r="G454" s="31" t="str">
        <f aca="false">IF(F454="","",IFERROR(INDEX(請求台帳!$C$5:$C$504,MATCH(F454,請求台帳!$A$5:$A$504,0)),""))</f>
        <v/>
      </c>
      <c r="H454" s="31" t="str">
        <f aca="false">IF(F454="","",IFERROR(INDEX(請求台帳!$D$5:$D$504,MATCH(F454,請求台帳!$A$5:$A$504,0)),""))</f>
        <v/>
      </c>
      <c r="I454" s="27" t="str">
        <f aca="false">IF(F454="","",IFERROR(INDEX(請求台帳!$F$5:$F$504,MATCH(F454,請求台帳!$A$5:$A$504,0)),""))</f>
        <v/>
      </c>
      <c r="J454" s="28" t="str">
        <f aca="false">IF(COUNTA(B454,D454,E454,F454)=0,"",IF(OR(B454="",E454=""),"要入力",IF(N(B454)&gt;設定!$C$5,"日付誤り",IF(F454="","未消込",IF(ISNA(MATCH(F454,請求台帳!$A$5:$A$504,0)),"番号誤り",IF(INDEX(請求台帳!$Q$5:$Q$504,MATCH(F454,請求台帳!$A$5:$A$504,0))="取消","取消請求へ消込","消込済"))))))</f>
        <v/>
      </c>
      <c r="K454" s="26"/>
      <c r="L454" s="26"/>
    </row>
    <row r="455" customFormat="false" ht="15" hidden="false" customHeight="false" outlineLevel="0" collapsed="false">
      <c r="A455" s="31" t="str">
        <f aca="false">IF(COUNTA(B455,D455,E455,F455)=0,"",ROW()-4)</f>
        <v/>
      </c>
      <c r="B455" s="22"/>
      <c r="C455" s="26"/>
      <c r="D455" s="26"/>
      <c r="E455" s="18"/>
      <c r="F455" s="26"/>
      <c r="G455" s="31" t="str">
        <f aca="false">IF(F455="","",IFERROR(INDEX(請求台帳!$C$5:$C$504,MATCH(F455,請求台帳!$A$5:$A$504,0)),""))</f>
        <v/>
      </c>
      <c r="H455" s="31" t="str">
        <f aca="false">IF(F455="","",IFERROR(INDEX(請求台帳!$D$5:$D$504,MATCH(F455,請求台帳!$A$5:$A$504,0)),""))</f>
        <v/>
      </c>
      <c r="I455" s="27" t="str">
        <f aca="false">IF(F455="","",IFERROR(INDEX(請求台帳!$F$5:$F$504,MATCH(F455,請求台帳!$A$5:$A$504,0)),""))</f>
        <v/>
      </c>
      <c r="J455" s="28" t="str">
        <f aca="false">IF(COUNTA(B455,D455,E455,F455)=0,"",IF(OR(B455="",E455=""),"要入力",IF(N(B455)&gt;設定!$C$5,"日付誤り",IF(F455="","未消込",IF(ISNA(MATCH(F455,請求台帳!$A$5:$A$504,0)),"番号誤り",IF(INDEX(請求台帳!$Q$5:$Q$504,MATCH(F455,請求台帳!$A$5:$A$504,0))="取消","取消請求へ消込","消込済"))))))</f>
        <v/>
      </c>
      <c r="K455" s="26"/>
      <c r="L455" s="26"/>
    </row>
    <row r="456" customFormat="false" ht="15" hidden="false" customHeight="false" outlineLevel="0" collapsed="false">
      <c r="A456" s="31" t="str">
        <f aca="false">IF(COUNTA(B456,D456,E456,F456)=0,"",ROW()-4)</f>
        <v/>
      </c>
      <c r="B456" s="22"/>
      <c r="C456" s="26"/>
      <c r="D456" s="26"/>
      <c r="E456" s="18"/>
      <c r="F456" s="26"/>
      <c r="G456" s="31" t="str">
        <f aca="false">IF(F456="","",IFERROR(INDEX(請求台帳!$C$5:$C$504,MATCH(F456,請求台帳!$A$5:$A$504,0)),""))</f>
        <v/>
      </c>
      <c r="H456" s="31" t="str">
        <f aca="false">IF(F456="","",IFERROR(INDEX(請求台帳!$D$5:$D$504,MATCH(F456,請求台帳!$A$5:$A$504,0)),""))</f>
        <v/>
      </c>
      <c r="I456" s="27" t="str">
        <f aca="false">IF(F456="","",IFERROR(INDEX(請求台帳!$F$5:$F$504,MATCH(F456,請求台帳!$A$5:$A$504,0)),""))</f>
        <v/>
      </c>
      <c r="J456" s="28" t="str">
        <f aca="false">IF(COUNTA(B456,D456,E456,F456)=0,"",IF(OR(B456="",E456=""),"要入力",IF(N(B456)&gt;設定!$C$5,"日付誤り",IF(F456="","未消込",IF(ISNA(MATCH(F456,請求台帳!$A$5:$A$504,0)),"番号誤り",IF(INDEX(請求台帳!$Q$5:$Q$504,MATCH(F456,請求台帳!$A$5:$A$504,0))="取消","取消請求へ消込","消込済"))))))</f>
        <v/>
      </c>
      <c r="K456" s="26"/>
      <c r="L456" s="26"/>
    </row>
    <row r="457" customFormat="false" ht="15" hidden="false" customHeight="false" outlineLevel="0" collapsed="false">
      <c r="A457" s="31" t="str">
        <f aca="false">IF(COUNTA(B457,D457,E457,F457)=0,"",ROW()-4)</f>
        <v/>
      </c>
      <c r="B457" s="22"/>
      <c r="C457" s="26"/>
      <c r="D457" s="26"/>
      <c r="E457" s="18"/>
      <c r="F457" s="26"/>
      <c r="G457" s="31" t="str">
        <f aca="false">IF(F457="","",IFERROR(INDEX(請求台帳!$C$5:$C$504,MATCH(F457,請求台帳!$A$5:$A$504,0)),""))</f>
        <v/>
      </c>
      <c r="H457" s="31" t="str">
        <f aca="false">IF(F457="","",IFERROR(INDEX(請求台帳!$D$5:$D$504,MATCH(F457,請求台帳!$A$5:$A$504,0)),""))</f>
        <v/>
      </c>
      <c r="I457" s="27" t="str">
        <f aca="false">IF(F457="","",IFERROR(INDEX(請求台帳!$F$5:$F$504,MATCH(F457,請求台帳!$A$5:$A$504,0)),""))</f>
        <v/>
      </c>
      <c r="J457" s="28" t="str">
        <f aca="false">IF(COUNTA(B457,D457,E457,F457)=0,"",IF(OR(B457="",E457=""),"要入力",IF(N(B457)&gt;設定!$C$5,"日付誤り",IF(F457="","未消込",IF(ISNA(MATCH(F457,請求台帳!$A$5:$A$504,0)),"番号誤り",IF(INDEX(請求台帳!$Q$5:$Q$504,MATCH(F457,請求台帳!$A$5:$A$504,0))="取消","取消請求へ消込","消込済"))))))</f>
        <v/>
      </c>
      <c r="K457" s="26"/>
      <c r="L457" s="26"/>
    </row>
    <row r="458" customFormat="false" ht="15" hidden="false" customHeight="false" outlineLevel="0" collapsed="false">
      <c r="A458" s="31" t="str">
        <f aca="false">IF(COUNTA(B458,D458,E458,F458)=0,"",ROW()-4)</f>
        <v/>
      </c>
      <c r="B458" s="22"/>
      <c r="C458" s="26"/>
      <c r="D458" s="26"/>
      <c r="E458" s="18"/>
      <c r="F458" s="26"/>
      <c r="G458" s="31" t="str">
        <f aca="false">IF(F458="","",IFERROR(INDEX(請求台帳!$C$5:$C$504,MATCH(F458,請求台帳!$A$5:$A$504,0)),""))</f>
        <v/>
      </c>
      <c r="H458" s="31" t="str">
        <f aca="false">IF(F458="","",IFERROR(INDEX(請求台帳!$D$5:$D$504,MATCH(F458,請求台帳!$A$5:$A$504,0)),""))</f>
        <v/>
      </c>
      <c r="I458" s="27" t="str">
        <f aca="false">IF(F458="","",IFERROR(INDEX(請求台帳!$F$5:$F$504,MATCH(F458,請求台帳!$A$5:$A$504,0)),""))</f>
        <v/>
      </c>
      <c r="J458" s="28" t="str">
        <f aca="false">IF(COUNTA(B458,D458,E458,F458)=0,"",IF(OR(B458="",E458=""),"要入力",IF(N(B458)&gt;設定!$C$5,"日付誤り",IF(F458="","未消込",IF(ISNA(MATCH(F458,請求台帳!$A$5:$A$504,0)),"番号誤り",IF(INDEX(請求台帳!$Q$5:$Q$504,MATCH(F458,請求台帳!$A$5:$A$504,0))="取消","取消請求へ消込","消込済"))))))</f>
        <v/>
      </c>
      <c r="K458" s="26"/>
      <c r="L458" s="26"/>
    </row>
    <row r="459" customFormat="false" ht="15" hidden="false" customHeight="false" outlineLevel="0" collapsed="false">
      <c r="A459" s="31" t="str">
        <f aca="false">IF(COUNTA(B459,D459,E459,F459)=0,"",ROW()-4)</f>
        <v/>
      </c>
      <c r="B459" s="22"/>
      <c r="C459" s="26"/>
      <c r="D459" s="26"/>
      <c r="E459" s="18"/>
      <c r="F459" s="26"/>
      <c r="G459" s="31" t="str">
        <f aca="false">IF(F459="","",IFERROR(INDEX(請求台帳!$C$5:$C$504,MATCH(F459,請求台帳!$A$5:$A$504,0)),""))</f>
        <v/>
      </c>
      <c r="H459" s="31" t="str">
        <f aca="false">IF(F459="","",IFERROR(INDEX(請求台帳!$D$5:$D$504,MATCH(F459,請求台帳!$A$5:$A$504,0)),""))</f>
        <v/>
      </c>
      <c r="I459" s="27" t="str">
        <f aca="false">IF(F459="","",IFERROR(INDEX(請求台帳!$F$5:$F$504,MATCH(F459,請求台帳!$A$5:$A$504,0)),""))</f>
        <v/>
      </c>
      <c r="J459" s="28" t="str">
        <f aca="false">IF(COUNTA(B459,D459,E459,F459)=0,"",IF(OR(B459="",E459=""),"要入力",IF(N(B459)&gt;設定!$C$5,"日付誤り",IF(F459="","未消込",IF(ISNA(MATCH(F459,請求台帳!$A$5:$A$504,0)),"番号誤り",IF(INDEX(請求台帳!$Q$5:$Q$504,MATCH(F459,請求台帳!$A$5:$A$504,0))="取消","取消請求へ消込","消込済"))))))</f>
        <v/>
      </c>
      <c r="K459" s="26"/>
      <c r="L459" s="26"/>
    </row>
    <row r="460" customFormat="false" ht="15" hidden="false" customHeight="false" outlineLevel="0" collapsed="false">
      <c r="A460" s="31" t="str">
        <f aca="false">IF(COUNTA(B460,D460,E460,F460)=0,"",ROW()-4)</f>
        <v/>
      </c>
      <c r="B460" s="22"/>
      <c r="C460" s="26"/>
      <c r="D460" s="26"/>
      <c r="E460" s="18"/>
      <c r="F460" s="26"/>
      <c r="G460" s="31" t="str">
        <f aca="false">IF(F460="","",IFERROR(INDEX(請求台帳!$C$5:$C$504,MATCH(F460,請求台帳!$A$5:$A$504,0)),""))</f>
        <v/>
      </c>
      <c r="H460" s="31" t="str">
        <f aca="false">IF(F460="","",IFERROR(INDEX(請求台帳!$D$5:$D$504,MATCH(F460,請求台帳!$A$5:$A$504,0)),""))</f>
        <v/>
      </c>
      <c r="I460" s="27" t="str">
        <f aca="false">IF(F460="","",IFERROR(INDEX(請求台帳!$F$5:$F$504,MATCH(F460,請求台帳!$A$5:$A$504,0)),""))</f>
        <v/>
      </c>
      <c r="J460" s="28" t="str">
        <f aca="false">IF(COUNTA(B460,D460,E460,F460)=0,"",IF(OR(B460="",E460=""),"要入力",IF(N(B460)&gt;設定!$C$5,"日付誤り",IF(F460="","未消込",IF(ISNA(MATCH(F460,請求台帳!$A$5:$A$504,0)),"番号誤り",IF(INDEX(請求台帳!$Q$5:$Q$504,MATCH(F460,請求台帳!$A$5:$A$504,0))="取消","取消請求へ消込","消込済"))))))</f>
        <v/>
      </c>
      <c r="K460" s="26"/>
      <c r="L460" s="26"/>
    </row>
    <row r="461" customFormat="false" ht="15" hidden="false" customHeight="false" outlineLevel="0" collapsed="false">
      <c r="A461" s="31" t="str">
        <f aca="false">IF(COUNTA(B461,D461,E461,F461)=0,"",ROW()-4)</f>
        <v/>
      </c>
      <c r="B461" s="22"/>
      <c r="C461" s="26"/>
      <c r="D461" s="26"/>
      <c r="E461" s="18"/>
      <c r="F461" s="26"/>
      <c r="G461" s="31" t="str">
        <f aca="false">IF(F461="","",IFERROR(INDEX(請求台帳!$C$5:$C$504,MATCH(F461,請求台帳!$A$5:$A$504,0)),""))</f>
        <v/>
      </c>
      <c r="H461" s="31" t="str">
        <f aca="false">IF(F461="","",IFERROR(INDEX(請求台帳!$D$5:$D$504,MATCH(F461,請求台帳!$A$5:$A$504,0)),""))</f>
        <v/>
      </c>
      <c r="I461" s="27" t="str">
        <f aca="false">IF(F461="","",IFERROR(INDEX(請求台帳!$F$5:$F$504,MATCH(F461,請求台帳!$A$5:$A$504,0)),""))</f>
        <v/>
      </c>
      <c r="J461" s="28" t="str">
        <f aca="false">IF(COUNTA(B461,D461,E461,F461)=0,"",IF(OR(B461="",E461=""),"要入力",IF(N(B461)&gt;設定!$C$5,"日付誤り",IF(F461="","未消込",IF(ISNA(MATCH(F461,請求台帳!$A$5:$A$504,0)),"番号誤り",IF(INDEX(請求台帳!$Q$5:$Q$504,MATCH(F461,請求台帳!$A$5:$A$504,0))="取消","取消請求へ消込","消込済"))))))</f>
        <v/>
      </c>
      <c r="K461" s="26"/>
      <c r="L461" s="26"/>
    </row>
    <row r="462" customFormat="false" ht="15" hidden="false" customHeight="false" outlineLevel="0" collapsed="false">
      <c r="A462" s="31" t="str">
        <f aca="false">IF(COUNTA(B462,D462,E462,F462)=0,"",ROW()-4)</f>
        <v/>
      </c>
      <c r="B462" s="22"/>
      <c r="C462" s="26"/>
      <c r="D462" s="26"/>
      <c r="E462" s="18"/>
      <c r="F462" s="26"/>
      <c r="G462" s="31" t="str">
        <f aca="false">IF(F462="","",IFERROR(INDEX(請求台帳!$C$5:$C$504,MATCH(F462,請求台帳!$A$5:$A$504,0)),""))</f>
        <v/>
      </c>
      <c r="H462" s="31" t="str">
        <f aca="false">IF(F462="","",IFERROR(INDEX(請求台帳!$D$5:$D$504,MATCH(F462,請求台帳!$A$5:$A$504,0)),""))</f>
        <v/>
      </c>
      <c r="I462" s="27" t="str">
        <f aca="false">IF(F462="","",IFERROR(INDEX(請求台帳!$F$5:$F$504,MATCH(F462,請求台帳!$A$5:$A$504,0)),""))</f>
        <v/>
      </c>
      <c r="J462" s="28" t="str">
        <f aca="false">IF(COUNTA(B462,D462,E462,F462)=0,"",IF(OR(B462="",E462=""),"要入力",IF(N(B462)&gt;設定!$C$5,"日付誤り",IF(F462="","未消込",IF(ISNA(MATCH(F462,請求台帳!$A$5:$A$504,0)),"番号誤り",IF(INDEX(請求台帳!$Q$5:$Q$504,MATCH(F462,請求台帳!$A$5:$A$504,0))="取消","取消請求へ消込","消込済"))))))</f>
        <v/>
      </c>
      <c r="K462" s="26"/>
      <c r="L462" s="26"/>
    </row>
    <row r="463" customFormat="false" ht="15" hidden="false" customHeight="false" outlineLevel="0" collapsed="false">
      <c r="A463" s="31" t="str">
        <f aca="false">IF(COUNTA(B463,D463,E463,F463)=0,"",ROW()-4)</f>
        <v/>
      </c>
      <c r="B463" s="22"/>
      <c r="C463" s="26"/>
      <c r="D463" s="26"/>
      <c r="E463" s="18"/>
      <c r="F463" s="26"/>
      <c r="G463" s="31" t="str">
        <f aca="false">IF(F463="","",IFERROR(INDEX(請求台帳!$C$5:$C$504,MATCH(F463,請求台帳!$A$5:$A$504,0)),""))</f>
        <v/>
      </c>
      <c r="H463" s="31" t="str">
        <f aca="false">IF(F463="","",IFERROR(INDEX(請求台帳!$D$5:$D$504,MATCH(F463,請求台帳!$A$5:$A$504,0)),""))</f>
        <v/>
      </c>
      <c r="I463" s="27" t="str">
        <f aca="false">IF(F463="","",IFERROR(INDEX(請求台帳!$F$5:$F$504,MATCH(F463,請求台帳!$A$5:$A$504,0)),""))</f>
        <v/>
      </c>
      <c r="J463" s="28" t="str">
        <f aca="false">IF(COUNTA(B463,D463,E463,F463)=0,"",IF(OR(B463="",E463=""),"要入力",IF(N(B463)&gt;設定!$C$5,"日付誤り",IF(F463="","未消込",IF(ISNA(MATCH(F463,請求台帳!$A$5:$A$504,0)),"番号誤り",IF(INDEX(請求台帳!$Q$5:$Q$504,MATCH(F463,請求台帳!$A$5:$A$504,0))="取消","取消請求へ消込","消込済"))))))</f>
        <v/>
      </c>
      <c r="K463" s="26"/>
      <c r="L463" s="26"/>
    </row>
    <row r="464" customFormat="false" ht="15" hidden="false" customHeight="false" outlineLevel="0" collapsed="false">
      <c r="A464" s="31" t="str">
        <f aca="false">IF(COUNTA(B464,D464,E464,F464)=0,"",ROW()-4)</f>
        <v/>
      </c>
      <c r="B464" s="22"/>
      <c r="C464" s="26"/>
      <c r="D464" s="26"/>
      <c r="E464" s="18"/>
      <c r="F464" s="26"/>
      <c r="G464" s="31" t="str">
        <f aca="false">IF(F464="","",IFERROR(INDEX(請求台帳!$C$5:$C$504,MATCH(F464,請求台帳!$A$5:$A$504,0)),""))</f>
        <v/>
      </c>
      <c r="H464" s="31" t="str">
        <f aca="false">IF(F464="","",IFERROR(INDEX(請求台帳!$D$5:$D$504,MATCH(F464,請求台帳!$A$5:$A$504,0)),""))</f>
        <v/>
      </c>
      <c r="I464" s="27" t="str">
        <f aca="false">IF(F464="","",IFERROR(INDEX(請求台帳!$F$5:$F$504,MATCH(F464,請求台帳!$A$5:$A$504,0)),""))</f>
        <v/>
      </c>
      <c r="J464" s="28" t="str">
        <f aca="false">IF(COUNTA(B464,D464,E464,F464)=0,"",IF(OR(B464="",E464=""),"要入力",IF(N(B464)&gt;設定!$C$5,"日付誤り",IF(F464="","未消込",IF(ISNA(MATCH(F464,請求台帳!$A$5:$A$504,0)),"番号誤り",IF(INDEX(請求台帳!$Q$5:$Q$504,MATCH(F464,請求台帳!$A$5:$A$504,0))="取消","取消請求へ消込","消込済"))))))</f>
        <v/>
      </c>
      <c r="K464" s="26"/>
      <c r="L464" s="26"/>
    </row>
    <row r="465" customFormat="false" ht="15" hidden="false" customHeight="false" outlineLevel="0" collapsed="false">
      <c r="A465" s="31" t="str">
        <f aca="false">IF(COUNTA(B465,D465,E465,F465)=0,"",ROW()-4)</f>
        <v/>
      </c>
      <c r="B465" s="22"/>
      <c r="C465" s="26"/>
      <c r="D465" s="26"/>
      <c r="E465" s="18"/>
      <c r="F465" s="26"/>
      <c r="G465" s="31" t="str">
        <f aca="false">IF(F465="","",IFERROR(INDEX(請求台帳!$C$5:$C$504,MATCH(F465,請求台帳!$A$5:$A$504,0)),""))</f>
        <v/>
      </c>
      <c r="H465" s="31" t="str">
        <f aca="false">IF(F465="","",IFERROR(INDEX(請求台帳!$D$5:$D$504,MATCH(F465,請求台帳!$A$5:$A$504,0)),""))</f>
        <v/>
      </c>
      <c r="I465" s="27" t="str">
        <f aca="false">IF(F465="","",IFERROR(INDEX(請求台帳!$F$5:$F$504,MATCH(F465,請求台帳!$A$5:$A$504,0)),""))</f>
        <v/>
      </c>
      <c r="J465" s="28" t="str">
        <f aca="false">IF(COUNTA(B465,D465,E465,F465)=0,"",IF(OR(B465="",E465=""),"要入力",IF(N(B465)&gt;設定!$C$5,"日付誤り",IF(F465="","未消込",IF(ISNA(MATCH(F465,請求台帳!$A$5:$A$504,0)),"番号誤り",IF(INDEX(請求台帳!$Q$5:$Q$504,MATCH(F465,請求台帳!$A$5:$A$504,0))="取消","取消請求へ消込","消込済"))))))</f>
        <v/>
      </c>
      <c r="K465" s="26"/>
      <c r="L465" s="26"/>
    </row>
    <row r="466" customFormat="false" ht="15" hidden="false" customHeight="false" outlineLevel="0" collapsed="false">
      <c r="A466" s="31" t="str">
        <f aca="false">IF(COUNTA(B466,D466,E466,F466)=0,"",ROW()-4)</f>
        <v/>
      </c>
      <c r="B466" s="22"/>
      <c r="C466" s="26"/>
      <c r="D466" s="26"/>
      <c r="E466" s="18"/>
      <c r="F466" s="26"/>
      <c r="G466" s="31" t="str">
        <f aca="false">IF(F466="","",IFERROR(INDEX(請求台帳!$C$5:$C$504,MATCH(F466,請求台帳!$A$5:$A$504,0)),""))</f>
        <v/>
      </c>
      <c r="H466" s="31" t="str">
        <f aca="false">IF(F466="","",IFERROR(INDEX(請求台帳!$D$5:$D$504,MATCH(F466,請求台帳!$A$5:$A$504,0)),""))</f>
        <v/>
      </c>
      <c r="I466" s="27" t="str">
        <f aca="false">IF(F466="","",IFERROR(INDEX(請求台帳!$F$5:$F$504,MATCH(F466,請求台帳!$A$5:$A$504,0)),""))</f>
        <v/>
      </c>
      <c r="J466" s="28" t="str">
        <f aca="false">IF(COUNTA(B466,D466,E466,F466)=0,"",IF(OR(B466="",E466=""),"要入力",IF(N(B466)&gt;設定!$C$5,"日付誤り",IF(F466="","未消込",IF(ISNA(MATCH(F466,請求台帳!$A$5:$A$504,0)),"番号誤り",IF(INDEX(請求台帳!$Q$5:$Q$504,MATCH(F466,請求台帳!$A$5:$A$504,0))="取消","取消請求へ消込","消込済"))))))</f>
        <v/>
      </c>
      <c r="K466" s="26"/>
      <c r="L466" s="26"/>
    </row>
    <row r="467" customFormat="false" ht="15" hidden="false" customHeight="false" outlineLevel="0" collapsed="false">
      <c r="A467" s="31" t="str">
        <f aca="false">IF(COUNTA(B467,D467,E467,F467)=0,"",ROW()-4)</f>
        <v/>
      </c>
      <c r="B467" s="22"/>
      <c r="C467" s="26"/>
      <c r="D467" s="26"/>
      <c r="E467" s="18"/>
      <c r="F467" s="26"/>
      <c r="G467" s="31" t="str">
        <f aca="false">IF(F467="","",IFERROR(INDEX(請求台帳!$C$5:$C$504,MATCH(F467,請求台帳!$A$5:$A$504,0)),""))</f>
        <v/>
      </c>
      <c r="H467" s="31" t="str">
        <f aca="false">IF(F467="","",IFERROR(INDEX(請求台帳!$D$5:$D$504,MATCH(F467,請求台帳!$A$5:$A$504,0)),""))</f>
        <v/>
      </c>
      <c r="I467" s="27" t="str">
        <f aca="false">IF(F467="","",IFERROR(INDEX(請求台帳!$F$5:$F$504,MATCH(F467,請求台帳!$A$5:$A$504,0)),""))</f>
        <v/>
      </c>
      <c r="J467" s="28" t="str">
        <f aca="false">IF(COUNTA(B467,D467,E467,F467)=0,"",IF(OR(B467="",E467=""),"要入力",IF(N(B467)&gt;設定!$C$5,"日付誤り",IF(F467="","未消込",IF(ISNA(MATCH(F467,請求台帳!$A$5:$A$504,0)),"番号誤り",IF(INDEX(請求台帳!$Q$5:$Q$504,MATCH(F467,請求台帳!$A$5:$A$504,0))="取消","取消請求へ消込","消込済"))))))</f>
        <v/>
      </c>
      <c r="K467" s="26"/>
      <c r="L467" s="26"/>
    </row>
    <row r="468" customFormat="false" ht="15" hidden="false" customHeight="false" outlineLevel="0" collapsed="false">
      <c r="A468" s="31" t="str">
        <f aca="false">IF(COUNTA(B468,D468,E468,F468)=0,"",ROW()-4)</f>
        <v/>
      </c>
      <c r="B468" s="22"/>
      <c r="C468" s="26"/>
      <c r="D468" s="26"/>
      <c r="E468" s="18"/>
      <c r="F468" s="26"/>
      <c r="G468" s="31" t="str">
        <f aca="false">IF(F468="","",IFERROR(INDEX(請求台帳!$C$5:$C$504,MATCH(F468,請求台帳!$A$5:$A$504,0)),""))</f>
        <v/>
      </c>
      <c r="H468" s="31" t="str">
        <f aca="false">IF(F468="","",IFERROR(INDEX(請求台帳!$D$5:$D$504,MATCH(F468,請求台帳!$A$5:$A$504,0)),""))</f>
        <v/>
      </c>
      <c r="I468" s="27" t="str">
        <f aca="false">IF(F468="","",IFERROR(INDEX(請求台帳!$F$5:$F$504,MATCH(F468,請求台帳!$A$5:$A$504,0)),""))</f>
        <v/>
      </c>
      <c r="J468" s="28" t="str">
        <f aca="false">IF(COUNTA(B468,D468,E468,F468)=0,"",IF(OR(B468="",E468=""),"要入力",IF(N(B468)&gt;設定!$C$5,"日付誤り",IF(F468="","未消込",IF(ISNA(MATCH(F468,請求台帳!$A$5:$A$504,0)),"番号誤り",IF(INDEX(請求台帳!$Q$5:$Q$504,MATCH(F468,請求台帳!$A$5:$A$504,0))="取消","取消請求へ消込","消込済"))))))</f>
        <v/>
      </c>
      <c r="K468" s="26"/>
      <c r="L468" s="26"/>
    </row>
    <row r="469" customFormat="false" ht="15" hidden="false" customHeight="false" outlineLevel="0" collapsed="false">
      <c r="A469" s="31" t="str">
        <f aca="false">IF(COUNTA(B469,D469,E469,F469)=0,"",ROW()-4)</f>
        <v/>
      </c>
      <c r="B469" s="22"/>
      <c r="C469" s="26"/>
      <c r="D469" s="26"/>
      <c r="E469" s="18"/>
      <c r="F469" s="26"/>
      <c r="G469" s="31" t="str">
        <f aca="false">IF(F469="","",IFERROR(INDEX(請求台帳!$C$5:$C$504,MATCH(F469,請求台帳!$A$5:$A$504,0)),""))</f>
        <v/>
      </c>
      <c r="H469" s="31" t="str">
        <f aca="false">IF(F469="","",IFERROR(INDEX(請求台帳!$D$5:$D$504,MATCH(F469,請求台帳!$A$5:$A$504,0)),""))</f>
        <v/>
      </c>
      <c r="I469" s="27" t="str">
        <f aca="false">IF(F469="","",IFERROR(INDEX(請求台帳!$F$5:$F$504,MATCH(F469,請求台帳!$A$5:$A$504,0)),""))</f>
        <v/>
      </c>
      <c r="J469" s="28" t="str">
        <f aca="false">IF(COUNTA(B469,D469,E469,F469)=0,"",IF(OR(B469="",E469=""),"要入力",IF(N(B469)&gt;設定!$C$5,"日付誤り",IF(F469="","未消込",IF(ISNA(MATCH(F469,請求台帳!$A$5:$A$504,0)),"番号誤り",IF(INDEX(請求台帳!$Q$5:$Q$504,MATCH(F469,請求台帳!$A$5:$A$504,0))="取消","取消請求へ消込","消込済"))))))</f>
        <v/>
      </c>
      <c r="K469" s="26"/>
      <c r="L469" s="26"/>
    </row>
    <row r="470" customFormat="false" ht="15" hidden="false" customHeight="false" outlineLevel="0" collapsed="false">
      <c r="A470" s="31" t="str">
        <f aca="false">IF(COUNTA(B470,D470,E470,F470)=0,"",ROW()-4)</f>
        <v/>
      </c>
      <c r="B470" s="22"/>
      <c r="C470" s="26"/>
      <c r="D470" s="26"/>
      <c r="E470" s="18"/>
      <c r="F470" s="26"/>
      <c r="G470" s="31" t="str">
        <f aca="false">IF(F470="","",IFERROR(INDEX(請求台帳!$C$5:$C$504,MATCH(F470,請求台帳!$A$5:$A$504,0)),""))</f>
        <v/>
      </c>
      <c r="H470" s="31" t="str">
        <f aca="false">IF(F470="","",IFERROR(INDEX(請求台帳!$D$5:$D$504,MATCH(F470,請求台帳!$A$5:$A$504,0)),""))</f>
        <v/>
      </c>
      <c r="I470" s="27" t="str">
        <f aca="false">IF(F470="","",IFERROR(INDEX(請求台帳!$F$5:$F$504,MATCH(F470,請求台帳!$A$5:$A$504,0)),""))</f>
        <v/>
      </c>
      <c r="J470" s="28" t="str">
        <f aca="false">IF(COUNTA(B470,D470,E470,F470)=0,"",IF(OR(B470="",E470=""),"要入力",IF(N(B470)&gt;設定!$C$5,"日付誤り",IF(F470="","未消込",IF(ISNA(MATCH(F470,請求台帳!$A$5:$A$504,0)),"番号誤り",IF(INDEX(請求台帳!$Q$5:$Q$504,MATCH(F470,請求台帳!$A$5:$A$504,0))="取消","取消請求へ消込","消込済"))))))</f>
        <v/>
      </c>
      <c r="K470" s="26"/>
      <c r="L470" s="26"/>
    </row>
    <row r="471" customFormat="false" ht="15" hidden="false" customHeight="false" outlineLevel="0" collapsed="false">
      <c r="A471" s="31" t="str">
        <f aca="false">IF(COUNTA(B471,D471,E471,F471)=0,"",ROW()-4)</f>
        <v/>
      </c>
      <c r="B471" s="22"/>
      <c r="C471" s="26"/>
      <c r="D471" s="26"/>
      <c r="E471" s="18"/>
      <c r="F471" s="26"/>
      <c r="G471" s="31" t="str">
        <f aca="false">IF(F471="","",IFERROR(INDEX(請求台帳!$C$5:$C$504,MATCH(F471,請求台帳!$A$5:$A$504,0)),""))</f>
        <v/>
      </c>
      <c r="H471" s="31" t="str">
        <f aca="false">IF(F471="","",IFERROR(INDEX(請求台帳!$D$5:$D$504,MATCH(F471,請求台帳!$A$5:$A$504,0)),""))</f>
        <v/>
      </c>
      <c r="I471" s="27" t="str">
        <f aca="false">IF(F471="","",IFERROR(INDEX(請求台帳!$F$5:$F$504,MATCH(F471,請求台帳!$A$5:$A$504,0)),""))</f>
        <v/>
      </c>
      <c r="J471" s="28" t="str">
        <f aca="false">IF(COUNTA(B471,D471,E471,F471)=0,"",IF(OR(B471="",E471=""),"要入力",IF(N(B471)&gt;設定!$C$5,"日付誤り",IF(F471="","未消込",IF(ISNA(MATCH(F471,請求台帳!$A$5:$A$504,0)),"番号誤り",IF(INDEX(請求台帳!$Q$5:$Q$504,MATCH(F471,請求台帳!$A$5:$A$504,0))="取消","取消請求へ消込","消込済"))))))</f>
        <v/>
      </c>
      <c r="K471" s="26"/>
      <c r="L471" s="26"/>
    </row>
    <row r="472" customFormat="false" ht="15" hidden="false" customHeight="false" outlineLevel="0" collapsed="false">
      <c r="A472" s="31" t="str">
        <f aca="false">IF(COUNTA(B472,D472,E472,F472)=0,"",ROW()-4)</f>
        <v/>
      </c>
      <c r="B472" s="22"/>
      <c r="C472" s="26"/>
      <c r="D472" s="26"/>
      <c r="E472" s="18"/>
      <c r="F472" s="26"/>
      <c r="G472" s="31" t="str">
        <f aca="false">IF(F472="","",IFERROR(INDEX(請求台帳!$C$5:$C$504,MATCH(F472,請求台帳!$A$5:$A$504,0)),""))</f>
        <v/>
      </c>
      <c r="H472" s="31" t="str">
        <f aca="false">IF(F472="","",IFERROR(INDEX(請求台帳!$D$5:$D$504,MATCH(F472,請求台帳!$A$5:$A$504,0)),""))</f>
        <v/>
      </c>
      <c r="I472" s="27" t="str">
        <f aca="false">IF(F472="","",IFERROR(INDEX(請求台帳!$F$5:$F$504,MATCH(F472,請求台帳!$A$5:$A$504,0)),""))</f>
        <v/>
      </c>
      <c r="J472" s="28" t="str">
        <f aca="false">IF(COUNTA(B472,D472,E472,F472)=0,"",IF(OR(B472="",E472=""),"要入力",IF(N(B472)&gt;設定!$C$5,"日付誤り",IF(F472="","未消込",IF(ISNA(MATCH(F472,請求台帳!$A$5:$A$504,0)),"番号誤り",IF(INDEX(請求台帳!$Q$5:$Q$504,MATCH(F472,請求台帳!$A$5:$A$504,0))="取消","取消請求へ消込","消込済"))))))</f>
        <v/>
      </c>
      <c r="K472" s="26"/>
      <c r="L472" s="26"/>
    </row>
    <row r="473" customFormat="false" ht="15" hidden="false" customHeight="false" outlineLevel="0" collapsed="false">
      <c r="A473" s="31" t="str">
        <f aca="false">IF(COUNTA(B473,D473,E473,F473)=0,"",ROW()-4)</f>
        <v/>
      </c>
      <c r="B473" s="22"/>
      <c r="C473" s="26"/>
      <c r="D473" s="26"/>
      <c r="E473" s="18"/>
      <c r="F473" s="26"/>
      <c r="G473" s="31" t="str">
        <f aca="false">IF(F473="","",IFERROR(INDEX(請求台帳!$C$5:$C$504,MATCH(F473,請求台帳!$A$5:$A$504,0)),""))</f>
        <v/>
      </c>
      <c r="H473" s="31" t="str">
        <f aca="false">IF(F473="","",IFERROR(INDEX(請求台帳!$D$5:$D$504,MATCH(F473,請求台帳!$A$5:$A$504,0)),""))</f>
        <v/>
      </c>
      <c r="I473" s="27" t="str">
        <f aca="false">IF(F473="","",IFERROR(INDEX(請求台帳!$F$5:$F$504,MATCH(F473,請求台帳!$A$5:$A$504,0)),""))</f>
        <v/>
      </c>
      <c r="J473" s="28" t="str">
        <f aca="false">IF(COUNTA(B473,D473,E473,F473)=0,"",IF(OR(B473="",E473=""),"要入力",IF(N(B473)&gt;設定!$C$5,"日付誤り",IF(F473="","未消込",IF(ISNA(MATCH(F473,請求台帳!$A$5:$A$504,0)),"番号誤り",IF(INDEX(請求台帳!$Q$5:$Q$504,MATCH(F473,請求台帳!$A$5:$A$504,0))="取消","取消請求へ消込","消込済"))))))</f>
        <v/>
      </c>
      <c r="K473" s="26"/>
      <c r="L473" s="26"/>
    </row>
    <row r="474" customFormat="false" ht="15" hidden="false" customHeight="false" outlineLevel="0" collapsed="false">
      <c r="A474" s="31" t="str">
        <f aca="false">IF(COUNTA(B474,D474,E474,F474)=0,"",ROW()-4)</f>
        <v/>
      </c>
      <c r="B474" s="22"/>
      <c r="C474" s="26"/>
      <c r="D474" s="26"/>
      <c r="E474" s="18"/>
      <c r="F474" s="26"/>
      <c r="G474" s="31" t="str">
        <f aca="false">IF(F474="","",IFERROR(INDEX(請求台帳!$C$5:$C$504,MATCH(F474,請求台帳!$A$5:$A$504,0)),""))</f>
        <v/>
      </c>
      <c r="H474" s="31" t="str">
        <f aca="false">IF(F474="","",IFERROR(INDEX(請求台帳!$D$5:$D$504,MATCH(F474,請求台帳!$A$5:$A$504,0)),""))</f>
        <v/>
      </c>
      <c r="I474" s="27" t="str">
        <f aca="false">IF(F474="","",IFERROR(INDEX(請求台帳!$F$5:$F$504,MATCH(F474,請求台帳!$A$5:$A$504,0)),""))</f>
        <v/>
      </c>
      <c r="J474" s="28" t="str">
        <f aca="false">IF(COUNTA(B474,D474,E474,F474)=0,"",IF(OR(B474="",E474=""),"要入力",IF(N(B474)&gt;設定!$C$5,"日付誤り",IF(F474="","未消込",IF(ISNA(MATCH(F474,請求台帳!$A$5:$A$504,0)),"番号誤り",IF(INDEX(請求台帳!$Q$5:$Q$504,MATCH(F474,請求台帳!$A$5:$A$504,0))="取消","取消請求へ消込","消込済"))))))</f>
        <v/>
      </c>
      <c r="K474" s="26"/>
      <c r="L474" s="26"/>
    </row>
    <row r="475" customFormat="false" ht="15" hidden="false" customHeight="false" outlineLevel="0" collapsed="false">
      <c r="A475" s="31" t="str">
        <f aca="false">IF(COUNTA(B475,D475,E475,F475)=0,"",ROW()-4)</f>
        <v/>
      </c>
      <c r="B475" s="22"/>
      <c r="C475" s="26"/>
      <c r="D475" s="26"/>
      <c r="E475" s="18"/>
      <c r="F475" s="26"/>
      <c r="G475" s="31" t="str">
        <f aca="false">IF(F475="","",IFERROR(INDEX(請求台帳!$C$5:$C$504,MATCH(F475,請求台帳!$A$5:$A$504,0)),""))</f>
        <v/>
      </c>
      <c r="H475" s="31" t="str">
        <f aca="false">IF(F475="","",IFERROR(INDEX(請求台帳!$D$5:$D$504,MATCH(F475,請求台帳!$A$5:$A$504,0)),""))</f>
        <v/>
      </c>
      <c r="I475" s="27" t="str">
        <f aca="false">IF(F475="","",IFERROR(INDEX(請求台帳!$F$5:$F$504,MATCH(F475,請求台帳!$A$5:$A$504,0)),""))</f>
        <v/>
      </c>
      <c r="J475" s="28" t="str">
        <f aca="false">IF(COUNTA(B475,D475,E475,F475)=0,"",IF(OR(B475="",E475=""),"要入力",IF(N(B475)&gt;設定!$C$5,"日付誤り",IF(F475="","未消込",IF(ISNA(MATCH(F475,請求台帳!$A$5:$A$504,0)),"番号誤り",IF(INDEX(請求台帳!$Q$5:$Q$504,MATCH(F475,請求台帳!$A$5:$A$504,0))="取消","取消請求へ消込","消込済"))))))</f>
        <v/>
      </c>
      <c r="K475" s="26"/>
      <c r="L475" s="26"/>
    </row>
    <row r="476" customFormat="false" ht="15" hidden="false" customHeight="false" outlineLevel="0" collapsed="false">
      <c r="A476" s="31" t="str">
        <f aca="false">IF(COUNTA(B476,D476,E476,F476)=0,"",ROW()-4)</f>
        <v/>
      </c>
      <c r="B476" s="22"/>
      <c r="C476" s="26"/>
      <c r="D476" s="26"/>
      <c r="E476" s="18"/>
      <c r="F476" s="26"/>
      <c r="G476" s="31" t="str">
        <f aca="false">IF(F476="","",IFERROR(INDEX(請求台帳!$C$5:$C$504,MATCH(F476,請求台帳!$A$5:$A$504,0)),""))</f>
        <v/>
      </c>
      <c r="H476" s="31" t="str">
        <f aca="false">IF(F476="","",IFERROR(INDEX(請求台帳!$D$5:$D$504,MATCH(F476,請求台帳!$A$5:$A$504,0)),""))</f>
        <v/>
      </c>
      <c r="I476" s="27" t="str">
        <f aca="false">IF(F476="","",IFERROR(INDEX(請求台帳!$F$5:$F$504,MATCH(F476,請求台帳!$A$5:$A$504,0)),""))</f>
        <v/>
      </c>
      <c r="J476" s="28" t="str">
        <f aca="false">IF(COUNTA(B476,D476,E476,F476)=0,"",IF(OR(B476="",E476=""),"要入力",IF(N(B476)&gt;設定!$C$5,"日付誤り",IF(F476="","未消込",IF(ISNA(MATCH(F476,請求台帳!$A$5:$A$504,0)),"番号誤り",IF(INDEX(請求台帳!$Q$5:$Q$504,MATCH(F476,請求台帳!$A$5:$A$504,0))="取消","取消請求へ消込","消込済"))))))</f>
        <v/>
      </c>
      <c r="K476" s="26"/>
      <c r="L476" s="26"/>
    </row>
    <row r="477" customFormat="false" ht="15" hidden="false" customHeight="false" outlineLevel="0" collapsed="false">
      <c r="A477" s="31" t="str">
        <f aca="false">IF(COUNTA(B477,D477,E477,F477)=0,"",ROW()-4)</f>
        <v/>
      </c>
      <c r="B477" s="22"/>
      <c r="C477" s="26"/>
      <c r="D477" s="26"/>
      <c r="E477" s="18"/>
      <c r="F477" s="26"/>
      <c r="G477" s="31" t="str">
        <f aca="false">IF(F477="","",IFERROR(INDEX(請求台帳!$C$5:$C$504,MATCH(F477,請求台帳!$A$5:$A$504,0)),""))</f>
        <v/>
      </c>
      <c r="H477" s="31" t="str">
        <f aca="false">IF(F477="","",IFERROR(INDEX(請求台帳!$D$5:$D$504,MATCH(F477,請求台帳!$A$5:$A$504,0)),""))</f>
        <v/>
      </c>
      <c r="I477" s="27" t="str">
        <f aca="false">IF(F477="","",IFERROR(INDEX(請求台帳!$F$5:$F$504,MATCH(F477,請求台帳!$A$5:$A$504,0)),""))</f>
        <v/>
      </c>
      <c r="J477" s="28" t="str">
        <f aca="false">IF(COUNTA(B477,D477,E477,F477)=0,"",IF(OR(B477="",E477=""),"要入力",IF(N(B477)&gt;設定!$C$5,"日付誤り",IF(F477="","未消込",IF(ISNA(MATCH(F477,請求台帳!$A$5:$A$504,0)),"番号誤り",IF(INDEX(請求台帳!$Q$5:$Q$504,MATCH(F477,請求台帳!$A$5:$A$504,0))="取消","取消請求へ消込","消込済"))))))</f>
        <v/>
      </c>
      <c r="K477" s="26"/>
      <c r="L477" s="26"/>
    </row>
    <row r="478" customFormat="false" ht="15" hidden="false" customHeight="false" outlineLevel="0" collapsed="false">
      <c r="A478" s="31" t="str">
        <f aca="false">IF(COUNTA(B478,D478,E478,F478)=0,"",ROW()-4)</f>
        <v/>
      </c>
      <c r="B478" s="22"/>
      <c r="C478" s="26"/>
      <c r="D478" s="26"/>
      <c r="E478" s="18"/>
      <c r="F478" s="26"/>
      <c r="G478" s="31" t="str">
        <f aca="false">IF(F478="","",IFERROR(INDEX(請求台帳!$C$5:$C$504,MATCH(F478,請求台帳!$A$5:$A$504,0)),""))</f>
        <v/>
      </c>
      <c r="H478" s="31" t="str">
        <f aca="false">IF(F478="","",IFERROR(INDEX(請求台帳!$D$5:$D$504,MATCH(F478,請求台帳!$A$5:$A$504,0)),""))</f>
        <v/>
      </c>
      <c r="I478" s="27" t="str">
        <f aca="false">IF(F478="","",IFERROR(INDEX(請求台帳!$F$5:$F$504,MATCH(F478,請求台帳!$A$5:$A$504,0)),""))</f>
        <v/>
      </c>
      <c r="J478" s="28" t="str">
        <f aca="false">IF(COUNTA(B478,D478,E478,F478)=0,"",IF(OR(B478="",E478=""),"要入力",IF(N(B478)&gt;設定!$C$5,"日付誤り",IF(F478="","未消込",IF(ISNA(MATCH(F478,請求台帳!$A$5:$A$504,0)),"番号誤り",IF(INDEX(請求台帳!$Q$5:$Q$504,MATCH(F478,請求台帳!$A$5:$A$504,0))="取消","取消請求へ消込","消込済"))))))</f>
        <v/>
      </c>
      <c r="K478" s="26"/>
      <c r="L478" s="26"/>
    </row>
    <row r="479" customFormat="false" ht="15" hidden="false" customHeight="false" outlineLevel="0" collapsed="false">
      <c r="A479" s="31" t="str">
        <f aca="false">IF(COUNTA(B479,D479,E479,F479)=0,"",ROW()-4)</f>
        <v/>
      </c>
      <c r="B479" s="22"/>
      <c r="C479" s="26"/>
      <c r="D479" s="26"/>
      <c r="E479" s="18"/>
      <c r="F479" s="26"/>
      <c r="G479" s="31" t="str">
        <f aca="false">IF(F479="","",IFERROR(INDEX(請求台帳!$C$5:$C$504,MATCH(F479,請求台帳!$A$5:$A$504,0)),""))</f>
        <v/>
      </c>
      <c r="H479" s="31" t="str">
        <f aca="false">IF(F479="","",IFERROR(INDEX(請求台帳!$D$5:$D$504,MATCH(F479,請求台帳!$A$5:$A$504,0)),""))</f>
        <v/>
      </c>
      <c r="I479" s="27" t="str">
        <f aca="false">IF(F479="","",IFERROR(INDEX(請求台帳!$F$5:$F$504,MATCH(F479,請求台帳!$A$5:$A$504,0)),""))</f>
        <v/>
      </c>
      <c r="J479" s="28" t="str">
        <f aca="false">IF(COUNTA(B479,D479,E479,F479)=0,"",IF(OR(B479="",E479=""),"要入力",IF(N(B479)&gt;設定!$C$5,"日付誤り",IF(F479="","未消込",IF(ISNA(MATCH(F479,請求台帳!$A$5:$A$504,0)),"番号誤り",IF(INDEX(請求台帳!$Q$5:$Q$504,MATCH(F479,請求台帳!$A$5:$A$504,0))="取消","取消請求へ消込","消込済"))))))</f>
        <v/>
      </c>
      <c r="K479" s="26"/>
      <c r="L479" s="26"/>
    </row>
    <row r="480" customFormat="false" ht="15" hidden="false" customHeight="false" outlineLevel="0" collapsed="false">
      <c r="A480" s="31" t="str">
        <f aca="false">IF(COUNTA(B480,D480,E480,F480)=0,"",ROW()-4)</f>
        <v/>
      </c>
      <c r="B480" s="22"/>
      <c r="C480" s="26"/>
      <c r="D480" s="26"/>
      <c r="E480" s="18"/>
      <c r="F480" s="26"/>
      <c r="G480" s="31" t="str">
        <f aca="false">IF(F480="","",IFERROR(INDEX(請求台帳!$C$5:$C$504,MATCH(F480,請求台帳!$A$5:$A$504,0)),""))</f>
        <v/>
      </c>
      <c r="H480" s="31" t="str">
        <f aca="false">IF(F480="","",IFERROR(INDEX(請求台帳!$D$5:$D$504,MATCH(F480,請求台帳!$A$5:$A$504,0)),""))</f>
        <v/>
      </c>
      <c r="I480" s="27" t="str">
        <f aca="false">IF(F480="","",IFERROR(INDEX(請求台帳!$F$5:$F$504,MATCH(F480,請求台帳!$A$5:$A$504,0)),""))</f>
        <v/>
      </c>
      <c r="J480" s="28" t="str">
        <f aca="false">IF(COUNTA(B480,D480,E480,F480)=0,"",IF(OR(B480="",E480=""),"要入力",IF(N(B480)&gt;設定!$C$5,"日付誤り",IF(F480="","未消込",IF(ISNA(MATCH(F480,請求台帳!$A$5:$A$504,0)),"番号誤り",IF(INDEX(請求台帳!$Q$5:$Q$504,MATCH(F480,請求台帳!$A$5:$A$504,0))="取消","取消請求へ消込","消込済"))))))</f>
        <v/>
      </c>
      <c r="K480" s="26"/>
      <c r="L480" s="26"/>
    </row>
    <row r="481" customFormat="false" ht="15" hidden="false" customHeight="false" outlineLevel="0" collapsed="false">
      <c r="A481" s="31" t="str">
        <f aca="false">IF(COUNTA(B481,D481,E481,F481)=0,"",ROW()-4)</f>
        <v/>
      </c>
      <c r="B481" s="22"/>
      <c r="C481" s="26"/>
      <c r="D481" s="26"/>
      <c r="E481" s="18"/>
      <c r="F481" s="26"/>
      <c r="G481" s="31" t="str">
        <f aca="false">IF(F481="","",IFERROR(INDEX(請求台帳!$C$5:$C$504,MATCH(F481,請求台帳!$A$5:$A$504,0)),""))</f>
        <v/>
      </c>
      <c r="H481" s="31" t="str">
        <f aca="false">IF(F481="","",IFERROR(INDEX(請求台帳!$D$5:$D$504,MATCH(F481,請求台帳!$A$5:$A$504,0)),""))</f>
        <v/>
      </c>
      <c r="I481" s="27" t="str">
        <f aca="false">IF(F481="","",IFERROR(INDEX(請求台帳!$F$5:$F$504,MATCH(F481,請求台帳!$A$5:$A$504,0)),""))</f>
        <v/>
      </c>
      <c r="J481" s="28" t="str">
        <f aca="false">IF(COUNTA(B481,D481,E481,F481)=0,"",IF(OR(B481="",E481=""),"要入力",IF(N(B481)&gt;設定!$C$5,"日付誤り",IF(F481="","未消込",IF(ISNA(MATCH(F481,請求台帳!$A$5:$A$504,0)),"番号誤り",IF(INDEX(請求台帳!$Q$5:$Q$504,MATCH(F481,請求台帳!$A$5:$A$504,0))="取消","取消請求へ消込","消込済"))))))</f>
        <v/>
      </c>
      <c r="K481" s="26"/>
      <c r="L481" s="26"/>
    </row>
    <row r="482" customFormat="false" ht="15" hidden="false" customHeight="false" outlineLevel="0" collapsed="false">
      <c r="A482" s="31" t="str">
        <f aca="false">IF(COUNTA(B482,D482,E482,F482)=0,"",ROW()-4)</f>
        <v/>
      </c>
      <c r="B482" s="22"/>
      <c r="C482" s="26"/>
      <c r="D482" s="26"/>
      <c r="E482" s="18"/>
      <c r="F482" s="26"/>
      <c r="G482" s="31" t="str">
        <f aca="false">IF(F482="","",IFERROR(INDEX(請求台帳!$C$5:$C$504,MATCH(F482,請求台帳!$A$5:$A$504,0)),""))</f>
        <v/>
      </c>
      <c r="H482" s="31" t="str">
        <f aca="false">IF(F482="","",IFERROR(INDEX(請求台帳!$D$5:$D$504,MATCH(F482,請求台帳!$A$5:$A$504,0)),""))</f>
        <v/>
      </c>
      <c r="I482" s="27" t="str">
        <f aca="false">IF(F482="","",IFERROR(INDEX(請求台帳!$F$5:$F$504,MATCH(F482,請求台帳!$A$5:$A$504,0)),""))</f>
        <v/>
      </c>
      <c r="J482" s="28" t="str">
        <f aca="false">IF(COUNTA(B482,D482,E482,F482)=0,"",IF(OR(B482="",E482=""),"要入力",IF(N(B482)&gt;設定!$C$5,"日付誤り",IF(F482="","未消込",IF(ISNA(MATCH(F482,請求台帳!$A$5:$A$504,0)),"番号誤り",IF(INDEX(請求台帳!$Q$5:$Q$504,MATCH(F482,請求台帳!$A$5:$A$504,0))="取消","取消請求へ消込","消込済"))))))</f>
        <v/>
      </c>
      <c r="K482" s="26"/>
      <c r="L482" s="26"/>
    </row>
    <row r="483" customFormat="false" ht="15" hidden="false" customHeight="false" outlineLevel="0" collapsed="false">
      <c r="A483" s="31" t="str">
        <f aca="false">IF(COUNTA(B483,D483,E483,F483)=0,"",ROW()-4)</f>
        <v/>
      </c>
      <c r="B483" s="22"/>
      <c r="C483" s="26"/>
      <c r="D483" s="26"/>
      <c r="E483" s="18"/>
      <c r="F483" s="26"/>
      <c r="G483" s="31" t="str">
        <f aca="false">IF(F483="","",IFERROR(INDEX(請求台帳!$C$5:$C$504,MATCH(F483,請求台帳!$A$5:$A$504,0)),""))</f>
        <v/>
      </c>
      <c r="H483" s="31" t="str">
        <f aca="false">IF(F483="","",IFERROR(INDEX(請求台帳!$D$5:$D$504,MATCH(F483,請求台帳!$A$5:$A$504,0)),""))</f>
        <v/>
      </c>
      <c r="I483" s="27" t="str">
        <f aca="false">IF(F483="","",IFERROR(INDEX(請求台帳!$F$5:$F$504,MATCH(F483,請求台帳!$A$5:$A$504,0)),""))</f>
        <v/>
      </c>
      <c r="J483" s="28" t="str">
        <f aca="false">IF(COUNTA(B483,D483,E483,F483)=0,"",IF(OR(B483="",E483=""),"要入力",IF(N(B483)&gt;設定!$C$5,"日付誤り",IF(F483="","未消込",IF(ISNA(MATCH(F483,請求台帳!$A$5:$A$504,0)),"番号誤り",IF(INDEX(請求台帳!$Q$5:$Q$504,MATCH(F483,請求台帳!$A$5:$A$504,0))="取消","取消請求へ消込","消込済"))))))</f>
        <v/>
      </c>
      <c r="K483" s="26"/>
      <c r="L483" s="26"/>
    </row>
    <row r="484" customFormat="false" ht="15" hidden="false" customHeight="false" outlineLevel="0" collapsed="false">
      <c r="A484" s="31" t="str">
        <f aca="false">IF(COUNTA(B484,D484,E484,F484)=0,"",ROW()-4)</f>
        <v/>
      </c>
      <c r="B484" s="22"/>
      <c r="C484" s="26"/>
      <c r="D484" s="26"/>
      <c r="E484" s="18"/>
      <c r="F484" s="26"/>
      <c r="G484" s="31" t="str">
        <f aca="false">IF(F484="","",IFERROR(INDEX(請求台帳!$C$5:$C$504,MATCH(F484,請求台帳!$A$5:$A$504,0)),""))</f>
        <v/>
      </c>
      <c r="H484" s="31" t="str">
        <f aca="false">IF(F484="","",IFERROR(INDEX(請求台帳!$D$5:$D$504,MATCH(F484,請求台帳!$A$5:$A$504,0)),""))</f>
        <v/>
      </c>
      <c r="I484" s="27" t="str">
        <f aca="false">IF(F484="","",IFERROR(INDEX(請求台帳!$F$5:$F$504,MATCH(F484,請求台帳!$A$5:$A$504,0)),""))</f>
        <v/>
      </c>
      <c r="J484" s="28" t="str">
        <f aca="false">IF(COUNTA(B484,D484,E484,F484)=0,"",IF(OR(B484="",E484=""),"要入力",IF(N(B484)&gt;設定!$C$5,"日付誤り",IF(F484="","未消込",IF(ISNA(MATCH(F484,請求台帳!$A$5:$A$504,0)),"番号誤り",IF(INDEX(請求台帳!$Q$5:$Q$504,MATCH(F484,請求台帳!$A$5:$A$504,0))="取消","取消請求へ消込","消込済"))))))</f>
        <v/>
      </c>
      <c r="K484" s="26"/>
      <c r="L484" s="26"/>
    </row>
    <row r="485" customFormat="false" ht="15" hidden="false" customHeight="false" outlineLevel="0" collapsed="false">
      <c r="A485" s="31" t="str">
        <f aca="false">IF(COUNTA(B485,D485,E485,F485)=0,"",ROW()-4)</f>
        <v/>
      </c>
      <c r="B485" s="22"/>
      <c r="C485" s="26"/>
      <c r="D485" s="26"/>
      <c r="E485" s="18"/>
      <c r="F485" s="26"/>
      <c r="G485" s="31" t="str">
        <f aca="false">IF(F485="","",IFERROR(INDEX(請求台帳!$C$5:$C$504,MATCH(F485,請求台帳!$A$5:$A$504,0)),""))</f>
        <v/>
      </c>
      <c r="H485" s="31" t="str">
        <f aca="false">IF(F485="","",IFERROR(INDEX(請求台帳!$D$5:$D$504,MATCH(F485,請求台帳!$A$5:$A$504,0)),""))</f>
        <v/>
      </c>
      <c r="I485" s="27" t="str">
        <f aca="false">IF(F485="","",IFERROR(INDEX(請求台帳!$F$5:$F$504,MATCH(F485,請求台帳!$A$5:$A$504,0)),""))</f>
        <v/>
      </c>
      <c r="J485" s="28" t="str">
        <f aca="false">IF(COUNTA(B485,D485,E485,F485)=0,"",IF(OR(B485="",E485=""),"要入力",IF(N(B485)&gt;設定!$C$5,"日付誤り",IF(F485="","未消込",IF(ISNA(MATCH(F485,請求台帳!$A$5:$A$504,0)),"番号誤り",IF(INDEX(請求台帳!$Q$5:$Q$504,MATCH(F485,請求台帳!$A$5:$A$504,0))="取消","取消請求へ消込","消込済"))))))</f>
        <v/>
      </c>
      <c r="K485" s="26"/>
      <c r="L485" s="26"/>
    </row>
    <row r="486" customFormat="false" ht="15" hidden="false" customHeight="false" outlineLevel="0" collapsed="false">
      <c r="A486" s="31" t="str">
        <f aca="false">IF(COUNTA(B486,D486,E486,F486)=0,"",ROW()-4)</f>
        <v/>
      </c>
      <c r="B486" s="22"/>
      <c r="C486" s="26"/>
      <c r="D486" s="26"/>
      <c r="E486" s="18"/>
      <c r="F486" s="26"/>
      <c r="G486" s="31" t="str">
        <f aca="false">IF(F486="","",IFERROR(INDEX(請求台帳!$C$5:$C$504,MATCH(F486,請求台帳!$A$5:$A$504,0)),""))</f>
        <v/>
      </c>
      <c r="H486" s="31" t="str">
        <f aca="false">IF(F486="","",IFERROR(INDEX(請求台帳!$D$5:$D$504,MATCH(F486,請求台帳!$A$5:$A$504,0)),""))</f>
        <v/>
      </c>
      <c r="I486" s="27" t="str">
        <f aca="false">IF(F486="","",IFERROR(INDEX(請求台帳!$F$5:$F$504,MATCH(F486,請求台帳!$A$5:$A$504,0)),""))</f>
        <v/>
      </c>
      <c r="J486" s="28" t="str">
        <f aca="false">IF(COUNTA(B486,D486,E486,F486)=0,"",IF(OR(B486="",E486=""),"要入力",IF(N(B486)&gt;設定!$C$5,"日付誤り",IF(F486="","未消込",IF(ISNA(MATCH(F486,請求台帳!$A$5:$A$504,0)),"番号誤り",IF(INDEX(請求台帳!$Q$5:$Q$504,MATCH(F486,請求台帳!$A$5:$A$504,0))="取消","取消請求へ消込","消込済"))))))</f>
        <v/>
      </c>
      <c r="K486" s="26"/>
      <c r="L486" s="26"/>
    </row>
    <row r="487" customFormat="false" ht="15" hidden="false" customHeight="false" outlineLevel="0" collapsed="false">
      <c r="A487" s="31" t="str">
        <f aca="false">IF(COUNTA(B487,D487,E487,F487)=0,"",ROW()-4)</f>
        <v/>
      </c>
      <c r="B487" s="22"/>
      <c r="C487" s="26"/>
      <c r="D487" s="26"/>
      <c r="E487" s="18"/>
      <c r="F487" s="26"/>
      <c r="G487" s="31" t="str">
        <f aca="false">IF(F487="","",IFERROR(INDEX(請求台帳!$C$5:$C$504,MATCH(F487,請求台帳!$A$5:$A$504,0)),""))</f>
        <v/>
      </c>
      <c r="H487" s="31" t="str">
        <f aca="false">IF(F487="","",IFERROR(INDEX(請求台帳!$D$5:$D$504,MATCH(F487,請求台帳!$A$5:$A$504,0)),""))</f>
        <v/>
      </c>
      <c r="I487" s="27" t="str">
        <f aca="false">IF(F487="","",IFERROR(INDEX(請求台帳!$F$5:$F$504,MATCH(F487,請求台帳!$A$5:$A$504,0)),""))</f>
        <v/>
      </c>
      <c r="J487" s="28" t="str">
        <f aca="false">IF(COUNTA(B487,D487,E487,F487)=0,"",IF(OR(B487="",E487=""),"要入力",IF(N(B487)&gt;設定!$C$5,"日付誤り",IF(F487="","未消込",IF(ISNA(MATCH(F487,請求台帳!$A$5:$A$504,0)),"番号誤り",IF(INDEX(請求台帳!$Q$5:$Q$504,MATCH(F487,請求台帳!$A$5:$A$504,0))="取消","取消請求へ消込","消込済"))))))</f>
        <v/>
      </c>
      <c r="K487" s="26"/>
      <c r="L487" s="26"/>
    </row>
    <row r="488" customFormat="false" ht="15" hidden="false" customHeight="false" outlineLevel="0" collapsed="false">
      <c r="A488" s="31" t="str">
        <f aca="false">IF(COUNTA(B488,D488,E488,F488)=0,"",ROW()-4)</f>
        <v/>
      </c>
      <c r="B488" s="22"/>
      <c r="C488" s="26"/>
      <c r="D488" s="26"/>
      <c r="E488" s="18"/>
      <c r="F488" s="26"/>
      <c r="G488" s="31" t="str">
        <f aca="false">IF(F488="","",IFERROR(INDEX(請求台帳!$C$5:$C$504,MATCH(F488,請求台帳!$A$5:$A$504,0)),""))</f>
        <v/>
      </c>
      <c r="H488" s="31" t="str">
        <f aca="false">IF(F488="","",IFERROR(INDEX(請求台帳!$D$5:$D$504,MATCH(F488,請求台帳!$A$5:$A$504,0)),""))</f>
        <v/>
      </c>
      <c r="I488" s="27" t="str">
        <f aca="false">IF(F488="","",IFERROR(INDEX(請求台帳!$F$5:$F$504,MATCH(F488,請求台帳!$A$5:$A$504,0)),""))</f>
        <v/>
      </c>
      <c r="J488" s="28" t="str">
        <f aca="false">IF(COUNTA(B488,D488,E488,F488)=0,"",IF(OR(B488="",E488=""),"要入力",IF(N(B488)&gt;設定!$C$5,"日付誤り",IF(F488="","未消込",IF(ISNA(MATCH(F488,請求台帳!$A$5:$A$504,0)),"番号誤り",IF(INDEX(請求台帳!$Q$5:$Q$504,MATCH(F488,請求台帳!$A$5:$A$504,0))="取消","取消請求へ消込","消込済"))))))</f>
        <v/>
      </c>
      <c r="K488" s="26"/>
      <c r="L488" s="26"/>
    </row>
    <row r="489" customFormat="false" ht="15" hidden="false" customHeight="false" outlineLevel="0" collapsed="false">
      <c r="A489" s="31" t="str">
        <f aca="false">IF(COUNTA(B489,D489,E489,F489)=0,"",ROW()-4)</f>
        <v/>
      </c>
      <c r="B489" s="22"/>
      <c r="C489" s="26"/>
      <c r="D489" s="26"/>
      <c r="E489" s="18"/>
      <c r="F489" s="26"/>
      <c r="G489" s="31" t="str">
        <f aca="false">IF(F489="","",IFERROR(INDEX(請求台帳!$C$5:$C$504,MATCH(F489,請求台帳!$A$5:$A$504,0)),""))</f>
        <v/>
      </c>
      <c r="H489" s="31" t="str">
        <f aca="false">IF(F489="","",IFERROR(INDEX(請求台帳!$D$5:$D$504,MATCH(F489,請求台帳!$A$5:$A$504,0)),""))</f>
        <v/>
      </c>
      <c r="I489" s="27" t="str">
        <f aca="false">IF(F489="","",IFERROR(INDEX(請求台帳!$F$5:$F$504,MATCH(F489,請求台帳!$A$5:$A$504,0)),""))</f>
        <v/>
      </c>
      <c r="J489" s="28" t="str">
        <f aca="false">IF(COUNTA(B489,D489,E489,F489)=0,"",IF(OR(B489="",E489=""),"要入力",IF(N(B489)&gt;設定!$C$5,"日付誤り",IF(F489="","未消込",IF(ISNA(MATCH(F489,請求台帳!$A$5:$A$504,0)),"番号誤り",IF(INDEX(請求台帳!$Q$5:$Q$504,MATCH(F489,請求台帳!$A$5:$A$504,0))="取消","取消請求へ消込","消込済"))))))</f>
        <v/>
      </c>
      <c r="K489" s="26"/>
      <c r="L489" s="26"/>
    </row>
    <row r="490" customFormat="false" ht="15" hidden="false" customHeight="false" outlineLevel="0" collapsed="false">
      <c r="A490" s="31" t="str">
        <f aca="false">IF(COUNTA(B490,D490,E490,F490)=0,"",ROW()-4)</f>
        <v/>
      </c>
      <c r="B490" s="22"/>
      <c r="C490" s="26"/>
      <c r="D490" s="26"/>
      <c r="E490" s="18"/>
      <c r="F490" s="26"/>
      <c r="G490" s="31" t="str">
        <f aca="false">IF(F490="","",IFERROR(INDEX(請求台帳!$C$5:$C$504,MATCH(F490,請求台帳!$A$5:$A$504,0)),""))</f>
        <v/>
      </c>
      <c r="H490" s="31" t="str">
        <f aca="false">IF(F490="","",IFERROR(INDEX(請求台帳!$D$5:$D$504,MATCH(F490,請求台帳!$A$5:$A$504,0)),""))</f>
        <v/>
      </c>
      <c r="I490" s="27" t="str">
        <f aca="false">IF(F490="","",IFERROR(INDEX(請求台帳!$F$5:$F$504,MATCH(F490,請求台帳!$A$5:$A$504,0)),""))</f>
        <v/>
      </c>
      <c r="J490" s="28" t="str">
        <f aca="false">IF(COUNTA(B490,D490,E490,F490)=0,"",IF(OR(B490="",E490=""),"要入力",IF(N(B490)&gt;設定!$C$5,"日付誤り",IF(F490="","未消込",IF(ISNA(MATCH(F490,請求台帳!$A$5:$A$504,0)),"番号誤り",IF(INDEX(請求台帳!$Q$5:$Q$504,MATCH(F490,請求台帳!$A$5:$A$504,0))="取消","取消請求へ消込","消込済"))))))</f>
        <v/>
      </c>
      <c r="K490" s="26"/>
      <c r="L490" s="26"/>
    </row>
    <row r="491" customFormat="false" ht="15" hidden="false" customHeight="false" outlineLevel="0" collapsed="false">
      <c r="A491" s="31" t="str">
        <f aca="false">IF(COUNTA(B491,D491,E491,F491)=0,"",ROW()-4)</f>
        <v/>
      </c>
      <c r="B491" s="22"/>
      <c r="C491" s="26"/>
      <c r="D491" s="26"/>
      <c r="E491" s="18"/>
      <c r="F491" s="26"/>
      <c r="G491" s="31" t="str">
        <f aca="false">IF(F491="","",IFERROR(INDEX(請求台帳!$C$5:$C$504,MATCH(F491,請求台帳!$A$5:$A$504,0)),""))</f>
        <v/>
      </c>
      <c r="H491" s="31" t="str">
        <f aca="false">IF(F491="","",IFERROR(INDEX(請求台帳!$D$5:$D$504,MATCH(F491,請求台帳!$A$5:$A$504,0)),""))</f>
        <v/>
      </c>
      <c r="I491" s="27" t="str">
        <f aca="false">IF(F491="","",IFERROR(INDEX(請求台帳!$F$5:$F$504,MATCH(F491,請求台帳!$A$5:$A$504,0)),""))</f>
        <v/>
      </c>
      <c r="J491" s="28" t="str">
        <f aca="false">IF(COUNTA(B491,D491,E491,F491)=0,"",IF(OR(B491="",E491=""),"要入力",IF(N(B491)&gt;設定!$C$5,"日付誤り",IF(F491="","未消込",IF(ISNA(MATCH(F491,請求台帳!$A$5:$A$504,0)),"番号誤り",IF(INDEX(請求台帳!$Q$5:$Q$504,MATCH(F491,請求台帳!$A$5:$A$504,0))="取消","取消請求へ消込","消込済"))))))</f>
        <v/>
      </c>
      <c r="K491" s="26"/>
      <c r="L491" s="26"/>
    </row>
    <row r="492" customFormat="false" ht="15" hidden="false" customHeight="false" outlineLevel="0" collapsed="false">
      <c r="A492" s="31" t="str">
        <f aca="false">IF(COUNTA(B492,D492,E492,F492)=0,"",ROW()-4)</f>
        <v/>
      </c>
      <c r="B492" s="22"/>
      <c r="C492" s="26"/>
      <c r="D492" s="26"/>
      <c r="E492" s="18"/>
      <c r="F492" s="26"/>
      <c r="G492" s="31" t="str">
        <f aca="false">IF(F492="","",IFERROR(INDEX(請求台帳!$C$5:$C$504,MATCH(F492,請求台帳!$A$5:$A$504,0)),""))</f>
        <v/>
      </c>
      <c r="H492" s="31" t="str">
        <f aca="false">IF(F492="","",IFERROR(INDEX(請求台帳!$D$5:$D$504,MATCH(F492,請求台帳!$A$5:$A$504,0)),""))</f>
        <v/>
      </c>
      <c r="I492" s="27" t="str">
        <f aca="false">IF(F492="","",IFERROR(INDEX(請求台帳!$F$5:$F$504,MATCH(F492,請求台帳!$A$5:$A$504,0)),""))</f>
        <v/>
      </c>
      <c r="J492" s="28" t="str">
        <f aca="false">IF(COUNTA(B492,D492,E492,F492)=0,"",IF(OR(B492="",E492=""),"要入力",IF(N(B492)&gt;設定!$C$5,"日付誤り",IF(F492="","未消込",IF(ISNA(MATCH(F492,請求台帳!$A$5:$A$504,0)),"番号誤り",IF(INDEX(請求台帳!$Q$5:$Q$504,MATCH(F492,請求台帳!$A$5:$A$504,0))="取消","取消請求へ消込","消込済"))))))</f>
        <v/>
      </c>
      <c r="K492" s="26"/>
      <c r="L492" s="26"/>
    </row>
    <row r="493" customFormat="false" ht="15" hidden="false" customHeight="false" outlineLevel="0" collapsed="false">
      <c r="A493" s="31" t="str">
        <f aca="false">IF(COUNTA(B493,D493,E493,F493)=0,"",ROW()-4)</f>
        <v/>
      </c>
      <c r="B493" s="22"/>
      <c r="C493" s="26"/>
      <c r="D493" s="26"/>
      <c r="E493" s="18"/>
      <c r="F493" s="26"/>
      <c r="G493" s="31" t="str">
        <f aca="false">IF(F493="","",IFERROR(INDEX(請求台帳!$C$5:$C$504,MATCH(F493,請求台帳!$A$5:$A$504,0)),""))</f>
        <v/>
      </c>
      <c r="H493" s="31" t="str">
        <f aca="false">IF(F493="","",IFERROR(INDEX(請求台帳!$D$5:$D$504,MATCH(F493,請求台帳!$A$5:$A$504,0)),""))</f>
        <v/>
      </c>
      <c r="I493" s="27" t="str">
        <f aca="false">IF(F493="","",IFERROR(INDEX(請求台帳!$F$5:$F$504,MATCH(F493,請求台帳!$A$5:$A$504,0)),""))</f>
        <v/>
      </c>
      <c r="J493" s="28" t="str">
        <f aca="false">IF(COUNTA(B493,D493,E493,F493)=0,"",IF(OR(B493="",E493=""),"要入力",IF(N(B493)&gt;設定!$C$5,"日付誤り",IF(F493="","未消込",IF(ISNA(MATCH(F493,請求台帳!$A$5:$A$504,0)),"番号誤り",IF(INDEX(請求台帳!$Q$5:$Q$504,MATCH(F493,請求台帳!$A$5:$A$504,0))="取消","取消請求へ消込","消込済"))))))</f>
        <v/>
      </c>
      <c r="K493" s="26"/>
      <c r="L493" s="26"/>
    </row>
    <row r="494" customFormat="false" ht="15" hidden="false" customHeight="false" outlineLevel="0" collapsed="false">
      <c r="A494" s="31" t="str">
        <f aca="false">IF(COUNTA(B494,D494,E494,F494)=0,"",ROW()-4)</f>
        <v/>
      </c>
      <c r="B494" s="22"/>
      <c r="C494" s="26"/>
      <c r="D494" s="26"/>
      <c r="E494" s="18"/>
      <c r="F494" s="26"/>
      <c r="G494" s="31" t="str">
        <f aca="false">IF(F494="","",IFERROR(INDEX(請求台帳!$C$5:$C$504,MATCH(F494,請求台帳!$A$5:$A$504,0)),""))</f>
        <v/>
      </c>
      <c r="H494" s="31" t="str">
        <f aca="false">IF(F494="","",IFERROR(INDEX(請求台帳!$D$5:$D$504,MATCH(F494,請求台帳!$A$5:$A$504,0)),""))</f>
        <v/>
      </c>
      <c r="I494" s="27" t="str">
        <f aca="false">IF(F494="","",IFERROR(INDEX(請求台帳!$F$5:$F$504,MATCH(F494,請求台帳!$A$5:$A$504,0)),""))</f>
        <v/>
      </c>
      <c r="J494" s="28" t="str">
        <f aca="false">IF(COUNTA(B494,D494,E494,F494)=0,"",IF(OR(B494="",E494=""),"要入力",IF(N(B494)&gt;設定!$C$5,"日付誤り",IF(F494="","未消込",IF(ISNA(MATCH(F494,請求台帳!$A$5:$A$504,0)),"番号誤り",IF(INDEX(請求台帳!$Q$5:$Q$504,MATCH(F494,請求台帳!$A$5:$A$504,0))="取消","取消請求へ消込","消込済"))))))</f>
        <v/>
      </c>
      <c r="K494" s="26"/>
      <c r="L494" s="26"/>
    </row>
    <row r="495" customFormat="false" ht="15" hidden="false" customHeight="false" outlineLevel="0" collapsed="false">
      <c r="A495" s="31" t="str">
        <f aca="false">IF(COUNTA(B495,D495,E495,F495)=0,"",ROW()-4)</f>
        <v/>
      </c>
      <c r="B495" s="22"/>
      <c r="C495" s="26"/>
      <c r="D495" s="26"/>
      <c r="E495" s="18"/>
      <c r="F495" s="26"/>
      <c r="G495" s="31" t="str">
        <f aca="false">IF(F495="","",IFERROR(INDEX(請求台帳!$C$5:$C$504,MATCH(F495,請求台帳!$A$5:$A$504,0)),""))</f>
        <v/>
      </c>
      <c r="H495" s="31" t="str">
        <f aca="false">IF(F495="","",IFERROR(INDEX(請求台帳!$D$5:$D$504,MATCH(F495,請求台帳!$A$5:$A$504,0)),""))</f>
        <v/>
      </c>
      <c r="I495" s="27" t="str">
        <f aca="false">IF(F495="","",IFERROR(INDEX(請求台帳!$F$5:$F$504,MATCH(F495,請求台帳!$A$5:$A$504,0)),""))</f>
        <v/>
      </c>
      <c r="J495" s="28" t="str">
        <f aca="false">IF(COUNTA(B495,D495,E495,F495)=0,"",IF(OR(B495="",E495=""),"要入力",IF(N(B495)&gt;設定!$C$5,"日付誤り",IF(F495="","未消込",IF(ISNA(MATCH(F495,請求台帳!$A$5:$A$504,0)),"番号誤り",IF(INDEX(請求台帳!$Q$5:$Q$504,MATCH(F495,請求台帳!$A$5:$A$504,0))="取消","取消請求へ消込","消込済"))))))</f>
        <v/>
      </c>
      <c r="K495" s="26"/>
      <c r="L495" s="26"/>
    </row>
    <row r="496" customFormat="false" ht="15" hidden="false" customHeight="false" outlineLevel="0" collapsed="false">
      <c r="A496" s="31" t="str">
        <f aca="false">IF(COUNTA(B496,D496,E496,F496)=0,"",ROW()-4)</f>
        <v/>
      </c>
      <c r="B496" s="22"/>
      <c r="C496" s="26"/>
      <c r="D496" s="26"/>
      <c r="E496" s="18"/>
      <c r="F496" s="26"/>
      <c r="G496" s="31" t="str">
        <f aca="false">IF(F496="","",IFERROR(INDEX(請求台帳!$C$5:$C$504,MATCH(F496,請求台帳!$A$5:$A$504,0)),""))</f>
        <v/>
      </c>
      <c r="H496" s="31" t="str">
        <f aca="false">IF(F496="","",IFERROR(INDEX(請求台帳!$D$5:$D$504,MATCH(F496,請求台帳!$A$5:$A$504,0)),""))</f>
        <v/>
      </c>
      <c r="I496" s="27" t="str">
        <f aca="false">IF(F496="","",IFERROR(INDEX(請求台帳!$F$5:$F$504,MATCH(F496,請求台帳!$A$5:$A$504,0)),""))</f>
        <v/>
      </c>
      <c r="J496" s="28" t="str">
        <f aca="false">IF(COUNTA(B496,D496,E496,F496)=0,"",IF(OR(B496="",E496=""),"要入力",IF(N(B496)&gt;設定!$C$5,"日付誤り",IF(F496="","未消込",IF(ISNA(MATCH(F496,請求台帳!$A$5:$A$504,0)),"番号誤り",IF(INDEX(請求台帳!$Q$5:$Q$504,MATCH(F496,請求台帳!$A$5:$A$504,0))="取消","取消請求へ消込","消込済"))))))</f>
        <v/>
      </c>
      <c r="K496" s="26"/>
      <c r="L496" s="26"/>
    </row>
    <row r="497" customFormat="false" ht="15" hidden="false" customHeight="false" outlineLevel="0" collapsed="false">
      <c r="A497" s="31" t="str">
        <f aca="false">IF(COUNTA(B497,D497,E497,F497)=0,"",ROW()-4)</f>
        <v/>
      </c>
      <c r="B497" s="22"/>
      <c r="C497" s="26"/>
      <c r="D497" s="26"/>
      <c r="E497" s="18"/>
      <c r="F497" s="26"/>
      <c r="G497" s="31" t="str">
        <f aca="false">IF(F497="","",IFERROR(INDEX(請求台帳!$C$5:$C$504,MATCH(F497,請求台帳!$A$5:$A$504,0)),""))</f>
        <v/>
      </c>
      <c r="H497" s="31" t="str">
        <f aca="false">IF(F497="","",IFERROR(INDEX(請求台帳!$D$5:$D$504,MATCH(F497,請求台帳!$A$5:$A$504,0)),""))</f>
        <v/>
      </c>
      <c r="I497" s="27" t="str">
        <f aca="false">IF(F497="","",IFERROR(INDEX(請求台帳!$F$5:$F$504,MATCH(F497,請求台帳!$A$5:$A$504,0)),""))</f>
        <v/>
      </c>
      <c r="J497" s="28" t="str">
        <f aca="false">IF(COUNTA(B497,D497,E497,F497)=0,"",IF(OR(B497="",E497=""),"要入力",IF(N(B497)&gt;設定!$C$5,"日付誤り",IF(F497="","未消込",IF(ISNA(MATCH(F497,請求台帳!$A$5:$A$504,0)),"番号誤り",IF(INDEX(請求台帳!$Q$5:$Q$504,MATCH(F497,請求台帳!$A$5:$A$504,0))="取消","取消請求へ消込","消込済"))))))</f>
        <v/>
      </c>
      <c r="K497" s="26"/>
      <c r="L497" s="26"/>
    </row>
    <row r="498" customFormat="false" ht="15" hidden="false" customHeight="false" outlineLevel="0" collapsed="false">
      <c r="A498" s="31" t="str">
        <f aca="false">IF(COUNTA(B498,D498,E498,F498)=0,"",ROW()-4)</f>
        <v/>
      </c>
      <c r="B498" s="22"/>
      <c r="C498" s="26"/>
      <c r="D498" s="26"/>
      <c r="E498" s="18"/>
      <c r="F498" s="26"/>
      <c r="G498" s="31" t="str">
        <f aca="false">IF(F498="","",IFERROR(INDEX(請求台帳!$C$5:$C$504,MATCH(F498,請求台帳!$A$5:$A$504,0)),""))</f>
        <v/>
      </c>
      <c r="H498" s="31" t="str">
        <f aca="false">IF(F498="","",IFERROR(INDEX(請求台帳!$D$5:$D$504,MATCH(F498,請求台帳!$A$5:$A$504,0)),""))</f>
        <v/>
      </c>
      <c r="I498" s="27" t="str">
        <f aca="false">IF(F498="","",IFERROR(INDEX(請求台帳!$F$5:$F$504,MATCH(F498,請求台帳!$A$5:$A$504,0)),""))</f>
        <v/>
      </c>
      <c r="J498" s="28" t="str">
        <f aca="false">IF(COUNTA(B498,D498,E498,F498)=0,"",IF(OR(B498="",E498=""),"要入力",IF(N(B498)&gt;設定!$C$5,"日付誤り",IF(F498="","未消込",IF(ISNA(MATCH(F498,請求台帳!$A$5:$A$504,0)),"番号誤り",IF(INDEX(請求台帳!$Q$5:$Q$504,MATCH(F498,請求台帳!$A$5:$A$504,0))="取消","取消請求へ消込","消込済"))))))</f>
        <v/>
      </c>
      <c r="K498" s="26"/>
      <c r="L498" s="26"/>
    </row>
    <row r="499" customFormat="false" ht="15" hidden="false" customHeight="false" outlineLevel="0" collapsed="false">
      <c r="A499" s="31" t="str">
        <f aca="false">IF(COUNTA(B499,D499,E499,F499)=0,"",ROW()-4)</f>
        <v/>
      </c>
      <c r="B499" s="22"/>
      <c r="C499" s="26"/>
      <c r="D499" s="26"/>
      <c r="E499" s="18"/>
      <c r="F499" s="26"/>
      <c r="G499" s="31" t="str">
        <f aca="false">IF(F499="","",IFERROR(INDEX(請求台帳!$C$5:$C$504,MATCH(F499,請求台帳!$A$5:$A$504,0)),""))</f>
        <v/>
      </c>
      <c r="H499" s="31" t="str">
        <f aca="false">IF(F499="","",IFERROR(INDEX(請求台帳!$D$5:$D$504,MATCH(F499,請求台帳!$A$5:$A$504,0)),""))</f>
        <v/>
      </c>
      <c r="I499" s="27" t="str">
        <f aca="false">IF(F499="","",IFERROR(INDEX(請求台帳!$F$5:$F$504,MATCH(F499,請求台帳!$A$5:$A$504,0)),""))</f>
        <v/>
      </c>
      <c r="J499" s="28" t="str">
        <f aca="false">IF(COUNTA(B499,D499,E499,F499)=0,"",IF(OR(B499="",E499=""),"要入力",IF(N(B499)&gt;設定!$C$5,"日付誤り",IF(F499="","未消込",IF(ISNA(MATCH(F499,請求台帳!$A$5:$A$504,0)),"番号誤り",IF(INDEX(請求台帳!$Q$5:$Q$504,MATCH(F499,請求台帳!$A$5:$A$504,0))="取消","取消請求へ消込","消込済"))))))</f>
        <v/>
      </c>
      <c r="K499" s="26"/>
      <c r="L499" s="26"/>
    </row>
    <row r="500" customFormat="false" ht="15" hidden="false" customHeight="false" outlineLevel="0" collapsed="false">
      <c r="A500" s="31" t="str">
        <f aca="false">IF(COUNTA(B500,D500,E500,F500)=0,"",ROW()-4)</f>
        <v/>
      </c>
      <c r="B500" s="22"/>
      <c r="C500" s="26"/>
      <c r="D500" s="26"/>
      <c r="E500" s="18"/>
      <c r="F500" s="26"/>
      <c r="G500" s="31" t="str">
        <f aca="false">IF(F500="","",IFERROR(INDEX(請求台帳!$C$5:$C$504,MATCH(F500,請求台帳!$A$5:$A$504,0)),""))</f>
        <v/>
      </c>
      <c r="H500" s="31" t="str">
        <f aca="false">IF(F500="","",IFERROR(INDEX(請求台帳!$D$5:$D$504,MATCH(F500,請求台帳!$A$5:$A$504,0)),""))</f>
        <v/>
      </c>
      <c r="I500" s="27" t="str">
        <f aca="false">IF(F500="","",IFERROR(INDEX(請求台帳!$F$5:$F$504,MATCH(F500,請求台帳!$A$5:$A$504,0)),""))</f>
        <v/>
      </c>
      <c r="J500" s="28" t="str">
        <f aca="false">IF(COUNTA(B500,D500,E500,F500)=0,"",IF(OR(B500="",E500=""),"要入力",IF(N(B500)&gt;設定!$C$5,"日付誤り",IF(F500="","未消込",IF(ISNA(MATCH(F500,請求台帳!$A$5:$A$504,0)),"番号誤り",IF(INDEX(請求台帳!$Q$5:$Q$504,MATCH(F500,請求台帳!$A$5:$A$504,0))="取消","取消請求へ消込","消込済"))))))</f>
        <v/>
      </c>
      <c r="K500" s="26"/>
      <c r="L500" s="26"/>
    </row>
    <row r="501" customFormat="false" ht="15" hidden="false" customHeight="false" outlineLevel="0" collapsed="false">
      <c r="A501" s="31" t="str">
        <f aca="false">IF(COUNTA(B501,D501,E501,F501)=0,"",ROW()-4)</f>
        <v/>
      </c>
      <c r="B501" s="22"/>
      <c r="C501" s="26"/>
      <c r="D501" s="26"/>
      <c r="E501" s="18"/>
      <c r="F501" s="26"/>
      <c r="G501" s="31" t="str">
        <f aca="false">IF(F501="","",IFERROR(INDEX(請求台帳!$C$5:$C$504,MATCH(F501,請求台帳!$A$5:$A$504,0)),""))</f>
        <v/>
      </c>
      <c r="H501" s="31" t="str">
        <f aca="false">IF(F501="","",IFERROR(INDEX(請求台帳!$D$5:$D$504,MATCH(F501,請求台帳!$A$5:$A$504,0)),""))</f>
        <v/>
      </c>
      <c r="I501" s="27" t="str">
        <f aca="false">IF(F501="","",IFERROR(INDEX(請求台帳!$F$5:$F$504,MATCH(F501,請求台帳!$A$5:$A$504,0)),""))</f>
        <v/>
      </c>
      <c r="J501" s="28" t="str">
        <f aca="false">IF(COUNTA(B501,D501,E501,F501)=0,"",IF(OR(B501="",E501=""),"要入力",IF(N(B501)&gt;設定!$C$5,"日付誤り",IF(F501="","未消込",IF(ISNA(MATCH(F501,請求台帳!$A$5:$A$504,0)),"番号誤り",IF(INDEX(請求台帳!$Q$5:$Q$504,MATCH(F501,請求台帳!$A$5:$A$504,0))="取消","取消請求へ消込","消込済"))))))</f>
        <v/>
      </c>
      <c r="K501" s="26"/>
      <c r="L501" s="26"/>
    </row>
    <row r="502" customFormat="false" ht="15" hidden="false" customHeight="false" outlineLevel="0" collapsed="false">
      <c r="A502" s="31" t="str">
        <f aca="false">IF(COUNTA(B502,D502,E502,F502)=0,"",ROW()-4)</f>
        <v/>
      </c>
      <c r="B502" s="22"/>
      <c r="C502" s="26"/>
      <c r="D502" s="26"/>
      <c r="E502" s="18"/>
      <c r="F502" s="26"/>
      <c r="G502" s="31" t="str">
        <f aca="false">IF(F502="","",IFERROR(INDEX(請求台帳!$C$5:$C$504,MATCH(F502,請求台帳!$A$5:$A$504,0)),""))</f>
        <v/>
      </c>
      <c r="H502" s="31" t="str">
        <f aca="false">IF(F502="","",IFERROR(INDEX(請求台帳!$D$5:$D$504,MATCH(F502,請求台帳!$A$5:$A$504,0)),""))</f>
        <v/>
      </c>
      <c r="I502" s="27" t="str">
        <f aca="false">IF(F502="","",IFERROR(INDEX(請求台帳!$F$5:$F$504,MATCH(F502,請求台帳!$A$5:$A$504,0)),""))</f>
        <v/>
      </c>
      <c r="J502" s="28" t="str">
        <f aca="false">IF(COUNTA(B502,D502,E502,F502)=0,"",IF(OR(B502="",E502=""),"要入力",IF(N(B502)&gt;設定!$C$5,"日付誤り",IF(F502="","未消込",IF(ISNA(MATCH(F502,請求台帳!$A$5:$A$504,0)),"番号誤り",IF(INDEX(請求台帳!$Q$5:$Q$504,MATCH(F502,請求台帳!$A$5:$A$504,0))="取消","取消請求へ消込","消込済"))))))</f>
        <v/>
      </c>
      <c r="K502" s="26"/>
      <c r="L502" s="26"/>
    </row>
    <row r="503" customFormat="false" ht="15" hidden="false" customHeight="false" outlineLevel="0" collapsed="false">
      <c r="A503" s="31" t="str">
        <f aca="false">IF(COUNTA(B503,D503,E503,F503)=0,"",ROW()-4)</f>
        <v/>
      </c>
      <c r="B503" s="22"/>
      <c r="C503" s="26"/>
      <c r="D503" s="26"/>
      <c r="E503" s="18"/>
      <c r="F503" s="26"/>
      <c r="G503" s="31" t="str">
        <f aca="false">IF(F503="","",IFERROR(INDEX(請求台帳!$C$5:$C$504,MATCH(F503,請求台帳!$A$5:$A$504,0)),""))</f>
        <v/>
      </c>
      <c r="H503" s="31" t="str">
        <f aca="false">IF(F503="","",IFERROR(INDEX(請求台帳!$D$5:$D$504,MATCH(F503,請求台帳!$A$5:$A$504,0)),""))</f>
        <v/>
      </c>
      <c r="I503" s="27" t="str">
        <f aca="false">IF(F503="","",IFERROR(INDEX(請求台帳!$F$5:$F$504,MATCH(F503,請求台帳!$A$5:$A$504,0)),""))</f>
        <v/>
      </c>
      <c r="J503" s="28" t="str">
        <f aca="false">IF(COUNTA(B503,D503,E503,F503)=0,"",IF(OR(B503="",E503=""),"要入力",IF(N(B503)&gt;設定!$C$5,"日付誤り",IF(F503="","未消込",IF(ISNA(MATCH(F503,請求台帳!$A$5:$A$504,0)),"番号誤り",IF(INDEX(請求台帳!$Q$5:$Q$504,MATCH(F503,請求台帳!$A$5:$A$504,0))="取消","取消請求へ消込","消込済"))))))</f>
        <v/>
      </c>
      <c r="K503" s="26"/>
      <c r="L503" s="26"/>
    </row>
    <row r="504" customFormat="false" ht="15" hidden="false" customHeight="false" outlineLevel="0" collapsed="false">
      <c r="A504" s="31" t="str">
        <f aca="false">IF(COUNTA(B504,D504,E504,F504)=0,"",ROW()-4)</f>
        <v/>
      </c>
      <c r="B504" s="22"/>
      <c r="C504" s="26"/>
      <c r="D504" s="26"/>
      <c r="E504" s="18"/>
      <c r="F504" s="26"/>
      <c r="G504" s="31" t="str">
        <f aca="false">IF(F504="","",IFERROR(INDEX(請求台帳!$C$5:$C$504,MATCH(F504,請求台帳!$A$5:$A$504,0)),""))</f>
        <v/>
      </c>
      <c r="H504" s="31" t="str">
        <f aca="false">IF(F504="","",IFERROR(INDEX(請求台帳!$D$5:$D$504,MATCH(F504,請求台帳!$A$5:$A$504,0)),""))</f>
        <v/>
      </c>
      <c r="I504" s="27" t="str">
        <f aca="false">IF(F504="","",IFERROR(INDEX(請求台帳!$F$5:$F$504,MATCH(F504,請求台帳!$A$5:$A$504,0)),""))</f>
        <v/>
      </c>
      <c r="J504" s="28" t="str">
        <f aca="false">IF(COUNTA(B504,D504,E504,F504)=0,"",IF(OR(B504="",E504=""),"要入力",IF(N(B504)&gt;設定!$C$5,"日付誤り",IF(F504="","未消込",IF(ISNA(MATCH(F504,請求台帳!$A$5:$A$504,0)),"番号誤り",IF(INDEX(請求台帳!$Q$5:$Q$504,MATCH(F504,請求台帳!$A$5:$A$504,0))="取消","取消請求へ消込","消込済"))))))</f>
        <v/>
      </c>
      <c r="K504" s="26"/>
      <c r="L504" s="26"/>
    </row>
    <row r="505" customFormat="false" ht="15" hidden="false" customHeight="false" outlineLevel="0" collapsed="false">
      <c r="A505" s="31" t="str">
        <f aca="false">IF(COUNTA(B505,D505,E505,F505)=0,"",ROW()-4)</f>
        <v/>
      </c>
      <c r="B505" s="22"/>
      <c r="C505" s="26"/>
      <c r="D505" s="26"/>
      <c r="E505" s="18"/>
      <c r="F505" s="26"/>
      <c r="G505" s="31" t="str">
        <f aca="false">IF(F505="","",IFERROR(INDEX(請求台帳!$C$5:$C$504,MATCH(F505,請求台帳!$A$5:$A$504,0)),""))</f>
        <v/>
      </c>
      <c r="H505" s="31" t="str">
        <f aca="false">IF(F505="","",IFERROR(INDEX(請求台帳!$D$5:$D$504,MATCH(F505,請求台帳!$A$5:$A$504,0)),""))</f>
        <v/>
      </c>
      <c r="I505" s="27" t="str">
        <f aca="false">IF(F505="","",IFERROR(INDEX(請求台帳!$F$5:$F$504,MATCH(F505,請求台帳!$A$5:$A$504,0)),""))</f>
        <v/>
      </c>
      <c r="J505" s="28" t="str">
        <f aca="false">IF(COUNTA(B505,D505,E505,F505)=0,"",IF(OR(B505="",E505=""),"要入力",IF(N(B505)&gt;設定!$C$5,"日付誤り",IF(F505="","未消込",IF(ISNA(MATCH(F505,請求台帳!$A$5:$A$504,0)),"番号誤り",IF(INDEX(請求台帳!$Q$5:$Q$504,MATCH(F505,請求台帳!$A$5:$A$504,0))="取消","取消請求へ消込","消込済"))))))</f>
        <v/>
      </c>
      <c r="K505" s="26"/>
      <c r="L505" s="26"/>
    </row>
    <row r="506" customFormat="false" ht="15" hidden="false" customHeight="false" outlineLevel="0" collapsed="false">
      <c r="A506" s="31" t="str">
        <f aca="false">IF(COUNTA(B506,D506,E506,F506)=0,"",ROW()-4)</f>
        <v/>
      </c>
      <c r="B506" s="22"/>
      <c r="C506" s="26"/>
      <c r="D506" s="26"/>
      <c r="E506" s="18"/>
      <c r="F506" s="26"/>
      <c r="G506" s="31" t="str">
        <f aca="false">IF(F506="","",IFERROR(INDEX(請求台帳!$C$5:$C$504,MATCH(F506,請求台帳!$A$5:$A$504,0)),""))</f>
        <v/>
      </c>
      <c r="H506" s="31" t="str">
        <f aca="false">IF(F506="","",IFERROR(INDEX(請求台帳!$D$5:$D$504,MATCH(F506,請求台帳!$A$5:$A$504,0)),""))</f>
        <v/>
      </c>
      <c r="I506" s="27" t="str">
        <f aca="false">IF(F506="","",IFERROR(INDEX(請求台帳!$F$5:$F$504,MATCH(F506,請求台帳!$A$5:$A$504,0)),""))</f>
        <v/>
      </c>
      <c r="J506" s="28" t="str">
        <f aca="false">IF(COUNTA(B506,D506,E506,F506)=0,"",IF(OR(B506="",E506=""),"要入力",IF(N(B506)&gt;設定!$C$5,"日付誤り",IF(F506="","未消込",IF(ISNA(MATCH(F506,請求台帳!$A$5:$A$504,0)),"番号誤り",IF(INDEX(請求台帳!$Q$5:$Q$504,MATCH(F506,請求台帳!$A$5:$A$504,0))="取消","取消請求へ消込","消込済"))))))</f>
        <v/>
      </c>
      <c r="K506" s="26"/>
      <c r="L506" s="26"/>
    </row>
    <row r="507" customFormat="false" ht="15" hidden="false" customHeight="false" outlineLevel="0" collapsed="false">
      <c r="A507" s="31" t="str">
        <f aca="false">IF(COUNTA(B507,D507,E507,F507)=0,"",ROW()-4)</f>
        <v/>
      </c>
      <c r="B507" s="22"/>
      <c r="C507" s="26"/>
      <c r="D507" s="26"/>
      <c r="E507" s="18"/>
      <c r="F507" s="26"/>
      <c r="G507" s="31" t="str">
        <f aca="false">IF(F507="","",IFERROR(INDEX(請求台帳!$C$5:$C$504,MATCH(F507,請求台帳!$A$5:$A$504,0)),""))</f>
        <v/>
      </c>
      <c r="H507" s="31" t="str">
        <f aca="false">IF(F507="","",IFERROR(INDEX(請求台帳!$D$5:$D$504,MATCH(F507,請求台帳!$A$5:$A$504,0)),""))</f>
        <v/>
      </c>
      <c r="I507" s="27" t="str">
        <f aca="false">IF(F507="","",IFERROR(INDEX(請求台帳!$F$5:$F$504,MATCH(F507,請求台帳!$A$5:$A$504,0)),""))</f>
        <v/>
      </c>
      <c r="J507" s="28" t="str">
        <f aca="false">IF(COUNTA(B507,D507,E507,F507)=0,"",IF(OR(B507="",E507=""),"要入力",IF(N(B507)&gt;設定!$C$5,"日付誤り",IF(F507="","未消込",IF(ISNA(MATCH(F507,請求台帳!$A$5:$A$504,0)),"番号誤り",IF(INDEX(請求台帳!$Q$5:$Q$504,MATCH(F507,請求台帳!$A$5:$A$504,0))="取消","取消請求へ消込","消込済"))))))</f>
        <v/>
      </c>
      <c r="K507" s="26"/>
      <c r="L507" s="26"/>
    </row>
    <row r="508" customFormat="false" ht="15" hidden="false" customHeight="false" outlineLevel="0" collapsed="false">
      <c r="A508" s="31" t="str">
        <f aca="false">IF(COUNTA(B508,D508,E508,F508)=0,"",ROW()-4)</f>
        <v/>
      </c>
      <c r="B508" s="22"/>
      <c r="C508" s="26"/>
      <c r="D508" s="26"/>
      <c r="E508" s="18"/>
      <c r="F508" s="26"/>
      <c r="G508" s="31" t="str">
        <f aca="false">IF(F508="","",IFERROR(INDEX(請求台帳!$C$5:$C$504,MATCH(F508,請求台帳!$A$5:$A$504,0)),""))</f>
        <v/>
      </c>
      <c r="H508" s="31" t="str">
        <f aca="false">IF(F508="","",IFERROR(INDEX(請求台帳!$D$5:$D$504,MATCH(F508,請求台帳!$A$5:$A$504,0)),""))</f>
        <v/>
      </c>
      <c r="I508" s="27" t="str">
        <f aca="false">IF(F508="","",IFERROR(INDEX(請求台帳!$F$5:$F$504,MATCH(F508,請求台帳!$A$5:$A$504,0)),""))</f>
        <v/>
      </c>
      <c r="J508" s="28" t="str">
        <f aca="false">IF(COUNTA(B508,D508,E508,F508)=0,"",IF(OR(B508="",E508=""),"要入力",IF(N(B508)&gt;設定!$C$5,"日付誤り",IF(F508="","未消込",IF(ISNA(MATCH(F508,請求台帳!$A$5:$A$504,0)),"番号誤り",IF(INDEX(請求台帳!$Q$5:$Q$504,MATCH(F508,請求台帳!$A$5:$A$504,0))="取消","取消請求へ消込","消込済"))))))</f>
        <v/>
      </c>
      <c r="K508" s="26"/>
      <c r="L508" s="26"/>
    </row>
    <row r="509" customFormat="false" ht="15" hidden="false" customHeight="false" outlineLevel="0" collapsed="false">
      <c r="A509" s="31" t="str">
        <f aca="false">IF(COUNTA(B509,D509,E509,F509)=0,"",ROW()-4)</f>
        <v/>
      </c>
      <c r="B509" s="22"/>
      <c r="C509" s="26"/>
      <c r="D509" s="26"/>
      <c r="E509" s="18"/>
      <c r="F509" s="26"/>
      <c r="G509" s="31" t="str">
        <f aca="false">IF(F509="","",IFERROR(INDEX(請求台帳!$C$5:$C$504,MATCH(F509,請求台帳!$A$5:$A$504,0)),""))</f>
        <v/>
      </c>
      <c r="H509" s="31" t="str">
        <f aca="false">IF(F509="","",IFERROR(INDEX(請求台帳!$D$5:$D$504,MATCH(F509,請求台帳!$A$5:$A$504,0)),""))</f>
        <v/>
      </c>
      <c r="I509" s="27" t="str">
        <f aca="false">IF(F509="","",IFERROR(INDEX(請求台帳!$F$5:$F$504,MATCH(F509,請求台帳!$A$5:$A$504,0)),""))</f>
        <v/>
      </c>
      <c r="J509" s="28" t="str">
        <f aca="false">IF(COUNTA(B509,D509,E509,F509)=0,"",IF(OR(B509="",E509=""),"要入力",IF(N(B509)&gt;設定!$C$5,"日付誤り",IF(F509="","未消込",IF(ISNA(MATCH(F509,請求台帳!$A$5:$A$504,0)),"番号誤り",IF(INDEX(請求台帳!$Q$5:$Q$504,MATCH(F509,請求台帳!$A$5:$A$504,0))="取消","取消請求へ消込","消込済"))))))</f>
        <v/>
      </c>
      <c r="K509" s="26"/>
      <c r="L509" s="26"/>
    </row>
    <row r="510" customFormat="false" ht="15" hidden="false" customHeight="false" outlineLevel="0" collapsed="false">
      <c r="A510" s="31" t="str">
        <f aca="false">IF(COUNTA(B510,D510,E510,F510)=0,"",ROW()-4)</f>
        <v/>
      </c>
      <c r="B510" s="22"/>
      <c r="C510" s="26"/>
      <c r="D510" s="26"/>
      <c r="E510" s="18"/>
      <c r="F510" s="26"/>
      <c r="G510" s="31" t="str">
        <f aca="false">IF(F510="","",IFERROR(INDEX(請求台帳!$C$5:$C$504,MATCH(F510,請求台帳!$A$5:$A$504,0)),""))</f>
        <v/>
      </c>
      <c r="H510" s="31" t="str">
        <f aca="false">IF(F510="","",IFERROR(INDEX(請求台帳!$D$5:$D$504,MATCH(F510,請求台帳!$A$5:$A$504,0)),""))</f>
        <v/>
      </c>
      <c r="I510" s="27" t="str">
        <f aca="false">IF(F510="","",IFERROR(INDEX(請求台帳!$F$5:$F$504,MATCH(F510,請求台帳!$A$5:$A$504,0)),""))</f>
        <v/>
      </c>
      <c r="J510" s="28" t="str">
        <f aca="false">IF(COUNTA(B510,D510,E510,F510)=0,"",IF(OR(B510="",E510=""),"要入力",IF(N(B510)&gt;設定!$C$5,"日付誤り",IF(F510="","未消込",IF(ISNA(MATCH(F510,請求台帳!$A$5:$A$504,0)),"番号誤り",IF(INDEX(請求台帳!$Q$5:$Q$504,MATCH(F510,請求台帳!$A$5:$A$504,0))="取消","取消請求へ消込","消込済"))))))</f>
        <v/>
      </c>
      <c r="K510" s="26"/>
      <c r="L510" s="26"/>
    </row>
    <row r="511" customFormat="false" ht="15" hidden="false" customHeight="false" outlineLevel="0" collapsed="false">
      <c r="A511" s="31" t="str">
        <f aca="false">IF(COUNTA(B511,D511,E511,F511)=0,"",ROW()-4)</f>
        <v/>
      </c>
      <c r="B511" s="22"/>
      <c r="C511" s="26"/>
      <c r="D511" s="26"/>
      <c r="E511" s="18"/>
      <c r="F511" s="26"/>
      <c r="G511" s="31" t="str">
        <f aca="false">IF(F511="","",IFERROR(INDEX(請求台帳!$C$5:$C$504,MATCH(F511,請求台帳!$A$5:$A$504,0)),""))</f>
        <v/>
      </c>
      <c r="H511" s="31" t="str">
        <f aca="false">IF(F511="","",IFERROR(INDEX(請求台帳!$D$5:$D$504,MATCH(F511,請求台帳!$A$5:$A$504,0)),""))</f>
        <v/>
      </c>
      <c r="I511" s="27" t="str">
        <f aca="false">IF(F511="","",IFERROR(INDEX(請求台帳!$F$5:$F$504,MATCH(F511,請求台帳!$A$5:$A$504,0)),""))</f>
        <v/>
      </c>
      <c r="J511" s="28" t="str">
        <f aca="false">IF(COUNTA(B511,D511,E511,F511)=0,"",IF(OR(B511="",E511=""),"要入力",IF(N(B511)&gt;設定!$C$5,"日付誤り",IF(F511="","未消込",IF(ISNA(MATCH(F511,請求台帳!$A$5:$A$504,0)),"番号誤り",IF(INDEX(請求台帳!$Q$5:$Q$504,MATCH(F511,請求台帳!$A$5:$A$504,0))="取消","取消請求へ消込","消込済"))))))</f>
        <v/>
      </c>
      <c r="K511" s="26"/>
      <c r="L511" s="26"/>
    </row>
    <row r="512" customFormat="false" ht="15" hidden="false" customHeight="false" outlineLevel="0" collapsed="false">
      <c r="A512" s="31" t="str">
        <f aca="false">IF(COUNTA(B512,D512,E512,F512)=0,"",ROW()-4)</f>
        <v/>
      </c>
      <c r="B512" s="22"/>
      <c r="C512" s="26"/>
      <c r="D512" s="26"/>
      <c r="E512" s="18"/>
      <c r="F512" s="26"/>
      <c r="G512" s="31" t="str">
        <f aca="false">IF(F512="","",IFERROR(INDEX(請求台帳!$C$5:$C$504,MATCH(F512,請求台帳!$A$5:$A$504,0)),""))</f>
        <v/>
      </c>
      <c r="H512" s="31" t="str">
        <f aca="false">IF(F512="","",IFERROR(INDEX(請求台帳!$D$5:$D$504,MATCH(F512,請求台帳!$A$5:$A$504,0)),""))</f>
        <v/>
      </c>
      <c r="I512" s="27" t="str">
        <f aca="false">IF(F512="","",IFERROR(INDEX(請求台帳!$F$5:$F$504,MATCH(F512,請求台帳!$A$5:$A$504,0)),""))</f>
        <v/>
      </c>
      <c r="J512" s="28" t="str">
        <f aca="false">IF(COUNTA(B512,D512,E512,F512)=0,"",IF(OR(B512="",E512=""),"要入力",IF(N(B512)&gt;設定!$C$5,"日付誤り",IF(F512="","未消込",IF(ISNA(MATCH(F512,請求台帳!$A$5:$A$504,0)),"番号誤り",IF(INDEX(請求台帳!$Q$5:$Q$504,MATCH(F512,請求台帳!$A$5:$A$504,0))="取消","取消請求へ消込","消込済"))))))</f>
        <v/>
      </c>
      <c r="K512" s="26"/>
      <c r="L512" s="26"/>
    </row>
    <row r="513" customFormat="false" ht="15" hidden="false" customHeight="false" outlineLevel="0" collapsed="false">
      <c r="A513" s="31" t="str">
        <f aca="false">IF(COUNTA(B513,D513,E513,F513)=0,"",ROW()-4)</f>
        <v/>
      </c>
      <c r="B513" s="22"/>
      <c r="C513" s="26"/>
      <c r="D513" s="26"/>
      <c r="E513" s="18"/>
      <c r="F513" s="26"/>
      <c r="G513" s="31" t="str">
        <f aca="false">IF(F513="","",IFERROR(INDEX(請求台帳!$C$5:$C$504,MATCH(F513,請求台帳!$A$5:$A$504,0)),""))</f>
        <v/>
      </c>
      <c r="H513" s="31" t="str">
        <f aca="false">IF(F513="","",IFERROR(INDEX(請求台帳!$D$5:$D$504,MATCH(F513,請求台帳!$A$5:$A$504,0)),""))</f>
        <v/>
      </c>
      <c r="I513" s="27" t="str">
        <f aca="false">IF(F513="","",IFERROR(INDEX(請求台帳!$F$5:$F$504,MATCH(F513,請求台帳!$A$5:$A$504,0)),""))</f>
        <v/>
      </c>
      <c r="J513" s="28" t="str">
        <f aca="false">IF(COUNTA(B513,D513,E513,F513)=0,"",IF(OR(B513="",E513=""),"要入力",IF(N(B513)&gt;設定!$C$5,"日付誤り",IF(F513="","未消込",IF(ISNA(MATCH(F513,請求台帳!$A$5:$A$504,0)),"番号誤り",IF(INDEX(請求台帳!$Q$5:$Q$504,MATCH(F513,請求台帳!$A$5:$A$504,0))="取消","取消請求へ消込","消込済"))))))</f>
        <v/>
      </c>
      <c r="K513" s="26"/>
      <c r="L513" s="26"/>
    </row>
    <row r="514" customFormat="false" ht="15" hidden="false" customHeight="false" outlineLevel="0" collapsed="false">
      <c r="A514" s="31" t="str">
        <f aca="false">IF(COUNTA(B514,D514,E514,F514)=0,"",ROW()-4)</f>
        <v/>
      </c>
      <c r="B514" s="22"/>
      <c r="C514" s="26"/>
      <c r="D514" s="26"/>
      <c r="E514" s="18"/>
      <c r="F514" s="26"/>
      <c r="G514" s="31" t="str">
        <f aca="false">IF(F514="","",IFERROR(INDEX(請求台帳!$C$5:$C$504,MATCH(F514,請求台帳!$A$5:$A$504,0)),""))</f>
        <v/>
      </c>
      <c r="H514" s="31" t="str">
        <f aca="false">IF(F514="","",IFERROR(INDEX(請求台帳!$D$5:$D$504,MATCH(F514,請求台帳!$A$5:$A$504,0)),""))</f>
        <v/>
      </c>
      <c r="I514" s="27" t="str">
        <f aca="false">IF(F514="","",IFERROR(INDEX(請求台帳!$F$5:$F$504,MATCH(F514,請求台帳!$A$5:$A$504,0)),""))</f>
        <v/>
      </c>
      <c r="J514" s="28" t="str">
        <f aca="false">IF(COUNTA(B514,D514,E514,F514)=0,"",IF(OR(B514="",E514=""),"要入力",IF(N(B514)&gt;設定!$C$5,"日付誤り",IF(F514="","未消込",IF(ISNA(MATCH(F514,請求台帳!$A$5:$A$504,0)),"番号誤り",IF(INDEX(請求台帳!$Q$5:$Q$504,MATCH(F514,請求台帳!$A$5:$A$504,0))="取消","取消請求へ消込","消込済"))))))</f>
        <v/>
      </c>
      <c r="K514" s="26"/>
      <c r="L514" s="26"/>
    </row>
    <row r="515" customFormat="false" ht="15" hidden="false" customHeight="false" outlineLevel="0" collapsed="false">
      <c r="A515" s="31" t="str">
        <f aca="false">IF(COUNTA(B515,D515,E515,F515)=0,"",ROW()-4)</f>
        <v/>
      </c>
      <c r="B515" s="22"/>
      <c r="C515" s="26"/>
      <c r="D515" s="26"/>
      <c r="E515" s="18"/>
      <c r="F515" s="26"/>
      <c r="G515" s="31" t="str">
        <f aca="false">IF(F515="","",IFERROR(INDEX(請求台帳!$C$5:$C$504,MATCH(F515,請求台帳!$A$5:$A$504,0)),""))</f>
        <v/>
      </c>
      <c r="H515" s="31" t="str">
        <f aca="false">IF(F515="","",IFERROR(INDEX(請求台帳!$D$5:$D$504,MATCH(F515,請求台帳!$A$5:$A$504,0)),""))</f>
        <v/>
      </c>
      <c r="I515" s="27" t="str">
        <f aca="false">IF(F515="","",IFERROR(INDEX(請求台帳!$F$5:$F$504,MATCH(F515,請求台帳!$A$5:$A$504,0)),""))</f>
        <v/>
      </c>
      <c r="J515" s="28" t="str">
        <f aca="false">IF(COUNTA(B515,D515,E515,F515)=0,"",IF(OR(B515="",E515=""),"要入力",IF(N(B515)&gt;設定!$C$5,"日付誤り",IF(F515="","未消込",IF(ISNA(MATCH(F515,請求台帳!$A$5:$A$504,0)),"番号誤り",IF(INDEX(請求台帳!$Q$5:$Q$504,MATCH(F515,請求台帳!$A$5:$A$504,0))="取消","取消請求へ消込","消込済"))))))</f>
        <v/>
      </c>
      <c r="K515" s="26"/>
      <c r="L515" s="26"/>
    </row>
    <row r="516" customFormat="false" ht="15" hidden="false" customHeight="false" outlineLevel="0" collapsed="false">
      <c r="A516" s="31" t="str">
        <f aca="false">IF(COUNTA(B516,D516,E516,F516)=0,"",ROW()-4)</f>
        <v/>
      </c>
      <c r="B516" s="22"/>
      <c r="C516" s="26"/>
      <c r="D516" s="26"/>
      <c r="E516" s="18"/>
      <c r="F516" s="26"/>
      <c r="G516" s="31" t="str">
        <f aca="false">IF(F516="","",IFERROR(INDEX(請求台帳!$C$5:$C$504,MATCH(F516,請求台帳!$A$5:$A$504,0)),""))</f>
        <v/>
      </c>
      <c r="H516" s="31" t="str">
        <f aca="false">IF(F516="","",IFERROR(INDEX(請求台帳!$D$5:$D$504,MATCH(F516,請求台帳!$A$5:$A$504,0)),""))</f>
        <v/>
      </c>
      <c r="I516" s="27" t="str">
        <f aca="false">IF(F516="","",IFERROR(INDEX(請求台帳!$F$5:$F$504,MATCH(F516,請求台帳!$A$5:$A$504,0)),""))</f>
        <v/>
      </c>
      <c r="J516" s="28" t="str">
        <f aca="false">IF(COUNTA(B516,D516,E516,F516)=0,"",IF(OR(B516="",E516=""),"要入力",IF(N(B516)&gt;設定!$C$5,"日付誤り",IF(F516="","未消込",IF(ISNA(MATCH(F516,請求台帳!$A$5:$A$504,0)),"番号誤り",IF(INDEX(請求台帳!$Q$5:$Q$504,MATCH(F516,請求台帳!$A$5:$A$504,0))="取消","取消請求へ消込","消込済"))))))</f>
        <v/>
      </c>
      <c r="K516" s="26"/>
      <c r="L516" s="26"/>
    </row>
    <row r="517" customFormat="false" ht="15" hidden="false" customHeight="false" outlineLevel="0" collapsed="false">
      <c r="A517" s="31" t="str">
        <f aca="false">IF(COUNTA(B517,D517,E517,F517)=0,"",ROW()-4)</f>
        <v/>
      </c>
      <c r="B517" s="22"/>
      <c r="C517" s="26"/>
      <c r="D517" s="26"/>
      <c r="E517" s="18"/>
      <c r="F517" s="26"/>
      <c r="G517" s="31" t="str">
        <f aca="false">IF(F517="","",IFERROR(INDEX(請求台帳!$C$5:$C$504,MATCH(F517,請求台帳!$A$5:$A$504,0)),""))</f>
        <v/>
      </c>
      <c r="H517" s="31" t="str">
        <f aca="false">IF(F517="","",IFERROR(INDEX(請求台帳!$D$5:$D$504,MATCH(F517,請求台帳!$A$5:$A$504,0)),""))</f>
        <v/>
      </c>
      <c r="I517" s="27" t="str">
        <f aca="false">IF(F517="","",IFERROR(INDEX(請求台帳!$F$5:$F$504,MATCH(F517,請求台帳!$A$5:$A$504,0)),""))</f>
        <v/>
      </c>
      <c r="J517" s="28" t="str">
        <f aca="false">IF(COUNTA(B517,D517,E517,F517)=0,"",IF(OR(B517="",E517=""),"要入力",IF(N(B517)&gt;設定!$C$5,"日付誤り",IF(F517="","未消込",IF(ISNA(MATCH(F517,請求台帳!$A$5:$A$504,0)),"番号誤り",IF(INDEX(請求台帳!$Q$5:$Q$504,MATCH(F517,請求台帳!$A$5:$A$504,0))="取消","取消請求へ消込","消込済"))))))</f>
        <v/>
      </c>
      <c r="K517" s="26"/>
      <c r="L517" s="26"/>
    </row>
    <row r="518" customFormat="false" ht="15" hidden="false" customHeight="false" outlineLevel="0" collapsed="false">
      <c r="A518" s="31" t="str">
        <f aca="false">IF(COUNTA(B518,D518,E518,F518)=0,"",ROW()-4)</f>
        <v/>
      </c>
      <c r="B518" s="22"/>
      <c r="C518" s="26"/>
      <c r="D518" s="26"/>
      <c r="E518" s="18"/>
      <c r="F518" s="26"/>
      <c r="G518" s="31" t="str">
        <f aca="false">IF(F518="","",IFERROR(INDEX(請求台帳!$C$5:$C$504,MATCH(F518,請求台帳!$A$5:$A$504,0)),""))</f>
        <v/>
      </c>
      <c r="H518" s="31" t="str">
        <f aca="false">IF(F518="","",IFERROR(INDEX(請求台帳!$D$5:$D$504,MATCH(F518,請求台帳!$A$5:$A$504,0)),""))</f>
        <v/>
      </c>
      <c r="I518" s="27" t="str">
        <f aca="false">IF(F518="","",IFERROR(INDEX(請求台帳!$F$5:$F$504,MATCH(F518,請求台帳!$A$5:$A$504,0)),""))</f>
        <v/>
      </c>
      <c r="J518" s="28" t="str">
        <f aca="false">IF(COUNTA(B518,D518,E518,F518)=0,"",IF(OR(B518="",E518=""),"要入力",IF(N(B518)&gt;設定!$C$5,"日付誤り",IF(F518="","未消込",IF(ISNA(MATCH(F518,請求台帳!$A$5:$A$504,0)),"番号誤り",IF(INDEX(請求台帳!$Q$5:$Q$504,MATCH(F518,請求台帳!$A$5:$A$504,0))="取消","取消請求へ消込","消込済"))))))</f>
        <v/>
      </c>
      <c r="K518" s="26"/>
      <c r="L518" s="26"/>
    </row>
    <row r="519" customFormat="false" ht="15" hidden="false" customHeight="false" outlineLevel="0" collapsed="false">
      <c r="A519" s="31" t="str">
        <f aca="false">IF(COUNTA(B519,D519,E519,F519)=0,"",ROW()-4)</f>
        <v/>
      </c>
      <c r="B519" s="22"/>
      <c r="C519" s="26"/>
      <c r="D519" s="26"/>
      <c r="E519" s="18"/>
      <c r="F519" s="26"/>
      <c r="G519" s="31" t="str">
        <f aca="false">IF(F519="","",IFERROR(INDEX(請求台帳!$C$5:$C$504,MATCH(F519,請求台帳!$A$5:$A$504,0)),""))</f>
        <v/>
      </c>
      <c r="H519" s="31" t="str">
        <f aca="false">IF(F519="","",IFERROR(INDEX(請求台帳!$D$5:$D$504,MATCH(F519,請求台帳!$A$5:$A$504,0)),""))</f>
        <v/>
      </c>
      <c r="I519" s="27" t="str">
        <f aca="false">IF(F519="","",IFERROR(INDEX(請求台帳!$F$5:$F$504,MATCH(F519,請求台帳!$A$5:$A$504,0)),""))</f>
        <v/>
      </c>
      <c r="J519" s="28" t="str">
        <f aca="false">IF(COUNTA(B519,D519,E519,F519)=0,"",IF(OR(B519="",E519=""),"要入力",IF(N(B519)&gt;設定!$C$5,"日付誤り",IF(F519="","未消込",IF(ISNA(MATCH(F519,請求台帳!$A$5:$A$504,0)),"番号誤り",IF(INDEX(請求台帳!$Q$5:$Q$504,MATCH(F519,請求台帳!$A$5:$A$504,0))="取消","取消請求へ消込","消込済"))))))</f>
        <v/>
      </c>
      <c r="K519" s="26"/>
      <c r="L519" s="26"/>
    </row>
    <row r="520" customFormat="false" ht="15" hidden="false" customHeight="false" outlineLevel="0" collapsed="false">
      <c r="A520" s="31" t="str">
        <f aca="false">IF(COUNTA(B520,D520,E520,F520)=0,"",ROW()-4)</f>
        <v/>
      </c>
      <c r="B520" s="22"/>
      <c r="C520" s="26"/>
      <c r="D520" s="26"/>
      <c r="E520" s="18"/>
      <c r="F520" s="26"/>
      <c r="G520" s="31" t="str">
        <f aca="false">IF(F520="","",IFERROR(INDEX(請求台帳!$C$5:$C$504,MATCH(F520,請求台帳!$A$5:$A$504,0)),""))</f>
        <v/>
      </c>
      <c r="H520" s="31" t="str">
        <f aca="false">IF(F520="","",IFERROR(INDEX(請求台帳!$D$5:$D$504,MATCH(F520,請求台帳!$A$5:$A$504,0)),""))</f>
        <v/>
      </c>
      <c r="I520" s="27" t="str">
        <f aca="false">IF(F520="","",IFERROR(INDEX(請求台帳!$F$5:$F$504,MATCH(F520,請求台帳!$A$5:$A$504,0)),""))</f>
        <v/>
      </c>
      <c r="J520" s="28" t="str">
        <f aca="false">IF(COUNTA(B520,D520,E520,F520)=0,"",IF(OR(B520="",E520=""),"要入力",IF(N(B520)&gt;設定!$C$5,"日付誤り",IF(F520="","未消込",IF(ISNA(MATCH(F520,請求台帳!$A$5:$A$504,0)),"番号誤り",IF(INDEX(請求台帳!$Q$5:$Q$504,MATCH(F520,請求台帳!$A$5:$A$504,0))="取消","取消請求へ消込","消込済"))))))</f>
        <v/>
      </c>
      <c r="K520" s="26"/>
      <c r="L520" s="26"/>
    </row>
    <row r="521" customFormat="false" ht="15" hidden="false" customHeight="false" outlineLevel="0" collapsed="false">
      <c r="A521" s="31" t="str">
        <f aca="false">IF(COUNTA(B521,D521,E521,F521)=0,"",ROW()-4)</f>
        <v/>
      </c>
      <c r="B521" s="22"/>
      <c r="C521" s="26"/>
      <c r="D521" s="26"/>
      <c r="E521" s="18"/>
      <c r="F521" s="26"/>
      <c r="G521" s="31" t="str">
        <f aca="false">IF(F521="","",IFERROR(INDEX(請求台帳!$C$5:$C$504,MATCH(F521,請求台帳!$A$5:$A$504,0)),""))</f>
        <v/>
      </c>
      <c r="H521" s="31" t="str">
        <f aca="false">IF(F521="","",IFERROR(INDEX(請求台帳!$D$5:$D$504,MATCH(F521,請求台帳!$A$5:$A$504,0)),""))</f>
        <v/>
      </c>
      <c r="I521" s="27" t="str">
        <f aca="false">IF(F521="","",IFERROR(INDEX(請求台帳!$F$5:$F$504,MATCH(F521,請求台帳!$A$5:$A$504,0)),""))</f>
        <v/>
      </c>
      <c r="J521" s="28" t="str">
        <f aca="false">IF(COUNTA(B521,D521,E521,F521)=0,"",IF(OR(B521="",E521=""),"要入力",IF(N(B521)&gt;設定!$C$5,"日付誤り",IF(F521="","未消込",IF(ISNA(MATCH(F521,請求台帳!$A$5:$A$504,0)),"番号誤り",IF(INDEX(請求台帳!$Q$5:$Q$504,MATCH(F521,請求台帳!$A$5:$A$504,0))="取消","取消請求へ消込","消込済"))))))</f>
        <v/>
      </c>
      <c r="K521" s="26"/>
      <c r="L521" s="26"/>
    </row>
    <row r="522" customFormat="false" ht="15" hidden="false" customHeight="false" outlineLevel="0" collapsed="false">
      <c r="A522" s="31" t="str">
        <f aca="false">IF(COUNTA(B522,D522,E522,F522)=0,"",ROW()-4)</f>
        <v/>
      </c>
      <c r="B522" s="22"/>
      <c r="C522" s="26"/>
      <c r="D522" s="26"/>
      <c r="E522" s="18"/>
      <c r="F522" s="26"/>
      <c r="G522" s="31" t="str">
        <f aca="false">IF(F522="","",IFERROR(INDEX(請求台帳!$C$5:$C$504,MATCH(F522,請求台帳!$A$5:$A$504,0)),""))</f>
        <v/>
      </c>
      <c r="H522" s="31" t="str">
        <f aca="false">IF(F522="","",IFERROR(INDEX(請求台帳!$D$5:$D$504,MATCH(F522,請求台帳!$A$5:$A$504,0)),""))</f>
        <v/>
      </c>
      <c r="I522" s="27" t="str">
        <f aca="false">IF(F522="","",IFERROR(INDEX(請求台帳!$F$5:$F$504,MATCH(F522,請求台帳!$A$5:$A$504,0)),""))</f>
        <v/>
      </c>
      <c r="J522" s="28" t="str">
        <f aca="false">IF(COUNTA(B522,D522,E522,F522)=0,"",IF(OR(B522="",E522=""),"要入力",IF(N(B522)&gt;設定!$C$5,"日付誤り",IF(F522="","未消込",IF(ISNA(MATCH(F522,請求台帳!$A$5:$A$504,0)),"番号誤り",IF(INDEX(請求台帳!$Q$5:$Q$504,MATCH(F522,請求台帳!$A$5:$A$504,0))="取消","取消請求へ消込","消込済"))))))</f>
        <v/>
      </c>
      <c r="K522" s="26"/>
      <c r="L522" s="26"/>
    </row>
    <row r="523" customFormat="false" ht="15" hidden="false" customHeight="false" outlineLevel="0" collapsed="false">
      <c r="A523" s="31" t="str">
        <f aca="false">IF(COUNTA(B523,D523,E523,F523)=0,"",ROW()-4)</f>
        <v/>
      </c>
      <c r="B523" s="22"/>
      <c r="C523" s="26"/>
      <c r="D523" s="26"/>
      <c r="E523" s="18"/>
      <c r="F523" s="26"/>
      <c r="G523" s="31" t="str">
        <f aca="false">IF(F523="","",IFERROR(INDEX(請求台帳!$C$5:$C$504,MATCH(F523,請求台帳!$A$5:$A$504,0)),""))</f>
        <v/>
      </c>
      <c r="H523" s="31" t="str">
        <f aca="false">IF(F523="","",IFERROR(INDEX(請求台帳!$D$5:$D$504,MATCH(F523,請求台帳!$A$5:$A$504,0)),""))</f>
        <v/>
      </c>
      <c r="I523" s="27" t="str">
        <f aca="false">IF(F523="","",IFERROR(INDEX(請求台帳!$F$5:$F$504,MATCH(F523,請求台帳!$A$5:$A$504,0)),""))</f>
        <v/>
      </c>
      <c r="J523" s="28" t="str">
        <f aca="false">IF(COUNTA(B523,D523,E523,F523)=0,"",IF(OR(B523="",E523=""),"要入力",IF(N(B523)&gt;設定!$C$5,"日付誤り",IF(F523="","未消込",IF(ISNA(MATCH(F523,請求台帳!$A$5:$A$504,0)),"番号誤り",IF(INDEX(請求台帳!$Q$5:$Q$504,MATCH(F523,請求台帳!$A$5:$A$504,0))="取消","取消請求へ消込","消込済"))))))</f>
        <v/>
      </c>
      <c r="K523" s="26"/>
      <c r="L523" s="26"/>
    </row>
    <row r="524" customFormat="false" ht="15" hidden="false" customHeight="false" outlineLevel="0" collapsed="false">
      <c r="A524" s="31" t="str">
        <f aca="false">IF(COUNTA(B524,D524,E524,F524)=0,"",ROW()-4)</f>
        <v/>
      </c>
      <c r="B524" s="22"/>
      <c r="C524" s="26"/>
      <c r="D524" s="26"/>
      <c r="E524" s="18"/>
      <c r="F524" s="26"/>
      <c r="G524" s="31" t="str">
        <f aca="false">IF(F524="","",IFERROR(INDEX(請求台帳!$C$5:$C$504,MATCH(F524,請求台帳!$A$5:$A$504,0)),""))</f>
        <v/>
      </c>
      <c r="H524" s="31" t="str">
        <f aca="false">IF(F524="","",IFERROR(INDEX(請求台帳!$D$5:$D$504,MATCH(F524,請求台帳!$A$5:$A$504,0)),""))</f>
        <v/>
      </c>
      <c r="I524" s="27" t="str">
        <f aca="false">IF(F524="","",IFERROR(INDEX(請求台帳!$F$5:$F$504,MATCH(F524,請求台帳!$A$5:$A$504,0)),""))</f>
        <v/>
      </c>
      <c r="J524" s="28" t="str">
        <f aca="false">IF(COUNTA(B524,D524,E524,F524)=0,"",IF(OR(B524="",E524=""),"要入力",IF(N(B524)&gt;設定!$C$5,"日付誤り",IF(F524="","未消込",IF(ISNA(MATCH(F524,請求台帳!$A$5:$A$504,0)),"番号誤り",IF(INDEX(請求台帳!$Q$5:$Q$504,MATCH(F524,請求台帳!$A$5:$A$504,0))="取消","取消請求へ消込","消込済"))))))</f>
        <v/>
      </c>
      <c r="K524" s="26"/>
      <c r="L524" s="26"/>
    </row>
    <row r="525" customFormat="false" ht="15" hidden="false" customHeight="false" outlineLevel="0" collapsed="false">
      <c r="A525" s="31" t="str">
        <f aca="false">IF(COUNTA(B525,D525,E525,F525)=0,"",ROW()-4)</f>
        <v/>
      </c>
      <c r="B525" s="22"/>
      <c r="C525" s="26"/>
      <c r="D525" s="26"/>
      <c r="E525" s="18"/>
      <c r="F525" s="26"/>
      <c r="G525" s="31" t="str">
        <f aca="false">IF(F525="","",IFERROR(INDEX(請求台帳!$C$5:$C$504,MATCH(F525,請求台帳!$A$5:$A$504,0)),""))</f>
        <v/>
      </c>
      <c r="H525" s="31" t="str">
        <f aca="false">IF(F525="","",IFERROR(INDEX(請求台帳!$D$5:$D$504,MATCH(F525,請求台帳!$A$5:$A$504,0)),""))</f>
        <v/>
      </c>
      <c r="I525" s="27" t="str">
        <f aca="false">IF(F525="","",IFERROR(INDEX(請求台帳!$F$5:$F$504,MATCH(F525,請求台帳!$A$5:$A$504,0)),""))</f>
        <v/>
      </c>
      <c r="J525" s="28" t="str">
        <f aca="false">IF(COUNTA(B525,D525,E525,F525)=0,"",IF(OR(B525="",E525=""),"要入力",IF(N(B525)&gt;設定!$C$5,"日付誤り",IF(F525="","未消込",IF(ISNA(MATCH(F525,請求台帳!$A$5:$A$504,0)),"番号誤り",IF(INDEX(請求台帳!$Q$5:$Q$504,MATCH(F525,請求台帳!$A$5:$A$504,0))="取消","取消請求へ消込","消込済"))))))</f>
        <v/>
      </c>
      <c r="K525" s="26"/>
      <c r="L525" s="26"/>
    </row>
    <row r="526" customFormat="false" ht="15" hidden="false" customHeight="false" outlineLevel="0" collapsed="false">
      <c r="A526" s="31" t="str">
        <f aca="false">IF(COUNTA(B526,D526,E526,F526)=0,"",ROW()-4)</f>
        <v/>
      </c>
      <c r="B526" s="22"/>
      <c r="C526" s="26"/>
      <c r="D526" s="26"/>
      <c r="E526" s="18"/>
      <c r="F526" s="26"/>
      <c r="G526" s="31" t="str">
        <f aca="false">IF(F526="","",IFERROR(INDEX(請求台帳!$C$5:$C$504,MATCH(F526,請求台帳!$A$5:$A$504,0)),""))</f>
        <v/>
      </c>
      <c r="H526" s="31" t="str">
        <f aca="false">IF(F526="","",IFERROR(INDEX(請求台帳!$D$5:$D$504,MATCH(F526,請求台帳!$A$5:$A$504,0)),""))</f>
        <v/>
      </c>
      <c r="I526" s="27" t="str">
        <f aca="false">IF(F526="","",IFERROR(INDEX(請求台帳!$F$5:$F$504,MATCH(F526,請求台帳!$A$5:$A$504,0)),""))</f>
        <v/>
      </c>
      <c r="J526" s="28" t="str">
        <f aca="false">IF(COUNTA(B526,D526,E526,F526)=0,"",IF(OR(B526="",E526=""),"要入力",IF(N(B526)&gt;設定!$C$5,"日付誤り",IF(F526="","未消込",IF(ISNA(MATCH(F526,請求台帳!$A$5:$A$504,0)),"番号誤り",IF(INDEX(請求台帳!$Q$5:$Q$504,MATCH(F526,請求台帳!$A$5:$A$504,0))="取消","取消請求へ消込","消込済"))))))</f>
        <v/>
      </c>
      <c r="K526" s="26"/>
      <c r="L526" s="26"/>
    </row>
    <row r="527" customFormat="false" ht="15" hidden="false" customHeight="false" outlineLevel="0" collapsed="false">
      <c r="A527" s="31" t="str">
        <f aca="false">IF(COUNTA(B527,D527,E527,F527)=0,"",ROW()-4)</f>
        <v/>
      </c>
      <c r="B527" s="22"/>
      <c r="C527" s="26"/>
      <c r="D527" s="26"/>
      <c r="E527" s="18"/>
      <c r="F527" s="26"/>
      <c r="G527" s="31" t="str">
        <f aca="false">IF(F527="","",IFERROR(INDEX(請求台帳!$C$5:$C$504,MATCH(F527,請求台帳!$A$5:$A$504,0)),""))</f>
        <v/>
      </c>
      <c r="H527" s="31" t="str">
        <f aca="false">IF(F527="","",IFERROR(INDEX(請求台帳!$D$5:$D$504,MATCH(F527,請求台帳!$A$5:$A$504,0)),""))</f>
        <v/>
      </c>
      <c r="I527" s="27" t="str">
        <f aca="false">IF(F527="","",IFERROR(INDEX(請求台帳!$F$5:$F$504,MATCH(F527,請求台帳!$A$5:$A$504,0)),""))</f>
        <v/>
      </c>
      <c r="J527" s="28" t="str">
        <f aca="false">IF(COUNTA(B527,D527,E527,F527)=0,"",IF(OR(B527="",E527=""),"要入力",IF(N(B527)&gt;設定!$C$5,"日付誤り",IF(F527="","未消込",IF(ISNA(MATCH(F527,請求台帳!$A$5:$A$504,0)),"番号誤り",IF(INDEX(請求台帳!$Q$5:$Q$504,MATCH(F527,請求台帳!$A$5:$A$504,0))="取消","取消請求へ消込","消込済"))))))</f>
        <v/>
      </c>
      <c r="K527" s="26"/>
      <c r="L527" s="26"/>
    </row>
    <row r="528" customFormat="false" ht="15" hidden="false" customHeight="false" outlineLevel="0" collapsed="false">
      <c r="A528" s="31" t="str">
        <f aca="false">IF(COUNTA(B528,D528,E528,F528)=0,"",ROW()-4)</f>
        <v/>
      </c>
      <c r="B528" s="22"/>
      <c r="C528" s="26"/>
      <c r="D528" s="26"/>
      <c r="E528" s="18"/>
      <c r="F528" s="26"/>
      <c r="G528" s="31" t="str">
        <f aca="false">IF(F528="","",IFERROR(INDEX(請求台帳!$C$5:$C$504,MATCH(F528,請求台帳!$A$5:$A$504,0)),""))</f>
        <v/>
      </c>
      <c r="H528" s="31" t="str">
        <f aca="false">IF(F528="","",IFERROR(INDEX(請求台帳!$D$5:$D$504,MATCH(F528,請求台帳!$A$5:$A$504,0)),""))</f>
        <v/>
      </c>
      <c r="I528" s="27" t="str">
        <f aca="false">IF(F528="","",IFERROR(INDEX(請求台帳!$F$5:$F$504,MATCH(F528,請求台帳!$A$5:$A$504,0)),""))</f>
        <v/>
      </c>
      <c r="J528" s="28" t="str">
        <f aca="false">IF(COUNTA(B528,D528,E528,F528)=0,"",IF(OR(B528="",E528=""),"要入力",IF(N(B528)&gt;設定!$C$5,"日付誤り",IF(F528="","未消込",IF(ISNA(MATCH(F528,請求台帳!$A$5:$A$504,0)),"番号誤り",IF(INDEX(請求台帳!$Q$5:$Q$504,MATCH(F528,請求台帳!$A$5:$A$504,0))="取消","取消請求へ消込","消込済"))))))</f>
        <v/>
      </c>
      <c r="K528" s="26"/>
      <c r="L528" s="26"/>
    </row>
    <row r="529" customFormat="false" ht="15" hidden="false" customHeight="false" outlineLevel="0" collapsed="false">
      <c r="A529" s="31" t="str">
        <f aca="false">IF(COUNTA(B529,D529,E529,F529)=0,"",ROW()-4)</f>
        <v/>
      </c>
      <c r="B529" s="22"/>
      <c r="C529" s="26"/>
      <c r="D529" s="26"/>
      <c r="E529" s="18"/>
      <c r="F529" s="26"/>
      <c r="G529" s="31" t="str">
        <f aca="false">IF(F529="","",IFERROR(INDEX(請求台帳!$C$5:$C$504,MATCH(F529,請求台帳!$A$5:$A$504,0)),""))</f>
        <v/>
      </c>
      <c r="H529" s="31" t="str">
        <f aca="false">IF(F529="","",IFERROR(INDEX(請求台帳!$D$5:$D$504,MATCH(F529,請求台帳!$A$5:$A$504,0)),""))</f>
        <v/>
      </c>
      <c r="I529" s="27" t="str">
        <f aca="false">IF(F529="","",IFERROR(INDEX(請求台帳!$F$5:$F$504,MATCH(F529,請求台帳!$A$5:$A$504,0)),""))</f>
        <v/>
      </c>
      <c r="J529" s="28" t="str">
        <f aca="false">IF(COUNTA(B529,D529,E529,F529)=0,"",IF(OR(B529="",E529=""),"要入力",IF(N(B529)&gt;設定!$C$5,"日付誤り",IF(F529="","未消込",IF(ISNA(MATCH(F529,請求台帳!$A$5:$A$504,0)),"番号誤り",IF(INDEX(請求台帳!$Q$5:$Q$504,MATCH(F529,請求台帳!$A$5:$A$504,0))="取消","取消請求へ消込","消込済"))))))</f>
        <v/>
      </c>
      <c r="K529" s="26"/>
      <c r="L529" s="26"/>
    </row>
    <row r="530" customFormat="false" ht="15" hidden="false" customHeight="false" outlineLevel="0" collapsed="false">
      <c r="A530" s="31" t="str">
        <f aca="false">IF(COUNTA(B530,D530,E530,F530)=0,"",ROW()-4)</f>
        <v/>
      </c>
      <c r="B530" s="22"/>
      <c r="C530" s="26"/>
      <c r="D530" s="26"/>
      <c r="E530" s="18"/>
      <c r="F530" s="26"/>
      <c r="G530" s="31" t="str">
        <f aca="false">IF(F530="","",IFERROR(INDEX(請求台帳!$C$5:$C$504,MATCH(F530,請求台帳!$A$5:$A$504,0)),""))</f>
        <v/>
      </c>
      <c r="H530" s="31" t="str">
        <f aca="false">IF(F530="","",IFERROR(INDEX(請求台帳!$D$5:$D$504,MATCH(F530,請求台帳!$A$5:$A$504,0)),""))</f>
        <v/>
      </c>
      <c r="I530" s="27" t="str">
        <f aca="false">IF(F530="","",IFERROR(INDEX(請求台帳!$F$5:$F$504,MATCH(F530,請求台帳!$A$5:$A$504,0)),""))</f>
        <v/>
      </c>
      <c r="J530" s="28" t="str">
        <f aca="false">IF(COUNTA(B530,D530,E530,F530)=0,"",IF(OR(B530="",E530=""),"要入力",IF(N(B530)&gt;設定!$C$5,"日付誤り",IF(F530="","未消込",IF(ISNA(MATCH(F530,請求台帳!$A$5:$A$504,0)),"番号誤り",IF(INDEX(請求台帳!$Q$5:$Q$504,MATCH(F530,請求台帳!$A$5:$A$504,0))="取消","取消請求へ消込","消込済"))))))</f>
        <v/>
      </c>
      <c r="K530" s="26"/>
      <c r="L530" s="26"/>
    </row>
    <row r="531" customFormat="false" ht="15" hidden="false" customHeight="false" outlineLevel="0" collapsed="false">
      <c r="A531" s="31" t="str">
        <f aca="false">IF(COUNTA(B531,D531,E531,F531)=0,"",ROW()-4)</f>
        <v/>
      </c>
      <c r="B531" s="22"/>
      <c r="C531" s="26"/>
      <c r="D531" s="26"/>
      <c r="E531" s="18"/>
      <c r="F531" s="26"/>
      <c r="G531" s="31" t="str">
        <f aca="false">IF(F531="","",IFERROR(INDEX(請求台帳!$C$5:$C$504,MATCH(F531,請求台帳!$A$5:$A$504,0)),""))</f>
        <v/>
      </c>
      <c r="H531" s="31" t="str">
        <f aca="false">IF(F531="","",IFERROR(INDEX(請求台帳!$D$5:$D$504,MATCH(F531,請求台帳!$A$5:$A$504,0)),""))</f>
        <v/>
      </c>
      <c r="I531" s="27" t="str">
        <f aca="false">IF(F531="","",IFERROR(INDEX(請求台帳!$F$5:$F$504,MATCH(F531,請求台帳!$A$5:$A$504,0)),""))</f>
        <v/>
      </c>
      <c r="J531" s="28" t="str">
        <f aca="false">IF(COUNTA(B531,D531,E531,F531)=0,"",IF(OR(B531="",E531=""),"要入力",IF(N(B531)&gt;設定!$C$5,"日付誤り",IF(F531="","未消込",IF(ISNA(MATCH(F531,請求台帳!$A$5:$A$504,0)),"番号誤り",IF(INDEX(請求台帳!$Q$5:$Q$504,MATCH(F531,請求台帳!$A$5:$A$504,0))="取消","取消請求へ消込","消込済"))))))</f>
        <v/>
      </c>
      <c r="K531" s="26"/>
      <c r="L531" s="26"/>
    </row>
    <row r="532" customFormat="false" ht="15" hidden="false" customHeight="false" outlineLevel="0" collapsed="false">
      <c r="A532" s="31" t="str">
        <f aca="false">IF(COUNTA(B532,D532,E532,F532)=0,"",ROW()-4)</f>
        <v/>
      </c>
      <c r="B532" s="22"/>
      <c r="C532" s="26"/>
      <c r="D532" s="26"/>
      <c r="E532" s="18"/>
      <c r="F532" s="26"/>
      <c r="G532" s="31" t="str">
        <f aca="false">IF(F532="","",IFERROR(INDEX(請求台帳!$C$5:$C$504,MATCH(F532,請求台帳!$A$5:$A$504,0)),""))</f>
        <v/>
      </c>
      <c r="H532" s="31" t="str">
        <f aca="false">IF(F532="","",IFERROR(INDEX(請求台帳!$D$5:$D$504,MATCH(F532,請求台帳!$A$5:$A$504,0)),""))</f>
        <v/>
      </c>
      <c r="I532" s="27" t="str">
        <f aca="false">IF(F532="","",IFERROR(INDEX(請求台帳!$F$5:$F$504,MATCH(F532,請求台帳!$A$5:$A$504,0)),""))</f>
        <v/>
      </c>
      <c r="J532" s="28" t="str">
        <f aca="false">IF(COUNTA(B532,D532,E532,F532)=0,"",IF(OR(B532="",E532=""),"要入力",IF(N(B532)&gt;設定!$C$5,"日付誤り",IF(F532="","未消込",IF(ISNA(MATCH(F532,請求台帳!$A$5:$A$504,0)),"番号誤り",IF(INDEX(請求台帳!$Q$5:$Q$504,MATCH(F532,請求台帳!$A$5:$A$504,0))="取消","取消請求へ消込","消込済"))))))</f>
        <v/>
      </c>
      <c r="K532" s="26"/>
      <c r="L532" s="26"/>
    </row>
    <row r="533" customFormat="false" ht="15" hidden="false" customHeight="false" outlineLevel="0" collapsed="false">
      <c r="A533" s="31" t="str">
        <f aca="false">IF(COUNTA(B533,D533,E533,F533)=0,"",ROW()-4)</f>
        <v/>
      </c>
      <c r="B533" s="22"/>
      <c r="C533" s="26"/>
      <c r="D533" s="26"/>
      <c r="E533" s="18"/>
      <c r="F533" s="26"/>
      <c r="G533" s="31" t="str">
        <f aca="false">IF(F533="","",IFERROR(INDEX(請求台帳!$C$5:$C$504,MATCH(F533,請求台帳!$A$5:$A$504,0)),""))</f>
        <v/>
      </c>
      <c r="H533" s="31" t="str">
        <f aca="false">IF(F533="","",IFERROR(INDEX(請求台帳!$D$5:$D$504,MATCH(F533,請求台帳!$A$5:$A$504,0)),""))</f>
        <v/>
      </c>
      <c r="I533" s="27" t="str">
        <f aca="false">IF(F533="","",IFERROR(INDEX(請求台帳!$F$5:$F$504,MATCH(F533,請求台帳!$A$5:$A$504,0)),""))</f>
        <v/>
      </c>
      <c r="J533" s="28" t="str">
        <f aca="false">IF(COUNTA(B533,D533,E533,F533)=0,"",IF(OR(B533="",E533=""),"要入力",IF(N(B533)&gt;設定!$C$5,"日付誤り",IF(F533="","未消込",IF(ISNA(MATCH(F533,請求台帳!$A$5:$A$504,0)),"番号誤り",IF(INDEX(請求台帳!$Q$5:$Q$504,MATCH(F533,請求台帳!$A$5:$A$504,0))="取消","取消請求へ消込","消込済"))))))</f>
        <v/>
      </c>
      <c r="K533" s="26"/>
      <c r="L533" s="26"/>
    </row>
    <row r="534" customFormat="false" ht="15" hidden="false" customHeight="false" outlineLevel="0" collapsed="false">
      <c r="A534" s="31" t="str">
        <f aca="false">IF(COUNTA(B534,D534,E534,F534)=0,"",ROW()-4)</f>
        <v/>
      </c>
      <c r="B534" s="22"/>
      <c r="C534" s="26"/>
      <c r="D534" s="26"/>
      <c r="E534" s="18"/>
      <c r="F534" s="26"/>
      <c r="G534" s="31" t="str">
        <f aca="false">IF(F534="","",IFERROR(INDEX(請求台帳!$C$5:$C$504,MATCH(F534,請求台帳!$A$5:$A$504,0)),""))</f>
        <v/>
      </c>
      <c r="H534" s="31" t="str">
        <f aca="false">IF(F534="","",IFERROR(INDEX(請求台帳!$D$5:$D$504,MATCH(F534,請求台帳!$A$5:$A$504,0)),""))</f>
        <v/>
      </c>
      <c r="I534" s="27" t="str">
        <f aca="false">IF(F534="","",IFERROR(INDEX(請求台帳!$F$5:$F$504,MATCH(F534,請求台帳!$A$5:$A$504,0)),""))</f>
        <v/>
      </c>
      <c r="J534" s="28" t="str">
        <f aca="false">IF(COUNTA(B534,D534,E534,F534)=0,"",IF(OR(B534="",E534=""),"要入力",IF(N(B534)&gt;設定!$C$5,"日付誤り",IF(F534="","未消込",IF(ISNA(MATCH(F534,請求台帳!$A$5:$A$504,0)),"番号誤り",IF(INDEX(請求台帳!$Q$5:$Q$504,MATCH(F534,請求台帳!$A$5:$A$504,0))="取消","取消請求へ消込","消込済"))))))</f>
        <v/>
      </c>
      <c r="K534" s="26"/>
      <c r="L534" s="26"/>
    </row>
    <row r="535" customFormat="false" ht="15" hidden="false" customHeight="false" outlineLevel="0" collapsed="false">
      <c r="A535" s="31" t="str">
        <f aca="false">IF(COUNTA(B535,D535,E535,F535)=0,"",ROW()-4)</f>
        <v/>
      </c>
      <c r="B535" s="22"/>
      <c r="C535" s="26"/>
      <c r="D535" s="26"/>
      <c r="E535" s="18"/>
      <c r="F535" s="26"/>
      <c r="G535" s="31" t="str">
        <f aca="false">IF(F535="","",IFERROR(INDEX(請求台帳!$C$5:$C$504,MATCH(F535,請求台帳!$A$5:$A$504,0)),""))</f>
        <v/>
      </c>
      <c r="H535" s="31" t="str">
        <f aca="false">IF(F535="","",IFERROR(INDEX(請求台帳!$D$5:$D$504,MATCH(F535,請求台帳!$A$5:$A$504,0)),""))</f>
        <v/>
      </c>
      <c r="I535" s="27" t="str">
        <f aca="false">IF(F535="","",IFERROR(INDEX(請求台帳!$F$5:$F$504,MATCH(F535,請求台帳!$A$5:$A$504,0)),""))</f>
        <v/>
      </c>
      <c r="J535" s="28" t="str">
        <f aca="false">IF(COUNTA(B535,D535,E535,F535)=0,"",IF(OR(B535="",E535=""),"要入力",IF(N(B535)&gt;設定!$C$5,"日付誤り",IF(F535="","未消込",IF(ISNA(MATCH(F535,請求台帳!$A$5:$A$504,0)),"番号誤り",IF(INDEX(請求台帳!$Q$5:$Q$504,MATCH(F535,請求台帳!$A$5:$A$504,0))="取消","取消請求へ消込","消込済"))))))</f>
        <v/>
      </c>
      <c r="K535" s="26"/>
      <c r="L535" s="26"/>
    </row>
    <row r="536" customFormat="false" ht="15" hidden="false" customHeight="false" outlineLevel="0" collapsed="false">
      <c r="A536" s="31" t="str">
        <f aca="false">IF(COUNTA(B536,D536,E536,F536)=0,"",ROW()-4)</f>
        <v/>
      </c>
      <c r="B536" s="22"/>
      <c r="C536" s="26"/>
      <c r="D536" s="26"/>
      <c r="E536" s="18"/>
      <c r="F536" s="26"/>
      <c r="G536" s="31" t="str">
        <f aca="false">IF(F536="","",IFERROR(INDEX(請求台帳!$C$5:$C$504,MATCH(F536,請求台帳!$A$5:$A$504,0)),""))</f>
        <v/>
      </c>
      <c r="H536" s="31" t="str">
        <f aca="false">IF(F536="","",IFERROR(INDEX(請求台帳!$D$5:$D$504,MATCH(F536,請求台帳!$A$5:$A$504,0)),""))</f>
        <v/>
      </c>
      <c r="I536" s="27" t="str">
        <f aca="false">IF(F536="","",IFERROR(INDEX(請求台帳!$F$5:$F$504,MATCH(F536,請求台帳!$A$5:$A$504,0)),""))</f>
        <v/>
      </c>
      <c r="J536" s="28" t="str">
        <f aca="false">IF(COUNTA(B536,D536,E536,F536)=0,"",IF(OR(B536="",E536=""),"要入力",IF(N(B536)&gt;設定!$C$5,"日付誤り",IF(F536="","未消込",IF(ISNA(MATCH(F536,請求台帳!$A$5:$A$504,0)),"番号誤り",IF(INDEX(請求台帳!$Q$5:$Q$504,MATCH(F536,請求台帳!$A$5:$A$504,0))="取消","取消請求へ消込","消込済"))))))</f>
        <v/>
      </c>
      <c r="K536" s="26"/>
      <c r="L536" s="26"/>
    </row>
    <row r="537" customFormat="false" ht="15" hidden="false" customHeight="false" outlineLevel="0" collapsed="false">
      <c r="A537" s="31" t="str">
        <f aca="false">IF(COUNTA(B537,D537,E537,F537)=0,"",ROW()-4)</f>
        <v/>
      </c>
      <c r="B537" s="22"/>
      <c r="C537" s="26"/>
      <c r="D537" s="26"/>
      <c r="E537" s="18"/>
      <c r="F537" s="26"/>
      <c r="G537" s="31" t="str">
        <f aca="false">IF(F537="","",IFERROR(INDEX(請求台帳!$C$5:$C$504,MATCH(F537,請求台帳!$A$5:$A$504,0)),""))</f>
        <v/>
      </c>
      <c r="H537" s="31" t="str">
        <f aca="false">IF(F537="","",IFERROR(INDEX(請求台帳!$D$5:$D$504,MATCH(F537,請求台帳!$A$5:$A$504,0)),""))</f>
        <v/>
      </c>
      <c r="I537" s="27" t="str">
        <f aca="false">IF(F537="","",IFERROR(INDEX(請求台帳!$F$5:$F$504,MATCH(F537,請求台帳!$A$5:$A$504,0)),""))</f>
        <v/>
      </c>
      <c r="J537" s="28" t="str">
        <f aca="false">IF(COUNTA(B537,D537,E537,F537)=0,"",IF(OR(B537="",E537=""),"要入力",IF(N(B537)&gt;設定!$C$5,"日付誤り",IF(F537="","未消込",IF(ISNA(MATCH(F537,請求台帳!$A$5:$A$504,0)),"番号誤り",IF(INDEX(請求台帳!$Q$5:$Q$504,MATCH(F537,請求台帳!$A$5:$A$504,0))="取消","取消請求へ消込","消込済"))))))</f>
        <v/>
      </c>
      <c r="K537" s="26"/>
      <c r="L537" s="26"/>
    </row>
    <row r="538" customFormat="false" ht="15" hidden="false" customHeight="false" outlineLevel="0" collapsed="false">
      <c r="A538" s="31" t="str">
        <f aca="false">IF(COUNTA(B538,D538,E538,F538)=0,"",ROW()-4)</f>
        <v/>
      </c>
      <c r="B538" s="22"/>
      <c r="C538" s="26"/>
      <c r="D538" s="26"/>
      <c r="E538" s="18"/>
      <c r="F538" s="26"/>
      <c r="G538" s="31" t="str">
        <f aca="false">IF(F538="","",IFERROR(INDEX(請求台帳!$C$5:$C$504,MATCH(F538,請求台帳!$A$5:$A$504,0)),""))</f>
        <v/>
      </c>
      <c r="H538" s="31" t="str">
        <f aca="false">IF(F538="","",IFERROR(INDEX(請求台帳!$D$5:$D$504,MATCH(F538,請求台帳!$A$5:$A$504,0)),""))</f>
        <v/>
      </c>
      <c r="I538" s="27" t="str">
        <f aca="false">IF(F538="","",IFERROR(INDEX(請求台帳!$F$5:$F$504,MATCH(F538,請求台帳!$A$5:$A$504,0)),""))</f>
        <v/>
      </c>
      <c r="J538" s="28" t="str">
        <f aca="false">IF(COUNTA(B538,D538,E538,F538)=0,"",IF(OR(B538="",E538=""),"要入力",IF(N(B538)&gt;設定!$C$5,"日付誤り",IF(F538="","未消込",IF(ISNA(MATCH(F538,請求台帳!$A$5:$A$504,0)),"番号誤り",IF(INDEX(請求台帳!$Q$5:$Q$504,MATCH(F538,請求台帳!$A$5:$A$504,0))="取消","取消請求へ消込","消込済"))))))</f>
        <v/>
      </c>
      <c r="K538" s="26"/>
      <c r="L538" s="26"/>
    </row>
    <row r="539" customFormat="false" ht="15" hidden="false" customHeight="false" outlineLevel="0" collapsed="false">
      <c r="A539" s="31" t="str">
        <f aca="false">IF(COUNTA(B539,D539,E539,F539)=0,"",ROW()-4)</f>
        <v/>
      </c>
      <c r="B539" s="22"/>
      <c r="C539" s="26"/>
      <c r="D539" s="26"/>
      <c r="E539" s="18"/>
      <c r="F539" s="26"/>
      <c r="G539" s="31" t="str">
        <f aca="false">IF(F539="","",IFERROR(INDEX(請求台帳!$C$5:$C$504,MATCH(F539,請求台帳!$A$5:$A$504,0)),""))</f>
        <v/>
      </c>
      <c r="H539" s="31" t="str">
        <f aca="false">IF(F539="","",IFERROR(INDEX(請求台帳!$D$5:$D$504,MATCH(F539,請求台帳!$A$5:$A$504,0)),""))</f>
        <v/>
      </c>
      <c r="I539" s="27" t="str">
        <f aca="false">IF(F539="","",IFERROR(INDEX(請求台帳!$F$5:$F$504,MATCH(F539,請求台帳!$A$5:$A$504,0)),""))</f>
        <v/>
      </c>
      <c r="J539" s="28" t="str">
        <f aca="false">IF(COUNTA(B539,D539,E539,F539)=0,"",IF(OR(B539="",E539=""),"要入力",IF(N(B539)&gt;設定!$C$5,"日付誤り",IF(F539="","未消込",IF(ISNA(MATCH(F539,請求台帳!$A$5:$A$504,0)),"番号誤り",IF(INDEX(請求台帳!$Q$5:$Q$504,MATCH(F539,請求台帳!$A$5:$A$504,0))="取消","取消請求へ消込","消込済"))))))</f>
        <v/>
      </c>
      <c r="K539" s="26"/>
      <c r="L539" s="26"/>
    </row>
    <row r="540" customFormat="false" ht="15" hidden="false" customHeight="false" outlineLevel="0" collapsed="false">
      <c r="A540" s="31" t="str">
        <f aca="false">IF(COUNTA(B540,D540,E540,F540)=0,"",ROW()-4)</f>
        <v/>
      </c>
      <c r="B540" s="22"/>
      <c r="C540" s="26"/>
      <c r="D540" s="26"/>
      <c r="E540" s="18"/>
      <c r="F540" s="26"/>
      <c r="G540" s="31" t="str">
        <f aca="false">IF(F540="","",IFERROR(INDEX(請求台帳!$C$5:$C$504,MATCH(F540,請求台帳!$A$5:$A$504,0)),""))</f>
        <v/>
      </c>
      <c r="H540" s="31" t="str">
        <f aca="false">IF(F540="","",IFERROR(INDEX(請求台帳!$D$5:$D$504,MATCH(F540,請求台帳!$A$5:$A$504,0)),""))</f>
        <v/>
      </c>
      <c r="I540" s="27" t="str">
        <f aca="false">IF(F540="","",IFERROR(INDEX(請求台帳!$F$5:$F$504,MATCH(F540,請求台帳!$A$5:$A$504,0)),""))</f>
        <v/>
      </c>
      <c r="J540" s="28" t="str">
        <f aca="false">IF(COUNTA(B540,D540,E540,F540)=0,"",IF(OR(B540="",E540=""),"要入力",IF(N(B540)&gt;設定!$C$5,"日付誤り",IF(F540="","未消込",IF(ISNA(MATCH(F540,請求台帳!$A$5:$A$504,0)),"番号誤り",IF(INDEX(請求台帳!$Q$5:$Q$504,MATCH(F540,請求台帳!$A$5:$A$504,0))="取消","取消請求へ消込","消込済"))))))</f>
        <v/>
      </c>
      <c r="K540" s="26"/>
      <c r="L540" s="26"/>
    </row>
    <row r="541" customFormat="false" ht="15" hidden="false" customHeight="false" outlineLevel="0" collapsed="false">
      <c r="A541" s="31" t="str">
        <f aca="false">IF(COUNTA(B541,D541,E541,F541)=0,"",ROW()-4)</f>
        <v/>
      </c>
      <c r="B541" s="22"/>
      <c r="C541" s="26"/>
      <c r="D541" s="26"/>
      <c r="E541" s="18"/>
      <c r="F541" s="26"/>
      <c r="G541" s="31" t="str">
        <f aca="false">IF(F541="","",IFERROR(INDEX(請求台帳!$C$5:$C$504,MATCH(F541,請求台帳!$A$5:$A$504,0)),""))</f>
        <v/>
      </c>
      <c r="H541" s="31" t="str">
        <f aca="false">IF(F541="","",IFERROR(INDEX(請求台帳!$D$5:$D$504,MATCH(F541,請求台帳!$A$5:$A$504,0)),""))</f>
        <v/>
      </c>
      <c r="I541" s="27" t="str">
        <f aca="false">IF(F541="","",IFERROR(INDEX(請求台帳!$F$5:$F$504,MATCH(F541,請求台帳!$A$5:$A$504,0)),""))</f>
        <v/>
      </c>
      <c r="J541" s="28" t="str">
        <f aca="false">IF(COUNTA(B541,D541,E541,F541)=0,"",IF(OR(B541="",E541=""),"要入力",IF(N(B541)&gt;設定!$C$5,"日付誤り",IF(F541="","未消込",IF(ISNA(MATCH(F541,請求台帳!$A$5:$A$504,0)),"番号誤り",IF(INDEX(請求台帳!$Q$5:$Q$504,MATCH(F541,請求台帳!$A$5:$A$504,0))="取消","取消請求へ消込","消込済"))))))</f>
        <v/>
      </c>
      <c r="K541" s="26"/>
      <c r="L541" s="26"/>
    </row>
    <row r="542" customFormat="false" ht="15" hidden="false" customHeight="false" outlineLevel="0" collapsed="false">
      <c r="A542" s="31" t="str">
        <f aca="false">IF(COUNTA(B542,D542,E542,F542)=0,"",ROW()-4)</f>
        <v/>
      </c>
      <c r="B542" s="22"/>
      <c r="C542" s="26"/>
      <c r="D542" s="26"/>
      <c r="E542" s="18"/>
      <c r="F542" s="26"/>
      <c r="G542" s="31" t="str">
        <f aca="false">IF(F542="","",IFERROR(INDEX(請求台帳!$C$5:$C$504,MATCH(F542,請求台帳!$A$5:$A$504,0)),""))</f>
        <v/>
      </c>
      <c r="H542" s="31" t="str">
        <f aca="false">IF(F542="","",IFERROR(INDEX(請求台帳!$D$5:$D$504,MATCH(F542,請求台帳!$A$5:$A$504,0)),""))</f>
        <v/>
      </c>
      <c r="I542" s="27" t="str">
        <f aca="false">IF(F542="","",IFERROR(INDEX(請求台帳!$F$5:$F$504,MATCH(F542,請求台帳!$A$5:$A$504,0)),""))</f>
        <v/>
      </c>
      <c r="J542" s="28" t="str">
        <f aca="false">IF(COUNTA(B542,D542,E542,F542)=0,"",IF(OR(B542="",E542=""),"要入力",IF(N(B542)&gt;設定!$C$5,"日付誤り",IF(F542="","未消込",IF(ISNA(MATCH(F542,請求台帳!$A$5:$A$504,0)),"番号誤り",IF(INDEX(請求台帳!$Q$5:$Q$504,MATCH(F542,請求台帳!$A$5:$A$504,0))="取消","取消請求へ消込","消込済"))))))</f>
        <v/>
      </c>
      <c r="K542" s="26"/>
      <c r="L542" s="26"/>
    </row>
    <row r="543" customFormat="false" ht="15" hidden="false" customHeight="false" outlineLevel="0" collapsed="false">
      <c r="A543" s="31" t="str">
        <f aca="false">IF(COUNTA(B543,D543,E543,F543)=0,"",ROW()-4)</f>
        <v/>
      </c>
      <c r="B543" s="22"/>
      <c r="C543" s="26"/>
      <c r="D543" s="26"/>
      <c r="E543" s="18"/>
      <c r="F543" s="26"/>
      <c r="G543" s="31" t="str">
        <f aca="false">IF(F543="","",IFERROR(INDEX(請求台帳!$C$5:$C$504,MATCH(F543,請求台帳!$A$5:$A$504,0)),""))</f>
        <v/>
      </c>
      <c r="H543" s="31" t="str">
        <f aca="false">IF(F543="","",IFERROR(INDEX(請求台帳!$D$5:$D$504,MATCH(F543,請求台帳!$A$5:$A$504,0)),""))</f>
        <v/>
      </c>
      <c r="I543" s="27" t="str">
        <f aca="false">IF(F543="","",IFERROR(INDEX(請求台帳!$F$5:$F$504,MATCH(F543,請求台帳!$A$5:$A$504,0)),""))</f>
        <v/>
      </c>
      <c r="J543" s="28" t="str">
        <f aca="false">IF(COUNTA(B543,D543,E543,F543)=0,"",IF(OR(B543="",E543=""),"要入力",IF(N(B543)&gt;設定!$C$5,"日付誤り",IF(F543="","未消込",IF(ISNA(MATCH(F543,請求台帳!$A$5:$A$504,0)),"番号誤り",IF(INDEX(請求台帳!$Q$5:$Q$504,MATCH(F543,請求台帳!$A$5:$A$504,0))="取消","取消請求へ消込","消込済"))))))</f>
        <v/>
      </c>
      <c r="K543" s="26"/>
      <c r="L543" s="26"/>
    </row>
    <row r="544" customFormat="false" ht="15" hidden="false" customHeight="false" outlineLevel="0" collapsed="false">
      <c r="A544" s="31" t="str">
        <f aca="false">IF(COUNTA(B544,D544,E544,F544)=0,"",ROW()-4)</f>
        <v/>
      </c>
      <c r="B544" s="22"/>
      <c r="C544" s="26"/>
      <c r="D544" s="26"/>
      <c r="E544" s="18"/>
      <c r="F544" s="26"/>
      <c r="G544" s="31" t="str">
        <f aca="false">IF(F544="","",IFERROR(INDEX(請求台帳!$C$5:$C$504,MATCH(F544,請求台帳!$A$5:$A$504,0)),""))</f>
        <v/>
      </c>
      <c r="H544" s="31" t="str">
        <f aca="false">IF(F544="","",IFERROR(INDEX(請求台帳!$D$5:$D$504,MATCH(F544,請求台帳!$A$5:$A$504,0)),""))</f>
        <v/>
      </c>
      <c r="I544" s="27" t="str">
        <f aca="false">IF(F544="","",IFERROR(INDEX(請求台帳!$F$5:$F$504,MATCH(F544,請求台帳!$A$5:$A$504,0)),""))</f>
        <v/>
      </c>
      <c r="J544" s="28" t="str">
        <f aca="false">IF(COUNTA(B544,D544,E544,F544)=0,"",IF(OR(B544="",E544=""),"要入力",IF(N(B544)&gt;設定!$C$5,"日付誤り",IF(F544="","未消込",IF(ISNA(MATCH(F544,請求台帳!$A$5:$A$504,0)),"番号誤り",IF(INDEX(請求台帳!$Q$5:$Q$504,MATCH(F544,請求台帳!$A$5:$A$504,0))="取消","取消請求へ消込","消込済"))))))</f>
        <v/>
      </c>
      <c r="K544" s="26"/>
      <c r="L544" s="26"/>
    </row>
    <row r="545" customFormat="false" ht="15" hidden="false" customHeight="false" outlineLevel="0" collapsed="false">
      <c r="A545" s="31" t="str">
        <f aca="false">IF(COUNTA(B545,D545,E545,F545)=0,"",ROW()-4)</f>
        <v/>
      </c>
      <c r="B545" s="22"/>
      <c r="C545" s="26"/>
      <c r="D545" s="26"/>
      <c r="E545" s="18"/>
      <c r="F545" s="26"/>
      <c r="G545" s="31" t="str">
        <f aca="false">IF(F545="","",IFERROR(INDEX(請求台帳!$C$5:$C$504,MATCH(F545,請求台帳!$A$5:$A$504,0)),""))</f>
        <v/>
      </c>
      <c r="H545" s="31" t="str">
        <f aca="false">IF(F545="","",IFERROR(INDEX(請求台帳!$D$5:$D$504,MATCH(F545,請求台帳!$A$5:$A$504,0)),""))</f>
        <v/>
      </c>
      <c r="I545" s="27" t="str">
        <f aca="false">IF(F545="","",IFERROR(INDEX(請求台帳!$F$5:$F$504,MATCH(F545,請求台帳!$A$5:$A$504,0)),""))</f>
        <v/>
      </c>
      <c r="J545" s="28" t="str">
        <f aca="false">IF(COUNTA(B545,D545,E545,F545)=0,"",IF(OR(B545="",E545=""),"要入力",IF(N(B545)&gt;設定!$C$5,"日付誤り",IF(F545="","未消込",IF(ISNA(MATCH(F545,請求台帳!$A$5:$A$504,0)),"番号誤り",IF(INDEX(請求台帳!$Q$5:$Q$504,MATCH(F545,請求台帳!$A$5:$A$504,0))="取消","取消請求へ消込","消込済"))))))</f>
        <v/>
      </c>
      <c r="K545" s="26"/>
      <c r="L545" s="26"/>
    </row>
    <row r="546" customFormat="false" ht="15" hidden="false" customHeight="false" outlineLevel="0" collapsed="false">
      <c r="A546" s="31" t="str">
        <f aca="false">IF(COUNTA(B546,D546,E546,F546)=0,"",ROW()-4)</f>
        <v/>
      </c>
      <c r="B546" s="22"/>
      <c r="C546" s="26"/>
      <c r="D546" s="26"/>
      <c r="E546" s="18"/>
      <c r="F546" s="26"/>
      <c r="G546" s="31" t="str">
        <f aca="false">IF(F546="","",IFERROR(INDEX(請求台帳!$C$5:$C$504,MATCH(F546,請求台帳!$A$5:$A$504,0)),""))</f>
        <v/>
      </c>
      <c r="H546" s="31" t="str">
        <f aca="false">IF(F546="","",IFERROR(INDEX(請求台帳!$D$5:$D$504,MATCH(F546,請求台帳!$A$5:$A$504,0)),""))</f>
        <v/>
      </c>
      <c r="I546" s="27" t="str">
        <f aca="false">IF(F546="","",IFERROR(INDEX(請求台帳!$F$5:$F$504,MATCH(F546,請求台帳!$A$5:$A$504,0)),""))</f>
        <v/>
      </c>
      <c r="J546" s="28" t="str">
        <f aca="false">IF(COUNTA(B546,D546,E546,F546)=0,"",IF(OR(B546="",E546=""),"要入力",IF(N(B546)&gt;設定!$C$5,"日付誤り",IF(F546="","未消込",IF(ISNA(MATCH(F546,請求台帳!$A$5:$A$504,0)),"番号誤り",IF(INDEX(請求台帳!$Q$5:$Q$504,MATCH(F546,請求台帳!$A$5:$A$504,0))="取消","取消請求へ消込","消込済"))))))</f>
        <v/>
      </c>
      <c r="K546" s="26"/>
      <c r="L546" s="26"/>
    </row>
    <row r="547" customFormat="false" ht="15" hidden="false" customHeight="false" outlineLevel="0" collapsed="false">
      <c r="A547" s="31" t="str">
        <f aca="false">IF(COUNTA(B547,D547,E547,F547)=0,"",ROW()-4)</f>
        <v/>
      </c>
      <c r="B547" s="22"/>
      <c r="C547" s="26"/>
      <c r="D547" s="26"/>
      <c r="E547" s="18"/>
      <c r="F547" s="26"/>
      <c r="G547" s="31" t="str">
        <f aca="false">IF(F547="","",IFERROR(INDEX(請求台帳!$C$5:$C$504,MATCH(F547,請求台帳!$A$5:$A$504,0)),""))</f>
        <v/>
      </c>
      <c r="H547" s="31" t="str">
        <f aca="false">IF(F547="","",IFERROR(INDEX(請求台帳!$D$5:$D$504,MATCH(F547,請求台帳!$A$5:$A$504,0)),""))</f>
        <v/>
      </c>
      <c r="I547" s="27" t="str">
        <f aca="false">IF(F547="","",IFERROR(INDEX(請求台帳!$F$5:$F$504,MATCH(F547,請求台帳!$A$5:$A$504,0)),""))</f>
        <v/>
      </c>
      <c r="J547" s="28" t="str">
        <f aca="false">IF(COUNTA(B547,D547,E547,F547)=0,"",IF(OR(B547="",E547=""),"要入力",IF(N(B547)&gt;設定!$C$5,"日付誤り",IF(F547="","未消込",IF(ISNA(MATCH(F547,請求台帳!$A$5:$A$504,0)),"番号誤り",IF(INDEX(請求台帳!$Q$5:$Q$504,MATCH(F547,請求台帳!$A$5:$A$504,0))="取消","取消請求へ消込","消込済"))))))</f>
        <v/>
      </c>
      <c r="K547" s="26"/>
      <c r="L547" s="26"/>
    </row>
    <row r="548" customFormat="false" ht="15" hidden="false" customHeight="false" outlineLevel="0" collapsed="false">
      <c r="A548" s="31" t="str">
        <f aca="false">IF(COUNTA(B548,D548,E548,F548)=0,"",ROW()-4)</f>
        <v/>
      </c>
      <c r="B548" s="22"/>
      <c r="C548" s="26"/>
      <c r="D548" s="26"/>
      <c r="E548" s="18"/>
      <c r="F548" s="26"/>
      <c r="G548" s="31" t="str">
        <f aca="false">IF(F548="","",IFERROR(INDEX(請求台帳!$C$5:$C$504,MATCH(F548,請求台帳!$A$5:$A$504,0)),""))</f>
        <v/>
      </c>
      <c r="H548" s="31" t="str">
        <f aca="false">IF(F548="","",IFERROR(INDEX(請求台帳!$D$5:$D$504,MATCH(F548,請求台帳!$A$5:$A$504,0)),""))</f>
        <v/>
      </c>
      <c r="I548" s="27" t="str">
        <f aca="false">IF(F548="","",IFERROR(INDEX(請求台帳!$F$5:$F$504,MATCH(F548,請求台帳!$A$5:$A$504,0)),""))</f>
        <v/>
      </c>
      <c r="J548" s="28" t="str">
        <f aca="false">IF(COUNTA(B548,D548,E548,F548)=0,"",IF(OR(B548="",E548=""),"要入力",IF(N(B548)&gt;設定!$C$5,"日付誤り",IF(F548="","未消込",IF(ISNA(MATCH(F548,請求台帳!$A$5:$A$504,0)),"番号誤り",IF(INDEX(請求台帳!$Q$5:$Q$504,MATCH(F548,請求台帳!$A$5:$A$504,0))="取消","取消請求へ消込","消込済"))))))</f>
        <v/>
      </c>
      <c r="K548" s="26"/>
      <c r="L548" s="26"/>
    </row>
    <row r="549" customFormat="false" ht="15" hidden="false" customHeight="false" outlineLevel="0" collapsed="false">
      <c r="A549" s="31" t="str">
        <f aca="false">IF(COUNTA(B549,D549,E549,F549)=0,"",ROW()-4)</f>
        <v/>
      </c>
      <c r="B549" s="22"/>
      <c r="C549" s="26"/>
      <c r="D549" s="26"/>
      <c r="E549" s="18"/>
      <c r="F549" s="26"/>
      <c r="G549" s="31" t="str">
        <f aca="false">IF(F549="","",IFERROR(INDEX(請求台帳!$C$5:$C$504,MATCH(F549,請求台帳!$A$5:$A$504,0)),""))</f>
        <v/>
      </c>
      <c r="H549" s="31" t="str">
        <f aca="false">IF(F549="","",IFERROR(INDEX(請求台帳!$D$5:$D$504,MATCH(F549,請求台帳!$A$5:$A$504,0)),""))</f>
        <v/>
      </c>
      <c r="I549" s="27" t="str">
        <f aca="false">IF(F549="","",IFERROR(INDEX(請求台帳!$F$5:$F$504,MATCH(F549,請求台帳!$A$5:$A$504,0)),""))</f>
        <v/>
      </c>
      <c r="J549" s="28" t="str">
        <f aca="false">IF(COUNTA(B549,D549,E549,F549)=0,"",IF(OR(B549="",E549=""),"要入力",IF(N(B549)&gt;設定!$C$5,"日付誤り",IF(F549="","未消込",IF(ISNA(MATCH(F549,請求台帳!$A$5:$A$504,0)),"番号誤り",IF(INDEX(請求台帳!$Q$5:$Q$504,MATCH(F549,請求台帳!$A$5:$A$504,0))="取消","取消請求へ消込","消込済"))))))</f>
        <v/>
      </c>
      <c r="K549" s="26"/>
      <c r="L549" s="26"/>
    </row>
    <row r="550" customFormat="false" ht="15" hidden="false" customHeight="false" outlineLevel="0" collapsed="false">
      <c r="A550" s="31" t="str">
        <f aca="false">IF(COUNTA(B550,D550,E550,F550)=0,"",ROW()-4)</f>
        <v/>
      </c>
      <c r="B550" s="22"/>
      <c r="C550" s="26"/>
      <c r="D550" s="26"/>
      <c r="E550" s="18"/>
      <c r="F550" s="26"/>
      <c r="G550" s="31" t="str">
        <f aca="false">IF(F550="","",IFERROR(INDEX(請求台帳!$C$5:$C$504,MATCH(F550,請求台帳!$A$5:$A$504,0)),""))</f>
        <v/>
      </c>
      <c r="H550" s="31" t="str">
        <f aca="false">IF(F550="","",IFERROR(INDEX(請求台帳!$D$5:$D$504,MATCH(F550,請求台帳!$A$5:$A$504,0)),""))</f>
        <v/>
      </c>
      <c r="I550" s="27" t="str">
        <f aca="false">IF(F550="","",IFERROR(INDEX(請求台帳!$F$5:$F$504,MATCH(F550,請求台帳!$A$5:$A$504,0)),""))</f>
        <v/>
      </c>
      <c r="J550" s="28" t="str">
        <f aca="false">IF(COUNTA(B550,D550,E550,F550)=0,"",IF(OR(B550="",E550=""),"要入力",IF(N(B550)&gt;設定!$C$5,"日付誤り",IF(F550="","未消込",IF(ISNA(MATCH(F550,請求台帳!$A$5:$A$504,0)),"番号誤り",IF(INDEX(請求台帳!$Q$5:$Q$504,MATCH(F550,請求台帳!$A$5:$A$504,0))="取消","取消請求へ消込","消込済"))))))</f>
        <v/>
      </c>
      <c r="K550" s="26"/>
      <c r="L550" s="26"/>
    </row>
    <row r="551" customFormat="false" ht="15" hidden="false" customHeight="false" outlineLevel="0" collapsed="false">
      <c r="A551" s="31" t="str">
        <f aca="false">IF(COUNTA(B551,D551,E551,F551)=0,"",ROW()-4)</f>
        <v/>
      </c>
      <c r="B551" s="22"/>
      <c r="C551" s="26"/>
      <c r="D551" s="26"/>
      <c r="E551" s="18"/>
      <c r="F551" s="26"/>
      <c r="G551" s="31" t="str">
        <f aca="false">IF(F551="","",IFERROR(INDEX(請求台帳!$C$5:$C$504,MATCH(F551,請求台帳!$A$5:$A$504,0)),""))</f>
        <v/>
      </c>
      <c r="H551" s="31" t="str">
        <f aca="false">IF(F551="","",IFERROR(INDEX(請求台帳!$D$5:$D$504,MATCH(F551,請求台帳!$A$5:$A$504,0)),""))</f>
        <v/>
      </c>
      <c r="I551" s="27" t="str">
        <f aca="false">IF(F551="","",IFERROR(INDEX(請求台帳!$F$5:$F$504,MATCH(F551,請求台帳!$A$5:$A$504,0)),""))</f>
        <v/>
      </c>
      <c r="J551" s="28" t="str">
        <f aca="false">IF(COUNTA(B551,D551,E551,F551)=0,"",IF(OR(B551="",E551=""),"要入力",IF(N(B551)&gt;設定!$C$5,"日付誤り",IF(F551="","未消込",IF(ISNA(MATCH(F551,請求台帳!$A$5:$A$504,0)),"番号誤り",IF(INDEX(請求台帳!$Q$5:$Q$504,MATCH(F551,請求台帳!$A$5:$A$504,0))="取消","取消請求へ消込","消込済"))))))</f>
        <v/>
      </c>
      <c r="K551" s="26"/>
      <c r="L551" s="26"/>
    </row>
    <row r="552" customFormat="false" ht="15" hidden="false" customHeight="false" outlineLevel="0" collapsed="false">
      <c r="A552" s="31" t="str">
        <f aca="false">IF(COUNTA(B552,D552,E552,F552)=0,"",ROW()-4)</f>
        <v/>
      </c>
      <c r="B552" s="22"/>
      <c r="C552" s="26"/>
      <c r="D552" s="26"/>
      <c r="E552" s="18"/>
      <c r="F552" s="26"/>
      <c r="G552" s="31" t="str">
        <f aca="false">IF(F552="","",IFERROR(INDEX(請求台帳!$C$5:$C$504,MATCH(F552,請求台帳!$A$5:$A$504,0)),""))</f>
        <v/>
      </c>
      <c r="H552" s="31" t="str">
        <f aca="false">IF(F552="","",IFERROR(INDEX(請求台帳!$D$5:$D$504,MATCH(F552,請求台帳!$A$5:$A$504,0)),""))</f>
        <v/>
      </c>
      <c r="I552" s="27" t="str">
        <f aca="false">IF(F552="","",IFERROR(INDEX(請求台帳!$F$5:$F$504,MATCH(F552,請求台帳!$A$5:$A$504,0)),""))</f>
        <v/>
      </c>
      <c r="J552" s="28" t="str">
        <f aca="false">IF(COUNTA(B552,D552,E552,F552)=0,"",IF(OR(B552="",E552=""),"要入力",IF(N(B552)&gt;設定!$C$5,"日付誤り",IF(F552="","未消込",IF(ISNA(MATCH(F552,請求台帳!$A$5:$A$504,0)),"番号誤り",IF(INDEX(請求台帳!$Q$5:$Q$504,MATCH(F552,請求台帳!$A$5:$A$504,0))="取消","取消請求へ消込","消込済"))))))</f>
        <v/>
      </c>
      <c r="K552" s="26"/>
      <c r="L552" s="26"/>
    </row>
    <row r="553" customFormat="false" ht="15" hidden="false" customHeight="false" outlineLevel="0" collapsed="false">
      <c r="A553" s="31" t="str">
        <f aca="false">IF(COUNTA(B553,D553,E553,F553)=0,"",ROW()-4)</f>
        <v/>
      </c>
      <c r="B553" s="22"/>
      <c r="C553" s="26"/>
      <c r="D553" s="26"/>
      <c r="E553" s="18"/>
      <c r="F553" s="26"/>
      <c r="G553" s="31" t="str">
        <f aca="false">IF(F553="","",IFERROR(INDEX(請求台帳!$C$5:$C$504,MATCH(F553,請求台帳!$A$5:$A$504,0)),""))</f>
        <v/>
      </c>
      <c r="H553" s="31" t="str">
        <f aca="false">IF(F553="","",IFERROR(INDEX(請求台帳!$D$5:$D$504,MATCH(F553,請求台帳!$A$5:$A$504,0)),""))</f>
        <v/>
      </c>
      <c r="I553" s="27" t="str">
        <f aca="false">IF(F553="","",IFERROR(INDEX(請求台帳!$F$5:$F$504,MATCH(F553,請求台帳!$A$5:$A$504,0)),""))</f>
        <v/>
      </c>
      <c r="J553" s="28" t="str">
        <f aca="false">IF(COUNTA(B553,D553,E553,F553)=0,"",IF(OR(B553="",E553=""),"要入力",IF(N(B553)&gt;設定!$C$5,"日付誤り",IF(F553="","未消込",IF(ISNA(MATCH(F553,請求台帳!$A$5:$A$504,0)),"番号誤り",IF(INDEX(請求台帳!$Q$5:$Q$504,MATCH(F553,請求台帳!$A$5:$A$504,0))="取消","取消請求へ消込","消込済"))))))</f>
        <v/>
      </c>
      <c r="K553" s="26"/>
      <c r="L553" s="26"/>
    </row>
    <row r="554" customFormat="false" ht="15" hidden="false" customHeight="false" outlineLevel="0" collapsed="false">
      <c r="A554" s="31" t="str">
        <f aca="false">IF(COUNTA(B554,D554,E554,F554)=0,"",ROW()-4)</f>
        <v/>
      </c>
      <c r="B554" s="22"/>
      <c r="C554" s="26"/>
      <c r="D554" s="26"/>
      <c r="E554" s="18"/>
      <c r="F554" s="26"/>
      <c r="G554" s="31" t="str">
        <f aca="false">IF(F554="","",IFERROR(INDEX(請求台帳!$C$5:$C$504,MATCH(F554,請求台帳!$A$5:$A$504,0)),""))</f>
        <v/>
      </c>
      <c r="H554" s="31" t="str">
        <f aca="false">IF(F554="","",IFERROR(INDEX(請求台帳!$D$5:$D$504,MATCH(F554,請求台帳!$A$5:$A$504,0)),""))</f>
        <v/>
      </c>
      <c r="I554" s="27" t="str">
        <f aca="false">IF(F554="","",IFERROR(INDEX(請求台帳!$F$5:$F$504,MATCH(F554,請求台帳!$A$5:$A$504,0)),""))</f>
        <v/>
      </c>
      <c r="J554" s="28" t="str">
        <f aca="false">IF(COUNTA(B554,D554,E554,F554)=0,"",IF(OR(B554="",E554=""),"要入力",IF(N(B554)&gt;設定!$C$5,"日付誤り",IF(F554="","未消込",IF(ISNA(MATCH(F554,請求台帳!$A$5:$A$504,0)),"番号誤り",IF(INDEX(請求台帳!$Q$5:$Q$504,MATCH(F554,請求台帳!$A$5:$A$504,0))="取消","取消請求へ消込","消込済"))))))</f>
        <v/>
      </c>
      <c r="K554" s="26"/>
      <c r="L554" s="26"/>
    </row>
    <row r="555" customFormat="false" ht="15" hidden="false" customHeight="false" outlineLevel="0" collapsed="false">
      <c r="A555" s="31" t="str">
        <f aca="false">IF(COUNTA(B555,D555,E555,F555)=0,"",ROW()-4)</f>
        <v/>
      </c>
      <c r="B555" s="22"/>
      <c r="C555" s="26"/>
      <c r="D555" s="26"/>
      <c r="E555" s="18"/>
      <c r="F555" s="26"/>
      <c r="G555" s="31" t="str">
        <f aca="false">IF(F555="","",IFERROR(INDEX(請求台帳!$C$5:$C$504,MATCH(F555,請求台帳!$A$5:$A$504,0)),""))</f>
        <v/>
      </c>
      <c r="H555" s="31" t="str">
        <f aca="false">IF(F555="","",IFERROR(INDEX(請求台帳!$D$5:$D$504,MATCH(F555,請求台帳!$A$5:$A$504,0)),""))</f>
        <v/>
      </c>
      <c r="I555" s="27" t="str">
        <f aca="false">IF(F555="","",IFERROR(INDEX(請求台帳!$F$5:$F$504,MATCH(F555,請求台帳!$A$5:$A$504,0)),""))</f>
        <v/>
      </c>
      <c r="J555" s="28" t="str">
        <f aca="false">IF(COUNTA(B555,D555,E555,F555)=0,"",IF(OR(B555="",E555=""),"要入力",IF(N(B555)&gt;設定!$C$5,"日付誤り",IF(F555="","未消込",IF(ISNA(MATCH(F555,請求台帳!$A$5:$A$504,0)),"番号誤り",IF(INDEX(請求台帳!$Q$5:$Q$504,MATCH(F555,請求台帳!$A$5:$A$504,0))="取消","取消請求へ消込","消込済"))))))</f>
        <v/>
      </c>
      <c r="K555" s="26"/>
      <c r="L555" s="26"/>
    </row>
    <row r="556" customFormat="false" ht="15" hidden="false" customHeight="false" outlineLevel="0" collapsed="false">
      <c r="A556" s="31" t="str">
        <f aca="false">IF(COUNTA(B556,D556,E556,F556)=0,"",ROW()-4)</f>
        <v/>
      </c>
      <c r="B556" s="22"/>
      <c r="C556" s="26"/>
      <c r="D556" s="26"/>
      <c r="E556" s="18"/>
      <c r="F556" s="26"/>
      <c r="G556" s="31" t="str">
        <f aca="false">IF(F556="","",IFERROR(INDEX(請求台帳!$C$5:$C$504,MATCH(F556,請求台帳!$A$5:$A$504,0)),""))</f>
        <v/>
      </c>
      <c r="H556" s="31" t="str">
        <f aca="false">IF(F556="","",IFERROR(INDEX(請求台帳!$D$5:$D$504,MATCH(F556,請求台帳!$A$5:$A$504,0)),""))</f>
        <v/>
      </c>
      <c r="I556" s="27" t="str">
        <f aca="false">IF(F556="","",IFERROR(INDEX(請求台帳!$F$5:$F$504,MATCH(F556,請求台帳!$A$5:$A$504,0)),""))</f>
        <v/>
      </c>
      <c r="J556" s="28" t="str">
        <f aca="false">IF(COUNTA(B556,D556,E556,F556)=0,"",IF(OR(B556="",E556=""),"要入力",IF(N(B556)&gt;設定!$C$5,"日付誤り",IF(F556="","未消込",IF(ISNA(MATCH(F556,請求台帳!$A$5:$A$504,0)),"番号誤り",IF(INDEX(請求台帳!$Q$5:$Q$504,MATCH(F556,請求台帳!$A$5:$A$504,0))="取消","取消請求へ消込","消込済"))))))</f>
        <v/>
      </c>
      <c r="K556" s="26"/>
      <c r="L556" s="26"/>
    </row>
    <row r="557" customFormat="false" ht="15" hidden="false" customHeight="false" outlineLevel="0" collapsed="false">
      <c r="A557" s="31" t="str">
        <f aca="false">IF(COUNTA(B557,D557,E557,F557)=0,"",ROW()-4)</f>
        <v/>
      </c>
      <c r="B557" s="22"/>
      <c r="C557" s="26"/>
      <c r="D557" s="26"/>
      <c r="E557" s="18"/>
      <c r="F557" s="26"/>
      <c r="G557" s="31" t="str">
        <f aca="false">IF(F557="","",IFERROR(INDEX(請求台帳!$C$5:$C$504,MATCH(F557,請求台帳!$A$5:$A$504,0)),""))</f>
        <v/>
      </c>
      <c r="H557" s="31" t="str">
        <f aca="false">IF(F557="","",IFERROR(INDEX(請求台帳!$D$5:$D$504,MATCH(F557,請求台帳!$A$5:$A$504,0)),""))</f>
        <v/>
      </c>
      <c r="I557" s="27" t="str">
        <f aca="false">IF(F557="","",IFERROR(INDEX(請求台帳!$F$5:$F$504,MATCH(F557,請求台帳!$A$5:$A$504,0)),""))</f>
        <v/>
      </c>
      <c r="J557" s="28" t="str">
        <f aca="false">IF(COUNTA(B557,D557,E557,F557)=0,"",IF(OR(B557="",E557=""),"要入力",IF(N(B557)&gt;設定!$C$5,"日付誤り",IF(F557="","未消込",IF(ISNA(MATCH(F557,請求台帳!$A$5:$A$504,0)),"番号誤り",IF(INDEX(請求台帳!$Q$5:$Q$504,MATCH(F557,請求台帳!$A$5:$A$504,0))="取消","取消請求へ消込","消込済"))))))</f>
        <v/>
      </c>
      <c r="K557" s="26"/>
      <c r="L557" s="26"/>
    </row>
    <row r="558" customFormat="false" ht="15" hidden="false" customHeight="false" outlineLevel="0" collapsed="false">
      <c r="A558" s="31" t="str">
        <f aca="false">IF(COUNTA(B558,D558,E558,F558)=0,"",ROW()-4)</f>
        <v/>
      </c>
      <c r="B558" s="22"/>
      <c r="C558" s="26"/>
      <c r="D558" s="26"/>
      <c r="E558" s="18"/>
      <c r="F558" s="26"/>
      <c r="G558" s="31" t="str">
        <f aca="false">IF(F558="","",IFERROR(INDEX(請求台帳!$C$5:$C$504,MATCH(F558,請求台帳!$A$5:$A$504,0)),""))</f>
        <v/>
      </c>
      <c r="H558" s="31" t="str">
        <f aca="false">IF(F558="","",IFERROR(INDEX(請求台帳!$D$5:$D$504,MATCH(F558,請求台帳!$A$5:$A$504,0)),""))</f>
        <v/>
      </c>
      <c r="I558" s="27" t="str">
        <f aca="false">IF(F558="","",IFERROR(INDEX(請求台帳!$F$5:$F$504,MATCH(F558,請求台帳!$A$5:$A$504,0)),""))</f>
        <v/>
      </c>
      <c r="J558" s="28" t="str">
        <f aca="false">IF(COUNTA(B558,D558,E558,F558)=0,"",IF(OR(B558="",E558=""),"要入力",IF(N(B558)&gt;設定!$C$5,"日付誤り",IF(F558="","未消込",IF(ISNA(MATCH(F558,請求台帳!$A$5:$A$504,0)),"番号誤り",IF(INDEX(請求台帳!$Q$5:$Q$504,MATCH(F558,請求台帳!$A$5:$A$504,0))="取消","取消請求へ消込","消込済"))))))</f>
        <v/>
      </c>
      <c r="K558" s="26"/>
      <c r="L558" s="26"/>
    </row>
    <row r="559" customFormat="false" ht="15" hidden="false" customHeight="false" outlineLevel="0" collapsed="false">
      <c r="A559" s="31" t="str">
        <f aca="false">IF(COUNTA(B559,D559,E559,F559)=0,"",ROW()-4)</f>
        <v/>
      </c>
      <c r="B559" s="22"/>
      <c r="C559" s="26"/>
      <c r="D559" s="26"/>
      <c r="E559" s="18"/>
      <c r="F559" s="26"/>
      <c r="G559" s="31" t="str">
        <f aca="false">IF(F559="","",IFERROR(INDEX(請求台帳!$C$5:$C$504,MATCH(F559,請求台帳!$A$5:$A$504,0)),""))</f>
        <v/>
      </c>
      <c r="H559" s="31" t="str">
        <f aca="false">IF(F559="","",IFERROR(INDEX(請求台帳!$D$5:$D$504,MATCH(F559,請求台帳!$A$5:$A$504,0)),""))</f>
        <v/>
      </c>
      <c r="I559" s="27" t="str">
        <f aca="false">IF(F559="","",IFERROR(INDEX(請求台帳!$F$5:$F$504,MATCH(F559,請求台帳!$A$5:$A$504,0)),""))</f>
        <v/>
      </c>
      <c r="J559" s="28" t="str">
        <f aca="false">IF(COUNTA(B559,D559,E559,F559)=0,"",IF(OR(B559="",E559=""),"要入力",IF(N(B559)&gt;設定!$C$5,"日付誤り",IF(F559="","未消込",IF(ISNA(MATCH(F559,請求台帳!$A$5:$A$504,0)),"番号誤り",IF(INDEX(請求台帳!$Q$5:$Q$504,MATCH(F559,請求台帳!$A$5:$A$504,0))="取消","取消請求へ消込","消込済"))))))</f>
        <v/>
      </c>
      <c r="K559" s="26"/>
      <c r="L559" s="26"/>
    </row>
    <row r="560" customFormat="false" ht="15" hidden="false" customHeight="false" outlineLevel="0" collapsed="false">
      <c r="A560" s="31" t="str">
        <f aca="false">IF(COUNTA(B560,D560,E560,F560)=0,"",ROW()-4)</f>
        <v/>
      </c>
      <c r="B560" s="22"/>
      <c r="C560" s="26"/>
      <c r="D560" s="26"/>
      <c r="E560" s="18"/>
      <c r="F560" s="26"/>
      <c r="G560" s="31" t="str">
        <f aca="false">IF(F560="","",IFERROR(INDEX(請求台帳!$C$5:$C$504,MATCH(F560,請求台帳!$A$5:$A$504,0)),""))</f>
        <v/>
      </c>
      <c r="H560" s="31" t="str">
        <f aca="false">IF(F560="","",IFERROR(INDEX(請求台帳!$D$5:$D$504,MATCH(F560,請求台帳!$A$5:$A$504,0)),""))</f>
        <v/>
      </c>
      <c r="I560" s="27" t="str">
        <f aca="false">IF(F560="","",IFERROR(INDEX(請求台帳!$F$5:$F$504,MATCH(F560,請求台帳!$A$5:$A$504,0)),""))</f>
        <v/>
      </c>
      <c r="J560" s="28" t="str">
        <f aca="false">IF(COUNTA(B560,D560,E560,F560)=0,"",IF(OR(B560="",E560=""),"要入力",IF(N(B560)&gt;設定!$C$5,"日付誤り",IF(F560="","未消込",IF(ISNA(MATCH(F560,請求台帳!$A$5:$A$504,0)),"番号誤り",IF(INDEX(請求台帳!$Q$5:$Q$504,MATCH(F560,請求台帳!$A$5:$A$504,0))="取消","取消請求へ消込","消込済"))))))</f>
        <v/>
      </c>
      <c r="K560" s="26"/>
      <c r="L560" s="26"/>
    </row>
    <row r="561" customFormat="false" ht="15" hidden="false" customHeight="false" outlineLevel="0" collapsed="false">
      <c r="A561" s="31" t="str">
        <f aca="false">IF(COUNTA(B561,D561,E561,F561)=0,"",ROW()-4)</f>
        <v/>
      </c>
      <c r="B561" s="22"/>
      <c r="C561" s="26"/>
      <c r="D561" s="26"/>
      <c r="E561" s="18"/>
      <c r="F561" s="26"/>
      <c r="G561" s="31" t="str">
        <f aca="false">IF(F561="","",IFERROR(INDEX(請求台帳!$C$5:$C$504,MATCH(F561,請求台帳!$A$5:$A$504,0)),""))</f>
        <v/>
      </c>
      <c r="H561" s="31" t="str">
        <f aca="false">IF(F561="","",IFERROR(INDEX(請求台帳!$D$5:$D$504,MATCH(F561,請求台帳!$A$5:$A$504,0)),""))</f>
        <v/>
      </c>
      <c r="I561" s="27" t="str">
        <f aca="false">IF(F561="","",IFERROR(INDEX(請求台帳!$F$5:$F$504,MATCH(F561,請求台帳!$A$5:$A$504,0)),""))</f>
        <v/>
      </c>
      <c r="J561" s="28" t="str">
        <f aca="false">IF(COUNTA(B561,D561,E561,F561)=0,"",IF(OR(B561="",E561=""),"要入力",IF(N(B561)&gt;設定!$C$5,"日付誤り",IF(F561="","未消込",IF(ISNA(MATCH(F561,請求台帳!$A$5:$A$504,0)),"番号誤り",IF(INDEX(請求台帳!$Q$5:$Q$504,MATCH(F561,請求台帳!$A$5:$A$504,0))="取消","取消請求へ消込","消込済"))))))</f>
        <v/>
      </c>
      <c r="K561" s="26"/>
      <c r="L561" s="26"/>
    </row>
    <row r="562" customFormat="false" ht="15" hidden="false" customHeight="false" outlineLevel="0" collapsed="false">
      <c r="A562" s="31" t="str">
        <f aca="false">IF(COUNTA(B562,D562,E562,F562)=0,"",ROW()-4)</f>
        <v/>
      </c>
      <c r="B562" s="22"/>
      <c r="C562" s="26"/>
      <c r="D562" s="26"/>
      <c r="E562" s="18"/>
      <c r="F562" s="26"/>
      <c r="G562" s="31" t="str">
        <f aca="false">IF(F562="","",IFERROR(INDEX(請求台帳!$C$5:$C$504,MATCH(F562,請求台帳!$A$5:$A$504,0)),""))</f>
        <v/>
      </c>
      <c r="H562" s="31" t="str">
        <f aca="false">IF(F562="","",IFERROR(INDEX(請求台帳!$D$5:$D$504,MATCH(F562,請求台帳!$A$5:$A$504,0)),""))</f>
        <v/>
      </c>
      <c r="I562" s="27" t="str">
        <f aca="false">IF(F562="","",IFERROR(INDEX(請求台帳!$F$5:$F$504,MATCH(F562,請求台帳!$A$5:$A$504,0)),""))</f>
        <v/>
      </c>
      <c r="J562" s="28" t="str">
        <f aca="false">IF(COUNTA(B562,D562,E562,F562)=0,"",IF(OR(B562="",E562=""),"要入力",IF(N(B562)&gt;設定!$C$5,"日付誤り",IF(F562="","未消込",IF(ISNA(MATCH(F562,請求台帳!$A$5:$A$504,0)),"番号誤り",IF(INDEX(請求台帳!$Q$5:$Q$504,MATCH(F562,請求台帳!$A$5:$A$504,0))="取消","取消請求へ消込","消込済"))))))</f>
        <v/>
      </c>
      <c r="K562" s="26"/>
      <c r="L562" s="26"/>
    </row>
    <row r="563" customFormat="false" ht="15" hidden="false" customHeight="false" outlineLevel="0" collapsed="false">
      <c r="A563" s="31" t="str">
        <f aca="false">IF(COUNTA(B563,D563,E563,F563)=0,"",ROW()-4)</f>
        <v/>
      </c>
      <c r="B563" s="22"/>
      <c r="C563" s="26"/>
      <c r="D563" s="26"/>
      <c r="E563" s="18"/>
      <c r="F563" s="26"/>
      <c r="G563" s="31" t="str">
        <f aca="false">IF(F563="","",IFERROR(INDEX(請求台帳!$C$5:$C$504,MATCH(F563,請求台帳!$A$5:$A$504,0)),""))</f>
        <v/>
      </c>
      <c r="H563" s="31" t="str">
        <f aca="false">IF(F563="","",IFERROR(INDEX(請求台帳!$D$5:$D$504,MATCH(F563,請求台帳!$A$5:$A$504,0)),""))</f>
        <v/>
      </c>
      <c r="I563" s="27" t="str">
        <f aca="false">IF(F563="","",IFERROR(INDEX(請求台帳!$F$5:$F$504,MATCH(F563,請求台帳!$A$5:$A$504,0)),""))</f>
        <v/>
      </c>
      <c r="J563" s="28" t="str">
        <f aca="false">IF(COUNTA(B563,D563,E563,F563)=0,"",IF(OR(B563="",E563=""),"要入力",IF(N(B563)&gt;設定!$C$5,"日付誤り",IF(F563="","未消込",IF(ISNA(MATCH(F563,請求台帳!$A$5:$A$504,0)),"番号誤り",IF(INDEX(請求台帳!$Q$5:$Q$504,MATCH(F563,請求台帳!$A$5:$A$504,0))="取消","取消請求へ消込","消込済"))))))</f>
        <v/>
      </c>
      <c r="K563" s="26"/>
      <c r="L563" s="26"/>
    </row>
    <row r="564" customFormat="false" ht="15" hidden="false" customHeight="false" outlineLevel="0" collapsed="false">
      <c r="A564" s="31" t="str">
        <f aca="false">IF(COUNTA(B564,D564,E564,F564)=0,"",ROW()-4)</f>
        <v/>
      </c>
      <c r="B564" s="22"/>
      <c r="C564" s="26"/>
      <c r="D564" s="26"/>
      <c r="E564" s="18"/>
      <c r="F564" s="26"/>
      <c r="G564" s="31" t="str">
        <f aca="false">IF(F564="","",IFERROR(INDEX(請求台帳!$C$5:$C$504,MATCH(F564,請求台帳!$A$5:$A$504,0)),""))</f>
        <v/>
      </c>
      <c r="H564" s="31" t="str">
        <f aca="false">IF(F564="","",IFERROR(INDEX(請求台帳!$D$5:$D$504,MATCH(F564,請求台帳!$A$5:$A$504,0)),""))</f>
        <v/>
      </c>
      <c r="I564" s="27" t="str">
        <f aca="false">IF(F564="","",IFERROR(INDEX(請求台帳!$F$5:$F$504,MATCH(F564,請求台帳!$A$5:$A$504,0)),""))</f>
        <v/>
      </c>
      <c r="J564" s="28" t="str">
        <f aca="false">IF(COUNTA(B564,D564,E564,F564)=0,"",IF(OR(B564="",E564=""),"要入力",IF(N(B564)&gt;設定!$C$5,"日付誤り",IF(F564="","未消込",IF(ISNA(MATCH(F564,請求台帳!$A$5:$A$504,0)),"番号誤り",IF(INDEX(請求台帳!$Q$5:$Q$504,MATCH(F564,請求台帳!$A$5:$A$504,0))="取消","取消請求へ消込","消込済"))))))</f>
        <v/>
      </c>
      <c r="K564" s="26"/>
      <c r="L564" s="26"/>
    </row>
    <row r="565" customFormat="false" ht="15" hidden="false" customHeight="false" outlineLevel="0" collapsed="false">
      <c r="A565" s="31" t="str">
        <f aca="false">IF(COUNTA(B565,D565,E565,F565)=0,"",ROW()-4)</f>
        <v/>
      </c>
      <c r="B565" s="22"/>
      <c r="C565" s="26"/>
      <c r="D565" s="26"/>
      <c r="E565" s="18"/>
      <c r="F565" s="26"/>
      <c r="G565" s="31" t="str">
        <f aca="false">IF(F565="","",IFERROR(INDEX(請求台帳!$C$5:$C$504,MATCH(F565,請求台帳!$A$5:$A$504,0)),""))</f>
        <v/>
      </c>
      <c r="H565" s="31" t="str">
        <f aca="false">IF(F565="","",IFERROR(INDEX(請求台帳!$D$5:$D$504,MATCH(F565,請求台帳!$A$5:$A$504,0)),""))</f>
        <v/>
      </c>
      <c r="I565" s="27" t="str">
        <f aca="false">IF(F565="","",IFERROR(INDEX(請求台帳!$F$5:$F$504,MATCH(F565,請求台帳!$A$5:$A$504,0)),""))</f>
        <v/>
      </c>
      <c r="J565" s="28" t="str">
        <f aca="false">IF(COUNTA(B565,D565,E565,F565)=0,"",IF(OR(B565="",E565=""),"要入力",IF(N(B565)&gt;設定!$C$5,"日付誤り",IF(F565="","未消込",IF(ISNA(MATCH(F565,請求台帳!$A$5:$A$504,0)),"番号誤り",IF(INDEX(請求台帳!$Q$5:$Q$504,MATCH(F565,請求台帳!$A$5:$A$504,0))="取消","取消請求へ消込","消込済"))))))</f>
        <v/>
      </c>
      <c r="K565" s="26"/>
      <c r="L565" s="26"/>
    </row>
    <row r="566" customFormat="false" ht="15" hidden="false" customHeight="false" outlineLevel="0" collapsed="false">
      <c r="A566" s="31" t="str">
        <f aca="false">IF(COUNTA(B566,D566,E566,F566)=0,"",ROW()-4)</f>
        <v/>
      </c>
      <c r="B566" s="22"/>
      <c r="C566" s="26"/>
      <c r="D566" s="26"/>
      <c r="E566" s="18"/>
      <c r="F566" s="26"/>
      <c r="G566" s="31" t="str">
        <f aca="false">IF(F566="","",IFERROR(INDEX(請求台帳!$C$5:$C$504,MATCH(F566,請求台帳!$A$5:$A$504,0)),""))</f>
        <v/>
      </c>
      <c r="H566" s="31" t="str">
        <f aca="false">IF(F566="","",IFERROR(INDEX(請求台帳!$D$5:$D$504,MATCH(F566,請求台帳!$A$5:$A$504,0)),""))</f>
        <v/>
      </c>
      <c r="I566" s="27" t="str">
        <f aca="false">IF(F566="","",IFERROR(INDEX(請求台帳!$F$5:$F$504,MATCH(F566,請求台帳!$A$5:$A$504,0)),""))</f>
        <v/>
      </c>
      <c r="J566" s="28" t="str">
        <f aca="false">IF(COUNTA(B566,D566,E566,F566)=0,"",IF(OR(B566="",E566=""),"要入力",IF(N(B566)&gt;設定!$C$5,"日付誤り",IF(F566="","未消込",IF(ISNA(MATCH(F566,請求台帳!$A$5:$A$504,0)),"番号誤り",IF(INDEX(請求台帳!$Q$5:$Q$504,MATCH(F566,請求台帳!$A$5:$A$504,0))="取消","取消請求へ消込","消込済"))))))</f>
        <v/>
      </c>
      <c r="K566" s="26"/>
      <c r="L566" s="26"/>
    </row>
    <row r="567" customFormat="false" ht="15" hidden="false" customHeight="false" outlineLevel="0" collapsed="false">
      <c r="A567" s="31" t="str">
        <f aca="false">IF(COUNTA(B567,D567,E567,F567)=0,"",ROW()-4)</f>
        <v/>
      </c>
      <c r="B567" s="22"/>
      <c r="C567" s="26"/>
      <c r="D567" s="26"/>
      <c r="E567" s="18"/>
      <c r="F567" s="26"/>
      <c r="G567" s="31" t="str">
        <f aca="false">IF(F567="","",IFERROR(INDEX(請求台帳!$C$5:$C$504,MATCH(F567,請求台帳!$A$5:$A$504,0)),""))</f>
        <v/>
      </c>
      <c r="H567" s="31" t="str">
        <f aca="false">IF(F567="","",IFERROR(INDEX(請求台帳!$D$5:$D$504,MATCH(F567,請求台帳!$A$5:$A$504,0)),""))</f>
        <v/>
      </c>
      <c r="I567" s="27" t="str">
        <f aca="false">IF(F567="","",IFERROR(INDEX(請求台帳!$F$5:$F$504,MATCH(F567,請求台帳!$A$5:$A$504,0)),""))</f>
        <v/>
      </c>
      <c r="J567" s="28" t="str">
        <f aca="false">IF(COUNTA(B567,D567,E567,F567)=0,"",IF(OR(B567="",E567=""),"要入力",IF(N(B567)&gt;設定!$C$5,"日付誤り",IF(F567="","未消込",IF(ISNA(MATCH(F567,請求台帳!$A$5:$A$504,0)),"番号誤り",IF(INDEX(請求台帳!$Q$5:$Q$504,MATCH(F567,請求台帳!$A$5:$A$504,0))="取消","取消請求へ消込","消込済"))))))</f>
        <v/>
      </c>
      <c r="K567" s="26"/>
      <c r="L567" s="26"/>
    </row>
    <row r="568" customFormat="false" ht="15" hidden="false" customHeight="false" outlineLevel="0" collapsed="false">
      <c r="A568" s="31" t="str">
        <f aca="false">IF(COUNTA(B568,D568,E568,F568)=0,"",ROW()-4)</f>
        <v/>
      </c>
      <c r="B568" s="22"/>
      <c r="C568" s="26"/>
      <c r="D568" s="26"/>
      <c r="E568" s="18"/>
      <c r="F568" s="26"/>
      <c r="G568" s="31" t="str">
        <f aca="false">IF(F568="","",IFERROR(INDEX(請求台帳!$C$5:$C$504,MATCH(F568,請求台帳!$A$5:$A$504,0)),""))</f>
        <v/>
      </c>
      <c r="H568" s="31" t="str">
        <f aca="false">IF(F568="","",IFERROR(INDEX(請求台帳!$D$5:$D$504,MATCH(F568,請求台帳!$A$5:$A$504,0)),""))</f>
        <v/>
      </c>
      <c r="I568" s="27" t="str">
        <f aca="false">IF(F568="","",IFERROR(INDEX(請求台帳!$F$5:$F$504,MATCH(F568,請求台帳!$A$5:$A$504,0)),""))</f>
        <v/>
      </c>
      <c r="J568" s="28" t="str">
        <f aca="false">IF(COUNTA(B568,D568,E568,F568)=0,"",IF(OR(B568="",E568=""),"要入力",IF(N(B568)&gt;設定!$C$5,"日付誤り",IF(F568="","未消込",IF(ISNA(MATCH(F568,請求台帳!$A$5:$A$504,0)),"番号誤り",IF(INDEX(請求台帳!$Q$5:$Q$504,MATCH(F568,請求台帳!$A$5:$A$504,0))="取消","取消請求へ消込","消込済"))))))</f>
        <v/>
      </c>
      <c r="K568" s="26"/>
      <c r="L568" s="26"/>
    </row>
    <row r="569" customFormat="false" ht="15" hidden="false" customHeight="false" outlineLevel="0" collapsed="false">
      <c r="A569" s="31" t="str">
        <f aca="false">IF(COUNTA(B569,D569,E569,F569)=0,"",ROW()-4)</f>
        <v/>
      </c>
      <c r="B569" s="22"/>
      <c r="C569" s="26"/>
      <c r="D569" s="26"/>
      <c r="E569" s="18"/>
      <c r="F569" s="26"/>
      <c r="G569" s="31" t="str">
        <f aca="false">IF(F569="","",IFERROR(INDEX(請求台帳!$C$5:$C$504,MATCH(F569,請求台帳!$A$5:$A$504,0)),""))</f>
        <v/>
      </c>
      <c r="H569" s="31" t="str">
        <f aca="false">IF(F569="","",IFERROR(INDEX(請求台帳!$D$5:$D$504,MATCH(F569,請求台帳!$A$5:$A$504,0)),""))</f>
        <v/>
      </c>
      <c r="I569" s="27" t="str">
        <f aca="false">IF(F569="","",IFERROR(INDEX(請求台帳!$F$5:$F$504,MATCH(F569,請求台帳!$A$5:$A$504,0)),""))</f>
        <v/>
      </c>
      <c r="J569" s="28" t="str">
        <f aca="false">IF(COUNTA(B569,D569,E569,F569)=0,"",IF(OR(B569="",E569=""),"要入力",IF(N(B569)&gt;設定!$C$5,"日付誤り",IF(F569="","未消込",IF(ISNA(MATCH(F569,請求台帳!$A$5:$A$504,0)),"番号誤り",IF(INDEX(請求台帳!$Q$5:$Q$504,MATCH(F569,請求台帳!$A$5:$A$504,0))="取消","取消請求へ消込","消込済"))))))</f>
        <v/>
      </c>
      <c r="K569" s="26"/>
      <c r="L569" s="26"/>
    </row>
    <row r="570" customFormat="false" ht="15" hidden="false" customHeight="false" outlineLevel="0" collapsed="false">
      <c r="A570" s="31" t="str">
        <f aca="false">IF(COUNTA(B570,D570,E570,F570)=0,"",ROW()-4)</f>
        <v/>
      </c>
      <c r="B570" s="22"/>
      <c r="C570" s="26"/>
      <c r="D570" s="26"/>
      <c r="E570" s="18"/>
      <c r="F570" s="26"/>
      <c r="G570" s="31" t="str">
        <f aca="false">IF(F570="","",IFERROR(INDEX(請求台帳!$C$5:$C$504,MATCH(F570,請求台帳!$A$5:$A$504,0)),""))</f>
        <v/>
      </c>
      <c r="H570" s="31" t="str">
        <f aca="false">IF(F570="","",IFERROR(INDEX(請求台帳!$D$5:$D$504,MATCH(F570,請求台帳!$A$5:$A$504,0)),""))</f>
        <v/>
      </c>
      <c r="I570" s="27" t="str">
        <f aca="false">IF(F570="","",IFERROR(INDEX(請求台帳!$F$5:$F$504,MATCH(F570,請求台帳!$A$5:$A$504,0)),""))</f>
        <v/>
      </c>
      <c r="J570" s="28" t="str">
        <f aca="false">IF(COUNTA(B570,D570,E570,F570)=0,"",IF(OR(B570="",E570=""),"要入力",IF(N(B570)&gt;設定!$C$5,"日付誤り",IF(F570="","未消込",IF(ISNA(MATCH(F570,請求台帳!$A$5:$A$504,0)),"番号誤り",IF(INDEX(請求台帳!$Q$5:$Q$504,MATCH(F570,請求台帳!$A$5:$A$504,0))="取消","取消請求へ消込","消込済"))))))</f>
        <v/>
      </c>
      <c r="K570" s="26"/>
      <c r="L570" s="26"/>
    </row>
    <row r="571" customFormat="false" ht="15" hidden="false" customHeight="false" outlineLevel="0" collapsed="false">
      <c r="A571" s="31" t="str">
        <f aca="false">IF(COUNTA(B571,D571,E571,F571)=0,"",ROW()-4)</f>
        <v/>
      </c>
      <c r="B571" s="22"/>
      <c r="C571" s="26"/>
      <c r="D571" s="26"/>
      <c r="E571" s="18"/>
      <c r="F571" s="26"/>
      <c r="G571" s="31" t="str">
        <f aca="false">IF(F571="","",IFERROR(INDEX(請求台帳!$C$5:$C$504,MATCH(F571,請求台帳!$A$5:$A$504,0)),""))</f>
        <v/>
      </c>
      <c r="H571" s="31" t="str">
        <f aca="false">IF(F571="","",IFERROR(INDEX(請求台帳!$D$5:$D$504,MATCH(F571,請求台帳!$A$5:$A$504,0)),""))</f>
        <v/>
      </c>
      <c r="I571" s="27" t="str">
        <f aca="false">IF(F571="","",IFERROR(INDEX(請求台帳!$F$5:$F$504,MATCH(F571,請求台帳!$A$5:$A$504,0)),""))</f>
        <v/>
      </c>
      <c r="J571" s="28" t="str">
        <f aca="false">IF(COUNTA(B571,D571,E571,F571)=0,"",IF(OR(B571="",E571=""),"要入力",IF(N(B571)&gt;設定!$C$5,"日付誤り",IF(F571="","未消込",IF(ISNA(MATCH(F571,請求台帳!$A$5:$A$504,0)),"番号誤り",IF(INDEX(請求台帳!$Q$5:$Q$504,MATCH(F571,請求台帳!$A$5:$A$504,0))="取消","取消請求へ消込","消込済"))))))</f>
        <v/>
      </c>
      <c r="K571" s="26"/>
      <c r="L571" s="26"/>
    </row>
    <row r="572" customFormat="false" ht="15" hidden="false" customHeight="false" outlineLevel="0" collapsed="false">
      <c r="A572" s="31" t="str">
        <f aca="false">IF(COUNTA(B572,D572,E572,F572)=0,"",ROW()-4)</f>
        <v/>
      </c>
      <c r="B572" s="22"/>
      <c r="C572" s="26"/>
      <c r="D572" s="26"/>
      <c r="E572" s="18"/>
      <c r="F572" s="26"/>
      <c r="G572" s="31" t="str">
        <f aca="false">IF(F572="","",IFERROR(INDEX(請求台帳!$C$5:$C$504,MATCH(F572,請求台帳!$A$5:$A$504,0)),""))</f>
        <v/>
      </c>
      <c r="H572" s="31" t="str">
        <f aca="false">IF(F572="","",IFERROR(INDEX(請求台帳!$D$5:$D$504,MATCH(F572,請求台帳!$A$5:$A$504,0)),""))</f>
        <v/>
      </c>
      <c r="I572" s="27" t="str">
        <f aca="false">IF(F572="","",IFERROR(INDEX(請求台帳!$F$5:$F$504,MATCH(F572,請求台帳!$A$5:$A$504,0)),""))</f>
        <v/>
      </c>
      <c r="J572" s="28" t="str">
        <f aca="false">IF(COUNTA(B572,D572,E572,F572)=0,"",IF(OR(B572="",E572=""),"要入力",IF(N(B572)&gt;設定!$C$5,"日付誤り",IF(F572="","未消込",IF(ISNA(MATCH(F572,請求台帳!$A$5:$A$504,0)),"番号誤り",IF(INDEX(請求台帳!$Q$5:$Q$504,MATCH(F572,請求台帳!$A$5:$A$504,0))="取消","取消請求へ消込","消込済"))))))</f>
        <v/>
      </c>
      <c r="K572" s="26"/>
      <c r="L572" s="26"/>
    </row>
    <row r="573" customFormat="false" ht="15" hidden="false" customHeight="false" outlineLevel="0" collapsed="false">
      <c r="A573" s="31" t="str">
        <f aca="false">IF(COUNTA(B573,D573,E573,F573)=0,"",ROW()-4)</f>
        <v/>
      </c>
      <c r="B573" s="22"/>
      <c r="C573" s="26"/>
      <c r="D573" s="26"/>
      <c r="E573" s="18"/>
      <c r="F573" s="26"/>
      <c r="G573" s="31" t="str">
        <f aca="false">IF(F573="","",IFERROR(INDEX(請求台帳!$C$5:$C$504,MATCH(F573,請求台帳!$A$5:$A$504,0)),""))</f>
        <v/>
      </c>
      <c r="H573" s="31" t="str">
        <f aca="false">IF(F573="","",IFERROR(INDEX(請求台帳!$D$5:$D$504,MATCH(F573,請求台帳!$A$5:$A$504,0)),""))</f>
        <v/>
      </c>
      <c r="I573" s="27" t="str">
        <f aca="false">IF(F573="","",IFERROR(INDEX(請求台帳!$F$5:$F$504,MATCH(F573,請求台帳!$A$5:$A$504,0)),""))</f>
        <v/>
      </c>
      <c r="J573" s="28" t="str">
        <f aca="false">IF(COUNTA(B573,D573,E573,F573)=0,"",IF(OR(B573="",E573=""),"要入力",IF(N(B573)&gt;設定!$C$5,"日付誤り",IF(F573="","未消込",IF(ISNA(MATCH(F573,請求台帳!$A$5:$A$504,0)),"番号誤り",IF(INDEX(請求台帳!$Q$5:$Q$504,MATCH(F573,請求台帳!$A$5:$A$504,0))="取消","取消請求へ消込","消込済"))))))</f>
        <v/>
      </c>
      <c r="K573" s="26"/>
      <c r="L573" s="26"/>
    </row>
    <row r="574" customFormat="false" ht="15" hidden="false" customHeight="false" outlineLevel="0" collapsed="false">
      <c r="A574" s="31" t="str">
        <f aca="false">IF(COUNTA(B574,D574,E574,F574)=0,"",ROW()-4)</f>
        <v/>
      </c>
      <c r="B574" s="22"/>
      <c r="C574" s="26"/>
      <c r="D574" s="26"/>
      <c r="E574" s="18"/>
      <c r="F574" s="26"/>
      <c r="G574" s="31" t="str">
        <f aca="false">IF(F574="","",IFERROR(INDEX(請求台帳!$C$5:$C$504,MATCH(F574,請求台帳!$A$5:$A$504,0)),""))</f>
        <v/>
      </c>
      <c r="H574" s="31" t="str">
        <f aca="false">IF(F574="","",IFERROR(INDEX(請求台帳!$D$5:$D$504,MATCH(F574,請求台帳!$A$5:$A$504,0)),""))</f>
        <v/>
      </c>
      <c r="I574" s="27" t="str">
        <f aca="false">IF(F574="","",IFERROR(INDEX(請求台帳!$F$5:$F$504,MATCH(F574,請求台帳!$A$5:$A$504,0)),""))</f>
        <v/>
      </c>
      <c r="J574" s="28" t="str">
        <f aca="false">IF(COUNTA(B574,D574,E574,F574)=0,"",IF(OR(B574="",E574=""),"要入力",IF(N(B574)&gt;設定!$C$5,"日付誤り",IF(F574="","未消込",IF(ISNA(MATCH(F574,請求台帳!$A$5:$A$504,0)),"番号誤り",IF(INDEX(請求台帳!$Q$5:$Q$504,MATCH(F574,請求台帳!$A$5:$A$504,0))="取消","取消請求へ消込","消込済"))))))</f>
        <v/>
      </c>
      <c r="K574" s="26"/>
      <c r="L574" s="26"/>
    </row>
    <row r="575" customFormat="false" ht="15" hidden="false" customHeight="false" outlineLevel="0" collapsed="false">
      <c r="A575" s="31" t="str">
        <f aca="false">IF(COUNTA(B575,D575,E575,F575)=0,"",ROW()-4)</f>
        <v/>
      </c>
      <c r="B575" s="22"/>
      <c r="C575" s="26"/>
      <c r="D575" s="26"/>
      <c r="E575" s="18"/>
      <c r="F575" s="26"/>
      <c r="G575" s="31" t="str">
        <f aca="false">IF(F575="","",IFERROR(INDEX(請求台帳!$C$5:$C$504,MATCH(F575,請求台帳!$A$5:$A$504,0)),""))</f>
        <v/>
      </c>
      <c r="H575" s="31" t="str">
        <f aca="false">IF(F575="","",IFERROR(INDEX(請求台帳!$D$5:$D$504,MATCH(F575,請求台帳!$A$5:$A$504,0)),""))</f>
        <v/>
      </c>
      <c r="I575" s="27" t="str">
        <f aca="false">IF(F575="","",IFERROR(INDEX(請求台帳!$F$5:$F$504,MATCH(F575,請求台帳!$A$5:$A$504,0)),""))</f>
        <v/>
      </c>
      <c r="J575" s="28" t="str">
        <f aca="false">IF(COUNTA(B575,D575,E575,F575)=0,"",IF(OR(B575="",E575=""),"要入力",IF(N(B575)&gt;設定!$C$5,"日付誤り",IF(F575="","未消込",IF(ISNA(MATCH(F575,請求台帳!$A$5:$A$504,0)),"番号誤り",IF(INDEX(請求台帳!$Q$5:$Q$504,MATCH(F575,請求台帳!$A$5:$A$504,0))="取消","取消請求へ消込","消込済"))))))</f>
        <v/>
      </c>
      <c r="K575" s="26"/>
      <c r="L575" s="26"/>
    </row>
    <row r="576" customFormat="false" ht="15" hidden="false" customHeight="false" outlineLevel="0" collapsed="false">
      <c r="A576" s="31" t="str">
        <f aca="false">IF(COUNTA(B576,D576,E576,F576)=0,"",ROW()-4)</f>
        <v/>
      </c>
      <c r="B576" s="22"/>
      <c r="C576" s="26"/>
      <c r="D576" s="26"/>
      <c r="E576" s="18"/>
      <c r="F576" s="26"/>
      <c r="G576" s="31" t="str">
        <f aca="false">IF(F576="","",IFERROR(INDEX(請求台帳!$C$5:$C$504,MATCH(F576,請求台帳!$A$5:$A$504,0)),""))</f>
        <v/>
      </c>
      <c r="H576" s="31" t="str">
        <f aca="false">IF(F576="","",IFERROR(INDEX(請求台帳!$D$5:$D$504,MATCH(F576,請求台帳!$A$5:$A$504,0)),""))</f>
        <v/>
      </c>
      <c r="I576" s="27" t="str">
        <f aca="false">IF(F576="","",IFERROR(INDEX(請求台帳!$F$5:$F$504,MATCH(F576,請求台帳!$A$5:$A$504,0)),""))</f>
        <v/>
      </c>
      <c r="J576" s="28" t="str">
        <f aca="false">IF(COUNTA(B576,D576,E576,F576)=0,"",IF(OR(B576="",E576=""),"要入力",IF(N(B576)&gt;設定!$C$5,"日付誤り",IF(F576="","未消込",IF(ISNA(MATCH(F576,請求台帳!$A$5:$A$504,0)),"番号誤り",IF(INDEX(請求台帳!$Q$5:$Q$504,MATCH(F576,請求台帳!$A$5:$A$504,0))="取消","取消請求へ消込","消込済"))))))</f>
        <v/>
      </c>
      <c r="K576" s="26"/>
      <c r="L576" s="26"/>
    </row>
    <row r="577" customFormat="false" ht="15" hidden="false" customHeight="false" outlineLevel="0" collapsed="false">
      <c r="A577" s="31" t="str">
        <f aca="false">IF(COUNTA(B577,D577,E577,F577)=0,"",ROW()-4)</f>
        <v/>
      </c>
      <c r="B577" s="22"/>
      <c r="C577" s="26"/>
      <c r="D577" s="26"/>
      <c r="E577" s="18"/>
      <c r="F577" s="26"/>
      <c r="G577" s="31" t="str">
        <f aca="false">IF(F577="","",IFERROR(INDEX(請求台帳!$C$5:$C$504,MATCH(F577,請求台帳!$A$5:$A$504,0)),""))</f>
        <v/>
      </c>
      <c r="H577" s="31" t="str">
        <f aca="false">IF(F577="","",IFERROR(INDEX(請求台帳!$D$5:$D$504,MATCH(F577,請求台帳!$A$5:$A$504,0)),""))</f>
        <v/>
      </c>
      <c r="I577" s="27" t="str">
        <f aca="false">IF(F577="","",IFERROR(INDEX(請求台帳!$F$5:$F$504,MATCH(F577,請求台帳!$A$5:$A$504,0)),""))</f>
        <v/>
      </c>
      <c r="J577" s="28" t="str">
        <f aca="false">IF(COUNTA(B577,D577,E577,F577)=0,"",IF(OR(B577="",E577=""),"要入力",IF(N(B577)&gt;設定!$C$5,"日付誤り",IF(F577="","未消込",IF(ISNA(MATCH(F577,請求台帳!$A$5:$A$504,0)),"番号誤り",IF(INDEX(請求台帳!$Q$5:$Q$504,MATCH(F577,請求台帳!$A$5:$A$504,0))="取消","取消請求へ消込","消込済"))))))</f>
        <v/>
      </c>
      <c r="K577" s="26"/>
      <c r="L577" s="26"/>
    </row>
    <row r="578" customFormat="false" ht="15" hidden="false" customHeight="false" outlineLevel="0" collapsed="false">
      <c r="A578" s="31" t="str">
        <f aca="false">IF(COUNTA(B578,D578,E578,F578)=0,"",ROW()-4)</f>
        <v/>
      </c>
      <c r="B578" s="22"/>
      <c r="C578" s="26"/>
      <c r="D578" s="26"/>
      <c r="E578" s="18"/>
      <c r="F578" s="26"/>
      <c r="G578" s="31" t="str">
        <f aca="false">IF(F578="","",IFERROR(INDEX(請求台帳!$C$5:$C$504,MATCH(F578,請求台帳!$A$5:$A$504,0)),""))</f>
        <v/>
      </c>
      <c r="H578" s="31" t="str">
        <f aca="false">IF(F578="","",IFERROR(INDEX(請求台帳!$D$5:$D$504,MATCH(F578,請求台帳!$A$5:$A$504,0)),""))</f>
        <v/>
      </c>
      <c r="I578" s="27" t="str">
        <f aca="false">IF(F578="","",IFERROR(INDEX(請求台帳!$F$5:$F$504,MATCH(F578,請求台帳!$A$5:$A$504,0)),""))</f>
        <v/>
      </c>
      <c r="J578" s="28" t="str">
        <f aca="false">IF(COUNTA(B578,D578,E578,F578)=0,"",IF(OR(B578="",E578=""),"要入力",IF(N(B578)&gt;設定!$C$5,"日付誤り",IF(F578="","未消込",IF(ISNA(MATCH(F578,請求台帳!$A$5:$A$504,0)),"番号誤り",IF(INDEX(請求台帳!$Q$5:$Q$504,MATCH(F578,請求台帳!$A$5:$A$504,0))="取消","取消請求へ消込","消込済"))))))</f>
        <v/>
      </c>
      <c r="K578" s="26"/>
      <c r="L578" s="26"/>
    </row>
    <row r="579" customFormat="false" ht="15" hidden="false" customHeight="false" outlineLevel="0" collapsed="false">
      <c r="A579" s="31" t="str">
        <f aca="false">IF(COUNTA(B579,D579,E579,F579)=0,"",ROW()-4)</f>
        <v/>
      </c>
      <c r="B579" s="22"/>
      <c r="C579" s="26"/>
      <c r="D579" s="26"/>
      <c r="E579" s="18"/>
      <c r="F579" s="26"/>
      <c r="G579" s="31" t="str">
        <f aca="false">IF(F579="","",IFERROR(INDEX(請求台帳!$C$5:$C$504,MATCH(F579,請求台帳!$A$5:$A$504,0)),""))</f>
        <v/>
      </c>
      <c r="H579" s="31" t="str">
        <f aca="false">IF(F579="","",IFERROR(INDEX(請求台帳!$D$5:$D$504,MATCH(F579,請求台帳!$A$5:$A$504,0)),""))</f>
        <v/>
      </c>
      <c r="I579" s="27" t="str">
        <f aca="false">IF(F579="","",IFERROR(INDEX(請求台帳!$F$5:$F$504,MATCH(F579,請求台帳!$A$5:$A$504,0)),""))</f>
        <v/>
      </c>
      <c r="J579" s="28" t="str">
        <f aca="false">IF(COUNTA(B579,D579,E579,F579)=0,"",IF(OR(B579="",E579=""),"要入力",IF(N(B579)&gt;設定!$C$5,"日付誤り",IF(F579="","未消込",IF(ISNA(MATCH(F579,請求台帳!$A$5:$A$504,0)),"番号誤り",IF(INDEX(請求台帳!$Q$5:$Q$504,MATCH(F579,請求台帳!$A$5:$A$504,0))="取消","取消請求へ消込","消込済"))))))</f>
        <v/>
      </c>
      <c r="K579" s="26"/>
      <c r="L579" s="26"/>
    </row>
    <row r="580" customFormat="false" ht="15" hidden="false" customHeight="false" outlineLevel="0" collapsed="false">
      <c r="A580" s="31" t="str">
        <f aca="false">IF(COUNTA(B580,D580,E580,F580)=0,"",ROW()-4)</f>
        <v/>
      </c>
      <c r="B580" s="22"/>
      <c r="C580" s="26"/>
      <c r="D580" s="26"/>
      <c r="E580" s="18"/>
      <c r="F580" s="26"/>
      <c r="G580" s="31" t="str">
        <f aca="false">IF(F580="","",IFERROR(INDEX(請求台帳!$C$5:$C$504,MATCH(F580,請求台帳!$A$5:$A$504,0)),""))</f>
        <v/>
      </c>
      <c r="H580" s="31" t="str">
        <f aca="false">IF(F580="","",IFERROR(INDEX(請求台帳!$D$5:$D$504,MATCH(F580,請求台帳!$A$5:$A$504,0)),""))</f>
        <v/>
      </c>
      <c r="I580" s="27" t="str">
        <f aca="false">IF(F580="","",IFERROR(INDEX(請求台帳!$F$5:$F$504,MATCH(F580,請求台帳!$A$5:$A$504,0)),""))</f>
        <v/>
      </c>
      <c r="J580" s="28" t="str">
        <f aca="false">IF(COUNTA(B580,D580,E580,F580)=0,"",IF(OR(B580="",E580=""),"要入力",IF(N(B580)&gt;設定!$C$5,"日付誤り",IF(F580="","未消込",IF(ISNA(MATCH(F580,請求台帳!$A$5:$A$504,0)),"番号誤り",IF(INDEX(請求台帳!$Q$5:$Q$504,MATCH(F580,請求台帳!$A$5:$A$504,0))="取消","取消請求へ消込","消込済"))))))</f>
        <v/>
      </c>
      <c r="K580" s="26"/>
      <c r="L580" s="26"/>
    </row>
    <row r="581" customFormat="false" ht="15" hidden="false" customHeight="false" outlineLevel="0" collapsed="false">
      <c r="A581" s="31" t="str">
        <f aca="false">IF(COUNTA(B581,D581,E581,F581)=0,"",ROW()-4)</f>
        <v/>
      </c>
      <c r="B581" s="22"/>
      <c r="C581" s="26"/>
      <c r="D581" s="26"/>
      <c r="E581" s="18"/>
      <c r="F581" s="26"/>
      <c r="G581" s="31" t="str">
        <f aca="false">IF(F581="","",IFERROR(INDEX(請求台帳!$C$5:$C$504,MATCH(F581,請求台帳!$A$5:$A$504,0)),""))</f>
        <v/>
      </c>
      <c r="H581" s="31" t="str">
        <f aca="false">IF(F581="","",IFERROR(INDEX(請求台帳!$D$5:$D$504,MATCH(F581,請求台帳!$A$5:$A$504,0)),""))</f>
        <v/>
      </c>
      <c r="I581" s="27" t="str">
        <f aca="false">IF(F581="","",IFERROR(INDEX(請求台帳!$F$5:$F$504,MATCH(F581,請求台帳!$A$5:$A$504,0)),""))</f>
        <v/>
      </c>
      <c r="J581" s="28" t="str">
        <f aca="false">IF(COUNTA(B581,D581,E581,F581)=0,"",IF(OR(B581="",E581=""),"要入力",IF(N(B581)&gt;設定!$C$5,"日付誤り",IF(F581="","未消込",IF(ISNA(MATCH(F581,請求台帳!$A$5:$A$504,0)),"番号誤り",IF(INDEX(請求台帳!$Q$5:$Q$504,MATCH(F581,請求台帳!$A$5:$A$504,0))="取消","取消請求へ消込","消込済"))))))</f>
        <v/>
      </c>
      <c r="K581" s="26"/>
      <c r="L581" s="26"/>
    </row>
    <row r="582" customFormat="false" ht="15" hidden="false" customHeight="false" outlineLevel="0" collapsed="false">
      <c r="A582" s="31" t="str">
        <f aca="false">IF(COUNTA(B582,D582,E582,F582)=0,"",ROW()-4)</f>
        <v/>
      </c>
      <c r="B582" s="22"/>
      <c r="C582" s="26"/>
      <c r="D582" s="26"/>
      <c r="E582" s="18"/>
      <c r="F582" s="26"/>
      <c r="G582" s="31" t="str">
        <f aca="false">IF(F582="","",IFERROR(INDEX(請求台帳!$C$5:$C$504,MATCH(F582,請求台帳!$A$5:$A$504,0)),""))</f>
        <v/>
      </c>
      <c r="H582" s="31" t="str">
        <f aca="false">IF(F582="","",IFERROR(INDEX(請求台帳!$D$5:$D$504,MATCH(F582,請求台帳!$A$5:$A$504,0)),""))</f>
        <v/>
      </c>
      <c r="I582" s="27" t="str">
        <f aca="false">IF(F582="","",IFERROR(INDEX(請求台帳!$F$5:$F$504,MATCH(F582,請求台帳!$A$5:$A$504,0)),""))</f>
        <v/>
      </c>
      <c r="J582" s="28" t="str">
        <f aca="false">IF(COUNTA(B582,D582,E582,F582)=0,"",IF(OR(B582="",E582=""),"要入力",IF(N(B582)&gt;設定!$C$5,"日付誤り",IF(F582="","未消込",IF(ISNA(MATCH(F582,請求台帳!$A$5:$A$504,0)),"番号誤り",IF(INDEX(請求台帳!$Q$5:$Q$504,MATCH(F582,請求台帳!$A$5:$A$504,0))="取消","取消請求へ消込","消込済"))))))</f>
        <v/>
      </c>
      <c r="K582" s="26"/>
      <c r="L582" s="26"/>
    </row>
    <row r="583" customFormat="false" ht="15" hidden="false" customHeight="false" outlineLevel="0" collapsed="false">
      <c r="A583" s="31" t="str">
        <f aca="false">IF(COUNTA(B583,D583,E583,F583)=0,"",ROW()-4)</f>
        <v/>
      </c>
      <c r="B583" s="22"/>
      <c r="C583" s="26"/>
      <c r="D583" s="26"/>
      <c r="E583" s="18"/>
      <c r="F583" s="26"/>
      <c r="G583" s="31" t="str">
        <f aca="false">IF(F583="","",IFERROR(INDEX(請求台帳!$C$5:$C$504,MATCH(F583,請求台帳!$A$5:$A$504,0)),""))</f>
        <v/>
      </c>
      <c r="H583" s="31" t="str">
        <f aca="false">IF(F583="","",IFERROR(INDEX(請求台帳!$D$5:$D$504,MATCH(F583,請求台帳!$A$5:$A$504,0)),""))</f>
        <v/>
      </c>
      <c r="I583" s="27" t="str">
        <f aca="false">IF(F583="","",IFERROR(INDEX(請求台帳!$F$5:$F$504,MATCH(F583,請求台帳!$A$5:$A$504,0)),""))</f>
        <v/>
      </c>
      <c r="J583" s="28" t="str">
        <f aca="false">IF(COUNTA(B583,D583,E583,F583)=0,"",IF(OR(B583="",E583=""),"要入力",IF(N(B583)&gt;設定!$C$5,"日付誤り",IF(F583="","未消込",IF(ISNA(MATCH(F583,請求台帳!$A$5:$A$504,0)),"番号誤り",IF(INDEX(請求台帳!$Q$5:$Q$504,MATCH(F583,請求台帳!$A$5:$A$504,0))="取消","取消請求へ消込","消込済"))))))</f>
        <v/>
      </c>
      <c r="K583" s="26"/>
      <c r="L583" s="26"/>
    </row>
    <row r="584" customFormat="false" ht="15" hidden="false" customHeight="false" outlineLevel="0" collapsed="false">
      <c r="A584" s="31" t="str">
        <f aca="false">IF(COUNTA(B584,D584,E584,F584)=0,"",ROW()-4)</f>
        <v/>
      </c>
      <c r="B584" s="22"/>
      <c r="C584" s="26"/>
      <c r="D584" s="26"/>
      <c r="E584" s="18"/>
      <c r="F584" s="26"/>
      <c r="G584" s="31" t="str">
        <f aca="false">IF(F584="","",IFERROR(INDEX(請求台帳!$C$5:$C$504,MATCH(F584,請求台帳!$A$5:$A$504,0)),""))</f>
        <v/>
      </c>
      <c r="H584" s="31" t="str">
        <f aca="false">IF(F584="","",IFERROR(INDEX(請求台帳!$D$5:$D$504,MATCH(F584,請求台帳!$A$5:$A$504,0)),""))</f>
        <v/>
      </c>
      <c r="I584" s="27" t="str">
        <f aca="false">IF(F584="","",IFERROR(INDEX(請求台帳!$F$5:$F$504,MATCH(F584,請求台帳!$A$5:$A$504,0)),""))</f>
        <v/>
      </c>
      <c r="J584" s="28" t="str">
        <f aca="false">IF(COUNTA(B584,D584,E584,F584)=0,"",IF(OR(B584="",E584=""),"要入力",IF(N(B584)&gt;設定!$C$5,"日付誤り",IF(F584="","未消込",IF(ISNA(MATCH(F584,請求台帳!$A$5:$A$504,0)),"番号誤り",IF(INDEX(請求台帳!$Q$5:$Q$504,MATCH(F584,請求台帳!$A$5:$A$504,0))="取消","取消請求へ消込","消込済"))))))</f>
        <v/>
      </c>
      <c r="K584" s="26"/>
      <c r="L584" s="26"/>
    </row>
    <row r="585" customFormat="false" ht="15" hidden="false" customHeight="false" outlineLevel="0" collapsed="false">
      <c r="A585" s="31" t="str">
        <f aca="false">IF(COUNTA(B585,D585,E585,F585)=0,"",ROW()-4)</f>
        <v/>
      </c>
      <c r="B585" s="22"/>
      <c r="C585" s="26"/>
      <c r="D585" s="26"/>
      <c r="E585" s="18"/>
      <c r="F585" s="26"/>
      <c r="G585" s="31" t="str">
        <f aca="false">IF(F585="","",IFERROR(INDEX(請求台帳!$C$5:$C$504,MATCH(F585,請求台帳!$A$5:$A$504,0)),""))</f>
        <v/>
      </c>
      <c r="H585" s="31" t="str">
        <f aca="false">IF(F585="","",IFERROR(INDEX(請求台帳!$D$5:$D$504,MATCH(F585,請求台帳!$A$5:$A$504,0)),""))</f>
        <v/>
      </c>
      <c r="I585" s="27" t="str">
        <f aca="false">IF(F585="","",IFERROR(INDEX(請求台帳!$F$5:$F$504,MATCH(F585,請求台帳!$A$5:$A$504,0)),""))</f>
        <v/>
      </c>
      <c r="J585" s="28" t="str">
        <f aca="false">IF(COUNTA(B585,D585,E585,F585)=0,"",IF(OR(B585="",E585=""),"要入力",IF(N(B585)&gt;設定!$C$5,"日付誤り",IF(F585="","未消込",IF(ISNA(MATCH(F585,請求台帳!$A$5:$A$504,0)),"番号誤り",IF(INDEX(請求台帳!$Q$5:$Q$504,MATCH(F585,請求台帳!$A$5:$A$504,0))="取消","取消請求へ消込","消込済"))))))</f>
        <v/>
      </c>
      <c r="K585" s="26"/>
      <c r="L585" s="26"/>
    </row>
    <row r="586" customFormat="false" ht="15" hidden="false" customHeight="false" outlineLevel="0" collapsed="false">
      <c r="A586" s="31" t="str">
        <f aca="false">IF(COUNTA(B586,D586,E586,F586)=0,"",ROW()-4)</f>
        <v/>
      </c>
      <c r="B586" s="22"/>
      <c r="C586" s="26"/>
      <c r="D586" s="26"/>
      <c r="E586" s="18"/>
      <c r="F586" s="26"/>
      <c r="G586" s="31" t="str">
        <f aca="false">IF(F586="","",IFERROR(INDEX(請求台帳!$C$5:$C$504,MATCH(F586,請求台帳!$A$5:$A$504,0)),""))</f>
        <v/>
      </c>
      <c r="H586" s="31" t="str">
        <f aca="false">IF(F586="","",IFERROR(INDEX(請求台帳!$D$5:$D$504,MATCH(F586,請求台帳!$A$5:$A$504,0)),""))</f>
        <v/>
      </c>
      <c r="I586" s="27" t="str">
        <f aca="false">IF(F586="","",IFERROR(INDEX(請求台帳!$F$5:$F$504,MATCH(F586,請求台帳!$A$5:$A$504,0)),""))</f>
        <v/>
      </c>
      <c r="J586" s="28" t="str">
        <f aca="false">IF(COUNTA(B586,D586,E586,F586)=0,"",IF(OR(B586="",E586=""),"要入力",IF(N(B586)&gt;設定!$C$5,"日付誤り",IF(F586="","未消込",IF(ISNA(MATCH(F586,請求台帳!$A$5:$A$504,0)),"番号誤り",IF(INDEX(請求台帳!$Q$5:$Q$504,MATCH(F586,請求台帳!$A$5:$A$504,0))="取消","取消請求へ消込","消込済"))))))</f>
        <v/>
      </c>
      <c r="K586" s="26"/>
      <c r="L586" s="26"/>
    </row>
    <row r="587" customFormat="false" ht="15" hidden="false" customHeight="false" outlineLevel="0" collapsed="false">
      <c r="A587" s="31" t="str">
        <f aca="false">IF(COUNTA(B587,D587,E587,F587)=0,"",ROW()-4)</f>
        <v/>
      </c>
      <c r="B587" s="22"/>
      <c r="C587" s="26"/>
      <c r="D587" s="26"/>
      <c r="E587" s="18"/>
      <c r="F587" s="26"/>
      <c r="G587" s="31" t="str">
        <f aca="false">IF(F587="","",IFERROR(INDEX(請求台帳!$C$5:$C$504,MATCH(F587,請求台帳!$A$5:$A$504,0)),""))</f>
        <v/>
      </c>
      <c r="H587" s="31" t="str">
        <f aca="false">IF(F587="","",IFERROR(INDEX(請求台帳!$D$5:$D$504,MATCH(F587,請求台帳!$A$5:$A$504,0)),""))</f>
        <v/>
      </c>
      <c r="I587" s="27" t="str">
        <f aca="false">IF(F587="","",IFERROR(INDEX(請求台帳!$F$5:$F$504,MATCH(F587,請求台帳!$A$5:$A$504,0)),""))</f>
        <v/>
      </c>
      <c r="J587" s="28" t="str">
        <f aca="false">IF(COUNTA(B587,D587,E587,F587)=0,"",IF(OR(B587="",E587=""),"要入力",IF(N(B587)&gt;設定!$C$5,"日付誤り",IF(F587="","未消込",IF(ISNA(MATCH(F587,請求台帳!$A$5:$A$504,0)),"番号誤り",IF(INDEX(請求台帳!$Q$5:$Q$504,MATCH(F587,請求台帳!$A$5:$A$504,0))="取消","取消請求へ消込","消込済"))))))</f>
        <v/>
      </c>
      <c r="K587" s="26"/>
      <c r="L587" s="26"/>
    </row>
    <row r="588" customFormat="false" ht="15" hidden="false" customHeight="false" outlineLevel="0" collapsed="false">
      <c r="A588" s="31" t="str">
        <f aca="false">IF(COUNTA(B588,D588,E588,F588)=0,"",ROW()-4)</f>
        <v/>
      </c>
      <c r="B588" s="22"/>
      <c r="C588" s="26"/>
      <c r="D588" s="26"/>
      <c r="E588" s="18"/>
      <c r="F588" s="26"/>
      <c r="G588" s="31" t="str">
        <f aca="false">IF(F588="","",IFERROR(INDEX(請求台帳!$C$5:$C$504,MATCH(F588,請求台帳!$A$5:$A$504,0)),""))</f>
        <v/>
      </c>
      <c r="H588" s="31" t="str">
        <f aca="false">IF(F588="","",IFERROR(INDEX(請求台帳!$D$5:$D$504,MATCH(F588,請求台帳!$A$5:$A$504,0)),""))</f>
        <v/>
      </c>
      <c r="I588" s="27" t="str">
        <f aca="false">IF(F588="","",IFERROR(INDEX(請求台帳!$F$5:$F$504,MATCH(F588,請求台帳!$A$5:$A$504,0)),""))</f>
        <v/>
      </c>
      <c r="J588" s="28" t="str">
        <f aca="false">IF(COUNTA(B588,D588,E588,F588)=0,"",IF(OR(B588="",E588=""),"要入力",IF(N(B588)&gt;設定!$C$5,"日付誤り",IF(F588="","未消込",IF(ISNA(MATCH(F588,請求台帳!$A$5:$A$504,0)),"番号誤り",IF(INDEX(請求台帳!$Q$5:$Q$504,MATCH(F588,請求台帳!$A$5:$A$504,0))="取消","取消請求へ消込","消込済"))))))</f>
        <v/>
      </c>
      <c r="K588" s="26"/>
      <c r="L588" s="26"/>
    </row>
    <row r="589" customFormat="false" ht="15" hidden="false" customHeight="false" outlineLevel="0" collapsed="false">
      <c r="A589" s="31" t="str">
        <f aca="false">IF(COUNTA(B589,D589,E589,F589)=0,"",ROW()-4)</f>
        <v/>
      </c>
      <c r="B589" s="22"/>
      <c r="C589" s="26"/>
      <c r="D589" s="26"/>
      <c r="E589" s="18"/>
      <c r="F589" s="26"/>
      <c r="G589" s="31" t="str">
        <f aca="false">IF(F589="","",IFERROR(INDEX(請求台帳!$C$5:$C$504,MATCH(F589,請求台帳!$A$5:$A$504,0)),""))</f>
        <v/>
      </c>
      <c r="H589" s="31" t="str">
        <f aca="false">IF(F589="","",IFERROR(INDEX(請求台帳!$D$5:$D$504,MATCH(F589,請求台帳!$A$5:$A$504,0)),""))</f>
        <v/>
      </c>
      <c r="I589" s="27" t="str">
        <f aca="false">IF(F589="","",IFERROR(INDEX(請求台帳!$F$5:$F$504,MATCH(F589,請求台帳!$A$5:$A$504,0)),""))</f>
        <v/>
      </c>
      <c r="J589" s="28" t="str">
        <f aca="false">IF(COUNTA(B589,D589,E589,F589)=0,"",IF(OR(B589="",E589=""),"要入力",IF(N(B589)&gt;設定!$C$5,"日付誤り",IF(F589="","未消込",IF(ISNA(MATCH(F589,請求台帳!$A$5:$A$504,0)),"番号誤り",IF(INDEX(請求台帳!$Q$5:$Q$504,MATCH(F589,請求台帳!$A$5:$A$504,0))="取消","取消請求へ消込","消込済"))))))</f>
        <v/>
      </c>
      <c r="K589" s="26"/>
      <c r="L589" s="26"/>
    </row>
    <row r="590" customFormat="false" ht="15" hidden="false" customHeight="false" outlineLevel="0" collapsed="false">
      <c r="A590" s="31" t="str">
        <f aca="false">IF(COUNTA(B590,D590,E590,F590)=0,"",ROW()-4)</f>
        <v/>
      </c>
      <c r="B590" s="22"/>
      <c r="C590" s="26"/>
      <c r="D590" s="26"/>
      <c r="E590" s="18"/>
      <c r="F590" s="26"/>
      <c r="G590" s="31" t="str">
        <f aca="false">IF(F590="","",IFERROR(INDEX(請求台帳!$C$5:$C$504,MATCH(F590,請求台帳!$A$5:$A$504,0)),""))</f>
        <v/>
      </c>
      <c r="H590" s="31" t="str">
        <f aca="false">IF(F590="","",IFERROR(INDEX(請求台帳!$D$5:$D$504,MATCH(F590,請求台帳!$A$5:$A$504,0)),""))</f>
        <v/>
      </c>
      <c r="I590" s="27" t="str">
        <f aca="false">IF(F590="","",IFERROR(INDEX(請求台帳!$F$5:$F$504,MATCH(F590,請求台帳!$A$5:$A$504,0)),""))</f>
        <v/>
      </c>
      <c r="J590" s="28" t="str">
        <f aca="false">IF(COUNTA(B590,D590,E590,F590)=0,"",IF(OR(B590="",E590=""),"要入力",IF(N(B590)&gt;設定!$C$5,"日付誤り",IF(F590="","未消込",IF(ISNA(MATCH(F590,請求台帳!$A$5:$A$504,0)),"番号誤り",IF(INDEX(請求台帳!$Q$5:$Q$504,MATCH(F590,請求台帳!$A$5:$A$504,0))="取消","取消請求へ消込","消込済"))))))</f>
        <v/>
      </c>
      <c r="K590" s="26"/>
      <c r="L590" s="26"/>
    </row>
    <row r="591" customFormat="false" ht="15" hidden="false" customHeight="false" outlineLevel="0" collapsed="false">
      <c r="A591" s="31" t="str">
        <f aca="false">IF(COUNTA(B591,D591,E591,F591)=0,"",ROW()-4)</f>
        <v/>
      </c>
      <c r="B591" s="22"/>
      <c r="C591" s="26"/>
      <c r="D591" s="26"/>
      <c r="E591" s="18"/>
      <c r="F591" s="26"/>
      <c r="G591" s="31" t="str">
        <f aca="false">IF(F591="","",IFERROR(INDEX(請求台帳!$C$5:$C$504,MATCH(F591,請求台帳!$A$5:$A$504,0)),""))</f>
        <v/>
      </c>
      <c r="H591" s="31" t="str">
        <f aca="false">IF(F591="","",IFERROR(INDEX(請求台帳!$D$5:$D$504,MATCH(F591,請求台帳!$A$5:$A$504,0)),""))</f>
        <v/>
      </c>
      <c r="I591" s="27" t="str">
        <f aca="false">IF(F591="","",IFERROR(INDEX(請求台帳!$F$5:$F$504,MATCH(F591,請求台帳!$A$5:$A$504,0)),""))</f>
        <v/>
      </c>
      <c r="J591" s="28" t="str">
        <f aca="false">IF(COUNTA(B591,D591,E591,F591)=0,"",IF(OR(B591="",E591=""),"要入力",IF(N(B591)&gt;設定!$C$5,"日付誤り",IF(F591="","未消込",IF(ISNA(MATCH(F591,請求台帳!$A$5:$A$504,0)),"番号誤り",IF(INDEX(請求台帳!$Q$5:$Q$504,MATCH(F591,請求台帳!$A$5:$A$504,0))="取消","取消請求へ消込","消込済"))))))</f>
        <v/>
      </c>
      <c r="K591" s="26"/>
      <c r="L591" s="26"/>
    </row>
    <row r="592" customFormat="false" ht="15" hidden="false" customHeight="false" outlineLevel="0" collapsed="false">
      <c r="A592" s="31" t="str">
        <f aca="false">IF(COUNTA(B592,D592,E592,F592)=0,"",ROW()-4)</f>
        <v/>
      </c>
      <c r="B592" s="22"/>
      <c r="C592" s="26"/>
      <c r="D592" s="26"/>
      <c r="E592" s="18"/>
      <c r="F592" s="26"/>
      <c r="G592" s="31" t="str">
        <f aca="false">IF(F592="","",IFERROR(INDEX(請求台帳!$C$5:$C$504,MATCH(F592,請求台帳!$A$5:$A$504,0)),""))</f>
        <v/>
      </c>
      <c r="H592" s="31" t="str">
        <f aca="false">IF(F592="","",IFERROR(INDEX(請求台帳!$D$5:$D$504,MATCH(F592,請求台帳!$A$5:$A$504,0)),""))</f>
        <v/>
      </c>
      <c r="I592" s="27" t="str">
        <f aca="false">IF(F592="","",IFERROR(INDEX(請求台帳!$F$5:$F$504,MATCH(F592,請求台帳!$A$5:$A$504,0)),""))</f>
        <v/>
      </c>
      <c r="J592" s="28" t="str">
        <f aca="false">IF(COUNTA(B592,D592,E592,F592)=0,"",IF(OR(B592="",E592=""),"要入力",IF(N(B592)&gt;設定!$C$5,"日付誤り",IF(F592="","未消込",IF(ISNA(MATCH(F592,請求台帳!$A$5:$A$504,0)),"番号誤り",IF(INDEX(請求台帳!$Q$5:$Q$504,MATCH(F592,請求台帳!$A$5:$A$504,0))="取消","取消請求へ消込","消込済"))))))</f>
        <v/>
      </c>
      <c r="K592" s="26"/>
      <c r="L592" s="26"/>
    </row>
    <row r="593" customFormat="false" ht="15" hidden="false" customHeight="false" outlineLevel="0" collapsed="false">
      <c r="A593" s="31" t="str">
        <f aca="false">IF(COUNTA(B593,D593,E593,F593)=0,"",ROW()-4)</f>
        <v/>
      </c>
      <c r="B593" s="22"/>
      <c r="C593" s="26"/>
      <c r="D593" s="26"/>
      <c r="E593" s="18"/>
      <c r="F593" s="26"/>
      <c r="G593" s="31" t="str">
        <f aca="false">IF(F593="","",IFERROR(INDEX(請求台帳!$C$5:$C$504,MATCH(F593,請求台帳!$A$5:$A$504,0)),""))</f>
        <v/>
      </c>
      <c r="H593" s="31" t="str">
        <f aca="false">IF(F593="","",IFERROR(INDEX(請求台帳!$D$5:$D$504,MATCH(F593,請求台帳!$A$5:$A$504,0)),""))</f>
        <v/>
      </c>
      <c r="I593" s="27" t="str">
        <f aca="false">IF(F593="","",IFERROR(INDEX(請求台帳!$F$5:$F$504,MATCH(F593,請求台帳!$A$5:$A$504,0)),""))</f>
        <v/>
      </c>
      <c r="J593" s="28" t="str">
        <f aca="false">IF(COUNTA(B593,D593,E593,F593)=0,"",IF(OR(B593="",E593=""),"要入力",IF(N(B593)&gt;設定!$C$5,"日付誤り",IF(F593="","未消込",IF(ISNA(MATCH(F593,請求台帳!$A$5:$A$504,0)),"番号誤り",IF(INDEX(請求台帳!$Q$5:$Q$504,MATCH(F593,請求台帳!$A$5:$A$504,0))="取消","取消請求へ消込","消込済"))))))</f>
        <v/>
      </c>
      <c r="K593" s="26"/>
      <c r="L593" s="26"/>
    </row>
    <row r="594" customFormat="false" ht="15" hidden="false" customHeight="false" outlineLevel="0" collapsed="false">
      <c r="A594" s="31" t="str">
        <f aca="false">IF(COUNTA(B594,D594,E594,F594)=0,"",ROW()-4)</f>
        <v/>
      </c>
      <c r="B594" s="22"/>
      <c r="C594" s="26"/>
      <c r="D594" s="26"/>
      <c r="E594" s="18"/>
      <c r="F594" s="26"/>
      <c r="G594" s="31" t="str">
        <f aca="false">IF(F594="","",IFERROR(INDEX(請求台帳!$C$5:$C$504,MATCH(F594,請求台帳!$A$5:$A$504,0)),""))</f>
        <v/>
      </c>
      <c r="H594" s="31" t="str">
        <f aca="false">IF(F594="","",IFERROR(INDEX(請求台帳!$D$5:$D$504,MATCH(F594,請求台帳!$A$5:$A$504,0)),""))</f>
        <v/>
      </c>
      <c r="I594" s="27" t="str">
        <f aca="false">IF(F594="","",IFERROR(INDEX(請求台帳!$F$5:$F$504,MATCH(F594,請求台帳!$A$5:$A$504,0)),""))</f>
        <v/>
      </c>
      <c r="J594" s="28" t="str">
        <f aca="false">IF(COUNTA(B594,D594,E594,F594)=0,"",IF(OR(B594="",E594=""),"要入力",IF(N(B594)&gt;設定!$C$5,"日付誤り",IF(F594="","未消込",IF(ISNA(MATCH(F594,請求台帳!$A$5:$A$504,0)),"番号誤り",IF(INDEX(請求台帳!$Q$5:$Q$504,MATCH(F594,請求台帳!$A$5:$A$504,0))="取消","取消請求へ消込","消込済"))))))</f>
        <v/>
      </c>
      <c r="K594" s="26"/>
      <c r="L594" s="26"/>
    </row>
    <row r="595" customFormat="false" ht="15" hidden="false" customHeight="false" outlineLevel="0" collapsed="false">
      <c r="A595" s="31" t="str">
        <f aca="false">IF(COUNTA(B595,D595,E595,F595)=0,"",ROW()-4)</f>
        <v/>
      </c>
      <c r="B595" s="22"/>
      <c r="C595" s="26"/>
      <c r="D595" s="26"/>
      <c r="E595" s="18"/>
      <c r="F595" s="26"/>
      <c r="G595" s="31" t="str">
        <f aca="false">IF(F595="","",IFERROR(INDEX(請求台帳!$C$5:$C$504,MATCH(F595,請求台帳!$A$5:$A$504,0)),""))</f>
        <v/>
      </c>
      <c r="H595" s="31" t="str">
        <f aca="false">IF(F595="","",IFERROR(INDEX(請求台帳!$D$5:$D$504,MATCH(F595,請求台帳!$A$5:$A$504,0)),""))</f>
        <v/>
      </c>
      <c r="I595" s="27" t="str">
        <f aca="false">IF(F595="","",IFERROR(INDEX(請求台帳!$F$5:$F$504,MATCH(F595,請求台帳!$A$5:$A$504,0)),""))</f>
        <v/>
      </c>
      <c r="J595" s="28" t="str">
        <f aca="false">IF(COUNTA(B595,D595,E595,F595)=0,"",IF(OR(B595="",E595=""),"要入力",IF(N(B595)&gt;設定!$C$5,"日付誤り",IF(F595="","未消込",IF(ISNA(MATCH(F595,請求台帳!$A$5:$A$504,0)),"番号誤り",IF(INDEX(請求台帳!$Q$5:$Q$504,MATCH(F595,請求台帳!$A$5:$A$504,0))="取消","取消請求へ消込","消込済"))))))</f>
        <v/>
      </c>
      <c r="K595" s="26"/>
      <c r="L595" s="26"/>
    </row>
    <row r="596" customFormat="false" ht="15" hidden="false" customHeight="false" outlineLevel="0" collapsed="false">
      <c r="A596" s="31" t="str">
        <f aca="false">IF(COUNTA(B596,D596,E596,F596)=0,"",ROW()-4)</f>
        <v/>
      </c>
      <c r="B596" s="22"/>
      <c r="C596" s="26"/>
      <c r="D596" s="26"/>
      <c r="E596" s="18"/>
      <c r="F596" s="26"/>
      <c r="G596" s="31" t="str">
        <f aca="false">IF(F596="","",IFERROR(INDEX(請求台帳!$C$5:$C$504,MATCH(F596,請求台帳!$A$5:$A$504,0)),""))</f>
        <v/>
      </c>
      <c r="H596" s="31" t="str">
        <f aca="false">IF(F596="","",IFERROR(INDEX(請求台帳!$D$5:$D$504,MATCH(F596,請求台帳!$A$5:$A$504,0)),""))</f>
        <v/>
      </c>
      <c r="I596" s="27" t="str">
        <f aca="false">IF(F596="","",IFERROR(INDEX(請求台帳!$F$5:$F$504,MATCH(F596,請求台帳!$A$5:$A$504,0)),""))</f>
        <v/>
      </c>
      <c r="J596" s="28" t="str">
        <f aca="false">IF(COUNTA(B596,D596,E596,F596)=0,"",IF(OR(B596="",E596=""),"要入力",IF(N(B596)&gt;設定!$C$5,"日付誤り",IF(F596="","未消込",IF(ISNA(MATCH(F596,請求台帳!$A$5:$A$504,0)),"番号誤り",IF(INDEX(請求台帳!$Q$5:$Q$504,MATCH(F596,請求台帳!$A$5:$A$504,0))="取消","取消請求へ消込","消込済"))))))</f>
        <v/>
      </c>
      <c r="K596" s="26"/>
      <c r="L596" s="26"/>
    </row>
    <row r="597" customFormat="false" ht="15" hidden="false" customHeight="false" outlineLevel="0" collapsed="false">
      <c r="A597" s="31" t="str">
        <f aca="false">IF(COUNTA(B597,D597,E597,F597)=0,"",ROW()-4)</f>
        <v/>
      </c>
      <c r="B597" s="22"/>
      <c r="C597" s="26"/>
      <c r="D597" s="26"/>
      <c r="E597" s="18"/>
      <c r="F597" s="26"/>
      <c r="G597" s="31" t="str">
        <f aca="false">IF(F597="","",IFERROR(INDEX(請求台帳!$C$5:$C$504,MATCH(F597,請求台帳!$A$5:$A$504,0)),""))</f>
        <v/>
      </c>
      <c r="H597" s="31" t="str">
        <f aca="false">IF(F597="","",IFERROR(INDEX(請求台帳!$D$5:$D$504,MATCH(F597,請求台帳!$A$5:$A$504,0)),""))</f>
        <v/>
      </c>
      <c r="I597" s="27" t="str">
        <f aca="false">IF(F597="","",IFERROR(INDEX(請求台帳!$F$5:$F$504,MATCH(F597,請求台帳!$A$5:$A$504,0)),""))</f>
        <v/>
      </c>
      <c r="J597" s="28" t="str">
        <f aca="false">IF(COUNTA(B597,D597,E597,F597)=0,"",IF(OR(B597="",E597=""),"要入力",IF(N(B597)&gt;設定!$C$5,"日付誤り",IF(F597="","未消込",IF(ISNA(MATCH(F597,請求台帳!$A$5:$A$504,0)),"番号誤り",IF(INDEX(請求台帳!$Q$5:$Q$504,MATCH(F597,請求台帳!$A$5:$A$504,0))="取消","取消請求へ消込","消込済"))))))</f>
        <v/>
      </c>
      <c r="K597" s="26"/>
      <c r="L597" s="26"/>
    </row>
    <row r="598" customFormat="false" ht="15" hidden="false" customHeight="false" outlineLevel="0" collapsed="false">
      <c r="A598" s="31" t="str">
        <f aca="false">IF(COUNTA(B598,D598,E598,F598)=0,"",ROW()-4)</f>
        <v/>
      </c>
      <c r="B598" s="22"/>
      <c r="C598" s="26"/>
      <c r="D598" s="26"/>
      <c r="E598" s="18"/>
      <c r="F598" s="26"/>
      <c r="G598" s="31" t="str">
        <f aca="false">IF(F598="","",IFERROR(INDEX(請求台帳!$C$5:$C$504,MATCH(F598,請求台帳!$A$5:$A$504,0)),""))</f>
        <v/>
      </c>
      <c r="H598" s="31" t="str">
        <f aca="false">IF(F598="","",IFERROR(INDEX(請求台帳!$D$5:$D$504,MATCH(F598,請求台帳!$A$5:$A$504,0)),""))</f>
        <v/>
      </c>
      <c r="I598" s="27" t="str">
        <f aca="false">IF(F598="","",IFERROR(INDEX(請求台帳!$F$5:$F$504,MATCH(F598,請求台帳!$A$5:$A$504,0)),""))</f>
        <v/>
      </c>
      <c r="J598" s="28" t="str">
        <f aca="false">IF(COUNTA(B598,D598,E598,F598)=0,"",IF(OR(B598="",E598=""),"要入力",IF(N(B598)&gt;設定!$C$5,"日付誤り",IF(F598="","未消込",IF(ISNA(MATCH(F598,請求台帳!$A$5:$A$504,0)),"番号誤り",IF(INDEX(請求台帳!$Q$5:$Q$504,MATCH(F598,請求台帳!$A$5:$A$504,0))="取消","取消請求へ消込","消込済"))))))</f>
        <v/>
      </c>
      <c r="K598" s="26"/>
      <c r="L598" s="26"/>
    </row>
    <row r="599" customFormat="false" ht="15" hidden="false" customHeight="false" outlineLevel="0" collapsed="false">
      <c r="A599" s="31" t="str">
        <f aca="false">IF(COUNTA(B599,D599,E599,F599)=0,"",ROW()-4)</f>
        <v/>
      </c>
      <c r="B599" s="22"/>
      <c r="C599" s="26"/>
      <c r="D599" s="26"/>
      <c r="E599" s="18"/>
      <c r="F599" s="26"/>
      <c r="G599" s="31" t="str">
        <f aca="false">IF(F599="","",IFERROR(INDEX(請求台帳!$C$5:$C$504,MATCH(F599,請求台帳!$A$5:$A$504,0)),""))</f>
        <v/>
      </c>
      <c r="H599" s="31" t="str">
        <f aca="false">IF(F599="","",IFERROR(INDEX(請求台帳!$D$5:$D$504,MATCH(F599,請求台帳!$A$5:$A$504,0)),""))</f>
        <v/>
      </c>
      <c r="I599" s="27" t="str">
        <f aca="false">IF(F599="","",IFERROR(INDEX(請求台帳!$F$5:$F$504,MATCH(F599,請求台帳!$A$5:$A$504,0)),""))</f>
        <v/>
      </c>
      <c r="J599" s="28" t="str">
        <f aca="false">IF(COUNTA(B599,D599,E599,F599)=0,"",IF(OR(B599="",E599=""),"要入力",IF(N(B599)&gt;設定!$C$5,"日付誤り",IF(F599="","未消込",IF(ISNA(MATCH(F599,請求台帳!$A$5:$A$504,0)),"番号誤り",IF(INDEX(請求台帳!$Q$5:$Q$504,MATCH(F599,請求台帳!$A$5:$A$504,0))="取消","取消請求へ消込","消込済"))))))</f>
        <v/>
      </c>
      <c r="K599" s="26"/>
      <c r="L599" s="26"/>
    </row>
    <row r="600" customFormat="false" ht="15" hidden="false" customHeight="false" outlineLevel="0" collapsed="false">
      <c r="A600" s="31" t="str">
        <f aca="false">IF(COUNTA(B600,D600,E600,F600)=0,"",ROW()-4)</f>
        <v/>
      </c>
      <c r="B600" s="22"/>
      <c r="C600" s="26"/>
      <c r="D600" s="26"/>
      <c r="E600" s="18"/>
      <c r="F600" s="26"/>
      <c r="G600" s="31" t="str">
        <f aca="false">IF(F600="","",IFERROR(INDEX(請求台帳!$C$5:$C$504,MATCH(F600,請求台帳!$A$5:$A$504,0)),""))</f>
        <v/>
      </c>
      <c r="H600" s="31" t="str">
        <f aca="false">IF(F600="","",IFERROR(INDEX(請求台帳!$D$5:$D$504,MATCH(F600,請求台帳!$A$5:$A$504,0)),""))</f>
        <v/>
      </c>
      <c r="I600" s="27" t="str">
        <f aca="false">IF(F600="","",IFERROR(INDEX(請求台帳!$F$5:$F$504,MATCH(F600,請求台帳!$A$5:$A$504,0)),""))</f>
        <v/>
      </c>
      <c r="J600" s="28" t="str">
        <f aca="false">IF(COUNTA(B600,D600,E600,F600)=0,"",IF(OR(B600="",E600=""),"要入力",IF(N(B600)&gt;設定!$C$5,"日付誤り",IF(F600="","未消込",IF(ISNA(MATCH(F600,請求台帳!$A$5:$A$504,0)),"番号誤り",IF(INDEX(請求台帳!$Q$5:$Q$504,MATCH(F600,請求台帳!$A$5:$A$504,0))="取消","取消請求へ消込","消込済"))))))</f>
        <v/>
      </c>
      <c r="K600" s="26"/>
      <c r="L600" s="26"/>
    </row>
    <row r="601" customFormat="false" ht="15" hidden="false" customHeight="false" outlineLevel="0" collapsed="false">
      <c r="A601" s="31" t="str">
        <f aca="false">IF(COUNTA(B601,D601,E601,F601)=0,"",ROW()-4)</f>
        <v/>
      </c>
      <c r="B601" s="22"/>
      <c r="C601" s="26"/>
      <c r="D601" s="26"/>
      <c r="E601" s="18"/>
      <c r="F601" s="26"/>
      <c r="G601" s="31" t="str">
        <f aca="false">IF(F601="","",IFERROR(INDEX(請求台帳!$C$5:$C$504,MATCH(F601,請求台帳!$A$5:$A$504,0)),""))</f>
        <v/>
      </c>
      <c r="H601" s="31" t="str">
        <f aca="false">IF(F601="","",IFERROR(INDEX(請求台帳!$D$5:$D$504,MATCH(F601,請求台帳!$A$5:$A$504,0)),""))</f>
        <v/>
      </c>
      <c r="I601" s="27" t="str">
        <f aca="false">IF(F601="","",IFERROR(INDEX(請求台帳!$F$5:$F$504,MATCH(F601,請求台帳!$A$5:$A$504,0)),""))</f>
        <v/>
      </c>
      <c r="J601" s="28" t="str">
        <f aca="false">IF(COUNTA(B601,D601,E601,F601)=0,"",IF(OR(B601="",E601=""),"要入力",IF(N(B601)&gt;設定!$C$5,"日付誤り",IF(F601="","未消込",IF(ISNA(MATCH(F601,請求台帳!$A$5:$A$504,0)),"番号誤り",IF(INDEX(請求台帳!$Q$5:$Q$504,MATCH(F601,請求台帳!$A$5:$A$504,0))="取消","取消請求へ消込","消込済"))))))</f>
        <v/>
      </c>
      <c r="K601" s="26"/>
      <c r="L601" s="26"/>
    </row>
    <row r="602" customFormat="false" ht="15" hidden="false" customHeight="false" outlineLevel="0" collapsed="false">
      <c r="A602" s="31" t="str">
        <f aca="false">IF(COUNTA(B602,D602,E602,F602)=0,"",ROW()-4)</f>
        <v/>
      </c>
      <c r="B602" s="22"/>
      <c r="C602" s="26"/>
      <c r="D602" s="26"/>
      <c r="E602" s="18"/>
      <c r="F602" s="26"/>
      <c r="G602" s="31" t="str">
        <f aca="false">IF(F602="","",IFERROR(INDEX(請求台帳!$C$5:$C$504,MATCH(F602,請求台帳!$A$5:$A$504,0)),""))</f>
        <v/>
      </c>
      <c r="H602" s="31" t="str">
        <f aca="false">IF(F602="","",IFERROR(INDEX(請求台帳!$D$5:$D$504,MATCH(F602,請求台帳!$A$5:$A$504,0)),""))</f>
        <v/>
      </c>
      <c r="I602" s="27" t="str">
        <f aca="false">IF(F602="","",IFERROR(INDEX(請求台帳!$F$5:$F$504,MATCH(F602,請求台帳!$A$5:$A$504,0)),""))</f>
        <v/>
      </c>
      <c r="J602" s="28" t="str">
        <f aca="false">IF(COUNTA(B602,D602,E602,F602)=0,"",IF(OR(B602="",E602=""),"要入力",IF(N(B602)&gt;設定!$C$5,"日付誤り",IF(F602="","未消込",IF(ISNA(MATCH(F602,請求台帳!$A$5:$A$504,0)),"番号誤り",IF(INDEX(請求台帳!$Q$5:$Q$504,MATCH(F602,請求台帳!$A$5:$A$504,0))="取消","取消請求へ消込","消込済"))))))</f>
        <v/>
      </c>
      <c r="K602" s="26"/>
      <c r="L602" s="26"/>
    </row>
    <row r="603" customFormat="false" ht="15" hidden="false" customHeight="false" outlineLevel="0" collapsed="false">
      <c r="A603" s="31" t="str">
        <f aca="false">IF(COUNTA(B603,D603,E603,F603)=0,"",ROW()-4)</f>
        <v/>
      </c>
      <c r="B603" s="22"/>
      <c r="C603" s="26"/>
      <c r="D603" s="26"/>
      <c r="E603" s="18"/>
      <c r="F603" s="26"/>
      <c r="G603" s="31" t="str">
        <f aca="false">IF(F603="","",IFERROR(INDEX(請求台帳!$C$5:$C$504,MATCH(F603,請求台帳!$A$5:$A$504,0)),""))</f>
        <v/>
      </c>
      <c r="H603" s="31" t="str">
        <f aca="false">IF(F603="","",IFERROR(INDEX(請求台帳!$D$5:$D$504,MATCH(F603,請求台帳!$A$5:$A$504,0)),""))</f>
        <v/>
      </c>
      <c r="I603" s="27" t="str">
        <f aca="false">IF(F603="","",IFERROR(INDEX(請求台帳!$F$5:$F$504,MATCH(F603,請求台帳!$A$5:$A$504,0)),""))</f>
        <v/>
      </c>
      <c r="J603" s="28" t="str">
        <f aca="false">IF(COUNTA(B603,D603,E603,F603)=0,"",IF(OR(B603="",E603=""),"要入力",IF(N(B603)&gt;設定!$C$5,"日付誤り",IF(F603="","未消込",IF(ISNA(MATCH(F603,請求台帳!$A$5:$A$504,0)),"番号誤り",IF(INDEX(請求台帳!$Q$5:$Q$504,MATCH(F603,請求台帳!$A$5:$A$504,0))="取消","取消請求へ消込","消込済"))))))</f>
        <v/>
      </c>
      <c r="K603" s="26"/>
      <c r="L603" s="26"/>
    </row>
    <row r="604" customFormat="false" ht="15" hidden="false" customHeight="false" outlineLevel="0" collapsed="false">
      <c r="A604" s="31" t="str">
        <f aca="false">IF(COUNTA(B604,D604,E604,F604)=0,"",ROW()-4)</f>
        <v/>
      </c>
      <c r="B604" s="22"/>
      <c r="C604" s="26"/>
      <c r="D604" s="26"/>
      <c r="E604" s="18"/>
      <c r="F604" s="26"/>
      <c r="G604" s="31" t="str">
        <f aca="false">IF(F604="","",IFERROR(INDEX(請求台帳!$C$5:$C$504,MATCH(F604,請求台帳!$A$5:$A$504,0)),""))</f>
        <v/>
      </c>
      <c r="H604" s="31" t="str">
        <f aca="false">IF(F604="","",IFERROR(INDEX(請求台帳!$D$5:$D$504,MATCH(F604,請求台帳!$A$5:$A$504,0)),""))</f>
        <v/>
      </c>
      <c r="I604" s="27" t="str">
        <f aca="false">IF(F604="","",IFERROR(INDEX(請求台帳!$F$5:$F$504,MATCH(F604,請求台帳!$A$5:$A$504,0)),""))</f>
        <v/>
      </c>
      <c r="J604" s="28" t="str">
        <f aca="false">IF(COUNTA(B604,D604,E604,F604)=0,"",IF(OR(B604="",E604=""),"要入力",IF(N(B604)&gt;設定!$C$5,"日付誤り",IF(F604="","未消込",IF(ISNA(MATCH(F604,請求台帳!$A$5:$A$504,0)),"番号誤り",IF(INDEX(請求台帳!$Q$5:$Q$504,MATCH(F604,請求台帳!$A$5:$A$504,0))="取消","取消請求へ消込","消込済"))))))</f>
        <v/>
      </c>
      <c r="K604" s="26"/>
      <c r="L604" s="26"/>
    </row>
    <row r="605" customFormat="false" ht="15" hidden="false" customHeight="false" outlineLevel="0" collapsed="false">
      <c r="A605" s="31" t="str">
        <f aca="false">IF(COUNTA(B605,D605,E605,F605)=0,"",ROW()-4)</f>
        <v/>
      </c>
      <c r="B605" s="22"/>
      <c r="C605" s="26"/>
      <c r="D605" s="26"/>
      <c r="E605" s="18"/>
      <c r="F605" s="26"/>
      <c r="G605" s="31" t="str">
        <f aca="false">IF(F605="","",IFERROR(INDEX(請求台帳!$C$5:$C$504,MATCH(F605,請求台帳!$A$5:$A$504,0)),""))</f>
        <v/>
      </c>
      <c r="H605" s="31" t="str">
        <f aca="false">IF(F605="","",IFERROR(INDEX(請求台帳!$D$5:$D$504,MATCH(F605,請求台帳!$A$5:$A$504,0)),""))</f>
        <v/>
      </c>
      <c r="I605" s="27" t="str">
        <f aca="false">IF(F605="","",IFERROR(INDEX(請求台帳!$F$5:$F$504,MATCH(F605,請求台帳!$A$5:$A$504,0)),""))</f>
        <v/>
      </c>
      <c r="J605" s="28" t="str">
        <f aca="false">IF(COUNTA(B605,D605,E605,F605)=0,"",IF(OR(B605="",E605=""),"要入力",IF(N(B605)&gt;設定!$C$5,"日付誤り",IF(F605="","未消込",IF(ISNA(MATCH(F605,請求台帳!$A$5:$A$504,0)),"番号誤り",IF(INDEX(請求台帳!$Q$5:$Q$504,MATCH(F605,請求台帳!$A$5:$A$504,0))="取消","取消請求へ消込","消込済"))))))</f>
        <v/>
      </c>
      <c r="K605" s="26"/>
      <c r="L605" s="26"/>
    </row>
    <row r="606" customFormat="false" ht="15" hidden="false" customHeight="false" outlineLevel="0" collapsed="false">
      <c r="A606" s="31" t="str">
        <f aca="false">IF(COUNTA(B606,D606,E606,F606)=0,"",ROW()-4)</f>
        <v/>
      </c>
      <c r="B606" s="22"/>
      <c r="C606" s="26"/>
      <c r="D606" s="26"/>
      <c r="E606" s="18"/>
      <c r="F606" s="26"/>
      <c r="G606" s="31" t="str">
        <f aca="false">IF(F606="","",IFERROR(INDEX(請求台帳!$C$5:$C$504,MATCH(F606,請求台帳!$A$5:$A$504,0)),""))</f>
        <v/>
      </c>
      <c r="H606" s="31" t="str">
        <f aca="false">IF(F606="","",IFERROR(INDEX(請求台帳!$D$5:$D$504,MATCH(F606,請求台帳!$A$5:$A$504,0)),""))</f>
        <v/>
      </c>
      <c r="I606" s="27" t="str">
        <f aca="false">IF(F606="","",IFERROR(INDEX(請求台帳!$F$5:$F$504,MATCH(F606,請求台帳!$A$5:$A$504,0)),""))</f>
        <v/>
      </c>
      <c r="J606" s="28" t="str">
        <f aca="false">IF(COUNTA(B606,D606,E606,F606)=0,"",IF(OR(B606="",E606=""),"要入力",IF(N(B606)&gt;設定!$C$5,"日付誤り",IF(F606="","未消込",IF(ISNA(MATCH(F606,請求台帳!$A$5:$A$504,0)),"番号誤り",IF(INDEX(請求台帳!$Q$5:$Q$504,MATCH(F606,請求台帳!$A$5:$A$504,0))="取消","取消請求へ消込","消込済"))))))</f>
        <v/>
      </c>
      <c r="K606" s="26"/>
      <c r="L606" s="26"/>
    </row>
    <row r="607" customFormat="false" ht="15" hidden="false" customHeight="false" outlineLevel="0" collapsed="false">
      <c r="A607" s="31" t="str">
        <f aca="false">IF(COUNTA(B607,D607,E607,F607)=0,"",ROW()-4)</f>
        <v/>
      </c>
      <c r="B607" s="22"/>
      <c r="C607" s="26"/>
      <c r="D607" s="26"/>
      <c r="E607" s="18"/>
      <c r="F607" s="26"/>
      <c r="G607" s="31" t="str">
        <f aca="false">IF(F607="","",IFERROR(INDEX(請求台帳!$C$5:$C$504,MATCH(F607,請求台帳!$A$5:$A$504,0)),""))</f>
        <v/>
      </c>
      <c r="H607" s="31" t="str">
        <f aca="false">IF(F607="","",IFERROR(INDEX(請求台帳!$D$5:$D$504,MATCH(F607,請求台帳!$A$5:$A$504,0)),""))</f>
        <v/>
      </c>
      <c r="I607" s="27" t="str">
        <f aca="false">IF(F607="","",IFERROR(INDEX(請求台帳!$F$5:$F$504,MATCH(F607,請求台帳!$A$5:$A$504,0)),""))</f>
        <v/>
      </c>
      <c r="J607" s="28" t="str">
        <f aca="false">IF(COUNTA(B607,D607,E607,F607)=0,"",IF(OR(B607="",E607=""),"要入力",IF(N(B607)&gt;設定!$C$5,"日付誤り",IF(F607="","未消込",IF(ISNA(MATCH(F607,請求台帳!$A$5:$A$504,0)),"番号誤り",IF(INDEX(請求台帳!$Q$5:$Q$504,MATCH(F607,請求台帳!$A$5:$A$504,0))="取消","取消請求へ消込","消込済"))))))</f>
        <v/>
      </c>
      <c r="K607" s="26"/>
      <c r="L607" s="26"/>
    </row>
    <row r="608" customFormat="false" ht="15" hidden="false" customHeight="false" outlineLevel="0" collapsed="false">
      <c r="A608" s="31" t="str">
        <f aca="false">IF(COUNTA(B608,D608,E608,F608)=0,"",ROW()-4)</f>
        <v/>
      </c>
      <c r="B608" s="22"/>
      <c r="C608" s="26"/>
      <c r="D608" s="26"/>
      <c r="E608" s="18"/>
      <c r="F608" s="26"/>
      <c r="G608" s="31" t="str">
        <f aca="false">IF(F608="","",IFERROR(INDEX(請求台帳!$C$5:$C$504,MATCH(F608,請求台帳!$A$5:$A$504,0)),""))</f>
        <v/>
      </c>
      <c r="H608" s="31" t="str">
        <f aca="false">IF(F608="","",IFERROR(INDEX(請求台帳!$D$5:$D$504,MATCH(F608,請求台帳!$A$5:$A$504,0)),""))</f>
        <v/>
      </c>
      <c r="I608" s="27" t="str">
        <f aca="false">IF(F608="","",IFERROR(INDEX(請求台帳!$F$5:$F$504,MATCH(F608,請求台帳!$A$5:$A$504,0)),""))</f>
        <v/>
      </c>
      <c r="J608" s="28" t="str">
        <f aca="false">IF(COUNTA(B608,D608,E608,F608)=0,"",IF(OR(B608="",E608=""),"要入力",IF(N(B608)&gt;設定!$C$5,"日付誤り",IF(F608="","未消込",IF(ISNA(MATCH(F608,請求台帳!$A$5:$A$504,0)),"番号誤り",IF(INDEX(請求台帳!$Q$5:$Q$504,MATCH(F608,請求台帳!$A$5:$A$504,0))="取消","取消請求へ消込","消込済"))))))</f>
        <v/>
      </c>
      <c r="K608" s="26"/>
      <c r="L608" s="26"/>
    </row>
    <row r="609" customFormat="false" ht="15" hidden="false" customHeight="false" outlineLevel="0" collapsed="false">
      <c r="A609" s="31" t="str">
        <f aca="false">IF(COUNTA(B609,D609,E609,F609)=0,"",ROW()-4)</f>
        <v/>
      </c>
      <c r="B609" s="22"/>
      <c r="C609" s="26"/>
      <c r="D609" s="26"/>
      <c r="E609" s="18"/>
      <c r="F609" s="26"/>
      <c r="G609" s="31" t="str">
        <f aca="false">IF(F609="","",IFERROR(INDEX(請求台帳!$C$5:$C$504,MATCH(F609,請求台帳!$A$5:$A$504,0)),""))</f>
        <v/>
      </c>
      <c r="H609" s="31" t="str">
        <f aca="false">IF(F609="","",IFERROR(INDEX(請求台帳!$D$5:$D$504,MATCH(F609,請求台帳!$A$5:$A$504,0)),""))</f>
        <v/>
      </c>
      <c r="I609" s="27" t="str">
        <f aca="false">IF(F609="","",IFERROR(INDEX(請求台帳!$F$5:$F$504,MATCH(F609,請求台帳!$A$5:$A$504,0)),""))</f>
        <v/>
      </c>
      <c r="J609" s="28" t="str">
        <f aca="false">IF(COUNTA(B609,D609,E609,F609)=0,"",IF(OR(B609="",E609=""),"要入力",IF(N(B609)&gt;設定!$C$5,"日付誤り",IF(F609="","未消込",IF(ISNA(MATCH(F609,請求台帳!$A$5:$A$504,0)),"番号誤り",IF(INDEX(請求台帳!$Q$5:$Q$504,MATCH(F609,請求台帳!$A$5:$A$504,0))="取消","取消請求へ消込","消込済"))))))</f>
        <v/>
      </c>
      <c r="K609" s="26"/>
      <c r="L609" s="26"/>
    </row>
    <row r="610" customFormat="false" ht="15" hidden="false" customHeight="false" outlineLevel="0" collapsed="false">
      <c r="A610" s="31" t="str">
        <f aca="false">IF(COUNTA(B610,D610,E610,F610)=0,"",ROW()-4)</f>
        <v/>
      </c>
      <c r="B610" s="22"/>
      <c r="C610" s="26"/>
      <c r="D610" s="26"/>
      <c r="E610" s="18"/>
      <c r="F610" s="26"/>
      <c r="G610" s="31" t="str">
        <f aca="false">IF(F610="","",IFERROR(INDEX(請求台帳!$C$5:$C$504,MATCH(F610,請求台帳!$A$5:$A$504,0)),""))</f>
        <v/>
      </c>
      <c r="H610" s="31" t="str">
        <f aca="false">IF(F610="","",IFERROR(INDEX(請求台帳!$D$5:$D$504,MATCH(F610,請求台帳!$A$5:$A$504,0)),""))</f>
        <v/>
      </c>
      <c r="I610" s="27" t="str">
        <f aca="false">IF(F610="","",IFERROR(INDEX(請求台帳!$F$5:$F$504,MATCH(F610,請求台帳!$A$5:$A$504,0)),""))</f>
        <v/>
      </c>
      <c r="J610" s="28" t="str">
        <f aca="false">IF(COUNTA(B610,D610,E610,F610)=0,"",IF(OR(B610="",E610=""),"要入力",IF(N(B610)&gt;設定!$C$5,"日付誤り",IF(F610="","未消込",IF(ISNA(MATCH(F610,請求台帳!$A$5:$A$504,0)),"番号誤り",IF(INDEX(請求台帳!$Q$5:$Q$504,MATCH(F610,請求台帳!$A$5:$A$504,0))="取消","取消請求へ消込","消込済"))))))</f>
        <v/>
      </c>
      <c r="K610" s="26"/>
      <c r="L610" s="26"/>
    </row>
    <row r="611" customFormat="false" ht="15" hidden="false" customHeight="false" outlineLevel="0" collapsed="false">
      <c r="A611" s="31" t="str">
        <f aca="false">IF(COUNTA(B611,D611,E611,F611)=0,"",ROW()-4)</f>
        <v/>
      </c>
      <c r="B611" s="22"/>
      <c r="C611" s="26"/>
      <c r="D611" s="26"/>
      <c r="E611" s="18"/>
      <c r="F611" s="26"/>
      <c r="G611" s="31" t="str">
        <f aca="false">IF(F611="","",IFERROR(INDEX(請求台帳!$C$5:$C$504,MATCH(F611,請求台帳!$A$5:$A$504,0)),""))</f>
        <v/>
      </c>
      <c r="H611" s="31" t="str">
        <f aca="false">IF(F611="","",IFERROR(INDEX(請求台帳!$D$5:$D$504,MATCH(F611,請求台帳!$A$5:$A$504,0)),""))</f>
        <v/>
      </c>
      <c r="I611" s="27" t="str">
        <f aca="false">IF(F611="","",IFERROR(INDEX(請求台帳!$F$5:$F$504,MATCH(F611,請求台帳!$A$5:$A$504,0)),""))</f>
        <v/>
      </c>
      <c r="J611" s="28" t="str">
        <f aca="false">IF(COUNTA(B611,D611,E611,F611)=0,"",IF(OR(B611="",E611=""),"要入力",IF(N(B611)&gt;設定!$C$5,"日付誤り",IF(F611="","未消込",IF(ISNA(MATCH(F611,請求台帳!$A$5:$A$504,0)),"番号誤り",IF(INDEX(請求台帳!$Q$5:$Q$504,MATCH(F611,請求台帳!$A$5:$A$504,0))="取消","取消請求へ消込","消込済"))))))</f>
        <v/>
      </c>
      <c r="K611" s="26"/>
      <c r="L611" s="26"/>
    </row>
    <row r="612" customFormat="false" ht="15" hidden="false" customHeight="false" outlineLevel="0" collapsed="false">
      <c r="A612" s="31" t="str">
        <f aca="false">IF(COUNTA(B612,D612,E612,F612)=0,"",ROW()-4)</f>
        <v/>
      </c>
      <c r="B612" s="22"/>
      <c r="C612" s="26"/>
      <c r="D612" s="26"/>
      <c r="E612" s="18"/>
      <c r="F612" s="26"/>
      <c r="G612" s="31" t="str">
        <f aca="false">IF(F612="","",IFERROR(INDEX(請求台帳!$C$5:$C$504,MATCH(F612,請求台帳!$A$5:$A$504,0)),""))</f>
        <v/>
      </c>
      <c r="H612" s="31" t="str">
        <f aca="false">IF(F612="","",IFERROR(INDEX(請求台帳!$D$5:$D$504,MATCH(F612,請求台帳!$A$5:$A$504,0)),""))</f>
        <v/>
      </c>
      <c r="I612" s="27" t="str">
        <f aca="false">IF(F612="","",IFERROR(INDEX(請求台帳!$F$5:$F$504,MATCH(F612,請求台帳!$A$5:$A$504,0)),""))</f>
        <v/>
      </c>
      <c r="J612" s="28" t="str">
        <f aca="false">IF(COUNTA(B612,D612,E612,F612)=0,"",IF(OR(B612="",E612=""),"要入力",IF(N(B612)&gt;設定!$C$5,"日付誤り",IF(F612="","未消込",IF(ISNA(MATCH(F612,請求台帳!$A$5:$A$504,0)),"番号誤り",IF(INDEX(請求台帳!$Q$5:$Q$504,MATCH(F612,請求台帳!$A$5:$A$504,0))="取消","取消請求へ消込","消込済"))))))</f>
        <v/>
      </c>
      <c r="K612" s="26"/>
      <c r="L612" s="26"/>
    </row>
    <row r="613" customFormat="false" ht="15" hidden="false" customHeight="false" outlineLevel="0" collapsed="false">
      <c r="A613" s="31" t="str">
        <f aca="false">IF(COUNTA(B613,D613,E613,F613)=0,"",ROW()-4)</f>
        <v/>
      </c>
      <c r="B613" s="22"/>
      <c r="C613" s="26"/>
      <c r="D613" s="26"/>
      <c r="E613" s="18"/>
      <c r="F613" s="26"/>
      <c r="G613" s="31" t="str">
        <f aca="false">IF(F613="","",IFERROR(INDEX(請求台帳!$C$5:$C$504,MATCH(F613,請求台帳!$A$5:$A$504,0)),""))</f>
        <v/>
      </c>
      <c r="H613" s="31" t="str">
        <f aca="false">IF(F613="","",IFERROR(INDEX(請求台帳!$D$5:$D$504,MATCH(F613,請求台帳!$A$5:$A$504,0)),""))</f>
        <v/>
      </c>
      <c r="I613" s="27" t="str">
        <f aca="false">IF(F613="","",IFERROR(INDEX(請求台帳!$F$5:$F$504,MATCH(F613,請求台帳!$A$5:$A$504,0)),""))</f>
        <v/>
      </c>
      <c r="J613" s="28" t="str">
        <f aca="false">IF(COUNTA(B613,D613,E613,F613)=0,"",IF(OR(B613="",E613=""),"要入力",IF(N(B613)&gt;設定!$C$5,"日付誤り",IF(F613="","未消込",IF(ISNA(MATCH(F613,請求台帳!$A$5:$A$504,0)),"番号誤り",IF(INDEX(請求台帳!$Q$5:$Q$504,MATCH(F613,請求台帳!$A$5:$A$504,0))="取消","取消請求へ消込","消込済"))))))</f>
        <v/>
      </c>
      <c r="K613" s="26"/>
      <c r="L613" s="26"/>
    </row>
    <row r="614" customFormat="false" ht="15" hidden="false" customHeight="false" outlineLevel="0" collapsed="false">
      <c r="A614" s="31" t="str">
        <f aca="false">IF(COUNTA(B614,D614,E614,F614)=0,"",ROW()-4)</f>
        <v/>
      </c>
      <c r="B614" s="22"/>
      <c r="C614" s="26"/>
      <c r="D614" s="26"/>
      <c r="E614" s="18"/>
      <c r="F614" s="26"/>
      <c r="G614" s="31" t="str">
        <f aca="false">IF(F614="","",IFERROR(INDEX(請求台帳!$C$5:$C$504,MATCH(F614,請求台帳!$A$5:$A$504,0)),""))</f>
        <v/>
      </c>
      <c r="H614" s="31" t="str">
        <f aca="false">IF(F614="","",IFERROR(INDEX(請求台帳!$D$5:$D$504,MATCH(F614,請求台帳!$A$5:$A$504,0)),""))</f>
        <v/>
      </c>
      <c r="I614" s="27" t="str">
        <f aca="false">IF(F614="","",IFERROR(INDEX(請求台帳!$F$5:$F$504,MATCH(F614,請求台帳!$A$5:$A$504,0)),""))</f>
        <v/>
      </c>
      <c r="J614" s="28" t="str">
        <f aca="false">IF(COUNTA(B614,D614,E614,F614)=0,"",IF(OR(B614="",E614=""),"要入力",IF(N(B614)&gt;設定!$C$5,"日付誤り",IF(F614="","未消込",IF(ISNA(MATCH(F614,請求台帳!$A$5:$A$504,0)),"番号誤り",IF(INDEX(請求台帳!$Q$5:$Q$504,MATCH(F614,請求台帳!$A$5:$A$504,0))="取消","取消請求へ消込","消込済"))))))</f>
        <v/>
      </c>
      <c r="K614" s="26"/>
      <c r="L614" s="26"/>
    </row>
    <row r="615" customFormat="false" ht="15" hidden="false" customHeight="false" outlineLevel="0" collapsed="false">
      <c r="A615" s="31" t="str">
        <f aca="false">IF(COUNTA(B615,D615,E615,F615)=0,"",ROW()-4)</f>
        <v/>
      </c>
      <c r="B615" s="22"/>
      <c r="C615" s="26"/>
      <c r="D615" s="26"/>
      <c r="E615" s="18"/>
      <c r="F615" s="26"/>
      <c r="G615" s="31" t="str">
        <f aca="false">IF(F615="","",IFERROR(INDEX(請求台帳!$C$5:$C$504,MATCH(F615,請求台帳!$A$5:$A$504,0)),""))</f>
        <v/>
      </c>
      <c r="H615" s="31" t="str">
        <f aca="false">IF(F615="","",IFERROR(INDEX(請求台帳!$D$5:$D$504,MATCH(F615,請求台帳!$A$5:$A$504,0)),""))</f>
        <v/>
      </c>
      <c r="I615" s="27" t="str">
        <f aca="false">IF(F615="","",IFERROR(INDEX(請求台帳!$F$5:$F$504,MATCH(F615,請求台帳!$A$5:$A$504,0)),""))</f>
        <v/>
      </c>
      <c r="J615" s="28" t="str">
        <f aca="false">IF(COUNTA(B615,D615,E615,F615)=0,"",IF(OR(B615="",E615=""),"要入力",IF(N(B615)&gt;設定!$C$5,"日付誤り",IF(F615="","未消込",IF(ISNA(MATCH(F615,請求台帳!$A$5:$A$504,0)),"番号誤り",IF(INDEX(請求台帳!$Q$5:$Q$504,MATCH(F615,請求台帳!$A$5:$A$504,0))="取消","取消請求へ消込","消込済"))))))</f>
        <v/>
      </c>
      <c r="K615" s="26"/>
      <c r="L615" s="26"/>
    </row>
    <row r="616" customFormat="false" ht="15" hidden="false" customHeight="false" outlineLevel="0" collapsed="false">
      <c r="A616" s="31" t="str">
        <f aca="false">IF(COUNTA(B616,D616,E616,F616)=0,"",ROW()-4)</f>
        <v/>
      </c>
      <c r="B616" s="22"/>
      <c r="C616" s="26"/>
      <c r="D616" s="26"/>
      <c r="E616" s="18"/>
      <c r="F616" s="26"/>
      <c r="G616" s="31" t="str">
        <f aca="false">IF(F616="","",IFERROR(INDEX(請求台帳!$C$5:$C$504,MATCH(F616,請求台帳!$A$5:$A$504,0)),""))</f>
        <v/>
      </c>
      <c r="H616" s="31" t="str">
        <f aca="false">IF(F616="","",IFERROR(INDEX(請求台帳!$D$5:$D$504,MATCH(F616,請求台帳!$A$5:$A$504,0)),""))</f>
        <v/>
      </c>
      <c r="I616" s="27" t="str">
        <f aca="false">IF(F616="","",IFERROR(INDEX(請求台帳!$F$5:$F$504,MATCH(F616,請求台帳!$A$5:$A$504,0)),""))</f>
        <v/>
      </c>
      <c r="J616" s="28" t="str">
        <f aca="false">IF(COUNTA(B616,D616,E616,F616)=0,"",IF(OR(B616="",E616=""),"要入力",IF(N(B616)&gt;設定!$C$5,"日付誤り",IF(F616="","未消込",IF(ISNA(MATCH(F616,請求台帳!$A$5:$A$504,0)),"番号誤り",IF(INDEX(請求台帳!$Q$5:$Q$504,MATCH(F616,請求台帳!$A$5:$A$504,0))="取消","取消請求へ消込","消込済"))))))</f>
        <v/>
      </c>
      <c r="K616" s="26"/>
      <c r="L616" s="26"/>
    </row>
    <row r="617" customFormat="false" ht="15" hidden="false" customHeight="false" outlineLevel="0" collapsed="false">
      <c r="A617" s="31" t="str">
        <f aca="false">IF(COUNTA(B617,D617,E617,F617)=0,"",ROW()-4)</f>
        <v/>
      </c>
      <c r="B617" s="22"/>
      <c r="C617" s="26"/>
      <c r="D617" s="26"/>
      <c r="E617" s="18"/>
      <c r="F617" s="26"/>
      <c r="G617" s="31" t="str">
        <f aca="false">IF(F617="","",IFERROR(INDEX(請求台帳!$C$5:$C$504,MATCH(F617,請求台帳!$A$5:$A$504,0)),""))</f>
        <v/>
      </c>
      <c r="H617" s="31" t="str">
        <f aca="false">IF(F617="","",IFERROR(INDEX(請求台帳!$D$5:$D$504,MATCH(F617,請求台帳!$A$5:$A$504,0)),""))</f>
        <v/>
      </c>
      <c r="I617" s="27" t="str">
        <f aca="false">IF(F617="","",IFERROR(INDEX(請求台帳!$F$5:$F$504,MATCH(F617,請求台帳!$A$5:$A$504,0)),""))</f>
        <v/>
      </c>
      <c r="J617" s="28" t="str">
        <f aca="false">IF(COUNTA(B617,D617,E617,F617)=0,"",IF(OR(B617="",E617=""),"要入力",IF(N(B617)&gt;設定!$C$5,"日付誤り",IF(F617="","未消込",IF(ISNA(MATCH(F617,請求台帳!$A$5:$A$504,0)),"番号誤り",IF(INDEX(請求台帳!$Q$5:$Q$504,MATCH(F617,請求台帳!$A$5:$A$504,0))="取消","取消請求へ消込","消込済"))))))</f>
        <v/>
      </c>
      <c r="K617" s="26"/>
      <c r="L617" s="26"/>
    </row>
    <row r="618" customFormat="false" ht="15" hidden="false" customHeight="false" outlineLevel="0" collapsed="false">
      <c r="A618" s="31" t="str">
        <f aca="false">IF(COUNTA(B618,D618,E618,F618)=0,"",ROW()-4)</f>
        <v/>
      </c>
      <c r="B618" s="22"/>
      <c r="C618" s="26"/>
      <c r="D618" s="26"/>
      <c r="E618" s="18"/>
      <c r="F618" s="26"/>
      <c r="G618" s="31" t="str">
        <f aca="false">IF(F618="","",IFERROR(INDEX(請求台帳!$C$5:$C$504,MATCH(F618,請求台帳!$A$5:$A$504,0)),""))</f>
        <v/>
      </c>
      <c r="H618" s="31" t="str">
        <f aca="false">IF(F618="","",IFERROR(INDEX(請求台帳!$D$5:$D$504,MATCH(F618,請求台帳!$A$5:$A$504,0)),""))</f>
        <v/>
      </c>
      <c r="I618" s="27" t="str">
        <f aca="false">IF(F618="","",IFERROR(INDEX(請求台帳!$F$5:$F$504,MATCH(F618,請求台帳!$A$5:$A$504,0)),""))</f>
        <v/>
      </c>
      <c r="J618" s="28" t="str">
        <f aca="false">IF(COUNTA(B618,D618,E618,F618)=0,"",IF(OR(B618="",E618=""),"要入力",IF(N(B618)&gt;設定!$C$5,"日付誤り",IF(F618="","未消込",IF(ISNA(MATCH(F618,請求台帳!$A$5:$A$504,0)),"番号誤り",IF(INDEX(請求台帳!$Q$5:$Q$504,MATCH(F618,請求台帳!$A$5:$A$504,0))="取消","取消請求へ消込","消込済"))))))</f>
        <v/>
      </c>
      <c r="K618" s="26"/>
      <c r="L618" s="26"/>
    </row>
    <row r="619" customFormat="false" ht="15" hidden="false" customHeight="false" outlineLevel="0" collapsed="false">
      <c r="A619" s="31" t="str">
        <f aca="false">IF(COUNTA(B619,D619,E619,F619)=0,"",ROW()-4)</f>
        <v/>
      </c>
      <c r="B619" s="22"/>
      <c r="C619" s="26"/>
      <c r="D619" s="26"/>
      <c r="E619" s="18"/>
      <c r="F619" s="26"/>
      <c r="G619" s="31" t="str">
        <f aca="false">IF(F619="","",IFERROR(INDEX(請求台帳!$C$5:$C$504,MATCH(F619,請求台帳!$A$5:$A$504,0)),""))</f>
        <v/>
      </c>
      <c r="H619" s="31" t="str">
        <f aca="false">IF(F619="","",IFERROR(INDEX(請求台帳!$D$5:$D$504,MATCH(F619,請求台帳!$A$5:$A$504,0)),""))</f>
        <v/>
      </c>
      <c r="I619" s="27" t="str">
        <f aca="false">IF(F619="","",IFERROR(INDEX(請求台帳!$F$5:$F$504,MATCH(F619,請求台帳!$A$5:$A$504,0)),""))</f>
        <v/>
      </c>
      <c r="J619" s="28" t="str">
        <f aca="false">IF(COUNTA(B619,D619,E619,F619)=0,"",IF(OR(B619="",E619=""),"要入力",IF(N(B619)&gt;設定!$C$5,"日付誤り",IF(F619="","未消込",IF(ISNA(MATCH(F619,請求台帳!$A$5:$A$504,0)),"番号誤り",IF(INDEX(請求台帳!$Q$5:$Q$504,MATCH(F619,請求台帳!$A$5:$A$504,0))="取消","取消請求へ消込","消込済"))))))</f>
        <v/>
      </c>
      <c r="K619" s="26"/>
      <c r="L619" s="26"/>
    </row>
    <row r="620" customFormat="false" ht="15" hidden="false" customHeight="false" outlineLevel="0" collapsed="false">
      <c r="A620" s="31" t="str">
        <f aca="false">IF(COUNTA(B620,D620,E620,F620)=0,"",ROW()-4)</f>
        <v/>
      </c>
      <c r="B620" s="22"/>
      <c r="C620" s="26"/>
      <c r="D620" s="26"/>
      <c r="E620" s="18"/>
      <c r="F620" s="26"/>
      <c r="G620" s="31" t="str">
        <f aca="false">IF(F620="","",IFERROR(INDEX(請求台帳!$C$5:$C$504,MATCH(F620,請求台帳!$A$5:$A$504,0)),""))</f>
        <v/>
      </c>
      <c r="H620" s="31" t="str">
        <f aca="false">IF(F620="","",IFERROR(INDEX(請求台帳!$D$5:$D$504,MATCH(F620,請求台帳!$A$5:$A$504,0)),""))</f>
        <v/>
      </c>
      <c r="I620" s="27" t="str">
        <f aca="false">IF(F620="","",IFERROR(INDEX(請求台帳!$F$5:$F$504,MATCH(F620,請求台帳!$A$5:$A$504,0)),""))</f>
        <v/>
      </c>
      <c r="J620" s="28" t="str">
        <f aca="false">IF(COUNTA(B620,D620,E620,F620)=0,"",IF(OR(B620="",E620=""),"要入力",IF(N(B620)&gt;設定!$C$5,"日付誤り",IF(F620="","未消込",IF(ISNA(MATCH(F620,請求台帳!$A$5:$A$504,0)),"番号誤り",IF(INDEX(請求台帳!$Q$5:$Q$504,MATCH(F620,請求台帳!$A$5:$A$504,0))="取消","取消請求へ消込","消込済"))))))</f>
        <v/>
      </c>
      <c r="K620" s="26"/>
      <c r="L620" s="26"/>
    </row>
    <row r="621" customFormat="false" ht="15" hidden="false" customHeight="false" outlineLevel="0" collapsed="false">
      <c r="A621" s="31" t="str">
        <f aca="false">IF(COUNTA(B621,D621,E621,F621)=0,"",ROW()-4)</f>
        <v/>
      </c>
      <c r="B621" s="22"/>
      <c r="C621" s="26"/>
      <c r="D621" s="26"/>
      <c r="E621" s="18"/>
      <c r="F621" s="26"/>
      <c r="G621" s="31" t="str">
        <f aca="false">IF(F621="","",IFERROR(INDEX(請求台帳!$C$5:$C$504,MATCH(F621,請求台帳!$A$5:$A$504,0)),""))</f>
        <v/>
      </c>
      <c r="H621" s="31" t="str">
        <f aca="false">IF(F621="","",IFERROR(INDEX(請求台帳!$D$5:$D$504,MATCH(F621,請求台帳!$A$5:$A$504,0)),""))</f>
        <v/>
      </c>
      <c r="I621" s="27" t="str">
        <f aca="false">IF(F621="","",IFERROR(INDEX(請求台帳!$F$5:$F$504,MATCH(F621,請求台帳!$A$5:$A$504,0)),""))</f>
        <v/>
      </c>
      <c r="J621" s="28" t="str">
        <f aca="false">IF(COUNTA(B621,D621,E621,F621)=0,"",IF(OR(B621="",E621=""),"要入力",IF(N(B621)&gt;設定!$C$5,"日付誤り",IF(F621="","未消込",IF(ISNA(MATCH(F621,請求台帳!$A$5:$A$504,0)),"番号誤り",IF(INDEX(請求台帳!$Q$5:$Q$504,MATCH(F621,請求台帳!$A$5:$A$504,0))="取消","取消請求へ消込","消込済"))))))</f>
        <v/>
      </c>
      <c r="K621" s="26"/>
      <c r="L621" s="26"/>
    </row>
    <row r="622" customFormat="false" ht="15" hidden="false" customHeight="false" outlineLevel="0" collapsed="false">
      <c r="A622" s="31" t="str">
        <f aca="false">IF(COUNTA(B622,D622,E622,F622)=0,"",ROW()-4)</f>
        <v/>
      </c>
      <c r="B622" s="22"/>
      <c r="C622" s="26"/>
      <c r="D622" s="26"/>
      <c r="E622" s="18"/>
      <c r="F622" s="26"/>
      <c r="G622" s="31" t="str">
        <f aca="false">IF(F622="","",IFERROR(INDEX(請求台帳!$C$5:$C$504,MATCH(F622,請求台帳!$A$5:$A$504,0)),""))</f>
        <v/>
      </c>
      <c r="H622" s="31" t="str">
        <f aca="false">IF(F622="","",IFERROR(INDEX(請求台帳!$D$5:$D$504,MATCH(F622,請求台帳!$A$5:$A$504,0)),""))</f>
        <v/>
      </c>
      <c r="I622" s="27" t="str">
        <f aca="false">IF(F622="","",IFERROR(INDEX(請求台帳!$F$5:$F$504,MATCH(F622,請求台帳!$A$5:$A$504,0)),""))</f>
        <v/>
      </c>
      <c r="J622" s="28" t="str">
        <f aca="false">IF(COUNTA(B622,D622,E622,F622)=0,"",IF(OR(B622="",E622=""),"要入力",IF(N(B622)&gt;設定!$C$5,"日付誤り",IF(F622="","未消込",IF(ISNA(MATCH(F622,請求台帳!$A$5:$A$504,0)),"番号誤り",IF(INDEX(請求台帳!$Q$5:$Q$504,MATCH(F622,請求台帳!$A$5:$A$504,0))="取消","取消請求へ消込","消込済"))))))</f>
        <v/>
      </c>
      <c r="K622" s="26"/>
      <c r="L622" s="26"/>
    </row>
    <row r="623" customFormat="false" ht="15" hidden="false" customHeight="false" outlineLevel="0" collapsed="false">
      <c r="A623" s="31" t="str">
        <f aca="false">IF(COUNTA(B623,D623,E623,F623)=0,"",ROW()-4)</f>
        <v/>
      </c>
      <c r="B623" s="22"/>
      <c r="C623" s="26"/>
      <c r="D623" s="26"/>
      <c r="E623" s="18"/>
      <c r="F623" s="26"/>
      <c r="G623" s="31" t="str">
        <f aca="false">IF(F623="","",IFERROR(INDEX(請求台帳!$C$5:$C$504,MATCH(F623,請求台帳!$A$5:$A$504,0)),""))</f>
        <v/>
      </c>
      <c r="H623" s="31" t="str">
        <f aca="false">IF(F623="","",IFERROR(INDEX(請求台帳!$D$5:$D$504,MATCH(F623,請求台帳!$A$5:$A$504,0)),""))</f>
        <v/>
      </c>
      <c r="I623" s="27" t="str">
        <f aca="false">IF(F623="","",IFERROR(INDEX(請求台帳!$F$5:$F$504,MATCH(F623,請求台帳!$A$5:$A$504,0)),""))</f>
        <v/>
      </c>
      <c r="J623" s="28" t="str">
        <f aca="false">IF(COUNTA(B623,D623,E623,F623)=0,"",IF(OR(B623="",E623=""),"要入力",IF(N(B623)&gt;設定!$C$5,"日付誤り",IF(F623="","未消込",IF(ISNA(MATCH(F623,請求台帳!$A$5:$A$504,0)),"番号誤り",IF(INDEX(請求台帳!$Q$5:$Q$504,MATCH(F623,請求台帳!$A$5:$A$504,0))="取消","取消請求へ消込","消込済"))))))</f>
        <v/>
      </c>
      <c r="K623" s="26"/>
      <c r="L623" s="26"/>
    </row>
    <row r="624" customFormat="false" ht="15" hidden="false" customHeight="false" outlineLevel="0" collapsed="false">
      <c r="A624" s="31" t="str">
        <f aca="false">IF(COUNTA(B624,D624,E624,F624)=0,"",ROW()-4)</f>
        <v/>
      </c>
      <c r="B624" s="22"/>
      <c r="C624" s="26"/>
      <c r="D624" s="26"/>
      <c r="E624" s="18"/>
      <c r="F624" s="26"/>
      <c r="G624" s="31" t="str">
        <f aca="false">IF(F624="","",IFERROR(INDEX(請求台帳!$C$5:$C$504,MATCH(F624,請求台帳!$A$5:$A$504,0)),""))</f>
        <v/>
      </c>
      <c r="H624" s="31" t="str">
        <f aca="false">IF(F624="","",IFERROR(INDEX(請求台帳!$D$5:$D$504,MATCH(F624,請求台帳!$A$5:$A$504,0)),""))</f>
        <v/>
      </c>
      <c r="I624" s="27" t="str">
        <f aca="false">IF(F624="","",IFERROR(INDEX(請求台帳!$F$5:$F$504,MATCH(F624,請求台帳!$A$5:$A$504,0)),""))</f>
        <v/>
      </c>
      <c r="J624" s="28" t="str">
        <f aca="false">IF(COUNTA(B624,D624,E624,F624)=0,"",IF(OR(B624="",E624=""),"要入力",IF(N(B624)&gt;設定!$C$5,"日付誤り",IF(F624="","未消込",IF(ISNA(MATCH(F624,請求台帳!$A$5:$A$504,0)),"番号誤り",IF(INDEX(請求台帳!$Q$5:$Q$504,MATCH(F624,請求台帳!$A$5:$A$504,0))="取消","取消請求へ消込","消込済"))))))</f>
        <v/>
      </c>
      <c r="K624" s="26"/>
      <c r="L624" s="26"/>
    </row>
    <row r="625" customFormat="false" ht="15" hidden="false" customHeight="false" outlineLevel="0" collapsed="false">
      <c r="A625" s="31" t="str">
        <f aca="false">IF(COUNTA(B625,D625,E625,F625)=0,"",ROW()-4)</f>
        <v/>
      </c>
      <c r="B625" s="22"/>
      <c r="C625" s="26"/>
      <c r="D625" s="26"/>
      <c r="E625" s="18"/>
      <c r="F625" s="26"/>
      <c r="G625" s="31" t="str">
        <f aca="false">IF(F625="","",IFERROR(INDEX(請求台帳!$C$5:$C$504,MATCH(F625,請求台帳!$A$5:$A$504,0)),""))</f>
        <v/>
      </c>
      <c r="H625" s="31" t="str">
        <f aca="false">IF(F625="","",IFERROR(INDEX(請求台帳!$D$5:$D$504,MATCH(F625,請求台帳!$A$5:$A$504,0)),""))</f>
        <v/>
      </c>
      <c r="I625" s="27" t="str">
        <f aca="false">IF(F625="","",IFERROR(INDEX(請求台帳!$F$5:$F$504,MATCH(F625,請求台帳!$A$5:$A$504,0)),""))</f>
        <v/>
      </c>
      <c r="J625" s="28" t="str">
        <f aca="false">IF(COUNTA(B625,D625,E625,F625)=0,"",IF(OR(B625="",E625=""),"要入力",IF(N(B625)&gt;設定!$C$5,"日付誤り",IF(F625="","未消込",IF(ISNA(MATCH(F625,請求台帳!$A$5:$A$504,0)),"番号誤り",IF(INDEX(請求台帳!$Q$5:$Q$504,MATCH(F625,請求台帳!$A$5:$A$504,0))="取消","取消請求へ消込","消込済"))))))</f>
        <v/>
      </c>
      <c r="K625" s="26"/>
      <c r="L625" s="26"/>
    </row>
    <row r="626" customFormat="false" ht="15" hidden="false" customHeight="false" outlineLevel="0" collapsed="false">
      <c r="A626" s="31" t="str">
        <f aca="false">IF(COUNTA(B626,D626,E626,F626)=0,"",ROW()-4)</f>
        <v/>
      </c>
      <c r="B626" s="22"/>
      <c r="C626" s="26"/>
      <c r="D626" s="26"/>
      <c r="E626" s="18"/>
      <c r="F626" s="26"/>
      <c r="G626" s="31" t="str">
        <f aca="false">IF(F626="","",IFERROR(INDEX(請求台帳!$C$5:$C$504,MATCH(F626,請求台帳!$A$5:$A$504,0)),""))</f>
        <v/>
      </c>
      <c r="H626" s="31" t="str">
        <f aca="false">IF(F626="","",IFERROR(INDEX(請求台帳!$D$5:$D$504,MATCH(F626,請求台帳!$A$5:$A$504,0)),""))</f>
        <v/>
      </c>
      <c r="I626" s="27" t="str">
        <f aca="false">IF(F626="","",IFERROR(INDEX(請求台帳!$F$5:$F$504,MATCH(F626,請求台帳!$A$5:$A$504,0)),""))</f>
        <v/>
      </c>
      <c r="J626" s="28" t="str">
        <f aca="false">IF(COUNTA(B626,D626,E626,F626)=0,"",IF(OR(B626="",E626=""),"要入力",IF(N(B626)&gt;設定!$C$5,"日付誤り",IF(F626="","未消込",IF(ISNA(MATCH(F626,請求台帳!$A$5:$A$504,0)),"番号誤り",IF(INDEX(請求台帳!$Q$5:$Q$504,MATCH(F626,請求台帳!$A$5:$A$504,0))="取消","取消請求へ消込","消込済"))))))</f>
        <v/>
      </c>
      <c r="K626" s="26"/>
      <c r="L626" s="26"/>
    </row>
    <row r="627" customFormat="false" ht="15" hidden="false" customHeight="false" outlineLevel="0" collapsed="false">
      <c r="A627" s="31" t="str">
        <f aca="false">IF(COUNTA(B627,D627,E627,F627)=0,"",ROW()-4)</f>
        <v/>
      </c>
      <c r="B627" s="22"/>
      <c r="C627" s="26"/>
      <c r="D627" s="26"/>
      <c r="E627" s="18"/>
      <c r="F627" s="26"/>
      <c r="G627" s="31" t="str">
        <f aca="false">IF(F627="","",IFERROR(INDEX(請求台帳!$C$5:$C$504,MATCH(F627,請求台帳!$A$5:$A$504,0)),""))</f>
        <v/>
      </c>
      <c r="H627" s="31" t="str">
        <f aca="false">IF(F627="","",IFERROR(INDEX(請求台帳!$D$5:$D$504,MATCH(F627,請求台帳!$A$5:$A$504,0)),""))</f>
        <v/>
      </c>
      <c r="I627" s="27" t="str">
        <f aca="false">IF(F627="","",IFERROR(INDEX(請求台帳!$F$5:$F$504,MATCH(F627,請求台帳!$A$5:$A$504,0)),""))</f>
        <v/>
      </c>
      <c r="J627" s="28" t="str">
        <f aca="false">IF(COUNTA(B627,D627,E627,F627)=0,"",IF(OR(B627="",E627=""),"要入力",IF(N(B627)&gt;設定!$C$5,"日付誤り",IF(F627="","未消込",IF(ISNA(MATCH(F627,請求台帳!$A$5:$A$504,0)),"番号誤り",IF(INDEX(請求台帳!$Q$5:$Q$504,MATCH(F627,請求台帳!$A$5:$A$504,0))="取消","取消請求へ消込","消込済"))))))</f>
        <v/>
      </c>
      <c r="K627" s="26"/>
      <c r="L627" s="26"/>
    </row>
    <row r="628" customFormat="false" ht="15" hidden="false" customHeight="false" outlineLevel="0" collapsed="false">
      <c r="A628" s="31" t="str">
        <f aca="false">IF(COUNTA(B628,D628,E628,F628)=0,"",ROW()-4)</f>
        <v/>
      </c>
      <c r="B628" s="22"/>
      <c r="C628" s="26"/>
      <c r="D628" s="26"/>
      <c r="E628" s="18"/>
      <c r="F628" s="26"/>
      <c r="G628" s="31" t="str">
        <f aca="false">IF(F628="","",IFERROR(INDEX(請求台帳!$C$5:$C$504,MATCH(F628,請求台帳!$A$5:$A$504,0)),""))</f>
        <v/>
      </c>
      <c r="H628" s="31" t="str">
        <f aca="false">IF(F628="","",IFERROR(INDEX(請求台帳!$D$5:$D$504,MATCH(F628,請求台帳!$A$5:$A$504,0)),""))</f>
        <v/>
      </c>
      <c r="I628" s="27" t="str">
        <f aca="false">IF(F628="","",IFERROR(INDEX(請求台帳!$F$5:$F$504,MATCH(F628,請求台帳!$A$5:$A$504,0)),""))</f>
        <v/>
      </c>
      <c r="J628" s="28" t="str">
        <f aca="false">IF(COUNTA(B628,D628,E628,F628)=0,"",IF(OR(B628="",E628=""),"要入力",IF(N(B628)&gt;設定!$C$5,"日付誤り",IF(F628="","未消込",IF(ISNA(MATCH(F628,請求台帳!$A$5:$A$504,0)),"番号誤り",IF(INDEX(請求台帳!$Q$5:$Q$504,MATCH(F628,請求台帳!$A$5:$A$504,0))="取消","取消請求へ消込","消込済"))))))</f>
        <v/>
      </c>
      <c r="K628" s="26"/>
      <c r="L628" s="26"/>
    </row>
    <row r="629" customFormat="false" ht="15" hidden="false" customHeight="false" outlineLevel="0" collapsed="false">
      <c r="A629" s="31" t="str">
        <f aca="false">IF(COUNTA(B629,D629,E629,F629)=0,"",ROW()-4)</f>
        <v/>
      </c>
      <c r="B629" s="22"/>
      <c r="C629" s="26"/>
      <c r="D629" s="26"/>
      <c r="E629" s="18"/>
      <c r="F629" s="26"/>
      <c r="G629" s="31" t="str">
        <f aca="false">IF(F629="","",IFERROR(INDEX(請求台帳!$C$5:$C$504,MATCH(F629,請求台帳!$A$5:$A$504,0)),""))</f>
        <v/>
      </c>
      <c r="H629" s="31" t="str">
        <f aca="false">IF(F629="","",IFERROR(INDEX(請求台帳!$D$5:$D$504,MATCH(F629,請求台帳!$A$5:$A$504,0)),""))</f>
        <v/>
      </c>
      <c r="I629" s="27" t="str">
        <f aca="false">IF(F629="","",IFERROR(INDEX(請求台帳!$F$5:$F$504,MATCH(F629,請求台帳!$A$5:$A$504,0)),""))</f>
        <v/>
      </c>
      <c r="J629" s="28" t="str">
        <f aca="false">IF(COUNTA(B629,D629,E629,F629)=0,"",IF(OR(B629="",E629=""),"要入力",IF(N(B629)&gt;設定!$C$5,"日付誤り",IF(F629="","未消込",IF(ISNA(MATCH(F629,請求台帳!$A$5:$A$504,0)),"番号誤り",IF(INDEX(請求台帳!$Q$5:$Q$504,MATCH(F629,請求台帳!$A$5:$A$504,0))="取消","取消請求へ消込","消込済"))))))</f>
        <v/>
      </c>
      <c r="K629" s="26"/>
      <c r="L629" s="26"/>
    </row>
    <row r="630" customFormat="false" ht="15" hidden="false" customHeight="false" outlineLevel="0" collapsed="false">
      <c r="A630" s="31" t="str">
        <f aca="false">IF(COUNTA(B630,D630,E630,F630)=0,"",ROW()-4)</f>
        <v/>
      </c>
      <c r="B630" s="22"/>
      <c r="C630" s="26"/>
      <c r="D630" s="26"/>
      <c r="E630" s="18"/>
      <c r="F630" s="26"/>
      <c r="G630" s="31" t="str">
        <f aca="false">IF(F630="","",IFERROR(INDEX(請求台帳!$C$5:$C$504,MATCH(F630,請求台帳!$A$5:$A$504,0)),""))</f>
        <v/>
      </c>
      <c r="H630" s="31" t="str">
        <f aca="false">IF(F630="","",IFERROR(INDEX(請求台帳!$D$5:$D$504,MATCH(F630,請求台帳!$A$5:$A$504,0)),""))</f>
        <v/>
      </c>
      <c r="I630" s="27" t="str">
        <f aca="false">IF(F630="","",IFERROR(INDEX(請求台帳!$F$5:$F$504,MATCH(F630,請求台帳!$A$5:$A$504,0)),""))</f>
        <v/>
      </c>
      <c r="J630" s="28" t="str">
        <f aca="false">IF(COUNTA(B630,D630,E630,F630)=0,"",IF(OR(B630="",E630=""),"要入力",IF(N(B630)&gt;設定!$C$5,"日付誤り",IF(F630="","未消込",IF(ISNA(MATCH(F630,請求台帳!$A$5:$A$504,0)),"番号誤り",IF(INDEX(請求台帳!$Q$5:$Q$504,MATCH(F630,請求台帳!$A$5:$A$504,0))="取消","取消請求へ消込","消込済"))))))</f>
        <v/>
      </c>
      <c r="K630" s="26"/>
      <c r="L630" s="26"/>
    </row>
    <row r="631" customFormat="false" ht="15" hidden="false" customHeight="false" outlineLevel="0" collapsed="false">
      <c r="A631" s="31" t="str">
        <f aca="false">IF(COUNTA(B631,D631,E631,F631)=0,"",ROW()-4)</f>
        <v/>
      </c>
      <c r="B631" s="22"/>
      <c r="C631" s="26"/>
      <c r="D631" s="26"/>
      <c r="E631" s="18"/>
      <c r="F631" s="26"/>
      <c r="G631" s="31" t="str">
        <f aca="false">IF(F631="","",IFERROR(INDEX(請求台帳!$C$5:$C$504,MATCH(F631,請求台帳!$A$5:$A$504,0)),""))</f>
        <v/>
      </c>
      <c r="H631" s="31" t="str">
        <f aca="false">IF(F631="","",IFERROR(INDEX(請求台帳!$D$5:$D$504,MATCH(F631,請求台帳!$A$5:$A$504,0)),""))</f>
        <v/>
      </c>
      <c r="I631" s="27" t="str">
        <f aca="false">IF(F631="","",IFERROR(INDEX(請求台帳!$F$5:$F$504,MATCH(F631,請求台帳!$A$5:$A$504,0)),""))</f>
        <v/>
      </c>
      <c r="J631" s="28" t="str">
        <f aca="false">IF(COUNTA(B631,D631,E631,F631)=0,"",IF(OR(B631="",E631=""),"要入力",IF(N(B631)&gt;設定!$C$5,"日付誤り",IF(F631="","未消込",IF(ISNA(MATCH(F631,請求台帳!$A$5:$A$504,0)),"番号誤り",IF(INDEX(請求台帳!$Q$5:$Q$504,MATCH(F631,請求台帳!$A$5:$A$504,0))="取消","取消請求へ消込","消込済"))))))</f>
        <v/>
      </c>
      <c r="K631" s="26"/>
      <c r="L631" s="26"/>
    </row>
    <row r="632" customFormat="false" ht="15" hidden="false" customHeight="false" outlineLevel="0" collapsed="false">
      <c r="A632" s="31" t="str">
        <f aca="false">IF(COUNTA(B632,D632,E632,F632)=0,"",ROW()-4)</f>
        <v/>
      </c>
      <c r="B632" s="22"/>
      <c r="C632" s="26"/>
      <c r="D632" s="26"/>
      <c r="E632" s="18"/>
      <c r="F632" s="26"/>
      <c r="G632" s="31" t="str">
        <f aca="false">IF(F632="","",IFERROR(INDEX(請求台帳!$C$5:$C$504,MATCH(F632,請求台帳!$A$5:$A$504,0)),""))</f>
        <v/>
      </c>
      <c r="H632" s="31" t="str">
        <f aca="false">IF(F632="","",IFERROR(INDEX(請求台帳!$D$5:$D$504,MATCH(F632,請求台帳!$A$5:$A$504,0)),""))</f>
        <v/>
      </c>
      <c r="I632" s="27" t="str">
        <f aca="false">IF(F632="","",IFERROR(INDEX(請求台帳!$F$5:$F$504,MATCH(F632,請求台帳!$A$5:$A$504,0)),""))</f>
        <v/>
      </c>
      <c r="J632" s="28" t="str">
        <f aca="false">IF(COUNTA(B632,D632,E632,F632)=0,"",IF(OR(B632="",E632=""),"要入力",IF(N(B632)&gt;設定!$C$5,"日付誤り",IF(F632="","未消込",IF(ISNA(MATCH(F632,請求台帳!$A$5:$A$504,0)),"番号誤り",IF(INDEX(請求台帳!$Q$5:$Q$504,MATCH(F632,請求台帳!$A$5:$A$504,0))="取消","取消請求へ消込","消込済"))))))</f>
        <v/>
      </c>
      <c r="K632" s="26"/>
      <c r="L632" s="26"/>
    </row>
    <row r="633" customFormat="false" ht="15" hidden="false" customHeight="false" outlineLevel="0" collapsed="false">
      <c r="A633" s="31" t="str">
        <f aca="false">IF(COUNTA(B633,D633,E633,F633)=0,"",ROW()-4)</f>
        <v/>
      </c>
      <c r="B633" s="22"/>
      <c r="C633" s="26"/>
      <c r="D633" s="26"/>
      <c r="E633" s="18"/>
      <c r="F633" s="26"/>
      <c r="G633" s="31" t="str">
        <f aca="false">IF(F633="","",IFERROR(INDEX(請求台帳!$C$5:$C$504,MATCH(F633,請求台帳!$A$5:$A$504,0)),""))</f>
        <v/>
      </c>
      <c r="H633" s="31" t="str">
        <f aca="false">IF(F633="","",IFERROR(INDEX(請求台帳!$D$5:$D$504,MATCH(F633,請求台帳!$A$5:$A$504,0)),""))</f>
        <v/>
      </c>
      <c r="I633" s="27" t="str">
        <f aca="false">IF(F633="","",IFERROR(INDEX(請求台帳!$F$5:$F$504,MATCH(F633,請求台帳!$A$5:$A$504,0)),""))</f>
        <v/>
      </c>
      <c r="J633" s="28" t="str">
        <f aca="false">IF(COUNTA(B633,D633,E633,F633)=0,"",IF(OR(B633="",E633=""),"要入力",IF(N(B633)&gt;設定!$C$5,"日付誤り",IF(F633="","未消込",IF(ISNA(MATCH(F633,請求台帳!$A$5:$A$504,0)),"番号誤り",IF(INDEX(請求台帳!$Q$5:$Q$504,MATCH(F633,請求台帳!$A$5:$A$504,0))="取消","取消請求へ消込","消込済"))))))</f>
        <v/>
      </c>
      <c r="K633" s="26"/>
      <c r="L633" s="26"/>
    </row>
    <row r="634" customFormat="false" ht="15" hidden="false" customHeight="false" outlineLevel="0" collapsed="false">
      <c r="A634" s="31" t="str">
        <f aca="false">IF(COUNTA(B634,D634,E634,F634)=0,"",ROW()-4)</f>
        <v/>
      </c>
      <c r="B634" s="22"/>
      <c r="C634" s="26"/>
      <c r="D634" s="26"/>
      <c r="E634" s="18"/>
      <c r="F634" s="26"/>
      <c r="G634" s="31" t="str">
        <f aca="false">IF(F634="","",IFERROR(INDEX(請求台帳!$C$5:$C$504,MATCH(F634,請求台帳!$A$5:$A$504,0)),""))</f>
        <v/>
      </c>
      <c r="H634" s="31" t="str">
        <f aca="false">IF(F634="","",IFERROR(INDEX(請求台帳!$D$5:$D$504,MATCH(F634,請求台帳!$A$5:$A$504,0)),""))</f>
        <v/>
      </c>
      <c r="I634" s="27" t="str">
        <f aca="false">IF(F634="","",IFERROR(INDEX(請求台帳!$F$5:$F$504,MATCH(F634,請求台帳!$A$5:$A$504,0)),""))</f>
        <v/>
      </c>
      <c r="J634" s="28" t="str">
        <f aca="false">IF(COUNTA(B634,D634,E634,F634)=0,"",IF(OR(B634="",E634=""),"要入力",IF(N(B634)&gt;設定!$C$5,"日付誤り",IF(F634="","未消込",IF(ISNA(MATCH(F634,請求台帳!$A$5:$A$504,0)),"番号誤り",IF(INDEX(請求台帳!$Q$5:$Q$504,MATCH(F634,請求台帳!$A$5:$A$504,0))="取消","取消請求へ消込","消込済"))))))</f>
        <v/>
      </c>
      <c r="K634" s="26"/>
      <c r="L634" s="26"/>
    </row>
    <row r="635" customFormat="false" ht="15" hidden="false" customHeight="false" outlineLevel="0" collapsed="false">
      <c r="A635" s="31" t="str">
        <f aca="false">IF(COUNTA(B635,D635,E635,F635)=0,"",ROW()-4)</f>
        <v/>
      </c>
      <c r="B635" s="22"/>
      <c r="C635" s="26"/>
      <c r="D635" s="26"/>
      <c r="E635" s="18"/>
      <c r="F635" s="26"/>
      <c r="G635" s="31" t="str">
        <f aca="false">IF(F635="","",IFERROR(INDEX(請求台帳!$C$5:$C$504,MATCH(F635,請求台帳!$A$5:$A$504,0)),""))</f>
        <v/>
      </c>
      <c r="H635" s="31" t="str">
        <f aca="false">IF(F635="","",IFERROR(INDEX(請求台帳!$D$5:$D$504,MATCH(F635,請求台帳!$A$5:$A$504,0)),""))</f>
        <v/>
      </c>
      <c r="I635" s="27" t="str">
        <f aca="false">IF(F635="","",IFERROR(INDEX(請求台帳!$F$5:$F$504,MATCH(F635,請求台帳!$A$5:$A$504,0)),""))</f>
        <v/>
      </c>
      <c r="J635" s="28" t="str">
        <f aca="false">IF(COUNTA(B635,D635,E635,F635)=0,"",IF(OR(B635="",E635=""),"要入力",IF(N(B635)&gt;設定!$C$5,"日付誤り",IF(F635="","未消込",IF(ISNA(MATCH(F635,請求台帳!$A$5:$A$504,0)),"番号誤り",IF(INDEX(請求台帳!$Q$5:$Q$504,MATCH(F635,請求台帳!$A$5:$A$504,0))="取消","取消請求へ消込","消込済"))))))</f>
        <v/>
      </c>
      <c r="K635" s="26"/>
      <c r="L635" s="26"/>
    </row>
    <row r="636" customFormat="false" ht="15" hidden="false" customHeight="false" outlineLevel="0" collapsed="false">
      <c r="A636" s="31" t="str">
        <f aca="false">IF(COUNTA(B636,D636,E636,F636)=0,"",ROW()-4)</f>
        <v/>
      </c>
      <c r="B636" s="22"/>
      <c r="C636" s="26"/>
      <c r="D636" s="26"/>
      <c r="E636" s="18"/>
      <c r="F636" s="26"/>
      <c r="G636" s="31" t="str">
        <f aca="false">IF(F636="","",IFERROR(INDEX(請求台帳!$C$5:$C$504,MATCH(F636,請求台帳!$A$5:$A$504,0)),""))</f>
        <v/>
      </c>
      <c r="H636" s="31" t="str">
        <f aca="false">IF(F636="","",IFERROR(INDEX(請求台帳!$D$5:$D$504,MATCH(F636,請求台帳!$A$5:$A$504,0)),""))</f>
        <v/>
      </c>
      <c r="I636" s="27" t="str">
        <f aca="false">IF(F636="","",IFERROR(INDEX(請求台帳!$F$5:$F$504,MATCH(F636,請求台帳!$A$5:$A$504,0)),""))</f>
        <v/>
      </c>
      <c r="J636" s="28" t="str">
        <f aca="false">IF(COUNTA(B636,D636,E636,F636)=0,"",IF(OR(B636="",E636=""),"要入力",IF(N(B636)&gt;設定!$C$5,"日付誤り",IF(F636="","未消込",IF(ISNA(MATCH(F636,請求台帳!$A$5:$A$504,0)),"番号誤り",IF(INDEX(請求台帳!$Q$5:$Q$504,MATCH(F636,請求台帳!$A$5:$A$504,0))="取消","取消請求へ消込","消込済"))))))</f>
        <v/>
      </c>
      <c r="K636" s="26"/>
      <c r="L636" s="26"/>
    </row>
    <row r="637" customFormat="false" ht="15" hidden="false" customHeight="false" outlineLevel="0" collapsed="false">
      <c r="A637" s="31" t="str">
        <f aca="false">IF(COUNTA(B637,D637,E637,F637)=0,"",ROW()-4)</f>
        <v/>
      </c>
      <c r="B637" s="22"/>
      <c r="C637" s="26"/>
      <c r="D637" s="26"/>
      <c r="E637" s="18"/>
      <c r="F637" s="26"/>
      <c r="G637" s="31" t="str">
        <f aca="false">IF(F637="","",IFERROR(INDEX(請求台帳!$C$5:$C$504,MATCH(F637,請求台帳!$A$5:$A$504,0)),""))</f>
        <v/>
      </c>
      <c r="H637" s="31" t="str">
        <f aca="false">IF(F637="","",IFERROR(INDEX(請求台帳!$D$5:$D$504,MATCH(F637,請求台帳!$A$5:$A$504,0)),""))</f>
        <v/>
      </c>
      <c r="I637" s="27" t="str">
        <f aca="false">IF(F637="","",IFERROR(INDEX(請求台帳!$F$5:$F$504,MATCH(F637,請求台帳!$A$5:$A$504,0)),""))</f>
        <v/>
      </c>
      <c r="J637" s="28" t="str">
        <f aca="false">IF(COUNTA(B637,D637,E637,F637)=0,"",IF(OR(B637="",E637=""),"要入力",IF(N(B637)&gt;設定!$C$5,"日付誤り",IF(F637="","未消込",IF(ISNA(MATCH(F637,請求台帳!$A$5:$A$504,0)),"番号誤り",IF(INDEX(請求台帳!$Q$5:$Q$504,MATCH(F637,請求台帳!$A$5:$A$504,0))="取消","取消請求へ消込","消込済"))))))</f>
        <v/>
      </c>
      <c r="K637" s="26"/>
      <c r="L637" s="26"/>
    </row>
    <row r="638" customFormat="false" ht="15" hidden="false" customHeight="false" outlineLevel="0" collapsed="false">
      <c r="A638" s="31" t="str">
        <f aca="false">IF(COUNTA(B638,D638,E638,F638)=0,"",ROW()-4)</f>
        <v/>
      </c>
      <c r="B638" s="22"/>
      <c r="C638" s="26"/>
      <c r="D638" s="26"/>
      <c r="E638" s="18"/>
      <c r="F638" s="26"/>
      <c r="G638" s="31" t="str">
        <f aca="false">IF(F638="","",IFERROR(INDEX(請求台帳!$C$5:$C$504,MATCH(F638,請求台帳!$A$5:$A$504,0)),""))</f>
        <v/>
      </c>
      <c r="H638" s="31" t="str">
        <f aca="false">IF(F638="","",IFERROR(INDEX(請求台帳!$D$5:$D$504,MATCH(F638,請求台帳!$A$5:$A$504,0)),""))</f>
        <v/>
      </c>
      <c r="I638" s="27" t="str">
        <f aca="false">IF(F638="","",IFERROR(INDEX(請求台帳!$F$5:$F$504,MATCH(F638,請求台帳!$A$5:$A$504,0)),""))</f>
        <v/>
      </c>
      <c r="J638" s="28" t="str">
        <f aca="false">IF(COUNTA(B638,D638,E638,F638)=0,"",IF(OR(B638="",E638=""),"要入力",IF(N(B638)&gt;設定!$C$5,"日付誤り",IF(F638="","未消込",IF(ISNA(MATCH(F638,請求台帳!$A$5:$A$504,0)),"番号誤り",IF(INDEX(請求台帳!$Q$5:$Q$504,MATCH(F638,請求台帳!$A$5:$A$504,0))="取消","取消請求へ消込","消込済"))))))</f>
        <v/>
      </c>
      <c r="K638" s="26"/>
      <c r="L638" s="26"/>
    </row>
    <row r="639" customFormat="false" ht="15" hidden="false" customHeight="false" outlineLevel="0" collapsed="false">
      <c r="A639" s="31" t="str">
        <f aca="false">IF(COUNTA(B639,D639,E639,F639)=0,"",ROW()-4)</f>
        <v/>
      </c>
      <c r="B639" s="22"/>
      <c r="C639" s="26"/>
      <c r="D639" s="26"/>
      <c r="E639" s="18"/>
      <c r="F639" s="26"/>
      <c r="G639" s="31" t="str">
        <f aca="false">IF(F639="","",IFERROR(INDEX(請求台帳!$C$5:$C$504,MATCH(F639,請求台帳!$A$5:$A$504,0)),""))</f>
        <v/>
      </c>
      <c r="H639" s="31" t="str">
        <f aca="false">IF(F639="","",IFERROR(INDEX(請求台帳!$D$5:$D$504,MATCH(F639,請求台帳!$A$5:$A$504,0)),""))</f>
        <v/>
      </c>
      <c r="I639" s="27" t="str">
        <f aca="false">IF(F639="","",IFERROR(INDEX(請求台帳!$F$5:$F$504,MATCH(F639,請求台帳!$A$5:$A$504,0)),""))</f>
        <v/>
      </c>
      <c r="J639" s="28" t="str">
        <f aca="false">IF(COUNTA(B639,D639,E639,F639)=0,"",IF(OR(B639="",E639=""),"要入力",IF(N(B639)&gt;設定!$C$5,"日付誤り",IF(F639="","未消込",IF(ISNA(MATCH(F639,請求台帳!$A$5:$A$504,0)),"番号誤り",IF(INDEX(請求台帳!$Q$5:$Q$504,MATCH(F639,請求台帳!$A$5:$A$504,0))="取消","取消請求へ消込","消込済"))))))</f>
        <v/>
      </c>
      <c r="K639" s="26"/>
      <c r="L639" s="26"/>
    </row>
    <row r="640" customFormat="false" ht="15" hidden="false" customHeight="false" outlineLevel="0" collapsed="false">
      <c r="A640" s="31" t="str">
        <f aca="false">IF(COUNTA(B640,D640,E640,F640)=0,"",ROW()-4)</f>
        <v/>
      </c>
      <c r="B640" s="22"/>
      <c r="C640" s="26"/>
      <c r="D640" s="26"/>
      <c r="E640" s="18"/>
      <c r="F640" s="26"/>
      <c r="G640" s="31" t="str">
        <f aca="false">IF(F640="","",IFERROR(INDEX(請求台帳!$C$5:$C$504,MATCH(F640,請求台帳!$A$5:$A$504,0)),""))</f>
        <v/>
      </c>
      <c r="H640" s="31" t="str">
        <f aca="false">IF(F640="","",IFERROR(INDEX(請求台帳!$D$5:$D$504,MATCH(F640,請求台帳!$A$5:$A$504,0)),""))</f>
        <v/>
      </c>
      <c r="I640" s="27" t="str">
        <f aca="false">IF(F640="","",IFERROR(INDEX(請求台帳!$F$5:$F$504,MATCH(F640,請求台帳!$A$5:$A$504,0)),""))</f>
        <v/>
      </c>
      <c r="J640" s="28" t="str">
        <f aca="false">IF(COUNTA(B640,D640,E640,F640)=0,"",IF(OR(B640="",E640=""),"要入力",IF(N(B640)&gt;設定!$C$5,"日付誤り",IF(F640="","未消込",IF(ISNA(MATCH(F640,請求台帳!$A$5:$A$504,0)),"番号誤り",IF(INDEX(請求台帳!$Q$5:$Q$504,MATCH(F640,請求台帳!$A$5:$A$504,0))="取消","取消請求へ消込","消込済"))))))</f>
        <v/>
      </c>
      <c r="K640" s="26"/>
      <c r="L640" s="26"/>
    </row>
    <row r="641" customFormat="false" ht="15" hidden="false" customHeight="false" outlineLevel="0" collapsed="false">
      <c r="A641" s="31" t="str">
        <f aca="false">IF(COUNTA(B641,D641,E641,F641)=0,"",ROW()-4)</f>
        <v/>
      </c>
      <c r="B641" s="22"/>
      <c r="C641" s="26"/>
      <c r="D641" s="26"/>
      <c r="E641" s="18"/>
      <c r="F641" s="26"/>
      <c r="G641" s="31" t="str">
        <f aca="false">IF(F641="","",IFERROR(INDEX(請求台帳!$C$5:$C$504,MATCH(F641,請求台帳!$A$5:$A$504,0)),""))</f>
        <v/>
      </c>
      <c r="H641" s="31" t="str">
        <f aca="false">IF(F641="","",IFERROR(INDEX(請求台帳!$D$5:$D$504,MATCH(F641,請求台帳!$A$5:$A$504,0)),""))</f>
        <v/>
      </c>
      <c r="I641" s="27" t="str">
        <f aca="false">IF(F641="","",IFERROR(INDEX(請求台帳!$F$5:$F$504,MATCH(F641,請求台帳!$A$5:$A$504,0)),""))</f>
        <v/>
      </c>
      <c r="J641" s="28" t="str">
        <f aca="false">IF(COUNTA(B641,D641,E641,F641)=0,"",IF(OR(B641="",E641=""),"要入力",IF(N(B641)&gt;設定!$C$5,"日付誤り",IF(F641="","未消込",IF(ISNA(MATCH(F641,請求台帳!$A$5:$A$504,0)),"番号誤り",IF(INDEX(請求台帳!$Q$5:$Q$504,MATCH(F641,請求台帳!$A$5:$A$504,0))="取消","取消請求へ消込","消込済"))))))</f>
        <v/>
      </c>
      <c r="K641" s="26"/>
      <c r="L641" s="26"/>
    </row>
    <row r="642" customFormat="false" ht="15" hidden="false" customHeight="false" outlineLevel="0" collapsed="false">
      <c r="A642" s="31" t="str">
        <f aca="false">IF(COUNTA(B642,D642,E642,F642)=0,"",ROW()-4)</f>
        <v/>
      </c>
      <c r="B642" s="22"/>
      <c r="C642" s="26"/>
      <c r="D642" s="26"/>
      <c r="E642" s="18"/>
      <c r="F642" s="26"/>
      <c r="G642" s="31" t="str">
        <f aca="false">IF(F642="","",IFERROR(INDEX(請求台帳!$C$5:$C$504,MATCH(F642,請求台帳!$A$5:$A$504,0)),""))</f>
        <v/>
      </c>
      <c r="H642" s="31" t="str">
        <f aca="false">IF(F642="","",IFERROR(INDEX(請求台帳!$D$5:$D$504,MATCH(F642,請求台帳!$A$5:$A$504,0)),""))</f>
        <v/>
      </c>
      <c r="I642" s="27" t="str">
        <f aca="false">IF(F642="","",IFERROR(INDEX(請求台帳!$F$5:$F$504,MATCH(F642,請求台帳!$A$5:$A$504,0)),""))</f>
        <v/>
      </c>
      <c r="J642" s="28" t="str">
        <f aca="false">IF(COUNTA(B642,D642,E642,F642)=0,"",IF(OR(B642="",E642=""),"要入力",IF(N(B642)&gt;設定!$C$5,"日付誤り",IF(F642="","未消込",IF(ISNA(MATCH(F642,請求台帳!$A$5:$A$504,0)),"番号誤り",IF(INDEX(請求台帳!$Q$5:$Q$504,MATCH(F642,請求台帳!$A$5:$A$504,0))="取消","取消請求へ消込","消込済"))))))</f>
        <v/>
      </c>
      <c r="K642" s="26"/>
      <c r="L642" s="26"/>
    </row>
    <row r="643" customFormat="false" ht="15" hidden="false" customHeight="false" outlineLevel="0" collapsed="false">
      <c r="A643" s="31" t="str">
        <f aca="false">IF(COUNTA(B643,D643,E643,F643)=0,"",ROW()-4)</f>
        <v/>
      </c>
      <c r="B643" s="22"/>
      <c r="C643" s="26"/>
      <c r="D643" s="26"/>
      <c r="E643" s="18"/>
      <c r="F643" s="26"/>
      <c r="G643" s="31" t="str">
        <f aca="false">IF(F643="","",IFERROR(INDEX(請求台帳!$C$5:$C$504,MATCH(F643,請求台帳!$A$5:$A$504,0)),""))</f>
        <v/>
      </c>
      <c r="H643" s="31" t="str">
        <f aca="false">IF(F643="","",IFERROR(INDEX(請求台帳!$D$5:$D$504,MATCH(F643,請求台帳!$A$5:$A$504,0)),""))</f>
        <v/>
      </c>
      <c r="I643" s="27" t="str">
        <f aca="false">IF(F643="","",IFERROR(INDEX(請求台帳!$F$5:$F$504,MATCH(F643,請求台帳!$A$5:$A$504,0)),""))</f>
        <v/>
      </c>
      <c r="J643" s="28" t="str">
        <f aca="false">IF(COUNTA(B643,D643,E643,F643)=0,"",IF(OR(B643="",E643=""),"要入力",IF(N(B643)&gt;設定!$C$5,"日付誤り",IF(F643="","未消込",IF(ISNA(MATCH(F643,請求台帳!$A$5:$A$504,0)),"番号誤り",IF(INDEX(請求台帳!$Q$5:$Q$504,MATCH(F643,請求台帳!$A$5:$A$504,0))="取消","取消請求へ消込","消込済"))))))</f>
        <v/>
      </c>
      <c r="K643" s="26"/>
      <c r="L643" s="26"/>
    </row>
    <row r="644" customFormat="false" ht="15" hidden="false" customHeight="false" outlineLevel="0" collapsed="false">
      <c r="A644" s="31" t="str">
        <f aca="false">IF(COUNTA(B644,D644,E644,F644)=0,"",ROW()-4)</f>
        <v/>
      </c>
      <c r="B644" s="22"/>
      <c r="C644" s="26"/>
      <c r="D644" s="26"/>
      <c r="E644" s="18"/>
      <c r="F644" s="26"/>
      <c r="G644" s="31" t="str">
        <f aca="false">IF(F644="","",IFERROR(INDEX(請求台帳!$C$5:$C$504,MATCH(F644,請求台帳!$A$5:$A$504,0)),""))</f>
        <v/>
      </c>
      <c r="H644" s="31" t="str">
        <f aca="false">IF(F644="","",IFERROR(INDEX(請求台帳!$D$5:$D$504,MATCH(F644,請求台帳!$A$5:$A$504,0)),""))</f>
        <v/>
      </c>
      <c r="I644" s="27" t="str">
        <f aca="false">IF(F644="","",IFERROR(INDEX(請求台帳!$F$5:$F$504,MATCH(F644,請求台帳!$A$5:$A$504,0)),""))</f>
        <v/>
      </c>
      <c r="J644" s="28" t="str">
        <f aca="false">IF(COUNTA(B644,D644,E644,F644)=0,"",IF(OR(B644="",E644=""),"要入力",IF(N(B644)&gt;設定!$C$5,"日付誤り",IF(F644="","未消込",IF(ISNA(MATCH(F644,請求台帳!$A$5:$A$504,0)),"番号誤り",IF(INDEX(請求台帳!$Q$5:$Q$504,MATCH(F644,請求台帳!$A$5:$A$504,0))="取消","取消請求へ消込","消込済"))))))</f>
        <v/>
      </c>
      <c r="K644" s="26"/>
      <c r="L644" s="26"/>
    </row>
    <row r="645" customFormat="false" ht="15" hidden="false" customHeight="false" outlineLevel="0" collapsed="false">
      <c r="A645" s="31" t="str">
        <f aca="false">IF(COUNTA(B645,D645,E645,F645)=0,"",ROW()-4)</f>
        <v/>
      </c>
      <c r="B645" s="22"/>
      <c r="C645" s="26"/>
      <c r="D645" s="26"/>
      <c r="E645" s="18"/>
      <c r="F645" s="26"/>
      <c r="G645" s="31" t="str">
        <f aca="false">IF(F645="","",IFERROR(INDEX(請求台帳!$C$5:$C$504,MATCH(F645,請求台帳!$A$5:$A$504,0)),""))</f>
        <v/>
      </c>
      <c r="H645" s="31" t="str">
        <f aca="false">IF(F645="","",IFERROR(INDEX(請求台帳!$D$5:$D$504,MATCH(F645,請求台帳!$A$5:$A$504,0)),""))</f>
        <v/>
      </c>
      <c r="I645" s="27" t="str">
        <f aca="false">IF(F645="","",IFERROR(INDEX(請求台帳!$F$5:$F$504,MATCH(F645,請求台帳!$A$5:$A$504,0)),""))</f>
        <v/>
      </c>
      <c r="J645" s="28" t="str">
        <f aca="false">IF(COUNTA(B645,D645,E645,F645)=0,"",IF(OR(B645="",E645=""),"要入力",IF(N(B645)&gt;設定!$C$5,"日付誤り",IF(F645="","未消込",IF(ISNA(MATCH(F645,請求台帳!$A$5:$A$504,0)),"番号誤り",IF(INDEX(請求台帳!$Q$5:$Q$504,MATCH(F645,請求台帳!$A$5:$A$504,0))="取消","取消請求へ消込","消込済"))))))</f>
        <v/>
      </c>
      <c r="K645" s="26"/>
      <c r="L645" s="26"/>
    </row>
    <row r="646" customFormat="false" ht="15" hidden="false" customHeight="false" outlineLevel="0" collapsed="false">
      <c r="A646" s="31" t="str">
        <f aca="false">IF(COUNTA(B646,D646,E646,F646)=0,"",ROW()-4)</f>
        <v/>
      </c>
      <c r="B646" s="22"/>
      <c r="C646" s="26"/>
      <c r="D646" s="26"/>
      <c r="E646" s="18"/>
      <c r="F646" s="26"/>
      <c r="G646" s="31" t="str">
        <f aca="false">IF(F646="","",IFERROR(INDEX(請求台帳!$C$5:$C$504,MATCH(F646,請求台帳!$A$5:$A$504,0)),""))</f>
        <v/>
      </c>
      <c r="H646" s="31" t="str">
        <f aca="false">IF(F646="","",IFERROR(INDEX(請求台帳!$D$5:$D$504,MATCH(F646,請求台帳!$A$5:$A$504,0)),""))</f>
        <v/>
      </c>
      <c r="I646" s="27" t="str">
        <f aca="false">IF(F646="","",IFERROR(INDEX(請求台帳!$F$5:$F$504,MATCH(F646,請求台帳!$A$5:$A$504,0)),""))</f>
        <v/>
      </c>
      <c r="J646" s="28" t="str">
        <f aca="false">IF(COUNTA(B646,D646,E646,F646)=0,"",IF(OR(B646="",E646=""),"要入力",IF(N(B646)&gt;設定!$C$5,"日付誤り",IF(F646="","未消込",IF(ISNA(MATCH(F646,請求台帳!$A$5:$A$504,0)),"番号誤り",IF(INDEX(請求台帳!$Q$5:$Q$504,MATCH(F646,請求台帳!$A$5:$A$504,0))="取消","取消請求へ消込","消込済"))))))</f>
        <v/>
      </c>
      <c r="K646" s="26"/>
      <c r="L646" s="26"/>
    </row>
    <row r="647" customFormat="false" ht="15" hidden="false" customHeight="false" outlineLevel="0" collapsed="false">
      <c r="A647" s="31" t="str">
        <f aca="false">IF(COUNTA(B647,D647,E647,F647)=0,"",ROW()-4)</f>
        <v/>
      </c>
      <c r="B647" s="22"/>
      <c r="C647" s="26"/>
      <c r="D647" s="26"/>
      <c r="E647" s="18"/>
      <c r="F647" s="26"/>
      <c r="G647" s="31" t="str">
        <f aca="false">IF(F647="","",IFERROR(INDEX(請求台帳!$C$5:$C$504,MATCH(F647,請求台帳!$A$5:$A$504,0)),""))</f>
        <v/>
      </c>
      <c r="H647" s="31" t="str">
        <f aca="false">IF(F647="","",IFERROR(INDEX(請求台帳!$D$5:$D$504,MATCH(F647,請求台帳!$A$5:$A$504,0)),""))</f>
        <v/>
      </c>
      <c r="I647" s="27" t="str">
        <f aca="false">IF(F647="","",IFERROR(INDEX(請求台帳!$F$5:$F$504,MATCH(F647,請求台帳!$A$5:$A$504,0)),""))</f>
        <v/>
      </c>
      <c r="J647" s="28" t="str">
        <f aca="false">IF(COUNTA(B647,D647,E647,F647)=0,"",IF(OR(B647="",E647=""),"要入力",IF(N(B647)&gt;設定!$C$5,"日付誤り",IF(F647="","未消込",IF(ISNA(MATCH(F647,請求台帳!$A$5:$A$504,0)),"番号誤り",IF(INDEX(請求台帳!$Q$5:$Q$504,MATCH(F647,請求台帳!$A$5:$A$504,0))="取消","取消請求へ消込","消込済"))))))</f>
        <v/>
      </c>
      <c r="K647" s="26"/>
      <c r="L647" s="26"/>
    </row>
    <row r="648" customFormat="false" ht="15" hidden="false" customHeight="false" outlineLevel="0" collapsed="false">
      <c r="A648" s="31" t="str">
        <f aca="false">IF(COUNTA(B648,D648,E648,F648)=0,"",ROW()-4)</f>
        <v/>
      </c>
      <c r="B648" s="22"/>
      <c r="C648" s="26"/>
      <c r="D648" s="26"/>
      <c r="E648" s="18"/>
      <c r="F648" s="26"/>
      <c r="G648" s="31" t="str">
        <f aca="false">IF(F648="","",IFERROR(INDEX(請求台帳!$C$5:$C$504,MATCH(F648,請求台帳!$A$5:$A$504,0)),""))</f>
        <v/>
      </c>
      <c r="H648" s="31" t="str">
        <f aca="false">IF(F648="","",IFERROR(INDEX(請求台帳!$D$5:$D$504,MATCH(F648,請求台帳!$A$5:$A$504,0)),""))</f>
        <v/>
      </c>
      <c r="I648" s="27" t="str">
        <f aca="false">IF(F648="","",IFERROR(INDEX(請求台帳!$F$5:$F$504,MATCH(F648,請求台帳!$A$5:$A$504,0)),""))</f>
        <v/>
      </c>
      <c r="J648" s="28" t="str">
        <f aca="false">IF(COUNTA(B648,D648,E648,F648)=0,"",IF(OR(B648="",E648=""),"要入力",IF(N(B648)&gt;設定!$C$5,"日付誤り",IF(F648="","未消込",IF(ISNA(MATCH(F648,請求台帳!$A$5:$A$504,0)),"番号誤り",IF(INDEX(請求台帳!$Q$5:$Q$504,MATCH(F648,請求台帳!$A$5:$A$504,0))="取消","取消請求へ消込","消込済"))))))</f>
        <v/>
      </c>
      <c r="K648" s="26"/>
      <c r="L648" s="26"/>
    </row>
    <row r="649" customFormat="false" ht="15" hidden="false" customHeight="false" outlineLevel="0" collapsed="false">
      <c r="A649" s="31" t="str">
        <f aca="false">IF(COUNTA(B649,D649,E649,F649)=0,"",ROW()-4)</f>
        <v/>
      </c>
      <c r="B649" s="22"/>
      <c r="C649" s="26"/>
      <c r="D649" s="26"/>
      <c r="E649" s="18"/>
      <c r="F649" s="26"/>
      <c r="G649" s="31" t="str">
        <f aca="false">IF(F649="","",IFERROR(INDEX(請求台帳!$C$5:$C$504,MATCH(F649,請求台帳!$A$5:$A$504,0)),""))</f>
        <v/>
      </c>
      <c r="H649" s="31" t="str">
        <f aca="false">IF(F649="","",IFERROR(INDEX(請求台帳!$D$5:$D$504,MATCH(F649,請求台帳!$A$5:$A$504,0)),""))</f>
        <v/>
      </c>
      <c r="I649" s="27" t="str">
        <f aca="false">IF(F649="","",IFERROR(INDEX(請求台帳!$F$5:$F$504,MATCH(F649,請求台帳!$A$5:$A$504,0)),""))</f>
        <v/>
      </c>
      <c r="J649" s="28" t="str">
        <f aca="false">IF(COUNTA(B649,D649,E649,F649)=0,"",IF(OR(B649="",E649=""),"要入力",IF(N(B649)&gt;設定!$C$5,"日付誤り",IF(F649="","未消込",IF(ISNA(MATCH(F649,請求台帳!$A$5:$A$504,0)),"番号誤り",IF(INDEX(請求台帳!$Q$5:$Q$504,MATCH(F649,請求台帳!$A$5:$A$504,0))="取消","取消請求へ消込","消込済"))))))</f>
        <v/>
      </c>
      <c r="K649" s="26"/>
      <c r="L649" s="26"/>
    </row>
    <row r="650" customFormat="false" ht="15" hidden="false" customHeight="false" outlineLevel="0" collapsed="false">
      <c r="A650" s="31" t="str">
        <f aca="false">IF(COUNTA(B650,D650,E650,F650)=0,"",ROW()-4)</f>
        <v/>
      </c>
      <c r="B650" s="22"/>
      <c r="C650" s="26"/>
      <c r="D650" s="26"/>
      <c r="E650" s="18"/>
      <c r="F650" s="26"/>
      <c r="G650" s="31" t="str">
        <f aca="false">IF(F650="","",IFERROR(INDEX(請求台帳!$C$5:$C$504,MATCH(F650,請求台帳!$A$5:$A$504,0)),""))</f>
        <v/>
      </c>
      <c r="H650" s="31" t="str">
        <f aca="false">IF(F650="","",IFERROR(INDEX(請求台帳!$D$5:$D$504,MATCH(F650,請求台帳!$A$5:$A$504,0)),""))</f>
        <v/>
      </c>
      <c r="I650" s="27" t="str">
        <f aca="false">IF(F650="","",IFERROR(INDEX(請求台帳!$F$5:$F$504,MATCH(F650,請求台帳!$A$5:$A$504,0)),""))</f>
        <v/>
      </c>
      <c r="J650" s="28" t="str">
        <f aca="false">IF(COUNTA(B650,D650,E650,F650)=0,"",IF(OR(B650="",E650=""),"要入力",IF(N(B650)&gt;設定!$C$5,"日付誤り",IF(F650="","未消込",IF(ISNA(MATCH(F650,請求台帳!$A$5:$A$504,0)),"番号誤り",IF(INDEX(請求台帳!$Q$5:$Q$504,MATCH(F650,請求台帳!$A$5:$A$504,0))="取消","取消請求へ消込","消込済"))))))</f>
        <v/>
      </c>
      <c r="K650" s="26"/>
      <c r="L650" s="26"/>
    </row>
    <row r="651" customFormat="false" ht="15" hidden="false" customHeight="false" outlineLevel="0" collapsed="false">
      <c r="A651" s="31" t="str">
        <f aca="false">IF(COUNTA(B651,D651,E651,F651)=0,"",ROW()-4)</f>
        <v/>
      </c>
      <c r="B651" s="22"/>
      <c r="C651" s="26"/>
      <c r="D651" s="26"/>
      <c r="E651" s="18"/>
      <c r="F651" s="26"/>
      <c r="G651" s="31" t="str">
        <f aca="false">IF(F651="","",IFERROR(INDEX(請求台帳!$C$5:$C$504,MATCH(F651,請求台帳!$A$5:$A$504,0)),""))</f>
        <v/>
      </c>
      <c r="H651" s="31" t="str">
        <f aca="false">IF(F651="","",IFERROR(INDEX(請求台帳!$D$5:$D$504,MATCH(F651,請求台帳!$A$5:$A$504,0)),""))</f>
        <v/>
      </c>
      <c r="I651" s="27" t="str">
        <f aca="false">IF(F651="","",IFERROR(INDEX(請求台帳!$F$5:$F$504,MATCH(F651,請求台帳!$A$5:$A$504,0)),""))</f>
        <v/>
      </c>
      <c r="J651" s="28" t="str">
        <f aca="false">IF(COUNTA(B651,D651,E651,F651)=0,"",IF(OR(B651="",E651=""),"要入力",IF(N(B651)&gt;設定!$C$5,"日付誤り",IF(F651="","未消込",IF(ISNA(MATCH(F651,請求台帳!$A$5:$A$504,0)),"番号誤り",IF(INDEX(請求台帳!$Q$5:$Q$504,MATCH(F651,請求台帳!$A$5:$A$504,0))="取消","取消請求へ消込","消込済"))))))</f>
        <v/>
      </c>
      <c r="K651" s="26"/>
      <c r="L651" s="26"/>
    </row>
    <row r="652" customFormat="false" ht="15" hidden="false" customHeight="false" outlineLevel="0" collapsed="false">
      <c r="A652" s="31" t="str">
        <f aca="false">IF(COUNTA(B652,D652,E652,F652)=0,"",ROW()-4)</f>
        <v/>
      </c>
      <c r="B652" s="22"/>
      <c r="C652" s="26"/>
      <c r="D652" s="26"/>
      <c r="E652" s="18"/>
      <c r="F652" s="26"/>
      <c r="G652" s="31" t="str">
        <f aca="false">IF(F652="","",IFERROR(INDEX(請求台帳!$C$5:$C$504,MATCH(F652,請求台帳!$A$5:$A$504,0)),""))</f>
        <v/>
      </c>
      <c r="H652" s="31" t="str">
        <f aca="false">IF(F652="","",IFERROR(INDEX(請求台帳!$D$5:$D$504,MATCH(F652,請求台帳!$A$5:$A$504,0)),""))</f>
        <v/>
      </c>
      <c r="I652" s="27" t="str">
        <f aca="false">IF(F652="","",IFERROR(INDEX(請求台帳!$F$5:$F$504,MATCH(F652,請求台帳!$A$5:$A$504,0)),""))</f>
        <v/>
      </c>
      <c r="J652" s="28" t="str">
        <f aca="false">IF(COUNTA(B652,D652,E652,F652)=0,"",IF(OR(B652="",E652=""),"要入力",IF(N(B652)&gt;設定!$C$5,"日付誤り",IF(F652="","未消込",IF(ISNA(MATCH(F652,請求台帳!$A$5:$A$504,0)),"番号誤り",IF(INDEX(請求台帳!$Q$5:$Q$504,MATCH(F652,請求台帳!$A$5:$A$504,0))="取消","取消請求へ消込","消込済"))))))</f>
        <v/>
      </c>
      <c r="K652" s="26"/>
      <c r="L652" s="26"/>
    </row>
    <row r="653" customFormat="false" ht="15" hidden="false" customHeight="false" outlineLevel="0" collapsed="false">
      <c r="A653" s="31" t="str">
        <f aca="false">IF(COUNTA(B653,D653,E653,F653)=0,"",ROW()-4)</f>
        <v/>
      </c>
      <c r="B653" s="22"/>
      <c r="C653" s="26"/>
      <c r="D653" s="26"/>
      <c r="E653" s="18"/>
      <c r="F653" s="26"/>
      <c r="G653" s="31" t="str">
        <f aca="false">IF(F653="","",IFERROR(INDEX(請求台帳!$C$5:$C$504,MATCH(F653,請求台帳!$A$5:$A$504,0)),""))</f>
        <v/>
      </c>
      <c r="H653" s="31" t="str">
        <f aca="false">IF(F653="","",IFERROR(INDEX(請求台帳!$D$5:$D$504,MATCH(F653,請求台帳!$A$5:$A$504,0)),""))</f>
        <v/>
      </c>
      <c r="I653" s="27" t="str">
        <f aca="false">IF(F653="","",IFERROR(INDEX(請求台帳!$F$5:$F$504,MATCH(F653,請求台帳!$A$5:$A$504,0)),""))</f>
        <v/>
      </c>
      <c r="J653" s="28" t="str">
        <f aca="false">IF(COUNTA(B653,D653,E653,F653)=0,"",IF(OR(B653="",E653=""),"要入力",IF(N(B653)&gt;設定!$C$5,"日付誤り",IF(F653="","未消込",IF(ISNA(MATCH(F653,請求台帳!$A$5:$A$504,0)),"番号誤り",IF(INDEX(請求台帳!$Q$5:$Q$504,MATCH(F653,請求台帳!$A$5:$A$504,0))="取消","取消請求へ消込","消込済"))))))</f>
        <v/>
      </c>
      <c r="K653" s="26"/>
      <c r="L653" s="26"/>
    </row>
    <row r="654" customFormat="false" ht="15" hidden="false" customHeight="false" outlineLevel="0" collapsed="false">
      <c r="A654" s="31" t="str">
        <f aca="false">IF(COUNTA(B654,D654,E654,F654)=0,"",ROW()-4)</f>
        <v/>
      </c>
      <c r="B654" s="22"/>
      <c r="C654" s="26"/>
      <c r="D654" s="26"/>
      <c r="E654" s="18"/>
      <c r="F654" s="26"/>
      <c r="G654" s="31" t="str">
        <f aca="false">IF(F654="","",IFERROR(INDEX(請求台帳!$C$5:$C$504,MATCH(F654,請求台帳!$A$5:$A$504,0)),""))</f>
        <v/>
      </c>
      <c r="H654" s="31" t="str">
        <f aca="false">IF(F654="","",IFERROR(INDEX(請求台帳!$D$5:$D$504,MATCH(F654,請求台帳!$A$5:$A$504,0)),""))</f>
        <v/>
      </c>
      <c r="I654" s="27" t="str">
        <f aca="false">IF(F654="","",IFERROR(INDEX(請求台帳!$F$5:$F$504,MATCH(F654,請求台帳!$A$5:$A$504,0)),""))</f>
        <v/>
      </c>
      <c r="J654" s="28" t="str">
        <f aca="false">IF(COUNTA(B654,D654,E654,F654)=0,"",IF(OR(B654="",E654=""),"要入力",IF(N(B654)&gt;設定!$C$5,"日付誤り",IF(F654="","未消込",IF(ISNA(MATCH(F654,請求台帳!$A$5:$A$504,0)),"番号誤り",IF(INDEX(請求台帳!$Q$5:$Q$504,MATCH(F654,請求台帳!$A$5:$A$504,0))="取消","取消請求へ消込","消込済"))))))</f>
        <v/>
      </c>
      <c r="K654" s="26"/>
      <c r="L654" s="26"/>
    </row>
    <row r="655" customFormat="false" ht="15" hidden="false" customHeight="false" outlineLevel="0" collapsed="false">
      <c r="A655" s="31" t="str">
        <f aca="false">IF(COUNTA(B655,D655,E655,F655)=0,"",ROW()-4)</f>
        <v/>
      </c>
      <c r="B655" s="22"/>
      <c r="C655" s="26"/>
      <c r="D655" s="26"/>
      <c r="E655" s="18"/>
      <c r="F655" s="26"/>
      <c r="G655" s="31" t="str">
        <f aca="false">IF(F655="","",IFERROR(INDEX(請求台帳!$C$5:$C$504,MATCH(F655,請求台帳!$A$5:$A$504,0)),""))</f>
        <v/>
      </c>
      <c r="H655" s="31" t="str">
        <f aca="false">IF(F655="","",IFERROR(INDEX(請求台帳!$D$5:$D$504,MATCH(F655,請求台帳!$A$5:$A$504,0)),""))</f>
        <v/>
      </c>
      <c r="I655" s="27" t="str">
        <f aca="false">IF(F655="","",IFERROR(INDEX(請求台帳!$F$5:$F$504,MATCH(F655,請求台帳!$A$5:$A$504,0)),""))</f>
        <v/>
      </c>
      <c r="J655" s="28" t="str">
        <f aca="false">IF(COUNTA(B655,D655,E655,F655)=0,"",IF(OR(B655="",E655=""),"要入力",IF(N(B655)&gt;設定!$C$5,"日付誤り",IF(F655="","未消込",IF(ISNA(MATCH(F655,請求台帳!$A$5:$A$504,0)),"番号誤り",IF(INDEX(請求台帳!$Q$5:$Q$504,MATCH(F655,請求台帳!$A$5:$A$504,0))="取消","取消請求へ消込","消込済"))))))</f>
        <v/>
      </c>
      <c r="K655" s="26"/>
      <c r="L655" s="26"/>
    </row>
    <row r="656" customFormat="false" ht="15" hidden="false" customHeight="false" outlineLevel="0" collapsed="false">
      <c r="A656" s="31" t="str">
        <f aca="false">IF(COUNTA(B656,D656,E656,F656)=0,"",ROW()-4)</f>
        <v/>
      </c>
      <c r="B656" s="22"/>
      <c r="C656" s="26"/>
      <c r="D656" s="26"/>
      <c r="E656" s="18"/>
      <c r="F656" s="26"/>
      <c r="G656" s="31" t="str">
        <f aca="false">IF(F656="","",IFERROR(INDEX(請求台帳!$C$5:$C$504,MATCH(F656,請求台帳!$A$5:$A$504,0)),""))</f>
        <v/>
      </c>
      <c r="H656" s="31" t="str">
        <f aca="false">IF(F656="","",IFERROR(INDEX(請求台帳!$D$5:$D$504,MATCH(F656,請求台帳!$A$5:$A$504,0)),""))</f>
        <v/>
      </c>
      <c r="I656" s="27" t="str">
        <f aca="false">IF(F656="","",IFERROR(INDEX(請求台帳!$F$5:$F$504,MATCH(F656,請求台帳!$A$5:$A$504,0)),""))</f>
        <v/>
      </c>
      <c r="J656" s="28" t="str">
        <f aca="false">IF(COUNTA(B656,D656,E656,F656)=0,"",IF(OR(B656="",E656=""),"要入力",IF(N(B656)&gt;設定!$C$5,"日付誤り",IF(F656="","未消込",IF(ISNA(MATCH(F656,請求台帳!$A$5:$A$504,0)),"番号誤り",IF(INDEX(請求台帳!$Q$5:$Q$504,MATCH(F656,請求台帳!$A$5:$A$504,0))="取消","取消請求へ消込","消込済"))))))</f>
        <v/>
      </c>
      <c r="K656" s="26"/>
      <c r="L656" s="26"/>
    </row>
    <row r="657" customFormat="false" ht="15" hidden="false" customHeight="false" outlineLevel="0" collapsed="false">
      <c r="A657" s="31" t="str">
        <f aca="false">IF(COUNTA(B657,D657,E657,F657)=0,"",ROW()-4)</f>
        <v/>
      </c>
      <c r="B657" s="22"/>
      <c r="C657" s="26"/>
      <c r="D657" s="26"/>
      <c r="E657" s="18"/>
      <c r="F657" s="26"/>
      <c r="G657" s="31" t="str">
        <f aca="false">IF(F657="","",IFERROR(INDEX(請求台帳!$C$5:$C$504,MATCH(F657,請求台帳!$A$5:$A$504,0)),""))</f>
        <v/>
      </c>
      <c r="H657" s="31" t="str">
        <f aca="false">IF(F657="","",IFERROR(INDEX(請求台帳!$D$5:$D$504,MATCH(F657,請求台帳!$A$5:$A$504,0)),""))</f>
        <v/>
      </c>
      <c r="I657" s="27" t="str">
        <f aca="false">IF(F657="","",IFERROR(INDEX(請求台帳!$F$5:$F$504,MATCH(F657,請求台帳!$A$5:$A$504,0)),""))</f>
        <v/>
      </c>
      <c r="J657" s="28" t="str">
        <f aca="false">IF(COUNTA(B657,D657,E657,F657)=0,"",IF(OR(B657="",E657=""),"要入力",IF(N(B657)&gt;設定!$C$5,"日付誤り",IF(F657="","未消込",IF(ISNA(MATCH(F657,請求台帳!$A$5:$A$504,0)),"番号誤り",IF(INDEX(請求台帳!$Q$5:$Q$504,MATCH(F657,請求台帳!$A$5:$A$504,0))="取消","取消請求へ消込","消込済"))))))</f>
        <v/>
      </c>
      <c r="K657" s="26"/>
      <c r="L657" s="26"/>
    </row>
    <row r="658" customFormat="false" ht="15" hidden="false" customHeight="false" outlineLevel="0" collapsed="false">
      <c r="A658" s="31" t="str">
        <f aca="false">IF(COUNTA(B658,D658,E658,F658)=0,"",ROW()-4)</f>
        <v/>
      </c>
      <c r="B658" s="22"/>
      <c r="C658" s="26"/>
      <c r="D658" s="26"/>
      <c r="E658" s="18"/>
      <c r="F658" s="26"/>
      <c r="G658" s="31" t="str">
        <f aca="false">IF(F658="","",IFERROR(INDEX(請求台帳!$C$5:$C$504,MATCH(F658,請求台帳!$A$5:$A$504,0)),""))</f>
        <v/>
      </c>
      <c r="H658" s="31" t="str">
        <f aca="false">IF(F658="","",IFERROR(INDEX(請求台帳!$D$5:$D$504,MATCH(F658,請求台帳!$A$5:$A$504,0)),""))</f>
        <v/>
      </c>
      <c r="I658" s="27" t="str">
        <f aca="false">IF(F658="","",IFERROR(INDEX(請求台帳!$F$5:$F$504,MATCH(F658,請求台帳!$A$5:$A$504,0)),""))</f>
        <v/>
      </c>
      <c r="J658" s="28" t="str">
        <f aca="false">IF(COUNTA(B658,D658,E658,F658)=0,"",IF(OR(B658="",E658=""),"要入力",IF(N(B658)&gt;設定!$C$5,"日付誤り",IF(F658="","未消込",IF(ISNA(MATCH(F658,請求台帳!$A$5:$A$504,0)),"番号誤り",IF(INDEX(請求台帳!$Q$5:$Q$504,MATCH(F658,請求台帳!$A$5:$A$504,0))="取消","取消請求へ消込","消込済"))))))</f>
        <v/>
      </c>
      <c r="K658" s="26"/>
      <c r="L658" s="26"/>
    </row>
    <row r="659" customFormat="false" ht="15" hidden="false" customHeight="false" outlineLevel="0" collapsed="false">
      <c r="A659" s="31" t="str">
        <f aca="false">IF(COUNTA(B659,D659,E659,F659)=0,"",ROW()-4)</f>
        <v/>
      </c>
      <c r="B659" s="22"/>
      <c r="C659" s="26"/>
      <c r="D659" s="26"/>
      <c r="E659" s="18"/>
      <c r="F659" s="26"/>
      <c r="G659" s="31" t="str">
        <f aca="false">IF(F659="","",IFERROR(INDEX(請求台帳!$C$5:$C$504,MATCH(F659,請求台帳!$A$5:$A$504,0)),""))</f>
        <v/>
      </c>
      <c r="H659" s="31" t="str">
        <f aca="false">IF(F659="","",IFERROR(INDEX(請求台帳!$D$5:$D$504,MATCH(F659,請求台帳!$A$5:$A$504,0)),""))</f>
        <v/>
      </c>
      <c r="I659" s="27" t="str">
        <f aca="false">IF(F659="","",IFERROR(INDEX(請求台帳!$F$5:$F$504,MATCH(F659,請求台帳!$A$5:$A$504,0)),""))</f>
        <v/>
      </c>
      <c r="J659" s="28" t="str">
        <f aca="false">IF(COUNTA(B659,D659,E659,F659)=0,"",IF(OR(B659="",E659=""),"要入力",IF(N(B659)&gt;設定!$C$5,"日付誤り",IF(F659="","未消込",IF(ISNA(MATCH(F659,請求台帳!$A$5:$A$504,0)),"番号誤り",IF(INDEX(請求台帳!$Q$5:$Q$504,MATCH(F659,請求台帳!$A$5:$A$504,0))="取消","取消請求へ消込","消込済"))))))</f>
        <v/>
      </c>
      <c r="K659" s="26"/>
      <c r="L659" s="26"/>
    </row>
    <row r="660" customFormat="false" ht="15" hidden="false" customHeight="false" outlineLevel="0" collapsed="false">
      <c r="A660" s="31" t="str">
        <f aca="false">IF(COUNTA(B660,D660,E660,F660)=0,"",ROW()-4)</f>
        <v/>
      </c>
      <c r="B660" s="22"/>
      <c r="C660" s="26"/>
      <c r="D660" s="26"/>
      <c r="E660" s="18"/>
      <c r="F660" s="26"/>
      <c r="G660" s="31" t="str">
        <f aca="false">IF(F660="","",IFERROR(INDEX(請求台帳!$C$5:$C$504,MATCH(F660,請求台帳!$A$5:$A$504,0)),""))</f>
        <v/>
      </c>
      <c r="H660" s="31" t="str">
        <f aca="false">IF(F660="","",IFERROR(INDEX(請求台帳!$D$5:$D$504,MATCH(F660,請求台帳!$A$5:$A$504,0)),""))</f>
        <v/>
      </c>
      <c r="I660" s="27" t="str">
        <f aca="false">IF(F660="","",IFERROR(INDEX(請求台帳!$F$5:$F$504,MATCH(F660,請求台帳!$A$5:$A$504,0)),""))</f>
        <v/>
      </c>
      <c r="J660" s="28" t="str">
        <f aca="false">IF(COUNTA(B660,D660,E660,F660)=0,"",IF(OR(B660="",E660=""),"要入力",IF(N(B660)&gt;設定!$C$5,"日付誤り",IF(F660="","未消込",IF(ISNA(MATCH(F660,請求台帳!$A$5:$A$504,0)),"番号誤り",IF(INDEX(請求台帳!$Q$5:$Q$504,MATCH(F660,請求台帳!$A$5:$A$504,0))="取消","取消請求へ消込","消込済"))))))</f>
        <v/>
      </c>
      <c r="K660" s="26"/>
      <c r="L660" s="26"/>
    </row>
    <row r="661" customFormat="false" ht="15" hidden="false" customHeight="false" outlineLevel="0" collapsed="false">
      <c r="A661" s="31" t="str">
        <f aca="false">IF(COUNTA(B661,D661,E661,F661)=0,"",ROW()-4)</f>
        <v/>
      </c>
      <c r="B661" s="22"/>
      <c r="C661" s="26"/>
      <c r="D661" s="26"/>
      <c r="E661" s="18"/>
      <c r="F661" s="26"/>
      <c r="G661" s="31" t="str">
        <f aca="false">IF(F661="","",IFERROR(INDEX(請求台帳!$C$5:$C$504,MATCH(F661,請求台帳!$A$5:$A$504,0)),""))</f>
        <v/>
      </c>
      <c r="H661" s="31" t="str">
        <f aca="false">IF(F661="","",IFERROR(INDEX(請求台帳!$D$5:$D$504,MATCH(F661,請求台帳!$A$5:$A$504,0)),""))</f>
        <v/>
      </c>
      <c r="I661" s="27" t="str">
        <f aca="false">IF(F661="","",IFERROR(INDEX(請求台帳!$F$5:$F$504,MATCH(F661,請求台帳!$A$5:$A$504,0)),""))</f>
        <v/>
      </c>
      <c r="J661" s="28" t="str">
        <f aca="false">IF(COUNTA(B661,D661,E661,F661)=0,"",IF(OR(B661="",E661=""),"要入力",IF(N(B661)&gt;設定!$C$5,"日付誤り",IF(F661="","未消込",IF(ISNA(MATCH(F661,請求台帳!$A$5:$A$504,0)),"番号誤り",IF(INDEX(請求台帳!$Q$5:$Q$504,MATCH(F661,請求台帳!$A$5:$A$504,0))="取消","取消請求へ消込","消込済"))))))</f>
        <v/>
      </c>
      <c r="K661" s="26"/>
      <c r="L661" s="26"/>
    </row>
    <row r="662" customFormat="false" ht="15" hidden="false" customHeight="false" outlineLevel="0" collapsed="false">
      <c r="A662" s="31" t="str">
        <f aca="false">IF(COUNTA(B662,D662,E662,F662)=0,"",ROW()-4)</f>
        <v/>
      </c>
      <c r="B662" s="22"/>
      <c r="C662" s="26"/>
      <c r="D662" s="26"/>
      <c r="E662" s="18"/>
      <c r="F662" s="26"/>
      <c r="G662" s="31" t="str">
        <f aca="false">IF(F662="","",IFERROR(INDEX(請求台帳!$C$5:$C$504,MATCH(F662,請求台帳!$A$5:$A$504,0)),""))</f>
        <v/>
      </c>
      <c r="H662" s="31" t="str">
        <f aca="false">IF(F662="","",IFERROR(INDEX(請求台帳!$D$5:$D$504,MATCH(F662,請求台帳!$A$5:$A$504,0)),""))</f>
        <v/>
      </c>
      <c r="I662" s="27" t="str">
        <f aca="false">IF(F662="","",IFERROR(INDEX(請求台帳!$F$5:$F$504,MATCH(F662,請求台帳!$A$5:$A$504,0)),""))</f>
        <v/>
      </c>
      <c r="J662" s="28" t="str">
        <f aca="false">IF(COUNTA(B662,D662,E662,F662)=0,"",IF(OR(B662="",E662=""),"要入力",IF(N(B662)&gt;設定!$C$5,"日付誤り",IF(F662="","未消込",IF(ISNA(MATCH(F662,請求台帳!$A$5:$A$504,0)),"番号誤り",IF(INDEX(請求台帳!$Q$5:$Q$504,MATCH(F662,請求台帳!$A$5:$A$504,0))="取消","取消請求へ消込","消込済"))))))</f>
        <v/>
      </c>
      <c r="K662" s="26"/>
      <c r="L662" s="26"/>
    </row>
    <row r="663" customFormat="false" ht="15" hidden="false" customHeight="false" outlineLevel="0" collapsed="false">
      <c r="A663" s="31" t="str">
        <f aca="false">IF(COUNTA(B663,D663,E663,F663)=0,"",ROW()-4)</f>
        <v/>
      </c>
      <c r="B663" s="22"/>
      <c r="C663" s="26"/>
      <c r="D663" s="26"/>
      <c r="E663" s="18"/>
      <c r="F663" s="26"/>
      <c r="G663" s="31" t="str">
        <f aca="false">IF(F663="","",IFERROR(INDEX(請求台帳!$C$5:$C$504,MATCH(F663,請求台帳!$A$5:$A$504,0)),""))</f>
        <v/>
      </c>
      <c r="H663" s="31" t="str">
        <f aca="false">IF(F663="","",IFERROR(INDEX(請求台帳!$D$5:$D$504,MATCH(F663,請求台帳!$A$5:$A$504,0)),""))</f>
        <v/>
      </c>
      <c r="I663" s="27" t="str">
        <f aca="false">IF(F663="","",IFERROR(INDEX(請求台帳!$F$5:$F$504,MATCH(F663,請求台帳!$A$5:$A$504,0)),""))</f>
        <v/>
      </c>
      <c r="J663" s="28" t="str">
        <f aca="false">IF(COUNTA(B663,D663,E663,F663)=0,"",IF(OR(B663="",E663=""),"要入力",IF(N(B663)&gt;設定!$C$5,"日付誤り",IF(F663="","未消込",IF(ISNA(MATCH(F663,請求台帳!$A$5:$A$504,0)),"番号誤り",IF(INDEX(請求台帳!$Q$5:$Q$504,MATCH(F663,請求台帳!$A$5:$A$504,0))="取消","取消請求へ消込","消込済"))))))</f>
        <v/>
      </c>
      <c r="K663" s="26"/>
      <c r="L663" s="26"/>
    </row>
    <row r="664" customFormat="false" ht="15" hidden="false" customHeight="false" outlineLevel="0" collapsed="false">
      <c r="A664" s="31" t="str">
        <f aca="false">IF(COUNTA(B664,D664,E664,F664)=0,"",ROW()-4)</f>
        <v/>
      </c>
      <c r="B664" s="22"/>
      <c r="C664" s="26"/>
      <c r="D664" s="26"/>
      <c r="E664" s="18"/>
      <c r="F664" s="26"/>
      <c r="G664" s="31" t="str">
        <f aca="false">IF(F664="","",IFERROR(INDEX(請求台帳!$C$5:$C$504,MATCH(F664,請求台帳!$A$5:$A$504,0)),""))</f>
        <v/>
      </c>
      <c r="H664" s="31" t="str">
        <f aca="false">IF(F664="","",IFERROR(INDEX(請求台帳!$D$5:$D$504,MATCH(F664,請求台帳!$A$5:$A$504,0)),""))</f>
        <v/>
      </c>
      <c r="I664" s="27" t="str">
        <f aca="false">IF(F664="","",IFERROR(INDEX(請求台帳!$F$5:$F$504,MATCH(F664,請求台帳!$A$5:$A$504,0)),""))</f>
        <v/>
      </c>
      <c r="J664" s="28" t="str">
        <f aca="false">IF(COUNTA(B664,D664,E664,F664)=0,"",IF(OR(B664="",E664=""),"要入力",IF(N(B664)&gt;設定!$C$5,"日付誤り",IF(F664="","未消込",IF(ISNA(MATCH(F664,請求台帳!$A$5:$A$504,0)),"番号誤り",IF(INDEX(請求台帳!$Q$5:$Q$504,MATCH(F664,請求台帳!$A$5:$A$504,0))="取消","取消請求へ消込","消込済"))))))</f>
        <v/>
      </c>
      <c r="K664" s="26"/>
      <c r="L664" s="26"/>
    </row>
    <row r="665" customFormat="false" ht="15" hidden="false" customHeight="false" outlineLevel="0" collapsed="false">
      <c r="A665" s="31" t="str">
        <f aca="false">IF(COUNTA(B665,D665,E665,F665)=0,"",ROW()-4)</f>
        <v/>
      </c>
      <c r="B665" s="22"/>
      <c r="C665" s="26"/>
      <c r="D665" s="26"/>
      <c r="E665" s="18"/>
      <c r="F665" s="26"/>
      <c r="G665" s="31" t="str">
        <f aca="false">IF(F665="","",IFERROR(INDEX(請求台帳!$C$5:$C$504,MATCH(F665,請求台帳!$A$5:$A$504,0)),""))</f>
        <v/>
      </c>
      <c r="H665" s="31" t="str">
        <f aca="false">IF(F665="","",IFERROR(INDEX(請求台帳!$D$5:$D$504,MATCH(F665,請求台帳!$A$5:$A$504,0)),""))</f>
        <v/>
      </c>
      <c r="I665" s="27" t="str">
        <f aca="false">IF(F665="","",IFERROR(INDEX(請求台帳!$F$5:$F$504,MATCH(F665,請求台帳!$A$5:$A$504,0)),""))</f>
        <v/>
      </c>
      <c r="J665" s="28" t="str">
        <f aca="false">IF(COUNTA(B665,D665,E665,F665)=0,"",IF(OR(B665="",E665=""),"要入力",IF(N(B665)&gt;設定!$C$5,"日付誤り",IF(F665="","未消込",IF(ISNA(MATCH(F665,請求台帳!$A$5:$A$504,0)),"番号誤り",IF(INDEX(請求台帳!$Q$5:$Q$504,MATCH(F665,請求台帳!$A$5:$A$504,0))="取消","取消請求へ消込","消込済"))))))</f>
        <v/>
      </c>
      <c r="K665" s="26"/>
      <c r="L665" s="26"/>
    </row>
    <row r="666" customFormat="false" ht="15" hidden="false" customHeight="false" outlineLevel="0" collapsed="false">
      <c r="A666" s="31" t="str">
        <f aca="false">IF(COUNTA(B666,D666,E666,F666)=0,"",ROW()-4)</f>
        <v/>
      </c>
      <c r="B666" s="22"/>
      <c r="C666" s="26"/>
      <c r="D666" s="26"/>
      <c r="E666" s="18"/>
      <c r="F666" s="26"/>
      <c r="G666" s="31" t="str">
        <f aca="false">IF(F666="","",IFERROR(INDEX(請求台帳!$C$5:$C$504,MATCH(F666,請求台帳!$A$5:$A$504,0)),""))</f>
        <v/>
      </c>
      <c r="H666" s="31" t="str">
        <f aca="false">IF(F666="","",IFERROR(INDEX(請求台帳!$D$5:$D$504,MATCH(F666,請求台帳!$A$5:$A$504,0)),""))</f>
        <v/>
      </c>
      <c r="I666" s="27" t="str">
        <f aca="false">IF(F666="","",IFERROR(INDEX(請求台帳!$F$5:$F$504,MATCH(F666,請求台帳!$A$5:$A$504,0)),""))</f>
        <v/>
      </c>
      <c r="J666" s="28" t="str">
        <f aca="false">IF(COUNTA(B666,D666,E666,F666)=0,"",IF(OR(B666="",E666=""),"要入力",IF(N(B666)&gt;設定!$C$5,"日付誤り",IF(F666="","未消込",IF(ISNA(MATCH(F666,請求台帳!$A$5:$A$504,0)),"番号誤り",IF(INDEX(請求台帳!$Q$5:$Q$504,MATCH(F666,請求台帳!$A$5:$A$504,0))="取消","取消請求へ消込","消込済"))))))</f>
        <v/>
      </c>
      <c r="K666" s="26"/>
      <c r="L666" s="26"/>
    </row>
    <row r="667" customFormat="false" ht="15" hidden="false" customHeight="false" outlineLevel="0" collapsed="false">
      <c r="A667" s="31" t="str">
        <f aca="false">IF(COUNTA(B667,D667,E667,F667)=0,"",ROW()-4)</f>
        <v/>
      </c>
      <c r="B667" s="22"/>
      <c r="C667" s="26"/>
      <c r="D667" s="26"/>
      <c r="E667" s="18"/>
      <c r="F667" s="26"/>
      <c r="G667" s="31" t="str">
        <f aca="false">IF(F667="","",IFERROR(INDEX(請求台帳!$C$5:$C$504,MATCH(F667,請求台帳!$A$5:$A$504,0)),""))</f>
        <v/>
      </c>
      <c r="H667" s="31" t="str">
        <f aca="false">IF(F667="","",IFERROR(INDEX(請求台帳!$D$5:$D$504,MATCH(F667,請求台帳!$A$5:$A$504,0)),""))</f>
        <v/>
      </c>
      <c r="I667" s="27" t="str">
        <f aca="false">IF(F667="","",IFERROR(INDEX(請求台帳!$F$5:$F$504,MATCH(F667,請求台帳!$A$5:$A$504,0)),""))</f>
        <v/>
      </c>
      <c r="J667" s="28" t="str">
        <f aca="false">IF(COUNTA(B667,D667,E667,F667)=0,"",IF(OR(B667="",E667=""),"要入力",IF(N(B667)&gt;設定!$C$5,"日付誤り",IF(F667="","未消込",IF(ISNA(MATCH(F667,請求台帳!$A$5:$A$504,0)),"番号誤り",IF(INDEX(請求台帳!$Q$5:$Q$504,MATCH(F667,請求台帳!$A$5:$A$504,0))="取消","取消請求へ消込","消込済"))))))</f>
        <v/>
      </c>
      <c r="K667" s="26"/>
      <c r="L667" s="26"/>
    </row>
    <row r="668" customFormat="false" ht="15" hidden="false" customHeight="false" outlineLevel="0" collapsed="false">
      <c r="A668" s="31" t="str">
        <f aca="false">IF(COUNTA(B668,D668,E668,F668)=0,"",ROW()-4)</f>
        <v/>
      </c>
      <c r="B668" s="22"/>
      <c r="C668" s="26"/>
      <c r="D668" s="26"/>
      <c r="E668" s="18"/>
      <c r="F668" s="26"/>
      <c r="G668" s="31" t="str">
        <f aca="false">IF(F668="","",IFERROR(INDEX(請求台帳!$C$5:$C$504,MATCH(F668,請求台帳!$A$5:$A$504,0)),""))</f>
        <v/>
      </c>
      <c r="H668" s="31" t="str">
        <f aca="false">IF(F668="","",IFERROR(INDEX(請求台帳!$D$5:$D$504,MATCH(F668,請求台帳!$A$5:$A$504,0)),""))</f>
        <v/>
      </c>
      <c r="I668" s="27" t="str">
        <f aca="false">IF(F668="","",IFERROR(INDEX(請求台帳!$F$5:$F$504,MATCH(F668,請求台帳!$A$5:$A$504,0)),""))</f>
        <v/>
      </c>
      <c r="J668" s="28" t="str">
        <f aca="false">IF(COUNTA(B668,D668,E668,F668)=0,"",IF(OR(B668="",E668=""),"要入力",IF(N(B668)&gt;設定!$C$5,"日付誤り",IF(F668="","未消込",IF(ISNA(MATCH(F668,請求台帳!$A$5:$A$504,0)),"番号誤り",IF(INDEX(請求台帳!$Q$5:$Q$504,MATCH(F668,請求台帳!$A$5:$A$504,0))="取消","取消請求へ消込","消込済"))))))</f>
        <v/>
      </c>
      <c r="K668" s="26"/>
      <c r="L668" s="26"/>
    </row>
    <row r="669" customFormat="false" ht="15" hidden="false" customHeight="false" outlineLevel="0" collapsed="false">
      <c r="A669" s="31" t="str">
        <f aca="false">IF(COUNTA(B669,D669,E669,F669)=0,"",ROW()-4)</f>
        <v/>
      </c>
      <c r="B669" s="22"/>
      <c r="C669" s="26"/>
      <c r="D669" s="26"/>
      <c r="E669" s="18"/>
      <c r="F669" s="26"/>
      <c r="G669" s="31" t="str">
        <f aca="false">IF(F669="","",IFERROR(INDEX(請求台帳!$C$5:$C$504,MATCH(F669,請求台帳!$A$5:$A$504,0)),""))</f>
        <v/>
      </c>
      <c r="H669" s="31" t="str">
        <f aca="false">IF(F669="","",IFERROR(INDEX(請求台帳!$D$5:$D$504,MATCH(F669,請求台帳!$A$5:$A$504,0)),""))</f>
        <v/>
      </c>
      <c r="I669" s="27" t="str">
        <f aca="false">IF(F669="","",IFERROR(INDEX(請求台帳!$F$5:$F$504,MATCH(F669,請求台帳!$A$5:$A$504,0)),""))</f>
        <v/>
      </c>
      <c r="J669" s="28" t="str">
        <f aca="false">IF(COUNTA(B669,D669,E669,F669)=0,"",IF(OR(B669="",E669=""),"要入力",IF(N(B669)&gt;設定!$C$5,"日付誤り",IF(F669="","未消込",IF(ISNA(MATCH(F669,請求台帳!$A$5:$A$504,0)),"番号誤り",IF(INDEX(請求台帳!$Q$5:$Q$504,MATCH(F669,請求台帳!$A$5:$A$504,0))="取消","取消請求へ消込","消込済"))))))</f>
        <v/>
      </c>
      <c r="K669" s="26"/>
      <c r="L669" s="26"/>
    </row>
    <row r="670" customFormat="false" ht="15" hidden="false" customHeight="false" outlineLevel="0" collapsed="false">
      <c r="A670" s="31" t="str">
        <f aca="false">IF(COUNTA(B670,D670,E670,F670)=0,"",ROW()-4)</f>
        <v/>
      </c>
      <c r="B670" s="22"/>
      <c r="C670" s="26"/>
      <c r="D670" s="26"/>
      <c r="E670" s="18"/>
      <c r="F670" s="26"/>
      <c r="G670" s="31" t="str">
        <f aca="false">IF(F670="","",IFERROR(INDEX(請求台帳!$C$5:$C$504,MATCH(F670,請求台帳!$A$5:$A$504,0)),""))</f>
        <v/>
      </c>
      <c r="H670" s="31" t="str">
        <f aca="false">IF(F670="","",IFERROR(INDEX(請求台帳!$D$5:$D$504,MATCH(F670,請求台帳!$A$5:$A$504,0)),""))</f>
        <v/>
      </c>
      <c r="I670" s="27" t="str">
        <f aca="false">IF(F670="","",IFERROR(INDEX(請求台帳!$F$5:$F$504,MATCH(F670,請求台帳!$A$5:$A$504,0)),""))</f>
        <v/>
      </c>
      <c r="J670" s="28" t="str">
        <f aca="false">IF(COUNTA(B670,D670,E670,F670)=0,"",IF(OR(B670="",E670=""),"要入力",IF(N(B670)&gt;設定!$C$5,"日付誤り",IF(F670="","未消込",IF(ISNA(MATCH(F670,請求台帳!$A$5:$A$504,0)),"番号誤り",IF(INDEX(請求台帳!$Q$5:$Q$504,MATCH(F670,請求台帳!$A$5:$A$504,0))="取消","取消請求へ消込","消込済"))))))</f>
        <v/>
      </c>
      <c r="K670" s="26"/>
      <c r="L670" s="26"/>
    </row>
    <row r="671" customFormat="false" ht="15" hidden="false" customHeight="false" outlineLevel="0" collapsed="false">
      <c r="A671" s="31" t="str">
        <f aca="false">IF(COUNTA(B671,D671,E671,F671)=0,"",ROW()-4)</f>
        <v/>
      </c>
      <c r="B671" s="22"/>
      <c r="C671" s="26"/>
      <c r="D671" s="26"/>
      <c r="E671" s="18"/>
      <c r="F671" s="26"/>
      <c r="G671" s="31" t="str">
        <f aca="false">IF(F671="","",IFERROR(INDEX(請求台帳!$C$5:$C$504,MATCH(F671,請求台帳!$A$5:$A$504,0)),""))</f>
        <v/>
      </c>
      <c r="H671" s="31" t="str">
        <f aca="false">IF(F671="","",IFERROR(INDEX(請求台帳!$D$5:$D$504,MATCH(F671,請求台帳!$A$5:$A$504,0)),""))</f>
        <v/>
      </c>
      <c r="I671" s="27" t="str">
        <f aca="false">IF(F671="","",IFERROR(INDEX(請求台帳!$F$5:$F$504,MATCH(F671,請求台帳!$A$5:$A$504,0)),""))</f>
        <v/>
      </c>
      <c r="J671" s="28" t="str">
        <f aca="false">IF(COUNTA(B671,D671,E671,F671)=0,"",IF(OR(B671="",E671=""),"要入力",IF(N(B671)&gt;設定!$C$5,"日付誤り",IF(F671="","未消込",IF(ISNA(MATCH(F671,請求台帳!$A$5:$A$504,0)),"番号誤り",IF(INDEX(請求台帳!$Q$5:$Q$504,MATCH(F671,請求台帳!$A$5:$A$504,0))="取消","取消請求へ消込","消込済"))))))</f>
        <v/>
      </c>
      <c r="K671" s="26"/>
      <c r="L671" s="26"/>
    </row>
    <row r="672" customFormat="false" ht="15" hidden="false" customHeight="false" outlineLevel="0" collapsed="false">
      <c r="A672" s="31" t="str">
        <f aca="false">IF(COUNTA(B672,D672,E672,F672)=0,"",ROW()-4)</f>
        <v/>
      </c>
      <c r="B672" s="22"/>
      <c r="C672" s="26"/>
      <c r="D672" s="26"/>
      <c r="E672" s="18"/>
      <c r="F672" s="26"/>
      <c r="G672" s="31" t="str">
        <f aca="false">IF(F672="","",IFERROR(INDEX(請求台帳!$C$5:$C$504,MATCH(F672,請求台帳!$A$5:$A$504,0)),""))</f>
        <v/>
      </c>
      <c r="H672" s="31" t="str">
        <f aca="false">IF(F672="","",IFERROR(INDEX(請求台帳!$D$5:$D$504,MATCH(F672,請求台帳!$A$5:$A$504,0)),""))</f>
        <v/>
      </c>
      <c r="I672" s="27" t="str">
        <f aca="false">IF(F672="","",IFERROR(INDEX(請求台帳!$F$5:$F$504,MATCH(F672,請求台帳!$A$5:$A$504,0)),""))</f>
        <v/>
      </c>
      <c r="J672" s="28" t="str">
        <f aca="false">IF(COUNTA(B672,D672,E672,F672)=0,"",IF(OR(B672="",E672=""),"要入力",IF(N(B672)&gt;設定!$C$5,"日付誤り",IF(F672="","未消込",IF(ISNA(MATCH(F672,請求台帳!$A$5:$A$504,0)),"番号誤り",IF(INDEX(請求台帳!$Q$5:$Q$504,MATCH(F672,請求台帳!$A$5:$A$504,0))="取消","取消請求へ消込","消込済"))))))</f>
        <v/>
      </c>
      <c r="K672" s="26"/>
      <c r="L672" s="26"/>
    </row>
    <row r="673" customFormat="false" ht="15" hidden="false" customHeight="false" outlineLevel="0" collapsed="false">
      <c r="A673" s="31" t="str">
        <f aca="false">IF(COUNTA(B673,D673,E673,F673)=0,"",ROW()-4)</f>
        <v/>
      </c>
      <c r="B673" s="22"/>
      <c r="C673" s="26"/>
      <c r="D673" s="26"/>
      <c r="E673" s="18"/>
      <c r="F673" s="26"/>
      <c r="G673" s="31" t="str">
        <f aca="false">IF(F673="","",IFERROR(INDEX(請求台帳!$C$5:$C$504,MATCH(F673,請求台帳!$A$5:$A$504,0)),""))</f>
        <v/>
      </c>
      <c r="H673" s="31" t="str">
        <f aca="false">IF(F673="","",IFERROR(INDEX(請求台帳!$D$5:$D$504,MATCH(F673,請求台帳!$A$5:$A$504,0)),""))</f>
        <v/>
      </c>
      <c r="I673" s="27" t="str">
        <f aca="false">IF(F673="","",IFERROR(INDEX(請求台帳!$F$5:$F$504,MATCH(F673,請求台帳!$A$5:$A$504,0)),""))</f>
        <v/>
      </c>
      <c r="J673" s="28" t="str">
        <f aca="false">IF(COUNTA(B673,D673,E673,F673)=0,"",IF(OR(B673="",E673=""),"要入力",IF(N(B673)&gt;設定!$C$5,"日付誤り",IF(F673="","未消込",IF(ISNA(MATCH(F673,請求台帳!$A$5:$A$504,0)),"番号誤り",IF(INDEX(請求台帳!$Q$5:$Q$504,MATCH(F673,請求台帳!$A$5:$A$504,0))="取消","取消請求へ消込","消込済"))))))</f>
        <v/>
      </c>
      <c r="K673" s="26"/>
      <c r="L673" s="26"/>
    </row>
    <row r="674" customFormat="false" ht="15" hidden="false" customHeight="false" outlineLevel="0" collapsed="false">
      <c r="A674" s="31" t="str">
        <f aca="false">IF(COUNTA(B674,D674,E674,F674)=0,"",ROW()-4)</f>
        <v/>
      </c>
      <c r="B674" s="22"/>
      <c r="C674" s="26"/>
      <c r="D674" s="26"/>
      <c r="E674" s="18"/>
      <c r="F674" s="26"/>
      <c r="G674" s="31" t="str">
        <f aca="false">IF(F674="","",IFERROR(INDEX(請求台帳!$C$5:$C$504,MATCH(F674,請求台帳!$A$5:$A$504,0)),""))</f>
        <v/>
      </c>
      <c r="H674" s="31" t="str">
        <f aca="false">IF(F674="","",IFERROR(INDEX(請求台帳!$D$5:$D$504,MATCH(F674,請求台帳!$A$5:$A$504,0)),""))</f>
        <v/>
      </c>
      <c r="I674" s="27" t="str">
        <f aca="false">IF(F674="","",IFERROR(INDEX(請求台帳!$F$5:$F$504,MATCH(F674,請求台帳!$A$5:$A$504,0)),""))</f>
        <v/>
      </c>
      <c r="J674" s="28" t="str">
        <f aca="false">IF(COUNTA(B674,D674,E674,F674)=0,"",IF(OR(B674="",E674=""),"要入力",IF(N(B674)&gt;設定!$C$5,"日付誤り",IF(F674="","未消込",IF(ISNA(MATCH(F674,請求台帳!$A$5:$A$504,0)),"番号誤り",IF(INDEX(請求台帳!$Q$5:$Q$504,MATCH(F674,請求台帳!$A$5:$A$504,0))="取消","取消請求へ消込","消込済"))))))</f>
        <v/>
      </c>
      <c r="K674" s="26"/>
      <c r="L674" s="26"/>
    </row>
    <row r="675" customFormat="false" ht="15" hidden="false" customHeight="false" outlineLevel="0" collapsed="false">
      <c r="A675" s="31" t="str">
        <f aca="false">IF(COUNTA(B675,D675,E675,F675)=0,"",ROW()-4)</f>
        <v/>
      </c>
      <c r="B675" s="22"/>
      <c r="C675" s="26"/>
      <c r="D675" s="26"/>
      <c r="E675" s="18"/>
      <c r="F675" s="26"/>
      <c r="G675" s="31" t="str">
        <f aca="false">IF(F675="","",IFERROR(INDEX(請求台帳!$C$5:$C$504,MATCH(F675,請求台帳!$A$5:$A$504,0)),""))</f>
        <v/>
      </c>
      <c r="H675" s="31" t="str">
        <f aca="false">IF(F675="","",IFERROR(INDEX(請求台帳!$D$5:$D$504,MATCH(F675,請求台帳!$A$5:$A$504,0)),""))</f>
        <v/>
      </c>
      <c r="I675" s="27" t="str">
        <f aca="false">IF(F675="","",IFERROR(INDEX(請求台帳!$F$5:$F$504,MATCH(F675,請求台帳!$A$5:$A$504,0)),""))</f>
        <v/>
      </c>
      <c r="J675" s="28" t="str">
        <f aca="false">IF(COUNTA(B675,D675,E675,F675)=0,"",IF(OR(B675="",E675=""),"要入力",IF(N(B675)&gt;設定!$C$5,"日付誤り",IF(F675="","未消込",IF(ISNA(MATCH(F675,請求台帳!$A$5:$A$504,0)),"番号誤り",IF(INDEX(請求台帳!$Q$5:$Q$504,MATCH(F675,請求台帳!$A$5:$A$504,0))="取消","取消請求へ消込","消込済"))))))</f>
        <v/>
      </c>
      <c r="K675" s="26"/>
      <c r="L675" s="26"/>
    </row>
    <row r="676" customFormat="false" ht="15" hidden="false" customHeight="false" outlineLevel="0" collapsed="false">
      <c r="A676" s="31" t="str">
        <f aca="false">IF(COUNTA(B676,D676,E676,F676)=0,"",ROW()-4)</f>
        <v/>
      </c>
      <c r="B676" s="22"/>
      <c r="C676" s="26"/>
      <c r="D676" s="26"/>
      <c r="E676" s="18"/>
      <c r="F676" s="26"/>
      <c r="G676" s="31" t="str">
        <f aca="false">IF(F676="","",IFERROR(INDEX(請求台帳!$C$5:$C$504,MATCH(F676,請求台帳!$A$5:$A$504,0)),""))</f>
        <v/>
      </c>
      <c r="H676" s="31" t="str">
        <f aca="false">IF(F676="","",IFERROR(INDEX(請求台帳!$D$5:$D$504,MATCH(F676,請求台帳!$A$5:$A$504,0)),""))</f>
        <v/>
      </c>
      <c r="I676" s="27" t="str">
        <f aca="false">IF(F676="","",IFERROR(INDEX(請求台帳!$F$5:$F$504,MATCH(F676,請求台帳!$A$5:$A$504,0)),""))</f>
        <v/>
      </c>
      <c r="J676" s="28" t="str">
        <f aca="false">IF(COUNTA(B676,D676,E676,F676)=0,"",IF(OR(B676="",E676=""),"要入力",IF(N(B676)&gt;設定!$C$5,"日付誤り",IF(F676="","未消込",IF(ISNA(MATCH(F676,請求台帳!$A$5:$A$504,0)),"番号誤り",IF(INDEX(請求台帳!$Q$5:$Q$504,MATCH(F676,請求台帳!$A$5:$A$504,0))="取消","取消請求へ消込","消込済"))))))</f>
        <v/>
      </c>
      <c r="K676" s="26"/>
      <c r="L676" s="26"/>
    </row>
    <row r="677" customFormat="false" ht="15" hidden="false" customHeight="false" outlineLevel="0" collapsed="false">
      <c r="A677" s="31" t="str">
        <f aca="false">IF(COUNTA(B677,D677,E677,F677)=0,"",ROW()-4)</f>
        <v/>
      </c>
      <c r="B677" s="22"/>
      <c r="C677" s="26"/>
      <c r="D677" s="26"/>
      <c r="E677" s="18"/>
      <c r="F677" s="26"/>
      <c r="G677" s="31" t="str">
        <f aca="false">IF(F677="","",IFERROR(INDEX(請求台帳!$C$5:$C$504,MATCH(F677,請求台帳!$A$5:$A$504,0)),""))</f>
        <v/>
      </c>
      <c r="H677" s="31" t="str">
        <f aca="false">IF(F677="","",IFERROR(INDEX(請求台帳!$D$5:$D$504,MATCH(F677,請求台帳!$A$5:$A$504,0)),""))</f>
        <v/>
      </c>
      <c r="I677" s="27" t="str">
        <f aca="false">IF(F677="","",IFERROR(INDEX(請求台帳!$F$5:$F$504,MATCH(F677,請求台帳!$A$5:$A$504,0)),""))</f>
        <v/>
      </c>
      <c r="J677" s="28" t="str">
        <f aca="false">IF(COUNTA(B677,D677,E677,F677)=0,"",IF(OR(B677="",E677=""),"要入力",IF(N(B677)&gt;設定!$C$5,"日付誤り",IF(F677="","未消込",IF(ISNA(MATCH(F677,請求台帳!$A$5:$A$504,0)),"番号誤り",IF(INDEX(請求台帳!$Q$5:$Q$504,MATCH(F677,請求台帳!$A$5:$A$504,0))="取消","取消請求へ消込","消込済"))))))</f>
        <v/>
      </c>
      <c r="K677" s="26"/>
      <c r="L677" s="26"/>
    </row>
    <row r="678" customFormat="false" ht="15" hidden="false" customHeight="false" outlineLevel="0" collapsed="false">
      <c r="A678" s="31" t="str">
        <f aca="false">IF(COUNTA(B678,D678,E678,F678)=0,"",ROW()-4)</f>
        <v/>
      </c>
      <c r="B678" s="22"/>
      <c r="C678" s="26"/>
      <c r="D678" s="26"/>
      <c r="E678" s="18"/>
      <c r="F678" s="26"/>
      <c r="G678" s="31" t="str">
        <f aca="false">IF(F678="","",IFERROR(INDEX(請求台帳!$C$5:$C$504,MATCH(F678,請求台帳!$A$5:$A$504,0)),""))</f>
        <v/>
      </c>
      <c r="H678" s="31" t="str">
        <f aca="false">IF(F678="","",IFERROR(INDEX(請求台帳!$D$5:$D$504,MATCH(F678,請求台帳!$A$5:$A$504,0)),""))</f>
        <v/>
      </c>
      <c r="I678" s="27" t="str">
        <f aca="false">IF(F678="","",IFERROR(INDEX(請求台帳!$F$5:$F$504,MATCH(F678,請求台帳!$A$5:$A$504,0)),""))</f>
        <v/>
      </c>
      <c r="J678" s="28" t="str">
        <f aca="false">IF(COUNTA(B678,D678,E678,F678)=0,"",IF(OR(B678="",E678=""),"要入力",IF(N(B678)&gt;設定!$C$5,"日付誤り",IF(F678="","未消込",IF(ISNA(MATCH(F678,請求台帳!$A$5:$A$504,0)),"番号誤り",IF(INDEX(請求台帳!$Q$5:$Q$504,MATCH(F678,請求台帳!$A$5:$A$504,0))="取消","取消請求へ消込","消込済"))))))</f>
        <v/>
      </c>
      <c r="K678" s="26"/>
      <c r="L678" s="26"/>
    </row>
    <row r="679" customFormat="false" ht="15" hidden="false" customHeight="false" outlineLevel="0" collapsed="false">
      <c r="A679" s="31" t="str">
        <f aca="false">IF(COUNTA(B679,D679,E679,F679)=0,"",ROW()-4)</f>
        <v/>
      </c>
      <c r="B679" s="22"/>
      <c r="C679" s="26"/>
      <c r="D679" s="26"/>
      <c r="E679" s="18"/>
      <c r="F679" s="26"/>
      <c r="G679" s="31" t="str">
        <f aca="false">IF(F679="","",IFERROR(INDEX(請求台帳!$C$5:$C$504,MATCH(F679,請求台帳!$A$5:$A$504,0)),""))</f>
        <v/>
      </c>
      <c r="H679" s="31" t="str">
        <f aca="false">IF(F679="","",IFERROR(INDEX(請求台帳!$D$5:$D$504,MATCH(F679,請求台帳!$A$5:$A$504,0)),""))</f>
        <v/>
      </c>
      <c r="I679" s="27" t="str">
        <f aca="false">IF(F679="","",IFERROR(INDEX(請求台帳!$F$5:$F$504,MATCH(F679,請求台帳!$A$5:$A$504,0)),""))</f>
        <v/>
      </c>
      <c r="J679" s="28" t="str">
        <f aca="false">IF(COUNTA(B679,D679,E679,F679)=0,"",IF(OR(B679="",E679=""),"要入力",IF(N(B679)&gt;設定!$C$5,"日付誤り",IF(F679="","未消込",IF(ISNA(MATCH(F679,請求台帳!$A$5:$A$504,0)),"番号誤り",IF(INDEX(請求台帳!$Q$5:$Q$504,MATCH(F679,請求台帳!$A$5:$A$504,0))="取消","取消請求へ消込","消込済"))))))</f>
        <v/>
      </c>
      <c r="K679" s="26"/>
      <c r="L679" s="26"/>
    </row>
    <row r="680" customFormat="false" ht="15" hidden="false" customHeight="false" outlineLevel="0" collapsed="false">
      <c r="A680" s="31" t="str">
        <f aca="false">IF(COUNTA(B680,D680,E680,F680)=0,"",ROW()-4)</f>
        <v/>
      </c>
      <c r="B680" s="22"/>
      <c r="C680" s="26"/>
      <c r="D680" s="26"/>
      <c r="E680" s="18"/>
      <c r="F680" s="26"/>
      <c r="G680" s="31" t="str">
        <f aca="false">IF(F680="","",IFERROR(INDEX(請求台帳!$C$5:$C$504,MATCH(F680,請求台帳!$A$5:$A$504,0)),""))</f>
        <v/>
      </c>
      <c r="H680" s="31" t="str">
        <f aca="false">IF(F680="","",IFERROR(INDEX(請求台帳!$D$5:$D$504,MATCH(F680,請求台帳!$A$5:$A$504,0)),""))</f>
        <v/>
      </c>
      <c r="I680" s="27" t="str">
        <f aca="false">IF(F680="","",IFERROR(INDEX(請求台帳!$F$5:$F$504,MATCH(F680,請求台帳!$A$5:$A$504,0)),""))</f>
        <v/>
      </c>
      <c r="J680" s="28" t="str">
        <f aca="false">IF(COUNTA(B680,D680,E680,F680)=0,"",IF(OR(B680="",E680=""),"要入力",IF(N(B680)&gt;設定!$C$5,"日付誤り",IF(F680="","未消込",IF(ISNA(MATCH(F680,請求台帳!$A$5:$A$504,0)),"番号誤り",IF(INDEX(請求台帳!$Q$5:$Q$504,MATCH(F680,請求台帳!$A$5:$A$504,0))="取消","取消請求へ消込","消込済"))))))</f>
        <v/>
      </c>
      <c r="K680" s="26"/>
      <c r="L680" s="26"/>
    </row>
    <row r="681" customFormat="false" ht="15" hidden="false" customHeight="false" outlineLevel="0" collapsed="false">
      <c r="A681" s="31" t="str">
        <f aca="false">IF(COUNTA(B681,D681,E681,F681)=0,"",ROW()-4)</f>
        <v/>
      </c>
      <c r="B681" s="22"/>
      <c r="C681" s="26"/>
      <c r="D681" s="26"/>
      <c r="E681" s="18"/>
      <c r="F681" s="26"/>
      <c r="G681" s="31" t="str">
        <f aca="false">IF(F681="","",IFERROR(INDEX(請求台帳!$C$5:$C$504,MATCH(F681,請求台帳!$A$5:$A$504,0)),""))</f>
        <v/>
      </c>
      <c r="H681" s="31" t="str">
        <f aca="false">IF(F681="","",IFERROR(INDEX(請求台帳!$D$5:$D$504,MATCH(F681,請求台帳!$A$5:$A$504,0)),""))</f>
        <v/>
      </c>
      <c r="I681" s="27" t="str">
        <f aca="false">IF(F681="","",IFERROR(INDEX(請求台帳!$F$5:$F$504,MATCH(F681,請求台帳!$A$5:$A$504,0)),""))</f>
        <v/>
      </c>
      <c r="J681" s="28" t="str">
        <f aca="false">IF(COUNTA(B681,D681,E681,F681)=0,"",IF(OR(B681="",E681=""),"要入力",IF(N(B681)&gt;設定!$C$5,"日付誤り",IF(F681="","未消込",IF(ISNA(MATCH(F681,請求台帳!$A$5:$A$504,0)),"番号誤り",IF(INDEX(請求台帳!$Q$5:$Q$504,MATCH(F681,請求台帳!$A$5:$A$504,0))="取消","取消請求へ消込","消込済"))))))</f>
        <v/>
      </c>
      <c r="K681" s="26"/>
      <c r="L681" s="26"/>
    </row>
    <row r="682" customFormat="false" ht="15" hidden="false" customHeight="false" outlineLevel="0" collapsed="false">
      <c r="A682" s="31" t="str">
        <f aca="false">IF(COUNTA(B682,D682,E682,F682)=0,"",ROW()-4)</f>
        <v/>
      </c>
      <c r="B682" s="22"/>
      <c r="C682" s="26"/>
      <c r="D682" s="26"/>
      <c r="E682" s="18"/>
      <c r="F682" s="26"/>
      <c r="G682" s="31" t="str">
        <f aca="false">IF(F682="","",IFERROR(INDEX(請求台帳!$C$5:$C$504,MATCH(F682,請求台帳!$A$5:$A$504,0)),""))</f>
        <v/>
      </c>
      <c r="H682" s="31" t="str">
        <f aca="false">IF(F682="","",IFERROR(INDEX(請求台帳!$D$5:$D$504,MATCH(F682,請求台帳!$A$5:$A$504,0)),""))</f>
        <v/>
      </c>
      <c r="I682" s="27" t="str">
        <f aca="false">IF(F682="","",IFERROR(INDEX(請求台帳!$F$5:$F$504,MATCH(F682,請求台帳!$A$5:$A$504,0)),""))</f>
        <v/>
      </c>
      <c r="J682" s="28" t="str">
        <f aca="false">IF(COUNTA(B682,D682,E682,F682)=0,"",IF(OR(B682="",E682=""),"要入力",IF(N(B682)&gt;設定!$C$5,"日付誤り",IF(F682="","未消込",IF(ISNA(MATCH(F682,請求台帳!$A$5:$A$504,0)),"番号誤り",IF(INDEX(請求台帳!$Q$5:$Q$504,MATCH(F682,請求台帳!$A$5:$A$504,0))="取消","取消請求へ消込","消込済"))))))</f>
        <v/>
      </c>
      <c r="K682" s="26"/>
      <c r="L682" s="26"/>
    </row>
    <row r="683" customFormat="false" ht="15" hidden="false" customHeight="false" outlineLevel="0" collapsed="false">
      <c r="A683" s="31" t="str">
        <f aca="false">IF(COUNTA(B683,D683,E683,F683)=0,"",ROW()-4)</f>
        <v/>
      </c>
      <c r="B683" s="22"/>
      <c r="C683" s="26"/>
      <c r="D683" s="26"/>
      <c r="E683" s="18"/>
      <c r="F683" s="26"/>
      <c r="G683" s="31" t="str">
        <f aca="false">IF(F683="","",IFERROR(INDEX(請求台帳!$C$5:$C$504,MATCH(F683,請求台帳!$A$5:$A$504,0)),""))</f>
        <v/>
      </c>
      <c r="H683" s="31" t="str">
        <f aca="false">IF(F683="","",IFERROR(INDEX(請求台帳!$D$5:$D$504,MATCH(F683,請求台帳!$A$5:$A$504,0)),""))</f>
        <v/>
      </c>
      <c r="I683" s="27" t="str">
        <f aca="false">IF(F683="","",IFERROR(INDEX(請求台帳!$F$5:$F$504,MATCH(F683,請求台帳!$A$5:$A$504,0)),""))</f>
        <v/>
      </c>
      <c r="J683" s="28" t="str">
        <f aca="false">IF(COUNTA(B683,D683,E683,F683)=0,"",IF(OR(B683="",E683=""),"要入力",IF(N(B683)&gt;設定!$C$5,"日付誤り",IF(F683="","未消込",IF(ISNA(MATCH(F683,請求台帳!$A$5:$A$504,0)),"番号誤り",IF(INDEX(請求台帳!$Q$5:$Q$504,MATCH(F683,請求台帳!$A$5:$A$504,0))="取消","取消請求へ消込","消込済"))))))</f>
        <v/>
      </c>
      <c r="K683" s="26"/>
      <c r="L683" s="26"/>
    </row>
    <row r="684" customFormat="false" ht="15" hidden="false" customHeight="false" outlineLevel="0" collapsed="false">
      <c r="A684" s="31" t="str">
        <f aca="false">IF(COUNTA(B684,D684,E684,F684)=0,"",ROW()-4)</f>
        <v/>
      </c>
      <c r="B684" s="22"/>
      <c r="C684" s="26"/>
      <c r="D684" s="26"/>
      <c r="E684" s="18"/>
      <c r="F684" s="26"/>
      <c r="G684" s="31" t="str">
        <f aca="false">IF(F684="","",IFERROR(INDEX(請求台帳!$C$5:$C$504,MATCH(F684,請求台帳!$A$5:$A$504,0)),""))</f>
        <v/>
      </c>
      <c r="H684" s="31" t="str">
        <f aca="false">IF(F684="","",IFERROR(INDEX(請求台帳!$D$5:$D$504,MATCH(F684,請求台帳!$A$5:$A$504,0)),""))</f>
        <v/>
      </c>
      <c r="I684" s="27" t="str">
        <f aca="false">IF(F684="","",IFERROR(INDEX(請求台帳!$F$5:$F$504,MATCH(F684,請求台帳!$A$5:$A$504,0)),""))</f>
        <v/>
      </c>
      <c r="J684" s="28" t="str">
        <f aca="false">IF(COUNTA(B684,D684,E684,F684)=0,"",IF(OR(B684="",E684=""),"要入力",IF(N(B684)&gt;設定!$C$5,"日付誤り",IF(F684="","未消込",IF(ISNA(MATCH(F684,請求台帳!$A$5:$A$504,0)),"番号誤り",IF(INDEX(請求台帳!$Q$5:$Q$504,MATCH(F684,請求台帳!$A$5:$A$504,0))="取消","取消請求へ消込","消込済"))))))</f>
        <v/>
      </c>
      <c r="K684" s="26"/>
      <c r="L684" s="26"/>
    </row>
    <row r="685" customFormat="false" ht="15" hidden="false" customHeight="false" outlineLevel="0" collapsed="false">
      <c r="A685" s="31" t="str">
        <f aca="false">IF(COUNTA(B685,D685,E685,F685)=0,"",ROW()-4)</f>
        <v/>
      </c>
      <c r="B685" s="22"/>
      <c r="C685" s="26"/>
      <c r="D685" s="26"/>
      <c r="E685" s="18"/>
      <c r="F685" s="26"/>
      <c r="G685" s="31" t="str">
        <f aca="false">IF(F685="","",IFERROR(INDEX(請求台帳!$C$5:$C$504,MATCH(F685,請求台帳!$A$5:$A$504,0)),""))</f>
        <v/>
      </c>
      <c r="H685" s="31" t="str">
        <f aca="false">IF(F685="","",IFERROR(INDEX(請求台帳!$D$5:$D$504,MATCH(F685,請求台帳!$A$5:$A$504,0)),""))</f>
        <v/>
      </c>
      <c r="I685" s="27" t="str">
        <f aca="false">IF(F685="","",IFERROR(INDEX(請求台帳!$F$5:$F$504,MATCH(F685,請求台帳!$A$5:$A$504,0)),""))</f>
        <v/>
      </c>
      <c r="J685" s="28" t="str">
        <f aca="false">IF(COUNTA(B685,D685,E685,F685)=0,"",IF(OR(B685="",E685=""),"要入力",IF(N(B685)&gt;設定!$C$5,"日付誤り",IF(F685="","未消込",IF(ISNA(MATCH(F685,請求台帳!$A$5:$A$504,0)),"番号誤り",IF(INDEX(請求台帳!$Q$5:$Q$504,MATCH(F685,請求台帳!$A$5:$A$504,0))="取消","取消請求へ消込","消込済"))))))</f>
        <v/>
      </c>
      <c r="K685" s="26"/>
      <c r="L685" s="26"/>
    </row>
    <row r="686" customFormat="false" ht="15" hidden="false" customHeight="false" outlineLevel="0" collapsed="false">
      <c r="A686" s="31" t="str">
        <f aca="false">IF(COUNTA(B686,D686,E686,F686)=0,"",ROW()-4)</f>
        <v/>
      </c>
      <c r="B686" s="22"/>
      <c r="C686" s="26"/>
      <c r="D686" s="26"/>
      <c r="E686" s="18"/>
      <c r="F686" s="26"/>
      <c r="G686" s="31" t="str">
        <f aca="false">IF(F686="","",IFERROR(INDEX(請求台帳!$C$5:$C$504,MATCH(F686,請求台帳!$A$5:$A$504,0)),""))</f>
        <v/>
      </c>
      <c r="H686" s="31" t="str">
        <f aca="false">IF(F686="","",IFERROR(INDEX(請求台帳!$D$5:$D$504,MATCH(F686,請求台帳!$A$5:$A$504,0)),""))</f>
        <v/>
      </c>
      <c r="I686" s="27" t="str">
        <f aca="false">IF(F686="","",IFERROR(INDEX(請求台帳!$F$5:$F$504,MATCH(F686,請求台帳!$A$5:$A$504,0)),""))</f>
        <v/>
      </c>
      <c r="J686" s="28" t="str">
        <f aca="false">IF(COUNTA(B686,D686,E686,F686)=0,"",IF(OR(B686="",E686=""),"要入力",IF(N(B686)&gt;設定!$C$5,"日付誤り",IF(F686="","未消込",IF(ISNA(MATCH(F686,請求台帳!$A$5:$A$504,0)),"番号誤り",IF(INDEX(請求台帳!$Q$5:$Q$504,MATCH(F686,請求台帳!$A$5:$A$504,0))="取消","取消請求へ消込","消込済"))))))</f>
        <v/>
      </c>
      <c r="K686" s="26"/>
      <c r="L686" s="26"/>
    </row>
    <row r="687" customFormat="false" ht="15" hidden="false" customHeight="false" outlineLevel="0" collapsed="false">
      <c r="A687" s="31" t="str">
        <f aca="false">IF(COUNTA(B687,D687,E687,F687)=0,"",ROW()-4)</f>
        <v/>
      </c>
      <c r="B687" s="22"/>
      <c r="C687" s="26"/>
      <c r="D687" s="26"/>
      <c r="E687" s="18"/>
      <c r="F687" s="26"/>
      <c r="G687" s="31" t="str">
        <f aca="false">IF(F687="","",IFERROR(INDEX(請求台帳!$C$5:$C$504,MATCH(F687,請求台帳!$A$5:$A$504,0)),""))</f>
        <v/>
      </c>
      <c r="H687" s="31" t="str">
        <f aca="false">IF(F687="","",IFERROR(INDEX(請求台帳!$D$5:$D$504,MATCH(F687,請求台帳!$A$5:$A$504,0)),""))</f>
        <v/>
      </c>
      <c r="I687" s="27" t="str">
        <f aca="false">IF(F687="","",IFERROR(INDEX(請求台帳!$F$5:$F$504,MATCH(F687,請求台帳!$A$5:$A$504,0)),""))</f>
        <v/>
      </c>
      <c r="J687" s="28" t="str">
        <f aca="false">IF(COUNTA(B687,D687,E687,F687)=0,"",IF(OR(B687="",E687=""),"要入力",IF(N(B687)&gt;設定!$C$5,"日付誤り",IF(F687="","未消込",IF(ISNA(MATCH(F687,請求台帳!$A$5:$A$504,0)),"番号誤り",IF(INDEX(請求台帳!$Q$5:$Q$504,MATCH(F687,請求台帳!$A$5:$A$504,0))="取消","取消請求へ消込","消込済"))))))</f>
        <v/>
      </c>
      <c r="K687" s="26"/>
      <c r="L687" s="26"/>
    </row>
    <row r="688" customFormat="false" ht="15" hidden="false" customHeight="false" outlineLevel="0" collapsed="false">
      <c r="A688" s="31" t="str">
        <f aca="false">IF(COUNTA(B688,D688,E688,F688)=0,"",ROW()-4)</f>
        <v/>
      </c>
      <c r="B688" s="22"/>
      <c r="C688" s="26"/>
      <c r="D688" s="26"/>
      <c r="E688" s="18"/>
      <c r="F688" s="26"/>
      <c r="G688" s="31" t="str">
        <f aca="false">IF(F688="","",IFERROR(INDEX(請求台帳!$C$5:$C$504,MATCH(F688,請求台帳!$A$5:$A$504,0)),""))</f>
        <v/>
      </c>
      <c r="H688" s="31" t="str">
        <f aca="false">IF(F688="","",IFERROR(INDEX(請求台帳!$D$5:$D$504,MATCH(F688,請求台帳!$A$5:$A$504,0)),""))</f>
        <v/>
      </c>
      <c r="I688" s="27" t="str">
        <f aca="false">IF(F688="","",IFERROR(INDEX(請求台帳!$F$5:$F$504,MATCH(F688,請求台帳!$A$5:$A$504,0)),""))</f>
        <v/>
      </c>
      <c r="J688" s="28" t="str">
        <f aca="false">IF(COUNTA(B688,D688,E688,F688)=0,"",IF(OR(B688="",E688=""),"要入力",IF(N(B688)&gt;設定!$C$5,"日付誤り",IF(F688="","未消込",IF(ISNA(MATCH(F688,請求台帳!$A$5:$A$504,0)),"番号誤り",IF(INDEX(請求台帳!$Q$5:$Q$504,MATCH(F688,請求台帳!$A$5:$A$504,0))="取消","取消請求へ消込","消込済"))))))</f>
        <v/>
      </c>
      <c r="K688" s="26"/>
      <c r="L688" s="26"/>
    </row>
    <row r="689" customFormat="false" ht="15" hidden="false" customHeight="false" outlineLevel="0" collapsed="false">
      <c r="A689" s="31" t="str">
        <f aca="false">IF(COUNTA(B689,D689,E689,F689)=0,"",ROW()-4)</f>
        <v/>
      </c>
      <c r="B689" s="22"/>
      <c r="C689" s="26"/>
      <c r="D689" s="26"/>
      <c r="E689" s="18"/>
      <c r="F689" s="26"/>
      <c r="G689" s="31" t="str">
        <f aca="false">IF(F689="","",IFERROR(INDEX(請求台帳!$C$5:$C$504,MATCH(F689,請求台帳!$A$5:$A$504,0)),""))</f>
        <v/>
      </c>
      <c r="H689" s="31" t="str">
        <f aca="false">IF(F689="","",IFERROR(INDEX(請求台帳!$D$5:$D$504,MATCH(F689,請求台帳!$A$5:$A$504,0)),""))</f>
        <v/>
      </c>
      <c r="I689" s="27" t="str">
        <f aca="false">IF(F689="","",IFERROR(INDEX(請求台帳!$F$5:$F$504,MATCH(F689,請求台帳!$A$5:$A$504,0)),""))</f>
        <v/>
      </c>
      <c r="J689" s="28" t="str">
        <f aca="false">IF(COUNTA(B689,D689,E689,F689)=0,"",IF(OR(B689="",E689=""),"要入力",IF(N(B689)&gt;設定!$C$5,"日付誤り",IF(F689="","未消込",IF(ISNA(MATCH(F689,請求台帳!$A$5:$A$504,0)),"番号誤り",IF(INDEX(請求台帳!$Q$5:$Q$504,MATCH(F689,請求台帳!$A$5:$A$504,0))="取消","取消請求へ消込","消込済"))))))</f>
        <v/>
      </c>
      <c r="K689" s="26"/>
      <c r="L689" s="26"/>
    </row>
    <row r="690" customFormat="false" ht="15" hidden="false" customHeight="false" outlineLevel="0" collapsed="false">
      <c r="A690" s="31" t="str">
        <f aca="false">IF(COUNTA(B690,D690,E690,F690)=0,"",ROW()-4)</f>
        <v/>
      </c>
      <c r="B690" s="22"/>
      <c r="C690" s="26"/>
      <c r="D690" s="26"/>
      <c r="E690" s="18"/>
      <c r="F690" s="26"/>
      <c r="G690" s="31" t="str">
        <f aca="false">IF(F690="","",IFERROR(INDEX(請求台帳!$C$5:$C$504,MATCH(F690,請求台帳!$A$5:$A$504,0)),""))</f>
        <v/>
      </c>
      <c r="H690" s="31" t="str">
        <f aca="false">IF(F690="","",IFERROR(INDEX(請求台帳!$D$5:$D$504,MATCH(F690,請求台帳!$A$5:$A$504,0)),""))</f>
        <v/>
      </c>
      <c r="I690" s="27" t="str">
        <f aca="false">IF(F690="","",IFERROR(INDEX(請求台帳!$F$5:$F$504,MATCH(F690,請求台帳!$A$5:$A$504,0)),""))</f>
        <v/>
      </c>
      <c r="J690" s="28" t="str">
        <f aca="false">IF(COUNTA(B690,D690,E690,F690)=0,"",IF(OR(B690="",E690=""),"要入力",IF(N(B690)&gt;設定!$C$5,"日付誤り",IF(F690="","未消込",IF(ISNA(MATCH(F690,請求台帳!$A$5:$A$504,0)),"番号誤り",IF(INDEX(請求台帳!$Q$5:$Q$504,MATCH(F690,請求台帳!$A$5:$A$504,0))="取消","取消請求へ消込","消込済"))))))</f>
        <v/>
      </c>
      <c r="K690" s="26"/>
      <c r="L690" s="26"/>
    </row>
    <row r="691" customFormat="false" ht="15" hidden="false" customHeight="false" outlineLevel="0" collapsed="false">
      <c r="A691" s="31" t="str">
        <f aca="false">IF(COUNTA(B691,D691,E691,F691)=0,"",ROW()-4)</f>
        <v/>
      </c>
      <c r="B691" s="22"/>
      <c r="C691" s="26"/>
      <c r="D691" s="26"/>
      <c r="E691" s="18"/>
      <c r="F691" s="26"/>
      <c r="G691" s="31" t="str">
        <f aca="false">IF(F691="","",IFERROR(INDEX(請求台帳!$C$5:$C$504,MATCH(F691,請求台帳!$A$5:$A$504,0)),""))</f>
        <v/>
      </c>
      <c r="H691" s="31" t="str">
        <f aca="false">IF(F691="","",IFERROR(INDEX(請求台帳!$D$5:$D$504,MATCH(F691,請求台帳!$A$5:$A$504,0)),""))</f>
        <v/>
      </c>
      <c r="I691" s="27" t="str">
        <f aca="false">IF(F691="","",IFERROR(INDEX(請求台帳!$F$5:$F$504,MATCH(F691,請求台帳!$A$5:$A$504,0)),""))</f>
        <v/>
      </c>
      <c r="J691" s="28" t="str">
        <f aca="false">IF(COUNTA(B691,D691,E691,F691)=0,"",IF(OR(B691="",E691=""),"要入力",IF(N(B691)&gt;設定!$C$5,"日付誤り",IF(F691="","未消込",IF(ISNA(MATCH(F691,請求台帳!$A$5:$A$504,0)),"番号誤り",IF(INDEX(請求台帳!$Q$5:$Q$504,MATCH(F691,請求台帳!$A$5:$A$504,0))="取消","取消請求へ消込","消込済"))))))</f>
        <v/>
      </c>
      <c r="K691" s="26"/>
      <c r="L691" s="26"/>
    </row>
    <row r="692" customFormat="false" ht="15" hidden="false" customHeight="false" outlineLevel="0" collapsed="false">
      <c r="A692" s="31" t="str">
        <f aca="false">IF(COUNTA(B692,D692,E692,F692)=0,"",ROW()-4)</f>
        <v/>
      </c>
      <c r="B692" s="22"/>
      <c r="C692" s="26"/>
      <c r="D692" s="26"/>
      <c r="E692" s="18"/>
      <c r="F692" s="26"/>
      <c r="G692" s="31" t="str">
        <f aca="false">IF(F692="","",IFERROR(INDEX(請求台帳!$C$5:$C$504,MATCH(F692,請求台帳!$A$5:$A$504,0)),""))</f>
        <v/>
      </c>
      <c r="H692" s="31" t="str">
        <f aca="false">IF(F692="","",IFERROR(INDEX(請求台帳!$D$5:$D$504,MATCH(F692,請求台帳!$A$5:$A$504,0)),""))</f>
        <v/>
      </c>
      <c r="I692" s="27" t="str">
        <f aca="false">IF(F692="","",IFERROR(INDEX(請求台帳!$F$5:$F$504,MATCH(F692,請求台帳!$A$5:$A$504,0)),""))</f>
        <v/>
      </c>
      <c r="J692" s="28" t="str">
        <f aca="false">IF(COUNTA(B692,D692,E692,F692)=0,"",IF(OR(B692="",E692=""),"要入力",IF(N(B692)&gt;設定!$C$5,"日付誤り",IF(F692="","未消込",IF(ISNA(MATCH(F692,請求台帳!$A$5:$A$504,0)),"番号誤り",IF(INDEX(請求台帳!$Q$5:$Q$504,MATCH(F692,請求台帳!$A$5:$A$504,0))="取消","取消請求へ消込","消込済"))))))</f>
        <v/>
      </c>
      <c r="K692" s="26"/>
      <c r="L692" s="26"/>
    </row>
    <row r="693" customFormat="false" ht="15" hidden="false" customHeight="false" outlineLevel="0" collapsed="false">
      <c r="A693" s="31" t="str">
        <f aca="false">IF(COUNTA(B693,D693,E693,F693)=0,"",ROW()-4)</f>
        <v/>
      </c>
      <c r="B693" s="22"/>
      <c r="C693" s="26"/>
      <c r="D693" s="26"/>
      <c r="E693" s="18"/>
      <c r="F693" s="26"/>
      <c r="G693" s="31" t="str">
        <f aca="false">IF(F693="","",IFERROR(INDEX(請求台帳!$C$5:$C$504,MATCH(F693,請求台帳!$A$5:$A$504,0)),""))</f>
        <v/>
      </c>
      <c r="H693" s="31" t="str">
        <f aca="false">IF(F693="","",IFERROR(INDEX(請求台帳!$D$5:$D$504,MATCH(F693,請求台帳!$A$5:$A$504,0)),""))</f>
        <v/>
      </c>
      <c r="I693" s="27" t="str">
        <f aca="false">IF(F693="","",IFERROR(INDEX(請求台帳!$F$5:$F$504,MATCH(F693,請求台帳!$A$5:$A$504,0)),""))</f>
        <v/>
      </c>
      <c r="J693" s="28" t="str">
        <f aca="false">IF(COUNTA(B693,D693,E693,F693)=0,"",IF(OR(B693="",E693=""),"要入力",IF(N(B693)&gt;設定!$C$5,"日付誤り",IF(F693="","未消込",IF(ISNA(MATCH(F693,請求台帳!$A$5:$A$504,0)),"番号誤り",IF(INDEX(請求台帳!$Q$5:$Q$504,MATCH(F693,請求台帳!$A$5:$A$504,0))="取消","取消請求へ消込","消込済"))))))</f>
        <v/>
      </c>
      <c r="K693" s="26"/>
      <c r="L693" s="26"/>
    </row>
    <row r="694" customFormat="false" ht="15" hidden="false" customHeight="false" outlineLevel="0" collapsed="false">
      <c r="A694" s="31" t="str">
        <f aca="false">IF(COUNTA(B694,D694,E694,F694)=0,"",ROW()-4)</f>
        <v/>
      </c>
      <c r="B694" s="22"/>
      <c r="C694" s="26"/>
      <c r="D694" s="26"/>
      <c r="E694" s="18"/>
      <c r="F694" s="26"/>
      <c r="G694" s="31" t="str">
        <f aca="false">IF(F694="","",IFERROR(INDEX(請求台帳!$C$5:$C$504,MATCH(F694,請求台帳!$A$5:$A$504,0)),""))</f>
        <v/>
      </c>
      <c r="H694" s="31" t="str">
        <f aca="false">IF(F694="","",IFERROR(INDEX(請求台帳!$D$5:$D$504,MATCH(F694,請求台帳!$A$5:$A$504,0)),""))</f>
        <v/>
      </c>
      <c r="I694" s="27" t="str">
        <f aca="false">IF(F694="","",IFERROR(INDEX(請求台帳!$F$5:$F$504,MATCH(F694,請求台帳!$A$5:$A$504,0)),""))</f>
        <v/>
      </c>
      <c r="J694" s="28" t="str">
        <f aca="false">IF(COUNTA(B694,D694,E694,F694)=0,"",IF(OR(B694="",E694=""),"要入力",IF(N(B694)&gt;設定!$C$5,"日付誤り",IF(F694="","未消込",IF(ISNA(MATCH(F694,請求台帳!$A$5:$A$504,0)),"番号誤り",IF(INDEX(請求台帳!$Q$5:$Q$504,MATCH(F694,請求台帳!$A$5:$A$504,0))="取消","取消請求へ消込","消込済"))))))</f>
        <v/>
      </c>
      <c r="K694" s="26"/>
      <c r="L694" s="26"/>
    </row>
    <row r="695" customFormat="false" ht="15" hidden="false" customHeight="false" outlineLevel="0" collapsed="false">
      <c r="A695" s="31" t="str">
        <f aca="false">IF(COUNTA(B695,D695,E695,F695)=0,"",ROW()-4)</f>
        <v/>
      </c>
      <c r="B695" s="22"/>
      <c r="C695" s="26"/>
      <c r="D695" s="26"/>
      <c r="E695" s="18"/>
      <c r="F695" s="26"/>
      <c r="G695" s="31" t="str">
        <f aca="false">IF(F695="","",IFERROR(INDEX(請求台帳!$C$5:$C$504,MATCH(F695,請求台帳!$A$5:$A$504,0)),""))</f>
        <v/>
      </c>
      <c r="H695" s="31" t="str">
        <f aca="false">IF(F695="","",IFERROR(INDEX(請求台帳!$D$5:$D$504,MATCH(F695,請求台帳!$A$5:$A$504,0)),""))</f>
        <v/>
      </c>
      <c r="I695" s="27" t="str">
        <f aca="false">IF(F695="","",IFERROR(INDEX(請求台帳!$F$5:$F$504,MATCH(F695,請求台帳!$A$5:$A$504,0)),""))</f>
        <v/>
      </c>
      <c r="J695" s="28" t="str">
        <f aca="false">IF(COUNTA(B695,D695,E695,F695)=0,"",IF(OR(B695="",E695=""),"要入力",IF(N(B695)&gt;設定!$C$5,"日付誤り",IF(F695="","未消込",IF(ISNA(MATCH(F695,請求台帳!$A$5:$A$504,0)),"番号誤り",IF(INDEX(請求台帳!$Q$5:$Q$504,MATCH(F695,請求台帳!$A$5:$A$504,0))="取消","取消請求へ消込","消込済"))))))</f>
        <v/>
      </c>
      <c r="K695" s="26"/>
      <c r="L695" s="26"/>
    </row>
    <row r="696" customFormat="false" ht="15" hidden="false" customHeight="false" outlineLevel="0" collapsed="false">
      <c r="A696" s="31" t="str">
        <f aca="false">IF(COUNTA(B696,D696,E696,F696)=0,"",ROW()-4)</f>
        <v/>
      </c>
      <c r="B696" s="22"/>
      <c r="C696" s="26"/>
      <c r="D696" s="26"/>
      <c r="E696" s="18"/>
      <c r="F696" s="26"/>
      <c r="G696" s="31" t="str">
        <f aca="false">IF(F696="","",IFERROR(INDEX(請求台帳!$C$5:$C$504,MATCH(F696,請求台帳!$A$5:$A$504,0)),""))</f>
        <v/>
      </c>
      <c r="H696" s="31" t="str">
        <f aca="false">IF(F696="","",IFERROR(INDEX(請求台帳!$D$5:$D$504,MATCH(F696,請求台帳!$A$5:$A$504,0)),""))</f>
        <v/>
      </c>
      <c r="I696" s="27" t="str">
        <f aca="false">IF(F696="","",IFERROR(INDEX(請求台帳!$F$5:$F$504,MATCH(F696,請求台帳!$A$5:$A$504,0)),""))</f>
        <v/>
      </c>
      <c r="J696" s="28" t="str">
        <f aca="false">IF(COUNTA(B696,D696,E696,F696)=0,"",IF(OR(B696="",E696=""),"要入力",IF(N(B696)&gt;設定!$C$5,"日付誤り",IF(F696="","未消込",IF(ISNA(MATCH(F696,請求台帳!$A$5:$A$504,0)),"番号誤り",IF(INDEX(請求台帳!$Q$5:$Q$504,MATCH(F696,請求台帳!$A$5:$A$504,0))="取消","取消請求へ消込","消込済"))))))</f>
        <v/>
      </c>
      <c r="K696" s="26"/>
      <c r="L696" s="26"/>
    </row>
    <row r="697" customFormat="false" ht="15" hidden="false" customHeight="false" outlineLevel="0" collapsed="false">
      <c r="A697" s="31" t="str">
        <f aca="false">IF(COUNTA(B697,D697,E697,F697)=0,"",ROW()-4)</f>
        <v/>
      </c>
      <c r="B697" s="22"/>
      <c r="C697" s="26"/>
      <c r="D697" s="26"/>
      <c r="E697" s="18"/>
      <c r="F697" s="26"/>
      <c r="G697" s="31" t="str">
        <f aca="false">IF(F697="","",IFERROR(INDEX(請求台帳!$C$5:$C$504,MATCH(F697,請求台帳!$A$5:$A$504,0)),""))</f>
        <v/>
      </c>
      <c r="H697" s="31" t="str">
        <f aca="false">IF(F697="","",IFERROR(INDEX(請求台帳!$D$5:$D$504,MATCH(F697,請求台帳!$A$5:$A$504,0)),""))</f>
        <v/>
      </c>
      <c r="I697" s="27" t="str">
        <f aca="false">IF(F697="","",IFERROR(INDEX(請求台帳!$F$5:$F$504,MATCH(F697,請求台帳!$A$5:$A$504,0)),""))</f>
        <v/>
      </c>
      <c r="J697" s="28" t="str">
        <f aca="false">IF(COUNTA(B697,D697,E697,F697)=0,"",IF(OR(B697="",E697=""),"要入力",IF(N(B697)&gt;設定!$C$5,"日付誤り",IF(F697="","未消込",IF(ISNA(MATCH(F697,請求台帳!$A$5:$A$504,0)),"番号誤り",IF(INDEX(請求台帳!$Q$5:$Q$504,MATCH(F697,請求台帳!$A$5:$A$504,0))="取消","取消請求へ消込","消込済"))))))</f>
        <v/>
      </c>
      <c r="K697" s="26"/>
      <c r="L697" s="26"/>
    </row>
    <row r="698" customFormat="false" ht="15" hidden="false" customHeight="false" outlineLevel="0" collapsed="false">
      <c r="A698" s="31" t="str">
        <f aca="false">IF(COUNTA(B698,D698,E698,F698)=0,"",ROW()-4)</f>
        <v/>
      </c>
      <c r="B698" s="22"/>
      <c r="C698" s="26"/>
      <c r="D698" s="26"/>
      <c r="E698" s="18"/>
      <c r="F698" s="26"/>
      <c r="G698" s="31" t="str">
        <f aca="false">IF(F698="","",IFERROR(INDEX(請求台帳!$C$5:$C$504,MATCH(F698,請求台帳!$A$5:$A$504,0)),""))</f>
        <v/>
      </c>
      <c r="H698" s="31" t="str">
        <f aca="false">IF(F698="","",IFERROR(INDEX(請求台帳!$D$5:$D$504,MATCH(F698,請求台帳!$A$5:$A$504,0)),""))</f>
        <v/>
      </c>
      <c r="I698" s="27" t="str">
        <f aca="false">IF(F698="","",IFERROR(INDEX(請求台帳!$F$5:$F$504,MATCH(F698,請求台帳!$A$5:$A$504,0)),""))</f>
        <v/>
      </c>
      <c r="J698" s="28" t="str">
        <f aca="false">IF(COUNTA(B698,D698,E698,F698)=0,"",IF(OR(B698="",E698=""),"要入力",IF(N(B698)&gt;設定!$C$5,"日付誤り",IF(F698="","未消込",IF(ISNA(MATCH(F698,請求台帳!$A$5:$A$504,0)),"番号誤り",IF(INDEX(請求台帳!$Q$5:$Q$504,MATCH(F698,請求台帳!$A$5:$A$504,0))="取消","取消請求へ消込","消込済"))))))</f>
        <v/>
      </c>
      <c r="K698" s="26"/>
      <c r="L698" s="26"/>
    </row>
    <row r="699" customFormat="false" ht="15" hidden="false" customHeight="false" outlineLevel="0" collapsed="false">
      <c r="A699" s="31" t="str">
        <f aca="false">IF(COUNTA(B699,D699,E699,F699)=0,"",ROW()-4)</f>
        <v/>
      </c>
      <c r="B699" s="22"/>
      <c r="C699" s="26"/>
      <c r="D699" s="26"/>
      <c r="E699" s="18"/>
      <c r="F699" s="26"/>
      <c r="G699" s="31" t="str">
        <f aca="false">IF(F699="","",IFERROR(INDEX(請求台帳!$C$5:$C$504,MATCH(F699,請求台帳!$A$5:$A$504,0)),""))</f>
        <v/>
      </c>
      <c r="H699" s="31" t="str">
        <f aca="false">IF(F699="","",IFERROR(INDEX(請求台帳!$D$5:$D$504,MATCH(F699,請求台帳!$A$5:$A$504,0)),""))</f>
        <v/>
      </c>
      <c r="I699" s="27" t="str">
        <f aca="false">IF(F699="","",IFERROR(INDEX(請求台帳!$F$5:$F$504,MATCH(F699,請求台帳!$A$5:$A$504,0)),""))</f>
        <v/>
      </c>
      <c r="J699" s="28" t="str">
        <f aca="false">IF(COUNTA(B699,D699,E699,F699)=0,"",IF(OR(B699="",E699=""),"要入力",IF(N(B699)&gt;設定!$C$5,"日付誤り",IF(F699="","未消込",IF(ISNA(MATCH(F699,請求台帳!$A$5:$A$504,0)),"番号誤り",IF(INDEX(請求台帳!$Q$5:$Q$504,MATCH(F699,請求台帳!$A$5:$A$504,0))="取消","取消請求へ消込","消込済"))))))</f>
        <v/>
      </c>
      <c r="K699" s="26"/>
      <c r="L699" s="26"/>
    </row>
    <row r="700" customFormat="false" ht="15" hidden="false" customHeight="false" outlineLevel="0" collapsed="false">
      <c r="A700" s="31" t="str">
        <f aca="false">IF(COUNTA(B700,D700,E700,F700)=0,"",ROW()-4)</f>
        <v/>
      </c>
      <c r="B700" s="22"/>
      <c r="C700" s="26"/>
      <c r="D700" s="26"/>
      <c r="E700" s="18"/>
      <c r="F700" s="26"/>
      <c r="G700" s="31" t="str">
        <f aca="false">IF(F700="","",IFERROR(INDEX(請求台帳!$C$5:$C$504,MATCH(F700,請求台帳!$A$5:$A$504,0)),""))</f>
        <v/>
      </c>
      <c r="H700" s="31" t="str">
        <f aca="false">IF(F700="","",IFERROR(INDEX(請求台帳!$D$5:$D$504,MATCH(F700,請求台帳!$A$5:$A$504,0)),""))</f>
        <v/>
      </c>
      <c r="I700" s="27" t="str">
        <f aca="false">IF(F700="","",IFERROR(INDEX(請求台帳!$F$5:$F$504,MATCH(F700,請求台帳!$A$5:$A$504,0)),""))</f>
        <v/>
      </c>
      <c r="J700" s="28" t="str">
        <f aca="false">IF(COUNTA(B700,D700,E700,F700)=0,"",IF(OR(B700="",E700=""),"要入力",IF(N(B700)&gt;設定!$C$5,"日付誤り",IF(F700="","未消込",IF(ISNA(MATCH(F700,請求台帳!$A$5:$A$504,0)),"番号誤り",IF(INDEX(請求台帳!$Q$5:$Q$504,MATCH(F700,請求台帳!$A$5:$A$504,0))="取消","取消請求へ消込","消込済"))))))</f>
        <v/>
      </c>
      <c r="K700" s="26"/>
      <c r="L700" s="26"/>
    </row>
    <row r="701" customFormat="false" ht="15" hidden="false" customHeight="false" outlineLevel="0" collapsed="false">
      <c r="A701" s="31" t="str">
        <f aca="false">IF(COUNTA(B701,D701,E701,F701)=0,"",ROW()-4)</f>
        <v/>
      </c>
      <c r="B701" s="22"/>
      <c r="C701" s="26"/>
      <c r="D701" s="26"/>
      <c r="E701" s="18"/>
      <c r="F701" s="26"/>
      <c r="G701" s="31" t="str">
        <f aca="false">IF(F701="","",IFERROR(INDEX(請求台帳!$C$5:$C$504,MATCH(F701,請求台帳!$A$5:$A$504,0)),""))</f>
        <v/>
      </c>
      <c r="H701" s="31" t="str">
        <f aca="false">IF(F701="","",IFERROR(INDEX(請求台帳!$D$5:$D$504,MATCH(F701,請求台帳!$A$5:$A$504,0)),""))</f>
        <v/>
      </c>
      <c r="I701" s="27" t="str">
        <f aca="false">IF(F701="","",IFERROR(INDEX(請求台帳!$F$5:$F$504,MATCH(F701,請求台帳!$A$5:$A$504,0)),""))</f>
        <v/>
      </c>
      <c r="J701" s="28" t="str">
        <f aca="false">IF(COUNTA(B701,D701,E701,F701)=0,"",IF(OR(B701="",E701=""),"要入力",IF(N(B701)&gt;設定!$C$5,"日付誤り",IF(F701="","未消込",IF(ISNA(MATCH(F701,請求台帳!$A$5:$A$504,0)),"番号誤り",IF(INDEX(請求台帳!$Q$5:$Q$504,MATCH(F701,請求台帳!$A$5:$A$504,0))="取消","取消請求へ消込","消込済"))))))</f>
        <v/>
      </c>
      <c r="K701" s="26"/>
      <c r="L701" s="26"/>
    </row>
    <row r="702" customFormat="false" ht="15" hidden="false" customHeight="false" outlineLevel="0" collapsed="false">
      <c r="A702" s="31" t="str">
        <f aca="false">IF(COUNTA(B702,D702,E702,F702)=0,"",ROW()-4)</f>
        <v/>
      </c>
      <c r="B702" s="22"/>
      <c r="C702" s="26"/>
      <c r="D702" s="26"/>
      <c r="E702" s="18"/>
      <c r="F702" s="26"/>
      <c r="G702" s="31" t="str">
        <f aca="false">IF(F702="","",IFERROR(INDEX(請求台帳!$C$5:$C$504,MATCH(F702,請求台帳!$A$5:$A$504,0)),""))</f>
        <v/>
      </c>
      <c r="H702" s="31" t="str">
        <f aca="false">IF(F702="","",IFERROR(INDEX(請求台帳!$D$5:$D$504,MATCH(F702,請求台帳!$A$5:$A$504,0)),""))</f>
        <v/>
      </c>
      <c r="I702" s="27" t="str">
        <f aca="false">IF(F702="","",IFERROR(INDEX(請求台帳!$F$5:$F$504,MATCH(F702,請求台帳!$A$5:$A$504,0)),""))</f>
        <v/>
      </c>
      <c r="J702" s="28" t="str">
        <f aca="false">IF(COUNTA(B702,D702,E702,F702)=0,"",IF(OR(B702="",E702=""),"要入力",IF(N(B702)&gt;設定!$C$5,"日付誤り",IF(F702="","未消込",IF(ISNA(MATCH(F702,請求台帳!$A$5:$A$504,0)),"番号誤り",IF(INDEX(請求台帳!$Q$5:$Q$504,MATCH(F702,請求台帳!$A$5:$A$504,0))="取消","取消請求へ消込","消込済"))))))</f>
        <v/>
      </c>
      <c r="K702" s="26"/>
      <c r="L702" s="26"/>
    </row>
    <row r="703" customFormat="false" ht="15" hidden="false" customHeight="false" outlineLevel="0" collapsed="false">
      <c r="A703" s="31" t="str">
        <f aca="false">IF(COUNTA(B703,D703,E703,F703)=0,"",ROW()-4)</f>
        <v/>
      </c>
      <c r="B703" s="22"/>
      <c r="C703" s="26"/>
      <c r="D703" s="26"/>
      <c r="E703" s="18"/>
      <c r="F703" s="26"/>
      <c r="G703" s="31" t="str">
        <f aca="false">IF(F703="","",IFERROR(INDEX(請求台帳!$C$5:$C$504,MATCH(F703,請求台帳!$A$5:$A$504,0)),""))</f>
        <v/>
      </c>
      <c r="H703" s="31" t="str">
        <f aca="false">IF(F703="","",IFERROR(INDEX(請求台帳!$D$5:$D$504,MATCH(F703,請求台帳!$A$5:$A$504,0)),""))</f>
        <v/>
      </c>
      <c r="I703" s="27" t="str">
        <f aca="false">IF(F703="","",IFERROR(INDEX(請求台帳!$F$5:$F$504,MATCH(F703,請求台帳!$A$5:$A$504,0)),""))</f>
        <v/>
      </c>
      <c r="J703" s="28" t="str">
        <f aca="false">IF(COUNTA(B703,D703,E703,F703)=0,"",IF(OR(B703="",E703=""),"要入力",IF(N(B703)&gt;設定!$C$5,"日付誤り",IF(F703="","未消込",IF(ISNA(MATCH(F703,請求台帳!$A$5:$A$504,0)),"番号誤り",IF(INDEX(請求台帳!$Q$5:$Q$504,MATCH(F703,請求台帳!$A$5:$A$504,0))="取消","取消請求へ消込","消込済"))))))</f>
        <v/>
      </c>
      <c r="K703" s="26"/>
      <c r="L703" s="26"/>
    </row>
    <row r="704" customFormat="false" ht="15" hidden="false" customHeight="false" outlineLevel="0" collapsed="false">
      <c r="A704" s="31" t="str">
        <f aca="false">IF(COUNTA(B704,D704,E704,F704)=0,"",ROW()-4)</f>
        <v/>
      </c>
      <c r="B704" s="22"/>
      <c r="C704" s="26"/>
      <c r="D704" s="26"/>
      <c r="E704" s="18"/>
      <c r="F704" s="26"/>
      <c r="G704" s="31" t="str">
        <f aca="false">IF(F704="","",IFERROR(INDEX(請求台帳!$C$5:$C$504,MATCH(F704,請求台帳!$A$5:$A$504,0)),""))</f>
        <v/>
      </c>
      <c r="H704" s="31" t="str">
        <f aca="false">IF(F704="","",IFERROR(INDEX(請求台帳!$D$5:$D$504,MATCH(F704,請求台帳!$A$5:$A$504,0)),""))</f>
        <v/>
      </c>
      <c r="I704" s="27" t="str">
        <f aca="false">IF(F704="","",IFERROR(INDEX(請求台帳!$F$5:$F$504,MATCH(F704,請求台帳!$A$5:$A$504,0)),""))</f>
        <v/>
      </c>
      <c r="J704" s="28" t="str">
        <f aca="false">IF(COUNTA(B704,D704,E704,F704)=0,"",IF(OR(B704="",E704=""),"要入力",IF(N(B704)&gt;設定!$C$5,"日付誤り",IF(F704="","未消込",IF(ISNA(MATCH(F704,請求台帳!$A$5:$A$504,0)),"番号誤り",IF(INDEX(請求台帳!$Q$5:$Q$504,MATCH(F704,請求台帳!$A$5:$A$504,0))="取消","取消請求へ消込","消込済"))))))</f>
        <v/>
      </c>
      <c r="K704" s="26"/>
      <c r="L704" s="26"/>
    </row>
    <row r="705" customFormat="false" ht="15" hidden="false" customHeight="false" outlineLevel="0" collapsed="false">
      <c r="A705" s="31" t="str">
        <f aca="false">IF(COUNTA(B705,D705,E705,F705)=0,"",ROW()-4)</f>
        <v/>
      </c>
      <c r="B705" s="22"/>
      <c r="C705" s="26"/>
      <c r="D705" s="26"/>
      <c r="E705" s="18"/>
      <c r="F705" s="26"/>
      <c r="G705" s="31" t="str">
        <f aca="false">IF(F705="","",IFERROR(INDEX(請求台帳!$C$5:$C$504,MATCH(F705,請求台帳!$A$5:$A$504,0)),""))</f>
        <v/>
      </c>
      <c r="H705" s="31" t="str">
        <f aca="false">IF(F705="","",IFERROR(INDEX(請求台帳!$D$5:$D$504,MATCH(F705,請求台帳!$A$5:$A$504,0)),""))</f>
        <v/>
      </c>
      <c r="I705" s="27" t="str">
        <f aca="false">IF(F705="","",IFERROR(INDEX(請求台帳!$F$5:$F$504,MATCH(F705,請求台帳!$A$5:$A$504,0)),""))</f>
        <v/>
      </c>
      <c r="J705" s="28" t="str">
        <f aca="false">IF(COUNTA(B705,D705,E705,F705)=0,"",IF(OR(B705="",E705=""),"要入力",IF(N(B705)&gt;設定!$C$5,"日付誤り",IF(F705="","未消込",IF(ISNA(MATCH(F705,請求台帳!$A$5:$A$504,0)),"番号誤り",IF(INDEX(請求台帳!$Q$5:$Q$504,MATCH(F705,請求台帳!$A$5:$A$504,0))="取消","取消請求へ消込","消込済"))))))</f>
        <v/>
      </c>
      <c r="K705" s="26"/>
      <c r="L705" s="26"/>
    </row>
    <row r="706" customFormat="false" ht="15" hidden="false" customHeight="false" outlineLevel="0" collapsed="false">
      <c r="A706" s="31" t="str">
        <f aca="false">IF(COUNTA(B706,D706,E706,F706)=0,"",ROW()-4)</f>
        <v/>
      </c>
      <c r="B706" s="22"/>
      <c r="C706" s="26"/>
      <c r="D706" s="26"/>
      <c r="E706" s="18"/>
      <c r="F706" s="26"/>
      <c r="G706" s="31" t="str">
        <f aca="false">IF(F706="","",IFERROR(INDEX(請求台帳!$C$5:$C$504,MATCH(F706,請求台帳!$A$5:$A$504,0)),""))</f>
        <v/>
      </c>
      <c r="H706" s="31" t="str">
        <f aca="false">IF(F706="","",IFERROR(INDEX(請求台帳!$D$5:$D$504,MATCH(F706,請求台帳!$A$5:$A$504,0)),""))</f>
        <v/>
      </c>
      <c r="I706" s="27" t="str">
        <f aca="false">IF(F706="","",IFERROR(INDEX(請求台帳!$F$5:$F$504,MATCH(F706,請求台帳!$A$5:$A$504,0)),""))</f>
        <v/>
      </c>
      <c r="J706" s="28" t="str">
        <f aca="false">IF(COUNTA(B706,D706,E706,F706)=0,"",IF(OR(B706="",E706=""),"要入力",IF(N(B706)&gt;設定!$C$5,"日付誤り",IF(F706="","未消込",IF(ISNA(MATCH(F706,請求台帳!$A$5:$A$504,0)),"番号誤り",IF(INDEX(請求台帳!$Q$5:$Q$504,MATCH(F706,請求台帳!$A$5:$A$504,0))="取消","取消請求へ消込","消込済"))))))</f>
        <v/>
      </c>
      <c r="K706" s="26"/>
      <c r="L706" s="26"/>
    </row>
    <row r="707" customFormat="false" ht="15" hidden="false" customHeight="false" outlineLevel="0" collapsed="false">
      <c r="A707" s="31" t="str">
        <f aca="false">IF(COUNTA(B707,D707,E707,F707)=0,"",ROW()-4)</f>
        <v/>
      </c>
      <c r="B707" s="22"/>
      <c r="C707" s="26"/>
      <c r="D707" s="26"/>
      <c r="E707" s="18"/>
      <c r="F707" s="26"/>
      <c r="G707" s="31" t="str">
        <f aca="false">IF(F707="","",IFERROR(INDEX(請求台帳!$C$5:$C$504,MATCH(F707,請求台帳!$A$5:$A$504,0)),""))</f>
        <v/>
      </c>
      <c r="H707" s="31" t="str">
        <f aca="false">IF(F707="","",IFERROR(INDEX(請求台帳!$D$5:$D$504,MATCH(F707,請求台帳!$A$5:$A$504,0)),""))</f>
        <v/>
      </c>
      <c r="I707" s="27" t="str">
        <f aca="false">IF(F707="","",IFERROR(INDEX(請求台帳!$F$5:$F$504,MATCH(F707,請求台帳!$A$5:$A$504,0)),""))</f>
        <v/>
      </c>
      <c r="J707" s="28" t="str">
        <f aca="false">IF(COUNTA(B707,D707,E707,F707)=0,"",IF(OR(B707="",E707=""),"要入力",IF(N(B707)&gt;設定!$C$5,"日付誤り",IF(F707="","未消込",IF(ISNA(MATCH(F707,請求台帳!$A$5:$A$504,0)),"番号誤り",IF(INDEX(請求台帳!$Q$5:$Q$504,MATCH(F707,請求台帳!$A$5:$A$504,0))="取消","取消請求へ消込","消込済"))))))</f>
        <v/>
      </c>
      <c r="K707" s="26"/>
      <c r="L707" s="26"/>
    </row>
    <row r="708" customFormat="false" ht="15" hidden="false" customHeight="false" outlineLevel="0" collapsed="false">
      <c r="A708" s="31" t="str">
        <f aca="false">IF(COUNTA(B708,D708,E708,F708)=0,"",ROW()-4)</f>
        <v/>
      </c>
      <c r="B708" s="22"/>
      <c r="C708" s="26"/>
      <c r="D708" s="26"/>
      <c r="E708" s="18"/>
      <c r="F708" s="26"/>
      <c r="G708" s="31" t="str">
        <f aca="false">IF(F708="","",IFERROR(INDEX(請求台帳!$C$5:$C$504,MATCH(F708,請求台帳!$A$5:$A$504,0)),""))</f>
        <v/>
      </c>
      <c r="H708" s="31" t="str">
        <f aca="false">IF(F708="","",IFERROR(INDEX(請求台帳!$D$5:$D$504,MATCH(F708,請求台帳!$A$5:$A$504,0)),""))</f>
        <v/>
      </c>
      <c r="I708" s="27" t="str">
        <f aca="false">IF(F708="","",IFERROR(INDEX(請求台帳!$F$5:$F$504,MATCH(F708,請求台帳!$A$5:$A$504,0)),""))</f>
        <v/>
      </c>
      <c r="J708" s="28" t="str">
        <f aca="false">IF(COUNTA(B708,D708,E708,F708)=0,"",IF(OR(B708="",E708=""),"要入力",IF(N(B708)&gt;設定!$C$5,"日付誤り",IF(F708="","未消込",IF(ISNA(MATCH(F708,請求台帳!$A$5:$A$504,0)),"番号誤り",IF(INDEX(請求台帳!$Q$5:$Q$504,MATCH(F708,請求台帳!$A$5:$A$504,0))="取消","取消請求へ消込","消込済"))))))</f>
        <v/>
      </c>
      <c r="K708" s="26"/>
      <c r="L708" s="26"/>
    </row>
    <row r="709" customFormat="false" ht="15" hidden="false" customHeight="false" outlineLevel="0" collapsed="false">
      <c r="A709" s="31" t="str">
        <f aca="false">IF(COUNTA(B709,D709,E709,F709)=0,"",ROW()-4)</f>
        <v/>
      </c>
      <c r="B709" s="22"/>
      <c r="C709" s="26"/>
      <c r="D709" s="26"/>
      <c r="E709" s="18"/>
      <c r="F709" s="26"/>
      <c r="G709" s="31" t="str">
        <f aca="false">IF(F709="","",IFERROR(INDEX(請求台帳!$C$5:$C$504,MATCH(F709,請求台帳!$A$5:$A$504,0)),""))</f>
        <v/>
      </c>
      <c r="H709" s="31" t="str">
        <f aca="false">IF(F709="","",IFERROR(INDEX(請求台帳!$D$5:$D$504,MATCH(F709,請求台帳!$A$5:$A$504,0)),""))</f>
        <v/>
      </c>
      <c r="I709" s="27" t="str">
        <f aca="false">IF(F709="","",IFERROR(INDEX(請求台帳!$F$5:$F$504,MATCH(F709,請求台帳!$A$5:$A$504,0)),""))</f>
        <v/>
      </c>
      <c r="J709" s="28" t="str">
        <f aca="false">IF(COUNTA(B709,D709,E709,F709)=0,"",IF(OR(B709="",E709=""),"要入力",IF(N(B709)&gt;設定!$C$5,"日付誤り",IF(F709="","未消込",IF(ISNA(MATCH(F709,請求台帳!$A$5:$A$504,0)),"番号誤り",IF(INDEX(請求台帳!$Q$5:$Q$504,MATCH(F709,請求台帳!$A$5:$A$504,0))="取消","取消請求へ消込","消込済"))))))</f>
        <v/>
      </c>
      <c r="K709" s="26"/>
      <c r="L709" s="26"/>
    </row>
    <row r="710" customFormat="false" ht="15" hidden="false" customHeight="false" outlineLevel="0" collapsed="false">
      <c r="A710" s="31" t="str">
        <f aca="false">IF(COUNTA(B710,D710,E710,F710)=0,"",ROW()-4)</f>
        <v/>
      </c>
      <c r="B710" s="22"/>
      <c r="C710" s="26"/>
      <c r="D710" s="26"/>
      <c r="E710" s="18"/>
      <c r="F710" s="26"/>
      <c r="G710" s="31" t="str">
        <f aca="false">IF(F710="","",IFERROR(INDEX(請求台帳!$C$5:$C$504,MATCH(F710,請求台帳!$A$5:$A$504,0)),""))</f>
        <v/>
      </c>
      <c r="H710" s="31" t="str">
        <f aca="false">IF(F710="","",IFERROR(INDEX(請求台帳!$D$5:$D$504,MATCH(F710,請求台帳!$A$5:$A$504,0)),""))</f>
        <v/>
      </c>
      <c r="I710" s="27" t="str">
        <f aca="false">IF(F710="","",IFERROR(INDEX(請求台帳!$F$5:$F$504,MATCH(F710,請求台帳!$A$5:$A$504,0)),""))</f>
        <v/>
      </c>
      <c r="J710" s="28" t="str">
        <f aca="false">IF(COUNTA(B710,D710,E710,F710)=0,"",IF(OR(B710="",E710=""),"要入力",IF(N(B710)&gt;設定!$C$5,"日付誤り",IF(F710="","未消込",IF(ISNA(MATCH(F710,請求台帳!$A$5:$A$504,0)),"番号誤り",IF(INDEX(請求台帳!$Q$5:$Q$504,MATCH(F710,請求台帳!$A$5:$A$504,0))="取消","取消請求へ消込","消込済"))))))</f>
        <v/>
      </c>
      <c r="K710" s="26"/>
      <c r="L710" s="26"/>
    </row>
    <row r="711" customFormat="false" ht="15" hidden="false" customHeight="false" outlineLevel="0" collapsed="false">
      <c r="A711" s="31" t="str">
        <f aca="false">IF(COUNTA(B711,D711,E711,F711)=0,"",ROW()-4)</f>
        <v/>
      </c>
      <c r="B711" s="22"/>
      <c r="C711" s="26"/>
      <c r="D711" s="26"/>
      <c r="E711" s="18"/>
      <c r="F711" s="26"/>
      <c r="G711" s="31" t="str">
        <f aca="false">IF(F711="","",IFERROR(INDEX(請求台帳!$C$5:$C$504,MATCH(F711,請求台帳!$A$5:$A$504,0)),""))</f>
        <v/>
      </c>
      <c r="H711" s="31" t="str">
        <f aca="false">IF(F711="","",IFERROR(INDEX(請求台帳!$D$5:$D$504,MATCH(F711,請求台帳!$A$5:$A$504,0)),""))</f>
        <v/>
      </c>
      <c r="I711" s="27" t="str">
        <f aca="false">IF(F711="","",IFERROR(INDEX(請求台帳!$F$5:$F$504,MATCH(F711,請求台帳!$A$5:$A$504,0)),""))</f>
        <v/>
      </c>
      <c r="J711" s="28" t="str">
        <f aca="false">IF(COUNTA(B711,D711,E711,F711)=0,"",IF(OR(B711="",E711=""),"要入力",IF(N(B711)&gt;設定!$C$5,"日付誤り",IF(F711="","未消込",IF(ISNA(MATCH(F711,請求台帳!$A$5:$A$504,0)),"番号誤り",IF(INDEX(請求台帳!$Q$5:$Q$504,MATCH(F711,請求台帳!$A$5:$A$504,0))="取消","取消請求へ消込","消込済"))))))</f>
        <v/>
      </c>
      <c r="K711" s="26"/>
      <c r="L711" s="26"/>
    </row>
    <row r="712" customFormat="false" ht="15" hidden="false" customHeight="false" outlineLevel="0" collapsed="false">
      <c r="A712" s="31" t="str">
        <f aca="false">IF(COUNTA(B712,D712,E712,F712)=0,"",ROW()-4)</f>
        <v/>
      </c>
      <c r="B712" s="22"/>
      <c r="C712" s="26"/>
      <c r="D712" s="26"/>
      <c r="E712" s="18"/>
      <c r="F712" s="26"/>
      <c r="G712" s="31" t="str">
        <f aca="false">IF(F712="","",IFERROR(INDEX(請求台帳!$C$5:$C$504,MATCH(F712,請求台帳!$A$5:$A$504,0)),""))</f>
        <v/>
      </c>
      <c r="H712" s="31" t="str">
        <f aca="false">IF(F712="","",IFERROR(INDEX(請求台帳!$D$5:$D$504,MATCH(F712,請求台帳!$A$5:$A$504,0)),""))</f>
        <v/>
      </c>
      <c r="I712" s="27" t="str">
        <f aca="false">IF(F712="","",IFERROR(INDEX(請求台帳!$F$5:$F$504,MATCH(F712,請求台帳!$A$5:$A$504,0)),""))</f>
        <v/>
      </c>
      <c r="J712" s="28" t="str">
        <f aca="false">IF(COUNTA(B712,D712,E712,F712)=0,"",IF(OR(B712="",E712=""),"要入力",IF(N(B712)&gt;設定!$C$5,"日付誤り",IF(F712="","未消込",IF(ISNA(MATCH(F712,請求台帳!$A$5:$A$504,0)),"番号誤り",IF(INDEX(請求台帳!$Q$5:$Q$504,MATCH(F712,請求台帳!$A$5:$A$504,0))="取消","取消請求へ消込","消込済"))))))</f>
        <v/>
      </c>
      <c r="K712" s="26"/>
      <c r="L712" s="26"/>
    </row>
    <row r="713" customFormat="false" ht="15" hidden="false" customHeight="false" outlineLevel="0" collapsed="false">
      <c r="A713" s="31" t="str">
        <f aca="false">IF(COUNTA(B713,D713,E713,F713)=0,"",ROW()-4)</f>
        <v/>
      </c>
      <c r="B713" s="22"/>
      <c r="C713" s="26"/>
      <c r="D713" s="26"/>
      <c r="E713" s="18"/>
      <c r="F713" s="26"/>
      <c r="G713" s="31" t="str">
        <f aca="false">IF(F713="","",IFERROR(INDEX(請求台帳!$C$5:$C$504,MATCH(F713,請求台帳!$A$5:$A$504,0)),""))</f>
        <v/>
      </c>
      <c r="H713" s="31" t="str">
        <f aca="false">IF(F713="","",IFERROR(INDEX(請求台帳!$D$5:$D$504,MATCH(F713,請求台帳!$A$5:$A$504,0)),""))</f>
        <v/>
      </c>
      <c r="I713" s="27" t="str">
        <f aca="false">IF(F713="","",IFERROR(INDEX(請求台帳!$F$5:$F$504,MATCH(F713,請求台帳!$A$5:$A$504,0)),""))</f>
        <v/>
      </c>
      <c r="J713" s="28" t="str">
        <f aca="false">IF(COUNTA(B713,D713,E713,F713)=0,"",IF(OR(B713="",E713=""),"要入力",IF(N(B713)&gt;設定!$C$5,"日付誤り",IF(F713="","未消込",IF(ISNA(MATCH(F713,請求台帳!$A$5:$A$504,0)),"番号誤り",IF(INDEX(請求台帳!$Q$5:$Q$504,MATCH(F713,請求台帳!$A$5:$A$504,0))="取消","取消請求へ消込","消込済"))))))</f>
        <v/>
      </c>
      <c r="K713" s="26"/>
      <c r="L713" s="26"/>
    </row>
    <row r="714" customFormat="false" ht="15" hidden="false" customHeight="false" outlineLevel="0" collapsed="false">
      <c r="A714" s="31" t="str">
        <f aca="false">IF(COUNTA(B714,D714,E714,F714)=0,"",ROW()-4)</f>
        <v/>
      </c>
      <c r="B714" s="22"/>
      <c r="C714" s="26"/>
      <c r="D714" s="26"/>
      <c r="E714" s="18"/>
      <c r="F714" s="26"/>
      <c r="G714" s="31" t="str">
        <f aca="false">IF(F714="","",IFERROR(INDEX(請求台帳!$C$5:$C$504,MATCH(F714,請求台帳!$A$5:$A$504,0)),""))</f>
        <v/>
      </c>
      <c r="H714" s="31" t="str">
        <f aca="false">IF(F714="","",IFERROR(INDEX(請求台帳!$D$5:$D$504,MATCH(F714,請求台帳!$A$5:$A$504,0)),""))</f>
        <v/>
      </c>
      <c r="I714" s="27" t="str">
        <f aca="false">IF(F714="","",IFERROR(INDEX(請求台帳!$F$5:$F$504,MATCH(F714,請求台帳!$A$5:$A$504,0)),""))</f>
        <v/>
      </c>
      <c r="J714" s="28" t="str">
        <f aca="false">IF(COUNTA(B714,D714,E714,F714)=0,"",IF(OR(B714="",E714=""),"要入力",IF(N(B714)&gt;設定!$C$5,"日付誤り",IF(F714="","未消込",IF(ISNA(MATCH(F714,請求台帳!$A$5:$A$504,0)),"番号誤り",IF(INDEX(請求台帳!$Q$5:$Q$504,MATCH(F714,請求台帳!$A$5:$A$504,0))="取消","取消請求へ消込","消込済"))))))</f>
        <v/>
      </c>
      <c r="K714" s="26"/>
      <c r="L714" s="26"/>
    </row>
    <row r="715" customFormat="false" ht="15" hidden="false" customHeight="false" outlineLevel="0" collapsed="false">
      <c r="A715" s="31" t="str">
        <f aca="false">IF(COUNTA(B715,D715,E715,F715)=0,"",ROW()-4)</f>
        <v/>
      </c>
      <c r="B715" s="22"/>
      <c r="C715" s="26"/>
      <c r="D715" s="26"/>
      <c r="E715" s="18"/>
      <c r="F715" s="26"/>
      <c r="G715" s="31" t="str">
        <f aca="false">IF(F715="","",IFERROR(INDEX(請求台帳!$C$5:$C$504,MATCH(F715,請求台帳!$A$5:$A$504,0)),""))</f>
        <v/>
      </c>
      <c r="H715" s="31" t="str">
        <f aca="false">IF(F715="","",IFERROR(INDEX(請求台帳!$D$5:$D$504,MATCH(F715,請求台帳!$A$5:$A$504,0)),""))</f>
        <v/>
      </c>
      <c r="I715" s="27" t="str">
        <f aca="false">IF(F715="","",IFERROR(INDEX(請求台帳!$F$5:$F$504,MATCH(F715,請求台帳!$A$5:$A$504,0)),""))</f>
        <v/>
      </c>
      <c r="J715" s="28" t="str">
        <f aca="false">IF(COUNTA(B715,D715,E715,F715)=0,"",IF(OR(B715="",E715=""),"要入力",IF(N(B715)&gt;設定!$C$5,"日付誤り",IF(F715="","未消込",IF(ISNA(MATCH(F715,請求台帳!$A$5:$A$504,0)),"番号誤り",IF(INDEX(請求台帳!$Q$5:$Q$504,MATCH(F715,請求台帳!$A$5:$A$504,0))="取消","取消請求へ消込","消込済"))))))</f>
        <v/>
      </c>
      <c r="K715" s="26"/>
      <c r="L715" s="26"/>
    </row>
    <row r="716" customFormat="false" ht="15" hidden="false" customHeight="false" outlineLevel="0" collapsed="false">
      <c r="A716" s="31" t="str">
        <f aca="false">IF(COUNTA(B716,D716,E716,F716)=0,"",ROW()-4)</f>
        <v/>
      </c>
      <c r="B716" s="22"/>
      <c r="C716" s="26"/>
      <c r="D716" s="26"/>
      <c r="E716" s="18"/>
      <c r="F716" s="26"/>
      <c r="G716" s="31" t="str">
        <f aca="false">IF(F716="","",IFERROR(INDEX(請求台帳!$C$5:$C$504,MATCH(F716,請求台帳!$A$5:$A$504,0)),""))</f>
        <v/>
      </c>
      <c r="H716" s="31" t="str">
        <f aca="false">IF(F716="","",IFERROR(INDEX(請求台帳!$D$5:$D$504,MATCH(F716,請求台帳!$A$5:$A$504,0)),""))</f>
        <v/>
      </c>
      <c r="I716" s="27" t="str">
        <f aca="false">IF(F716="","",IFERROR(INDEX(請求台帳!$F$5:$F$504,MATCH(F716,請求台帳!$A$5:$A$504,0)),""))</f>
        <v/>
      </c>
      <c r="J716" s="28" t="str">
        <f aca="false">IF(COUNTA(B716,D716,E716,F716)=0,"",IF(OR(B716="",E716=""),"要入力",IF(N(B716)&gt;設定!$C$5,"日付誤り",IF(F716="","未消込",IF(ISNA(MATCH(F716,請求台帳!$A$5:$A$504,0)),"番号誤り",IF(INDEX(請求台帳!$Q$5:$Q$504,MATCH(F716,請求台帳!$A$5:$A$504,0))="取消","取消請求へ消込","消込済"))))))</f>
        <v/>
      </c>
      <c r="K716" s="26"/>
      <c r="L716" s="26"/>
    </row>
    <row r="717" customFormat="false" ht="15" hidden="false" customHeight="false" outlineLevel="0" collapsed="false">
      <c r="A717" s="31" t="str">
        <f aca="false">IF(COUNTA(B717,D717,E717,F717)=0,"",ROW()-4)</f>
        <v/>
      </c>
      <c r="B717" s="22"/>
      <c r="C717" s="26"/>
      <c r="D717" s="26"/>
      <c r="E717" s="18"/>
      <c r="F717" s="26"/>
      <c r="G717" s="31" t="str">
        <f aca="false">IF(F717="","",IFERROR(INDEX(請求台帳!$C$5:$C$504,MATCH(F717,請求台帳!$A$5:$A$504,0)),""))</f>
        <v/>
      </c>
      <c r="H717" s="31" t="str">
        <f aca="false">IF(F717="","",IFERROR(INDEX(請求台帳!$D$5:$D$504,MATCH(F717,請求台帳!$A$5:$A$504,0)),""))</f>
        <v/>
      </c>
      <c r="I717" s="27" t="str">
        <f aca="false">IF(F717="","",IFERROR(INDEX(請求台帳!$F$5:$F$504,MATCH(F717,請求台帳!$A$5:$A$504,0)),""))</f>
        <v/>
      </c>
      <c r="J717" s="28" t="str">
        <f aca="false">IF(COUNTA(B717,D717,E717,F717)=0,"",IF(OR(B717="",E717=""),"要入力",IF(N(B717)&gt;設定!$C$5,"日付誤り",IF(F717="","未消込",IF(ISNA(MATCH(F717,請求台帳!$A$5:$A$504,0)),"番号誤り",IF(INDEX(請求台帳!$Q$5:$Q$504,MATCH(F717,請求台帳!$A$5:$A$504,0))="取消","取消請求へ消込","消込済"))))))</f>
        <v/>
      </c>
      <c r="K717" s="26"/>
      <c r="L717" s="26"/>
    </row>
    <row r="718" customFormat="false" ht="15" hidden="false" customHeight="false" outlineLevel="0" collapsed="false">
      <c r="A718" s="31" t="str">
        <f aca="false">IF(COUNTA(B718,D718,E718,F718)=0,"",ROW()-4)</f>
        <v/>
      </c>
      <c r="B718" s="22"/>
      <c r="C718" s="26"/>
      <c r="D718" s="26"/>
      <c r="E718" s="18"/>
      <c r="F718" s="26"/>
      <c r="G718" s="31" t="str">
        <f aca="false">IF(F718="","",IFERROR(INDEX(請求台帳!$C$5:$C$504,MATCH(F718,請求台帳!$A$5:$A$504,0)),""))</f>
        <v/>
      </c>
      <c r="H718" s="31" t="str">
        <f aca="false">IF(F718="","",IFERROR(INDEX(請求台帳!$D$5:$D$504,MATCH(F718,請求台帳!$A$5:$A$504,0)),""))</f>
        <v/>
      </c>
      <c r="I718" s="27" t="str">
        <f aca="false">IF(F718="","",IFERROR(INDEX(請求台帳!$F$5:$F$504,MATCH(F718,請求台帳!$A$5:$A$504,0)),""))</f>
        <v/>
      </c>
      <c r="J718" s="28" t="str">
        <f aca="false">IF(COUNTA(B718,D718,E718,F718)=0,"",IF(OR(B718="",E718=""),"要入力",IF(N(B718)&gt;設定!$C$5,"日付誤り",IF(F718="","未消込",IF(ISNA(MATCH(F718,請求台帳!$A$5:$A$504,0)),"番号誤り",IF(INDEX(請求台帳!$Q$5:$Q$504,MATCH(F718,請求台帳!$A$5:$A$504,0))="取消","取消請求へ消込","消込済"))))))</f>
        <v/>
      </c>
      <c r="K718" s="26"/>
      <c r="L718" s="26"/>
    </row>
    <row r="719" customFormat="false" ht="15" hidden="false" customHeight="false" outlineLevel="0" collapsed="false">
      <c r="A719" s="31" t="str">
        <f aca="false">IF(COUNTA(B719,D719,E719,F719)=0,"",ROW()-4)</f>
        <v/>
      </c>
      <c r="B719" s="22"/>
      <c r="C719" s="26"/>
      <c r="D719" s="26"/>
      <c r="E719" s="18"/>
      <c r="F719" s="26"/>
      <c r="G719" s="31" t="str">
        <f aca="false">IF(F719="","",IFERROR(INDEX(請求台帳!$C$5:$C$504,MATCH(F719,請求台帳!$A$5:$A$504,0)),""))</f>
        <v/>
      </c>
      <c r="H719" s="31" t="str">
        <f aca="false">IF(F719="","",IFERROR(INDEX(請求台帳!$D$5:$D$504,MATCH(F719,請求台帳!$A$5:$A$504,0)),""))</f>
        <v/>
      </c>
      <c r="I719" s="27" t="str">
        <f aca="false">IF(F719="","",IFERROR(INDEX(請求台帳!$F$5:$F$504,MATCH(F719,請求台帳!$A$5:$A$504,0)),""))</f>
        <v/>
      </c>
      <c r="J719" s="28" t="str">
        <f aca="false">IF(COUNTA(B719,D719,E719,F719)=0,"",IF(OR(B719="",E719=""),"要入力",IF(N(B719)&gt;設定!$C$5,"日付誤り",IF(F719="","未消込",IF(ISNA(MATCH(F719,請求台帳!$A$5:$A$504,0)),"番号誤り",IF(INDEX(請求台帳!$Q$5:$Q$504,MATCH(F719,請求台帳!$A$5:$A$504,0))="取消","取消請求へ消込","消込済"))))))</f>
        <v/>
      </c>
      <c r="K719" s="26"/>
      <c r="L719" s="26"/>
    </row>
    <row r="720" customFormat="false" ht="15" hidden="false" customHeight="false" outlineLevel="0" collapsed="false">
      <c r="A720" s="31" t="str">
        <f aca="false">IF(COUNTA(B720,D720,E720,F720)=0,"",ROW()-4)</f>
        <v/>
      </c>
      <c r="B720" s="22"/>
      <c r="C720" s="26"/>
      <c r="D720" s="26"/>
      <c r="E720" s="18"/>
      <c r="F720" s="26"/>
      <c r="G720" s="31" t="str">
        <f aca="false">IF(F720="","",IFERROR(INDEX(請求台帳!$C$5:$C$504,MATCH(F720,請求台帳!$A$5:$A$504,0)),""))</f>
        <v/>
      </c>
      <c r="H720" s="31" t="str">
        <f aca="false">IF(F720="","",IFERROR(INDEX(請求台帳!$D$5:$D$504,MATCH(F720,請求台帳!$A$5:$A$504,0)),""))</f>
        <v/>
      </c>
      <c r="I720" s="27" t="str">
        <f aca="false">IF(F720="","",IFERROR(INDEX(請求台帳!$F$5:$F$504,MATCH(F720,請求台帳!$A$5:$A$504,0)),""))</f>
        <v/>
      </c>
      <c r="J720" s="28" t="str">
        <f aca="false">IF(COUNTA(B720,D720,E720,F720)=0,"",IF(OR(B720="",E720=""),"要入力",IF(N(B720)&gt;設定!$C$5,"日付誤り",IF(F720="","未消込",IF(ISNA(MATCH(F720,請求台帳!$A$5:$A$504,0)),"番号誤り",IF(INDEX(請求台帳!$Q$5:$Q$504,MATCH(F720,請求台帳!$A$5:$A$504,0))="取消","取消請求へ消込","消込済"))))))</f>
        <v/>
      </c>
      <c r="K720" s="26"/>
      <c r="L720" s="26"/>
    </row>
    <row r="721" customFormat="false" ht="15" hidden="false" customHeight="false" outlineLevel="0" collapsed="false">
      <c r="A721" s="31" t="str">
        <f aca="false">IF(COUNTA(B721,D721,E721,F721)=0,"",ROW()-4)</f>
        <v/>
      </c>
      <c r="B721" s="22"/>
      <c r="C721" s="26"/>
      <c r="D721" s="26"/>
      <c r="E721" s="18"/>
      <c r="F721" s="26"/>
      <c r="G721" s="31" t="str">
        <f aca="false">IF(F721="","",IFERROR(INDEX(請求台帳!$C$5:$C$504,MATCH(F721,請求台帳!$A$5:$A$504,0)),""))</f>
        <v/>
      </c>
      <c r="H721" s="31" t="str">
        <f aca="false">IF(F721="","",IFERROR(INDEX(請求台帳!$D$5:$D$504,MATCH(F721,請求台帳!$A$5:$A$504,0)),""))</f>
        <v/>
      </c>
      <c r="I721" s="27" t="str">
        <f aca="false">IF(F721="","",IFERROR(INDEX(請求台帳!$F$5:$F$504,MATCH(F721,請求台帳!$A$5:$A$504,0)),""))</f>
        <v/>
      </c>
      <c r="J721" s="28" t="str">
        <f aca="false">IF(COUNTA(B721,D721,E721,F721)=0,"",IF(OR(B721="",E721=""),"要入力",IF(N(B721)&gt;設定!$C$5,"日付誤り",IF(F721="","未消込",IF(ISNA(MATCH(F721,請求台帳!$A$5:$A$504,0)),"番号誤り",IF(INDEX(請求台帳!$Q$5:$Q$504,MATCH(F721,請求台帳!$A$5:$A$504,0))="取消","取消請求へ消込","消込済"))))))</f>
        <v/>
      </c>
      <c r="K721" s="26"/>
      <c r="L721" s="26"/>
    </row>
    <row r="722" customFormat="false" ht="15" hidden="false" customHeight="false" outlineLevel="0" collapsed="false">
      <c r="A722" s="31" t="str">
        <f aca="false">IF(COUNTA(B722,D722,E722,F722)=0,"",ROW()-4)</f>
        <v/>
      </c>
      <c r="B722" s="22"/>
      <c r="C722" s="26"/>
      <c r="D722" s="26"/>
      <c r="E722" s="18"/>
      <c r="F722" s="26"/>
      <c r="G722" s="31" t="str">
        <f aca="false">IF(F722="","",IFERROR(INDEX(請求台帳!$C$5:$C$504,MATCH(F722,請求台帳!$A$5:$A$504,0)),""))</f>
        <v/>
      </c>
      <c r="H722" s="31" t="str">
        <f aca="false">IF(F722="","",IFERROR(INDEX(請求台帳!$D$5:$D$504,MATCH(F722,請求台帳!$A$5:$A$504,0)),""))</f>
        <v/>
      </c>
      <c r="I722" s="27" t="str">
        <f aca="false">IF(F722="","",IFERROR(INDEX(請求台帳!$F$5:$F$504,MATCH(F722,請求台帳!$A$5:$A$504,0)),""))</f>
        <v/>
      </c>
      <c r="J722" s="28" t="str">
        <f aca="false">IF(COUNTA(B722,D722,E722,F722)=0,"",IF(OR(B722="",E722=""),"要入力",IF(N(B722)&gt;設定!$C$5,"日付誤り",IF(F722="","未消込",IF(ISNA(MATCH(F722,請求台帳!$A$5:$A$504,0)),"番号誤り",IF(INDEX(請求台帳!$Q$5:$Q$504,MATCH(F722,請求台帳!$A$5:$A$504,0))="取消","取消請求へ消込","消込済"))))))</f>
        <v/>
      </c>
      <c r="K722" s="26"/>
      <c r="L722" s="26"/>
    </row>
    <row r="723" customFormat="false" ht="15" hidden="false" customHeight="false" outlineLevel="0" collapsed="false">
      <c r="A723" s="31" t="str">
        <f aca="false">IF(COUNTA(B723,D723,E723,F723)=0,"",ROW()-4)</f>
        <v/>
      </c>
      <c r="B723" s="22"/>
      <c r="C723" s="26"/>
      <c r="D723" s="26"/>
      <c r="E723" s="18"/>
      <c r="F723" s="26"/>
      <c r="G723" s="31" t="str">
        <f aca="false">IF(F723="","",IFERROR(INDEX(請求台帳!$C$5:$C$504,MATCH(F723,請求台帳!$A$5:$A$504,0)),""))</f>
        <v/>
      </c>
      <c r="H723" s="31" t="str">
        <f aca="false">IF(F723="","",IFERROR(INDEX(請求台帳!$D$5:$D$504,MATCH(F723,請求台帳!$A$5:$A$504,0)),""))</f>
        <v/>
      </c>
      <c r="I723" s="27" t="str">
        <f aca="false">IF(F723="","",IFERROR(INDEX(請求台帳!$F$5:$F$504,MATCH(F723,請求台帳!$A$5:$A$504,0)),""))</f>
        <v/>
      </c>
      <c r="J723" s="28" t="str">
        <f aca="false">IF(COUNTA(B723,D723,E723,F723)=0,"",IF(OR(B723="",E723=""),"要入力",IF(N(B723)&gt;設定!$C$5,"日付誤り",IF(F723="","未消込",IF(ISNA(MATCH(F723,請求台帳!$A$5:$A$504,0)),"番号誤り",IF(INDEX(請求台帳!$Q$5:$Q$504,MATCH(F723,請求台帳!$A$5:$A$504,0))="取消","取消請求へ消込","消込済"))))))</f>
        <v/>
      </c>
      <c r="K723" s="26"/>
      <c r="L723" s="26"/>
    </row>
    <row r="724" customFormat="false" ht="15" hidden="false" customHeight="false" outlineLevel="0" collapsed="false">
      <c r="A724" s="31" t="str">
        <f aca="false">IF(COUNTA(B724,D724,E724,F724)=0,"",ROW()-4)</f>
        <v/>
      </c>
      <c r="B724" s="22"/>
      <c r="C724" s="26"/>
      <c r="D724" s="26"/>
      <c r="E724" s="18"/>
      <c r="F724" s="26"/>
      <c r="G724" s="31" t="str">
        <f aca="false">IF(F724="","",IFERROR(INDEX(請求台帳!$C$5:$C$504,MATCH(F724,請求台帳!$A$5:$A$504,0)),""))</f>
        <v/>
      </c>
      <c r="H724" s="31" t="str">
        <f aca="false">IF(F724="","",IFERROR(INDEX(請求台帳!$D$5:$D$504,MATCH(F724,請求台帳!$A$5:$A$504,0)),""))</f>
        <v/>
      </c>
      <c r="I724" s="27" t="str">
        <f aca="false">IF(F724="","",IFERROR(INDEX(請求台帳!$F$5:$F$504,MATCH(F724,請求台帳!$A$5:$A$504,0)),""))</f>
        <v/>
      </c>
      <c r="J724" s="28" t="str">
        <f aca="false">IF(COUNTA(B724,D724,E724,F724)=0,"",IF(OR(B724="",E724=""),"要入力",IF(N(B724)&gt;設定!$C$5,"日付誤り",IF(F724="","未消込",IF(ISNA(MATCH(F724,請求台帳!$A$5:$A$504,0)),"番号誤り",IF(INDEX(請求台帳!$Q$5:$Q$504,MATCH(F724,請求台帳!$A$5:$A$504,0))="取消","取消請求へ消込","消込済"))))))</f>
        <v/>
      </c>
      <c r="K724" s="26"/>
      <c r="L724" s="26"/>
    </row>
    <row r="725" customFormat="false" ht="15" hidden="false" customHeight="false" outlineLevel="0" collapsed="false">
      <c r="A725" s="31" t="str">
        <f aca="false">IF(COUNTA(B725,D725,E725,F725)=0,"",ROW()-4)</f>
        <v/>
      </c>
      <c r="B725" s="22"/>
      <c r="C725" s="26"/>
      <c r="D725" s="26"/>
      <c r="E725" s="18"/>
      <c r="F725" s="26"/>
      <c r="G725" s="31" t="str">
        <f aca="false">IF(F725="","",IFERROR(INDEX(請求台帳!$C$5:$C$504,MATCH(F725,請求台帳!$A$5:$A$504,0)),""))</f>
        <v/>
      </c>
      <c r="H725" s="31" t="str">
        <f aca="false">IF(F725="","",IFERROR(INDEX(請求台帳!$D$5:$D$504,MATCH(F725,請求台帳!$A$5:$A$504,0)),""))</f>
        <v/>
      </c>
      <c r="I725" s="27" t="str">
        <f aca="false">IF(F725="","",IFERROR(INDEX(請求台帳!$F$5:$F$504,MATCH(F725,請求台帳!$A$5:$A$504,0)),""))</f>
        <v/>
      </c>
      <c r="J725" s="28" t="str">
        <f aca="false">IF(COUNTA(B725,D725,E725,F725)=0,"",IF(OR(B725="",E725=""),"要入力",IF(N(B725)&gt;設定!$C$5,"日付誤り",IF(F725="","未消込",IF(ISNA(MATCH(F725,請求台帳!$A$5:$A$504,0)),"番号誤り",IF(INDEX(請求台帳!$Q$5:$Q$504,MATCH(F725,請求台帳!$A$5:$A$504,0))="取消","取消請求へ消込","消込済"))))))</f>
        <v/>
      </c>
      <c r="K725" s="26"/>
      <c r="L725" s="26"/>
    </row>
    <row r="726" customFormat="false" ht="15" hidden="false" customHeight="false" outlineLevel="0" collapsed="false">
      <c r="A726" s="31" t="str">
        <f aca="false">IF(COUNTA(B726,D726,E726,F726)=0,"",ROW()-4)</f>
        <v/>
      </c>
      <c r="B726" s="22"/>
      <c r="C726" s="26"/>
      <c r="D726" s="26"/>
      <c r="E726" s="18"/>
      <c r="F726" s="26"/>
      <c r="G726" s="31" t="str">
        <f aca="false">IF(F726="","",IFERROR(INDEX(請求台帳!$C$5:$C$504,MATCH(F726,請求台帳!$A$5:$A$504,0)),""))</f>
        <v/>
      </c>
      <c r="H726" s="31" t="str">
        <f aca="false">IF(F726="","",IFERROR(INDEX(請求台帳!$D$5:$D$504,MATCH(F726,請求台帳!$A$5:$A$504,0)),""))</f>
        <v/>
      </c>
      <c r="I726" s="27" t="str">
        <f aca="false">IF(F726="","",IFERROR(INDEX(請求台帳!$F$5:$F$504,MATCH(F726,請求台帳!$A$5:$A$504,0)),""))</f>
        <v/>
      </c>
      <c r="J726" s="28" t="str">
        <f aca="false">IF(COUNTA(B726,D726,E726,F726)=0,"",IF(OR(B726="",E726=""),"要入力",IF(N(B726)&gt;設定!$C$5,"日付誤り",IF(F726="","未消込",IF(ISNA(MATCH(F726,請求台帳!$A$5:$A$504,0)),"番号誤り",IF(INDEX(請求台帳!$Q$5:$Q$504,MATCH(F726,請求台帳!$A$5:$A$504,0))="取消","取消請求へ消込","消込済"))))))</f>
        <v/>
      </c>
      <c r="K726" s="26"/>
      <c r="L726" s="26"/>
    </row>
    <row r="727" customFormat="false" ht="15" hidden="false" customHeight="false" outlineLevel="0" collapsed="false">
      <c r="A727" s="31" t="str">
        <f aca="false">IF(COUNTA(B727,D727,E727,F727)=0,"",ROW()-4)</f>
        <v/>
      </c>
      <c r="B727" s="22"/>
      <c r="C727" s="26"/>
      <c r="D727" s="26"/>
      <c r="E727" s="18"/>
      <c r="F727" s="26"/>
      <c r="G727" s="31" t="str">
        <f aca="false">IF(F727="","",IFERROR(INDEX(請求台帳!$C$5:$C$504,MATCH(F727,請求台帳!$A$5:$A$504,0)),""))</f>
        <v/>
      </c>
      <c r="H727" s="31" t="str">
        <f aca="false">IF(F727="","",IFERROR(INDEX(請求台帳!$D$5:$D$504,MATCH(F727,請求台帳!$A$5:$A$504,0)),""))</f>
        <v/>
      </c>
      <c r="I727" s="27" t="str">
        <f aca="false">IF(F727="","",IFERROR(INDEX(請求台帳!$F$5:$F$504,MATCH(F727,請求台帳!$A$5:$A$504,0)),""))</f>
        <v/>
      </c>
      <c r="J727" s="28" t="str">
        <f aca="false">IF(COUNTA(B727,D727,E727,F727)=0,"",IF(OR(B727="",E727=""),"要入力",IF(N(B727)&gt;設定!$C$5,"日付誤り",IF(F727="","未消込",IF(ISNA(MATCH(F727,請求台帳!$A$5:$A$504,0)),"番号誤り",IF(INDEX(請求台帳!$Q$5:$Q$504,MATCH(F727,請求台帳!$A$5:$A$504,0))="取消","取消請求へ消込","消込済"))))))</f>
        <v/>
      </c>
      <c r="K727" s="26"/>
      <c r="L727" s="26"/>
    </row>
    <row r="728" customFormat="false" ht="15" hidden="false" customHeight="false" outlineLevel="0" collapsed="false">
      <c r="A728" s="31" t="str">
        <f aca="false">IF(COUNTA(B728,D728,E728,F728)=0,"",ROW()-4)</f>
        <v/>
      </c>
      <c r="B728" s="22"/>
      <c r="C728" s="26"/>
      <c r="D728" s="26"/>
      <c r="E728" s="18"/>
      <c r="F728" s="26"/>
      <c r="G728" s="31" t="str">
        <f aca="false">IF(F728="","",IFERROR(INDEX(請求台帳!$C$5:$C$504,MATCH(F728,請求台帳!$A$5:$A$504,0)),""))</f>
        <v/>
      </c>
      <c r="H728" s="31" t="str">
        <f aca="false">IF(F728="","",IFERROR(INDEX(請求台帳!$D$5:$D$504,MATCH(F728,請求台帳!$A$5:$A$504,0)),""))</f>
        <v/>
      </c>
      <c r="I728" s="27" t="str">
        <f aca="false">IF(F728="","",IFERROR(INDEX(請求台帳!$F$5:$F$504,MATCH(F728,請求台帳!$A$5:$A$504,0)),""))</f>
        <v/>
      </c>
      <c r="J728" s="28" t="str">
        <f aca="false">IF(COUNTA(B728,D728,E728,F728)=0,"",IF(OR(B728="",E728=""),"要入力",IF(N(B728)&gt;設定!$C$5,"日付誤り",IF(F728="","未消込",IF(ISNA(MATCH(F728,請求台帳!$A$5:$A$504,0)),"番号誤り",IF(INDEX(請求台帳!$Q$5:$Q$504,MATCH(F728,請求台帳!$A$5:$A$504,0))="取消","取消請求へ消込","消込済"))))))</f>
        <v/>
      </c>
      <c r="K728" s="26"/>
      <c r="L728" s="26"/>
    </row>
    <row r="729" customFormat="false" ht="15" hidden="false" customHeight="false" outlineLevel="0" collapsed="false">
      <c r="A729" s="31" t="str">
        <f aca="false">IF(COUNTA(B729,D729,E729,F729)=0,"",ROW()-4)</f>
        <v/>
      </c>
      <c r="B729" s="22"/>
      <c r="C729" s="26"/>
      <c r="D729" s="26"/>
      <c r="E729" s="18"/>
      <c r="F729" s="26"/>
      <c r="G729" s="31" t="str">
        <f aca="false">IF(F729="","",IFERROR(INDEX(請求台帳!$C$5:$C$504,MATCH(F729,請求台帳!$A$5:$A$504,0)),""))</f>
        <v/>
      </c>
      <c r="H729" s="31" t="str">
        <f aca="false">IF(F729="","",IFERROR(INDEX(請求台帳!$D$5:$D$504,MATCH(F729,請求台帳!$A$5:$A$504,0)),""))</f>
        <v/>
      </c>
      <c r="I729" s="27" t="str">
        <f aca="false">IF(F729="","",IFERROR(INDEX(請求台帳!$F$5:$F$504,MATCH(F729,請求台帳!$A$5:$A$504,0)),""))</f>
        <v/>
      </c>
      <c r="J729" s="28" t="str">
        <f aca="false">IF(COUNTA(B729,D729,E729,F729)=0,"",IF(OR(B729="",E729=""),"要入力",IF(N(B729)&gt;設定!$C$5,"日付誤り",IF(F729="","未消込",IF(ISNA(MATCH(F729,請求台帳!$A$5:$A$504,0)),"番号誤り",IF(INDEX(請求台帳!$Q$5:$Q$504,MATCH(F729,請求台帳!$A$5:$A$504,0))="取消","取消請求へ消込","消込済"))))))</f>
        <v/>
      </c>
      <c r="K729" s="26"/>
      <c r="L729" s="26"/>
    </row>
    <row r="730" customFormat="false" ht="15" hidden="false" customHeight="false" outlineLevel="0" collapsed="false">
      <c r="A730" s="31" t="str">
        <f aca="false">IF(COUNTA(B730,D730,E730,F730)=0,"",ROW()-4)</f>
        <v/>
      </c>
      <c r="B730" s="22"/>
      <c r="C730" s="26"/>
      <c r="D730" s="26"/>
      <c r="E730" s="18"/>
      <c r="F730" s="26"/>
      <c r="G730" s="31" t="str">
        <f aca="false">IF(F730="","",IFERROR(INDEX(請求台帳!$C$5:$C$504,MATCH(F730,請求台帳!$A$5:$A$504,0)),""))</f>
        <v/>
      </c>
      <c r="H730" s="31" t="str">
        <f aca="false">IF(F730="","",IFERROR(INDEX(請求台帳!$D$5:$D$504,MATCH(F730,請求台帳!$A$5:$A$504,0)),""))</f>
        <v/>
      </c>
      <c r="I730" s="27" t="str">
        <f aca="false">IF(F730="","",IFERROR(INDEX(請求台帳!$F$5:$F$504,MATCH(F730,請求台帳!$A$5:$A$504,0)),""))</f>
        <v/>
      </c>
      <c r="J730" s="28" t="str">
        <f aca="false">IF(COUNTA(B730,D730,E730,F730)=0,"",IF(OR(B730="",E730=""),"要入力",IF(N(B730)&gt;設定!$C$5,"日付誤り",IF(F730="","未消込",IF(ISNA(MATCH(F730,請求台帳!$A$5:$A$504,0)),"番号誤り",IF(INDEX(請求台帳!$Q$5:$Q$504,MATCH(F730,請求台帳!$A$5:$A$504,0))="取消","取消請求へ消込","消込済"))))))</f>
        <v/>
      </c>
      <c r="K730" s="26"/>
      <c r="L730" s="26"/>
    </row>
    <row r="731" customFormat="false" ht="15" hidden="false" customHeight="false" outlineLevel="0" collapsed="false">
      <c r="A731" s="31" t="str">
        <f aca="false">IF(COUNTA(B731,D731,E731,F731)=0,"",ROW()-4)</f>
        <v/>
      </c>
      <c r="B731" s="22"/>
      <c r="C731" s="26"/>
      <c r="D731" s="26"/>
      <c r="E731" s="18"/>
      <c r="F731" s="26"/>
      <c r="G731" s="31" t="str">
        <f aca="false">IF(F731="","",IFERROR(INDEX(請求台帳!$C$5:$C$504,MATCH(F731,請求台帳!$A$5:$A$504,0)),""))</f>
        <v/>
      </c>
      <c r="H731" s="31" t="str">
        <f aca="false">IF(F731="","",IFERROR(INDEX(請求台帳!$D$5:$D$504,MATCH(F731,請求台帳!$A$5:$A$504,0)),""))</f>
        <v/>
      </c>
      <c r="I731" s="27" t="str">
        <f aca="false">IF(F731="","",IFERROR(INDEX(請求台帳!$F$5:$F$504,MATCH(F731,請求台帳!$A$5:$A$504,0)),""))</f>
        <v/>
      </c>
      <c r="J731" s="28" t="str">
        <f aca="false">IF(COUNTA(B731,D731,E731,F731)=0,"",IF(OR(B731="",E731=""),"要入力",IF(N(B731)&gt;設定!$C$5,"日付誤り",IF(F731="","未消込",IF(ISNA(MATCH(F731,請求台帳!$A$5:$A$504,0)),"番号誤り",IF(INDEX(請求台帳!$Q$5:$Q$504,MATCH(F731,請求台帳!$A$5:$A$504,0))="取消","取消請求へ消込","消込済"))))))</f>
        <v/>
      </c>
      <c r="K731" s="26"/>
      <c r="L731" s="26"/>
    </row>
    <row r="732" customFormat="false" ht="15" hidden="false" customHeight="false" outlineLevel="0" collapsed="false">
      <c r="A732" s="31" t="str">
        <f aca="false">IF(COUNTA(B732,D732,E732,F732)=0,"",ROW()-4)</f>
        <v/>
      </c>
      <c r="B732" s="22"/>
      <c r="C732" s="26"/>
      <c r="D732" s="26"/>
      <c r="E732" s="18"/>
      <c r="F732" s="26"/>
      <c r="G732" s="31" t="str">
        <f aca="false">IF(F732="","",IFERROR(INDEX(請求台帳!$C$5:$C$504,MATCH(F732,請求台帳!$A$5:$A$504,0)),""))</f>
        <v/>
      </c>
      <c r="H732" s="31" t="str">
        <f aca="false">IF(F732="","",IFERROR(INDEX(請求台帳!$D$5:$D$504,MATCH(F732,請求台帳!$A$5:$A$504,0)),""))</f>
        <v/>
      </c>
      <c r="I732" s="27" t="str">
        <f aca="false">IF(F732="","",IFERROR(INDEX(請求台帳!$F$5:$F$504,MATCH(F732,請求台帳!$A$5:$A$504,0)),""))</f>
        <v/>
      </c>
      <c r="J732" s="28" t="str">
        <f aca="false">IF(COUNTA(B732,D732,E732,F732)=0,"",IF(OR(B732="",E732=""),"要入力",IF(N(B732)&gt;設定!$C$5,"日付誤り",IF(F732="","未消込",IF(ISNA(MATCH(F732,請求台帳!$A$5:$A$504,0)),"番号誤り",IF(INDEX(請求台帳!$Q$5:$Q$504,MATCH(F732,請求台帳!$A$5:$A$504,0))="取消","取消請求へ消込","消込済"))))))</f>
        <v/>
      </c>
      <c r="K732" s="26"/>
      <c r="L732" s="26"/>
    </row>
    <row r="733" customFormat="false" ht="15" hidden="false" customHeight="false" outlineLevel="0" collapsed="false">
      <c r="A733" s="31" t="str">
        <f aca="false">IF(COUNTA(B733,D733,E733,F733)=0,"",ROW()-4)</f>
        <v/>
      </c>
      <c r="B733" s="22"/>
      <c r="C733" s="26"/>
      <c r="D733" s="26"/>
      <c r="E733" s="18"/>
      <c r="F733" s="26"/>
      <c r="G733" s="31" t="str">
        <f aca="false">IF(F733="","",IFERROR(INDEX(請求台帳!$C$5:$C$504,MATCH(F733,請求台帳!$A$5:$A$504,0)),""))</f>
        <v/>
      </c>
      <c r="H733" s="31" t="str">
        <f aca="false">IF(F733="","",IFERROR(INDEX(請求台帳!$D$5:$D$504,MATCH(F733,請求台帳!$A$5:$A$504,0)),""))</f>
        <v/>
      </c>
      <c r="I733" s="27" t="str">
        <f aca="false">IF(F733="","",IFERROR(INDEX(請求台帳!$F$5:$F$504,MATCH(F733,請求台帳!$A$5:$A$504,0)),""))</f>
        <v/>
      </c>
      <c r="J733" s="28" t="str">
        <f aca="false">IF(COUNTA(B733,D733,E733,F733)=0,"",IF(OR(B733="",E733=""),"要入力",IF(N(B733)&gt;設定!$C$5,"日付誤り",IF(F733="","未消込",IF(ISNA(MATCH(F733,請求台帳!$A$5:$A$504,0)),"番号誤り",IF(INDEX(請求台帳!$Q$5:$Q$504,MATCH(F733,請求台帳!$A$5:$A$504,0))="取消","取消請求へ消込","消込済"))))))</f>
        <v/>
      </c>
      <c r="K733" s="26"/>
      <c r="L733" s="26"/>
    </row>
    <row r="734" customFormat="false" ht="15" hidden="false" customHeight="false" outlineLevel="0" collapsed="false">
      <c r="A734" s="31" t="str">
        <f aca="false">IF(COUNTA(B734,D734,E734,F734)=0,"",ROW()-4)</f>
        <v/>
      </c>
      <c r="B734" s="22"/>
      <c r="C734" s="26"/>
      <c r="D734" s="26"/>
      <c r="E734" s="18"/>
      <c r="F734" s="26"/>
      <c r="G734" s="31" t="str">
        <f aca="false">IF(F734="","",IFERROR(INDEX(請求台帳!$C$5:$C$504,MATCH(F734,請求台帳!$A$5:$A$504,0)),""))</f>
        <v/>
      </c>
      <c r="H734" s="31" t="str">
        <f aca="false">IF(F734="","",IFERROR(INDEX(請求台帳!$D$5:$D$504,MATCH(F734,請求台帳!$A$5:$A$504,0)),""))</f>
        <v/>
      </c>
      <c r="I734" s="27" t="str">
        <f aca="false">IF(F734="","",IFERROR(INDEX(請求台帳!$F$5:$F$504,MATCH(F734,請求台帳!$A$5:$A$504,0)),""))</f>
        <v/>
      </c>
      <c r="J734" s="28" t="str">
        <f aca="false">IF(COUNTA(B734,D734,E734,F734)=0,"",IF(OR(B734="",E734=""),"要入力",IF(N(B734)&gt;設定!$C$5,"日付誤り",IF(F734="","未消込",IF(ISNA(MATCH(F734,請求台帳!$A$5:$A$504,0)),"番号誤り",IF(INDEX(請求台帳!$Q$5:$Q$504,MATCH(F734,請求台帳!$A$5:$A$504,0))="取消","取消請求へ消込","消込済"))))))</f>
        <v/>
      </c>
      <c r="K734" s="26"/>
      <c r="L734" s="26"/>
    </row>
    <row r="735" customFormat="false" ht="15" hidden="false" customHeight="false" outlineLevel="0" collapsed="false">
      <c r="A735" s="31" t="str">
        <f aca="false">IF(COUNTA(B735,D735,E735,F735)=0,"",ROW()-4)</f>
        <v/>
      </c>
      <c r="B735" s="22"/>
      <c r="C735" s="26"/>
      <c r="D735" s="26"/>
      <c r="E735" s="18"/>
      <c r="F735" s="26"/>
      <c r="G735" s="31" t="str">
        <f aca="false">IF(F735="","",IFERROR(INDEX(請求台帳!$C$5:$C$504,MATCH(F735,請求台帳!$A$5:$A$504,0)),""))</f>
        <v/>
      </c>
      <c r="H735" s="31" t="str">
        <f aca="false">IF(F735="","",IFERROR(INDEX(請求台帳!$D$5:$D$504,MATCH(F735,請求台帳!$A$5:$A$504,0)),""))</f>
        <v/>
      </c>
      <c r="I735" s="27" t="str">
        <f aca="false">IF(F735="","",IFERROR(INDEX(請求台帳!$F$5:$F$504,MATCH(F735,請求台帳!$A$5:$A$504,0)),""))</f>
        <v/>
      </c>
      <c r="J735" s="28" t="str">
        <f aca="false">IF(COUNTA(B735,D735,E735,F735)=0,"",IF(OR(B735="",E735=""),"要入力",IF(N(B735)&gt;設定!$C$5,"日付誤り",IF(F735="","未消込",IF(ISNA(MATCH(F735,請求台帳!$A$5:$A$504,0)),"番号誤り",IF(INDEX(請求台帳!$Q$5:$Q$504,MATCH(F735,請求台帳!$A$5:$A$504,0))="取消","取消請求へ消込","消込済"))))))</f>
        <v/>
      </c>
      <c r="K735" s="26"/>
      <c r="L735" s="26"/>
    </row>
    <row r="736" customFormat="false" ht="15" hidden="false" customHeight="false" outlineLevel="0" collapsed="false">
      <c r="A736" s="31" t="str">
        <f aca="false">IF(COUNTA(B736,D736,E736,F736)=0,"",ROW()-4)</f>
        <v/>
      </c>
      <c r="B736" s="22"/>
      <c r="C736" s="26"/>
      <c r="D736" s="26"/>
      <c r="E736" s="18"/>
      <c r="F736" s="26"/>
      <c r="G736" s="31" t="str">
        <f aca="false">IF(F736="","",IFERROR(INDEX(請求台帳!$C$5:$C$504,MATCH(F736,請求台帳!$A$5:$A$504,0)),""))</f>
        <v/>
      </c>
      <c r="H736" s="31" t="str">
        <f aca="false">IF(F736="","",IFERROR(INDEX(請求台帳!$D$5:$D$504,MATCH(F736,請求台帳!$A$5:$A$504,0)),""))</f>
        <v/>
      </c>
      <c r="I736" s="27" t="str">
        <f aca="false">IF(F736="","",IFERROR(INDEX(請求台帳!$F$5:$F$504,MATCH(F736,請求台帳!$A$5:$A$504,0)),""))</f>
        <v/>
      </c>
      <c r="J736" s="28" t="str">
        <f aca="false">IF(COUNTA(B736,D736,E736,F736)=0,"",IF(OR(B736="",E736=""),"要入力",IF(N(B736)&gt;設定!$C$5,"日付誤り",IF(F736="","未消込",IF(ISNA(MATCH(F736,請求台帳!$A$5:$A$504,0)),"番号誤り",IF(INDEX(請求台帳!$Q$5:$Q$504,MATCH(F736,請求台帳!$A$5:$A$504,0))="取消","取消請求へ消込","消込済"))))))</f>
        <v/>
      </c>
      <c r="K736" s="26"/>
      <c r="L736" s="26"/>
    </row>
    <row r="737" customFormat="false" ht="15" hidden="false" customHeight="false" outlineLevel="0" collapsed="false">
      <c r="A737" s="31" t="str">
        <f aca="false">IF(COUNTA(B737,D737,E737,F737)=0,"",ROW()-4)</f>
        <v/>
      </c>
      <c r="B737" s="22"/>
      <c r="C737" s="26"/>
      <c r="D737" s="26"/>
      <c r="E737" s="18"/>
      <c r="F737" s="26"/>
      <c r="G737" s="31" t="str">
        <f aca="false">IF(F737="","",IFERROR(INDEX(請求台帳!$C$5:$C$504,MATCH(F737,請求台帳!$A$5:$A$504,0)),""))</f>
        <v/>
      </c>
      <c r="H737" s="31" t="str">
        <f aca="false">IF(F737="","",IFERROR(INDEX(請求台帳!$D$5:$D$504,MATCH(F737,請求台帳!$A$5:$A$504,0)),""))</f>
        <v/>
      </c>
      <c r="I737" s="27" t="str">
        <f aca="false">IF(F737="","",IFERROR(INDEX(請求台帳!$F$5:$F$504,MATCH(F737,請求台帳!$A$5:$A$504,0)),""))</f>
        <v/>
      </c>
      <c r="J737" s="28" t="str">
        <f aca="false">IF(COUNTA(B737,D737,E737,F737)=0,"",IF(OR(B737="",E737=""),"要入力",IF(N(B737)&gt;設定!$C$5,"日付誤り",IF(F737="","未消込",IF(ISNA(MATCH(F737,請求台帳!$A$5:$A$504,0)),"番号誤り",IF(INDEX(請求台帳!$Q$5:$Q$504,MATCH(F737,請求台帳!$A$5:$A$504,0))="取消","取消請求へ消込","消込済"))))))</f>
        <v/>
      </c>
      <c r="K737" s="26"/>
      <c r="L737" s="26"/>
    </row>
    <row r="738" customFormat="false" ht="15" hidden="false" customHeight="false" outlineLevel="0" collapsed="false">
      <c r="A738" s="31" t="str">
        <f aca="false">IF(COUNTA(B738,D738,E738,F738)=0,"",ROW()-4)</f>
        <v/>
      </c>
      <c r="B738" s="22"/>
      <c r="C738" s="26"/>
      <c r="D738" s="26"/>
      <c r="E738" s="18"/>
      <c r="F738" s="26"/>
      <c r="G738" s="31" t="str">
        <f aca="false">IF(F738="","",IFERROR(INDEX(請求台帳!$C$5:$C$504,MATCH(F738,請求台帳!$A$5:$A$504,0)),""))</f>
        <v/>
      </c>
      <c r="H738" s="31" t="str">
        <f aca="false">IF(F738="","",IFERROR(INDEX(請求台帳!$D$5:$D$504,MATCH(F738,請求台帳!$A$5:$A$504,0)),""))</f>
        <v/>
      </c>
      <c r="I738" s="27" t="str">
        <f aca="false">IF(F738="","",IFERROR(INDEX(請求台帳!$F$5:$F$504,MATCH(F738,請求台帳!$A$5:$A$504,0)),""))</f>
        <v/>
      </c>
      <c r="J738" s="28" t="str">
        <f aca="false">IF(COUNTA(B738,D738,E738,F738)=0,"",IF(OR(B738="",E738=""),"要入力",IF(N(B738)&gt;設定!$C$5,"日付誤り",IF(F738="","未消込",IF(ISNA(MATCH(F738,請求台帳!$A$5:$A$504,0)),"番号誤り",IF(INDEX(請求台帳!$Q$5:$Q$504,MATCH(F738,請求台帳!$A$5:$A$504,0))="取消","取消請求へ消込","消込済"))))))</f>
        <v/>
      </c>
      <c r="K738" s="26"/>
      <c r="L738" s="26"/>
    </row>
    <row r="739" customFormat="false" ht="15" hidden="false" customHeight="false" outlineLevel="0" collapsed="false">
      <c r="A739" s="31" t="str">
        <f aca="false">IF(COUNTA(B739,D739,E739,F739)=0,"",ROW()-4)</f>
        <v/>
      </c>
      <c r="B739" s="22"/>
      <c r="C739" s="26"/>
      <c r="D739" s="26"/>
      <c r="E739" s="18"/>
      <c r="F739" s="26"/>
      <c r="G739" s="31" t="str">
        <f aca="false">IF(F739="","",IFERROR(INDEX(請求台帳!$C$5:$C$504,MATCH(F739,請求台帳!$A$5:$A$504,0)),""))</f>
        <v/>
      </c>
      <c r="H739" s="31" t="str">
        <f aca="false">IF(F739="","",IFERROR(INDEX(請求台帳!$D$5:$D$504,MATCH(F739,請求台帳!$A$5:$A$504,0)),""))</f>
        <v/>
      </c>
      <c r="I739" s="27" t="str">
        <f aca="false">IF(F739="","",IFERROR(INDEX(請求台帳!$F$5:$F$504,MATCH(F739,請求台帳!$A$5:$A$504,0)),""))</f>
        <v/>
      </c>
      <c r="J739" s="28" t="str">
        <f aca="false">IF(COUNTA(B739,D739,E739,F739)=0,"",IF(OR(B739="",E739=""),"要入力",IF(N(B739)&gt;設定!$C$5,"日付誤り",IF(F739="","未消込",IF(ISNA(MATCH(F739,請求台帳!$A$5:$A$504,0)),"番号誤り",IF(INDEX(請求台帳!$Q$5:$Q$504,MATCH(F739,請求台帳!$A$5:$A$504,0))="取消","取消請求へ消込","消込済"))))))</f>
        <v/>
      </c>
      <c r="K739" s="26"/>
      <c r="L739" s="26"/>
    </row>
    <row r="740" customFormat="false" ht="15" hidden="false" customHeight="false" outlineLevel="0" collapsed="false">
      <c r="A740" s="31" t="str">
        <f aca="false">IF(COUNTA(B740,D740,E740,F740)=0,"",ROW()-4)</f>
        <v/>
      </c>
      <c r="B740" s="22"/>
      <c r="C740" s="26"/>
      <c r="D740" s="26"/>
      <c r="E740" s="18"/>
      <c r="F740" s="26"/>
      <c r="G740" s="31" t="str">
        <f aca="false">IF(F740="","",IFERROR(INDEX(請求台帳!$C$5:$C$504,MATCH(F740,請求台帳!$A$5:$A$504,0)),""))</f>
        <v/>
      </c>
      <c r="H740" s="31" t="str">
        <f aca="false">IF(F740="","",IFERROR(INDEX(請求台帳!$D$5:$D$504,MATCH(F740,請求台帳!$A$5:$A$504,0)),""))</f>
        <v/>
      </c>
      <c r="I740" s="27" t="str">
        <f aca="false">IF(F740="","",IFERROR(INDEX(請求台帳!$F$5:$F$504,MATCH(F740,請求台帳!$A$5:$A$504,0)),""))</f>
        <v/>
      </c>
      <c r="J740" s="28" t="str">
        <f aca="false">IF(COUNTA(B740,D740,E740,F740)=0,"",IF(OR(B740="",E740=""),"要入力",IF(N(B740)&gt;設定!$C$5,"日付誤り",IF(F740="","未消込",IF(ISNA(MATCH(F740,請求台帳!$A$5:$A$504,0)),"番号誤り",IF(INDEX(請求台帳!$Q$5:$Q$504,MATCH(F740,請求台帳!$A$5:$A$504,0))="取消","取消請求へ消込","消込済"))))))</f>
        <v/>
      </c>
      <c r="K740" s="26"/>
      <c r="L740" s="26"/>
    </row>
    <row r="741" customFormat="false" ht="15" hidden="false" customHeight="false" outlineLevel="0" collapsed="false">
      <c r="A741" s="31" t="str">
        <f aca="false">IF(COUNTA(B741,D741,E741,F741)=0,"",ROW()-4)</f>
        <v/>
      </c>
      <c r="B741" s="22"/>
      <c r="C741" s="26"/>
      <c r="D741" s="26"/>
      <c r="E741" s="18"/>
      <c r="F741" s="26"/>
      <c r="G741" s="31" t="str">
        <f aca="false">IF(F741="","",IFERROR(INDEX(請求台帳!$C$5:$C$504,MATCH(F741,請求台帳!$A$5:$A$504,0)),""))</f>
        <v/>
      </c>
      <c r="H741" s="31" t="str">
        <f aca="false">IF(F741="","",IFERROR(INDEX(請求台帳!$D$5:$D$504,MATCH(F741,請求台帳!$A$5:$A$504,0)),""))</f>
        <v/>
      </c>
      <c r="I741" s="27" t="str">
        <f aca="false">IF(F741="","",IFERROR(INDEX(請求台帳!$F$5:$F$504,MATCH(F741,請求台帳!$A$5:$A$504,0)),""))</f>
        <v/>
      </c>
      <c r="J741" s="28" t="str">
        <f aca="false">IF(COUNTA(B741,D741,E741,F741)=0,"",IF(OR(B741="",E741=""),"要入力",IF(N(B741)&gt;設定!$C$5,"日付誤り",IF(F741="","未消込",IF(ISNA(MATCH(F741,請求台帳!$A$5:$A$504,0)),"番号誤り",IF(INDEX(請求台帳!$Q$5:$Q$504,MATCH(F741,請求台帳!$A$5:$A$504,0))="取消","取消請求へ消込","消込済"))))))</f>
        <v/>
      </c>
      <c r="K741" s="26"/>
      <c r="L741" s="26"/>
    </row>
    <row r="742" customFormat="false" ht="15" hidden="false" customHeight="false" outlineLevel="0" collapsed="false">
      <c r="A742" s="31" t="str">
        <f aca="false">IF(COUNTA(B742,D742,E742,F742)=0,"",ROW()-4)</f>
        <v/>
      </c>
      <c r="B742" s="22"/>
      <c r="C742" s="26"/>
      <c r="D742" s="26"/>
      <c r="E742" s="18"/>
      <c r="F742" s="26"/>
      <c r="G742" s="31" t="str">
        <f aca="false">IF(F742="","",IFERROR(INDEX(請求台帳!$C$5:$C$504,MATCH(F742,請求台帳!$A$5:$A$504,0)),""))</f>
        <v/>
      </c>
      <c r="H742" s="31" t="str">
        <f aca="false">IF(F742="","",IFERROR(INDEX(請求台帳!$D$5:$D$504,MATCH(F742,請求台帳!$A$5:$A$504,0)),""))</f>
        <v/>
      </c>
      <c r="I742" s="27" t="str">
        <f aca="false">IF(F742="","",IFERROR(INDEX(請求台帳!$F$5:$F$504,MATCH(F742,請求台帳!$A$5:$A$504,0)),""))</f>
        <v/>
      </c>
      <c r="J742" s="28" t="str">
        <f aca="false">IF(COUNTA(B742,D742,E742,F742)=0,"",IF(OR(B742="",E742=""),"要入力",IF(N(B742)&gt;設定!$C$5,"日付誤り",IF(F742="","未消込",IF(ISNA(MATCH(F742,請求台帳!$A$5:$A$504,0)),"番号誤り",IF(INDEX(請求台帳!$Q$5:$Q$504,MATCH(F742,請求台帳!$A$5:$A$504,0))="取消","取消請求へ消込","消込済"))))))</f>
        <v/>
      </c>
      <c r="K742" s="26"/>
      <c r="L742" s="26"/>
    </row>
    <row r="743" customFormat="false" ht="15" hidden="false" customHeight="false" outlineLevel="0" collapsed="false">
      <c r="A743" s="31" t="str">
        <f aca="false">IF(COUNTA(B743,D743,E743,F743)=0,"",ROW()-4)</f>
        <v/>
      </c>
      <c r="B743" s="22"/>
      <c r="C743" s="26"/>
      <c r="D743" s="26"/>
      <c r="E743" s="18"/>
      <c r="F743" s="26"/>
      <c r="G743" s="31" t="str">
        <f aca="false">IF(F743="","",IFERROR(INDEX(請求台帳!$C$5:$C$504,MATCH(F743,請求台帳!$A$5:$A$504,0)),""))</f>
        <v/>
      </c>
      <c r="H743" s="31" t="str">
        <f aca="false">IF(F743="","",IFERROR(INDEX(請求台帳!$D$5:$D$504,MATCH(F743,請求台帳!$A$5:$A$504,0)),""))</f>
        <v/>
      </c>
      <c r="I743" s="27" t="str">
        <f aca="false">IF(F743="","",IFERROR(INDEX(請求台帳!$F$5:$F$504,MATCH(F743,請求台帳!$A$5:$A$504,0)),""))</f>
        <v/>
      </c>
      <c r="J743" s="28" t="str">
        <f aca="false">IF(COUNTA(B743,D743,E743,F743)=0,"",IF(OR(B743="",E743=""),"要入力",IF(N(B743)&gt;設定!$C$5,"日付誤り",IF(F743="","未消込",IF(ISNA(MATCH(F743,請求台帳!$A$5:$A$504,0)),"番号誤り",IF(INDEX(請求台帳!$Q$5:$Q$504,MATCH(F743,請求台帳!$A$5:$A$504,0))="取消","取消請求へ消込","消込済"))))))</f>
        <v/>
      </c>
      <c r="K743" s="26"/>
      <c r="L743" s="26"/>
    </row>
    <row r="744" customFormat="false" ht="15" hidden="false" customHeight="false" outlineLevel="0" collapsed="false">
      <c r="A744" s="31" t="str">
        <f aca="false">IF(COUNTA(B744,D744,E744,F744)=0,"",ROW()-4)</f>
        <v/>
      </c>
      <c r="B744" s="22"/>
      <c r="C744" s="26"/>
      <c r="D744" s="26"/>
      <c r="E744" s="18"/>
      <c r="F744" s="26"/>
      <c r="G744" s="31" t="str">
        <f aca="false">IF(F744="","",IFERROR(INDEX(請求台帳!$C$5:$C$504,MATCH(F744,請求台帳!$A$5:$A$504,0)),""))</f>
        <v/>
      </c>
      <c r="H744" s="31" t="str">
        <f aca="false">IF(F744="","",IFERROR(INDEX(請求台帳!$D$5:$D$504,MATCH(F744,請求台帳!$A$5:$A$504,0)),""))</f>
        <v/>
      </c>
      <c r="I744" s="27" t="str">
        <f aca="false">IF(F744="","",IFERROR(INDEX(請求台帳!$F$5:$F$504,MATCH(F744,請求台帳!$A$5:$A$504,0)),""))</f>
        <v/>
      </c>
      <c r="J744" s="28" t="str">
        <f aca="false">IF(COUNTA(B744,D744,E744,F744)=0,"",IF(OR(B744="",E744=""),"要入力",IF(N(B744)&gt;設定!$C$5,"日付誤り",IF(F744="","未消込",IF(ISNA(MATCH(F744,請求台帳!$A$5:$A$504,0)),"番号誤り",IF(INDEX(請求台帳!$Q$5:$Q$504,MATCH(F744,請求台帳!$A$5:$A$504,0))="取消","取消請求へ消込","消込済"))))))</f>
        <v/>
      </c>
      <c r="K744" s="26"/>
      <c r="L744" s="26"/>
    </row>
    <row r="745" customFormat="false" ht="15" hidden="false" customHeight="false" outlineLevel="0" collapsed="false">
      <c r="A745" s="31" t="str">
        <f aca="false">IF(COUNTA(B745,D745,E745,F745)=0,"",ROW()-4)</f>
        <v/>
      </c>
      <c r="B745" s="22"/>
      <c r="C745" s="26"/>
      <c r="D745" s="26"/>
      <c r="E745" s="18"/>
      <c r="F745" s="26"/>
      <c r="G745" s="31" t="str">
        <f aca="false">IF(F745="","",IFERROR(INDEX(請求台帳!$C$5:$C$504,MATCH(F745,請求台帳!$A$5:$A$504,0)),""))</f>
        <v/>
      </c>
      <c r="H745" s="31" t="str">
        <f aca="false">IF(F745="","",IFERROR(INDEX(請求台帳!$D$5:$D$504,MATCH(F745,請求台帳!$A$5:$A$504,0)),""))</f>
        <v/>
      </c>
      <c r="I745" s="27" t="str">
        <f aca="false">IF(F745="","",IFERROR(INDEX(請求台帳!$F$5:$F$504,MATCH(F745,請求台帳!$A$5:$A$504,0)),""))</f>
        <v/>
      </c>
      <c r="J745" s="28" t="str">
        <f aca="false">IF(COUNTA(B745,D745,E745,F745)=0,"",IF(OR(B745="",E745=""),"要入力",IF(N(B745)&gt;設定!$C$5,"日付誤り",IF(F745="","未消込",IF(ISNA(MATCH(F745,請求台帳!$A$5:$A$504,0)),"番号誤り",IF(INDEX(請求台帳!$Q$5:$Q$504,MATCH(F745,請求台帳!$A$5:$A$504,0))="取消","取消請求へ消込","消込済"))))))</f>
        <v/>
      </c>
      <c r="K745" s="26"/>
      <c r="L745" s="26"/>
    </row>
    <row r="746" customFormat="false" ht="15" hidden="false" customHeight="false" outlineLevel="0" collapsed="false">
      <c r="A746" s="31" t="str">
        <f aca="false">IF(COUNTA(B746,D746,E746,F746)=0,"",ROW()-4)</f>
        <v/>
      </c>
      <c r="B746" s="22"/>
      <c r="C746" s="26"/>
      <c r="D746" s="26"/>
      <c r="E746" s="18"/>
      <c r="F746" s="26"/>
      <c r="G746" s="31" t="str">
        <f aca="false">IF(F746="","",IFERROR(INDEX(請求台帳!$C$5:$C$504,MATCH(F746,請求台帳!$A$5:$A$504,0)),""))</f>
        <v/>
      </c>
      <c r="H746" s="31" t="str">
        <f aca="false">IF(F746="","",IFERROR(INDEX(請求台帳!$D$5:$D$504,MATCH(F746,請求台帳!$A$5:$A$504,0)),""))</f>
        <v/>
      </c>
      <c r="I746" s="27" t="str">
        <f aca="false">IF(F746="","",IFERROR(INDEX(請求台帳!$F$5:$F$504,MATCH(F746,請求台帳!$A$5:$A$504,0)),""))</f>
        <v/>
      </c>
      <c r="J746" s="28" t="str">
        <f aca="false">IF(COUNTA(B746,D746,E746,F746)=0,"",IF(OR(B746="",E746=""),"要入力",IF(N(B746)&gt;設定!$C$5,"日付誤り",IF(F746="","未消込",IF(ISNA(MATCH(F746,請求台帳!$A$5:$A$504,0)),"番号誤り",IF(INDEX(請求台帳!$Q$5:$Q$504,MATCH(F746,請求台帳!$A$5:$A$504,0))="取消","取消請求へ消込","消込済"))))))</f>
        <v/>
      </c>
      <c r="K746" s="26"/>
      <c r="L746" s="26"/>
    </row>
    <row r="747" customFormat="false" ht="15" hidden="false" customHeight="false" outlineLevel="0" collapsed="false">
      <c r="A747" s="31" t="str">
        <f aca="false">IF(COUNTA(B747,D747,E747,F747)=0,"",ROW()-4)</f>
        <v/>
      </c>
      <c r="B747" s="22"/>
      <c r="C747" s="26"/>
      <c r="D747" s="26"/>
      <c r="E747" s="18"/>
      <c r="F747" s="26"/>
      <c r="G747" s="31" t="str">
        <f aca="false">IF(F747="","",IFERROR(INDEX(請求台帳!$C$5:$C$504,MATCH(F747,請求台帳!$A$5:$A$504,0)),""))</f>
        <v/>
      </c>
      <c r="H747" s="31" t="str">
        <f aca="false">IF(F747="","",IFERROR(INDEX(請求台帳!$D$5:$D$504,MATCH(F747,請求台帳!$A$5:$A$504,0)),""))</f>
        <v/>
      </c>
      <c r="I747" s="27" t="str">
        <f aca="false">IF(F747="","",IFERROR(INDEX(請求台帳!$F$5:$F$504,MATCH(F747,請求台帳!$A$5:$A$504,0)),""))</f>
        <v/>
      </c>
      <c r="J747" s="28" t="str">
        <f aca="false">IF(COUNTA(B747,D747,E747,F747)=0,"",IF(OR(B747="",E747=""),"要入力",IF(N(B747)&gt;設定!$C$5,"日付誤り",IF(F747="","未消込",IF(ISNA(MATCH(F747,請求台帳!$A$5:$A$504,0)),"番号誤り",IF(INDEX(請求台帳!$Q$5:$Q$504,MATCH(F747,請求台帳!$A$5:$A$504,0))="取消","取消請求へ消込","消込済"))))))</f>
        <v/>
      </c>
      <c r="K747" s="26"/>
      <c r="L747" s="26"/>
    </row>
    <row r="748" customFormat="false" ht="15" hidden="false" customHeight="false" outlineLevel="0" collapsed="false">
      <c r="A748" s="31" t="str">
        <f aca="false">IF(COUNTA(B748,D748,E748,F748)=0,"",ROW()-4)</f>
        <v/>
      </c>
      <c r="B748" s="22"/>
      <c r="C748" s="26"/>
      <c r="D748" s="26"/>
      <c r="E748" s="18"/>
      <c r="F748" s="26"/>
      <c r="G748" s="31" t="str">
        <f aca="false">IF(F748="","",IFERROR(INDEX(請求台帳!$C$5:$C$504,MATCH(F748,請求台帳!$A$5:$A$504,0)),""))</f>
        <v/>
      </c>
      <c r="H748" s="31" t="str">
        <f aca="false">IF(F748="","",IFERROR(INDEX(請求台帳!$D$5:$D$504,MATCH(F748,請求台帳!$A$5:$A$504,0)),""))</f>
        <v/>
      </c>
      <c r="I748" s="27" t="str">
        <f aca="false">IF(F748="","",IFERROR(INDEX(請求台帳!$F$5:$F$504,MATCH(F748,請求台帳!$A$5:$A$504,0)),""))</f>
        <v/>
      </c>
      <c r="J748" s="28" t="str">
        <f aca="false">IF(COUNTA(B748,D748,E748,F748)=0,"",IF(OR(B748="",E748=""),"要入力",IF(N(B748)&gt;設定!$C$5,"日付誤り",IF(F748="","未消込",IF(ISNA(MATCH(F748,請求台帳!$A$5:$A$504,0)),"番号誤り",IF(INDEX(請求台帳!$Q$5:$Q$504,MATCH(F748,請求台帳!$A$5:$A$504,0))="取消","取消請求へ消込","消込済"))))))</f>
        <v/>
      </c>
      <c r="K748" s="26"/>
      <c r="L748" s="26"/>
    </row>
    <row r="749" customFormat="false" ht="15" hidden="false" customHeight="false" outlineLevel="0" collapsed="false">
      <c r="A749" s="31" t="str">
        <f aca="false">IF(COUNTA(B749,D749,E749,F749)=0,"",ROW()-4)</f>
        <v/>
      </c>
      <c r="B749" s="22"/>
      <c r="C749" s="26"/>
      <c r="D749" s="26"/>
      <c r="E749" s="18"/>
      <c r="F749" s="26"/>
      <c r="G749" s="31" t="str">
        <f aca="false">IF(F749="","",IFERROR(INDEX(請求台帳!$C$5:$C$504,MATCH(F749,請求台帳!$A$5:$A$504,0)),""))</f>
        <v/>
      </c>
      <c r="H749" s="31" t="str">
        <f aca="false">IF(F749="","",IFERROR(INDEX(請求台帳!$D$5:$D$504,MATCH(F749,請求台帳!$A$5:$A$504,0)),""))</f>
        <v/>
      </c>
      <c r="I749" s="27" t="str">
        <f aca="false">IF(F749="","",IFERROR(INDEX(請求台帳!$F$5:$F$504,MATCH(F749,請求台帳!$A$5:$A$504,0)),""))</f>
        <v/>
      </c>
      <c r="J749" s="28" t="str">
        <f aca="false">IF(COUNTA(B749,D749,E749,F749)=0,"",IF(OR(B749="",E749=""),"要入力",IF(N(B749)&gt;設定!$C$5,"日付誤り",IF(F749="","未消込",IF(ISNA(MATCH(F749,請求台帳!$A$5:$A$504,0)),"番号誤り",IF(INDEX(請求台帳!$Q$5:$Q$504,MATCH(F749,請求台帳!$A$5:$A$504,0))="取消","取消請求へ消込","消込済"))))))</f>
        <v/>
      </c>
      <c r="K749" s="26"/>
      <c r="L749" s="26"/>
    </row>
    <row r="750" customFormat="false" ht="15" hidden="false" customHeight="false" outlineLevel="0" collapsed="false">
      <c r="A750" s="31" t="str">
        <f aca="false">IF(COUNTA(B750,D750,E750,F750)=0,"",ROW()-4)</f>
        <v/>
      </c>
      <c r="B750" s="22"/>
      <c r="C750" s="26"/>
      <c r="D750" s="26"/>
      <c r="E750" s="18"/>
      <c r="F750" s="26"/>
      <c r="G750" s="31" t="str">
        <f aca="false">IF(F750="","",IFERROR(INDEX(請求台帳!$C$5:$C$504,MATCH(F750,請求台帳!$A$5:$A$504,0)),""))</f>
        <v/>
      </c>
      <c r="H750" s="31" t="str">
        <f aca="false">IF(F750="","",IFERROR(INDEX(請求台帳!$D$5:$D$504,MATCH(F750,請求台帳!$A$5:$A$504,0)),""))</f>
        <v/>
      </c>
      <c r="I750" s="27" t="str">
        <f aca="false">IF(F750="","",IFERROR(INDEX(請求台帳!$F$5:$F$504,MATCH(F750,請求台帳!$A$5:$A$504,0)),""))</f>
        <v/>
      </c>
      <c r="J750" s="28" t="str">
        <f aca="false">IF(COUNTA(B750,D750,E750,F750)=0,"",IF(OR(B750="",E750=""),"要入力",IF(N(B750)&gt;設定!$C$5,"日付誤り",IF(F750="","未消込",IF(ISNA(MATCH(F750,請求台帳!$A$5:$A$504,0)),"番号誤り",IF(INDEX(請求台帳!$Q$5:$Q$504,MATCH(F750,請求台帳!$A$5:$A$504,0))="取消","取消請求へ消込","消込済"))))))</f>
        <v/>
      </c>
      <c r="K750" s="26"/>
      <c r="L750" s="26"/>
    </row>
    <row r="751" customFormat="false" ht="15" hidden="false" customHeight="false" outlineLevel="0" collapsed="false">
      <c r="A751" s="31" t="str">
        <f aca="false">IF(COUNTA(B751,D751,E751,F751)=0,"",ROW()-4)</f>
        <v/>
      </c>
      <c r="B751" s="22"/>
      <c r="C751" s="26"/>
      <c r="D751" s="26"/>
      <c r="E751" s="18"/>
      <c r="F751" s="26"/>
      <c r="G751" s="31" t="str">
        <f aca="false">IF(F751="","",IFERROR(INDEX(請求台帳!$C$5:$C$504,MATCH(F751,請求台帳!$A$5:$A$504,0)),""))</f>
        <v/>
      </c>
      <c r="H751" s="31" t="str">
        <f aca="false">IF(F751="","",IFERROR(INDEX(請求台帳!$D$5:$D$504,MATCH(F751,請求台帳!$A$5:$A$504,0)),""))</f>
        <v/>
      </c>
      <c r="I751" s="27" t="str">
        <f aca="false">IF(F751="","",IFERROR(INDEX(請求台帳!$F$5:$F$504,MATCH(F751,請求台帳!$A$5:$A$504,0)),""))</f>
        <v/>
      </c>
      <c r="J751" s="28" t="str">
        <f aca="false">IF(COUNTA(B751,D751,E751,F751)=0,"",IF(OR(B751="",E751=""),"要入力",IF(N(B751)&gt;設定!$C$5,"日付誤り",IF(F751="","未消込",IF(ISNA(MATCH(F751,請求台帳!$A$5:$A$504,0)),"番号誤り",IF(INDEX(請求台帳!$Q$5:$Q$504,MATCH(F751,請求台帳!$A$5:$A$504,0))="取消","取消請求へ消込","消込済"))))))</f>
        <v/>
      </c>
      <c r="K751" s="26"/>
      <c r="L751" s="26"/>
    </row>
    <row r="752" customFormat="false" ht="15" hidden="false" customHeight="false" outlineLevel="0" collapsed="false">
      <c r="A752" s="31" t="str">
        <f aca="false">IF(COUNTA(B752,D752,E752,F752)=0,"",ROW()-4)</f>
        <v/>
      </c>
      <c r="B752" s="22"/>
      <c r="C752" s="26"/>
      <c r="D752" s="26"/>
      <c r="E752" s="18"/>
      <c r="F752" s="26"/>
      <c r="G752" s="31" t="str">
        <f aca="false">IF(F752="","",IFERROR(INDEX(請求台帳!$C$5:$C$504,MATCH(F752,請求台帳!$A$5:$A$504,0)),""))</f>
        <v/>
      </c>
      <c r="H752" s="31" t="str">
        <f aca="false">IF(F752="","",IFERROR(INDEX(請求台帳!$D$5:$D$504,MATCH(F752,請求台帳!$A$5:$A$504,0)),""))</f>
        <v/>
      </c>
      <c r="I752" s="27" t="str">
        <f aca="false">IF(F752="","",IFERROR(INDEX(請求台帳!$F$5:$F$504,MATCH(F752,請求台帳!$A$5:$A$504,0)),""))</f>
        <v/>
      </c>
      <c r="J752" s="28" t="str">
        <f aca="false">IF(COUNTA(B752,D752,E752,F752)=0,"",IF(OR(B752="",E752=""),"要入力",IF(N(B752)&gt;設定!$C$5,"日付誤り",IF(F752="","未消込",IF(ISNA(MATCH(F752,請求台帳!$A$5:$A$504,0)),"番号誤り",IF(INDEX(請求台帳!$Q$5:$Q$504,MATCH(F752,請求台帳!$A$5:$A$504,0))="取消","取消請求へ消込","消込済"))))))</f>
        <v/>
      </c>
      <c r="K752" s="26"/>
      <c r="L752" s="26"/>
    </row>
    <row r="753" customFormat="false" ht="15" hidden="false" customHeight="false" outlineLevel="0" collapsed="false">
      <c r="A753" s="31" t="str">
        <f aca="false">IF(COUNTA(B753,D753,E753,F753)=0,"",ROW()-4)</f>
        <v/>
      </c>
      <c r="B753" s="22"/>
      <c r="C753" s="26"/>
      <c r="D753" s="26"/>
      <c r="E753" s="18"/>
      <c r="F753" s="26"/>
      <c r="G753" s="31" t="str">
        <f aca="false">IF(F753="","",IFERROR(INDEX(請求台帳!$C$5:$C$504,MATCH(F753,請求台帳!$A$5:$A$504,0)),""))</f>
        <v/>
      </c>
      <c r="H753" s="31" t="str">
        <f aca="false">IF(F753="","",IFERROR(INDEX(請求台帳!$D$5:$D$504,MATCH(F753,請求台帳!$A$5:$A$504,0)),""))</f>
        <v/>
      </c>
      <c r="I753" s="27" t="str">
        <f aca="false">IF(F753="","",IFERROR(INDEX(請求台帳!$F$5:$F$504,MATCH(F753,請求台帳!$A$5:$A$504,0)),""))</f>
        <v/>
      </c>
      <c r="J753" s="28" t="str">
        <f aca="false">IF(COUNTA(B753,D753,E753,F753)=0,"",IF(OR(B753="",E753=""),"要入力",IF(N(B753)&gt;設定!$C$5,"日付誤り",IF(F753="","未消込",IF(ISNA(MATCH(F753,請求台帳!$A$5:$A$504,0)),"番号誤り",IF(INDEX(請求台帳!$Q$5:$Q$504,MATCH(F753,請求台帳!$A$5:$A$504,0))="取消","取消請求へ消込","消込済"))))))</f>
        <v/>
      </c>
      <c r="K753" s="26"/>
      <c r="L753" s="26"/>
    </row>
    <row r="754" customFormat="false" ht="15" hidden="false" customHeight="false" outlineLevel="0" collapsed="false">
      <c r="A754" s="31" t="str">
        <f aca="false">IF(COUNTA(B754,D754,E754,F754)=0,"",ROW()-4)</f>
        <v/>
      </c>
      <c r="B754" s="22"/>
      <c r="C754" s="26"/>
      <c r="D754" s="26"/>
      <c r="E754" s="18"/>
      <c r="F754" s="26"/>
      <c r="G754" s="31" t="str">
        <f aca="false">IF(F754="","",IFERROR(INDEX(請求台帳!$C$5:$C$504,MATCH(F754,請求台帳!$A$5:$A$504,0)),""))</f>
        <v/>
      </c>
      <c r="H754" s="31" t="str">
        <f aca="false">IF(F754="","",IFERROR(INDEX(請求台帳!$D$5:$D$504,MATCH(F754,請求台帳!$A$5:$A$504,0)),""))</f>
        <v/>
      </c>
      <c r="I754" s="27" t="str">
        <f aca="false">IF(F754="","",IFERROR(INDEX(請求台帳!$F$5:$F$504,MATCH(F754,請求台帳!$A$5:$A$504,0)),""))</f>
        <v/>
      </c>
      <c r="J754" s="28" t="str">
        <f aca="false">IF(COUNTA(B754,D754,E754,F754)=0,"",IF(OR(B754="",E754=""),"要入力",IF(N(B754)&gt;設定!$C$5,"日付誤り",IF(F754="","未消込",IF(ISNA(MATCH(F754,請求台帳!$A$5:$A$504,0)),"番号誤り",IF(INDEX(請求台帳!$Q$5:$Q$504,MATCH(F754,請求台帳!$A$5:$A$504,0))="取消","取消請求へ消込","消込済"))))))</f>
        <v/>
      </c>
      <c r="K754" s="26"/>
      <c r="L754" s="26"/>
    </row>
    <row r="755" customFormat="false" ht="15" hidden="false" customHeight="false" outlineLevel="0" collapsed="false">
      <c r="A755" s="31" t="str">
        <f aca="false">IF(COUNTA(B755,D755,E755,F755)=0,"",ROW()-4)</f>
        <v/>
      </c>
      <c r="B755" s="22"/>
      <c r="C755" s="26"/>
      <c r="D755" s="26"/>
      <c r="E755" s="18"/>
      <c r="F755" s="26"/>
      <c r="G755" s="31" t="str">
        <f aca="false">IF(F755="","",IFERROR(INDEX(請求台帳!$C$5:$C$504,MATCH(F755,請求台帳!$A$5:$A$504,0)),""))</f>
        <v/>
      </c>
      <c r="H755" s="31" t="str">
        <f aca="false">IF(F755="","",IFERROR(INDEX(請求台帳!$D$5:$D$504,MATCH(F755,請求台帳!$A$5:$A$504,0)),""))</f>
        <v/>
      </c>
      <c r="I755" s="27" t="str">
        <f aca="false">IF(F755="","",IFERROR(INDEX(請求台帳!$F$5:$F$504,MATCH(F755,請求台帳!$A$5:$A$504,0)),""))</f>
        <v/>
      </c>
      <c r="J755" s="28" t="str">
        <f aca="false">IF(COUNTA(B755,D755,E755,F755)=0,"",IF(OR(B755="",E755=""),"要入力",IF(N(B755)&gt;設定!$C$5,"日付誤り",IF(F755="","未消込",IF(ISNA(MATCH(F755,請求台帳!$A$5:$A$504,0)),"番号誤り",IF(INDEX(請求台帳!$Q$5:$Q$504,MATCH(F755,請求台帳!$A$5:$A$504,0))="取消","取消請求へ消込","消込済"))))))</f>
        <v/>
      </c>
      <c r="K755" s="26"/>
      <c r="L755" s="26"/>
    </row>
    <row r="756" customFormat="false" ht="15" hidden="false" customHeight="false" outlineLevel="0" collapsed="false">
      <c r="A756" s="31" t="str">
        <f aca="false">IF(COUNTA(B756,D756,E756,F756)=0,"",ROW()-4)</f>
        <v/>
      </c>
      <c r="B756" s="22"/>
      <c r="C756" s="26"/>
      <c r="D756" s="26"/>
      <c r="E756" s="18"/>
      <c r="F756" s="26"/>
      <c r="G756" s="31" t="str">
        <f aca="false">IF(F756="","",IFERROR(INDEX(請求台帳!$C$5:$C$504,MATCH(F756,請求台帳!$A$5:$A$504,0)),""))</f>
        <v/>
      </c>
      <c r="H756" s="31" t="str">
        <f aca="false">IF(F756="","",IFERROR(INDEX(請求台帳!$D$5:$D$504,MATCH(F756,請求台帳!$A$5:$A$504,0)),""))</f>
        <v/>
      </c>
      <c r="I756" s="27" t="str">
        <f aca="false">IF(F756="","",IFERROR(INDEX(請求台帳!$F$5:$F$504,MATCH(F756,請求台帳!$A$5:$A$504,0)),""))</f>
        <v/>
      </c>
      <c r="J756" s="28" t="str">
        <f aca="false">IF(COUNTA(B756,D756,E756,F756)=0,"",IF(OR(B756="",E756=""),"要入力",IF(N(B756)&gt;設定!$C$5,"日付誤り",IF(F756="","未消込",IF(ISNA(MATCH(F756,請求台帳!$A$5:$A$504,0)),"番号誤り",IF(INDEX(請求台帳!$Q$5:$Q$504,MATCH(F756,請求台帳!$A$5:$A$504,0))="取消","取消請求へ消込","消込済"))))))</f>
        <v/>
      </c>
      <c r="K756" s="26"/>
      <c r="L756" s="26"/>
    </row>
    <row r="757" customFormat="false" ht="15" hidden="false" customHeight="false" outlineLevel="0" collapsed="false">
      <c r="A757" s="31" t="str">
        <f aca="false">IF(COUNTA(B757,D757,E757,F757)=0,"",ROW()-4)</f>
        <v/>
      </c>
      <c r="B757" s="22"/>
      <c r="C757" s="26"/>
      <c r="D757" s="26"/>
      <c r="E757" s="18"/>
      <c r="F757" s="26"/>
      <c r="G757" s="31" t="str">
        <f aca="false">IF(F757="","",IFERROR(INDEX(請求台帳!$C$5:$C$504,MATCH(F757,請求台帳!$A$5:$A$504,0)),""))</f>
        <v/>
      </c>
      <c r="H757" s="31" t="str">
        <f aca="false">IF(F757="","",IFERROR(INDEX(請求台帳!$D$5:$D$504,MATCH(F757,請求台帳!$A$5:$A$504,0)),""))</f>
        <v/>
      </c>
      <c r="I757" s="27" t="str">
        <f aca="false">IF(F757="","",IFERROR(INDEX(請求台帳!$F$5:$F$504,MATCH(F757,請求台帳!$A$5:$A$504,0)),""))</f>
        <v/>
      </c>
      <c r="J757" s="28" t="str">
        <f aca="false">IF(COUNTA(B757,D757,E757,F757)=0,"",IF(OR(B757="",E757=""),"要入力",IF(N(B757)&gt;設定!$C$5,"日付誤り",IF(F757="","未消込",IF(ISNA(MATCH(F757,請求台帳!$A$5:$A$504,0)),"番号誤り",IF(INDEX(請求台帳!$Q$5:$Q$504,MATCH(F757,請求台帳!$A$5:$A$504,0))="取消","取消請求へ消込","消込済"))))))</f>
        <v/>
      </c>
      <c r="K757" s="26"/>
      <c r="L757" s="26"/>
    </row>
    <row r="758" customFormat="false" ht="15" hidden="false" customHeight="false" outlineLevel="0" collapsed="false">
      <c r="A758" s="31" t="str">
        <f aca="false">IF(COUNTA(B758,D758,E758,F758)=0,"",ROW()-4)</f>
        <v/>
      </c>
      <c r="B758" s="22"/>
      <c r="C758" s="26"/>
      <c r="D758" s="26"/>
      <c r="E758" s="18"/>
      <c r="F758" s="26"/>
      <c r="G758" s="31" t="str">
        <f aca="false">IF(F758="","",IFERROR(INDEX(請求台帳!$C$5:$C$504,MATCH(F758,請求台帳!$A$5:$A$504,0)),""))</f>
        <v/>
      </c>
      <c r="H758" s="31" t="str">
        <f aca="false">IF(F758="","",IFERROR(INDEX(請求台帳!$D$5:$D$504,MATCH(F758,請求台帳!$A$5:$A$504,0)),""))</f>
        <v/>
      </c>
      <c r="I758" s="27" t="str">
        <f aca="false">IF(F758="","",IFERROR(INDEX(請求台帳!$F$5:$F$504,MATCH(F758,請求台帳!$A$5:$A$504,0)),""))</f>
        <v/>
      </c>
      <c r="J758" s="28" t="str">
        <f aca="false">IF(COUNTA(B758,D758,E758,F758)=0,"",IF(OR(B758="",E758=""),"要入力",IF(N(B758)&gt;設定!$C$5,"日付誤り",IF(F758="","未消込",IF(ISNA(MATCH(F758,請求台帳!$A$5:$A$504,0)),"番号誤り",IF(INDEX(請求台帳!$Q$5:$Q$504,MATCH(F758,請求台帳!$A$5:$A$504,0))="取消","取消請求へ消込","消込済"))))))</f>
        <v/>
      </c>
      <c r="K758" s="26"/>
      <c r="L758" s="26"/>
    </row>
    <row r="759" customFormat="false" ht="15" hidden="false" customHeight="false" outlineLevel="0" collapsed="false">
      <c r="A759" s="31" t="str">
        <f aca="false">IF(COUNTA(B759,D759,E759,F759)=0,"",ROW()-4)</f>
        <v/>
      </c>
      <c r="B759" s="22"/>
      <c r="C759" s="26"/>
      <c r="D759" s="26"/>
      <c r="E759" s="18"/>
      <c r="F759" s="26"/>
      <c r="G759" s="31" t="str">
        <f aca="false">IF(F759="","",IFERROR(INDEX(請求台帳!$C$5:$C$504,MATCH(F759,請求台帳!$A$5:$A$504,0)),""))</f>
        <v/>
      </c>
      <c r="H759" s="31" t="str">
        <f aca="false">IF(F759="","",IFERROR(INDEX(請求台帳!$D$5:$D$504,MATCH(F759,請求台帳!$A$5:$A$504,0)),""))</f>
        <v/>
      </c>
      <c r="I759" s="27" t="str">
        <f aca="false">IF(F759="","",IFERROR(INDEX(請求台帳!$F$5:$F$504,MATCH(F759,請求台帳!$A$5:$A$504,0)),""))</f>
        <v/>
      </c>
      <c r="J759" s="28" t="str">
        <f aca="false">IF(COUNTA(B759,D759,E759,F759)=0,"",IF(OR(B759="",E759=""),"要入力",IF(N(B759)&gt;設定!$C$5,"日付誤り",IF(F759="","未消込",IF(ISNA(MATCH(F759,請求台帳!$A$5:$A$504,0)),"番号誤り",IF(INDEX(請求台帳!$Q$5:$Q$504,MATCH(F759,請求台帳!$A$5:$A$504,0))="取消","取消請求へ消込","消込済"))))))</f>
        <v/>
      </c>
      <c r="K759" s="26"/>
      <c r="L759" s="26"/>
    </row>
    <row r="760" customFormat="false" ht="15" hidden="false" customHeight="false" outlineLevel="0" collapsed="false">
      <c r="A760" s="31" t="str">
        <f aca="false">IF(COUNTA(B760,D760,E760,F760)=0,"",ROW()-4)</f>
        <v/>
      </c>
      <c r="B760" s="22"/>
      <c r="C760" s="26"/>
      <c r="D760" s="26"/>
      <c r="E760" s="18"/>
      <c r="F760" s="26"/>
      <c r="G760" s="31" t="str">
        <f aca="false">IF(F760="","",IFERROR(INDEX(請求台帳!$C$5:$C$504,MATCH(F760,請求台帳!$A$5:$A$504,0)),""))</f>
        <v/>
      </c>
      <c r="H760" s="31" t="str">
        <f aca="false">IF(F760="","",IFERROR(INDEX(請求台帳!$D$5:$D$504,MATCH(F760,請求台帳!$A$5:$A$504,0)),""))</f>
        <v/>
      </c>
      <c r="I760" s="27" t="str">
        <f aca="false">IF(F760="","",IFERROR(INDEX(請求台帳!$F$5:$F$504,MATCH(F760,請求台帳!$A$5:$A$504,0)),""))</f>
        <v/>
      </c>
      <c r="J760" s="28" t="str">
        <f aca="false">IF(COUNTA(B760,D760,E760,F760)=0,"",IF(OR(B760="",E760=""),"要入力",IF(N(B760)&gt;設定!$C$5,"日付誤り",IF(F760="","未消込",IF(ISNA(MATCH(F760,請求台帳!$A$5:$A$504,0)),"番号誤り",IF(INDEX(請求台帳!$Q$5:$Q$504,MATCH(F760,請求台帳!$A$5:$A$504,0))="取消","取消請求へ消込","消込済"))))))</f>
        <v/>
      </c>
      <c r="K760" s="26"/>
      <c r="L760" s="26"/>
    </row>
    <row r="761" customFormat="false" ht="15" hidden="false" customHeight="false" outlineLevel="0" collapsed="false">
      <c r="A761" s="31" t="str">
        <f aca="false">IF(COUNTA(B761,D761,E761,F761)=0,"",ROW()-4)</f>
        <v/>
      </c>
      <c r="B761" s="22"/>
      <c r="C761" s="26"/>
      <c r="D761" s="26"/>
      <c r="E761" s="18"/>
      <c r="F761" s="26"/>
      <c r="G761" s="31" t="str">
        <f aca="false">IF(F761="","",IFERROR(INDEX(請求台帳!$C$5:$C$504,MATCH(F761,請求台帳!$A$5:$A$504,0)),""))</f>
        <v/>
      </c>
      <c r="H761" s="31" t="str">
        <f aca="false">IF(F761="","",IFERROR(INDEX(請求台帳!$D$5:$D$504,MATCH(F761,請求台帳!$A$5:$A$504,0)),""))</f>
        <v/>
      </c>
      <c r="I761" s="27" t="str">
        <f aca="false">IF(F761="","",IFERROR(INDEX(請求台帳!$F$5:$F$504,MATCH(F761,請求台帳!$A$5:$A$504,0)),""))</f>
        <v/>
      </c>
      <c r="J761" s="28" t="str">
        <f aca="false">IF(COUNTA(B761,D761,E761,F761)=0,"",IF(OR(B761="",E761=""),"要入力",IF(N(B761)&gt;設定!$C$5,"日付誤り",IF(F761="","未消込",IF(ISNA(MATCH(F761,請求台帳!$A$5:$A$504,0)),"番号誤り",IF(INDEX(請求台帳!$Q$5:$Q$504,MATCH(F761,請求台帳!$A$5:$A$504,0))="取消","取消請求へ消込","消込済"))))))</f>
        <v/>
      </c>
      <c r="K761" s="26"/>
      <c r="L761" s="26"/>
    </row>
    <row r="762" customFormat="false" ht="15" hidden="false" customHeight="false" outlineLevel="0" collapsed="false">
      <c r="A762" s="31" t="str">
        <f aca="false">IF(COUNTA(B762,D762,E762,F762)=0,"",ROW()-4)</f>
        <v/>
      </c>
      <c r="B762" s="22"/>
      <c r="C762" s="26"/>
      <c r="D762" s="26"/>
      <c r="E762" s="18"/>
      <c r="F762" s="26"/>
      <c r="G762" s="31" t="str">
        <f aca="false">IF(F762="","",IFERROR(INDEX(請求台帳!$C$5:$C$504,MATCH(F762,請求台帳!$A$5:$A$504,0)),""))</f>
        <v/>
      </c>
      <c r="H762" s="31" t="str">
        <f aca="false">IF(F762="","",IFERROR(INDEX(請求台帳!$D$5:$D$504,MATCH(F762,請求台帳!$A$5:$A$504,0)),""))</f>
        <v/>
      </c>
      <c r="I762" s="27" t="str">
        <f aca="false">IF(F762="","",IFERROR(INDEX(請求台帳!$F$5:$F$504,MATCH(F762,請求台帳!$A$5:$A$504,0)),""))</f>
        <v/>
      </c>
      <c r="J762" s="28" t="str">
        <f aca="false">IF(COUNTA(B762,D762,E762,F762)=0,"",IF(OR(B762="",E762=""),"要入力",IF(N(B762)&gt;設定!$C$5,"日付誤り",IF(F762="","未消込",IF(ISNA(MATCH(F762,請求台帳!$A$5:$A$504,0)),"番号誤り",IF(INDEX(請求台帳!$Q$5:$Q$504,MATCH(F762,請求台帳!$A$5:$A$504,0))="取消","取消請求へ消込","消込済"))))))</f>
        <v/>
      </c>
      <c r="K762" s="26"/>
      <c r="L762" s="26"/>
    </row>
    <row r="763" customFormat="false" ht="15" hidden="false" customHeight="false" outlineLevel="0" collapsed="false">
      <c r="A763" s="31" t="str">
        <f aca="false">IF(COUNTA(B763,D763,E763,F763)=0,"",ROW()-4)</f>
        <v/>
      </c>
      <c r="B763" s="22"/>
      <c r="C763" s="26"/>
      <c r="D763" s="26"/>
      <c r="E763" s="18"/>
      <c r="F763" s="26"/>
      <c r="G763" s="31" t="str">
        <f aca="false">IF(F763="","",IFERROR(INDEX(請求台帳!$C$5:$C$504,MATCH(F763,請求台帳!$A$5:$A$504,0)),""))</f>
        <v/>
      </c>
      <c r="H763" s="31" t="str">
        <f aca="false">IF(F763="","",IFERROR(INDEX(請求台帳!$D$5:$D$504,MATCH(F763,請求台帳!$A$5:$A$504,0)),""))</f>
        <v/>
      </c>
      <c r="I763" s="27" t="str">
        <f aca="false">IF(F763="","",IFERROR(INDEX(請求台帳!$F$5:$F$504,MATCH(F763,請求台帳!$A$5:$A$504,0)),""))</f>
        <v/>
      </c>
      <c r="J763" s="28" t="str">
        <f aca="false">IF(COUNTA(B763,D763,E763,F763)=0,"",IF(OR(B763="",E763=""),"要入力",IF(N(B763)&gt;設定!$C$5,"日付誤り",IF(F763="","未消込",IF(ISNA(MATCH(F763,請求台帳!$A$5:$A$504,0)),"番号誤り",IF(INDEX(請求台帳!$Q$5:$Q$504,MATCH(F763,請求台帳!$A$5:$A$504,0))="取消","取消請求へ消込","消込済"))))))</f>
        <v/>
      </c>
      <c r="K763" s="26"/>
      <c r="L763" s="26"/>
    </row>
    <row r="764" customFormat="false" ht="15" hidden="false" customHeight="false" outlineLevel="0" collapsed="false">
      <c r="A764" s="31" t="str">
        <f aca="false">IF(COUNTA(B764,D764,E764,F764)=0,"",ROW()-4)</f>
        <v/>
      </c>
      <c r="B764" s="22"/>
      <c r="C764" s="26"/>
      <c r="D764" s="26"/>
      <c r="E764" s="18"/>
      <c r="F764" s="26"/>
      <c r="G764" s="31" t="str">
        <f aca="false">IF(F764="","",IFERROR(INDEX(請求台帳!$C$5:$C$504,MATCH(F764,請求台帳!$A$5:$A$504,0)),""))</f>
        <v/>
      </c>
      <c r="H764" s="31" t="str">
        <f aca="false">IF(F764="","",IFERROR(INDEX(請求台帳!$D$5:$D$504,MATCH(F764,請求台帳!$A$5:$A$504,0)),""))</f>
        <v/>
      </c>
      <c r="I764" s="27" t="str">
        <f aca="false">IF(F764="","",IFERROR(INDEX(請求台帳!$F$5:$F$504,MATCH(F764,請求台帳!$A$5:$A$504,0)),""))</f>
        <v/>
      </c>
      <c r="J764" s="28" t="str">
        <f aca="false">IF(COUNTA(B764,D764,E764,F764)=0,"",IF(OR(B764="",E764=""),"要入力",IF(N(B764)&gt;設定!$C$5,"日付誤り",IF(F764="","未消込",IF(ISNA(MATCH(F764,請求台帳!$A$5:$A$504,0)),"番号誤り",IF(INDEX(請求台帳!$Q$5:$Q$504,MATCH(F764,請求台帳!$A$5:$A$504,0))="取消","取消請求へ消込","消込済"))))))</f>
        <v/>
      </c>
      <c r="K764" s="26"/>
      <c r="L764" s="26"/>
    </row>
    <row r="765" customFormat="false" ht="15" hidden="false" customHeight="false" outlineLevel="0" collapsed="false">
      <c r="A765" s="31" t="str">
        <f aca="false">IF(COUNTA(B765,D765,E765,F765)=0,"",ROW()-4)</f>
        <v/>
      </c>
      <c r="B765" s="22"/>
      <c r="C765" s="26"/>
      <c r="D765" s="26"/>
      <c r="E765" s="18"/>
      <c r="F765" s="26"/>
      <c r="G765" s="31" t="str">
        <f aca="false">IF(F765="","",IFERROR(INDEX(請求台帳!$C$5:$C$504,MATCH(F765,請求台帳!$A$5:$A$504,0)),""))</f>
        <v/>
      </c>
      <c r="H765" s="31" t="str">
        <f aca="false">IF(F765="","",IFERROR(INDEX(請求台帳!$D$5:$D$504,MATCH(F765,請求台帳!$A$5:$A$504,0)),""))</f>
        <v/>
      </c>
      <c r="I765" s="27" t="str">
        <f aca="false">IF(F765="","",IFERROR(INDEX(請求台帳!$F$5:$F$504,MATCH(F765,請求台帳!$A$5:$A$504,0)),""))</f>
        <v/>
      </c>
      <c r="J765" s="28" t="str">
        <f aca="false">IF(COUNTA(B765,D765,E765,F765)=0,"",IF(OR(B765="",E765=""),"要入力",IF(N(B765)&gt;設定!$C$5,"日付誤り",IF(F765="","未消込",IF(ISNA(MATCH(F765,請求台帳!$A$5:$A$504,0)),"番号誤り",IF(INDEX(請求台帳!$Q$5:$Q$504,MATCH(F765,請求台帳!$A$5:$A$504,0))="取消","取消請求へ消込","消込済"))))))</f>
        <v/>
      </c>
      <c r="K765" s="26"/>
      <c r="L765" s="26"/>
    </row>
    <row r="766" customFormat="false" ht="15" hidden="false" customHeight="false" outlineLevel="0" collapsed="false">
      <c r="A766" s="31" t="str">
        <f aca="false">IF(COUNTA(B766,D766,E766,F766)=0,"",ROW()-4)</f>
        <v/>
      </c>
      <c r="B766" s="22"/>
      <c r="C766" s="26"/>
      <c r="D766" s="26"/>
      <c r="E766" s="18"/>
      <c r="F766" s="26"/>
      <c r="G766" s="31" t="str">
        <f aca="false">IF(F766="","",IFERROR(INDEX(請求台帳!$C$5:$C$504,MATCH(F766,請求台帳!$A$5:$A$504,0)),""))</f>
        <v/>
      </c>
      <c r="H766" s="31" t="str">
        <f aca="false">IF(F766="","",IFERROR(INDEX(請求台帳!$D$5:$D$504,MATCH(F766,請求台帳!$A$5:$A$504,0)),""))</f>
        <v/>
      </c>
      <c r="I766" s="27" t="str">
        <f aca="false">IF(F766="","",IFERROR(INDEX(請求台帳!$F$5:$F$504,MATCH(F766,請求台帳!$A$5:$A$504,0)),""))</f>
        <v/>
      </c>
      <c r="J766" s="28" t="str">
        <f aca="false">IF(COUNTA(B766,D766,E766,F766)=0,"",IF(OR(B766="",E766=""),"要入力",IF(N(B766)&gt;設定!$C$5,"日付誤り",IF(F766="","未消込",IF(ISNA(MATCH(F766,請求台帳!$A$5:$A$504,0)),"番号誤り",IF(INDEX(請求台帳!$Q$5:$Q$504,MATCH(F766,請求台帳!$A$5:$A$504,0))="取消","取消請求へ消込","消込済"))))))</f>
        <v/>
      </c>
      <c r="K766" s="26"/>
      <c r="L766" s="26"/>
    </row>
    <row r="767" customFormat="false" ht="15" hidden="false" customHeight="false" outlineLevel="0" collapsed="false">
      <c r="A767" s="31" t="str">
        <f aca="false">IF(COUNTA(B767,D767,E767,F767)=0,"",ROW()-4)</f>
        <v/>
      </c>
      <c r="B767" s="22"/>
      <c r="C767" s="26"/>
      <c r="D767" s="26"/>
      <c r="E767" s="18"/>
      <c r="F767" s="26"/>
      <c r="G767" s="31" t="str">
        <f aca="false">IF(F767="","",IFERROR(INDEX(請求台帳!$C$5:$C$504,MATCH(F767,請求台帳!$A$5:$A$504,0)),""))</f>
        <v/>
      </c>
      <c r="H767" s="31" t="str">
        <f aca="false">IF(F767="","",IFERROR(INDEX(請求台帳!$D$5:$D$504,MATCH(F767,請求台帳!$A$5:$A$504,0)),""))</f>
        <v/>
      </c>
      <c r="I767" s="27" t="str">
        <f aca="false">IF(F767="","",IFERROR(INDEX(請求台帳!$F$5:$F$504,MATCH(F767,請求台帳!$A$5:$A$504,0)),""))</f>
        <v/>
      </c>
      <c r="J767" s="28" t="str">
        <f aca="false">IF(COUNTA(B767,D767,E767,F767)=0,"",IF(OR(B767="",E767=""),"要入力",IF(N(B767)&gt;設定!$C$5,"日付誤り",IF(F767="","未消込",IF(ISNA(MATCH(F767,請求台帳!$A$5:$A$504,0)),"番号誤り",IF(INDEX(請求台帳!$Q$5:$Q$504,MATCH(F767,請求台帳!$A$5:$A$504,0))="取消","取消請求へ消込","消込済"))))))</f>
        <v/>
      </c>
      <c r="K767" s="26"/>
      <c r="L767" s="26"/>
    </row>
    <row r="768" customFormat="false" ht="15" hidden="false" customHeight="false" outlineLevel="0" collapsed="false">
      <c r="A768" s="31" t="str">
        <f aca="false">IF(COUNTA(B768,D768,E768,F768)=0,"",ROW()-4)</f>
        <v/>
      </c>
      <c r="B768" s="22"/>
      <c r="C768" s="26"/>
      <c r="D768" s="26"/>
      <c r="E768" s="18"/>
      <c r="F768" s="26"/>
      <c r="G768" s="31" t="str">
        <f aca="false">IF(F768="","",IFERROR(INDEX(請求台帳!$C$5:$C$504,MATCH(F768,請求台帳!$A$5:$A$504,0)),""))</f>
        <v/>
      </c>
      <c r="H768" s="31" t="str">
        <f aca="false">IF(F768="","",IFERROR(INDEX(請求台帳!$D$5:$D$504,MATCH(F768,請求台帳!$A$5:$A$504,0)),""))</f>
        <v/>
      </c>
      <c r="I768" s="27" t="str">
        <f aca="false">IF(F768="","",IFERROR(INDEX(請求台帳!$F$5:$F$504,MATCH(F768,請求台帳!$A$5:$A$504,0)),""))</f>
        <v/>
      </c>
      <c r="J768" s="28" t="str">
        <f aca="false">IF(COUNTA(B768,D768,E768,F768)=0,"",IF(OR(B768="",E768=""),"要入力",IF(N(B768)&gt;設定!$C$5,"日付誤り",IF(F768="","未消込",IF(ISNA(MATCH(F768,請求台帳!$A$5:$A$504,0)),"番号誤り",IF(INDEX(請求台帳!$Q$5:$Q$504,MATCH(F768,請求台帳!$A$5:$A$504,0))="取消","取消請求へ消込","消込済"))))))</f>
        <v/>
      </c>
      <c r="K768" s="26"/>
      <c r="L768" s="26"/>
    </row>
    <row r="769" customFormat="false" ht="15" hidden="false" customHeight="false" outlineLevel="0" collapsed="false">
      <c r="A769" s="31" t="str">
        <f aca="false">IF(COUNTA(B769,D769,E769,F769)=0,"",ROW()-4)</f>
        <v/>
      </c>
      <c r="B769" s="22"/>
      <c r="C769" s="26"/>
      <c r="D769" s="26"/>
      <c r="E769" s="18"/>
      <c r="F769" s="26"/>
      <c r="G769" s="31" t="str">
        <f aca="false">IF(F769="","",IFERROR(INDEX(請求台帳!$C$5:$C$504,MATCH(F769,請求台帳!$A$5:$A$504,0)),""))</f>
        <v/>
      </c>
      <c r="H769" s="31" t="str">
        <f aca="false">IF(F769="","",IFERROR(INDEX(請求台帳!$D$5:$D$504,MATCH(F769,請求台帳!$A$5:$A$504,0)),""))</f>
        <v/>
      </c>
      <c r="I769" s="27" t="str">
        <f aca="false">IF(F769="","",IFERROR(INDEX(請求台帳!$F$5:$F$504,MATCH(F769,請求台帳!$A$5:$A$504,0)),""))</f>
        <v/>
      </c>
      <c r="J769" s="28" t="str">
        <f aca="false">IF(COUNTA(B769,D769,E769,F769)=0,"",IF(OR(B769="",E769=""),"要入力",IF(N(B769)&gt;設定!$C$5,"日付誤り",IF(F769="","未消込",IF(ISNA(MATCH(F769,請求台帳!$A$5:$A$504,0)),"番号誤り",IF(INDEX(請求台帳!$Q$5:$Q$504,MATCH(F769,請求台帳!$A$5:$A$504,0))="取消","取消請求へ消込","消込済"))))))</f>
        <v/>
      </c>
      <c r="K769" s="26"/>
      <c r="L769" s="26"/>
    </row>
    <row r="770" customFormat="false" ht="15" hidden="false" customHeight="false" outlineLevel="0" collapsed="false">
      <c r="A770" s="31" t="str">
        <f aca="false">IF(COUNTA(B770,D770,E770,F770)=0,"",ROW()-4)</f>
        <v/>
      </c>
      <c r="B770" s="22"/>
      <c r="C770" s="26"/>
      <c r="D770" s="26"/>
      <c r="E770" s="18"/>
      <c r="F770" s="26"/>
      <c r="G770" s="31" t="str">
        <f aca="false">IF(F770="","",IFERROR(INDEX(請求台帳!$C$5:$C$504,MATCH(F770,請求台帳!$A$5:$A$504,0)),""))</f>
        <v/>
      </c>
      <c r="H770" s="31" t="str">
        <f aca="false">IF(F770="","",IFERROR(INDEX(請求台帳!$D$5:$D$504,MATCH(F770,請求台帳!$A$5:$A$504,0)),""))</f>
        <v/>
      </c>
      <c r="I770" s="27" t="str">
        <f aca="false">IF(F770="","",IFERROR(INDEX(請求台帳!$F$5:$F$504,MATCH(F770,請求台帳!$A$5:$A$504,0)),""))</f>
        <v/>
      </c>
      <c r="J770" s="28" t="str">
        <f aca="false">IF(COUNTA(B770,D770,E770,F770)=0,"",IF(OR(B770="",E770=""),"要入力",IF(N(B770)&gt;設定!$C$5,"日付誤り",IF(F770="","未消込",IF(ISNA(MATCH(F770,請求台帳!$A$5:$A$504,0)),"番号誤り",IF(INDEX(請求台帳!$Q$5:$Q$504,MATCH(F770,請求台帳!$A$5:$A$504,0))="取消","取消請求へ消込","消込済"))))))</f>
        <v/>
      </c>
      <c r="K770" s="26"/>
      <c r="L770" s="26"/>
    </row>
    <row r="771" customFormat="false" ht="15" hidden="false" customHeight="false" outlineLevel="0" collapsed="false">
      <c r="A771" s="31" t="str">
        <f aca="false">IF(COUNTA(B771,D771,E771,F771)=0,"",ROW()-4)</f>
        <v/>
      </c>
      <c r="B771" s="22"/>
      <c r="C771" s="26"/>
      <c r="D771" s="26"/>
      <c r="E771" s="18"/>
      <c r="F771" s="26"/>
      <c r="G771" s="31" t="str">
        <f aca="false">IF(F771="","",IFERROR(INDEX(請求台帳!$C$5:$C$504,MATCH(F771,請求台帳!$A$5:$A$504,0)),""))</f>
        <v/>
      </c>
      <c r="H771" s="31" t="str">
        <f aca="false">IF(F771="","",IFERROR(INDEX(請求台帳!$D$5:$D$504,MATCH(F771,請求台帳!$A$5:$A$504,0)),""))</f>
        <v/>
      </c>
      <c r="I771" s="27" t="str">
        <f aca="false">IF(F771="","",IFERROR(INDEX(請求台帳!$F$5:$F$504,MATCH(F771,請求台帳!$A$5:$A$504,0)),""))</f>
        <v/>
      </c>
      <c r="J771" s="28" t="str">
        <f aca="false">IF(COUNTA(B771,D771,E771,F771)=0,"",IF(OR(B771="",E771=""),"要入力",IF(N(B771)&gt;設定!$C$5,"日付誤り",IF(F771="","未消込",IF(ISNA(MATCH(F771,請求台帳!$A$5:$A$504,0)),"番号誤り",IF(INDEX(請求台帳!$Q$5:$Q$504,MATCH(F771,請求台帳!$A$5:$A$504,0))="取消","取消請求へ消込","消込済"))))))</f>
        <v/>
      </c>
      <c r="K771" s="26"/>
      <c r="L771" s="26"/>
    </row>
    <row r="772" customFormat="false" ht="15" hidden="false" customHeight="false" outlineLevel="0" collapsed="false">
      <c r="A772" s="31" t="str">
        <f aca="false">IF(COUNTA(B772,D772,E772,F772)=0,"",ROW()-4)</f>
        <v/>
      </c>
      <c r="B772" s="22"/>
      <c r="C772" s="26"/>
      <c r="D772" s="26"/>
      <c r="E772" s="18"/>
      <c r="F772" s="26"/>
      <c r="G772" s="31" t="str">
        <f aca="false">IF(F772="","",IFERROR(INDEX(請求台帳!$C$5:$C$504,MATCH(F772,請求台帳!$A$5:$A$504,0)),""))</f>
        <v/>
      </c>
      <c r="H772" s="31" t="str">
        <f aca="false">IF(F772="","",IFERROR(INDEX(請求台帳!$D$5:$D$504,MATCH(F772,請求台帳!$A$5:$A$504,0)),""))</f>
        <v/>
      </c>
      <c r="I772" s="27" t="str">
        <f aca="false">IF(F772="","",IFERROR(INDEX(請求台帳!$F$5:$F$504,MATCH(F772,請求台帳!$A$5:$A$504,0)),""))</f>
        <v/>
      </c>
      <c r="J772" s="28" t="str">
        <f aca="false">IF(COUNTA(B772,D772,E772,F772)=0,"",IF(OR(B772="",E772=""),"要入力",IF(N(B772)&gt;設定!$C$5,"日付誤り",IF(F772="","未消込",IF(ISNA(MATCH(F772,請求台帳!$A$5:$A$504,0)),"番号誤り",IF(INDEX(請求台帳!$Q$5:$Q$504,MATCH(F772,請求台帳!$A$5:$A$504,0))="取消","取消請求へ消込","消込済"))))))</f>
        <v/>
      </c>
      <c r="K772" s="26"/>
      <c r="L772" s="26"/>
    </row>
    <row r="773" customFormat="false" ht="15" hidden="false" customHeight="false" outlineLevel="0" collapsed="false">
      <c r="A773" s="31" t="str">
        <f aca="false">IF(COUNTA(B773,D773,E773,F773)=0,"",ROW()-4)</f>
        <v/>
      </c>
      <c r="B773" s="22"/>
      <c r="C773" s="26"/>
      <c r="D773" s="26"/>
      <c r="E773" s="18"/>
      <c r="F773" s="26"/>
      <c r="G773" s="31" t="str">
        <f aca="false">IF(F773="","",IFERROR(INDEX(請求台帳!$C$5:$C$504,MATCH(F773,請求台帳!$A$5:$A$504,0)),""))</f>
        <v/>
      </c>
      <c r="H773" s="31" t="str">
        <f aca="false">IF(F773="","",IFERROR(INDEX(請求台帳!$D$5:$D$504,MATCH(F773,請求台帳!$A$5:$A$504,0)),""))</f>
        <v/>
      </c>
      <c r="I773" s="27" t="str">
        <f aca="false">IF(F773="","",IFERROR(INDEX(請求台帳!$F$5:$F$504,MATCH(F773,請求台帳!$A$5:$A$504,0)),""))</f>
        <v/>
      </c>
      <c r="J773" s="28" t="str">
        <f aca="false">IF(COUNTA(B773,D773,E773,F773)=0,"",IF(OR(B773="",E773=""),"要入力",IF(N(B773)&gt;設定!$C$5,"日付誤り",IF(F773="","未消込",IF(ISNA(MATCH(F773,請求台帳!$A$5:$A$504,0)),"番号誤り",IF(INDEX(請求台帳!$Q$5:$Q$504,MATCH(F773,請求台帳!$A$5:$A$504,0))="取消","取消請求へ消込","消込済"))))))</f>
        <v/>
      </c>
      <c r="K773" s="26"/>
      <c r="L773" s="26"/>
    </row>
    <row r="774" customFormat="false" ht="15" hidden="false" customHeight="false" outlineLevel="0" collapsed="false">
      <c r="A774" s="31" t="str">
        <f aca="false">IF(COUNTA(B774,D774,E774,F774)=0,"",ROW()-4)</f>
        <v/>
      </c>
      <c r="B774" s="22"/>
      <c r="C774" s="26"/>
      <c r="D774" s="26"/>
      <c r="E774" s="18"/>
      <c r="F774" s="26"/>
      <c r="G774" s="31" t="str">
        <f aca="false">IF(F774="","",IFERROR(INDEX(請求台帳!$C$5:$C$504,MATCH(F774,請求台帳!$A$5:$A$504,0)),""))</f>
        <v/>
      </c>
      <c r="H774" s="31" t="str">
        <f aca="false">IF(F774="","",IFERROR(INDEX(請求台帳!$D$5:$D$504,MATCH(F774,請求台帳!$A$5:$A$504,0)),""))</f>
        <v/>
      </c>
      <c r="I774" s="27" t="str">
        <f aca="false">IF(F774="","",IFERROR(INDEX(請求台帳!$F$5:$F$504,MATCH(F774,請求台帳!$A$5:$A$504,0)),""))</f>
        <v/>
      </c>
      <c r="J774" s="28" t="str">
        <f aca="false">IF(COUNTA(B774,D774,E774,F774)=0,"",IF(OR(B774="",E774=""),"要入力",IF(N(B774)&gt;設定!$C$5,"日付誤り",IF(F774="","未消込",IF(ISNA(MATCH(F774,請求台帳!$A$5:$A$504,0)),"番号誤り",IF(INDEX(請求台帳!$Q$5:$Q$504,MATCH(F774,請求台帳!$A$5:$A$504,0))="取消","取消請求へ消込","消込済"))))))</f>
        <v/>
      </c>
      <c r="K774" s="26"/>
      <c r="L774" s="26"/>
    </row>
    <row r="775" customFormat="false" ht="15" hidden="false" customHeight="false" outlineLevel="0" collapsed="false">
      <c r="A775" s="31" t="str">
        <f aca="false">IF(COUNTA(B775,D775,E775,F775)=0,"",ROW()-4)</f>
        <v/>
      </c>
      <c r="B775" s="22"/>
      <c r="C775" s="26"/>
      <c r="D775" s="26"/>
      <c r="E775" s="18"/>
      <c r="F775" s="26"/>
      <c r="G775" s="31" t="str">
        <f aca="false">IF(F775="","",IFERROR(INDEX(請求台帳!$C$5:$C$504,MATCH(F775,請求台帳!$A$5:$A$504,0)),""))</f>
        <v/>
      </c>
      <c r="H775" s="31" t="str">
        <f aca="false">IF(F775="","",IFERROR(INDEX(請求台帳!$D$5:$D$504,MATCH(F775,請求台帳!$A$5:$A$504,0)),""))</f>
        <v/>
      </c>
      <c r="I775" s="27" t="str">
        <f aca="false">IF(F775="","",IFERROR(INDEX(請求台帳!$F$5:$F$504,MATCH(F775,請求台帳!$A$5:$A$504,0)),""))</f>
        <v/>
      </c>
      <c r="J775" s="28" t="str">
        <f aca="false">IF(COUNTA(B775,D775,E775,F775)=0,"",IF(OR(B775="",E775=""),"要入力",IF(N(B775)&gt;設定!$C$5,"日付誤り",IF(F775="","未消込",IF(ISNA(MATCH(F775,請求台帳!$A$5:$A$504,0)),"番号誤り",IF(INDEX(請求台帳!$Q$5:$Q$504,MATCH(F775,請求台帳!$A$5:$A$504,0))="取消","取消請求へ消込","消込済"))))))</f>
        <v/>
      </c>
      <c r="K775" s="26"/>
      <c r="L775" s="26"/>
    </row>
    <row r="776" customFormat="false" ht="15" hidden="false" customHeight="false" outlineLevel="0" collapsed="false">
      <c r="A776" s="31" t="str">
        <f aca="false">IF(COUNTA(B776,D776,E776,F776)=0,"",ROW()-4)</f>
        <v/>
      </c>
      <c r="B776" s="22"/>
      <c r="C776" s="26"/>
      <c r="D776" s="26"/>
      <c r="E776" s="18"/>
      <c r="F776" s="26"/>
      <c r="G776" s="31" t="str">
        <f aca="false">IF(F776="","",IFERROR(INDEX(請求台帳!$C$5:$C$504,MATCH(F776,請求台帳!$A$5:$A$504,0)),""))</f>
        <v/>
      </c>
      <c r="H776" s="31" t="str">
        <f aca="false">IF(F776="","",IFERROR(INDEX(請求台帳!$D$5:$D$504,MATCH(F776,請求台帳!$A$5:$A$504,0)),""))</f>
        <v/>
      </c>
      <c r="I776" s="27" t="str">
        <f aca="false">IF(F776="","",IFERROR(INDEX(請求台帳!$F$5:$F$504,MATCH(F776,請求台帳!$A$5:$A$504,0)),""))</f>
        <v/>
      </c>
      <c r="J776" s="28" t="str">
        <f aca="false">IF(COUNTA(B776,D776,E776,F776)=0,"",IF(OR(B776="",E776=""),"要入力",IF(N(B776)&gt;設定!$C$5,"日付誤り",IF(F776="","未消込",IF(ISNA(MATCH(F776,請求台帳!$A$5:$A$504,0)),"番号誤り",IF(INDEX(請求台帳!$Q$5:$Q$504,MATCH(F776,請求台帳!$A$5:$A$504,0))="取消","取消請求へ消込","消込済"))))))</f>
        <v/>
      </c>
      <c r="K776" s="26"/>
      <c r="L776" s="26"/>
    </row>
    <row r="777" customFormat="false" ht="15" hidden="false" customHeight="false" outlineLevel="0" collapsed="false">
      <c r="A777" s="31" t="str">
        <f aca="false">IF(COUNTA(B777,D777,E777,F777)=0,"",ROW()-4)</f>
        <v/>
      </c>
      <c r="B777" s="22"/>
      <c r="C777" s="26"/>
      <c r="D777" s="26"/>
      <c r="E777" s="18"/>
      <c r="F777" s="26"/>
      <c r="G777" s="31" t="str">
        <f aca="false">IF(F777="","",IFERROR(INDEX(請求台帳!$C$5:$C$504,MATCH(F777,請求台帳!$A$5:$A$504,0)),""))</f>
        <v/>
      </c>
      <c r="H777" s="31" t="str">
        <f aca="false">IF(F777="","",IFERROR(INDEX(請求台帳!$D$5:$D$504,MATCH(F777,請求台帳!$A$5:$A$504,0)),""))</f>
        <v/>
      </c>
      <c r="I777" s="27" t="str">
        <f aca="false">IF(F777="","",IFERROR(INDEX(請求台帳!$F$5:$F$504,MATCH(F777,請求台帳!$A$5:$A$504,0)),""))</f>
        <v/>
      </c>
      <c r="J777" s="28" t="str">
        <f aca="false">IF(COUNTA(B777,D777,E777,F777)=0,"",IF(OR(B777="",E777=""),"要入力",IF(N(B777)&gt;設定!$C$5,"日付誤り",IF(F777="","未消込",IF(ISNA(MATCH(F777,請求台帳!$A$5:$A$504,0)),"番号誤り",IF(INDEX(請求台帳!$Q$5:$Q$504,MATCH(F777,請求台帳!$A$5:$A$504,0))="取消","取消請求へ消込","消込済"))))))</f>
        <v/>
      </c>
      <c r="K777" s="26"/>
      <c r="L777" s="26"/>
    </row>
    <row r="778" customFormat="false" ht="15" hidden="false" customHeight="false" outlineLevel="0" collapsed="false">
      <c r="A778" s="31" t="str">
        <f aca="false">IF(COUNTA(B778,D778,E778,F778)=0,"",ROW()-4)</f>
        <v/>
      </c>
      <c r="B778" s="22"/>
      <c r="C778" s="26"/>
      <c r="D778" s="26"/>
      <c r="E778" s="18"/>
      <c r="F778" s="26"/>
      <c r="G778" s="31" t="str">
        <f aca="false">IF(F778="","",IFERROR(INDEX(請求台帳!$C$5:$C$504,MATCH(F778,請求台帳!$A$5:$A$504,0)),""))</f>
        <v/>
      </c>
      <c r="H778" s="31" t="str">
        <f aca="false">IF(F778="","",IFERROR(INDEX(請求台帳!$D$5:$D$504,MATCH(F778,請求台帳!$A$5:$A$504,0)),""))</f>
        <v/>
      </c>
      <c r="I778" s="27" t="str">
        <f aca="false">IF(F778="","",IFERROR(INDEX(請求台帳!$F$5:$F$504,MATCH(F778,請求台帳!$A$5:$A$504,0)),""))</f>
        <v/>
      </c>
      <c r="J778" s="28" t="str">
        <f aca="false">IF(COUNTA(B778,D778,E778,F778)=0,"",IF(OR(B778="",E778=""),"要入力",IF(N(B778)&gt;設定!$C$5,"日付誤り",IF(F778="","未消込",IF(ISNA(MATCH(F778,請求台帳!$A$5:$A$504,0)),"番号誤り",IF(INDEX(請求台帳!$Q$5:$Q$504,MATCH(F778,請求台帳!$A$5:$A$504,0))="取消","取消請求へ消込","消込済"))))))</f>
        <v/>
      </c>
      <c r="K778" s="26"/>
      <c r="L778" s="26"/>
    </row>
    <row r="779" customFormat="false" ht="15" hidden="false" customHeight="false" outlineLevel="0" collapsed="false">
      <c r="A779" s="31" t="str">
        <f aca="false">IF(COUNTA(B779,D779,E779,F779)=0,"",ROW()-4)</f>
        <v/>
      </c>
      <c r="B779" s="22"/>
      <c r="C779" s="26"/>
      <c r="D779" s="26"/>
      <c r="E779" s="18"/>
      <c r="F779" s="26"/>
      <c r="G779" s="31" t="str">
        <f aca="false">IF(F779="","",IFERROR(INDEX(請求台帳!$C$5:$C$504,MATCH(F779,請求台帳!$A$5:$A$504,0)),""))</f>
        <v/>
      </c>
      <c r="H779" s="31" t="str">
        <f aca="false">IF(F779="","",IFERROR(INDEX(請求台帳!$D$5:$D$504,MATCH(F779,請求台帳!$A$5:$A$504,0)),""))</f>
        <v/>
      </c>
      <c r="I779" s="27" t="str">
        <f aca="false">IF(F779="","",IFERROR(INDEX(請求台帳!$F$5:$F$504,MATCH(F779,請求台帳!$A$5:$A$504,0)),""))</f>
        <v/>
      </c>
      <c r="J779" s="28" t="str">
        <f aca="false">IF(COUNTA(B779,D779,E779,F779)=0,"",IF(OR(B779="",E779=""),"要入力",IF(N(B779)&gt;設定!$C$5,"日付誤り",IF(F779="","未消込",IF(ISNA(MATCH(F779,請求台帳!$A$5:$A$504,0)),"番号誤り",IF(INDEX(請求台帳!$Q$5:$Q$504,MATCH(F779,請求台帳!$A$5:$A$504,0))="取消","取消請求へ消込","消込済"))))))</f>
        <v/>
      </c>
      <c r="K779" s="26"/>
      <c r="L779" s="26"/>
    </row>
    <row r="780" customFormat="false" ht="15" hidden="false" customHeight="false" outlineLevel="0" collapsed="false">
      <c r="A780" s="31" t="str">
        <f aca="false">IF(COUNTA(B780,D780,E780,F780)=0,"",ROW()-4)</f>
        <v/>
      </c>
      <c r="B780" s="22"/>
      <c r="C780" s="26"/>
      <c r="D780" s="26"/>
      <c r="E780" s="18"/>
      <c r="F780" s="26"/>
      <c r="G780" s="31" t="str">
        <f aca="false">IF(F780="","",IFERROR(INDEX(請求台帳!$C$5:$C$504,MATCH(F780,請求台帳!$A$5:$A$504,0)),""))</f>
        <v/>
      </c>
      <c r="H780" s="31" t="str">
        <f aca="false">IF(F780="","",IFERROR(INDEX(請求台帳!$D$5:$D$504,MATCH(F780,請求台帳!$A$5:$A$504,0)),""))</f>
        <v/>
      </c>
      <c r="I780" s="27" t="str">
        <f aca="false">IF(F780="","",IFERROR(INDEX(請求台帳!$F$5:$F$504,MATCH(F780,請求台帳!$A$5:$A$504,0)),""))</f>
        <v/>
      </c>
      <c r="J780" s="28" t="str">
        <f aca="false">IF(COUNTA(B780,D780,E780,F780)=0,"",IF(OR(B780="",E780=""),"要入力",IF(N(B780)&gt;設定!$C$5,"日付誤り",IF(F780="","未消込",IF(ISNA(MATCH(F780,請求台帳!$A$5:$A$504,0)),"番号誤り",IF(INDEX(請求台帳!$Q$5:$Q$504,MATCH(F780,請求台帳!$A$5:$A$504,0))="取消","取消請求へ消込","消込済"))))))</f>
        <v/>
      </c>
      <c r="K780" s="26"/>
      <c r="L780" s="26"/>
    </row>
    <row r="781" customFormat="false" ht="15" hidden="false" customHeight="false" outlineLevel="0" collapsed="false">
      <c r="A781" s="31" t="str">
        <f aca="false">IF(COUNTA(B781,D781,E781,F781)=0,"",ROW()-4)</f>
        <v/>
      </c>
      <c r="B781" s="22"/>
      <c r="C781" s="26"/>
      <c r="D781" s="26"/>
      <c r="E781" s="18"/>
      <c r="F781" s="26"/>
      <c r="G781" s="31" t="str">
        <f aca="false">IF(F781="","",IFERROR(INDEX(請求台帳!$C$5:$C$504,MATCH(F781,請求台帳!$A$5:$A$504,0)),""))</f>
        <v/>
      </c>
      <c r="H781" s="31" t="str">
        <f aca="false">IF(F781="","",IFERROR(INDEX(請求台帳!$D$5:$D$504,MATCH(F781,請求台帳!$A$5:$A$504,0)),""))</f>
        <v/>
      </c>
      <c r="I781" s="27" t="str">
        <f aca="false">IF(F781="","",IFERROR(INDEX(請求台帳!$F$5:$F$504,MATCH(F781,請求台帳!$A$5:$A$504,0)),""))</f>
        <v/>
      </c>
      <c r="J781" s="28" t="str">
        <f aca="false">IF(COUNTA(B781,D781,E781,F781)=0,"",IF(OR(B781="",E781=""),"要入力",IF(N(B781)&gt;設定!$C$5,"日付誤り",IF(F781="","未消込",IF(ISNA(MATCH(F781,請求台帳!$A$5:$A$504,0)),"番号誤り",IF(INDEX(請求台帳!$Q$5:$Q$504,MATCH(F781,請求台帳!$A$5:$A$504,0))="取消","取消請求へ消込","消込済"))))))</f>
        <v/>
      </c>
      <c r="K781" s="26"/>
      <c r="L781" s="26"/>
    </row>
    <row r="782" customFormat="false" ht="15" hidden="false" customHeight="false" outlineLevel="0" collapsed="false">
      <c r="A782" s="31" t="str">
        <f aca="false">IF(COUNTA(B782,D782,E782,F782)=0,"",ROW()-4)</f>
        <v/>
      </c>
      <c r="B782" s="22"/>
      <c r="C782" s="26"/>
      <c r="D782" s="26"/>
      <c r="E782" s="18"/>
      <c r="F782" s="26"/>
      <c r="G782" s="31" t="str">
        <f aca="false">IF(F782="","",IFERROR(INDEX(請求台帳!$C$5:$C$504,MATCH(F782,請求台帳!$A$5:$A$504,0)),""))</f>
        <v/>
      </c>
      <c r="H782" s="31" t="str">
        <f aca="false">IF(F782="","",IFERROR(INDEX(請求台帳!$D$5:$D$504,MATCH(F782,請求台帳!$A$5:$A$504,0)),""))</f>
        <v/>
      </c>
      <c r="I782" s="27" t="str">
        <f aca="false">IF(F782="","",IFERROR(INDEX(請求台帳!$F$5:$F$504,MATCH(F782,請求台帳!$A$5:$A$504,0)),""))</f>
        <v/>
      </c>
      <c r="J782" s="28" t="str">
        <f aca="false">IF(COUNTA(B782,D782,E782,F782)=0,"",IF(OR(B782="",E782=""),"要入力",IF(N(B782)&gt;設定!$C$5,"日付誤り",IF(F782="","未消込",IF(ISNA(MATCH(F782,請求台帳!$A$5:$A$504,0)),"番号誤り",IF(INDEX(請求台帳!$Q$5:$Q$504,MATCH(F782,請求台帳!$A$5:$A$504,0))="取消","取消請求へ消込","消込済"))))))</f>
        <v/>
      </c>
      <c r="K782" s="26"/>
      <c r="L782" s="26"/>
    </row>
    <row r="783" customFormat="false" ht="15" hidden="false" customHeight="false" outlineLevel="0" collapsed="false">
      <c r="A783" s="31" t="str">
        <f aca="false">IF(COUNTA(B783,D783,E783,F783)=0,"",ROW()-4)</f>
        <v/>
      </c>
      <c r="B783" s="22"/>
      <c r="C783" s="26"/>
      <c r="D783" s="26"/>
      <c r="E783" s="18"/>
      <c r="F783" s="26"/>
      <c r="G783" s="31" t="str">
        <f aca="false">IF(F783="","",IFERROR(INDEX(請求台帳!$C$5:$C$504,MATCH(F783,請求台帳!$A$5:$A$504,0)),""))</f>
        <v/>
      </c>
      <c r="H783" s="31" t="str">
        <f aca="false">IF(F783="","",IFERROR(INDEX(請求台帳!$D$5:$D$504,MATCH(F783,請求台帳!$A$5:$A$504,0)),""))</f>
        <v/>
      </c>
      <c r="I783" s="27" t="str">
        <f aca="false">IF(F783="","",IFERROR(INDEX(請求台帳!$F$5:$F$504,MATCH(F783,請求台帳!$A$5:$A$504,0)),""))</f>
        <v/>
      </c>
      <c r="J783" s="28" t="str">
        <f aca="false">IF(COUNTA(B783,D783,E783,F783)=0,"",IF(OR(B783="",E783=""),"要入力",IF(N(B783)&gt;設定!$C$5,"日付誤り",IF(F783="","未消込",IF(ISNA(MATCH(F783,請求台帳!$A$5:$A$504,0)),"番号誤り",IF(INDEX(請求台帳!$Q$5:$Q$504,MATCH(F783,請求台帳!$A$5:$A$504,0))="取消","取消請求へ消込","消込済"))))))</f>
        <v/>
      </c>
      <c r="K783" s="26"/>
      <c r="L783" s="26"/>
    </row>
    <row r="784" customFormat="false" ht="15" hidden="false" customHeight="false" outlineLevel="0" collapsed="false">
      <c r="A784" s="31" t="str">
        <f aca="false">IF(COUNTA(B784,D784,E784,F784)=0,"",ROW()-4)</f>
        <v/>
      </c>
      <c r="B784" s="22"/>
      <c r="C784" s="26"/>
      <c r="D784" s="26"/>
      <c r="E784" s="18"/>
      <c r="F784" s="26"/>
      <c r="G784" s="31" t="str">
        <f aca="false">IF(F784="","",IFERROR(INDEX(請求台帳!$C$5:$C$504,MATCH(F784,請求台帳!$A$5:$A$504,0)),""))</f>
        <v/>
      </c>
      <c r="H784" s="31" t="str">
        <f aca="false">IF(F784="","",IFERROR(INDEX(請求台帳!$D$5:$D$504,MATCH(F784,請求台帳!$A$5:$A$504,0)),""))</f>
        <v/>
      </c>
      <c r="I784" s="27" t="str">
        <f aca="false">IF(F784="","",IFERROR(INDEX(請求台帳!$F$5:$F$504,MATCH(F784,請求台帳!$A$5:$A$504,0)),""))</f>
        <v/>
      </c>
      <c r="J784" s="28" t="str">
        <f aca="false">IF(COUNTA(B784,D784,E784,F784)=0,"",IF(OR(B784="",E784=""),"要入力",IF(N(B784)&gt;設定!$C$5,"日付誤り",IF(F784="","未消込",IF(ISNA(MATCH(F784,請求台帳!$A$5:$A$504,0)),"番号誤り",IF(INDEX(請求台帳!$Q$5:$Q$504,MATCH(F784,請求台帳!$A$5:$A$504,0))="取消","取消請求へ消込","消込済"))))))</f>
        <v/>
      </c>
      <c r="K784" s="26"/>
      <c r="L784" s="26"/>
    </row>
    <row r="785" customFormat="false" ht="15" hidden="false" customHeight="false" outlineLevel="0" collapsed="false">
      <c r="A785" s="31" t="str">
        <f aca="false">IF(COUNTA(B785,D785,E785,F785)=0,"",ROW()-4)</f>
        <v/>
      </c>
      <c r="B785" s="22"/>
      <c r="C785" s="26"/>
      <c r="D785" s="26"/>
      <c r="E785" s="18"/>
      <c r="F785" s="26"/>
      <c r="G785" s="31" t="str">
        <f aca="false">IF(F785="","",IFERROR(INDEX(請求台帳!$C$5:$C$504,MATCH(F785,請求台帳!$A$5:$A$504,0)),""))</f>
        <v/>
      </c>
      <c r="H785" s="31" t="str">
        <f aca="false">IF(F785="","",IFERROR(INDEX(請求台帳!$D$5:$D$504,MATCH(F785,請求台帳!$A$5:$A$504,0)),""))</f>
        <v/>
      </c>
      <c r="I785" s="27" t="str">
        <f aca="false">IF(F785="","",IFERROR(INDEX(請求台帳!$F$5:$F$504,MATCH(F785,請求台帳!$A$5:$A$504,0)),""))</f>
        <v/>
      </c>
      <c r="J785" s="28" t="str">
        <f aca="false">IF(COUNTA(B785,D785,E785,F785)=0,"",IF(OR(B785="",E785=""),"要入力",IF(N(B785)&gt;設定!$C$5,"日付誤り",IF(F785="","未消込",IF(ISNA(MATCH(F785,請求台帳!$A$5:$A$504,0)),"番号誤り",IF(INDEX(請求台帳!$Q$5:$Q$504,MATCH(F785,請求台帳!$A$5:$A$504,0))="取消","取消請求へ消込","消込済"))))))</f>
        <v/>
      </c>
      <c r="K785" s="26"/>
      <c r="L785" s="26"/>
    </row>
    <row r="786" customFormat="false" ht="15" hidden="false" customHeight="false" outlineLevel="0" collapsed="false">
      <c r="A786" s="31" t="str">
        <f aca="false">IF(COUNTA(B786,D786,E786,F786)=0,"",ROW()-4)</f>
        <v/>
      </c>
      <c r="B786" s="22"/>
      <c r="C786" s="26"/>
      <c r="D786" s="26"/>
      <c r="E786" s="18"/>
      <c r="F786" s="26"/>
      <c r="G786" s="31" t="str">
        <f aca="false">IF(F786="","",IFERROR(INDEX(請求台帳!$C$5:$C$504,MATCH(F786,請求台帳!$A$5:$A$504,0)),""))</f>
        <v/>
      </c>
      <c r="H786" s="31" t="str">
        <f aca="false">IF(F786="","",IFERROR(INDEX(請求台帳!$D$5:$D$504,MATCH(F786,請求台帳!$A$5:$A$504,0)),""))</f>
        <v/>
      </c>
      <c r="I786" s="27" t="str">
        <f aca="false">IF(F786="","",IFERROR(INDEX(請求台帳!$F$5:$F$504,MATCH(F786,請求台帳!$A$5:$A$504,0)),""))</f>
        <v/>
      </c>
      <c r="J786" s="28" t="str">
        <f aca="false">IF(COUNTA(B786,D786,E786,F786)=0,"",IF(OR(B786="",E786=""),"要入力",IF(N(B786)&gt;設定!$C$5,"日付誤り",IF(F786="","未消込",IF(ISNA(MATCH(F786,請求台帳!$A$5:$A$504,0)),"番号誤り",IF(INDEX(請求台帳!$Q$5:$Q$504,MATCH(F786,請求台帳!$A$5:$A$504,0))="取消","取消請求へ消込","消込済"))))))</f>
        <v/>
      </c>
      <c r="K786" s="26"/>
      <c r="L786" s="26"/>
    </row>
    <row r="787" customFormat="false" ht="15" hidden="false" customHeight="false" outlineLevel="0" collapsed="false">
      <c r="A787" s="31" t="str">
        <f aca="false">IF(COUNTA(B787,D787,E787,F787)=0,"",ROW()-4)</f>
        <v/>
      </c>
      <c r="B787" s="22"/>
      <c r="C787" s="26"/>
      <c r="D787" s="26"/>
      <c r="E787" s="18"/>
      <c r="F787" s="26"/>
      <c r="G787" s="31" t="str">
        <f aca="false">IF(F787="","",IFERROR(INDEX(請求台帳!$C$5:$C$504,MATCH(F787,請求台帳!$A$5:$A$504,0)),""))</f>
        <v/>
      </c>
      <c r="H787" s="31" t="str">
        <f aca="false">IF(F787="","",IFERROR(INDEX(請求台帳!$D$5:$D$504,MATCH(F787,請求台帳!$A$5:$A$504,0)),""))</f>
        <v/>
      </c>
      <c r="I787" s="27" t="str">
        <f aca="false">IF(F787="","",IFERROR(INDEX(請求台帳!$F$5:$F$504,MATCH(F787,請求台帳!$A$5:$A$504,0)),""))</f>
        <v/>
      </c>
      <c r="J787" s="28" t="str">
        <f aca="false">IF(COUNTA(B787,D787,E787,F787)=0,"",IF(OR(B787="",E787=""),"要入力",IF(N(B787)&gt;設定!$C$5,"日付誤り",IF(F787="","未消込",IF(ISNA(MATCH(F787,請求台帳!$A$5:$A$504,0)),"番号誤り",IF(INDEX(請求台帳!$Q$5:$Q$504,MATCH(F787,請求台帳!$A$5:$A$504,0))="取消","取消請求へ消込","消込済"))))))</f>
        <v/>
      </c>
      <c r="K787" s="26"/>
      <c r="L787" s="26"/>
    </row>
    <row r="788" customFormat="false" ht="15" hidden="false" customHeight="false" outlineLevel="0" collapsed="false">
      <c r="A788" s="31" t="str">
        <f aca="false">IF(COUNTA(B788,D788,E788,F788)=0,"",ROW()-4)</f>
        <v/>
      </c>
      <c r="B788" s="22"/>
      <c r="C788" s="26"/>
      <c r="D788" s="26"/>
      <c r="E788" s="18"/>
      <c r="F788" s="26"/>
      <c r="G788" s="31" t="str">
        <f aca="false">IF(F788="","",IFERROR(INDEX(請求台帳!$C$5:$C$504,MATCH(F788,請求台帳!$A$5:$A$504,0)),""))</f>
        <v/>
      </c>
      <c r="H788" s="31" t="str">
        <f aca="false">IF(F788="","",IFERROR(INDEX(請求台帳!$D$5:$D$504,MATCH(F788,請求台帳!$A$5:$A$504,0)),""))</f>
        <v/>
      </c>
      <c r="I788" s="27" t="str">
        <f aca="false">IF(F788="","",IFERROR(INDEX(請求台帳!$F$5:$F$504,MATCH(F788,請求台帳!$A$5:$A$504,0)),""))</f>
        <v/>
      </c>
      <c r="J788" s="28" t="str">
        <f aca="false">IF(COUNTA(B788,D788,E788,F788)=0,"",IF(OR(B788="",E788=""),"要入力",IF(N(B788)&gt;設定!$C$5,"日付誤り",IF(F788="","未消込",IF(ISNA(MATCH(F788,請求台帳!$A$5:$A$504,0)),"番号誤り",IF(INDEX(請求台帳!$Q$5:$Q$504,MATCH(F788,請求台帳!$A$5:$A$504,0))="取消","取消請求へ消込","消込済"))))))</f>
        <v/>
      </c>
      <c r="K788" s="26"/>
      <c r="L788" s="26"/>
    </row>
    <row r="789" customFormat="false" ht="15" hidden="false" customHeight="false" outlineLevel="0" collapsed="false">
      <c r="A789" s="31" t="str">
        <f aca="false">IF(COUNTA(B789,D789,E789,F789)=0,"",ROW()-4)</f>
        <v/>
      </c>
      <c r="B789" s="22"/>
      <c r="C789" s="26"/>
      <c r="D789" s="26"/>
      <c r="E789" s="18"/>
      <c r="F789" s="26"/>
      <c r="G789" s="31" t="str">
        <f aca="false">IF(F789="","",IFERROR(INDEX(請求台帳!$C$5:$C$504,MATCH(F789,請求台帳!$A$5:$A$504,0)),""))</f>
        <v/>
      </c>
      <c r="H789" s="31" t="str">
        <f aca="false">IF(F789="","",IFERROR(INDEX(請求台帳!$D$5:$D$504,MATCH(F789,請求台帳!$A$5:$A$504,0)),""))</f>
        <v/>
      </c>
      <c r="I789" s="27" t="str">
        <f aca="false">IF(F789="","",IFERROR(INDEX(請求台帳!$F$5:$F$504,MATCH(F789,請求台帳!$A$5:$A$504,0)),""))</f>
        <v/>
      </c>
      <c r="J789" s="28" t="str">
        <f aca="false">IF(COUNTA(B789,D789,E789,F789)=0,"",IF(OR(B789="",E789=""),"要入力",IF(N(B789)&gt;設定!$C$5,"日付誤り",IF(F789="","未消込",IF(ISNA(MATCH(F789,請求台帳!$A$5:$A$504,0)),"番号誤り",IF(INDEX(請求台帳!$Q$5:$Q$504,MATCH(F789,請求台帳!$A$5:$A$504,0))="取消","取消請求へ消込","消込済"))))))</f>
        <v/>
      </c>
      <c r="K789" s="26"/>
      <c r="L789" s="26"/>
    </row>
    <row r="790" customFormat="false" ht="15" hidden="false" customHeight="false" outlineLevel="0" collapsed="false">
      <c r="A790" s="31" t="str">
        <f aca="false">IF(COUNTA(B790,D790,E790,F790)=0,"",ROW()-4)</f>
        <v/>
      </c>
      <c r="B790" s="22"/>
      <c r="C790" s="26"/>
      <c r="D790" s="26"/>
      <c r="E790" s="18"/>
      <c r="F790" s="26"/>
      <c r="G790" s="31" t="str">
        <f aca="false">IF(F790="","",IFERROR(INDEX(請求台帳!$C$5:$C$504,MATCH(F790,請求台帳!$A$5:$A$504,0)),""))</f>
        <v/>
      </c>
      <c r="H790" s="31" t="str">
        <f aca="false">IF(F790="","",IFERROR(INDEX(請求台帳!$D$5:$D$504,MATCH(F790,請求台帳!$A$5:$A$504,0)),""))</f>
        <v/>
      </c>
      <c r="I790" s="27" t="str">
        <f aca="false">IF(F790="","",IFERROR(INDEX(請求台帳!$F$5:$F$504,MATCH(F790,請求台帳!$A$5:$A$504,0)),""))</f>
        <v/>
      </c>
      <c r="J790" s="28" t="str">
        <f aca="false">IF(COUNTA(B790,D790,E790,F790)=0,"",IF(OR(B790="",E790=""),"要入力",IF(N(B790)&gt;設定!$C$5,"日付誤り",IF(F790="","未消込",IF(ISNA(MATCH(F790,請求台帳!$A$5:$A$504,0)),"番号誤り",IF(INDEX(請求台帳!$Q$5:$Q$504,MATCH(F790,請求台帳!$A$5:$A$504,0))="取消","取消請求へ消込","消込済"))))))</f>
        <v/>
      </c>
      <c r="K790" s="26"/>
      <c r="L790" s="26"/>
    </row>
    <row r="791" customFormat="false" ht="15" hidden="false" customHeight="false" outlineLevel="0" collapsed="false">
      <c r="A791" s="31" t="str">
        <f aca="false">IF(COUNTA(B791,D791,E791,F791)=0,"",ROW()-4)</f>
        <v/>
      </c>
      <c r="B791" s="22"/>
      <c r="C791" s="26"/>
      <c r="D791" s="26"/>
      <c r="E791" s="18"/>
      <c r="F791" s="26"/>
      <c r="G791" s="31" t="str">
        <f aca="false">IF(F791="","",IFERROR(INDEX(請求台帳!$C$5:$C$504,MATCH(F791,請求台帳!$A$5:$A$504,0)),""))</f>
        <v/>
      </c>
      <c r="H791" s="31" t="str">
        <f aca="false">IF(F791="","",IFERROR(INDEX(請求台帳!$D$5:$D$504,MATCH(F791,請求台帳!$A$5:$A$504,0)),""))</f>
        <v/>
      </c>
      <c r="I791" s="27" t="str">
        <f aca="false">IF(F791="","",IFERROR(INDEX(請求台帳!$F$5:$F$504,MATCH(F791,請求台帳!$A$5:$A$504,0)),""))</f>
        <v/>
      </c>
      <c r="J791" s="28" t="str">
        <f aca="false">IF(COUNTA(B791,D791,E791,F791)=0,"",IF(OR(B791="",E791=""),"要入力",IF(N(B791)&gt;設定!$C$5,"日付誤り",IF(F791="","未消込",IF(ISNA(MATCH(F791,請求台帳!$A$5:$A$504,0)),"番号誤り",IF(INDEX(請求台帳!$Q$5:$Q$504,MATCH(F791,請求台帳!$A$5:$A$504,0))="取消","取消請求へ消込","消込済"))))))</f>
        <v/>
      </c>
      <c r="K791" s="26"/>
      <c r="L791" s="26"/>
    </row>
    <row r="792" customFormat="false" ht="15" hidden="false" customHeight="false" outlineLevel="0" collapsed="false">
      <c r="A792" s="31" t="str">
        <f aca="false">IF(COUNTA(B792,D792,E792,F792)=0,"",ROW()-4)</f>
        <v/>
      </c>
      <c r="B792" s="22"/>
      <c r="C792" s="26"/>
      <c r="D792" s="26"/>
      <c r="E792" s="18"/>
      <c r="F792" s="26"/>
      <c r="G792" s="31" t="str">
        <f aca="false">IF(F792="","",IFERROR(INDEX(請求台帳!$C$5:$C$504,MATCH(F792,請求台帳!$A$5:$A$504,0)),""))</f>
        <v/>
      </c>
      <c r="H792" s="31" t="str">
        <f aca="false">IF(F792="","",IFERROR(INDEX(請求台帳!$D$5:$D$504,MATCH(F792,請求台帳!$A$5:$A$504,0)),""))</f>
        <v/>
      </c>
      <c r="I792" s="27" t="str">
        <f aca="false">IF(F792="","",IFERROR(INDEX(請求台帳!$F$5:$F$504,MATCH(F792,請求台帳!$A$5:$A$504,0)),""))</f>
        <v/>
      </c>
      <c r="J792" s="28" t="str">
        <f aca="false">IF(COUNTA(B792,D792,E792,F792)=0,"",IF(OR(B792="",E792=""),"要入力",IF(N(B792)&gt;設定!$C$5,"日付誤り",IF(F792="","未消込",IF(ISNA(MATCH(F792,請求台帳!$A$5:$A$504,0)),"番号誤り",IF(INDEX(請求台帳!$Q$5:$Q$504,MATCH(F792,請求台帳!$A$5:$A$504,0))="取消","取消請求へ消込","消込済"))))))</f>
        <v/>
      </c>
      <c r="K792" s="26"/>
      <c r="L792" s="26"/>
    </row>
    <row r="793" customFormat="false" ht="15" hidden="false" customHeight="false" outlineLevel="0" collapsed="false">
      <c r="A793" s="31" t="str">
        <f aca="false">IF(COUNTA(B793,D793,E793,F793)=0,"",ROW()-4)</f>
        <v/>
      </c>
      <c r="B793" s="22"/>
      <c r="C793" s="26"/>
      <c r="D793" s="26"/>
      <c r="E793" s="18"/>
      <c r="F793" s="26"/>
      <c r="G793" s="31" t="str">
        <f aca="false">IF(F793="","",IFERROR(INDEX(請求台帳!$C$5:$C$504,MATCH(F793,請求台帳!$A$5:$A$504,0)),""))</f>
        <v/>
      </c>
      <c r="H793" s="31" t="str">
        <f aca="false">IF(F793="","",IFERROR(INDEX(請求台帳!$D$5:$D$504,MATCH(F793,請求台帳!$A$5:$A$504,0)),""))</f>
        <v/>
      </c>
      <c r="I793" s="27" t="str">
        <f aca="false">IF(F793="","",IFERROR(INDEX(請求台帳!$F$5:$F$504,MATCH(F793,請求台帳!$A$5:$A$504,0)),""))</f>
        <v/>
      </c>
      <c r="J793" s="28" t="str">
        <f aca="false">IF(COUNTA(B793,D793,E793,F793)=0,"",IF(OR(B793="",E793=""),"要入力",IF(N(B793)&gt;設定!$C$5,"日付誤り",IF(F793="","未消込",IF(ISNA(MATCH(F793,請求台帳!$A$5:$A$504,0)),"番号誤り",IF(INDEX(請求台帳!$Q$5:$Q$504,MATCH(F793,請求台帳!$A$5:$A$504,0))="取消","取消請求へ消込","消込済"))))))</f>
        <v/>
      </c>
      <c r="K793" s="26"/>
      <c r="L793" s="26"/>
    </row>
    <row r="794" customFormat="false" ht="15" hidden="false" customHeight="false" outlineLevel="0" collapsed="false">
      <c r="A794" s="31" t="str">
        <f aca="false">IF(COUNTA(B794,D794,E794,F794)=0,"",ROW()-4)</f>
        <v/>
      </c>
      <c r="B794" s="22"/>
      <c r="C794" s="26"/>
      <c r="D794" s="26"/>
      <c r="E794" s="18"/>
      <c r="F794" s="26"/>
      <c r="G794" s="31" t="str">
        <f aca="false">IF(F794="","",IFERROR(INDEX(請求台帳!$C$5:$C$504,MATCH(F794,請求台帳!$A$5:$A$504,0)),""))</f>
        <v/>
      </c>
      <c r="H794" s="31" t="str">
        <f aca="false">IF(F794="","",IFERROR(INDEX(請求台帳!$D$5:$D$504,MATCH(F794,請求台帳!$A$5:$A$504,0)),""))</f>
        <v/>
      </c>
      <c r="I794" s="27" t="str">
        <f aca="false">IF(F794="","",IFERROR(INDEX(請求台帳!$F$5:$F$504,MATCH(F794,請求台帳!$A$5:$A$504,0)),""))</f>
        <v/>
      </c>
      <c r="J794" s="28" t="str">
        <f aca="false">IF(COUNTA(B794,D794,E794,F794)=0,"",IF(OR(B794="",E794=""),"要入力",IF(N(B794)&gt;設定!$C$5,"日付誤り",IF(F794="","未消込",IF(ISNA(MATCH(F794,請求台帳!$A$5:$A$504,0)),"番号誤り",IF(INDEX(請求台帳!$Q$5:$Q$504,MATCH(F794,請求台帳!$A$5:$A$504,0))="取消","取消請求へ消込","消込済"))))))</f>
        <v/>
      </c>
      <c r="K794" s="26"/>
      <c r="L794" s="26"/>
    </row>
    <row r="795" customFormat="false" ht="15" hidden="false" customHeight="false" outlineLevel="0" collapsed="false">
      <c r="A795" s="31" t="str">
        <f aca="false">IF(COUNTA(B795,D795,E795,F795)=0,"",ROW()-4)</f>
        <v/>
      </c>
      <c r="B795" s="22"/>
      <c r="C795" s="26"/>
      <c r="D795" s="26"/>
      <c r="E795" s="18"/>
      <c r="F795" s="26"/>
      <c r="G795" s="31" t="str">
        <f aca="false">IF(F795="","",IFERROR(INDEX(請求台帳!$C$5:$C$504,MATCH(F795,請求台帳!$A$5:$A$504,0)),""))</f>
        <v/>
      </c>
      <c r="H795" s="31" t="str">
        <f aca="false">IF(F795="","",IFERROR(INDEX(請求台帳!$D$5:$D$504,MATCH(F795,請求台帳!$A$5:$A$504,0)),""))</f>
        <v/>
      </c>
      <c r="I795" s="27" t="str">
        <f aca="false">IF(F795="","",IFERROR(INDEX(請求台帳!$F$5:$F$504,MATCH(F795,請求台帳!$A$5:$A$504,0)),""))</f>
        <v/>
      </c>
      <c r="J795" s="28" t="str">
        <f aca="false">IF(COUNTA(B795,D795,E795,F795)=0,"",IF(OR(B795="",E795=""),"要入力",IF(N(B795)&gt;設定!$C$5,"日付誤り",IF(F795="","未消込",IF(ISNA(MATCH(F795,請求台帳!$A$5:$A$504,0)),"番号誤り",IF(INDEX(請求台帳!$Q$5:$Q$504,MATCH(F795,請求台帳!$A$5:$A$504,0))="取消","取消請求へ消込","消込済"))))))</f>
        <v/>
      </c>
      <c r="K795" s="26"/>
      <c r="L795" s="26"/>
    </row>
    <row r="796" customFormat="false" ht="15" hidden="false" customHeight="false" outlineLevel="0" collapsed="false">
      <c r="A796" s="31" t="str">
        <f aca="false">IF(COUNTA(B796,D796,E796,F796)=0,"",ROW()-4)</f>
        <v/>
      </c>
      <c r="B796" s="22"/>
      <c r="C796" s="26"/>
      <c r="D796" s="26"/>
      <c r="E796" s="18"/>
      <c r="F796" s="26"/>
      <c r="G796" s="31" t="str">
        <f aca="false">IF(F796="","",IFERROR(INDEX(請求台帳!$C$5:$C$504,MATCH(F796,請求台帳!$A$5:$A$504,0)),""))</f>
        <v/>
      </c>
      <c r="H796" s="31" t="str">
        <f aca="false">IF(F796="","",IFERROR(INDEX(請求台帳!$D$5:$D$504,MATCH(F796,請求台帳!$A$5:$A$504,0)),""))</f>
        <v/>
      </c>
      <c r="I796" s="27" t="str">
        <f aca="false">IF(F796="","",IFERROR(INDEX(請求台帳!$F$5:$F$504,MATCH(F796,請求台帳!$A$5:$A$504,0)),""))</f>
        <v/>
      </c>
      <c r="J796" s="28" t="str">
        <f aca="false">IF(COUNTA(B796,D796,E796,F796)=0,"",IF(OR(B796="",E796=""),"要入力",IF(N(B796)&gt;設定!$C$5,"日付誤り",IF(F796="","未消込",IF(ISNA(MATCH(F796,請求台帳!$A$5:$A$504,0)),"番号誤り",IF(INDEX(請求台帳!$Q$5:$Q$504,MATCH(F796,請求台帳!$A$5:$A$504,0))="取消","取消請求へ消込","消込済"))))))</f>
        <v/>
      </c>
      <c r="K796" s="26"/>
      <c r="L796" s="26"/>
    </row>
    <row r="797" customFormat="false" ht="15" hidden="false" customHeight="false" outlineLevel="0" collapsed="false">
      <c r="A797" s="31" t="str">
        <f aca="false">IF(COUNTA(B797,D797,E797,F797)=0,"",ROW()-4)</f>
        <v/>
      </c>
      <c r="B797" s="22"/>
      <c r="C797" s="26"/>
      <c r="D797" s="26"/>
      <c r="E797" s="18"/>
      <c r="F797" s="26"/>
      <c r="G797" s="31" t="str">
        <f aca="false">IF(F797="","",IFERROR(INDEX(請求台帳!$C$5:$C$504,MATCH(F797,請求台帳!$A$5:$A$504,0)),""))</f>
        <v/>
      </c>
      <c r="H797" s="31" t="str">
        <f aca="false">IF(F797="","",IFERROR(INDEX(請求台帳!$D$5:$D$504,MATCH(F797,請求台帳!$A$5:$A$504,0)),""))</f>
        <v/>
      </c>
      <c r="I797" s="27" t="str">
        <f aca="false">IF(F797="","",IFERROR(INDEX(請求台帳!$F$5:$F$504,MATCH(F797,請求台帳!$A$5:$A$504,0)),""))</f>
        <v/>
      </c>
      <c r="J797" s="28" t="str">
        <f aca="false">IF(COUNTA(B797,D797,E797,F797)=0,"",IF(OR(B797="",E797=""),"要入力",IF(N(B797)&gt;設定!$C$5,"日付誤り",IF(F797="","未消込",IF(ISNA(MATCH(F797,請求台帳!$A$5:$A$504,0)),"番号誤り",IF(INDEX(請求台帳!$Q$5:$Q$504,MATCH(F797,請求台帳!$A$5:$A$504,0))="取消","取消請求へ消込","消込済"))))))</f>
        <v/>
      </c>
      <c r="K797" s="26"/>
      <c r="L797" s="26"/>
    </row>
    <row r="798" customFormat="false" ht="15" hidden="false" customHeight="false" outlineLevel="0" collapsed="false">
      <c r="A798" s="31" t="str">
        <f aca="false">IF(COUNTA(B798,D798,E798,F798)=0,"",ROW()-4)</f>
        <v/>
      </c>
      <c r="B798" s="22"/>
      <c r="C798" s="26"/>
      <c r="D798" s="26"/>
      <c r="E798" s="18"/>
      <c r="F798" s="26"/>
      <c r="G798" s="31" t="str">
        <f aca="false">IF(F798="","",IFERROR(INDEX(請求台帳!$C$5:$C$504,MATCH(F798,請求台帳!$A$5:$A$504,0)),""))</f>
        <v/>
      </c>
      <c r="H798" s="31" t="str">
        <f aca="false">IF(F798="","",IFERROR(INDEX(請求台帳!$D$5:$D$504,MATCH(F798,請求台帳!$A$5:$A$504,0)),""))</f>
        <v/>
      </c>
      <c r="I798" s="27" t="str">
        <f aca="false">IF(F798="","",IFERROR(INDEX(請求台帳!$F$5:$F$504,MATCH(F798,請求台帳!$A$5:$A$504,0)),""))</f>
        <v/>
      </c>
      <c r="J798" s="28" t="str">
        <f aca="false">IF(COUNTA(B798,D798,E798,F798)=0,"",IF(OR(B798="",E798=""),"要入力",IF(N(B798)&gt;設定!$C$5,"日付誤り",IF(F798="","未消込",IF(ISNA(MATCH(F798,請求台帳!$A$5:$A$504,0)),"番号誤り",IF(INDEX(請求台帳!$Q$5:$Q$504,MATCH(F798,請求台帳!$A$5:$A$504,0))="取消","取消請求へ消込","消込済"))))))</f>
        <v/>
      </c>
      <c r="K798" s="26"/>
      <c r="L798" s="26"/>
    </row>
    <row r="799" customFormat="false" ht="15" hidden="false" customHeight="false" outlineLevel="0" collapsed="false">
      <c r="A799" s="31" t="str">
        <f aca="false">IF(COUNTA(B799,D799,E799,F799)=0,"",ROW()-4)</f>
        <v/>
      </c>
      <c r="B799" s="22"/>
      <c r="C799" s="26"/>
      <c r="D799" s="26"/>
      <c r="E799" s="18"/>
      <c r="F799" s="26"/>
      <c r="G799" s="31" t="str">
        <f aca="false">IF(F799="","",IFERROR(INDEX(請求台帳!$C$5:$C$504,MATCH(F799,請求台帳!$A$5:$A$504,0)),""))</f>
        <v/>
      </c>
      <c r="H799" s="31" t="str">
        <f aca="false">IF(F799="","",IFERROR(INDEX(請求台帳!$D$5:$D$504,MATCH(F799,請求台帳!$A$5:$A$504,0)),""))</f>
        <v/>
      </c>
      <c r="I799" s="27" t="str">
        <f aca="false">IF(F799="","",IFERROR(INDEX(請求台帳!$F$5:$F$504,MATCH(F799,請求台帳!$A$5:$A$504,0)),""))</f>
        <v/>
      </c>
      <c r="J799" s="28" t="str">
        <f aca="false">IF(COUNTA(B799,D799,E799,F799)=0,"",IF(OR(B799="",E799=""),"要入力",IF(N(B799)&gt;設定!$C$5,"日付誤り",IF(F799="","未消込",IF(ISNA(MATCH(F799,請求台帳!$A$5:$A$504,0)),"番号誤り",IF(INDEX(請求台帳!$Q$5:$Q$504,MATCH(F799,請求台帳!$A$5:$A$504,0))="取消","取消請求へ消込","消込済"))))))</f>
        <v/>
      </c>
      <c r="K799" s="26"/>
      <c r="L799" s="26"/>
    </row>
    <row r="800" customFormat="false" ht="15" hidden="false" customHeight="false" outlineLevel="0" collapsed="false">
      <c r="A800" s="31" t="str">
        <f aca="false">IF(COUNTA(B800,D800,E800,F800)=0,"",ROW()-4)</f>
        <v/>
      </c>
      <c r="B800" s="22"/>
      <c r="C800" s="26"/>
      <c r="D800" s="26"/>
      <c r="E800" s="18"/>
      <c r="F800" s="26"/>
      <c r="G800" s="31" t="str">
        <f aca="false">IF(F800="","",IFERROR(INDEX(請求台帳!$C$5:$C$504,MATCH(F800,請求台帳!$A$5:$A$504,0)),""))</f>
        <v/>
      </c>
      <c r="H800" s="31" t="str">
        <f aca="false">IF(F800="","",IFERROR(INDEX(請求台帳!$D$5:$D$504,MATCH(F800,請求台帳!$A$5:$A$504,0)),""))</f>
        <v/>
      </c>
      <c r="I800" s="27" t="str">
        <f aca="false">IF(F800="","",IFERROR(INDEX(請求台帳!$F$5:$F$504,MATCH(F800,請求台帳!$A$5:$A$504,0)),""))</f>
        <v/>
      </c>
      <c r="J800" s="28" t="str">
        <f aca="false">IF(COUNTA(B800,D800,E800,F800)=0,"",IF(OR(B800="",E800=""),"要入力",IF(N(B800)&gt;設定!$C$5,"日付誤り",IF(F800="","未消込",IF(ISNA(MATCH(F800,請求台帳!$A$5:$A$504,0)),"番号誤り",IF(INDEX(請求台帳!$Q$5:$Q$504,MATCH(F800,請求台帳!$A$5:$A$504,0))="取消","取消請求へ消込","消込済"))))))</f>
        <v/>
      </c>
      <c r="K800" s="26"/>
      <c r="L800" s="26"/>
    </row>
    <row r="801" customFormat="false" ht="15" hidden="false" customHeight="false" outlineLevel="0" collapsed="false">
      <c r="A801" s="31" t="str">
        <f aca="false">IF(COUNTA(B801,D801,E801,F801)=0,"",ROW()-4)</f>
        <v/>
      </c>
      <c r="B801" s="22"/>
      <c r="C801" s="26"/>
      <c r="D801" s="26"/>
      <c r="E801" s="18"/>
      <c r="F801" s="26"/>
      <c r="G801" s="31" t="str">
        <f aca="false">IF(F801="","",IFERROR(INDEX(請求台帳!$C$5:$C$504,MATCH(F801,請求台帳!$A$5:$A$504,0)),""))</f>
        <v/>
      </c>
      <c r="H801" s="31" t="str">
        <f aca="false">IF(F801="","",IFERROR(INDEX(請求台帳!$D$5:$D$504,MATCH(F801,請求台帳!$A$5:$A$504,0)),""))</f>
        <v/>
      </c>
      <c r="I801" s="27" t="str">
        <f aca="false">IF(F801="","",IFERROR(INDEX(請求台帳!$F$5:$F$504,MATCH(F801,請求台帳!$A$5:$A$504,0)),""))</f>
        <v/>
      </c>
      <c r="J801" s="28" t="str">
        <f aca="false">IF(COUNTA(B801,D801,E801,F801)=0,"",IF(OR(B801="",E801=""),"要入力",IF(N(B801)&gt;設定!$C$5,"日付誤り",IF(F801="","未消込",IF(ISNA(MATCH(F801,請求台帳!$A$5:$A$504,0)),"番号誤り",IF(INDEX(請求台帳!$Q$5:$Q$504,MATCH(F801,請求台帳!$A$5:$A$504,0))="取消","取消請求へ消込","消込済"))))))</f>
        <v/>
      </c>
      <c r="K801" s="26"/>
      <c r="L801" s="26"/>
    </row>
    <row r="802" customFormat="false" ht="15" hidden="false" customHeight="false" outlineLevel="0" collapsed="false">
      <c r="A802" s="31" t="str">
        <f aca="false">IF(COUNTA(B802,D802,E802,F802)=0,"",ROW()-4)</f>
        <v/>
      </c>
      <c r="B802" s="22"/>
      <c r="C802" s="26"/>
      <c r="D802" s="26"/>
      <c r="E802" s="18"/>
      <c r="F802" s="26"/>
      <c r="G802" s="31" t="str">
        <f aca="false">IF(F802="","",IFERROR(INDEX(請求台帳!$C$5:$C$504,MATCH(F802,請求台帳!$A$5:$A$504,0)),""))</f>
        <v/>
      </c>
      <c r="H802" s="31" t="str">
        <f aca="false">IF(F802="","",IFERROR(INDEX(請求台帳!$D$5:$D$504,MATCH(F802,請求台帳!$A$5:$A$504,0)),""))</f>
        <v/>
      </c>
      <c r="I802" s="27" t="str">
        <f aca="false">IF(F802="","",IFERROR(INDEX(請求台帳!$F$5:$F$504,MATCH(F802,請求台帳!$A$5:$A$504,0)),""))</f>
        <v/>
      </c>
      <c r="J802" s="28" t="str">
        <f aca="false">IF(COUNTA(B802,D802,E802,F802)=0,"",IF(OR(B802="",E802=""),"要入力",IF(N(B802)&gt;設定!$C$5,"日付誤り",IF(F802="","未消込",IF(ISNA(MATCH(F802,請求台帳!$A$5:$A$504,0)),"番号誤り",IF(INDEX(請求台帳!$Q$5:$Q$504,MATCH(F802,請求台帳!$A$5:$A$504,0))="取消","取消請求へ消込","消込済"))))))</f>
        <v/>
      </c>
      <c r="K802" s="26"/>
      <c r="L802" s="26"/>
    </row>
    <row r="803" customFormat="false" ht="15" hidden="false" customHeight="false" outlineLevel="0" collapsed="false">
      <c r="A803" s="31" t="str">
        <f aca="false">IF(COUNTA(B803,D803,E803,F803)=0,"",ROW()-4)</f>
        <v/>
      </c>
      <c r="B803" s="22"/>
      <c r="C803" s="26"/>
      <c r="D803" s="26"/>
      <c r="E803" s="18"/>
      <c r="F803" s="26"/>
      <c r="G803" s="31" t="str">
        <f aca="false">IF(F803="","",IFERROR(INDEX(請求台帳!$C$5:$C$504,MATCH(F803,請求台帳!$A$5:$A$504,0)),""))</f>
        <v/>
      </c>
      <c r="H803" s="31" t="str">
        <f aca="false">IF(F803="","",IFERROR(INDEX(請求台帳!$D$5:$D$504,MATCH(F803,請求台帳!$A$5:$A$504,0)),""))</f>
        <v/>
      </c>
      <c r="I803" s="27" t="str">
        <f aca="false">IF(F803="","",IFERROR(INDEX(請求台帳!$F$5:$F$504,MATCH(F803,請求台帳!$A$5:$A$504,0)),""))</f>
        <v/>
      </c>
      <c r="J803" s="28" t="str">
        <f aca="false">IF(COUNTA(B803,D803,E803,F803)=0,"",IF(OR(B803="",E803=""),"要入力",IF(N(B803)&gt;設定!$C$5,"日付誤り",IF(F803="","未消込",IF(ISNA(MATCH(F803,請求台帳!$A$5:$A$504,0)),"番号誤り",IF(INDEX(請求台帳!$Q$5:$Q$504,MATCH(F803,請求台帳!$A$5:$A$504,0))="取消","取消請求へ消込","消込済"))))))</f>
        <v/>
      </c>
      <c r="K803" s="26"/>
      <c r="L803" s="26"/>
    </row>
    <row r="804" customFormat="false" ht="15" hidden="false" customHeight="false" outlineLevel="0" collapsed="false">
      <c r="A804" s="31" t="str">
        <f aca="false">IF(COUNTA(B804,D804,E804,F804)=0,"",ROW()-4)</f>
        <v/>
      </c>
      <c r="B804" s="22"/>
      <c r="C804" s="26"/>
      <c r="D804" s="26"/>
      <c r="E804" s="18"/>
      <c r="F804" s="26"/>
      <c r="G804" s="31" t="str">
        <f aca="false">IF(F804="","",IFERROR(INDEX(請求台帳!$C$5:$C$504,MATCH(F804,請求台帳!$A$5:$A$504,0)),""))</f>
        <v/>
      </c>
      <c r="H804" s="31" t="str">
        <f aca="false">IF(F804="","",IFERROR(INDEX(請求台帳!$D$5:$D$504,MATCH(F804,請求台帳!$A$5:$A$504,0)),""))</f>
        <v/>
      </c>
      <c r="I804" s="27" t="str">
        <f aca="false">IF(F804="","",IFERROR(INDEX(請求台帳!$F$5:$F$504,MATCH(F804,請求台帳!$A$5:$A$504,0)),""))</f>
        <v/>
      </c>
      <c r="J804" s="28" t="str">
        <f aca="false">IF(COUNTA(B804,D804,E804,F804)=0,"",IF(OR(B804="",E804=""),"要入力",IF(N(B804)&gt;設定!$C$5,"日付誤り",IF(F804="","未消込",IF(ISNA(MATCH(F804,請求台帳!$A$5:$A$504,0)),"番号誤り",IF(INDEX(請求台帳!$Q$5:$Q$504,MATCH(F804,請求台帳!$A$5:$A$504,0))="取消","取消請求へ消込","消込済"))))))</f>
        <v/>
      </c>
      <c r="K804" s="26"/>
      <c r="L804" s="26"/>
    </row>
    <row r="805" customFormat="false" ht="15" hidden="false" customHeight="false" outlineLevel="0" collapsed="false">
      <c r="A805" s="31" t="str">
        <f aca="false">IF(COUNTA(B805,D805,E805,F805)=0,"",ROW()-4)</f>
        <v/>
      </c>
      <c r="B805" s="22"/>
      <c r="C805" s="26"/>
      <c r="D805" s="26"/>
      <c r="E805" s="18"/>
      <c r="F805" s="26"/>
      <c r="G805" s="31" t="str">
        <f aca="false">IF(F805="","",IFERROR(INDEX(請求台帳!$C$5:$C$504,MATCH(F805,請求台帳!$A$5:$A$504,0)),""))</f>
        <v/>
      </c>
      <c r="H805" s="31" t="str">
        <f aca="false">IF(F805="","",IFERROR(INDEX(請求台帳!$D$5:$D$504,MATCH(F805,請求台帳!$A$5:$A$504,0)),""))</f>
        <v/>
      </c>
      <c r="I805" s="27" t="str">
        <f aca="false">IF(F805="","",IFERROR(INDEX(請求台帳!$F$5:$F$504,MATCH(F805,請求台帳!$A$5:$A$504,0)),""))</f>
        <v/>
      </c>
      <c r="J805" s="28" t="str">
        <f aca="false">IF(COUNTA(B805,D805,E805,F805)=0,"",IF(OR(B805="",E805=""),"要入力",IF(N(B805)&gt;設定!$C$5,"日付誤り",IF(F805="","未消込",IF(ISNA(MATCH(F805,請求台帳!$A$5:$A$504,0)),"番号誤り",IF(INDEX(請求台帳!$Q$5:$Q$504,MATCH(F805,請求台帳!$A$5:$A$504,0))="取消","取消請求へ消込","消込済"))))))</f>
        <v/>
      </c>
      <c r="K805" s="26"/>
      <c r="L805" s="26"/>
    </row>
    <row r="806" customFormat="false" ht="15" hidden="false" customHeight="false" outlineLevel="0" collapsed="false">
      <c r="A806" s="31" t="str">
        <f aca="false">IF(COUNTA(B806,D806,E806,F806)=0,"",ROW()-4)</f>
        <v/>
      </c>
      <c r="B806" s="22"/>
      <c r="C806" s="26"/>
      <c r="D806" s="26"/>
      <c r="E806" s="18"/>
      <c r="F806" s="26"/>
      <c r="G806" s="31" t="str">
        <f aca="false">IF(F806="","",IFERROR(INDEX(請求台帳!$C$5:$C$504,MATCH(F806,請求台帳!$A$5:$A$504,0)),""))</f>
        <v/>
      </c>
      <c r="H806" s="31" t="str">
        <f aca="false">IF(F806="","",IFERROR(INDEX(請求台帳!$D$5:$D$504,MATCH(F806,請求台帳!$A$5:$A$504,0)),""))</f>
        <v/>
      </c>
      <c r="I806" s="27" t="str">
        <f aca="false">IF(F806="","",IFERROR(INDEX(請求台帳!$F$5:$F$504,MATCH(F806,請求台帳!$A$5:$A$504,0)),""))</f>
        <v/>
      </c>
      <c r="J806" s="28" t="str">
        <f aca="false">IF(COUNTA(B806,D806,E806,F806)=0,"",IF(OR(B806="",E806=""),"要入力",IF(N(B806)&gt;設定!$C$5,"日付誤り",IF(F806="","未消込",IF(ISNA(MATCH(F806,請求台帳!$A$5:$A$504,0)),"番号誤り",IF(INDEX(請求台帳!$Q$5:$Q$504,MATCH(F806,請求台帳!$A$5:$A$504,0))="取消","取消請求へ消込","消込済"))))))</f>
        <v/>
      </c>
      <c r="K806" s="26"/>
      <c r="L806" s="26"/>
    </row>
    <row r="807" customFormat="false" ht="15" hidden="false" customHeight="false" outlineLevel="0" collapsed="false">
      <c r="A807" s="31" t="str">
        <f aca="false">IF(COUNTA(B807,D807,E807,F807)=0,"",ROW()-4)</f>
        <v/>
      </c>
      <c r="B807" s="22"/>
      <c r="C807" s="26"/>
      <c r="D807" s="26"/>
      <c r="E807" s="18"/>
      <c r="F807" s="26"/>
      <c r="G807" s="31" t="str">
        <f aca="false">IF(F807="","",IFERROR(INDEX(請求台帳!$C$5:$C$504,MATCH(F807,請求台帳!$A$5:$A$504,0)),""))</f>
        <v/>
      </c>
      <c r="H807" s="31" t="str">
        <f aca="false">IF(F807="","",IFERROR(INDEX(請求台帳!$D$5:$D$504,MATCH(F807,請求台帳!$A$5:$A$504,0)),""))</f>
        <v/>
      </c>
      <c r="I807" s="27" t="str">
        <f aca="false">IF(F807="","",IFERROR(INDEX(請求台帳!$F$5:$F$504,MATCH(F807,請求台帳!$A$5:$A$504,0)),""))</f>
        <v/>
      </c>
      <c r="J807" s="28" t="str">
        <f aca="false">IF(COUNTA(B807,D807,E807,F807)=0,"",IF(OR(B807="",E807=""),"要入力",IF(N(B807)&gt;設定!$C$5,"日付誤り",IF(F807="","未消込",IF(ISNA(MATCH(F807,請求台帳!$A$5:$A$504,0)),"番号誤り",IF(INDEX(請求台帳!$Q$5:$Q$504,MATCH(F807,請求台帳!$A$5:$A$504,0))="取消","取消請求へ消込","消込済"))))))</f>
        <v/>
      </c>
      <c r="K807" s="26"/>
      <c r="L807" s="26"/>
    </row>
    <row r="808" customFormat="false" ht="15" hidden="false" customHeight="false" outlineLevel="0" collapsed="false">
      <c r="A808" s="31" t="str">
        <f aca="false">IF(COUNTA(B808,D808,E808,F808)=0,"",ROW()-4)</f>
        <v/>
      </c>
      <c r="B808" s="22"/>
      <c r="C808" s="26"/>
      <c r="D808" s="26"/>
      <c r="E808" s="18"/>
      <c r="F808" s="26"/>
      <c r="G808" s="31" t="str">
        <f aca="false">IF(F808="","",IFERROR(INDEX(請求台帳!$C$5:$C$504,MATCH(F808,請求台帳!$A$5:$A$504,0)),""))</f>
        <v/>
      </c>
      <c r="H808" s="31" t="str">
        <f aca="false">IF(F808="","",IFERROR(INDEX(請求台帳!$D$5:$D$504,MATCH(F808,請求台帳!$A$5:$A$504,0)),""))</f>
        <v/>
      </c>
      <c r="I808" s="27" t="str">
        <f aca="false">IF(F808="","",IFERROR(INDEX(請求台帳!$F$5:$F$504,MATCH(F808,請求台帳!$A$5:$A$504,0)),""))</f>
        <v/>
      </c>
      <c r="J808" s="28" t="str">
        <f aca="false">IF(COUNTA(B808,D808,E808,F808)=0,"",IF(OR(B808="",E808=""),"要入力",IF(N(B808)&gt;設定!$C$5,"日付誤り",IF(F808="","未消込",IF(ISNA(MATCH(F808,請求台帳!$A$5:$A$504,0)),"番号誤り",IF(INDEX(請求台帳!$Q$5:$Q$504,MATCH(F808,請求台帳!$A$5:$A$504,0))="取消","取消請求へ消込","消込済"))))))</f>
        <v/>
      </c>
      <c r="K808" s="26"/>
      <c r="L808" s="26"/>
    </row>
    <row r="809" customFormat="false" ht="15" hidden="false" customHeight="false" outlineLevel="0" collapsed="false">
      <c r="A809" s="31" t="str">
        <f aca="false">IF(COUNTA(B809,D809,E809,F809)=0,"",ROW()-4)</f>
        <v/>
      </c>
      <c r="B809" s="22"/>
      <c r="C809" s="26"/>
      <c r="D809" s="26"/>
      <c r="E809" s="18"/>
      <c r="F809" s="26"/>
      <c r="G809" s="31" t="str">
        <f aca="false">IF(F809="","",IFERROR(INDEX(請求台帳!$C$5:$C$504,MATCH(F809,請求台帳!$A$5:$A$504,0)),""))</f>
        <v/>
      </c>
      <c r="H809" s="31" t="str">
        <f aca="false">IF(F809="","",IFERROR(INDEX(請求台帳!$D$5:$D$504,MATCH(F809,請求台帳!$A$5:$A$504,0)),""))</f>
        <v/>
      </c>
      <c r="I809" s="27" t="str">
        <f aca="false">IF(F809="","",IFERROR(INDEX(請求台帳!$F$5:$F$504,MATCH(F809,請求台帳!$A$5:$A$504,0)),""))</f>
        <v/>
      </c>
      <c r="J809" s="28" t="str">
        <f aca="false">IF(COUNTA(B809,D809,E809,F809)=0,"",IF(OR(B809="",E809=""),"要入力",IF(N(B809)&gt;設定!$C$5,"日付誤り",IF(F809="","未消込",IF(ISNA(MATCH(F809,請求台帳!$A$5:$A$504,0)),"番号誤り",IF(INDEX(請求台帳!$Q$5:$Q$504,MATCH(F809,請求台帳!$A$5:$A$504,0))="取消","取消請求へ消込","消込済"))))))</f>
        <v/>
      </c>
      <c r="K809" s="26"/>
      <c r="L809" s="26"/>
    </row>
    <row r="810" customFormat="false" ht="15" hidden="false" customHeight="false" outlineLevel="0" collapsed="false">
      <c r="A810" s="31" t="str">
        <f aca="false">IF(COUNTA(B810,D810,E810,F810)=0,"",ROW()-4)</f>
        <v/>
      </c>
      <c r="B810" s="22"/>
      <c r="C810" s="26"/>
      <c r="D810" s="26"/>
      <c r="E810" s="18"/>
      <c r="F810" s="26"/>
      <c r="G810" s="31" t="str">
        <f aca="false">IF(F810="","",IFERROR(INDEX(請求台帳!$C$5:$C$504,MATCH(F810,請求台帳!$A$5:$A$504,0)),""))</f>
        <v/>
      </c>
      <c r="H810" s="31" t="str">
        <f aca="false">IF(F810="","",IFERROR(INDEX(請求台帳!$D$5:$D$504,MATCH(F810,請求台帳!$A$5:$A$504,0)),""))</f>
        <v/>
      </c>
      <c r="I810" s="27" t="str">
        <f aca="false">IF(F810="","",IFERROR(INDEX(請求台帳!$F$5:$F$504,MATCH(F810,請求台帳!$A$5:$A$504,0)),""))</f>
        <v/>
      </c>
      <c r="J810" s="28" t="str">
        <f aca="false">IF(COUNTA(B810,D810,E810,F810)=0,"",IF(OR(B810="",E810=""),"要入力",IF(N(B810)&gt;設定!$C$5,"日付誤り",IF(F810="","未消込",IF(ISNA(MATCH(F810,請求台帳!$A$5:$A$504,0)),"番号誤り",IF(INDEX(請求台帳!$Q$5:$Q$504,MATCH(F810,請求台帳!$A$5:$A$504,0))="取消","取消請求へ消込","消込済"))))))</f>
        <v/>
      </c>
      <c r="K810" s="26"/>
      <c r="L810" s="26"/>
    </row>
    <row r="811" customFormat="false" ht="15" hidden="false" customHeight="false" outlineLevel="0" collapsed="false">
      <c r="A811" s="31" t="str">
        <f aca="false">IF(COUNTA(B811,D811,E811,F811)=0,"",ROW()-4)</f>
        <v/>
      </c>
      <c r="B811" s="22"/>
      <c r="C811" s="26"/>
      <c r="D811" s="26"/>
      <c r="E811" s="18"/>
      <c r="F811" s="26"/>
      <c r="G811" s="31" t="str">
        <f aca="false">IF(F811="","",IFERROR(INDEX(請求台帳!$C$5:$C$504,MATCH(F811,請求台帳!$A$5:$A$504,0)),""))</f>
        <v/>
      </c>
      <c r="H811" s="31" t="str">
        <f aca="false">IF(F811="","",IFERROR(INDEX(請求台帳!$D$5:$D$504,MATCH(F811,請求台帳!$A$5:$A$504,0)),""))</f>
        <v/>
      </c>
      <c r="I811" s="27" t="str">
        <f aca="false">IF(F811="","",IFERROR(INDEX(請求台帳!$F$5:$F$504,MATCH(F811,請求台帳!$A$5:$A$504,0)),""))</f>
        <v/>
      </c>
      <c r="J811" s="28" t="str">
        <f aca="false">IF(COUNTA(B811,D811,E811,F811)=0,"",IF(OR(B811="",E811=""),"要入力",IF(N(B811)&gt;設定!$C$5,"日付誤り",IF(F811="","未消込",IF(ISNA(MATCH(F811,請求台帳!$A$5:$A$504,0)),"番号誤り",IF(INDEX(請求台帳!$Q$5:$Q$504,MATCH(F811,請求台帳!$A$5:$A$504,0))="取消","取消請求へ消込","消込済"))))))</f>
        <v/>
      </c>
      <c r="K811" s="26"/>
      <c r="L811" s="26"/>
    </row>
    <row r="812" customFormat="false" ht="15" hidden="false" customHeight="false" outlineLevel="0" collapsed="false">
      <c r="A812" s="31" t="str">
        <f aca="false">IF(COUNTA(B812,D812,E812,F812)=0,"",ROW()-4)</f>
        <v/>
      </c>
      <c r="B812" s="22"/>
      <c r="C812" s="26"/>
      <c r="D812" s="26"/>
      <c r="E812" s="18"/>
      <c r="F812" s="26"/>
      <c r="G812" s="31" t="str">
        <f aca="false">IF(F812="","",IFERROR(INDEX(請求台帳!$C$5:$C$504,MATCH(F812,請求台帳!$A$5:$A$504,0)),""))</f>
        <v/>
      </c>
      <c r="H812" s="31" t="str">
        <f aca="false">IF(F812="","",IFERROR(INDEX(請求台帳!$D$5:$D$504,MATCH(F812,請求台帳!$A$5:$A$504,0)),""))</f>
        <v/>
      </c>
      <c r="I812" s="27" t="str">
        <f aca="false">IF(F812="","",IFERROR(INDEX(請求台帳!$F$5:$F$504,MATCH(F812,請求台帳!$A$5:$A$504,0)),""))</f>
        <v/>
      </c>
      <c r="J812" s="28" t="str">
        <f aca="false">IF(COUNTA(B812,D812,E812,F812)=0,"",IF(OR(B812="",E812=""),"要入力",IF(N(B812)&gt;設定!$C$5,"日付誤り",IF(F812="","未消込",IF(ISNA(MATCH(F812,請求台帳!$A$5:$A$504,0)),"番号誤り",IF(INDEX(請求台帳!$Q$5:$Q$504,MATCH(F812,請求台帳!$A$5:$A$504,0))="取消","取消請求へ消込","消込済"))))))</f>
        <v/>
      </c>
      <c r="K812" s="26"/>
      <c r="L812" s="26"/>
    </row>
    <row r="813" customFormat="false" ht="15" hidden="false" customHeight="false" outlineLevel="0" collapsed="false">
      <c r="A813" s="31" t="str">
        <f aca="false">IF(COUNTA(B813,D813,E813,F813)=0,"",ROW()-4)</f>
        <v/>
      </c>
      <c r="B813" s="22"/>
      <c r="C813" s="26"/>
      <c r="D813" s="26"/>
      <c r="E813" s="18"/>
      <c r="F813" s="26"/>
      <c r="G813" s="31" t="str">
        <f aca="false">IF(F813="","",IFERROR(INDEX(請求台帳!$C$5:$C$504,MATCH(F813,請求台帳!$A$5:$A$504,0)),""))</f>
        <v/>
      </c>
      <c r="H813" s="31" t="str">
        <f aca="false">IF(F813="","",IFERROR(INDEX(請求台帳!$D$5:$D$504,MATCH(F813,請求台帳!$A$5:$A$504,0)),""))</f>
        <v/>
      </c>
      <c r="I813" s="27" t="str">
        <f aca="false">IF(F813="","",IFERROR(INDEX(請求台帳!$F$5:$F$504,MATCH(F813,請求台帳!$A$5:$A$504,0)),""))</f>
        <v/>
      </c>
      <c r="J813" s="28" t="str">
        <f aca="false">IF(COUNTA(B813,D813,E813,F813)=0,"",IF(OR(B813="",E813=""),"要入力",IF(N(B813)&gt;設定!$C$5,"日付誤り",IF(F813="","未消込",IF(ISNA(MATCH(F813,請求台帳!$A$5:$A$504,0)),"番号誤り",IF(INDEX(請求台帳!$Q$5:$Q$504,MATCH(F813,請求台帳!$A$5:$A$504,0))="取消","取消請求へ消込","消込済"))))))</f>
        <v/>
      </c>
      <c r="K813" s="26"/>
      <c r="L813" s="26"/>
    </row>
    <row r="814" customFormat="false" ht="15" hidden="false" customHeight="false" outlineLevel="0" collapsed="false">
      <c r="A814" s="31" t="str">
        <f aca="false">IF(COUNTA(B814,D814,E814,F814)=0,"",ROW()-4)</f>
        <v/>
      </c>
      <c r="B814" s="22"/>
      <c r="C814" s="26"/>
      <c r="D814" s="26"/>
      <c r="E814" s="18"/>
      <c r="F814" s="26"/>
      <c r="G814" s="31" t="str">
        <f aca="false">IF(F814="","",IFERROR(INDEX(請求台帳!$C$5:$C$504,MATCH(F814,請求台帳!$A$5:$A$504,0)),""))</f>
        <v/>
      </c>
      <c r="H814" s="31" t="str">
        <f aca="false">IF(F814="","",IFERROR(INDEX(請求台帳!$D$5:$D$504,MATCH(F814,請求台帳!$A$5:$A$504,0)),""))</f>
        <v/>
      </c>
      <c r="I814" s="27" t="str">
        <f aca="false">IF(F814="","",IFERROR(INDEX(請求台帳!$F$5:$F$504,MATCH(F814,請求台帳!$A$5:$A$504,0)),""))</f>
        <v/>
      </c>
      <c r="J814" s="28" t="str">
        <f aca="false">IF(COUNTA(B814,D814,E814,F814)=0,"",IF(OR(B814="",E814=""),"要入力",IF(N(B814)&gt;設定!$C$5,"日付誤り",IF(F814="","未消込",IF(ISNA(MATCH(F814,請求台帳!$A$5:$A$504,0)),"番号誤り",IF(INDEX(請求台帳!$Q$5:$Q$504,MATCH(F814,請求台帳!$A$5:$A$504,0))="取消","取消請求へ消込","消込済"))))))</f>
        <v/>
      </c>
      <c r="K814" s="26"/>
      <c r="L814" s="26"/>
    </row>
    <row r="815" customFormat="false" ht="15" hidden="false" customHeight="false" outlineLevel="0" collapsed="false">
      <c r="A815" s="31" t="str">
        <f aca="false">IF(COUNTA(B815,D815,E815,F815)=0,"",ROW()-4)</f>
        <v/>
      </c>
      <c r="B815" s="22"/>
      <c r="C815" s="26"/>
      <c r="D815" s="26"/>
      <c r="E815" s="18"/>
      <c r="F815" s="26"/>
      <c r="G815" s="31" t="str">
        <f aca="false">IF(F815="","",IFERROR(INDEX(請求台帳!$C$5:$C$504,MATCH(F815,請求台帳!$A$5:$A$504,0)),""))</f>
        <v/>
      </c>
      <c r="H815" s="31" t="str">
        <f aca="false">IF(F815="","",IFERROR(INDEX(請求台帳!$D$5:$D$504,MATCH(F815,請求台帳!$A$5:$A$504,0)),""))</f>
        <v/>
      </c>
      <c r="I815" s="27" t="str">
        <f aca="false">IF(F815="","",IFERROR(INDEX(請求台帳!$F$5:$F$504,MATCH(F815,請求台帳!$A$5:$A$504,0)),""))</f>
        <v/>
      </c>
      <c r="J815" s="28" t="str">
        <f aca="false">IF(COUNTA(B815,D815,E815,F815)=0,"",IF(OR(B815="",E815=""),"要入力",IF(N(B815)&gt;設定!$C$5,"日付誤り",IF(F815="","未消込",IF(ISNA(MATCH(F815,請求台帳!$A$5:$A$504,0)),"番号誤り",IF(INDEX(請求台帳!$Q$5:$Q$504,MATCH(F815,請求台帳!$A$5:$A$504,0))="取消","取消請求へ消込","消込済"))))))</f>
        <v/>
      </c>
      <c r="K815" s="26"/>
      <c r="L815" s="26"/>
    </row>
    <row r="816" customFormat="false" ht="15" hidden="false" customHeight="false" outlineLevel="0" collapsed="false">
      <c r="A816" s="31" t="str">
        <f aca="false">IF(COUNTA(B816,D816,E816,F816)=0,"",ROW()-4)</f>
        <v/>
      </c>
      <c r="B816" s="22"/>
      <c r="C816" s="26"/>
      <c r="D816" s="26"/>
      <c r="E816" s="18"/>
      <c r="F816" s="26"/>
      <c r="G816" s="31" t="str">
        <f aca="false">IF(F816="","",IFERROR(INDEX(請求台帳!$C$5:$C$504,MATCH(F816,請求台帳!$A$5:$A$504,0)),""))</f>
        <v/>
      </c>
      <c r="H816" s="31" t="str">
        <f aca="false">IF(F816="","",IFERROR(INDEX(請求台帳!$D$5:$D$504,MATCH(F816,請求台帳!$A$5:$A$504,0)),""))</f>
        <v/>
      </c>
      <c r="I816" s="27" t="str">
        <f aca="false">IF(F816="","",IFERROR(INDEX(請求台帳!$F$5:$F$504,MATCH(F816,請求台帳!$A$5:$A$504,0)),""))</f>
        <v/>
      </c>
      <c r="J816" s="28" t="str">
        <f aca="false">IF(COUNTA(B816,D816,E816,F816)=0,"",IF(OR(B816="",E816=""),"要入力",IF(N(B816)&gt;設定!$C$5,"日付誤り",IF(F816="","未消込",IF(ISNA(MATCH(F816,請求台帳!$A$5:$A$504,0)),"番号誤り",IF(INDEX(請求台帳!$Q$5:$Q$504,MATCH(F816,請求台帳!$A$5:$A$504,0))="取消","取消請求へ消込","消込済"))))))</f>
        <v/>
      </c>
      <c r="K816" s="26"/>
      <c r="L816" s="26"/>
    </row>
    <row r="817" customFormat="false" ht="15" hidden="false" customHeight="false" outlineLevel="0" collapsed="false">
      <c r="A817" s="31" t="str">
        <f aca="false">IF(COUNTA(B817,D817,E817,F817)=0,"",ROW()-4)</f>
        <v/>
      </c>
      <c r="B817" s="22"/>
      <c r="C817" s="26"/>
      <c r="D817" s="26"/>
      <c r="E817" s="18"/>
      <c r="F817" s="26"/>
      <c r="G817" s="31" t="str">
        <f aca="false">IF(F817="","",IFERROR(INDEX(請求台帳!$C$5:$C$504,MATCH(F817,請求台帳!$A$5:$A$504,0)),""))</f>
        <v/>
      </c>
      <c r="H817" s="31" t="str">
        <f aca="false">IF(F817="","",IFERROR(INDEX(請求台帳!$D$5:$D$504,MATCH(F817,請求台帳!$A$5:$A$504,0)),""))</f>
        <v/>
      </c>
      <c r="I817" s="27" t="str">
        <f aca="false">IF(F817="","",IFERROR(INDEX(請求台帳!$F$5:$F$504,MATCH(F817,請求台帳!$A$5:$A$504,0)),""))</f>
        <v/>
      </c>
      <c r="J817" s="28" t="str">
        <f aca="false">IF(COUNTA(B817,D817,E817,F817)=0,"",IF(OR(B817="",E817=""),"要入力",IF(N(B817)&gt;設定!$C$5,"日付誤り",IF(F817="","未消込",IF(ISNA(MATCH(F817,請求台帳!$A$5:$A$504,0)),"番号誤り",IF(INDEX(請求台帳!$Q$5:$Q$504,MATCH(F817,請求台帳!$A$5:$A$504,0))="取消","取消請求へ消込","消込済"))))))</f>
        <v/>
      </c>
      <c r="K817" s="26"/>
      <c r="L817" s="26"/>
    </row>
    <row r="818" customFormat="false" ht="15" hidden="false" customHeight="false" outlineLevel="0" collapsed="false">
      <c r="A818" s="31" t="str">
        <f aca="false">IF(COUNTA(B818,D818,E818,F818)=0,"",ROW()-4)</f>
        <v/>
      </c>
      <c r="B818" s="22"/>
      <c r="C818" s="26"/>
      <c r="D818" s="26"/>
      <c r="E818" s="18"/>
      <c r="F818" s="26"/>
      <c r="G818" s="31" t="str">
        <f aca="false">IF(F818="","",IFERROR(INDEX(請求台帳!$C$5:$C$504,MATCH(F818,請求台帳!$A$5:$A$504,0)),""))</f>
        <v/>
      </c>
      <c r="H818" s="31" t="str">
        <f aca="false">IF(F818="","",IFERROR(INDEX(請求台帳!$D$5:$D$504,MATCH(F818,請求台帳!$A$5:$A$504,0)),""))</f>
        <v/>
      </c>
      <c r="I818" s="27" t="str">
        <f aca="false">IF(F818="","",IFERROR(INDEX(請求台帳!$F$5:$F$504,MATCH(F818,請求台帳!$A$5:$A$504,0)),""))</f>
        <v/>
      </c>
      <c r="J818" s="28" t="str">
        <f aca="false">IF(COUNTA(B818,D818,E818,F818)=0,"",IF(OR(B818="",E818=""),"要入力",IF(N(B818)&gt;設定!$C$5,"日付誤り",IF(F818="","未消込",IF(ISNA(MATCH(F818,請求台帳!$A$5:$A$504,0)),"番号誤り",IF(INDEX(請求台帳!$Q$5:$Q$504,MATCH(F818,請求台帳!$A$5:$A$504,0))="取消","取消請求へ消込","消込済"))))))</f>
        <v/>
      </c>
      <c r="K818" s="26"/>
      <c r="L818" s="26"/>
    </row>
    <row r="819" customFormat="false" ht="15" hidden="false" customHeight="false" outlineLevel="0" collapsed="false">
      <c r="A819" s="31" t="str">
        <f aca="false">IF(COUNTA(B819,D819,E819,F819)=0,"",ROW()-4)</f>
        <v/>
      </c>
      <c r="B819" s="22"/>
      <c r="C819" s="26"/>
      <c r="D819" s="26"/>
      <c r="E819" s="18"/>
      <c r="F819" s="26"/>
      <c r="G819" s="31" t="str">
        <f aca="false">IF(F819="","",IFERROR(INDEX(請求台帳!$C$5:$C$504,MATCH(F819,請求台帳!$A$5:$A$504,0)),""))</f>
        <v/>
      </c>
      <c r="H819" s="31" t="str">
        <f aca="false">IF(F819="","",IFERROR(INDEX(請求台帳!$D$5:$D$504,MATCH(F819,請求台帳!$A$5:$A$504,0)),""))</f>
        <v/>
      </c>
      <c r="I819" s="27" t="str">
        <f aca="false">IF(F819="","",IFERROR(INDEX(請求台帳!$F$5:$F$504,MATCH(F819,請求台帳!$A$5:$A$504,0)),""))</f>
        <v/>
      </c>
      <c r="J819" s="28" t="str">
        <f aca="false">IF(COUNTA(B819,D819,E819,F819)=0,"",IF(OR(B819="",E819=""),"要入力",IF(N(B819)&gt;設定!$C$5,"日付誤り",IF(F819="","未消込",IF(ISNA(MATCH(F819,請求台帳!$A$5:$A$504,0)),"番号誤り",IF(INDEX(請求台帳!$Q$5:$Q$504,MATCH(F819,請求台帳!$A$5:$A$504,0))="取消","取消請求へ消込","消込済"))))))</f>
        <v/>
      </c>
      <c r="K819" s="26"/>
      <c r="L819" s="26"/>
    </row>
    <row r="820" customFormat="false" ht="15" hidden="false" customHeight="false" outlineLevel="0" collapsed="false">
      <c r="A820" s="31" t="str">
        <f aca="false">IF(COUNTA(B820,D820,E820,F820)=0,"",ROW()-4)</f>
        <v/>
      </c>
      <c r="B820" s="22"/>
      <c r="C820" s="26"/>
      <c r="D820" s="26"/>
      <c r="E820" s="18"/>
      <c r="F820" s="26"/>
      <c r="G820" s="31" t="str">
        <f aca="false">IF(F820="","",IFERROR(INDEX(請求台帳!$C$5:$C$504,MATCH(F820,請求台帳!$A$5:$A$504,0)),""))</f>
        <v/>
      </c>
      <c r="H820" s="31" t="str">
        <f aca="false">IF(F820="","",IFERROR(INDEX(請求台帳!$D$5:$D$504,MATCH(F820,請求台帳!$A$5:$A$504,0)),""))</f>
        <v/>
      </c>
      <c r="I820" s="27" t="str">
        <f aca="false">IF(F820="","",IFERROR(INDEX(請求台帳!$F$5:$F$504,MATCH(F820,請求台帳!$A$5:$A$504,0)),""))</f>
        <v/>
      </c>
      <c r="J820" s="28" t="str">
        <f aca="false">IF(COUNTA(B820,D820,E820,F820)=0,"",IF(OR(B820="",E820=""),"要入力",IF(N(B820)&gt;設定!$C$5,"日付誤り",IF(F820="","未消込",IF(ISNA(MATCH(F820,請求台帳!$A$5:$A$504,0)),"番号誤り",IF(INDEX(請求台帳!$Q$5:$Q$504,MATCH(F820,請求台帳!$A$5:$A$504,0))="取消","取消請求へ消込","消込済"))))))</f>
        <v/>
      </c>
      <c r="K820" s="26"/>
      <c r="L820" s="26"/>
    </row>
    <row r="821" customFormat="false" ht="15" hidden="false" customHeight="false" outlineLevel="0" collapsed="false">
      <c r="A821" s="31" t="str">
        <f aca="false">IF(COUNTA(B821,D821,E821,F821)=0,"",ROW()-4)</f>
        <v/>
      </c>
      <c r="B821" s="22"/>
      <c r="C821" s="26"/>
      <c r="D821" s="26"/>
      <c r="E821" s="18"/>
      <c r="F821" s="26"/>
      <c r="G821" s="31" t="str">
        <f aca="false">IF(F821="","",IFERROR(INDEX(請求台帳!$C$5:$C$504,MATCH(F821,請求台帳!$A$5:$A$504,0)),""))</f>
        <v/>
      </c>
      <c r="H821" s="31" t="str">
        <f aca="false">IF(F821="","",IFERROR(INDEX(請求台帳!$D$5:$D$504,MATCH(F821,請求台帳!$A$5:$A$504,0)),""))</f>
        <v/>
      </c>
      <c r="I821" s="27" t="str">
        <f aca="false">IF(F821="","",IFERROR(INDEX(請求台帳!$F$5:$F$504,MATCH(F821,請求台帳!$A$5:$A$504,0)),""))</f>
        <v/>
      </c>
      <c r="J821" s="28" t="str">
        <f aca="false">IF(COUNTA(B821,D821,E821,F821)=0,"",IF(OR(B821="",E821=""),"要入力",IF(N(B821)&gt;設定!$C$5,"日付誤り",IF(F821="","未消込",IF(ISNA(MATCH(F821,請求台帳!$A$5:$A$504,0)),"番号誤り",IF(INDEX(請求台帳!$Q$5:$Q$504,MATCH(F821,請求台帳!$A$5:$A$504,0))="取消","取消請求へ消込","消込済"))))))</f>
        <v/>
      </c>
      <c r="K821" s="26"/>
      <c r="L821" s="26"/>
    </row>
    <row r="822" customFormat="false" ht="15" hidden="false" customHeight="false" outlineLevel="0" collapsed="false">
      <c r="A822" s="31" t="str">
        <f aca="false">IF(COUNTA(B822,D822,E822,F822)=0,"",ROW()-4)</f>
        <v/>
      </c>
      <c r="B822" s="22"/>
      <c r="C822" s="26"/>
      <c r="D822" s="26"/>
      <c r="E822" s="18"/>
      <c r="F822" s="26"/>
      <c r="G822" s="31" t="str">
        <f aca="false">IF(F822="","",IFERROR(INDEX(請求台帳!$C$5:$C$504,MATCH(F822,請求台帳!$A$5:$A$504,0)),""))</f>
        <v/>
      </c>
      <c r="H822" s="31" t="str">
        <f aca="false">IF(F822="","",IFERROR(INDEX(請求台帳!$D$5:$D$504,MATCH(F822,請求台帳!$A$5:$A$504,0)),""))</f>
        <v/>
      </c>
      <c r="I822" s="27" t="str">
        <f aca="false">IF(F822="","",IFERROR(INDEX(請求台帳!$F$5:$F$504,MATCH(F822,請求台帳!$A$5:$A$504,0)),""))</f>
        <v/>
      </c>
      <c r="J822" s="28" t="str">
        <f aca="false">IF(COUNTA(B822,D822,E822,F822)=0,"",IF(OR(B822="",E822=""),"要入力",IF(N(B822)&gt;設定!$C$5,"日付誤り",IF(F822="","未消込",IF(ISNA(MATCH(F822,請求台帳!$A$5:$A$504,0)),"番号誤り",IF(INDEX(請求台帳!$Q$5:$Q$504,MATCH(F822,請求台帳!$A$5:$A$504,0))="取消","取消請求へ消込","消込済"))))))</f>
        <v/>
      </c>
      <c r="K822" s="26"/>
      <c r="L822" s="26"/>
    </row>
    <row r="823" customFormat="false" ht="15" hidden="false" customHeight="false" outlineLevel="0" collapsed="false">
      <c r="A823" s="31" t="str">
        <f aca="false">IF(COUNTA(B823,D823,E823,F823)=0,"",ROW()-4)</f>
        <v/>
      </c>
      <c r="B823" s="22"/>
      <c r="C823" s="26"/>
      <c r="D823" s="26"/>
      <c r="E823" s="18"/>
      <c r="F823" s="26"/>
      <c r="G823" s="31" t="str">
        <f aca="false">IF(F823="","",IFERROR(INDEX(請求台帳!$C$5:$C$504,MATCH(F823,請求台帳!$A$5:$A$504,0)),""))</f>
        <v/>
      </c>
      <c r="H823" s="31" t="str">
        <f aca="false">IF(F823="","",IFERROR(INDEX(請求台帳!$D$5:$D$504,MATCH(F823,請求台帳!$A$5:$A$504,0)),""))</f>
        <v/>
      </c>
      <c r="I823" s="27" t="str">
        <f aca="false">IF(F823="","",IFERROR(INDEX(請求台帳!$F$5:$F$504,MATCH(F823,請求台帳!$A$5:$A$504,0)),""))</f>
        <v/>
      </c>
      <c r="J823" s="28" t="str">
        <f aca="false">IF(COUNTA(B823,D823,E823,F823)=0,"",IF(OR(B823="",E823=""),"要入力",IF(N(B823)&gt;設定!$C$5,"日付誤り",IF(F823="","未消込",IF(ISNA(MATCH(F823,請求台帳!$A$5:$A$504,0)),"番号誤り",IF(INDEX(請求台帳!$Q$5:$Q$504,MATCH(F823,請求台帳!$A$5:$A$504,0))="取消","取消請求へ消込","消込済"))))))</f>
        <v/>
      </c>
      <c r="K823" s="26"/>
      <c r="L823" s="26"/>
    </row>
    <row r="824" customFormat="false" ht="15" hidden="false" customHeight="false" outlineLevel="0" collapsed="false">
      <c r="A824" s="31" t="str">
        <f aca="false">IF(COUNTA(B824,D824,E824,F824)=0,"",ROW()-4)</f>
        <v/>
      </c>
      <c r="B824" s="22"/>
      <c r="C824" s="26"/>
      <c r="D824" s="26"/>
      <c r="E824" s="18"/>
      <c r="F824" s="26"/>
      <c r="G824" s="31" t="str">
        <f aca="false">IF(F824="","",IFERROR(INDEX(請求台帳!$C$5:$C$504,MATCH(F824,請求台帳!$A$5:$A$504,0)),""))</f>
        <v/>
      </c>
      <c r="H824" s="31" t="str">
        <f aca="false">IF(F824="","",IFERROR(INDEX(請求台帳!$D$5:$D$504,MATCH(F824,請求台帳!$A$5:$A$504,0)),""))</f>
        <v/>
      </c>
      <c r="I824" s="27" t="str">
        <f aca="false">IF(F824="","",IFERROR(INDEX(請求台帳!$F$5:$F$504,MATCH(F824,請求台帳!$A$5:$A$504,0)),""))</f>
        <v/>
      </c>
      <c r="J824" s="28" t="str">
        <f aca="false">IF(COUNTA(B824,D824,E824,F824)=0,"",IF(OR(B824="",E824=""),"要入力",IF(N(B824)&gt;設定!$C$5,"日付誤り",IF(F824="","未消込",IF(ISNA(MATCH(F824,請求台帳!$A$5:$A$504,0)),"番号誤り",IF(INDEX(請求台帳!$Q$5:$Q$504,MATCH(F824,請求台帳!$A$5:$A$504,0))="取消","取消請求へ消込","消込済"))))))</f>
        <v/>
      </c>
      <c r="K824" s="26"/>
      <c r="L824" s="26"/>
    </row>
    <row r="825" customFormat="false" ht="15" hidden="false" customHeight="false" outlineLevel="0" collapsed="false">
      <c r="A825" s="31" t="str">
        <f aca="false">IF(COUNTA(B825,D825,E825,F825)=0,"",ROW()-4)</f>
        <v/>
      </c>
      <c r="B825" s="22"/>
      <c r="C825" s="26"/>
      <c r="D825" s="26"/>
      <c r="E825" s="18"/>
      <c r="F825" s="26"/>
      <c r="G825" s="31" t="str">
        <f aca="false">IF(F825="","",IFERROR(INDEX(請求台帳!$C$5:$C$504,MATCH(F825,請求台帳!$A$5:$A$504,0)),""))</f>
        <v/>
      </c>
      <c r="H825" s="31" t="str">
        <f aca="false">IF(F825="","",IFERROR(INDEX(請求台帳!$D$5:$D$504,MATCH(F825,請求台帳!$A$5:$A$504,0)),""))</f>
        <v/>
      </c>
      <c r="I825" s="27" t="str">
        <f aca="false">IF(F825="","",IFERROR(INDEX(請求台帳!$F$5:$F$504,MATCH(F825,請求台帳!$A$5:$A$504,0)),""))</f>
        <v/>
      </c>
      <c r="J825" s="28" t="str">
        <f aca="false">IF(COUNTA(B825,D825,E825,F825)=0,"",IF(OR(B825="",E825=""),"要入力",IF(N(B825)&gt;設定!$C$5,"日付誤り",IF(F825="","未消込",IF(ISNA(MATCH(F825,請求台帳!$A$5:$A$504,0)),"番号誤り",IF(INDEX(請求台帳!$Q$5:$Q$504,MATCH(F825,請求台帳!$A$5:$A$504,0))="取消","取消請求へ消込","消込済"))))))</f>
        <v/>
      </c>
      <c r="K825" s="26"/>
      <c r="L825" s="26"/>
    </row>
    <row r="826" customFormat="false" ht="15" hidden="false" customHeight="false" outlineLevel="0" collapsed="false">
      <c r="A826" s="31" t="str">
        <f aca="false">IF(COUNTA(B826,D826,E826,F826)=0,"",ROW()-4)</f>
        <v/>
      </c>
      <c r="B826" s="22"/>
      <c r="C826" s="26"/>
      <c r="D826" s="26"/>
      <c r="E826" s="18"/>
      <c r="F826" s="26"/>
      <c r="G826" s="31" t="str">
        <f aca="false">IF(F826="","",IFERROR(INDEX(請求台帳!$C$5:$C$504,MATCH(F826,請求台帳!$A$5:$A$504,0)),""))</f>
        <v/>
      </c>
      <c r="H826" s="31" t="str">
        <f aca="false">IF(F826="","",IFERROR(INDEX(請求台帳!$D$5:$D$504,MATCH(F826,請求台帳!$A$5:$A$504,0)),""))</f>
        <v/>
      </c>
      <c r="I826" s="27" t="str">
        <f aca="false">IF(F826="","",IFERROR(INDEX(請求台帳!$F$5:$F$504,MATCH(F826,請求台帳!$A$5:$A$504,0)),""))</f>
        <v/>
      </c>
      <c r="J826" s="28" t="str">
        <f aca="false">IF(COUNTA(B826,D826,E826,F826)=0,"",IF(OR(B826="",E826=""),"要入力",IF(N(B826)&gt;設定!$C$5,"日付誤り",IF(F826="","未消込",IF(ISNA(MATCH(F826,請求台帳!$A$5:$A$504,0)),"番号誤り",IF(INDEX(請求台帳!$Q$5:$Q$504,MATCH(F826,請求台帳!$A$5:$A$504,0))="取消","取消請求へ消込","消込済"))))))</f>
        <v/>
      </c>
      <c r="K826" s="26"/>
      <c r="L826" s="26"/>
    </row>
    <row r="827" customFormat="false" ht="15" hidden="false" customHeight="false" outlineLevel="0" collapsed="false">
      <c r="A827" s="31" t="str">
        <f aca="false">IF(COUNTA(B827,D827,E827,F827)=0,"",ROW()-4)</f>
        <v/>
      </c>
      <c r="B827" s="22"/>
      <c r="C827" s="26"/>
      <c r="D827" s="26"/>
      <c r="E827" s="18"/>
      <c r="F827" s="26"/>
      <c r="G827" s="31" t="str">
        <f aca="false">IF(F827="","",IFERROR(INDEX(請求台帳!$C$5:$C$504,MATCH(F827,請求台帳!$A$5:$A$504,0)),""))</f>
        <v/>
      </c>
      <c r="H827" s="31" t="str">
        <f aca="false">IF(F827="","",IFERROR(INDEX(請求台帳!$D$5:$D$504,MATCH(F827,請求台帳!$A$5:$A$504,0)),""))</f>
        <v/>
      </c>
      <c r="I827" s="27" t="str">
        <f aca="false">IF(F827="","",IFERROR(INDEX(請求台帳!$F$5:$F$504,MATCH(F827,請求台帳!$A$5:$A$504,0)),""))</f>
        <v/>
      </c>
      <c r="J827" s="28" t="str">
        <f aca="false">IF(COUNTA(B827,D827,E827,F827)=0,"",IF(OR(B827="",E827=""),"要入力",IF(N(B827)&gt;設定!$C$5,"日付誤り",IF(F827="","未消込",IF(ISNA(MATCH(F827,請求台帳!$A$5:$A$504,0)),"番号誤り",IF(INDEX(請求台帳!$Q$5:$Q$504,MATCH(F827,請求台帳!$A$5:$A$504,0))="取消","取消請求へ消込","消込済"))))))</f>
        <v/>
      </c>
      <c r="K827" s="26"/>
      <c r="L827" s="26"/>
    </row>
    <row r="828" customFormat="false" ht="15" hidden="false" customHeight="false" outlineLevel="0" collapsed="false">
      <c r="A828" s="31" t="str">
        <f aca="false">IF(COUNTA(B828,D828,E828,F828)=0,"",ROW()-4)</f>
        <v/>
      </c>
      <c r="B828" s="22"/>
      <c r="C828" s="26"/>
      <c r="D828" s="26"/>
      <c r="E828" s="18"/>
      <c r="F828" s="26"/>
      <c r="G828" s="31" t="str">
        <f aca="false">IF(F828="","",IFERROR(INDEX(請求台帳!$C$5:$C$504,MATCH(F828,請求台帳!$A$5:$A$504,0)),""))</f>
        <v/>
      </c>
      <c r="H828" s="31" t="str">
        <f aca="false">IF(F828="","",IFERROR(INDEX(請求台帳!$D$5:$D$504,MATCH(F828,請求台帳!$A$5:$A$504,0)),""))</f>
        <v/>
      </c>
      <c r="I828" s="27" t="str">
        <f aca="false">IF(F828="","",IFERROR(INDEX(請求台帳!$F$5:$F$504,MATCH(F828,請求台帳!$A$5:$A$504,0)),""))</f>
        <v/>
      </c>
      <c r="J828" s="28" t="str">
        <f aca="false">IF(COUNTA(B828,D828,E828,F828)=0,"",IF(OR(B828="",E828=""),"要入力",IF(N(B828)&gt;設定!$C$5,"日付誤り",IF(F828="","未消込",IF(ISNA(MATCH(F828,請求台帳!$A$5:$A$504,0)),"番号誤り",IF(INDEX(請求台帳!$Q$5:$Q$504,MATCH(F828,請求台帳!$A$5:$A$504,0))="取消","取消請求へ消込","消込済"))))))</f>
        <v/>
      </c>
      <c r="K828" s="26"/>
      <c r="L828" s="26"/>
    </row>
    <row r="829" customFormat="false" ht="15" hidden="false" customHeight="false" outlineLevel="0" collapsed="false">
      <c r="A829" s="31" t="str">
        <f aca="false">IF(COUNTA(B829,D829,E829,F829)=0,"",ROW()-4)</f>
        <v/>
      </c>
      <c r="B829" s="22"/>
      <c r="C829" s="26"/>
      <c r="D829" s="26"/>
      <c r="E829" s="18"/>
      <c r="F829" s="26"/>
      <c r="G829" s="31" t="str">
        <f aca="false">IF(F829="","",IFERROR(INDEX(請求台帳!$C$5:$C$504,MATCH(F829,請求台帳!$A$5:$A$504,0)),""))</f>
        <v/>
      </c>
      <c r="H829" s="31" t="str">
        <f aca="false">IF(F829="","",IFERROR(INDEX(請求台帳!$D$5:$D$504,MATCH(F829,請求台帳!$A$5:$A$504,0)),""))</f>
        <v/>
      </c>
      <c r="I829" s="27" t="str">
        <f aca="false">IF(F829="","",IFERROR(INDEX(請求台帳!$F$5:$F$504,MATCH(F829,請求台帳!$A$5:$A$504,0)),""))</f>
        <v/>
      </c>
      <c r="J829" s="28" t="str">
        <f aca="false">IF(COUNTA(B829,D829,E829,F829)=0,"",IF(OR(B829="",E829=""),"要入力",IF(N(B829)&gt;設定!$C$5,"日付誤り",IF(F829="","未消込",IF(ISNA(MATCH(F829,請求台帳!$A$5:$A$504,0)),"番号誤り",IF(INDEX(請求台帳!$Q$5:$Q$504,MATCH(F829,請求台帳!$A$5:$A$504,0))="取消","取消請求へ消込","消込済"))))))</f>
        <v/>
      </c>
      <c r="K829" s="26"/>
      <c r="L829" s="26"/>
    </row>
    <row r="830" customFormat="false" ht="15" hidden="false" customHeight="false" outlineLevel="0" collapsed="false">
      <c r="A830" s="31" t="str">
        <f aca="false">IF(COUNTA(B830,D830,E830,F830)=0,"",ROW()-4)</f>
        <v/>
      </c>
      <c r="B830" s="22"/>
      <c r="C830" s="26"/>
      <c r="D830" s="26"/>
      <c r="E830" s="18"/>
      <c r="F830" s="26"/>
      <c r="G830" s="31" t="str">
        <f aca="false">IF(F830="","",IFERROR(INDEX(請求台帳!$C$5:$C$504,MATCH(F830,請求台帳!$A$5:$A$504,0)),""))</f>
        <v/>
      </c>
      <c r="H830" s="31" t="str">
        <f aca="false">IF(F830="","",IFERROR(INDEX(請求台帳!$D$5:$D$504,MATCH(F830,請求台帳!$A$5:$A$504,0)),""))</f>
        <v/>
      </c>
      <c r="I830" s="27" t="str">
        <f aca="false">IF(F830="","",IFERROR(INDEX(請求台帳!$F$5:$F$504,MATCH(F830,請求台帳!$A$5:$A$504,0)),""))</f>
        <v/>
      </c>
      <c r="J830" s="28" t="str">
        <f aca="false">IF(COUNTA(B830,D830,E830,F830)=0,"",IF(OR(B830="",E830=""),"要入力",IF(N(B830)&gt;設定!$C$5,"日付誤り",IF(F830="","未消込",IF(ISNA(MATCH(F830,請求台帳!$A$5:$A$504,0)),"番号誤り",IF(INDEX(請求台帳!$Q$5:$Q$504,MATCH(F830,請求台帳!$A$5:$A$504,0))="取消","取消請求へ消込","消込済"))))))</f>
        <v/>
      </c>
      <c r="K830" s="26"/>
      <c r="L830" s="26"/>
    </row>
    <row r="831" customFormat="false" ht="15" hidden="false" customHeight="false" outlineLevel="0" collapsed="false">
      <c r="A831" s="31" t="str">
        <f aca="false">IF(COUNTA(B831,D831,E831,F831)=0,"",ROW()-4)</f>
        <v/>
      </c>
      <c r="B831" s="22"/>
      <c r="C831" s="26"/>
      <c r="D831" s="26"/>
      <c r="E831" s="18"/>
      <c r="F831" s="26"/>
      <c r="G831" s="31" t="str">
        <f aca="false">IF(F831="","",IFERROR(INDEX(請求台帳!$C$5:$C$504,MATCH(F831,請求台帳!$A$5:$A$504,0)),""))</f>
        <v/>
      </c>
      <c r="H831" s="31" t="str">
        <f aca="false">IF(F831="","",IFERROR(INDEX(請求台帳!$D$5:$D$504,MATCH(F831,請求台帳!$A$5:$A$504,0)),""))</f>
        <v/>
      </c>
      <c r="I831" s="27" t="str">
        <f aca="false">IF(F831="","",IFERROR(INDEX(請求台帳!$F$5:$F$504,MATCH(F831,請求台帳!$A$5:$A$504,0)),""))</f>
        <v/>
      </c>
      <c r="J831" s="28" t="str">
        <f aca="false">IF(COUNTA(B831,D831,E831,F831)=0,"",IF(OR(B831="",E831=""),"要入力",IF(N(B831)&gt;設定!$C$5,"日付誤り",IF(F831="","未消込",IF(ISNA(MATCH(F831,請求台帳!$A$5:$A$504,0)),"番号誤り",IF(INDEX(請求台帳!$Q$5:$Q$504,MATCH(F831,請求台帳!$A$5:$A$504,0))="取消","取消請求へ消込","消込済"))))))</f>
        <v/>
      </c>
      <c r="K831" s="26"/>
      <c r="L831" s="26"/>
    </row>
    <row r="832" customFormat="false" ht="15" hidden="false" customHeight="false" outlineLevel="0" collapsed="false">
      <c r="A832" s="31" t="str">
        <f aca="false">IF(COUNTA(B832,D832,E832,F832)=0,"",ROW()-4)</f>
        <v/>
      </c>
      <c r="B832" s="22"/>
      <c r="C832" s="26"/>
      <c r="D832" s="26"/>
      <c r="E832" s="18"/>
      <c r="F832" s="26"/>
      <c r="G832" s="31" t="str">
        <f aca="false">IF(F832="","",IFERROR(INDEX(請求台帳!$C$5:$C$504,MATCH(F832,請求台帳!$A$5:$A$504,0)),""))</f>
        <v/>
      </c>
      <c r="H832" s="31" t="str">
        <f aca="false">IF(F832="","",IFERROR(INDEX(請求台帳!$D$5:$D$504,MATCH(F832,請求台帳!$A$5:$A$504,0)),""))</f>
        <v/>
      </c>
      <c r="I832" s="27" t="str">
        <f aca="false">IF(F832="","",IFERROR(INDEX(請求台帳!$F$5:$F$504,MATCH(F832,請求台帳!$A$5:$A$504,0)),""))</f>
        <v/>
      </c>
      <c r="J832" s="28" t="str">
        <f aca="false">IF(COUNTA(B832,D832,E832,F832)=0,"",IF(OR(B832="",E832=""),"要入力",IF(N(B832)&gt;設定!$C$5,"日付誤り",IF(F832="","未消込",IF(ISNA(MATCH(F832,請求台帳!$A$5:$A$504,0)),"番号誤り",IF(INDEX(請求台帳!$Q$5:$Q$504,MATCH(F832,請求台帳!$A$5:$A$504,0))="取消","取消請求へ消込","消込済"))))))</f>
        <v/>
      </c>
      <c r="K832" s="26"/>
      <c r="L832" s="26"/>
    </row>
    <row r="833" customFormat="false" ht="15" hidden="false" customHeight="false" outlineLevel="0" collapsed="false">
      <c r="A833" s="31" t="str">
        <f aca="false">IF(COUNTA(B833,D833,E833,F833)=0,"",ROW()-4)</f>
        <v/>
      </c>
      <c r="B833" s="22"/>
      <c r="C833" s="26"/>
      <c r="D833" s="26"/>
      <c r="E833" s="18"/>
      <c r="F833" s="26"/>
      <c r="G833" s="31" t="str">
        <f aca="false">IF(F833="","",IFERROR(INDEX(請求台帳!$C$5:$C$504,MATCH(F833,請求台帳!$A$5:$A$504,0)),""))</f>
        <v/>
      </c>
      <c r="H833" s="31" t="str">
        <f aca="false">IF(F833="","",IFERROR(INDEX(請求台帳!$D$5:$D$504,MATCH(F833,請求台帳!$A$5:$A$504,0)),""))</f>
        <v/>
      </c>
      <c r="I833" s="27" t="str">
        <f aca="false">IF(F833="","",IFERROR(INDEX(請求台帳!$F$5:$F$504,MATCH(F833,請求台帳!$A$5:$A$504,0)),""))</f>
        <v/>
      </c>
      <c r="J833" s="28" t="str">
        <f aca="false">IF(COUNTA(B833,D833,E833,F833)=0,"",IF(OR(B833="",E833=""),"要入力",IF(N(B833)&gt;設定!$C$5,"日付誤り",IF(F833="","未消込",IF(ISNA(MATCH(F833,請求台帳!$A$5:$A$504,0)),"番号誤り",IF(INDEX(請求台帳!$Q$5:$Q$504,MATCH(F833,請求台帳!$A$5:$A$504,0))="取消","取消請求へ消込","消込済"))))))</f>
        <v/>
      </c>
      <c r="K833" s="26"/>
      <c r="L833" s="26"/>
    </row>
    <row r="834" customFormat="false" ht="15" hidden="false" customHeight="false" outlineLevel="0" collapsed="false">
      <c r="A834" s="31" t="str">
        <f aca="false">IF(COUNTA(B834,D834,E834,F834)=0,"",ROW()-4)</f>
        <v/>
      </c>
      <c r="B834" s="22"/>
      <c r="C834" s="26"/>
      <c r="D834" s="26"/>
      <c r="E834" s="18"/>
      <c r="F834" s="26"/>
      <c r="G834" s="31" t="str">
        <f aca="false">IF(F834="","",IFERROR(INDEX(請求台帳!$C$5:$C$504,MATCH(F834,請求台帳!$A$5:$A$504,0)),""))</f>
        <v/>
      </c>
      <c r="H834" s="31" t="str">
        <f aca="false">IF(F834="","",IFERROR(INDEX(請求台帳!$D$5:$D$504,MATCH(F834,請求台帳!$A$5:$A$504,0)),""))</f>
        <v/>
      </c>
      <c r="I834" s="27" t="str">
        <f aca="false">IF(F834="","",IFERROR(INDEX(請求台帳!$F$5:$F$504,MATCH(F834,請求台帳!$A$5:$A$504,0)),""))</f>
        <v/>
      </c>
      <c r="J834" s="28" t="str">
        <f aca="false">IF(COUNTA(B834,D834,E834,F834)=0,"",IF(OR(B834="",E834=""),"要入力",IF(N(B834)&gt;設定!$C$5,"日付誤り",IF(F834="","未消込",IF(ISNA(MATCH(F834,請求台帳!$A$5:$A$504,0)),"番号誤り",IF(INDEX(請求台帳!$Q$5:$Q$504,MATCH(F834,請求台帳!$A$5:$A$504,0))="取消","取消請求へ消込","消込済"))))))</f>
        <v/>
      </c>
      <c r="K834" s="26"/>
      <c r="L834" s="26"/>
    </row>
    <row r="835" customFormat="false" ht="15" hidden="false" customHeight="false" outlineLevel="0" collapsed="false">
      <c r="A835" s="31" t="str">
        <f aca="false">IF(COUNTA(B835,D835,E835,F835)=0,"",ROW()-4)</f>
        <v/>
      </c>
      <c r="B835" s="22"/>
      <c r="C835" s="26"/>
      <c r="D835" s="26"/>
      <c r="E835" s="18"/>
      <c r="F835" s="26"/>
      <c r="G835" s="31" t="str">
        <f aca="false">IF(F835="","",IFERROR(INDEX(請求台帳!$C$5:$C$504,MATCH(F835,請求台帳!$A$5:$A$504,0)),""))</f>
        <v/>
      </c>
      <c r="H835" s="31" t="str">
        <f aca="false">IF(F835="","",IFERROR(INDEX(請求台帳!$D$5:$D$504,MATCH(F835,請求台帳!$A$5:$A$504,0)),""))</f>
        <v/>
      </c>
      <c r="I835" s="27" t="str">
        <f aca="false">IF(F835="","",IFERROR(INDEX(請求台帳!$F$5:$F$504,MATCH(F835,請求台帳!$A$5:$A$504,0)),""))</f>
        <v/>
      </c>
      <c r="J835" s="28" t="str">
        <f aca="false">IF(COUNTA(B835,D835,E835,F835)=0,"",IF(OR(B835="",E835=""),"要入力",IF(N(B835)&gt;設定!$C$5,"日付誤り",IF(F835="","未消込",IF(ISNA(MATCH(F835,請求台帳!$A$5:$A$504,0)),"番号誤り",IF(INDEX(請求台帳!$Q$5:$Q$504,MATCH(F835,請求台帳!$A$5:$A$504,0))="取消","取消請求へ消込","消込済"))))))</f>
        <v/>
      </c>
      <c r="K835" s="26"/>
      <c r="L835" s="26"/>
    </row>
    <row r="836" customFormat="false" ht="15" hidden="false" customHeight="false" outlineLevel="0" collapsed="false">
      <c r="A836" s="31" t="str">
        <f aca="false">IF(COUNTA(B836,D836,E836,F836)=0,"",ROW()-4)</f>
        <v/>
      </c>
      <c r="B836" s="22"/>
      <c r="C836" s="26"/>
      <c r="D836" s="26"/>
      <c r="E836" s="18"/>
      <c r="F836" s="26"/>
      <c r="G836" s="31" t="str">
        <f aca="false">IF(F836="","",IFERROR(INDEX(請求台帳!$C$5:$C$504,MATCH(F836,請求台帳!$A$5:$A$504,0)),""))</f>
        <v/>
      </c>
      <c r="H836" s="31" t="str">
        <f aca="false">IF(F836="","",IFERROR(INDEX(請求台帳!$D$5:$D$504,MATCH(F836,請求台帳!$A$5:$A$504,0)),""))</f>
        <v/>
      </c>
      <c r="I836" s="27" t="str">
        <f aca="false">IF(F836="","",IFERROR(INDEX(請求台帳!$F$5:$F$504,MATCH(F836,請求台帳!$A$5:$A$504,0)),""))</f>
        <v/>
      </c>
      <c r="J836" s="28" t="str">
        <f aca="false">IF(COUNTA(B836,D836,E836,F836)=0,"",IF(OR(B836="",E836=""),"要入力",IF(N(B836)&gt;設定!$C$5,"日付誤り",IF(F836="","未消込",IF(ISNA(MATCH(F836,請求台帳!$A$5:$A$504,0)),"番号誤り",IF(INDEX(請求台帳!$Q$5:$Q$504,MATCH(F836,請求台帳!$A$5:$A$504,0))="取消","取消請求へ消込","消込済"))))))</f>
        <v/>
      </c>
      <c r="K836" s="26"/>
      <c r="L836" s="26"/>
    </row>
    <row r="837" customFormat="false" ht="15" hidden="false" customHeight="false" outlineLevel="0" collapsed="false">
      <c r="A837" s="31" t="str">
        <f aca="false">IF(COUNTA(B837,D837,E837,F837)=0,"",ROW()-4)</f>
        <v/>
      </c>
      <c r="B837" s="22"/>
      <c r="C837" s="26"/>
      <c r="D837" s="26"/>
      <c r="E837" s="18"/>
      <c r="F837" s="26"/>
      <c r="G837" s="31" t="str">
        <f aca="false">IF(F837="","",IFERROR(INDEX(請求台帳!$C$5:$C$504,MATCH(F837,請求台帳!$A$5:$A$504,0)),""))</f>
        <v/>
      </c>
      <c r="H837" s="31" t="str">
        <f aca="false">IF(F837="","",IFERROR(INDEX(請求台帳!$D$5:$D$504,MATCH(F837,請求台帳!$A$5:$A$504,0)),""))</f>
        <v/>
      </c>
      <c r="I837" s="27" t="str">
        <f aca="false">IF(F837="","",IFERROR(INDEX(請求台帳!$F$5:$F$504,MATCH(F837,請求台帳!$A$5:$A$504,0)),""))</f>
        <v/>
      </c>
      <c r="J837" s="28" t="str">
        <f aca="false">IF(COUNTA(B837,D837,E837,F837)=0,"",IF(OR(B837="",E837=""),"要入力",IF(N(B837)&gt;設定!$C$5,"日付誤り",IF(F837="","未消込",IF(ISNA(MATCH(F837,請求台帳!$A$5:$A$504,0)),"番号誤り",IF(INDEX(請求台帳!$Q$5:$Q$504,MATCH(F837,請求台帳!$A$5:$A$504,0))="取消","取消請求へ消込","消込済"))))))</f>
        <v/>
      </c>
      <c r="K837" s="26"/>
      <c r="L837" s="26"/>
    </row>
    <row r="838" customFormat="false" ht="15" hidden="false" customHeight="false" outlineLevel="0" collapsed="false">
      <c r="A838" s="31" t="str">
        <f aca="false">IF(COUNTA(B838,D838,E838,F838)=0,"",ROW()-4)</f>
        <v/>
      </c>
      <c r="B838" s="22"/>
      <c r="C838" s="26"/>
      <c r="D838" s="26"/>
      <c r="E838" s="18"/>
      <c r="F838" s="26"/>
      <c r="G838" s="31" t="str">
        <f aca="false">IF(F838="","",IFERROR(INDEX(請求台帳!$C$5:$C$504,MATCH(F838,請求台帳!$A$5:$A$504,0)),""))</f>
        <v/>
      </c>
      <c r="H838" s="31" t="str">
        <f aca="false">IF(F838="","",IFERROR(INDEX(請求台帳!$D$5:$D$504,MATCH(F838,請求台帳!$A$5:$A$504,0)),""))</f>
        <v/>
      </c>
      <c r="I838" s="27" t="str">
        <f aca="false">IF(F838="","",IFERROR(INDEX(請求台帳!$F$5:$F$504,MATCH(F838,請求台帳!$A$5:$A$504,0)),""))</f>
        <v/>
      </c>
      <c r="J838" s="28" t="str">
        <f aca="false">IF(COUNTA(B838,D838,E838,F838)=0,"",IF(OR(B838="",E838=""),"要入力",IF(N(B838)&gt;設定!$C$5,"日付誤り",IF(F838="","未消込",IF(ISNA(MATCH(F838,請求台帳!$A$5:$A$504,0)),"番号誤り",IF(INDEX(請求台帳!$Q$5:$Q$504,MATCH(F838,請求台帳!$A$5:$A$504,0))="取消","取消請求へ消込","消込済"))))))</f>
        <v/>
      </c>
      <c r="K838" s="26"/>
      <c r="L838" s="26"/>
    </row>
    <row r="839" customFormat="false" ht="15" hidden="false" customHeight="false" outlineLevel="0" collapsed="false">
      <c r="A839" s="31" t="str">
        <f aca="false">IF(COUNTA(B839,D839,E839,F839)=0,"",ROW()-4)</f>
        <v/>
      </c>
      <c r="B839" s="22"/>
      <c r="C839" s="26"/>
      <c r="D839" s="26"/>
      <c r="E839" s="18"/>
      <c r="F839" s="26"/>
      <c r="G839" s="31" t="str">
        <f aca="false">IF(F839="","",IFERROR(INDEX(請求台帳!$C$5:$C$504,MATCH(F839,請求台帳!$A$5:$A$504,0)),""))</f>
        <v/>
      </c>
      <c r="H839" s="31" t="str">
        <f aca="false">IF(F839="","",IFERROR(INDEX(請求台帳!$D$5:$D$504,MATCH(F839,請求台帳!$A$5:$A$504,0)),""))</f>
        <v/>
      </c>
      <c r="I839" s="27" t="str">
        <f aca="false">IF(F839="","",IFERROR(INDEX(請求台帳!$F$5:$F$504,MATCH(F839,請求台帳!$A$5:$A$504,0)),""))</f>
        <v/>
      </c>
      <c r="J839" s="28" t="str">
        <f aca="false">IF(COUNTA(B839,D839,E839,F839)=0,"",IF(OR(B839="",E839=""),"要入力",IF(N(B839)&gt;設定!$C$5,"日付誤り",IF(F839="","未消込",IF(ISNA(MATCH(F839,請求台帳!$A$5:$A$504,0)),"番号誤り",IF(INDEX(請求台帳!$Q$5:$Q$504,MATCH(F839,請求台帳!$A$5:$A$504,0))="取消","取消請求へ消込","消込済"))))))</f>
        <v/>
      </c>
      <c r="K839" s="26"/>
      <c r="L839" s="26"/>
    </row>
    <row r="840" customFormat="false" ht="15" hidden="false" customHeight="false" outlineLevel="0" collapsed="false">
      <c r="A840" s="31" t="str">
        <f aca="false">IF(COUNTA(B840,D840,E840,F840)=0,"",ROW()-4)</f>
        <v/>
      </c>
      <c r="B840" s="22"/>
      <c r="C840" s="26"/>
      <c r="D840" s="26"/>
      <c r="E840" s="18"/>
      <c r="F840" s="26"/>
      <c r="G840" s="31" t="str">
        <f aca="false">IF(F840="","",IFERROR(INDEX(請求台帳!$C$5:$C$504,MATCH(F840,請求台帳!$A$5:$A$504,0)),""))</f>
        <v/>
      </c>
      <c r="H840" s="31" t="str">
        <f aca="false">IF(F840="","",IFERROR(INDEX(請求台帳!$D$5:$D$504,MATCH(F840,請求台帳!$A$5:$A$504,0)),""))</f>
        <v/>
      </c>
      <c r="I840" s="27" t="str">
        <f aca="false">IF(F840="","",IFERROR(INDEX(請求台帳!$F$5:$F$504,MATCH(F840,請求台帳!$A$5:$A$504,0)),""))</f>
        <v/>
      </c>
      <c r="J840" s="28" t="str">
        <f aca="false">IF(COUNTA(B840,D840,E840,F840)=0,"",IF(OR(B840="",E840=""),"要入力",IF(N(B840)&gt;設定!$C$5,"日付誤り",IF(F840="","未消込",IF(ISNA(MATCH(F840,請求台帳!$A$5:$A$504,0)),"番号誤り",IF(INDEX(請求台帳!$Q$5:$Q$504,MATCH(F840,請求台帳!$A$5:$A$504,0))="取消","取消請求へ消込","消込済"))))))</f>
        <v/>
      </c>
      <c r="K840" s="26"/>
      <c r="L840" s="26"/>
    </row>
    <row r="841" customFormat="false" ht="15" hidden="false" customHeight="false" outlineLevel="0" collapsed="false">
      <c r="A841" s="31" t="str">
        <f aca="false">IF(COUNTA(B841,D841,E841,F841)=0,"",ROW()-4)</f>
        <v/>
      </c>
      <c r="B841" s="22"/>
      <c r="C841" s="26"/>
      <c r="D841" s="26"/>
      <c r="E841" s="18"/>
      <c r="F841" s="26"/>
      <c r="G841" s="31" t="str">
        <f aca="false">IF(F841="","",IFERROR(INDEX(請求台帳!$C$5:$C$504,MATCH(F841,請求台帳!$A$5:$A$504,0)),""))</f>
        <v/>
      </c>
      <c r="H841" s="31" t="str">
        <f aca="false">IF(F841="","",IFERROR(INDEX(請求台帳!$D$5:$D$504,MATCH(F841,請求台帳!$A$5:$A$504,0)),""))</f>
        <v/>
      </c>
      <c r="I841" s="27" t="str">
        <f aca="false">IF(F841="","",IFERROR(INDEX(請求台帳!$F$5:$F$504,MATCH(F841,請求台帳!$A$5:$A$504,0)),""))</f>
        <v/>
      </c>
      <c r="J841" s="28" t="str">
        <f aca="false">IF(COUNTA(B841,D841,E841,F841)=0,"",IF(OR(B841="",E841=""),"要入力",IF(N(B841)&gt;設定!$C$5,"日付誤り",IF(F841="","未消込",IF(ISNA(MATCH(F841,請求台帳!$A$5:$A$504,0)),"番号誤り",IF(INDEX(請求台帳!$Q$5:$Q$504,MATCH(F841,請求台帳!$A$5:$A$504,0))="取消","取消請求へ消込","消込済"))))))</f>
        <v/>
      </c>
      <c r="K841" s="26"/>
      <c r="L841" s="26"/>
    </row>
    <row r="842" customFormat="false" ht="15" hidden="false" customHeight="false" outlineLevel="0" collapsed="false">
      <c r="A842" s="31" t="str">
        <f aca="false">IF(COUNTA(B842,D842,E842,F842)=0,"",ROW()-4)</f>
        <v/>
      </c>
      <c r="B842" s="22"/>
      <c r="C842" s="26"/>
      <c r="D842" s="26"/>
      <c r="E842" s="18"/>
      <c r="F842" s="26"/>
      <c r="G842" s="31" t="str">
        <f aca="false">IF(F842="","",IFERROR(INDEX(請求台帳!$C$5:$C$504,MATCH(F842,請求台帳!$A$5:$A$504,0)),""))</f>
        <v/>
      </c>
      <c r="H842" s="31" t="str">
        <f aca="false">IF(F842="","",IFERROR(INDEX(請求台帳!$D$5:$D$504,MATCH(F842,請求台帳!$A$5:$A$504,0)),""))</f>
        <v/>
      </c>
      <c r="I842" s="27" t="str">
        <f aca="false">IF(F842="","",IFERROR(INDEX(請求台帳!$F$5:$F$504,MATCH(F842,請求台帳!$A$5:$A$504,0)),""))</f>
        <v/>
      </c>
      <c r="J842" s="28" t="str">
        <f aca="false">IF(COUNTA(B842,D842,E842,F842)=0,"",IF(OR(B842="",E842=""),"要入力",IF(N(B842)&gt;設定!$C$5,"日付誤り",IF(F842="","未消込",IF(ISNA(MATCH(F842,請求台帳!$A$5:$A$504,0)),"番号誤り",IF(INDEX(請求台帳!$Q$5:$Q$504,MATCH(F842,請求台帳!$A$5:$A$504,0))="取消","取消請求へ消込","消込済"))))))</f>
        <v/>
      </c>
      <c r="K842" s="26"/>
      <c r="L842" s="26"/>
    </row>
    <row r="843" customFormat="false" ht="15" hidden="false" customHeight="false" outlineLevel="0" collapsed="false">
      <c r="A843" s="31" t="str">
        <f aca="false">IF(COUNTA(B843,D843,E843,F843)=0,"",ROW()-4)</f>
        <v/>
      </c>
      <c r="B843" s="22"/>
      <c r="C843" s="26"/>
      <c r="D843" s="26"/>
      <c r="E843" s="18"/>
      <c r="F843" s="26"/>
      <c r="G843" s="31" t="str">
        <f aca="false">IF(F843="","",IFERROR(INDEX(請求台帳!$C$5:$C$504,MATCH(F843,請求台帳!$A$5:$A$504,0)),""))</f>
        <v/>
      </c>
      <c r="H843" s="31" t="str">
        <f aca="false">IF(F843="","",IFERROR(INDEX(請求台帳!$D$5:$D$504,MATCH(F843,請求台帳!$A$5:$A$504,0)),""))</f>
        <v/>
      </c>
      <c r="I843" s="27" t="str">
        <f aca="false">IF(F843="","",IFERROR(INDEX(請求台帳!$F$5:$F$504,MATCH(F843,請求台帳!$A$5:$A$504,0)),""))</f>
        <v/>
      </c>
      <c r="J843" s="28" t="str">
        <f aca="false">IF(COUNTA(B843,D843,E843,F843)=0,"",IF(OR(B843="",E843=""),"要入力",IF(N(B843)&gt;設定!$C$5,"日付誤り",IF(F843="","未消込",IF(ISNA(MATCH(F843,請求台帳!$A$5:$A$504,0)),"番号誤り",IF(INDEX(請求台帳!$Q$5:$Q$504,MATCH(F843,請求台帳!$A$5:$A$504,0))="取消","取消請求へ消込","消込済"))))))</f>
        <v/>
      </c>
      <c r="K843" s="26"/>
      <c r="L843" s="26"/>
    </row>
    <row r="844" customFormat="false" ht="15" hidden="false" customHeight="false" outlineLevel="0" collapsed="false">
      <c r="A844" s="31" t="str">
        <f aca="false">IF(COUNTA(B844,D844,E844,F844)=0,"",ROW()-4)</f>
        <v/>
      </c>
      <c r="B844" s="22"/>
      <c r="C844" s="26"/>
      <c r="D844" s="26"/>
      <c r="E844" s="18"/>
      <c r="F844" s="26"/>
      <c r="G844" s="31" t="str">
        <f aca="false">IF(F844="","",IFERROR(INDEX(請求台帳!$C$5:$C$504,MATCH(F844,請求台帳!$A$5:$A$504,0)),""))</f>
        <v/>
      </c>
      <c r="H844" s="31" t="str">
        <f aca="false">IF(F844="","",IFERROR(INDEX(請求台帳!$D$5:$D$504,MATCH(F844,請求台帳!$A$5:$A$504,0)),""))</f>
        <v/>
      </c>
      <c r="I844" s="27" t="str">
        <f aca="false">IF(F844="","",IFERROR(INDEX(請求台帳!$F$5:$F$504,MATCH(F844,請求台帳!$A$5:$A$504,0)),""))</f>
        <v/>
      </c>
      <c r="J844" s="28" t="str">
        <f aca="false">IF(COUNTA(B844,D844,E844,F844)=0,"",IF(OR(B844="",E844=""),"要入力",IF(N(B844)&gt;設定!$C$5,"日付誤り",IF(F844="","未消込",IF(ISNA(MATCH(F844,請求台帳!$A$5:$A$504,0)),"番号誤り",IF(INDEX(請求台帳!$Q$5:$Q$504,MATCH(F844,請求台帳!$A$5:$A$504,0))="取消","取消請求へ消込","消込済"))))))</f>
        <v/>
      </c>
      <c r="K844" s="26"/>
      <c r="L844" s="26"/>
    </row>
    <row r="845" customFormat="false" ht="15" hidden="false" customHeight="false" outlineLevel="0" collapsed="false">
      <c r="A845" s="31" t="str">
        <f aca="false">IF(COUNTA(B845,D845,E845,F845)=0,"",ROW()-4)</f>
        <v/>
      </c>
      <c r="B845" s="22"/>
      <c r="C845" s="26"/>
      <c r="D845" s="26"/>
      <c r="E845" s="18"/>
      <c r="F845" s="26"/>
      <c r="G845" s="31" t="str">
        <f aca="false">IF(F845="","",IFERROR(INDEX(請求台帳!$C$5:$C$504,MATCH(F845,請求台帳!$A$5:$A$504,0)),""))</f>
        <v/>
      </c>
      <c r="H845" s="31" t="str">
        <f aca="false">IF(F845="","",IFERROR(INDEX(請求台帳!$D$5:$D$504,MATCH(F845,請求台帳!$A$5:$A$504,0)),""))</f>
        <v/>
      </c>
      <c r="I845" s="27" t="str">
        <f aca="false">IF(F845="","",IFERROR(INDEX(請求台帳!$F$5:$F$504,MATCH(F845,請求台帳!$A$5:$A$504,0)),""))</f>
        <v/>
      </c>
      <c r="J845" s="28" t="str">
        <f aca="false">IF(COUNTA(B845,D845,E845,F845)=0,"",IF(OR(B845="",E845=""),"要入力",IF(N(B845)&gt;設定!$C$5,"日付誤り",IF(F845="","未消込",IF(ISNA(MATCH(F845,請求台帳!$A$5:$A$504,0)),"番号誤り",IF(INDEX(請求台帳!$Q$5:$Q$504,MATCH(F845,請求台帳!$A$5:$A$504,0))="取消","取消請求へ消込","消込済"))))))</f>
        <v/>
      </c>
      <c r="K845" s="26"/>
      <c r="L845" s="26"/>
    </row>
    <row r="846" customFormat="false" ht="15" hidden="false" customHeight="false" outlineLevel="0" collapsed="false">
      <c r="A846" s="31" t="str">
        <f aca="false">IF(COUNTA(B846,D846,E846,F846)=0,"",ROW()-4)</f>
        <v/>
      </c>
      <c r="B846" s="22"/>
      <c r="C846" s="26"/>
      <c r="D846" s="26"/>
      <c r="E846" s="18"/>
      <c r="F846" s="26"/>
      <c r="G846" s="31" t="str">
        <f aca="false">IF(F846="","",IFERROR(INDEX(請求台帳!$C$5:$C$504,MATCH(F846,請求台帳!$A$5:$A$504,0)),""))</f>
        <v/>
      </c>
      <c r="H846" s="31" t="str">
        <f aca="false">IF(F846="","",IFERROR(INDEX(請求台帳!$D$5:$D$504,MATCH(F846,請求台帳!$A$5:$A$504,0)),""))</f>
        <v/>
      </c>
      <c r="I846" s="27" t="str">
        <f aca="false">IF(F846="","",IFERROR(INDEX(請求台帳!$F$5:$F$504,MATCH(F846,請求台帳!$A$5:$A$504,0)),""))</f>
        <v/>
      </c>
      <c r="J846" s="28" t="str">
        <f aca="false">IF(COUNTA(B846,D846,E846,F846)=0,"",IF(OR(B846="",E846=""),"要入力",IF(N(B846)&gt;設定!$C$5,"日付誤り",IF(F846="","未消込",IF(ISNA(MATCH(F846,請求台帳!$A$5:$A$504,0)),"番号誤り",IF(INDEX(請求台帳!$Q$5:$Q$504,MATCH(F846,請求台帳!$A$5:$A$504,0))="取消","取消請求へ消込","消込済"))))))</f>
        <v/>
      </c>
      <c r="K846" s="26"/>
      <c r="L846" s="26"/>
    </row>
    <row r="847" customFormat="false" ht="15" hidden="false" customHeight="false" outlineLevel="0" collapsed="false">
      <c r="A847" s="31" t="str">
        <f aca="false">IF(COUNTA(B847,D847,E847,F847)=0,"",ROW()-4)</f>
        <v/>
      </c>
      <c r="B847" s="22"/>
      <c r="C847" s="26"/>
      <c r="D847" s="26"/>
      <c r="E847" s="18"/>
      <c r="F847" s="26"/>
      <c r="G847" s="31" t="str">
        <f aca="false">IF(F847="","",IFERROR(INDEX(請求台帳!$C$5:$C$504,MATCH(F847,請求台帳!$A$5:$A$504,0)),""))</f>
        <v/>
      </c>
      <c r="H847" s="31" t="str">
        <f aca="false">IF(F847="","",IFERROR(INDEX(請求台帳!$D$5:$D$504,MATCH(F847,請求台帳!$A$5:$A$504,0)),""))</f>
        <v/>
      </c>
      <c r="I847" s="27" t="str">
        <f aca="false">IF(F847="","",IFERROR(INDEX(請求台帳!$F$5:$F$504,MATCH(F847,請求台帳!$A$5:$A$504,0)),""))</f>
        <v/>
      </c>
      <c r="J847" s="28" t="str">
        <f aca="false">IF(COUNTA(B847,D847,E847,F847)=0,"",IF(OR(B847="",E847=""),"要入力",IF(N(B847)&gt;設定!$C$5,"日付誤り",IF(F847="","未消込",IF(ISNA(MATCH(F847,請求台帳!$A$5:$A$504,0)),"番号誤り",IF(INDEX(請求台帳!$Q$5:$Q$504,MATCH(F847,請求台帳!$A$5:$A$504,0))="取消","取消請求へ消込","消込済"))))))</f>
        <v/>
      </c>
      <c r="K847" s="26"/>
      <c r="L847" s="26"/>
    </row>
    <row r="848" customFormat="false" ht="15" hidden="false" customHeight="false" outlineLevel="0" collapsed="false">
      <c r="A848" s="31" t="str">
        <f aca="false">IF(COUNTA(B848,D848,E848,F848)=0,"",ROW()-4)</f>
        <v/>
      </c>
      <c r="B848" s="22"/>
      <c r="C848" s="26"/>
      <c r="D848" s="26"/>
      <c r="E848" s="18"/>
      <c r="F848" s="26"/>
      <c r="G848" s="31" t="str">
        <f aca="false">IF(F848="","",IFERROR(INDEX(請求台帳!$C$5:$C$504,MATCH(F848,請求台帳!$A$5:$A$504,0)),""))</f>
        <v/>
      </c>
      <c r="H848" s="31" t="str">
        <f aca="false">IF(F848="","",IFERROR(INDEX(請求台帳!$D$5:$D$504,MATCH(F848,請求台帳!$A$5:$A$504,0)),""))</f>
        <v/>
      </c>
      <c r="I848" s="27" t="str">
        <f aca="false">IF(F848="","",IFERROR(INDEX(請求台帳!$F$5:$F$504,MATCH(F848,請求台帳!$A$5:$A$504,0)),""))</f>
        <v/>
      </c>
      <c r="J848" s="28" t="str">
        <f aca="false">IF(COUNTA(B848,D848,E848,F848)=0,"",IF(OR(B848="",E848=""),"要入力",IF(N(B848)&gt;設定!$C$5,"日付誤り",IF(F848="","未消込",IF(ISNA(MATCH(F848,請求台帳!$A$5:$A$504,0)),"番号誤り",IF(INDEX(請求台帳!$Q$5:$Q$504,MATCH(F848,請求台帳!$A$5:$A$504,0))="取消","取消請求へ消込","消込済"))))))</f>
        <v/>
      </c>
      <c r="K848" s="26"/>
      <c r="L848" s="26"/>
    </row>
    <row r="849" customFormat="false" ht="15" hidden="false" customHeight="false" outlineLevel="0" collapsed="false">
      <c r="A849" s="31" t="str">
        <f aca="false">IF(COUNTA(B849,D849,E849,F849)=0,"",ROW()-4)</f>
        <v/>
      </c>
      <c r="B849" s="22"/>
      <c r="C849" s="26"/>
      <c r="D849" s="26"/>
      <c r="E849" s="18"/>
      <c r="F849" s="26"/>
      <c r="G849" s="31" t="str">
        <f aca="false">IF(F849="","",IFERROR(INDEX(請求台帳!$C$5:$C$504,MATCH(F849,請求台帳!$A$5:$A$504,0)),""))</f>
        <v/>
      </c>
      <c r="H849" s="31" t="str">
        <f aca="false">IF(F849="","",IFERROR(INDEX(請求台帳!$D$5:$D$504,MATCH(F849,請求台帳!$A$5:$A$504,0)),""))</f>
        <v/>
      </c>
      <c r="I849" s="27" t="str">
        <f aca="false">IF(F849="","",IFERROR(INDEX(請求台帳!$F$5:$F$504,MATCH(F849,請求台帳!$A$5:$A$504,0)),""))</f>
        <v/>
      </c>
      <c r="J849" s="28" t="str">
        <f aca="false">IF(COUNTA(B849,D849,E849,F849)=0,"",IF(OR(B849="",E849=""),"要入力",IF(N(B849)&gt;設定!$C$5,"日付誤り",IF(F849="","未消込",IF(ISNA(MATCH(F849,請求台帳!$A$5:$A$504,0)),"番号誤り",IF(INDEX(請求台帳!$Q$5:$Q$504,MATCH(F849,請求台帳!$A$5:$A$504,0))="取消","取消請求へ消込","消込済"))))))</f>
        <v/>
      </c>
      <c r="K849" s="26"/>
      <c r="L849" s="26"/>
    </row>
    <row r="850" customFormat="false" ht="15" hidden="false" customHeight="false" outlineLevel="0" collapsed="false">
      <c r="A850" s="31" t="str">
        <f aca="false">IF(COUNTA(B850,D850,E850,F850)=0,"",ROW()-4)</f>
        <v/>
      </c>
      <c r="B850" s="22"/>
      <c r="C850" s="26"/>
      <c r="D850" s="26"/>
      <c r="E850" s="18"/>
      <c r="F850" s="26"/>
      <c r="G850" s="31" t="str">
        <f aca="false">IF(F850="","",IFERROR(INDEX(請求台帳!$C$5:$C$504,MATCH(F850,請求台帳!$A$5:$A$504,0)),""))</f>
        <v/>
      </c>
      <c r="H850" s="31" t="str">
        <f aca="false">IF(F850="","",IFERROR(INDEX(請求台帳!$D$5:$D$504,MATCH(F850,請求台帳!$A$5:$A$504,0)),""))</f>
        <v/>
      </c>
      <c r="I850" s="27" t="str">
        <f aca="false">IF(F850="","",IFERROR(INDEX(請求台帳!$F$5:$F$504,MATCH(F850,請求台帳!$A$5:$A$504,0)),""))</f>
        <v/>
      </c>
      <c r="J850" s="28" t="str">
        <f aca="false">IF(COUNTA(B850,D850,E850,F850)=0,"",IF(OR(B850="",E850=""),"要入力",IF(N(B850)&gt;設定!$C$5,"日付誤り",IF(F850="","未消込",IF(ISNA(MATCH(F850,請求台帳!$A$5:$A$504,0)),"番号誤り",IF(INDEX(請求台帳!$Q$5:$Q$504,MATCH(F850,請求台帳!$A$5:$A$504,0))="取消","取消請求へ消込","消込済"))))))</f>
        <v/>
      </c>
      <c r="K850" s="26"/>
      <c r="L850" s="26"/>
    </row>
    <row r="851" customFormat="false" ht="15" hidden="false" customHeight="false" outlineLevel="0" collapsed="false">
      <c r="A851" s="31" t="str">
        <f aca="false">IF(COUNTA(B851,D851,E851,F851)=0,"",ROW()-4)</f>
        <v/>
      </c>
      <c r="B851" s="22"/>
      <c r="C851" s="26"/>
      <c r="D851" s="26"/>
      <c r="E851" s="18"/>
      <c r="F851" s="26"/>
      <c r="G851" s="31" t="str">
        <f aca="false">IF(F851="","",IFERROR(INDEX(請求台帳!$C$5:$C$504,MATCH(F851,請求台帳!$A$5:$A$504,0)),""))</f>
        <v/>
      </c>
      <c r="H851" s="31" t="str">
        <f aca="false">IF(F851="","",IFERROR(INDEX(請求台帳!$D$5:$D$504,MATCH(F851,請求台帳!$A$5:$A$504,0)),""))</f>
        <v/>
      </c>
      <c r="I851" s="27" t="str">
        <f aca="false">IF(F851="","",IFERROR(INDEX(請求台帳!$F$5:$F$504,MATCH(F851,請求台帳!$A$5:$A$504,0)),""))</f>
        <v/>
      </c>
      <c r="J851" s="28" t="str">
        <f aca="false">IF(COUNTA(B851,D851,E851,F851)=0,"",IF(OR(B851="",E851=""),"要入力",IF(N(B851)&gt;設定!$C$5,"日付誤り",IF(F851="","未消込",IF(ISNA(MATCH(F851,請求台帳!$A$5:$A$504,0)),"番号誤り",IF(INDEX(請求台帳!$Q$5:$Q$504,MATCH(F851,請求台帳!$A$5:$A$504,0))="取消","取消請求へ消込","消込済"))))))</f>
        <v/>
      </c>
      <c r="K851" s="26"/>
      <c r="L851" s="26"/>
    </row>
    <row r="852" customFormat="false" ht="15" hidden="false" customHeight="false" outlineLevel="0" collapsed="false">
      <c r="A852" s="31" t="str">
        <f aca="false">IF(COUNTA(B852,D852,E852,F852)=0,"",ROW()-4)</f>
        <v/>
      </c>
      <c r="B852" s="22"/>
      <c r="C852" s="26"/>
      <c r="D852" s="26"/>
      <c r="E852" s="18"/>
      <c r="F852" s="26"/>
      <c r="G852" s="31" t="str">
        <f aca="false">IF(F852="","",IFERROR(INDEX(請求台帳!$C$5:$C$504,MATCH(F852,請求台帳!$A$5:$A$504,0)),""))</f>
        <v/>
      </c>
      <c r="H852" s="31" t="str">
        <f aca="false">IF(F852="","",IFERROR(INDEX(請求台帳!$D$5:$D$504,MATCH(F852,請求台帳!$A$5:$A$504,0)),""))</f>
        <v/>
      </c>
      <c r="I852" s="27" t="str">
        <f aca="false">IF(F852="","",IFERROR(INDEX(請求台帳!$F$5:$F$504,MATCH(F852,請求台帳!$A$5:$A$504,0)),""))</f>
        <v/>
      </c>
      <c r="J852" s="28" t="str">
        <f aca="false">IF(COUNTA(B852,D852,E852,F852)=0,"",IF(OR(B852="",E852=""),"要入力",IF(N(B852)&gt;設定!$C$5,"日付誤り",IF(F852="","未消込",IF(ISNA(MATCH(F852,請求台帳!$A$5:$A$504,0)),"番号誤り",IF(INDEX(請求台帳!$Q$5:$Q$504,MATCH(F852,請求台帳!$A$5:$A$504,0))="取消","取消請求へ消込","消込済"))))))</f>
        <v/>
      </c>
      <c r="K852" s="26"/>
      <c r="L852" s="26"/>
    </row>
    <row r="853" customFormat="false" ht="15" hidden="false" customHeight="false" outlineLevel="0" collapsed="false">
      <c r="A853" s="31" t="str">
        <f aca="false">IF(COUNTA(B853,D853,E853,F853)=0,"",ROW()-4)</f>
        <v/>
      </c>
      <c r="B853" s="22"/>
      <c r="C853" s="26"/>
      <c r="D853" s="26"/>
      <c r="E853" s="18"/>
      <c r="F853" s="26"/>
      <c r="G853" s="31" t="str">
        <f aca="false">IF(F853="","",IFERROR(INDEX(請求台帳!$C$5:$C$504,MATCH(F853,請求台帳!$A$5:$A$504,0)),""))</f>
        <v/>
      </c>
      <c r="H853" s="31" t="str">
        <f aca="false">IF(F853="","",IFERROR(INDEX(請求台帳!$D$5:$D$504,MATCH(F853,請求台帳!$A$5:$A$504,0)),""))</f>
        <v/>
      </c>
      <c r="I853" s="27" t="str">
        <f aca="false">IF(F853="","",IFERROR(INDEX(請求台帳!$F$5:$F$504,MATCH(F853,請求台帳!$A$5:$A$504,0)),""))</f>
        <v/>
      </c>
      <c r="J853" s="28" t="str">
        <f aca="false">IF(COUNTA(B853,D853,E853,F853)=0,"",IF(OR(B853="",E853=""),"要入力",IF(N(B853)&gt;設定!$C$5,"日付誤り",IF(F853="","未消込",IF(ISNA(MATCH(F853,請求台帳!$A$5:$A$504,0)),"番号誤り",IF(INDEX(請求台帳!$Q$5:$Q$504,MATCH(F853,請求台帳!$A$5:$A$504,0))="取消","取消請求へ消込","消込済"))))))</f>
        <v/>
      </c>
      <c r="K853" s="26"/>
      <c r="L853" s="26"/>
    </row>
    <row r="854" customFormat="false" ht="15" hidden="false" customHeight="false" outlineLevel="0" collapsed="false">
      <c r="A854" s="31" t="str">
        <f aca="false">IF(COUNTA(B854,D854,E854,F854)=0,"",ROW()-4)</f>
        <v/>
      </c>
      <c r="B854" s="22"/>
      <c r="C854" s="26"/>
      <c r="D854" s="26"/>
      <c r="E854" s="18"/>
      <c r="F854" s="26"/>
      <c r="G854" s="31" t="str">
        <f aca="false">IF(F854="","",IFERROR(INDEX(請求台帳!$C$5:$C$504,MATCH(F854,請求台帳!$A$5:$A$504,0)),""))</f>
        <v/>
      </c>
      <c r="H854" s="31" t="str">
        <f aca="false">IF(F854="","",IFERROR(INDEX(請求台帳!$D$5:$D$504,MATCH(F854,請求台帳!$A$5:$A$504,0)),""))</f>
        <v/>
      </c>
      <c r="I854" s="27" t="str">
        <f aca="false">IF(F854="","",IFERROR(INDEX(請求台帳!$F$5:$F$504,MATCH(F854,請求台帳!$A$5:$A$504,0)),""))</f>
        <v/>
      </c>
      <c r="J854" s="28" t="str">
        <f aca="false">IF(COUNTA(B854,D854,E854,F854)=0,"",IF(OR(B854="",E854=""),"要入力",IF(N(B854)&gt;設定!$C$5,"日付誤り",IF(F854="","未消込",IF(ISNA(MATCH(F854,請求台帳!$A$5:$A$504,0)),"番号誤り",IF(INDEX(請求台帳!$Q$5:$Q$504,MATCH(F854,請求台帳!$A$5:$A$504,0))="取消","取消請求へ消込","消込済"))))))</f>
        <v/>
      </c>
      <c r="K854" s="26"/>
      <c r="L854" s="26"/>
    </row>
    <row r="855" customFormat="false" ht="15" hidden="false" customHeight="false" outlineLevel="0" collapsed="false">
      <c r="A855" s="31" t="str">
        <f aca="false">IF(COUNTA(B855,D855,E855,F855)=0,"",ROW()-4)</f>
        <v/>
      </c>
      <c r="B855" s="22"/>
      <c r="C855" s="26"/>
      <c r="D855" s="26"/>
      <c r="E855" s="18"/>
      <c r="F855" s="26"/>
      <c r="G855" s="31" t="str">
        <f aca="false">IF(F855="","",IFERROR(INDEX(請求台帳!$C$5:$C$504,MATCH(F855,請求台帳!$A$5:$A$504,0)),""))</f>
        <v/>
      </c>
      <c r="H855" s="31" t="str">
        <f aca="false">IF(F855="","",IFERROR(INDEX(請求台帳!$D$5:$D$504,MATCH(F855,請求台帳!$A$5:$A$504,0)),""))</f>
        <v/>
      </c>
      <c r="I855" s="27" t="str">
        <f aca="false">IF(F855="","",IFERROR(INDEX(請求台帳!$F$5:$F$504,MATCH(F855,請求台帳!$A$5:$A$504,0)),""))</f>
        <v/>
      </c>
      <c r="J855" s="28" t="str">
        <f aca="false">IF(COUNTA(B855,D855,E855,F855)=0,"",IF(OR(B855="",E855=""),"要入力",IF(N(B855)&gt;設定!$C$5,"日付誤り",IF(F855="","未消込",IF(ISNA(MATCH(F855,請求台帳!$A$5:$A$504,0)),"番号誤り",IF(INDEX(請求台帳!$Q$5:$Q$504,MATCH(F855,請求台帳!$A$5:$A$504,0))="取消","取消請求へ消込","消込済"))))))</f>
        <v/>
      </c>
      <c r="K855" s="26"/>
      <c r="L855" s="26"/>
    </row>
    <row r="856" customFormat="false" ht="15" hidden="false" customHeight="false" outlineLevel="0" collapsed="false">
      <c r="A856" s="31" t="str">
        <f aca="false">IF(COUNTA(B856,D856,E856,F856)=0,"",ROW()-4)</f>
        <v/>
      </c>
      <c r="B856" s="22"/>
      <c r="C856" s="26"/>
      <c r="D856" s="26"/>
      <c r="E856" s="18"/>
      <c r="F856" s="26"/>
      <c r="G856" s="31" t="str">
        <f aca="false">IF(F856="","",IFERROR(INDEX(請求台帳!$C$5:$C$504,MATCH(F856,請求台帳!$A$5:$A$504,0)),""))</f>
        <v/>
      </c>
      <c r="H856" s="31" t="str">
        <f aca="false">IF(F856="","",IFERROR(INDEX(請求台帳!$D$5:$D$504,MATCH(F856,請求台帳!$A$5:$A$504,0)),""))</f>
        <v/>
      </c>
      <c r="I856" s="27" t="str">
        <f aca="false">IF(F856="","",IFERROR(INDEX(請求台帳!$F$5:$F$504,MATCH(F856,請求台帳!$A$5:$A$504,0)),""))</f>
        <v/>
      </c>
      <c r="J856" s="28" t="str">
        <f aca="false">IF(COUNTA(B856,D856,E856,F856)=0,"",IF(OR(B856="",E856=""),"要入力",IF(N(B856)&gt;設定!$C$5,"日付誤り",IF(F856="","未消込",IF(ISNA(MATCH(F856,請求台帳!$A$5:$A$504,0)),"番号誤り",IF(INDEX(請求台帳!$Q$5:$Q$504,MATCH(F856,請求台帳!$A$5:$A$504,0))="取消","取消請求へ消込","消込済"))))))</f>
        <v/>
      </c>
      <c r="K856" s="26"/>
      <c r="L856" s="26"/>
    </row>
    <row r="857" customFormat="false" ht="15" hidden="false" customHeight="false" outlineLevel="0" collapsed="false">
      <c r="A857" s="31" t="str">
        <f aca="false">IF(COUNTA(B857,D857,E857,F857)=0,"",ROW()-4)</f>
        <v/>
      </c>
      <c r="B857" s="22"/>
      <c r="C857" s="26"/>
      <c r="D857" s="26"/>
      <c r="E857" s="18"/>
      <c r="F857" s="26"/>
      <c r="G857" s="31" t="str">
        <f aca="false">IF(F857="","",IFERROR(INDEX(請求台帳!$C$5:$C$504,MATCH(F857,請求台帳!$A$5:$A$504,0)),""))</f>
        <v/>
      </c>
      <c r="H857" s="31" t="str">
        <f aca="false">IF(F857="","",IFERROR(INDEX(請求台帳!$D$5:$D$504,MATCH(F857,請求台帳!$A$5:$A$504,0)),""))</f>
        <v/>
      </c>
      <c r="I857" s="27" t="str">
        <f aca="false">IF(F857="","",IFERROR(INDEX(請求台帳!$F$5:$F$504,MATCH(F857,請求台帳!$A$5:$A$504,0)),""))</f>
        <v/>
      </c>
      <c r="J857" s="28" t="str">
        <f aca="false">IF(COUNTA(B857,D857,E857,F857)=0,"",IF(OR(B857="",E857=""),"要入力",IF(N(B857)&gt;設定!$C$5,"日付誤り",IF(F857="","未消込",IF(ISNA(MATCH(F857,請求台帳!$A$5:$A$504,0)),"番号誤り",IF(INDEX(請求台帳!$Q$5:$Q$504,MATCH(F857,請求台帳!$A$5:$A$504,0))="取消","取消請求へ消込","消込済"))))))</f>
        <v/>
      </c>
      <c r="K857" s="26"/>
      <c r="L857" s="26"/>
    </row>
    <row r="858" customFormat="false" ht="15" hidden="false" customHeight="false" outlineLevel="0" collapsed="false">
      <c r="A858" s="31" t="str">
        <f aca="false">IF(COUNTA(B858,D858,E858,F858)=0,"",ROW()-4)</f>
        <v/>
      </c>
      <c r="B858" s="22"/>
      <c r="C858" s="26"/>
      <c r="D858" s="26"/>
      <c r="E858" s="18"/>
      <c r="F858" s="26"/>
      <c r="G858" s="31" t="str">
        <f aca="false">IF(F858="","",IFERROR(INDEX(請求台帳!$C$5:$C$504,MATCH(F858,請求台帳!$A$5:$A$504,0)),""))</f>
        <v/>
      </c>
      <c r="H858" s="31" t="str">
        <f aca="false">IF(F858="","",IFERROR(INDEX(請求台帳!$D$5:$D$504,MATCH(F858,請求台帳!$A$5:$A$504,0)),""))</f>
        <v/>
      </c>
      <c r="I858" s="27" t="str">
        <f aca="false">IF(F858="","",IFERROR(INDEX(請求台帳!$F$5:$F$504,MATCH(F858,請求台帳!$A$5:$A$504,0)),""))</f>
        <v/>
      </c>
      <c r="J858" s="28" t="str">
        <f aca="false">IF(COUNTA(B858,D858,E858,F858)=0,"",IF(OR(B858="",E858=""),"要入力",IF(N(B858)&gt;設定!$C$5,"日付誤り",IF(F858="","未消込",IF(ISNA(MATCH(F858,請求台帳!$A$5:$A$504,0)),"番号誤り",IF(INDEX(請求台帳!$Q$5:$Q$504,MATCH(F858,請求台帳!$A$5:$A$504,0))="取消","取消請求へ消込","消込済"))))))</f>
        <v/>
      </c>
      <c r="K858" s="26"/>
      <c r="L858" s="26"/>
    </row>
    <row r="859" customFormat="false" ht="15" hidden="false" customHeight="false" outlineLevel="0" collapsed="false">
      <c r="A859" s="31" t="str">
        <f aca="false">IF(COUNTA(B859,D859,E859,F859)=0,"",ROW()-4)</f>
        <v/>
      </c>
      <c r="B859" s="22"/>
      <c r="C859" s="26"/>
      <c r="D859" s="26"/>
      <c r="E859" s="18"/>
      <c r="F859" s="26"/>
      <c r="G859" s="31" t="str">
        <f aca="false">IF(F859="","",IFERROR(INDEX(請求台帳!$C$5:$C$504,MATCH(F859,請求台帳!$A$5:$A$504,0)),""))</f>
        <v/>
      </c>
      <c r="H859" s="31" t="str">
        <f aca="false">IF(F859="","",IFERROR(INDEX(請求台帳!$D$5:$D$504,MATCH(F859,請求台帳!$A$5:$A$504,0)),""))</f>
        <v/>
      </c>
      <c r="I859" s="27" t="str">
        <f aca="false">IF(F859="","",IFERROR(INDEX(請求台帳!$F$5:$F$504,MATCH(F859,請求台帳!$A$5:$A$504,0)),""))</f>
        <v/>
      </c>
      <c r="J859" s="28" t="str">
        <f aca="false">IF(COUNTA(B859,D859,E859,F859)=0,"",IF(OR(B859="",E859=""),"要入力",IF(N(B859)&gt;設定!$C$5,"日付誤り",IF(F859="","未消込",IF(ISNA(MATCH(F859,請求台帳!$A$5:$A$504,0)),"番号誤り",IF(INDEX(請求台帳!$Q$5:$Q$504,MATCH(F859,請求台帳!$A$5:$A$504,0))="取消","取消請求へ消込","消込済"))))))</f>
        <v/>
      </c>
      <c r="K859" s="26"/>
      <c r="L859" s="26"/>
    </row>
    <row r="860" customFormat="false" ht="15" hidden="false" customHeight="false" outlineLevel="0" collapsed="false">
      <c r="A860" s="31" t="str">
        <f aca="false">IF(COUNTA(B860,D860,E860,F860)=0,"",ROW()-4)</f>
        <v/>
      </c>
      <c r="B860" s="22"/>
      <c r="C860" s="26"/>
      <c r="D860" s="26"/>
      <c r="E860" s="18"/>
      <c r="F860" s="26"/>
      <c r="G860" s="31" t="str">
        <f aca="false">IF(F860="","",IFERROR(INDEX(請求台帳!$C$5:$C$504,MATCH(F860,請求台帳!$A$5:$A$504,0)),""))</f>
        <v/>
      </c>
      <c r="H860" s="31" t="str">
        <f aca="false">IF(F860="","",IFERROR(INDEX(請求台帳!$D$5:$D$504,MATCH(F860,請求台帳!$A$5:$A$504,0)),""))</f>
        <v/>
      </c>
      <c r="I860" s="27" t="str">
        <f aca="false">IF(F860="","",IFERROR(INDEX(請求台帳!$F$5:$F$504,MATCH(F860,請求台帳!$A$5:$A$504,0)),""))</f>
        <v/>
      </c>
      <c r="J860" s="28" t="str">
        <f aca="false">IF(COUNTA(B860,D860,E860,F860)=0,"",IF(OR(B860="",E860=""),"要入力",IF(N(B860)&gt;設定!$C$5,"日付誤り",IF(F860="","未消込",IF(ISNA(MATCH(F860,請求台帳!$A$5:$A$504,0)),"番号誤り",IF(INDEX(請求台帳!$Q$5:$Q$504,MATCH(F860,請求台帳!$A$5:$A$504,0))="取消","取消請求へ消込","消込済"))))))</f>
        <v/>
      </c>
      <c r="K860" s="26"/>
      <c r="L860" s="26"/>
    </row>
    <row r="861" customFormat="false" ht="15" hidden="false" customHeight="false" outlineLevel="0" collapsed="false">
      <c r="A861" s="31" t="str">
        <f aca="false">IF(COUNTA(B861,D861,E861,F861)=0,"",ROW()-4)</f>
        <v/>
      </c>
      <c r="B861" s="22"/>
      <c r="C861" s="26"/>
      <c r="D861" s="26"/>
      <c r="E861" s="18"/>
      <c r="F861" s="26"/>
      <c r="G861" s="31" t="str">
        <f aca="false">IF(F861="","",IFERROR(INDEX(請求台帳!$C$5:$C$504,MATCH(F861,請求台帳!$A$5:$A$504,0)),""))</f>
        <v/>
      </c>
      <c r="H861" s="31" t="str">
        <f aca="false">IF(F861="","",IFERROR(INDEX(請求台帳!$D$5:$D$504,MATCH(F861,請求台帳!$A$5:$A$504,0)),""))</f>
        <v/>
      </c>
      <c r="I861" s="27" t="str">
        <f aca="false">IF(F861="","",IFERROR(INDEX(請求台帳!$F$5:$F$504,MATCH(F861,請求台帳!$A$5:$A$504,0)),""))</f>
        <v/>
      </c>
      <c r="J861" s="28" t="str">
        <f aca="false">IF(COUNTA(B861,D861,E861,F861)=0,"",IF(OR(B861="",E861=""),"要入力",IF(N(B861)&gt;設定!$C$5,"日付誤り",IF(F861="","未消込",IF(ISNA(MATCH(F861,請求台帳!$A$5:$A$504,0)),"番号誤り",IF(INDEX(請求台帳!$Q$5:$Q$504,MATCH(F861,請求台帳!$A$5:$A$504,0))="取消","取消請求へ消込","消込済"))))))</f>
        <v/>
      </c>
      <c r="K861" s="26"/>
      <c r="L861" s="26"/>
    </row>
    <row r="862" customFormat="false" ht="15" hidden="false" customHeight="false" outlineLevel="0" collapsed="false">
      <c r="A862" s="31" t="str">
        <f aca="false">IF(COUNTA(B862,D862,E862,F862)=0,"",ROW()-4)</f>
        <v/>
      </c>
      <c r="B862" s="22"/>
      <c r="C862" s="26"/>
      <c r="D862" s="26"/>
      <c r="E862" s="18"/>
      <c r="F862" s="26"/>
      <c r="G862" s="31" t="str">
        <f aca="false">IF(F862="","",IFERROR(INDEX(請求台帳!$C$5:$C$504,MATCH(F862,請求台帳!$A$5:$A$504,0)),""))</f>
        <v/>
      </c>
      <c r="H862" s="31" t="str">
        <f aca="false">IF(F862="","",IFERROR(INDEX(請求台帳!$D$5:$D$504,MATCH(F862,請求台帳!$A$5:$A$504,0)),""))</f>
        <v/>
      </c>
      <c r="I862" s="27" t="str">
        <f aca="false">IF(F862="","",IFERROR(INDEX(請求台帳!$F$5:$F$504,MATCH(F862,請求台帳!$A$5:$A$504,0)),""))</f>
        <v/>
      </c>
      <c r="J862" s="28" t="str">
        <f aca="false">IF(COUNTA(B862,D862,E862,F862)=0,"",IF(OR(B862="",E862=""),"要入力",IF(N(B862)&gt;設定!$C$5,"日付誤り",IF(F862="","未消込",IF(ISNA(MATCH(F862,請求台帳!$A$5:$A$504,0)),"番号誤り",IF(INDEX(請求台帳!$Q$5:$Q$504,MATCH(F862,請求台帳!$A$5:$A$504,0))="取消","取消請求へ消込","消込済"))))))</f>
        <v/>
      </c>
      <c r="K862" s="26"/>
      <c r="L862" s="26"/>
    </row>
    <row r="863" customFormat="false" ht="15" hidden="false" customHeight="false" outlineLevel="0" collapsed="false">
      <c r="A863" s="31" t="str">
        <f aca="false">IF(COUNTA(B863,D863,E863,F863)=0,"",ROW()-4)</f>
        <v/>
      </c>
      <c r="B863" s="22"/>
      <c r="C863" s="26"/>
      <c r="D863" s="26"/>
      <c r="E863" s="18"/>
      <c r="F863" s="26"/>
      <c r="G863" s="31" t="str">
        <f aca="false">IF(F863="","",IFERROR(INDEX(請求台帳!$C$5:$C$504,MATCH(F863,請求台帳!$A$5:$A$504,0)),""))</f>
        <v/>
      </c>
      <c r="H863" s="31" t="str">
        <f aca="false">IF(F863="","",IFERROR(INDEX(請求台帳!$D$5:$D$504,MATCH(F863,請求台帳!$A$5:$A$504,0)),""))</f>
        <v/>
      </c>
      <c r="I863" s="27" t="str">
        <f aca="false">IF(F863="","",IFERROR(INDEX(請求台帳!$F$5:$F$504,MATCH(F863,請求台帳!$A$5:$A$504,0)),""))</f>
        <v/>
      </c>
      <c r="J863" s="28" t="str">
        <f aca="false">IF(COUNTA(B863,D863,E863,F863)=0,"",IF(OR(B863="",E863=""),"要入力",IF(N(B863)&gt;設定!$C$5,"日付誤り",IF(F863="","未消込",IF(ISNA(MATCH(F863,請求台帳!$A$5:$A$504,0)),"番号誤り",IF(INDEX(請求台帳!$Q$5:$Q$504,MATCH(F863,請求台帳!$A$5:$A$504,0))="取消","取消請求へ消込","消込済"))))))</f>
        <v/>
      </c>
      <c r="K863" s="26"/>
      <c r="L863" s="26"/>
    </row>
    <row r="864" customFormat="false" ht="15" hidden="false" customHeight="false" outlineLevel="0" collapsed="false">
      <c r="A864" s="31" t="str">
        <f aca="false">IF(COUNTA(B864,D864,E864,F864)=0,"",ROW()-4)</f>
        <v/>
      </c>
      <c r="B864" s="22"/>
      <c r="C864" s="26"/>
      <c r="D864" s="26"/>
      <c r="E864" s="18"/>
      <c r="F864" s="26"/>
      <c r="G864" s="31" t="str">
        <f aca="false">IF(F864="","",IFERROR(INDEX(請求台帳!$C$5:$C$504,MATCH(F864,請求台帳!$A$5:$A$504,0)),""))</f>
        <v/>
      </c>
      <c r="H864" s="31" t="str">
        <f aca="false">IF(F864="","",IFERROR(INDEX(請求台帳!$D$5:$D$504,MATCH(F864,請求台帳!$A$5:$A$504,0)),""))</f>
        <v/>
      </c>
      <c r="I864" s="27" t="str">
        <f aca="false">IF(F864="","",IFERROR(INDEX(請求台帳!$F$5:$F$504,MATCH(F864,請求台帳!$A$5:$A$504,0)),""))</f>
        <v/>
      </c>
      <c r="J864" s="28" t="str">
        <f aca="false">IF(COUNTA(B864,D864,E864,F864)=0,"",IF(OR(B864="",E864=""),"要入力",IF(N(B864)&gt;設定!$C$5,"日付誤り",IF(F864="","未消込",IF(ISNA(MATCH(F864,請求台帳!$A$5:$A$504,0)),"番号誤り",IF(INDEX(請求台帳!$Q$5:$Q$504,MATCH(F864,請求台帳!$A$5:$A$504,0))="取消","取消請求へ消込","消込済"))))))</f>
        <v/>
      </c>
      <c r="K864" s="26"/>
      <c r="L864" s="26"/>
    </row>
    <row r="865" customFormat="false" ht="15" hidden="false" customHeight="false" outlineLevel="0" collapsed="false">
      <c r="A865" s="31" t="str">
        <f aca="false">IF(COUNTA(B865,D865,E865,F865)=0,"",ROW()-4)</f>
        <v/>
      </c>
      <c r="B865" s="22"/>
      <c r="C865" s="26"/>
      <c r="D865" s="26"/>
      <c r="E865" s="18"/>
      <c r="F865" s="26"/>
      <c r="G865" s="31" t="str">
        <f aca="false">IF(F865="","",IFERROR(INDEX(請求台帳!$C$5:$C$504,MATCH(F865,請求台帳!$A$5:$A$504,0)),""))</f>
        <v/>
      </c>
      <c r="H865" s="31" t="str">
        <f aca="false">IF(F865="","",IFERROR(INDEX(請求台帳!$D$5:$D$504,MATCH(F865,請求台帳!$A$5:$A$504,0)),""))</f>
        <v/>
      </c>
      <c r="I865" s="27" t="str">
        <f aca="false">IF(F865="","",IFERROR(INDEX(請求台帳!$F$5:$F$504,MATCH(F865,請求台帳!$A$5:$A$504,0)),""))</f>
        <v/>
      </c>
      <c r="J865" s="28" t="str">
        <f aca="false">IF(COUNTA(B865,D865,E865,F865)=0,"",IF(OR(B865="",E865=""),"要入力",IF(N(B865)&gt;設定!$C$5,"日付誤り",IF(F865="","未消込",IF(ISNA(MATCH(F865,請求台帳!$A$5:$A$504,0)),"番号誤り",IF(INDEX(請求台帳!$Q$5:$Q$504,MATCH(F865,請求台帳!$A$5:$A$504,0))="取消","取消請求へ消込","消込済"))))))</f>
        <v/>
      </c>
      <c r="K865" s="26"/>
      <c r="L865" s="26"/>
    </row>
    <row r="866" customFormat="false" ht="15" hidden="false" customHeight="false" outlineLevel="0" collapsed="false">
      <c r="A866" s="31" t="str">
        <f aca="false">IF(COUNTA(B866,D866,E866,F866)=0,"",ROW()-4)</f>
        <v/>
      </c>
      <c r="B866" s="22"/>
      <c r="C866" s="26"/>
      <c r="D866" s="26"/>
      <c r="E866" s="18"/>
      <c r="F866" s="26"/>
      <c r="G866" s="31" t="str">
        <f aca="false">IF(F866="","",IFERROR(INDEX(請求台帳!$C$5:$C$504,MATCH(F866,請求台帳!$A$5:$A$504,0)),""))</f>
        <v/>
      </c>
      <c r="H866" s="31" t="str">
        <f aca="false">IF(F866="","",IFERROR(INDEX(請求台帳!$D$5:$D$504,MATCH(F866,請求台帳!$A$5:$A$504,0)),""))</f>
        <v/>
      </c>
      <c r="I866" s="27" t="str">
        <f aca="false">IF(F866="","",IFERROR(INDEX(請求台帳!$F$5:$F$504,MATCH(F866,請求台帳!$A$5:$A$504,0)),""))</f>
        <v/>
      </c>
      <c r="J866" s="28" t="str">
        <f aca="false">IF(COUNTA(B866,D866,E866,F866)=0,"",IF(OR(B866="",E866=""),"要入力",IF(N(B866)&gt;設定!$C$5,"日付誤り",IF(F866="","未消込",IF(ISNA(MATCH(F866,請求台帳!$A$5:$A$504,0)),"番号誤り",IF(INDEX(請求台帳!$Q$5:$Q$504,MATCH(F866,請求台帳!$A$5:$A$504,0))="取消","取消請求へ消込","消込済"))))))</f>
        <v/>
      </c>
      <c r="K866" s="26"/>
      <c r="L866" s="26"/>
    </row>
    <row r="867" customFormat="false" ht="15" hidden="false" customHeight="false" outlineLevel="0" collapsed="false">
      <c r="A867" s="31" t="str">
        <f aca="false">IF(COUNTA(B867,D867,E867,F867)=0,"",ROW()-4)</f>
        <v/>
      </c>
      <c r="B867" s="22"/>
      <c r="C867" s="26"/>
      <c r="D867" s="26"/>
      <c r="E867" s="18"/>
      <c r="F867" s="26"/>
      <c r="G867" s="31" t="str">
        <f aca="false">IF(F867="","",IFERROR(INDEX(請求台帳!$C$5:$C$504,MATCH(F867,請求台帳!$A$5:$A$504,0)),""))</f>
        <v/>
      </c>
      <c r="H867" s="31" t="str">
        <f aca="false">IF(F867="","",IFERROR(INDEX(請求台帳!$D$5:$D$504,MATCH(F867,請求台帳!$A$5:$A$504,0)),""))</f>
        <v/>
      </c>
      <c r="I867" s="27" t="str">
        <f aca="false">IF(F867="","",IFERROR(INDEX(請求台帳!$F$5:$F$504,MATCH(F867,請求台帳!$A$5:$A$504,0)),""))</f>
        <v/>
      </c>
      <c r="J867" s="28" t="str">
        <f aca="false">IF(COUNTA(B867,D867,E867,F867)=0,"",IF(OR(B867="",E867=""),"要入力",IF(N(B867)&gt;設定!$C$5,"日付誤り",IF(F867="","未消込",IF(ISNA(MATCH(F867,請求台帳!$A$5:$A$504,0)),"番号誤り",IF(INDEX(請求台帳!$Q$5:$Q$504,MATCH(F867,請求台帳!$A$5:$A$504,0))="取消","取消請求へ消込","消込済"))))))</f>
        <v/>
      </c>
      <c r="K867" s="26"/>
      <c r="L867" s="26"/>
    </row>
    <row r="868" customFormat="false" ht="15" hidden="false" customHeight="false" outlineLevel="0" collapsed="false">
      <c r="A868" s="31" t="str">
        <f aca="false">IF(COUNTA(B868,D868,E868,F868)=0,"",ROW()-4)</f>
        <v/>
      </c>
      <c r="B868" s="22"/>
      <c r="C868" s="26"/>
      <c r="D868" s="26"/>
      <c r="E868" s="18"/>
      <c r="F868" s="26"/>
      <c r="G868" s="31" t="str">
        <f aca="false">IF(F868="","",IFERROR(INDEX(請求台帳!$C$5:$C$504,MATCH(F868,請求台帳!$A$5:$A$504,0)),""))</f>
        <v/>
      </c>
      <c r="H868" s="31" t="str">
        <f aca="false">IF(F868="","",IFERROR(INDEX(請求台帳!$D$5:$D$504,MATCH(F868,請求台帳!$A$5:$A$504,0)),""))</f>
        <v/>
      </c>
      <c r="I868" s="27" t="str">
        <f aca="false">IF(F868="","",IFERROR(INDEX(請求台帳!$F$5:$F$504,MATCH(F868,請求台帳!$A$5:$A$504,0)),""))</f>
        <v/>
      </c>
      <c r="J868" s="28" t="str">
        <f aca="false">IF(COUNTA(B868,D868,E868,F868)=0,"",IF(OR(B868="",E868=""),"要入力",IF(N(B868)&gt;設定!$C$5,"日付誤り",IF(F868="","未消込",IF(ISNA(MATCH(F868,請求台帳!$A$5:$A$504,0)),"番号誤り",IF(INDEX(請求台帳!$Q$5:$Q$504,MATCH(F868,請求台帳!$A$5:$A$504,0))="取消","取消請求へ消込","消込済"))))))</f>
        <v/>
      </c>
      <c r="K868" s="26"/>
      <c r="L868" s="26"/>
    </row>
    <row r="869" customFormat="false" ht="15" hidden="false" customHeight="false" outlineLevel="0" collapsed="false">
      <c r="A869" s="31" t="str">
        <f aca="false">IF(COUNTA(B869,D869,E869,F869)=0,"",ROW()-4)</f>
        <v/>
      </c>
      <c r="B869" s="22"/>
      <c r="C869" s="26"/>
      <c r="D869" s="26"/>
      <c r="E869" s="18"/>
      <c r="F869" s="26"/>
      <c r="G869" s="31" t="str">
        <f aca="false">IF(F869="","",IFERROR(INDEX(請求台帳!$C$5:$C$504,MATCH(F869,請求台帳!$A$5:$A$504,0)),""))</f>
        <v/>
      </c>
      <c r="H869" s="31" t="str">
        <f aca="false">IF(F869="","",IFERROR(INDEX(請求台帳!$D$5:$D$504,MATCH(F869,請求台帳!$A$5:$A$504,0)),""))</f>
        <v/>
      </c>
      <c r="I869" s="27" t="str">
        <f aca="false">IF(F869="","",IFERROR(INDEX(請求台帳!$F$5:$F$504,MATCH(F869,請求台帳!$A$5:$A$504,0)),""))</f>
        <v/>
      </c>
      <c r="J869" s="28" t="str">
        <f aca="false">IF(COUNTA(B869,D869,E869,F869)=0,"",IF(OR(B869="",E869=""),"要入力",IF(N(B869)&gt;設定!$C$5,"日付誤り",IF(F869="","未消込",IF(ISNA(MATCH(F869,請求台帳!$A$5:$A$504,0)),"番号誤り",IF(INDEX(請求台帳!$Q$5:$Q$504,MATCH(F869,請求台帳!$A$5:$A$504,0))="取消","取消請求へ消込","消込済"))))))</f>
        <v/>
      </c>
      <c r="K869" s="26"/>
      <c r="L869" s="26"/>
    </row>
    <row r="870" customFormat="false" ht="15" hidden="false" customHeight="false" outlineLevel="0" collapsed="false">
      <c r="A870" s="31" t="str">
        <f aca="false">IF(COUNTA(B870,D870,E870,F870)=0,"",ROW()-4)</f>
        <v/>
      </c>
      <c r="B870" s="22"/>
      <c r="C870" s="26"/>
      <c r="D870" s="26"/>
      <c r="E870" s="18"/>
      <c r="F870" s="26"/>
      <c r="G870" s="31" t="str">
        <f aca="false">IF(F870="","",IFERROR(INDEX(請求台帳!$C$5:$C$504,MATCH(F870,請求台帳!$A$5:$A$504,0)),""))</f>
        <v/>
      </c>
      <c r="H870" s="31" t="str">
        <f aca="false">IF(F870="","",IFERROR(INDEX(請求台帳!$D$5:$D$504,MATCH(F870,請求台帳!$A$5:$A$504,0)),""))</f>
        <v/>
      </c>
      <c r="I870" s="27" t="str">
        <f aca="false">IF(F870="","",IFERROR(INDEX(請求台帳!$F$5:$F$504,MATCH(F870,請求台帳!$A$5:$A$504,0)),""))</f>
        <v/>
      </c>
      <c r="J870" s="28" t="str">
        <f aca="false">IF(COUNTA(B870,D870,E870,F870)=0,"",IF(OR(B870="",E870=""),"要入力",IF(N(B870)&gt;設定!$C$5,"日付誤り",IF(F870="","未消込",IF(ISNA(MATCH(F870,請求台帳!$A$5:$A$504,0)),"番号誤り",IF(INDEX(請求台帳!$Q$5:$Q$504,MATCH(F870,請求台帳!$A$5:$A$504,0))="取消","取消請求へ消込","消込済"))))))</f>
        <v/>
      </c>
      <c r="K870" s="26"/>
      <c r="L870" s="26"/>
    </row>
    <row r="871" customFormat="false" ht="15" hidden="false" customHeight="false" outlineLevel="0" collapsed="false">
      <c r="A871" s="31" t="str">
        <f aca="false">IF(COUNTA(B871,D871,E871,F871)=0,"",ROW()-4)</f>
        <v/>
      </c>
      <c r="B871" s="22"/>
      <c r="C871" s="26"/>
      <c r="D871" s="26"/>
      <c r="E871" s="18"/>
      <c r="F871" s="26"/>
      <c r="G871" s="31" t="str">
        <f aca="false">IF(F871="","",IFERROR(INDEX(請求台帳!$C$5:$C$504,MATCH(F871,請求台帳!$A$5:$A$504,0)),""))</f>
        <v/>
      </c>
      <c r="H871" s="31" t="str">
        <f aca="false">IF(F871="","",IFERROR(INDEX(請求台帳!$D$5:$D$504,MATCH(F871,請求台帳!$A$5:$A$504,0)),""))</f>
        <v/>
      </c>
      <c r="I871" s="27" t="str">
        <f aca="false">IF(F871="","",IFERROR(INDEX(請求台帳!$F$5:$F$504,MATCH(F871,請求台帳!$A$5:$A$504,0)),""))</f>
        <v/>
      </c>
      <c r="J871" s="28" t="str">
        <f aca="false">IF(COUNTA(B871,D871,E871,F871)=0,"",IF(OR(B871="",E871=""),"要入力",IF(N(B871)&gt;設定!$C$5,"日付誤り",IF(F871="","未消込",IF(ISNA(MATCH(F871,請求台帳!$A$5:$A$504,0)),"番号誤り",IF(INDEX(請求台帳!$Q$5:$Q$504,MATCH(F871,請求台帳!$A$5:$A$504,0))="取消","取消請求へ消込","消込済"))))))</f>
        <v/>
      </c>
      <c r="K871" s="26"/>
      <c r="L871" s="26"/>
    </row>
    <row r="872" customFormat="false" ht="15" hidden="false" customHeight="false" outlineLevel="0" collapsed="false">
      <c r="A872" s="31" t="str">
        <f aca="false">IF(COUNTA(B872,D872,E872,F872)=0,"",ROW()-4)</f>
        <v/>
      </c>
      <c r="B872" s="22"/>
      <c r="C872" s="26"/>
      <c r="D872" s="26"/>
      <c r="E872" s="18"/>
      <c r="F872" s="26"/>
      <c r="G872" s="31" t="str">
        <f aca="false">IF(F872="","",IFERROR(INDEX(請求台帳!$C$5:$C$504,MATCH(F872,請求台帳!$A$5:$A$504,0)),""))</f>
        <v/>
      </c>
      <c r="H872" s="31" t="str">
        <f aca="false">IF(F872="","",IFERROR(INDEX(請求台帳!$D$5:$D$504,MATCH(F872,請求台帳!$A$5:$A$504,0)),""))</f>
        <v/>
      </c>
      <c r="I872" s="27" t="str">
        <f aca="false">IF(F872="","",IFERROR(INDEX(請求台帳!$F$5:$F$504,MATCH(F872,請求台帳!$A$5:$A$504,0)),""))</f>
        <v/>
      </c>
      <c r="J872" s="28" t="str">
        <f aca="false">IF(COUNTA(B872,D872,E872,F872)=0,"",IF(OR(B872="",E872=""),"要入力",IF(N(B872)&gt;設定!$C$5,"日付誤り",IF(F872="","未消込",IF(ISNA(MATCH(F872,請求台帳!$A$5:$A$504,0)),"番号誤り",IF(INDEX(請求台帳!$Q$5:$Q$504,MATCH(F872,請求台帳!$A$5:$A$504,0))="取消","取消請求へ消込","消込済"))))))</f>
        <v/>
      </c>
      <c r="K872" s="26"/>
      <c r="L872" s="26"/>
    </row>
    <row r="873" customFormat="false" ht="15" hidden="false" customHeight="false" outlineLevel="0" collapsed="false">
      <c r="A873" s="31" t="str">
        <f aca="false">IF(COUNTA(B873,D873,E873,F873)=0,"",ROW()-4)</f>
        <v/>
      </c>
      <c r="B873" s="22"/>
      <c r="C873" s="26"/>
      <c r="D873" s="26"/>
      <c r="E873" s="18"/>
      <c r="F873" s="26"/>
      <c r="G873" s="31" t="str">
        <f aca="false">IF(F873="","",IFERROR(INDEX(請求台帳!$C$5:$C$504,MATCH(F873,請求台帳!$A$5:$A$504,0)),""))</f>
        <v/>
      </c>
      <c r="H873" s="31" t="str">
        <f aca="false">IF(F873="","",IFERROR(INDEX(請求台帳!$D$5:$D$504,MATCH(F873,請求台帳!$A$5:$A$504,0)),""))</f>
        <v/>
      </c>
      <c r="I873" s="27" t="str">
        <f aca="false">IF(F873="","",IFERROR(INDEX(請求台帳!$F$5:$F$504,MATCH(F873,請求台帳!$A$5:$A$504,0)),""))</f>
        <v/>
      </c>
      <c r="J873" s="28" t="str">
        <f aca="false">IF(COUNTA(B873,D873,E873,F873)=0,"",IF(OR(B873="",E873=""),"要入力",IF(N(B873)&gt;設定!$C$5,"日付誤り",IF(F873="","未消込",IF(ISNA(MATCH(F873,請求台帳!$A$5:$A$504,0)),"番号誤り",IF(INDEX(請求台帳!$Q$5:$Q$504,MATCH(F873,請求台帳!$A$5:$A$504,0))="取消","取消請求へ消込","消込済"))))))</f>
        <v/>
      </c>
      <c r="K873" s="26"/>
      <c r="L873" s="26"/>
    </row>
    <row r="874" customFormat="false" ht="15" hidden="false" customHeight="false" outlineLevel="0" collapsed="false">
      <c r="A874" s="31" t="str">
        <f aca="false">IF(COUNTA(B874,D874,E874,F874)=0,"",ROW()-4)</f>
        <v/>
      </c>
      <c r="B874" s="22"/>
      <c r="C874" s="26"/>
      <c r="D874" s="26"/>
      <c r="E874" s="18"/>
      <c r="F874" s="26"/>
      <c r="G874" s="31" t="str">
        <f aca="false">IF(F874="","",IFERROR(INDEX(請求台帳!$C$5:$C$504,MATCH(F874,請求台帳!$A$5:$A$504,0)),""))</f>
        <v/>
      </c>
      <c r="H874" s="31" t="str">
        <f aca="false">IF(F874="","",IFERROR(INDEX(請求台帳!$D$5:$D$504,MATCH(F874,請求台帳!$A$5:$A$504,0)),""))</f>
        <v/>
      </c>
      <c r="I874" s="27" t="str">
        <f aca="false">IF(F874="","",IFERROR(INDEX(請求台帳!$F$5:$F$504,MATCH(F874,請求台帳!$A$5:$A$504,0)),""))</f>
        <v/>
      </c>
      <c r="J874" s="28" t="str">
        <f aca="false">IF(COUNTA(B874,D874,E874,F874)=0,"",IF(OR(B874="",E874=""),"要入力",IF(N(B874)&gt;設定!$C$5,"日付誤り",IF(F874="","未消込",IF(ISNA(MATCH(F874,請求台帳!$A$5:$A$504,0)),"番号誤り",IF(INDEX(請求台帳!$Q$5:$Q$504,MATCH(F874,請求台帳!$A$5:$A$504,0))="取消","取消請求へ消込","消込済"))))))</f>
        <v/>
      </c>
      <c r="K874" s="26"/>
      <c r="L874" s="26"/>
    </row>
    <row r="875" customFormat="false" ht="15" hidden="false" customHeight="false" outlineLevel="0" collapsed="false">
      <c r="A875" s="31" t="str">
        <f aca="false">IF(COUNTA(B875,D875,E875,F875)=0,"",ROW()-4)</f>
        <v/>
      </c>
      <c r="B875" s="22"/>
      <c r="C875" s="26"/>
      <c r="D875" s="26"/>
      <c r="E875" s="18"/>
      <c r="F875" s="26"/>
      <c r="G875" s="31" t="str">
        <f aca="false">IF(F875="","",IFERROR(INDEX(請求台帳!$C$5:$C$504,MATCH(F875,請求台帳!$A$5:$A$504,0)),""))</f>
        <v/>
      </c>
      <c r="H875" s="31" t="str">
        <f aca="false">IF(F875="","",IFERROR(INDEX(請求台帳!$D$5:$D$504,MATCH(F875,請求台帳!$A$5:$A$504,0)),""))</f>
        <v/>
      </c>
      <c r="I875" s="27" t="str">
        <f aca="false">IF(F875="","",IFERROR(INDEX(請求台帳!$F$5:$F$504,MATCH(F875,請求台帳!$A$5:$A$504,0)),""))</f>
        <v/>
      </c>
      <c r="J875" s="28" t="str">
        <f aca="false">IF(COUNTA(B875,D875,E875,F875)=0,"",IF(OR(B875="",E875=""),"要入力",IF(N(B875)&gt;設定!$C$5,"日付誤り",IF(F875="","未消込",IF(ISNA(MATCH(F875,請求台帳!$A$5:$A$504,0)),"番号誤り",IF(INDEX(請求台帳!$Q$5:$Q$504,MATCH(F875,請求台帳!$A$5:$A$504,0))="取消","取消請求へ消込","消込済"))))))</f>
        <v/>
      </c>
      <c r="K875" s="26"/>
      <c r="L875" s="26"/>
    </row>
    <row r="876" customFormat="false" ht="15" hidden="false" customHeight="false" outlineLevel="0" collapsed="false">
      <c r="A876" s="31" t="str">
        <f aca="false">IF(COUNTA(B876,D876,E876,F876)=0,"",ROW()-4)</f>
        <v/>
      </c>
      <c r="B876" s="22"/>
      <c r="C876" s="26"/>
      <c r="D876" s="26"/>
      <c r="E876" s="18"/>
      <c r="F876" s="26"/>
      <c r="G876" s="31" t="str">
        <f aca="false">IF(F876="","",IFERROR(INDEX(請求台帳!$C$5:$C$504,MATCH(F876,請求台帳!$A$5:$A$504,0)),""))</f>
        <v/>
      </c>
      <c r="H876" s="31" t="str">
        <f aca="false">IF(F876="","",IFERROR(INDEX(請求台帳!$D$5:$D$504,MATCH(F876,請求台帳!$A$5:$A$504,0)),""))</f>
        <v/>
      </c>
      <c r="I876" s="27" t="str">
        <f aca="false">IF(F876="","",IFERROR(INDEX(請求台帳!$F$5:$F$504,MATCH(F876,請求台帳!$A$5:$A$504,0)),""))</f>
        <v/>
      </c>
      <c r="J876" s="28" t="str">
        <f aca="false">IF(COUNTA(B876,D876,E876,F876)=0,"",IF(OR(B876="",E876=""),"要入力",IF(N(B876)&gt;設定!$C$5,"日付誤り",IF(F876="","未消込",IF(ISNA(MATCH(F876,請求台帳!$A$5:$A$504,0)),"番号誤り",IF(INDEX(請求台帳!$Q$5:$Q$504,MATCH(F876,請求台帳!$A$5:$A$504,0))="取消","取消請求へ消込","消込済"))))))</f>
        <v/>
      </c>
      <c r="K876" s="26"/>
      <c r="L876" s="26"/>
    </row>
    <row r="877" customFormat="false" ht="15" hidden="false" customHeight="false" outlineLevel="0" collapsed="false">
      <c r="A877" s="31" t="str">
        <f aca="false">IF(COUNTA(B877,D877,E877,F877)=0,"",ROW()-4)</f>
        <v/>
      </c>
      <c r="B877" s="22"/>
      <c r="C877" s="26"/>
      <c r="D877" s="26"/>
      <c r="E877" s="18"/>
      <c r="F877" s="26"/>
      <c r="G877" s="31" t="str">
        <f aca="false">IF(F877="","",IFERROR(INDEX(請求台帳!$C$5:$C$504,MATCH(F877,請求台帳!$A$5:$A$504,0)),""))</f>
        <v/>
      </c>
      <c r="H877" s="31" t="str">
        <f aca="false">IF(F877="","",IFERROR(INDEX(請求台帳!$D$5:$D$504,MATCH(F877,請求台帳!$A$5:$A$504,0)),""))</f>
        <v/>
      </c>
      <c r="I877" s="27" t="str">
        <f aca="false">IF(F877="","",IFERROR(INDEX(請求台帳!$F$5:$F$504,MATCH(F877,請求台帳!$A$5:$A$504,0)),""))</f>
        <v/>
      </c>
      <c r="J877" s="28" t="str">
        <f aca="false">IF(COUNTA(B877,D877,E877,F877)=0,"",IF(OR(B877="",E877=""),"要入力",IF(N(B877)&gt;設定!$C$5,"日付誤り",IF(F877="","未消込",IF(ISNA(MATCH(F877,請求台帳!$A$5:$A$504,0)),"番号誤り",IF(INDEX(請求台帳!$Q$5:$Q$504,MATCH(F877,請求台帳!$A$5:$A$504,0))="取消","取消請求へ消込","消込済"))))))</f>
        <v/>
      </c>
      <c r="K877" s="26"/>
      <c r="L877" s="26"/>
    </row>
    <row r="878" customFormat="false" ht="15" hidden="false" customHeight="false" outlineLevel="0" collapsed="false">
      <c r="A878" s="31" t="str">
        <f aca="false">IF(COUNTA(B878,D878,E878,F878)=0,"",ROW()-4)</f>
        <v/>
      </c>
      <c r="B878" s="22"/>
      <c r="C878" s="26"/>
      <c r="D878" s="26"/>
      <c r="E878" s="18"/>
      <c r="F878" s="26"/>
      <c r="G878" s="31" t="str">
        <f aca="false">IF(F878="","",IFERROR(INDEX(請求台帳!$C$5:$C$504,MATCH(F878,請求台帳!$A$5:$A$504,0)),""))</f>
        <v/>
      </c>
      <c r="H878" s="31" t="str">
        <f aca="false">IF(F878="","",IFERROR(INDEX(請求台帳!$D$5:$D$504,MATCH(F878,請求台帳!$A$5:$A$504,0)),""))</f>
        <v/>
      </c>
      <c r="I878" s="27" t="str">
        <f aca="false">IF(F878="","",IFERROR(INDEX(請求台帳!$F$5:$F$504,MATCH(F878,請求台帳!$A$5:$A$504,0)),""))</f>
        <v/>
      </c>
      <c r="J878" s="28" t="str">
        <f aca="false">IF(COUNTA(B878,D878,E878,F878)=0,"",IF(OR(B878="",E878=""),"要入力",IF(N(B878)&gt;設定!$C$5,"日付誤り",IF(F878="","未消込",IF(ISNA(MATCH(F878,請求台帳!$A$5:$A$504,0)),"番号誤り",IF(INDEX(請求台帳!$Q$5:$Q$504,MATCH(F878,請求台帳!$A$5:$A$504,0))="取消","取消請求へ消込","消込済"))))))</f>
        <v/>
      </c>
      <c r="K878" s="26"/>
      <c r="L878" s="26"/>
    </row>
    <row r="879" customFormat="false" ht="15" hidden="false" customHeight="false" outlineLevel="0" collapsed="false">
      <c r="A879" s="31" t="str">
        <f aca="false">IF(COUNTA(B879,D879,E879,F879)=0,"",ROW()-4)</f>
        <v/>
      </c>
      <c r="B879" s="22"/>
      <c r="C879" s="26"/>
      <c r="D879" s="26"/>
      <c r="E879" s="18"/>
      <c r="F879" s="26"/>
      <c r="G879" s="31" t="str">
        <f aca="false">IF(F879="","",IFERROR(INDEX(請求台帳!$C$5:$C$504,MATCH(F879,請求台帳!$A$5:$A$504,0)),""))</f>
        <v/>
      </c>
      <c r="H879" s="31" t="str">
        <f aca="false">IF(F879="","",IFERROR(INDEX(請求台帳!$D$5:$D$504,MATCH(F879,請求台帳!$A$5:$A$504,0)),""))</f>
        <v/>
      </c>
      <c r="I879" s="27" t="str">
        <f aca="false">IF(F879="","",IFERROR(INDEX(請求台帳!$F$5:$F$504,MATCH(F879,請求台帳!$A$5:$A$504,0)),""))</f>
        <v/>
      </c>
      <c r="J879" s="28" t="str">
        <f aca="false">IF(COUNTA(B879,D879,E879,F879)=0,"",IF(OR(B879="",E879=""),"要入力",IF(N(B879)&gt;設定!$C$5,"日付誤り",IF(F879="","未消込",IF(ISNA(MATCH(F879,請求台帳!$A$5:$A$504,0)),"番号誤り",IF(INDEX(請求台帳!$Q$5:$Q$504,MATCH(F879,請求台帳!$A$5:$A$504,0))="取消","取消請求へ消込","消込済"))))))</f>
        <v/>
      </c>
      <c r="K879" s="26"/>
      <c r="L879" s="26"/>
    </row>
    <row r="880" customFormat="false" ht="15" hidden="false" customHeight="false" outlineLevel="0" collapsed="false">
      <c r="A880" s="31" t="str">
        <f aca="false">IF(COUNTA(B880,D880,E880,F880)=0,"",ROW()-4)</f>
        <v/>
      </c>
      <c r="B880" s="22"/>
      <c r="C880" s="26"/>
      <c r="D880" s="26"/>
      <c r="E880" s="18"/>
      <c r="F880" s="26"/>
      <c r="G880" s="31" t="str">
        <f aca="false">IF(F880="","",IFERROR(INDEX(請求台帳!$C$5:$C$504,MATCH(F880,請求台帳!$A$5:$A$504,0)),""))</f>
        <v/>
      </c>
      <c r="H880" s="31" t="str">
        <f aca="false">IF(F880="","",IFERROR(INDEX(請求台帳!$D$5:$D$504,MATCH(F880,請求台帳!$A$5:$A$504,0)),""))</f>
        <v/>
      </c>
      <c r="I880" s="27" t="str">
        <f aca="false">IF(F880="","",IFERROR(INDEX(請求台帳!$F$5:$F$504,MATCH(F880,請求台帳!$A$5:$A$504,0)),""))</f>
        <v/>
      </c>
      <c r="J880" s="28" t="str">
        <f aca="false">IF(COUNTA(B880,D880,E880,F880)=0,"",IF(OR(B880="",E880=""),"要入力",IF(N(B880)&gt;設定!$C$5,"日付誤り",IF(F880="","未消込",IF(ISNA(MATCH(F880,請求台帳!$A$5:$A$504,0)),"番号誤り",IF(INDEX(請求台帳!$Q$5:$Q$504,MATCH(F880,請求台帳!$A$5:$A$504,0))="取消","取消請求へ消込","消込済"))))))</f>
        <v/>
      </c>
      <c r="K880" s="26"/>
      <c r="L880" s="26"/>
    </row>
    <row r="881" customFormat="false" ht="15" hidden="false" customHeight="false" outlineLevel="0" collapsed="false">
      <c r="A881" s="31" t="str">
        <f aca="false">IF(COUNTA(B881,D881,E881,F881)=0,"",ROW()-4)</f>
        <v/>
      </c>
      <c r="B881" s="22"/>
      <c r="C881" s="26"/>
      <c r="D881" s="26"/>
      <c r="E881" s="18"/>
      <c r="F881" s="26"/>
      <c r="G881" s="31" t="str">
        <f aca="false">IF(F881="","",IFERROR(INDEX(請求台帳!$C$5:$C$504,MATCH(F881,請求台帳!$A$5:$A$504,0)),""))</f>
        <v/>
      </c>
      <c r="H881" s="31" t="str">
        <f aca="false">IF(F881="","",IFERROR(INDEX(請求台帳!$D$5:$D$504,MATCH(F881,請求台帳!$A$5:$A$504,0)),""))</f>
        <v/>
      </c>
      <c r="I881" s="27" t="str">
        <f aca="false">IF(F881="","",IFERROR(INDEX(請求台帳!$F$5:$F$504,MATCH(F881,請求台帳!$A$5:$A$504,0)),""))</f>
        <v/>
      </c>
      <c r="J881" s="28" t="str">
        <f aca="false">IF(COUNTA(B881,D881,E881,F881)=0,"",IF(OR(B881="",E881=""),"要入力",IF(N(B881)&gt;設定!$C$5,"日付誤り",IF(F881="","未消込",IF(ISNA(MATCH(F881,請求台帳!$A$5:$A$504,0)),"番号誤り",IF(INDEX(請求台帳!$Q$5:$Q$504,MATCH(F881,請求台帳!$A$5:$A$504,0))="取消","取消請求へ消込","消込済"))))))</f>
        <v/>
      </c>
      <c r="K881" s="26"/>
      <c r="L881" s="26"/>
    </row>
    <row r="882" customFormat="false" ht="15" hidden="false" customHeight="false" outlineLevel="0" collapsed="false">
      <c r="A882" s="31" t="str">
        <f aca="false">IF(COUNTA(B882,D882,E882,F882)=0,"",ROW()-4)</f>
        <v/>
      </c>
      <c r="B882" s="22"/>
      <c r="C882" s="26"/>
      <c r="D882" s="26"/>
      <c r="E882" s="18"/>
      <c r="F882" s="26"/>
      <c r="G882" s="31" t="str">
        <f aca="false">IF(F882="","",IFERROR(INDEX(請求台帳!$C$5:$C$504,MATCH(F882,請求台帳!$A$5:$A$504,0)),""))</f>
        <v/>
      </c>
      <c r="H882" s="31" t="str">
        <f aca="false">IF(F882="","",IFERROR(INDEX(請求台帳!$D$5:$D$504,MATCH(F882,請求台帳!$A$5:$A$504,0)),""))</f>
        <v/>
      </c>
      <c r="I882" s="27" t="str">
        <f aca="false">IF(F882="","",IFERROR(INDEX(請求台帳!$F$5:$F$504,MATCH(F882,請求台帳!$A$5:$A$504,0)),""))</f>
        <v/>
      </c>
      <c r="J882" s="28" t="str">
        <f aca="false">IF(COUNTA(B882,D882,E882,F882)=0,"",IF(OR(B882="",E882=""),"要入力",IF(N(B882)&gt;設定!$C$5,"日付誤り",IF(F882="","未消込",IF(ISNA(MATCH(F882,請求台帳!$A$5:$A$504,0)),"番号誤り",IF(INDEX(請求台帳!$Q$5:$Q$504,MATCH(F882,請求台帳!$A$5:$A$504,0))="取消","取消請求へ消込","消込済"))))))</f>
        <v/>
      </c>
      <c r="K882" s="26"/>
      <c r="L882" s="26"/>
    </row>
    <row r="883" customFormat="false" ht="15" hidden="false" customHeight="false" outlineLevel="0" collapsed="false">
      <c r="A883" s="31" t="str">
        <f aca="false">IF(COUNTA(B883,D883,E883,F883)=0,"",ROW()-4)</f>
        <v/>
      </c>
      <c r="B883" s="22"/>
      <c r="C883" s="26"/>
      <c r="D883" s="26"/>
      <c r="E883" s="18"/>
      <c r="F883" s="26"/>
      <c r="G883" s="31" t="str">
        <f aca="false">IF(F883="","",IFERROR(INDEX(請求台帳!$C$5:$C$504,MATCH(F883,請求台帳!$A$5:$A$504,0)),""))</f>
        <v/>
      </c>
      <c r="H883" s="31" t="str">
        <f aca="false">IF(F883="","",IFERROR(INDEX(請求台帳!$D$5:$D$504,MATCH(F883,請求台帳!$A$5:$A$504,0)),""))</f>
        <v/>
      </c>
      <c r="I883" s="27" t="str">
        <f aca="false">IF(F883="","",IFERROR(INDEX(請求台帳!$F$5:$F$504,MATCH(F883,請求台帳!$A$5:$A$504,0)),""))</f>
        <v/>
      </c>
      <c r="J883" s="28" t="str">
        <f aca="false">IF(COUNTA(B883,D883,E883,F883)=0,"",IF(OR(B883="",E883=""),"要入力",IF(N(B883)&gt;設定!$C$5,"日付誤り",IF(F883="","未消込",IF(ISNA(MATCH(F883,請求台帳!$A$5:$A$504,0)),"番号誤り",IF(INDEX(請求台帳!$Q$5:$Q$504,MATCH(F883,請求台帳!$A$5:$A$504,0))="取消","取消請求へ消込","消込済"))))))</f>
        <v/>
      </c>
      <c r="K883" s="26"/>
      <c r="L883" s="26"/>
    </row>
    <row r="884" customFormat="false" ht="15" hidden="false" customHeight="false" outlineLevel="0" collapsed="false">
      <c r="A884" s="31" t="str">
        <f aca="false">IF(COUNTA(B884,D884,E884,F884)=0,"",ROW()-4)</f>
        <v/>
      </c>
      <c r="B884" s="22"/>
      <c r="C884" s="26"/>
      <c r="D884" s="26"/>
      <c r="E884" s="18"/>
      <c r="F884" s="26"/>
      <c r="G884" s="31" t="str">
        <f aca="false">IF(F884="","",IFERROR(INDEX(請求台帳!$C$5:$C$504,MATCH(F884,請求台帳!$A$5:$A$504,0)),""))</f>
        <v/>
      </c>
      <c r="H884" s="31" t="str">
        <f aca="false">IF(F884="","",IFERROR(INDEX(請求台帳!$D$5:$D$504,MATCH(F884,請求台帳!$A$5:$A$504,0)),""))</f>
        <v/>
      </c>
      <c r="I884" s="27" t="str">
        <f aca="false">IF(F884="","",IFERROR(INDEX(請求台帳!$F$5:$F$504,MATCH(F884,請求台帳!$A$5:$A$504,0)),""))</f>
        <v/>
      </c>
      <c r="J884" s="28" t="str">
        <f aca="false">IF(COUNTA(B884,D884,E884,F884)=0,"",IF(OR(B884="",E884=""),"要入力",IF(N(B884)&gt;設定!$C$5,"日付誤り",IF(F884="","未消込",IF(ISNA(MATCH(F884,請求台帳!$A$5:$A$504,0)),"番号誤り",IF(INDEX(請求台帳!$Q$5:$Q$504,MATCH(F884,請求台帳!$A$5:$A$504,0))="取消","取消請求へ消込","消込済"))))))</f>
        <v/>
      </c>
      <c r="K884" s="26"/>
      <c r="L884" s="26"/>
    </row>
    <row r="885" customFormat="false" ht="15" hidden="false" customHeight="false" outlineLevel="0" collapsed="false">
      <c r="A885" s="31" t="str">
        <f aca="false">IF(COUNTA(B885,D885,E885,F885)=0,"",ROW()-4)</f>
        <v/>
      </c>
      <c r="B885" s="22"/>
      <c r="C885" s="26"/>
      <c r="D885" s="26"/>
      <c r="E885" s="18"/>
      <c r="F885" s="26"/>
      <c r="G885" s="31" t="str">
        <f aca="false">IF(F885="","",IFERROR(INDEX(請求台帳!$C$5:$C$504,MATCH(F885,請求台帳!$A$5:$A$504,0)),""))</f>
        <v/>
      </c>
      <c r="H885" s="31" t="str">
        <f aca="false">IF(F885="","",IFERROR(INDEX(請求台帳!$D$5:$D$504,MATCH(F885,請求台帳!$A$5:$A$504,0)),""))</f>
        <v/>
      </c>
      <c r="I885" s="27" t="str">
        <f aca="false">IF(F885="","",IFERROR(INDEX(請求台帳!$F$5:$F$504,MATCH(F885,請求台帳!$A$5:$A$504,0)),""))</f>
        <v/>
      </c>
      <c r="J885" s="28" t="str">
        <f aca="false">IF(COUNTA(B885,D885,E885,F885)=0,"",IF(OR(B885="",E885=""),"要入力",IF(N(B885)&gt;設定!$C$5,"日付誤り",IF(F885="","未消込",IF(ISNA(MATCH(F885,請求台帳!$A$5:$A$504,0)),"番号誤り",IF(INDEX(請求台帳!$Q$5:$Q$504,MATCH(F885,請求台帳!$A$5:$A$504,0))="取消","取消請求へ消込","消込済"))))))</f>
        <v/>
      </c>
      <c r="K885" s="26"/>
      <c r="L885" s="26"/>
    </row>
    <row r="886" customFormat="false" ht="15" hidden="false" customHeight="false" outlineLevel="0" collapsed="false">
      <c r="A886" s="31" t="str">
        <f aca="false">IF(COUNTA(B886,D886,E886,F886)=0,"",ROW()-4)</f>
        <v/>
      </c>
      <c r="B886" s="22"/>
      <c r="C886" s="26"/>
      <c r="D886" s="26"/>
      <c r="E886" s="18"/>
      <c r="F886" s="26"/>
      <c r="G886" s="31" t="str">
        <f aca="false">IF(F886="","",IFERROR(INDEX(請求台帳!$C$5:$C$504,MATCH(F886,請求台帳!$A$5:$A$504,0)),""))</f>
        <v/>
      </c>
      <c r="H886" s="31" t="str">
        <f aca="false">IF(F886="","",IFERROR(INDEX(請求台帳!$D$5:$D$504,MATCH(F886,請求台帳!$A$5:$A$504,0)),""))</f>
        <v/>
      </c>
      <c r="I886" s="27" t="str">
        <f aca="false">IF(F886="","",IFERROR(INDEX(請求台帳!$F$5:$F$504,MATCH(F886,請求台帳!$A$5:$A$504,0)),""))</f>
        <v/>
      </c>
      <c r="J886" s="28" t="str">
        <f aca="false">IF(COUNTA(B886,D886,E886,F886)=0,"",IF(OR(B886="",E886=""),"要入力",IF(N(B886)&gt;設定!$C$5,"日付誤り",IF(F886="","未消込",IF(ISNA(MATCH(F886,請求台帳!$A$5:$A$504,0)),"番号誤り",IF(INDEX(請求台帳!$Q$5:$Q$504,MATCH(F886,請求台帳!$A$5:$A$504,0))="取消","取消請求へ消込","消込済"))))))</f>
        <v/>
      </c>
      <c r="K886" s="26"/>
      <c r="L886" s="26"/>
    </row>
    <row r="887" customFormat="false" ht="15" hidden="false" customHeight="false" outlineLevel="0" collapsed="false">
      <c r="A887" s="31" t="str">
        <f aca="false">IF(COUNTA(B887,D887,E887,F887)=0,"",ROW()-4)</f>
        <v/>
      </c>
      <c r="B887" s="22"/>
      <c r="C887" s="26"/>
      <c r="D887" s="26"/>
      <c r="E887" s="18"/>
      <c r="F887" s="26"/>
      <c r="G887" s="31" t="str">
        <f aca="false">IF(F887="","",IFERROR(INDEX(請求台帳!$C$5:$C$504,MATCH(F887,請求台帳!$A$5:$A$504,0)),""))</f>
        <v/>
      </c>
      <c r="H887" s="31" t="str">
        <f aca="false">IF(F887="","",IFERROR(INDEX(請求台帳!$D$5:$D$504,MATCH(F887,請求台帳!$A$5:$A$504,0)),""))</f>
        <v/>
      </c>
      <c r="I887" s="27" t="str">
        <f aca="false">IF(F887="","",IFERROR(INDEX(請求台帳!$F$5:$F$504,MATCH(F887,請求台帳!$A$5:$A$504,0)),""))</f>
        <v/>
      </c>
      <c r="J887" s="28" t="str">
        <f aca="false">IF(COUNTA(B887,D887,E887,F887)=0,"",IF(OR(B887="",E887=""),"要入力",IF(N(B887)&gt;設定!$C$5,"日付誤り",IF(F887="","未消込",IF(ISNA(MATCH(F887,請求台帳!$A$5:$A$504,0)),"番号誤り",IF(INDEX(請求台帳!$Q$5:$Q$504,MATCH(F887,請求台帳!$A$5:$A$504,0))="取消","取消請求へ消込","消込済"))))))</f>
        <v/>
      </c>
      <c r="K887" s="26"/>
      <c r="L887" s="26"/>
    </row>
    <row r="888" customFormat="false" ht="15" hidden="false" customHeight="false" outlineLevel="0" collapsed="false">
      <c r="A888" s="31" t="str">
        <f aca="false">IF(COUNTA(B888,D888,E888,F888)=0,"",ROW()-4)</f>
        <v/>
      </c>
      <c r="B888" s="22"/>
      <c r="C888" s="26"/>
      <c r="D888" s="26"/>
      <c r="E888" s="18"/>
      <c r="F888" s="26"/>
      <c r="G888" s="31" t="str">
        <f aca="false">IF(F888="","",IFERROR(INDEX(請求台帳!$C$5:$C$504,MATCH(F888,請求台帳!$A$5:$A$504,0)),""))</f>
        <v/>
      </c>
      <c r="H888" s="31" t="str">
        <f aca="false">IF(F888="","",IFERROR(INDEX(請求台帳!$D$5:$D$504,MATCH(F888,請求台帳!$A$5:$A$504,0)),""))</f>
        <v/>
      </c>
      <c r="I888" s="27" t="str">
        <f aca="false">IF(F888="","",IFERROR(INDEX(請求台帳!$F$5:$F$504,MATCH(F888,請求台帳!$A$5:$A$504,0)),""))</f>
        <v/>
      </c>
      <c r="J888" s="28" t="str">
        <f aca="false">IF(COUNTA(B888,D888,E888,F888)=0,"",IF(OR(B888="",E888=""),"要入力",IF(N(B888)&gt;設定!$C$5,"日付誤り",IF(F888="","未消込",IF(ISNA(MATCH(F888,請求台帳!$A$5:$A$504,0)),"番号誤り",IF(INDEX(請求台帳!$Q$5:$Q$504,MATCH(F888,請求台帳!$A$5:$A$504,0))="取消","取消請求へ消込","消込済"))))))</f>
        <v/>
      </c>
      <c r="K888" s="26"/>
      <c r="L888" s="26"/>
    </row>
    <row r="889" customFormat="false" ht="15" hidden="false" customHeight="false" outlineLevel="0" collapsed="false">
      <c r="A889" s="31" t="str">
        <f aca="false">IF(COUNTA(B889,D889,E889,F889)=0,"",ROW()-4)</f>
        <v/>
      </c>
      <c r="B889" s="22"/>
      <c r="C889" s="26"/>
      <c r="D889" s="26"/>
      <c r="E889" s="18"/>
      <c r="F889" s="26"/>
      <c r="G889" s="31" t="str">
        <f aca="false">IF(F889="","",IFERROR(INDEX(請求台帳!$C$5:$C$504,MATCH(F889,請求台帳!$A$5:$A$504,0)),""))</f>
        <v/>
      </c>
      <c r="H889" s="31" t="str">
        <f aca="false">IF(F889="","",IFERROR(INDEX(請求台帳!$D$5:$D$504,MATCH(F889,請求台帳!$A$5:$A$504,0)),""))</f>
        <v/>
      </c>
      <c r="I889" s="27" t="str">
        <f aca="false">IF(F889="","",IFERROR(INDEX(請求台帳!$F$5:$F$504,MATCH(F889,請求台帳!$A$5:$A$504,0)),""))</f>
        <v/>
      </c>
      <c r="J889" s="28" t="str">
        <f aca="false">IF(COUNTA(B889,D889,E889,F889)=0,"",IF(OR(B889="",E889=""),"要入力",IF(N(B889)&gt;設定!$C$5,"日付誤り",IF(F889="","未消込",IF(ISNA(MATCH(F889,請求台帳!$A$5:$A$504,0)),"番号誤り",IF(INDEX(請求台帳!$Q$5:$Q$504,MATCH(F889,請求台帳!$A$5:$A$504,0))="取消","取消請求へ消込","消込済"))))))</f>
        <v/>
      </c>
      <c r="K889" s="26"/>
      <c r="L889" s="26"/>
    </row>
    <row r="890" customFormat="false" ht="15" hidden="false" customHeight="false" outlineLevel="0" collapsed="false">
      <c r="A890" s="31" t="str">
        <f aca="false">IF(COUNTA(B890,D890,E890,F890)=0,"",ROW()-4)</f>
        <v/>
      </c>
      <c r="B890" s="22"/>
      <c r="C890" s="26"/>
      <c r="D890" s="26"/>
      <c r="E890" s="18"/>
      <c r="F890" s="26"/>
      <c r="G890" s="31" t="str">
        <f aca="false">IF(F890="","",IFERROR(INDEX(請求台帳!$C$5:$C$504,MATCH(F890,請求台帳!$A$5:$A$504,0)),""))</f>
        <v/>
      </c>
      <c r="H890" s="31" t="str">
        <f aca="false">IF(F890="","",IFERROR(INDEX(請求台帳!$D$5:$D$504,MATCH(F890,請求台帳!$A$5:$A$504,0)),""))</f>
        <v/>
      </c>
      <c r="I890" s="27" t="str">
        <f aca="false">IF(F890="","",IFERROR(INDEX(請求台帳!$F$5:$F$504,MATCH(F890,請求台帳!$A$5:$A$504,0)),""))</f>
        <v/>
      </c>
      <c r="J890" s="28" t="str">
        <f aca="false">IF(COUNTA(B890,D890,E890,F890)=0,"",IF(OR(B890="",E890=""),"要入力",IF(N(B890)&gt;設定!$C$5,"日付誤り",IF(F890="","未消込",IF(ISNA(MATCH(F890,請求台帳!$A$5:$A$504,0)),"番号誤り",IF(INDEX(請求台帳!$Q$5:$Q$504,MATCH(F890,請求台帳!$A$5:$A$504,0))="取消","取消請求へ消込","消込済"))))))</f>
        <v/>
      </c>
      <c r="K890" s="26"/>
      <c r="L890" s="26"/>
    </row>
    <row r="891" customFormat="false" ht="15" hidden="false" customHeight="false" outlineLevel="0" collapsed="false">
      <c r="A891" s="31" t="str">
        <f aca="false">IF(COUNTA(B891,D891,E891,F891)=0,"",ROW()-4)</f>
        <v/>
      </c>
      <c r="B891" s="22"/>
      <c r="C891" s="26"/>
      <c r="D891" s="26"/>
      <c r="E891" s="18"/>
      <c r="F891" s="26"/>
      <c r="G891" s="31" t="str">
        <f aca="false">IF(F891="","",IFERROR(INDEX(請求台帳!$C$5:$C$504,MATCH(F891,請求台帳!$A$5:$A$504,0)),""))</f>
        <v/>
      </c>
      <c r="H891" s="31" t="str">
        <f aca="false">IF(F891="","",IFERROR(INDEX(請求台帳!$D$5:$D$504,MATCH(F891,請求台帳!$A$5:$A$504,0)),""))</f>
        <v/>
      </c>
      <c r="I891" s="27" t="str">
        <f aca="false">IF(F891="","",IFERROR(INDEX(請求台帳!$F$5:$F$504,MATCH(F891,請求台帳!$A$5:$A$504,0)),""))</f>
        <v/>
      </c>
      <c r="J891" s="28" t="str">
        <f aca="false">IF(COUNTA(B891,D891,E891,F891)=0,"",IF(OR(B891="",E891=""),"要入力",IF(N(B891)&gt;設定!$C$5,"日付誤り",IF(F891="","未消込",IF(ISNA(MATCH(F891,請求台帳!$A$5:$A$504,0)),"番号誤り",IF(INDEX(請求台帳!$Q$5:$Q$504,MATCH(F891,請求台帳!$A$5:$A$504,0))="取消","取消請求へ消込","消込済"))))))</f>
        <v/>
      </c>
      <c r="K891" s="26"/>
      <c r="L891" s="26"/>
    </row>
    <row r="892" customFormat="false" ht="15" hidden="false" customHeight="false" outlineLevel="0" collapsed="false">
      <c r="A892" s="31" t="str">
        <f aca="false">IF(COUNTA(B892,D892,E892,F892)=0,"",ROW()-4)</f>
        <v/>
      </c>
      <c r="B892" s="22"/>
      <c r="C892" s="26"/>
      <c r="D892" s="26"/>
      <c r="E892" s="18"/>
      <c r="F892" s="26"/>
      <c r="G892" s="31" t="str">
        <f aca="false">IF(F892="","",IFERROR(INDEX(請求台帳!$C$5:$C$504,MATCH(F892,請求台帳!$A$5:$A$504,0)),""))</f>
        <v/>
      </c>
      <c r="H892" s="31" t="str">
        <f aca="false">IF(F892="","",IFERROR(INDEX(請求台帳!$D$5:$D$504,MATCH(F892,請求台帳!$A$5:$A$504,0)),""))</f>
        <v/>
      </c>
      <c r="I892" s="27" t="str">
        <f aca="false">IF(F892="","",IFERROR(INDEX(請求台帳!$F$5:$F$504,MATCH(F892,請求台帳!$A$5:$A$504,0)),""))</f>
        <v/>
      </c>
      <c r="J892" s="28" t="str">
        <f aca="false">IF(COUNTA(B892,D892,E892,F892)=0,"",IF(OR(B892="",E892=""),"要入力",IF(N(B892)&gt;設定!$C$5,"日付誤り",IF(F892="","未消込",IF(ISNA(MATCH(F892,請求台帳!$A$5:$A$504,0)),"番号誤り",IF(INDEX(請求台帳!$Q$5:$Q$504,MATCH(F892,請求台帳!$A$5:$A$504,0))="取消","取消請求へ消込","消込済"))))))</f>
        <v/>
      </c>
      <c r="K892" s="26"/>
      <c r="L892" s="26"/>
    </row>
    <row r="893" customFormat="false" ht="15" hidden="false" customHeight="false" outlineLevel="0" collapsed="false">
      <c r="A893" s="31" t="str">
        <f aca="false">IF(COUNTA(B893,D893,E893,F893)=0,"",ROW()-4)</f>
        <v/>
      </c>
      <c r="B893" s="22"/>
      <c r="C893" s="26"/>
      <c r="D893" s="26"/>
      <c r="E893" s="18"/>
      <c r="F893" s="26"/>
      <c r="G893" s="31" t="str">
        <f aca="false">IF(F893="","",IFERROR(INDEX(請求台帳!$C$5:$C$504,MATCH(F893,請求台帳!$A$5:$A$504,0)),""))</f>
        <v/>
      </c>
      <c r="H893" s="31" t="str">
        <f aca="false">IF(F893="","",IFERROR(INDEX(請求台帳!$D$5:$D$504,MATCH(F893,請求台帳!$A$5:$A$504,0)),""))</f>
        <v/>
      </c>
      <c r="I893" s="27" t="str">
        <f aca="false">IF(F893="","",IFERROR(INDEX(請求台帳!$F$5:$F$504,MATCH(F893,請求台帳!$A$5:$A$504,0)),""))</f>
        <v/>
      </c>
      <c r="J893" s="28" t="str">
        <f aca="false">IF(COUNTA(B893,D893,E893,F893)=0,"",IF(OR(B893="",E893=""),"要入力",IF(N(B893)&gt;設定!$C$5,"日付誤り",IF(F893="","未消込",IF(ISNA(MATCH(F893,請求台帳!$A$5:$A$504,0)),"番号誤り",IF(INDEX(請求台帳!$Q$5:$Q$504,MATCH(F893,請求台帳!$A$5:$A$504,0))="取消","取消請求へ消込","消込済"))))))</f>
        <v/>
      </c>
      <c r="K893" s="26"/>
      <c r="L893" s="26"/>
    </row>
    <row r="894" customFormat="false" ht="15" hidden="false" customHeight="false" outlineLevel="0" collapsed="false">
      <c r="A894" s="31" t="str">
        <f aca="false">IF(COUNTA(B894,D894,E894,F894)=0,"",ROW()-4)</f>
        <v/>
      </c>
      <c r="B894" s="22"/>
      <c r="C894" s="26"/>
      <c r="D894" s="26"/>
      <c r="E894" s="18"/>
      <c r="F894" s="26"/>
      <c r="G894" s="31" t="str">
        <f aca="false">IF(F894="","",IFERROR(INDEX(請求台帳!$C$5:$C$504,MATCH(F894,請求台帳!$A$5:$A$504,0)),""))</f>
        <v/>
      </c>
      <c r="H894" s="31" t="str">
        <f aca="false">IF(F894="","",IFERROR(INDEX(請求台帳!$D$5:$D$504,MATCH(F894,請求台帳!$A$5:$A$504,0)),""))</f>
        <v/>
      </c>
      <c r="I894" s="27" t="str">
        <f aca="false">IF(F894="","",IFERROR(INDEX(請求台帳!$F$5:$F$504,MATCH(F894,請求台帳!$A$5:$A$504,0)),""))</f>
        <v/>
      </c>
      <c r="J894" s="28" t="str">
        <f aca="false">IF(COUNTA(B894,D894,E894,F894)=0,"",IF(OR(B894="",E894=""),"要入力",IF(N(B894)&gt;設定!$C$5,"日付誤り",IF(F894="","未消込",IF(ISNA(MATCH(F894,請求台帳!$A$5:$A$504,0)),"番号誤り",IF(INDEX(請求台帳!$Q$5:$Q$504,MATCH(F894,請求台帳!$A$5:$A$504,0))="取消","取消請求へ消込","消込済"))))))</f>
        <v/>
      </c>
      <c r="K894" s="26"/>
      <c r="L894" s="26"/>
    </row>
    <row r="895" customFormat="false" ht="15" hidden="false" customHeight="false" outlineLevel="0" collapsed="false">
      <c r="A895" s="31" t="str">
        <f aca="false">IF(COUNTA(B895,D895,E895,F895)=0,"",ROW()-4)</f>
        <v/>
      </c>
      <c r="B895" s="22"/>
      <c r="C895" s="26"/>
      <c r="D895" s="26"/>
      <c r="E895" s="18"/>
      <c r="F895" s="26"/>
      <c r="G895" s="31" t="str">
        <f aca="false">IF(F895="","",IFERROR(INDEX(請求台帳!$C$5:$C$504,MATCH(F895,請求台帳!$A$5:$A$504,0)),""))</f>
        <v/>
      </c>
      <c r="H895" s="31" t="str">
        <f aca="false">IF(F895="","",IFERROR(INDEX(請求台帳!$D$5:$D$504,MATCH(F895,請求台帳!$A$5:$A$504,0)),""))</f>
        <v/>
      </c>
      <c r="I895" s="27" t="str">
        <f aca="false">IF(F895="","",IFERROR(INDEX(請求台帳!$F$5:$F$504,MATCH(F895,請求台帳!$A$5:$A$504,0)),""))</f>
        <v/>
      </c>
      <c r="J895" s="28" t="str">
        <f aca="false">IF(COUNTA(B895,D895,E895,F895)=0,"",IF(OR(B895="",E895=""),"要入力",IF(N(B895)&gt;設定!$C$5,"日付誤り",IF(F895="","未消込",IF(ISNA(MATCH(F895,請求台帳!$A$5:$A$504,0)),"番号誤り",IF(INDEX(請求台帳!$Q$5:$Q$504,MATCH(F895,請求台帳!$A$5:$A$504,0))="取消","取消請求へ消込","消込済"))))))</f>
        <v/>
      </c>
      <c r="K895" s="26"/>
      <c r="L895" s="26"/>
    </row>
    <row r="896" customFormat="false" ht="15" hidden="false" customHeight="false" outlineLevel="0" collapsed="false">
      <c r="A896" s="31" t="str">
        <f aca="false">IF(COUNTA(B896,D896,E896,F896)=0,"",ROW()-4)</f>
        <v/>
      </c>
      <c r="B896" s="22"/>
      <c r="C896" s="26"/>
      <c r="D896" s="26"/>
      <c r="E896" s="18"/>
      <c r="F896" s="26"/>
      <c r="G896" s="31" t="str">
        <f aca="false">IF(F896="","",IFERROR(INDEX(請求台帳!$C$5:$C$504,MATCH(F896,請求台帳!$A$5:$A$504,0)),""))</f>
        <v/>
      </c>
      <c r="H896" s="31" t="str">
        <f aca="false">IF(F896="","",IFERROR(INDEX(請求台帳!$D$5:$D$504,MATCH(F896,請求台帳!$A$5:$A$504,0)),""))</f>
        <v/>
      </c>
      <c r="I896" s="27" t="str">
        <f aca="false">IF(F896="","",IFERROR(INDEX(請求台帳!$F$5:$F$504,MATCH(F896,請求台帳!$A$5:$A$504,0)),""))</f>
        <v/>
      </c>
      <c r="J896" s="28" t="str">
        <f aca="false">IF(COUNTA(B896,D896,E896,F896)=0,"",IF(OR(B896="",E896=""),"要入力",IF(N(B896)&gt;設定!$C$5,"日付誤り",IF(F896="","未消込",IF(ISNA(MATCH(F896,請求台帳!$A$5:$A$504,0)),"番号誤り",IF(INDEX(請求台帳!$Q$5:$Q$504,MATCH(F896,請求台帳!$A$5:$A$504,0))="取消","取消請求へ消込","消込済"))))))</f>
        <v/>
      </c>
      <c r="K896" s="26"/>
      <c r="L896" s="26"/>
    </row>
    <row r="897" customFormat="false" ht="15" hidden="false" customHeight="false" outlineLevel="0" collapsed="false">
      <c r="A897" s="31" t="str">
        <f aca="false">IF(COUNTA(B897,D897,E897,F897)=0,"",ROW()-4)</f>
        <v/>
      </c>
      <c r="B897" s="22"/>
      <c r="C897" s="26"/>
      <c r="D897" s="26"/>
      <c r="E897" s="18"/>
      <c r="F897" s="26"/>
      <c r="G897" s="31" t="str">
        <f aca="false">IF(F897="","",IFERROR(INDEX(請求台帳!$C$5:$C$504,MATCH(F897,請求台帳!$A$5:$A$504,0)),""))</f>
        <v/>
      </c>
      <c r="H897" s="31" t="str">
        <f aca="false">IF(F897="","",IFERROR(INDEX(請求台帳!$D$5:$D$504,MATCH(F897,請求台帳!$A$5:$A$504,0)),""))</f>
        <v/>
      </c>
      <c r="I897" s="27" t="str">
        <f aca="false">IF(F897="","",IFERROR(INDEX(請求台帳!$F$5:$F$504,MATCH(F897,請求台帳!$A$5:$A$504,0)),""))</f>
        <v/>
      </c>
      <c r="J897" s="28" t="str">
        <f aca="false">IF(COUNTA(B897,D897,E897,F897)=0,"",IF(OR(B897="",E897=""),"要入力",IF(N(B897)&gt;設定!$C$5,"日付誤り",IF(F897="","未消込",IF(ISNA(MATCH(F897,請求台帳!$A$5:$A$504,0)),"番号誤り",IF(INDEX(請求台帳!$Q$5:$Q$504,MATCH(F897,請求台帳!$A$5:$A$504,0))="取消","取消請求へ消込","消込済"))))))</f>
        <v/>
      </c>
      <c r="K897" s="26"/>
      <c r="L897" s="26"/>
    </row>
    <row r="898" customFormat="false" ht="15" hidden="false" customHeight="false" outlineLevel="0" collapsed="false">
      <c r="A898" s="31" t="str">
        <f aca="false">IF(COUNTA(B898,D898,E898,F898)=0,"",ROW()-4)</f>
        <v/>
      </c>
      <c r="B898" s="22"/>
      <c r="C898" s="26"/>
      <c r="D898" s="26"/>
      <c r="E898" s="18"/>
      <c r="F898" s="26"/>
      <c r="G898" s="31" t="str">
        <f aca="false">IF(F898="","",IFERROR(INDEX(請求台帳!$C$5:$C$504,MATCH(F898,請求台帳!$A$5:$A$504,0)),""))</f>
        <v/>
      </c>
      <c r="H898" s="31" t="str">
        <f aca="false">IF(F898="","",IFERROR(INDEX(請求台帳!$D$5:$D$504,MATCH(F898,請求台帳!$A$5:$A$504,0)),""))</f>
        <v/>
      </c>
      <c r="I898" s="27" t="str">
        <f aca="false">IF(F898="","",IFERROR(INDEX(請求台帳!$F$5:$F$504,MATCH(F898,請求台帳!$A$5:$A$504,0)),""))</f>
        <v/>
      </c>
      <c r="J898" s="28" t="str">
        <f aca="false">IF(COUNTA(B898,D898,E898,F898)=0,"",IF(OR(B898="",E898=""),"要入力",IF(N(B898)&gt;設定!$C$5,"日付誤り",IF(F898="","未消込",IF(ISNA(MATCH(F898,請求台帳!$A$5:$A$504,0)),"番号誤り",IF(INDEX(請求台帳!$Q$5:$Q$504,MATCH(F898,請求台帳!$A$5:$A$504,0))="取消","取消請求へ消込","消込済"))))))</f>
        <v/>
      </c>
      <c r="K898" s="26"/>
      <c r="L898" s="26"/>
    </row>
    <row r="899" customFormat="false" ht="15" hidden="false" customHeight="false" outlineLevel="0" collapsed="false">
      <c r="A899" s="31" t="str">
        <f aca="false">IF(COUNTA(B899,D899,E899,F899)=0,"",ROW()-4)</f>
        <v/>
      </c>
      <c r="B899" s="22"/>
      <c r="C899" s="26"/>
      <c r="D899" s="26"/>
      <c r="E899" s="18"/>
      <c r="F899" s="26"/>
      <c r="G899" s="31" t="str">
        <f aca="false">IF(F899="","",IFERROR(INDEX(請求台帳!$C$5:$C$504,MATCH(F899,請求台帳!$A$5:$A$504,0)),""))</f>
        <v/>
      </c>
      <c r="H899" s="31" t="str">
        <f aca="false">IF(F899="","",IFERROR(INDEX(請求台帳!$D$5:$D$504,MATCH(F899,請求台帳!$A$5:$A$504,0)),""))</f>
        <v/>
      </c>
      <c r="I899" s="27" t="str">
        <f aca="false">IF(F899="","",IFERROR(INDEX(請求台帳!$F$5:$F$504,MATCH(F899,請求台帳!$A$5:$A$504,0)),""))</f>
        <v/>
      </c>
      <c r="J899" s="28" t="str">
        <f aca="false">IF(COUNTA(B899,D899,E899,F899)=0,"",IF(OR(B899="",E899=""),"要入力",IF(N(B899)&gt;設定!$C$5,"日付誤り",IF(F899="","未消込",IF(ISNA(MATCH(F899,請求台帳!$A$5:$A$504,0)),"番号誤り",IF(INDEX(請求台帳!$Q$5:$Q$504,MATCH(F899,請求台帳!$A$5:$A$504,0))="取消","取消請求へ消込","消込済"))))))</f>
        <v/>
      </c>
      <c r="K899" s="26"/>
      <c r="L899" s="26"/>
    </row>
    <row r="900" customFormat="false" ht="15" hidden="false" customHeight="false" outlineLevel="0" collapsed="false">
      <c r="A900" s="31" t="str">
        <f aca="false">IF(COUNTA(B900,D900,E900,F900)=0,"",ROW()-4)</f>
        <v/>
      </c>
      <c r="B900" s="22"/>
      <c r="C900" s="26"/>
      <c r="D900" s="26"/>
      <c r="E900" s="18"/>
      <c r="F900" s="26"/>
      <c r="G900" s="31" t="str">
        <f aca="false">IF(F900="","",IFERROR(INDEX(請求台帳!$C$5:$C$504,MATCH(F900,請求台帳!$A$5:$A$504,0)),""))</f>
        <v/>
      </c>
      <c r="H900" s="31" t="str">
        <f aca="false">IF(F900="","",IFERROR(INDEX(請求台帳!$D$5:$D$504,MATCH(F900,請求台帳!$A$5:$A$504,0)),""))</f>
        <v/>
      </c>
      <c r="I900" s="27" t="str">
        <f aca="false">IF(F900="","",IFERROR(INDEX(請求台帳!$F$5:$F$504,MATCH(F900,請求台帳!$A$5:$A$504,0)),""))</f>
        <v/>
      </c>
      <c r="J900" s="28" t="str">
        <f aca="false">IF(COUNTA(B900,D900,E900,F900)=0,"",IF(OR(B900="",E900=""),"要入力",IF(N(B900)&gt;設定!$C$5,"日付誤り",IF(F900="","未消込",IF(ISNA(MATCH(F900,請求台帳!$A$5:$A$504,0)),"番号誤り",IF(INDEX(請求台帳!$Q$5:$Q$504,MATCH(F900,請求台帳!$A$5:$A$504,0))="取消","取消請求へ消込","消込済"))))))</f>
        <v/>
      </c>
      <c r="K900" s="26"/>
      <c r="L900" s="26"/>
    </row>
    <row r="901" customFormat="false" ht="15" hidden="false" customHeight="false" outlineLevel="0" collapsed="false">
      <c r="A901" s="31" t="str">
        <f aca="false">IF(COUNTA(B901,D901,E901,F901)=0,"",ROW()-4)</f>
        <v/>
      </c>
      <c r="B901" s="22"/>
      <c r="C901" s="26"/>
      <c r="D901" s="26"/>
      <c r="E901" s="18"/>
      <c r="F901" s="26"/>
      <c r="G901" s="31" t="str">
        <f aca="false">IF(F901="","",IFERROR(INDEX(請求台帳!$C$5:$C$504,MATCH(F901,請求台帳!$A$5:$A$504,0)),""))</f>
        <v/>
      </c>
      <c r="H901" s="31" t="str">
        <f aca="false">IF(F901="","",IFERROR(INDEX(請求台帳!$D$5:$D$504,MATCH(F901,請求台帳!$A$5:$A$504,0)),""))</f>
        <v/>
      </c>
      <c r="I901" s="27" t="str">
        <f aca="false">IF(F901="","",IFERROR(INDEX(請求台帳!$F$5:$F$504,MATCH(F901,請求台帳!$A$5:$A$504,0)),""))</f>
        <v/>
      </c>
      <c r="J901" s="28" t="str">
        <f aca="false">IF(COUNTA(B901,D901,E901,F901)=0,"",IF(OR(B901="",E901=""),"要入力",IF(N(B901)&gt;設定!$C$5,"日付誤り",IF(F901="","未消込",IF(ISNA(MATCH(F901,請求台帳!$A$5:$A$504,0)),"番号誤り",IF(INDEX(請求台帳!$Q$5:$Q$504,MATCH(F901,請求台帳!$A$5:$A$504,0))="取消","取消請求へ消込","消込済"))))))</f>
        <v/>
      </c>
      <c r="K901" s="26"/>
      <c r="L901" s="26"/>
    </row>
    <row r="902" customFormat="false" ht="15" hidden="false" customHeight="false" outlineLevel="0" collapsed="false">
      <c r="A902" s="31" t="str">
        <f aca="false">IF(COUNTA(B902,D902,E902,F902)=0,"",ROW()-4)</f>
        <v/>
      </c>
      <c r="B902" s="22"/>
      <c r="C902" s="26"/>
      <c r="D902" s="26"/>
      <c r="E902" s="18"/>
      <c r="F902" s="26"/>
      <c r="G902" s="31" t="str">
        <f aca="false">IF(F902="","",IFERROR(INDEX(請求台帳!$C$5:$C$504,MATCH(F902,請求台帳!$A$5:$A$504,0)),""))</f>
        <v/>
      </c>
      <c r="H902" s="31" t="str">
        <f aca="false">IF(F902="","",IFERROR(INDEX(請求台帳!$D$5:$D$504,MATCH(F902,請求台帳!$A$5:$A$504,0)),""))</f>
        <v/>
      </c>
      <c r="I902" s="27" t="str">
        <f aca="false">IF(F902="","",IFERROR(INDEX(請求台帳!$F$5:$F$504,MATCH(F902,請求台帳!$A$5:$A$504,0)),""))</f>
        <v/>
      </c>
      <c r="J902" s="28" t="str">
        <f aca="false">IF(COUNTA(B902,D902,E902,F902)=0,"",IF(OR(B902="",E902=""),"要入力",IF(N(B902)&gt;設定!$C$5,"日付誤り",IF(F902="","未消込",IF(ISNA(MATCH(F902,請求台帳!$A$5:$A$504,0)),"番号誤り",IF(INDEX(請求台帳!$Q$5:$Q$504,MATCH(F902,請求台帳!$A$5:$A$504,0))="取消","取消請求へ消込","消込済"))))))</f>
        <v/>
      </c>
      <c r="K902" s="26"/>
      <c r="L902" s="26"/>
    </row>
    <row r="903" customFormat="false" ht="15" hidden="false" customHeight="false" outlineLevel="0" collapsed="false">
      <c r="A903" s="31" t="str">
        <f aca="false">IF(COUNTA(B903,D903,E903,F903)=0,"",ROW()-4)</f>
        <v/>
      </c>
      <c r="B903" s="22"/>
      <c r="C903" s="26"/>
      <c r="D903" s="26"/>
      <c r="E903" s="18"/>
      <c r="F903" s="26"/>
      <c r="G903" s="31" t="str">
        <f aca="false">IF(F903="","",IFERROR(INDEX(請求台帳!$C$5:$C$504,MATCH(F903,請求台帳!$A$5:$A$504,0)),""))</f>
        <v/>
      </c>
      <c r="H903" s="31" t="str">
        <f aca="false">IF(F903="","",IFERROR(INDEX(請求台帳!$D$5:$D$504,MATCH(F903,請求台帳!$A$5:$A$504,0)),""))</f>
        <v/>
      </c>
      <c r="I903" s="27" t="str">
        <f aca="false">IF(F903="","",IFERROR(INDEX(請求台帳!$F$5:$F$504,MATCH(F903,請求台帳!$A$5:$A$504,0)),""))</f>
        <v/>
      </c>
      <c r="J903" s="28" t="str">
        <f aca="false">IF(COUNTA(B903,D903,E903,F903)=0,"",IF(OR(B903="",E903=""),"要入力",IF(N(B903)&gt;設定!$C$5,"日付誤り",IF(F903="","未消込",IF(ISNA(MATCH(F903,請求台帳!$A$5:$A$504,0)),"番号誤り",IF(INDEX(請求台帳!$Q$5:$Q$504,MATCH(F903,請求台帳!$A$5:$A$504,0))="取消","取消請求へ消込","消込済"))))))</f>
        <v/>
      </c>
      <c r="K903" s="26"/>
      <c r="L903" s="26"/>
    </row>
    <row r="904" customFormat="false" ht="15" hidden="false" customHeight="false" outlineLevel="0" collapsed="false">
      <c r="A904" s="31" t="str">
        <f aca="false">IF(COUNTA(B904,D904,E904,F904)=0,"",ROW()-4)</f>
        <v/>
      </c>
      <c r="B904" s="22"/>
      <c r="C904" s="26"/>
      <c r="D904" s="26"/>
      <c r="E904" s="18"/>
      <c r="F904" s="26"/>
      <c r="G904" s="31" t="str">
        <f aca="false">IF(F904="","",IFERROR(INDEX(請求台帳!$C$5:$C$504,MATCH(F904,請求台帳!$A$5:$A$504,0)),""))</f>
        <v/>
      </c>
      <c r="H904" s="31" t="str">
        <f aca="false">IF(F904="","",IFERROR(INDEX(請求台帳!$D$5:$D$504,MATCH(F904,請求台帳!$A$5:$A$504,0)),""))</f>
        <v/>
      </c>
      <c r="I904" s="27" t="str">
        <f aca="false">IF(F904="","",IFERROR(INDEX(請求台帳!$F$5:$F$504,MATCH(F904,請求台帳!$A$5:$A$504,0)),""))</f>
        <v/>
      </c>
      <c r="J904" s="28" t="str">
        <f aca="false">IF(COUNTA(B904,D904,E904,F904)=0,"",IF(OR(B904="",E904=""),"要入力",IF(N(B904)&gt;設定!$C$5,"日付誤り",IF(F904="","未消込",IF(ISNA(MATCH(F904,請求台帳!$A$5:$A$504,0)),"番号誤り",IF(INDEX(請求台帳!$Q$5:$Q$504,MATCH(F904,請求台帳!$A$5:$A$504,0))="取消","取消請求へ消込","消込済"))))))</f>
        <v/>
      </c>
      <c r="K904" s="26"/>
      <c r="L904" s="26"/>
    </row>
    <row r="905" customFormat="false" ht="15" hidden="false" customHeight="false" outlineLevel="0" collapsed="false">
      <c r="A905" s="31" t="str">
        <f aca="false">IF(COUNTA(B905,D905,E905,F905)=0,"",ROW()-4)</f>
        <v/>
      </c>
      <c r="B905" s="22"/>
      <c r="C905" s="26"/>
      <c r="D905" s="26"/>
      <c r="E905" s="18"/>
      <c r="F905" s="26"/>
      <c r="G905" s="31" t="str">
        <f aca="false">IF(F905="","",IFERROR(INDEX(請求台帳!$C$5:$C$504,MATCH(F905,請求台帳!$A$5:$A$504,0)),""))</f>
        <v/>
      </c>
      <c r="H905" s="31" t="str">
        <f aca="false">IF(F905="","",IFERROR(INDEX(請求台帳!$D$5:$D$504,MATCH(F905,請求台帳!$A$5:$A$504,0)),""))</f>
        <v/>
      </c>
      <c r="I905" s="27" t="str">
        <f aca="false">IF(F905="","",IFERROR(INDEX(請求台帳!$F$5:$F$504,MATCH(F905,請求台帳!$A$5:$A$504,0)),""))</f>
        <v/>
      </c>
      <c r="J905" s="28" t="str">
        <f aca="false">IF(COUNTA(B905,D905,E905,F905)=0,"",IF(OR(B905="",E905=""),"要入力",IF(N(B905)&gt;設定!$C$5,"日付誤り",IF(F905="","未消込",IF(ISNA(MATCH(F905,請求台帳!$A$5:$A$504,0)),"番号誤り",IF(INDEX(請求台帳!$Q$5:$Q$504,MATCH(F905,請求台帳!$A$5:$A$504,0))="取消","取消請求へ消込","消込済"))))))</f>
        <v/>
      </c>
      <c r="K905" s="26"/>
      <c r="L905" s="26"/>
    </row>
    <row r="906" customFormat="false" ht="15" hidden="false" customHeight="false" outlineLevel="0" collapsed="false">
      <c r="A906" s="31" t="str">
        <f aca="false">IF(COUNTA(B906,D906,E906,F906)=0,"",ROW()-4)</f>
        <v/>
      </c>
      <c r="B906" s="22"/>
      <c r="C906" s="26"/>
      <c r="D906" s="26"/>
      <c r="E906" s="18"/>
      <c r="F906" s="26"/>
      <c r="G906" s="31" t="str">
        <f aca="false">IF(F906="","",IFERROR(INDEX(請求台帳!$C$5:$C$504,MATCH(F906,請求台帳!$A$5:$A$504,0)),""))</f>
        <v/>
      </c>
      <c r="H906" s="31" t="str">
        <f aca="false">IF(F906="","",IFERROR(INDEX(請求台帳!$D$5:$D$504,MATCH(F906,請求台帳!$A$5:$A$504,0)),""))</f>
        <v/>
      </c>
      <c r="I906" s="27" t="str">
        <f aca="false">IF(F906="","",IFERROR(INDEX(請求台帳!$F$5:$F$504,MATCH(F906,請求台帳!$A$5:$A$504,0)),""))</f>
        <v/>
      </c>
      <c r="J906" s="28" t="str">
        <f aca="false">IF(COUNTA(B906,D906,E906,F906)=0,"",IF(OR(B906="",E906=""),"要入力",IF(N(B906)&gt;設定!$C$5,"日付誤り",IF(F906="","未消込",IF(ISNA(MATCH(F906,請求台帳!$A$5:$A$504,0)),"番号誤り",IF(INDEX(請求台帳!$Q$5:$Q$504,MATCH(F906,請求台帳!$A$5:$A$504,0))="取消","取消請求へ消込","消込済"))))))</f>
        <v/>
      </c>
      <c r="K906" s="26"/>
      <c r="L906" s="26"/>
    </row>
    <row r="907" customFormat="false" ht="15" hidden="false" customHeight="false" outlineLevel="0" collapsed="false">
      <c r="A907" s="31" t="str">
        <f aca="false">IF(COUNTA(B907,D907,E907,F907)=0,"",ROW()-4)</f>
        <v/>
      </c>
      <c r="B907" s="22"/>
      <c r="C907" s="26"/>
      <c r="D907" s="26"/>
      <c r="E907" s="18"/>
      <c r="F907" s="26"/>
      <c r="G907" s="31" t="str">
        <f aca="false">IF(F907="","",IFERROR(INDEX(請求台帳!$C$5:$C$504,MATCH(F907,請求台帳!$A$5:$A$504,0)),""))</f>
        <v/>
      </c>
      <c r="H907" s="31" t="str">
        <f aca="false">IF(F907="","",IFERROR(INDEX(請求台帳!$D$5:$D$504,MATCH(F907,請求台帳!$A$5:$A$504,0)),""))</f>
        <v/>
      </c>
      <c r="I907" s="27" t="str">
        <f aca="false">IF(F907="","",IFERROR(INDEX(請求台帳!$F$5:$F$504,MATCH(F907,請求台帳!$A$5:$A$504,0)),""))</f>
        <v/>
      </c>
      <c r="J907" s="28" t="str">
        <f aca="false">IF(COUNTA(B907,D907,E907,F907)=0,"",IF(OR(B907="",E907=""),"要入力",IF(N(B907)&gt;設定!$C$5,"日付誤り",IF(F907="","未消込",IF(ISNA(MATCH(F907,請求台帳!$A$5:$A$504,0)),"番号誤り",IF(INDEX(請求台帳!$Q$5:$Q$504,MATCH(F907,請求台帳!$A$5:$A$504,0))="取消","取消請求へ消込","消込済"))))))</f>
        <v/>
      </c>
      <c r="K907" s="26"/>
      <c r="L907" s="26"/>
    </row>
    <row r="908" customFormat="false" ht="15" hidden="false" customHeight="false" outlineLevel="0" collapsed="false">
      <c r="A908" s="31" t="str">
        <f aca="false">IF(COUNTA(B908,D908,E908,F908)=0,"",ROW()-4)</f>
        <v/>
      </c>
      <c r="B908" s="22"/>
      <c r="C908" s="26"/>
      <c r="D908" s="26"/>
      <c r="E908" s="18"/>
      <c r="F908" s="26"/>
      <c r="G908" s="31" t="str">
        <f aca="false">IF(F908="","",IFERROR(INDEX(請求台帳!$C$5:$C$504,MATCH(F908,請求台帳!$A$5:$A$504,0)),""))</f>
        <v/>
      </c>
      <c r="H908" s="31" t="str">
        <f aca="false">IF(F908="","",IFERROR(INDEX(請求台帳!$D$5:$D$504,MATCH(F908,請求台帳!$A$5:$A$504,0)),""))</f>
        <v/>
      </c>
      <c r="I908" s="27" t="str">
        <f aca="false">IF(F908="","",IFERROR(INDEX(請求台帳!$F$5:$F$504,MATCH(F908,請求台帳!$A$5:$A$504,0)),""))</f>
        <v/>
      </c>
      <c r="J908" s="28" t="str">
        <f aca="false">IF(COUNTA(B908,D908,E908,F908)=0,"",IF(OR(B908="",E908=""),"要入力",IF(N(B908)&gt;設定!$C$5,"日付誤り",IF(F908="","未消込",IF(ISNA(MATCH(F908,請求台帳!$A$5:$A$504,0)),"番号誤り",IF(INDEX(請求台帳!$Q$5:$Q$504,MATCH(F908,請求台帳!$A$5:$A$504,0))="取消","取消請求へ消込","消込済"))))))</f>
        <v/>
      </c>
      <c r="K908" s="26"/>
      <c r="L908" s="26"/>
    </row>
    <row r="909" customFormat="false" ht="15" hidden="false" customHeight="false" outlineLevel="0" collapsed="false">
      <c r="A909" s="31" t="str">
        <f aca="false">IF(COUNTA(B909,D909,E909,F909)=0,"",ROW()-4)</f>
        <v/>
      </c>
      <c r="B909" s="22"/>
      <c r="C909" s="26"/>
      <c r="D909" s="26"/>
      <c r="E909" s="18"/>
      <c r="F909" s="26"/>
      <c r="G909" s="31" t="str">
        <f aca="false">IF(F909="","",IFERROR(INDEX(請求台帳!$C$5:$C$504,MATCH(F909,請求台帳!$A$5:$A$504,0)),""))</f>
        <v/>
      </c>
      <c r="H909" s="31" t="str">
        <f aca="false">IF(F909="","",IFERROR(INDEX(請求台帳!$D$5:$D$504,MATCH(F909,請求台帳!$A$5:$A$504,0)),""))</f>
        <v/>
      </c>
      <c r="I909" s="27" t="str">
        <f aca="false">IF(F909="","",IFERROR(INDEX(請求台帳!$F$5:$F$504,MATCH(F909,請求台帳!$A$5:$A$504,0)),""))</f>
        <v/>
      </c>
      <c r="J909" s="28" t="str">
        <f aca="false">IF(COUNTA(B909,D909,E909,F909)=0,"",IF(OR(B909="",E909=""),"要入力",IF(N(B909)&gt;設定!$C$5,"日付誤り",IF(F909="","未消込",IF(ISNA(MATCH(F909,請求台帳!$A$5:$A$504,0)),"番号誤り",IF(INDEX(請求台帳!$Q$5:$Q$504,MATCH(F909,請求台帳!$A$5:$A$504,0))="取消","取消請求へ消込","消込済"))))))</f>
        <v/>
      </c>
      <c r="K909" s="26"/>
      <c r="L909" s="26"/>
    </row>
    <row r="910" customFormat="false" ht="15" hidden="false" customHeight="false" outlineLevel="0" collapsed="false">
      <c r="A910" s="31" t="str">
        <f aca="false">IF(COUNTA(B910,D910,E910,F910)=0,"",ROW()-4)</f>
        <v/>
      </c>
      <c r="B910" s="22"/>
      <c r="C910" s="26"/>
      <c r="D910" s="26"/>
      <c r="E910" s="18"/>
      <c r="F910" s="26"/>
      <c r="G910" s="31" t="str">
        <f aca="false">IF(F910="","",IFERROR(INDEX(請求台帳!$C$5:$C$504,MATCH(F910,請求台帳!$A$5:$A$504,0)),""))</f>
        <v/>
      </c>
      <c r="H910" s="31" t="str">
        <f aca="false">IF(F910="","",IFERROR(INDEX(請求台帳!$D$5:$D$504,MATCH(F910,請求台帳!$A$5:$A$504,0)),""))</f>
        <v/>
      </c>
      <c r="I910" s="27" t="str">
        <f aca="false">IF(F910="","",IFERROR(INDEX(請求台帳!$F$5:$F$504,MATCH(F910,請求台帳!$A$5:$A$504,0)),""))</f>
        <v/>
      </c>
      <c r="J910" s="28" t="str">
        <f aca="false">IF(COUNTA(B910,D910,E910,F910)=0,"",IF(OR(B910="",E910=""),"要入力",IF(N(B910)&gt;設定!$C$5,"日付誤り",IF(F910="","未消込",IF(ISNA(MATCH(F910,請求台帳!$A$5:$A$504,0)),"番号誤り",IF(INDEX(請求台帳!$Q$5:$Q$504,MATCH(F910,請求台帳!$A$5:$A$504,0))="取消","取消請求へ消込","消込済"))))))</f>
        <v/>
      </c>
      <c r="K910" s="26"/>
      <c r="L910" s="26"/>
    </row>
    <row r="911" customFormat="false" ht="15" hidden="false" customHeight="false" outlineLevel="0" collapsed="false">
      <c r="A911" s="31" t="str">
        <f aca="false">IF(COUNTA(B911,D911,E911,F911)=0,"",ROW()-4)</f>
        <v/>
      </c>
      <c r="B911" s="22"/>
      <c r="C911" s="26"/>
      <c r="D911" s="26"/>
      <c r="E911" s="18"/>
      <c r="F911" s="26"/>
      <c r="G911" s="31" t="str">
        <f aca="false">IF(F911="","",IFERROR(INDEX(請求台帳!$C$5:$C$504,MATCH(F911,請求台帳!$A$5:$A$504,0)),""))</f>
        <v/>
      </c>
      <c r="H911" s="31" t="str">
        <f aca="false">IF(F911="","",IFERROR(INDEX(請求台帳!$D$5:$D$504,MATCH(F911,請求台帳!$A$5:$A$504,0)),""))</f>
        <v/>
      </c>
      <c r="I911" s="27" t="str">
        <f aca="false">IF(F911="","",IFERROR(INDEX(請求台帳!$F$5:$F$504,MATCH(F911,請求台帳!$A$5:$A$504,0)),""))</f>
        <v/>
      </c>
      <c r="J911" s="28" t="str">
        <f aca="false">IF(COUNTA(B911,D911,E911,F911)=0,"",IF(OR(B911="",E911=""),"要入力",IF(N(B911)&gt;設定!$C$5,"日付誤り",IF(F911="","未消込",IF(ISNA(MATCH(F911,請求台帳!$A$5:$A$504,0)),"番号誤り",IF(INDEX(請求台帳!$Q$5:$Q$504,MATCH(F911,請求台帳!$A$5:$A$504,0))="取消","取消請求へ消込","消込済"))))))</f>
        <v/>
      </c>
      <c r="K911" s="26"/>
      <c r="L911" s="26"/>
    </row>
    <row r="912" customFormat="false" ht="15" hidden="false" customHeight="false" outlineLevel="0" collapsed="false">
      <c r="A912" s="31" t="str">
        <f aca="false">IF(COUNTA(B912,D912,E912,F912)=0,"",ROW()-4)</f>
        <v/>
      </c>
      <c r="B912" s="22"/>
      <c r="C912" s="26"/>
      <c r="D912" s="26"/>
      <c r="E912" s="18"/>
      <c r="F912" s="26"/>
      <c r="G912" s="31" t="str">
        <f aca="false">IF(F912="","",IFERROR(INDEX(請求台帳!$C$5:$C$504,MATCH(F912,請求台帳!$A$5:$A$504,0)),""))</f>
        <v/>
      </c>
      <c r="H912" s="31" t="str">
        <f aca="false">IF(F912="","",IFERROR(INDEX(請求台帳!$D$5:$D$504,MATCH(F912,請求台帳!$A$5:$A$504,0)),""))</f>
        <v/>
      </c>
      <c r="I912" s="27" t="str">
        <f aca="false">IF(F912="","",IFERROR(INDEX(請求台帳!$F$5:$F$504,MATCH(F912,請求台帳!$A$5:$A$504,0)),""))</f>
        <v/>
      </c>
      <c r="J912" s="28" t="str">
        <f aca="false">IF(COUNTA(B912,D912,E912,F912)=0,"",IF(OR(B912="",E912=""),"要入力",IF(N(B912)&gt;設定!$C$5,"日付誤り",IF(F912="","未消込",IF(ISNA(MATCH(F912,請求台帳!$A$5:$A$504,0)),"番号誤り",IF(INDEX(請求台帳!$Q$5:$Q$504,MATCH(F912,請求台帳!$A$5:$A$504,0))="取消","取消請求へ消込","消込済"))))))</f>
        <v/>
      </c>
      <c r="K912" s="26"/>
      <c r="L912" s="26"/>
    </row>
    <row r="913" customFormat="false" ht="15" hidden="false" customHeight="false" outlineLevel="0" collapsed="false">
      <c r="A913" s="31" t="str">
        <f aca="false">IF(COUNTA(B913,D913,E913,F913)=0,"",ROW()-4)</f>
        <v/>
      </c>
      <c r="B913" s="22"/>
      <c r="C913" s="26"/>
      <c r="D913" s="26"/>
      <c r="E913" s="18"/>
      <c r="F913" s="26"/>
      <c r="G913" s="31" t="str">
        <f aca="false">IF(F913="","",IFERROR(INDEX(請求台帳!$C$5:$C$504,MATCH(F913,請求台帳!$A$5:$A$504,0)),""))</f>
        <v/>
      </c>
      <c r="H913" s="31" t="str">
        <f aca="false">IF(F913="","",IFERROR(INDEX(請求台帳!$D$5:$D$504,MATCH(F913,請求台帳!$A$5:$A$504,0)),""))</f>
        <v/>
      </c>
      <c r="I913" s="27" t="str">
        <f aca="false">IF(F913="","",IFERROR(INDEX(請求台帳!$F$5:$F$504,MATCH(F913,請求台帳!$A$5:$A$504,0)),""))</f>
        <v/>
      </c>
      <c r="J913" s="28" t="str">
        <f aca="false">IF(COUNTA(B913,D913,E913,F913)=0,"",IF(OR(B913="",E913=""),"要入力",IF(N(B913)&gt;設定!$C$5,"日付誤り",IF(F913="","未消込",IF(ISNA(MATCH(F913,請求台帳!$A$5:$A$504,0)),"番号誤り",IF(INDEX(請求台帳!$Q$5:$Q$504,MATCH(F913,請求台帳!$A$5:$A$504,0))="取消","取消請求へ消込","消込済"))))))</f>
        <v/>
      </c>
      <c r="K913" s="26"/>
      <c r="L913" s="26"/>
    </row>
    <row r="914" customFormat="false" ht="15" hidden="false" customHeight="false" outlineLevel="0" collapsed="false">
      <c r="A914" s="31" t="str">
        <f aca="false">IF(COUNTA(B914,D914,E914,F914)=0,"",ROW()-4)</f>
        <v/>
      </c>
      <c r="B914" s="22"/>
      <c r="C914" s="26"/>
      <c r="D914" s="26"/>
      <c r="E914" s="18"/>
      <c r="F914" s="26"/>
      <c r="G914" s="31" t="str">
        <f aca="false">IF(F914="","",IFERROR(INDEX(請求台帳!$C$5:$C$504,MATCH(F914,請求台帳!$A$5:$A$504,0)),""))</f>
        <v/>
      </c>
      <c r="H914" s="31" t="str">
        <f aca="false">IF(F914="","",IFERROR(INDEX(請求台帳!$D$5:$D$504,MATCH(F914,請求台帳!$A$5:$A$504,0)),""))</f>
        <v/>
      </c>
      <c r="I914" s="27" t="str">
        <f aca="false">IF(F914="","",IFERROR(INDEX(請求台帳!$F$5:$F$504,MATCH(F914,請求台帳!$A$5:$A$504,0)),""))</f>
        <v/>
      </c>
      <c r="J914" s="28" t="str">
        <f aca="false">IF(COUNTA(B914,D914,E914,F914)=0,"",IF(OR(B914="",E914=""),"要入力",IF(N(B914)&gt;設定!$C$5,"日付誤り",IF(F914="","未消込",IF(ISNA(MATCH(F914,請求台帳!$A$5:$A$504,0)),"番号誤り",IF(INDEX(請求台帳!$Q$5:$Q$504,MATCH(F914,請求台帳!$A$5:$A$504,0))="取消","取消請求へ消込","消込済"))))))</f>
        <v/>
      </c>
      <c r="K914" s="26"/>
      <c r="L914" s="26"/>
    </row>
    <row r="915" customFormat="false" ht="15" hidden="false" customHeight="false" outlineLevel="0" collapsed="false">
      <c r="A915" s="31" t="str">
        <f aca="false">IF(COUNTA(B915,D915,E915,F915)=0,"",ROW()-4)</f>
        <v/>
      </c>
      <c r="B915" s="22"/>
      <c r="C915" s="26"/>
      <c r="D915" s="26"/>
      <c r="E915" s="18"/>
      <c r="F915" s="26"/>
      <c r="G915" s="31" t="str">
        <f aca="false">IF(F915="","",IFERROR(INDEX(請求台帳!$C$5:$C$504,MATCH(F915,請求台帳!$A$5:$A$504,0)),""))</f>
        <v/>
      </c>
      <c r="H915" s="31" t="str">
        <f aca="false">IF(F915="","",IFERROR(INDEX(請求台帳!$D$5:$D$504,MATCH(F915,請求台帳!$A$5:$A$504,0)),""))</f>
        <v/>
      </c>
      <c r="I915" s="27" t="str">
        <f aca="false">IF(F915="","",IFERROR(INDEX(請求台帳!$F$5:$F$504,MATCH(F915,請求台帳!$A$5:$A$504,0)),""))</f>
        <v/>
      </c>
      <c r="J915" s="28" t="str">
        <f aca="false">IF(COUNTA(B915,D915,E915,F915)=0,"",IF(OR(B915="",E915=""),"要入力",IF(N(B915)&gt;設定!$C$5,"日付誤り",IF(F915="","未消込",IF(ISNA(MATCH(F915,請求台帳!$A$5:$A$504,0)),"番号誤り",IF(INDEX(請求台帳!$Q$5:$Q$504,MATCH(F915,請求台帳!$A$5:$A$504,0))="取消","取消請求へ消込","消込済"))))))</f>
        <v/>
      </c>
      <c r="K915" s="26"/>
      <c r="L915" s="26"/>
    </row>
    <row r="916" customFormat="false" ht="15" hidden="false" customHeight="false" outlineLevel="0" collapsed="false">
      <c r="A916" s="31" t="str">
        <f aca="false">IF(COUNTA(B916,D916,E916,F916)=0,"",ROW()-4)</f>
        <v/>
      </c>
      <c r="B916" s="22"/>
      <c r="C916" s="26"/>
      <c r="D916" s="26"/>
      <c r="E916" s="18"/>
      <c r="F916" s="26"/>
      <c r="G916" s="31" t="str">
        <f aca="false">IF(F916="","",IFERROR(INDEX(請求台帳!$C$5:$C$504,MATCH(F916,請求台帳!$A$5:$A$504,0)),""))</f>
        <v/>
      </c>
      <c r="H916" s="31" t="str">
        <f aca="false">IF(F916="","",IFERROR(INDEX(請求台帳!$D$5:$D$504,MATCH(F916,請求台帳!$A$5:$A$504,0)),""))</f>
        <v/>
      </c>
      <c r="I916" s="27" t="str">
        <f aca="false">IF(F916="","",IFERROR(INDEX(請求台帳!$F$5:$F$504,MATCH(F916,請求台帳!$A$5:$A$504,0)),""))</f>
        <v/>
      </c>
      <c r="J916" s="28" t="str">
        <f aca="false">IF(COUNTA(B916,D916,E916,F916)=0,"",IF(OR(B916="",E916=""),"要入力",IF(N(B916)&gt;設定!$C$5,"日付誤り",IF(F916="","未消込",IF(ISNA(MATCH(F916,請求台帳!$A$5:$A$504,0)),"番号誤り",IF(INDEX(請求台帳!$Q$5:$Q$504,MATCH(F916,請求台帳!$A$5:$A$504,0))="取消","取消請求へ消込","消込済"))))))</f>
        <v/>
      </c>
      <c r="K916" s="26"/>
      <c r="L916" s="26"/>
    </row>
    <row r="917" customFormat="false" ht="15" hidden="false" customHeight="false" outlineLevel="0" collapsed="false">
      <c r="A917" s="31" t="str">
        <f aca="false">IF(COUNTA(B917,D917,E917,F917)=0,"",ROW()-4)</f>
        <v/>
      </c>
      <c r="B917" s="22"/>
      <c r="C917" s="26"/>
      <c r="D917" s="26"/>
      <c r="E917" s="18"/>
      <c r="F917" s="26"/>
      <c r="G917" s="31" t="str">
        <f aca="false">IF(F917="","",IFERROR(INDEX(請求台帳!$C$5:$C$504,MATCH(F917,請求台帳!$A$5:$A$504,0)),""))</f>
        <v/>
      </c>
      <c r="H917" s="31" t="str">
        <f aca="false">IF(F917="","",IFERROR(INDEX(請求台帳!$D$5:$D$504,MATCH(F917,請求台帳!$A$5:$A$504,0)),""))</f>
        <v/>
      </c>
      <c r="I917" s="27" t="str">
        <f aca="false">IF(F917="","",IFERROR(INDEX(請求台帳!$F$5:$F$504,MATCH(F917,請求台帳!$A$5:$A$504,0)),""))</f>
        <v/>
      </c>
      <c r="J917" s="28" t="str">
        <f aca="false">IF(COUNTA(B917,D917,E917,F917)=0,"",IF(OR(B917="",E917=""),"要入力",IF(N(B917)&gt;設定!$C$5,"日付誤り",IF(F917="","未消込",IF(ISNA(MATCH(F917,請求台帳!$A$5:$A$504,0)),"番号誤り",IF(INDEX(請求台帳!$Q$5:$Q$504,MATCH(F917,請求台帳!$A$5:$A$504,0))="取消","取消請求へ消込","消込済"))))))</f>
        <v/>
      </c>
      <c r="K917" s="26"/>
      <c r="L917" s="26"/>
    </row>
    <row r="918" customFormat="false" ht="15" hidden="false" customHeight="false" outlineLevel="0" collapsed="false">
      <c r="A918" s="31" t="str">
        <f aca="false">IF(COUNTA(B918,D918,E918,F918)=0,"",ROW()-4)</f>
        <v/>
      </c>
      <c r="B918" s="22"/>
      <c r="C918" s="26"/>
      <c r="D918" s="26"/>
      <c r="E918" s="18"/>
      <c r="F918" s="26"/>
      <c r="G918" s="31" t="str">
        <f aca="false">IF(F918="","",IFERROR(INDEX(請求台帳!$C$5:$C$504,MATCH(F918,請求台帳!$A$5:$A$504,0)),""))</f>
        <v/>
      </c>
      <c r="H918" s="31" t="str">
        <f aca="false">IF(F918="","",IFERROR(INDEX(請求台帳!$D$5:$D$504,MATCH(F918,請求台帳!$A$5:$A$504,0)),""))</f>
        <v/>
      </c>
      <c r="I918" s="27" t="str">
        <f aca="false">IF(F918="","",IFERROR(INDEX(請求台帳!$F$5:$F$504,MATCH(F918,請求台帳!$A$5:$A$504,0)),""))</f>
        <v/>
      </c>
      <c r="J918" s="28" t="str">
        <f aca="false">IF(COUNTA(B918,D918,E918,F918)=0,"",IF(OR(B918="",E918=""),"要入力",IF(N(B918)&gt;設定!$C$5,"日付誤り",IF(F918="","未消込",IF(ISNA(MATCH(F918,請求台帳!$A$5:$A$504,0)),"番号誤り",IF(INDEX(請求台帳!$Q$5:$Q$504,MATCH(F918,請求台帳!$A$5:$A$504,0))="取消","取消請求へ消込","消込済"))))))</f>
        <v/>
      </c>
      <c r="K918" s="26"/>
      <c r="L918" s="26"/>
    </row>
    <row r="919" customFormat="false" ht="15" hidden="false" customHeight="false" outlineLevel="0" collapsed="false">
      <c r="A919" s="31" t="str">
        <f aca="false">IF(COUNTA(B919,D919,E919,F919)=0,"",ROW()-4)</f>
        <v/>
      </c>
      <c r="B919" s="22"/>
      <c r="C919" s="26"/>
      <c r="D919" s="26"/>
      <c r="E919" s="18"/>
      <c r="F919" s="26"/>
      <c r="G919" s="31" t="str">
        <f aca="false">IF(F919="","",IFERROR(INDEX(請求台帳!$C$5:$C$504,MATCH(F919,請求台帳!$A$5:$A$504,0)),""))</f>
        <v/>
      </c>
      <c r="H919" s="31" t="str">
        <f aca="false">IF(F919="","",IFERROR(INDEX(請求台帳!$D$5:$D$504,MATCH(F919,請求台帳!$A$5:$A$504,0)),""))</f>
        <v/>
      </c>
      <c r="I919" s="27" t="str">
        <f aca="false">IF(F919="","",IFERROR(INDEX(請求台帳!$F$5:$F$504,MATCH(F919,請求台帳!$A$5:$A$504,0)),""))</f>
        <v/>
      </c>
      <c r="J919" s="28" t="str">
        <f aca="false">IF(COUNTA(B919,D919,E919,F919)=0,"",IF(OR(B919="",E919=""),"要入力",IF(N(B919)&gt;設定!$C$5,"日付誤り",IF(F919="","未消込",IF(ISNA(MATCH(F919,請求台帳!$A$5:$A$504,0)),"番号誤り",IF(INDEX(請求台帳!$Q$5:$Q$504,MATCH(F919,請求台帳!$A$5:$A$504,0))="取消","取消請求へ消込","消込済"))))))</f>
        <v/>
      </c>
      <c r="K919" s="26"/>
      <c r="L919" s="26"/>
    </row>
    <row r="920" customFormat="false" ht="15" hidden="false" customHeight="false" outlineLevel="0" collapsed="false">
      <c r="A920" s="31" t="str">
        <f aca="false">IF(COUNTA(B920,D920,E920,F920)=0,"",ROW()-4)</f>
        <v/>
      </c>
      <c r="B920" s="22"/>
      <c r="C920" s="26"/>
      <c r="D920" s="26"/>
      <c r="E920" s="18"/>
      <c r="F920" s="26"/>
      <c r="G920" s="31" t="str">
        <f aca="false">IF(F920="","",IFERROR(INDEX(請求台帳!$C$5:$C$504,MATCH(F920,請求台帳!$A$5:$A$504,0)),""))</f>
        <v/>
      </c>
      <c r="H920" s="31" t="str">
        <f aca="false">IF(F920="","",IFERROR(INDEX(請求台帳!$D$5:$D$504,MATCH(F920,請求台帳!$A$5:$A$504,0)),""))</f>
        <v/>
      </c>
      <c r="I920" s="27" t="str">
        <f aca="false">IF(F920="","",IFERROR(INDEX(請求台帳!$F$5:$F$504,MATCH(F920,請求台帳!$A$5:$A$504,0)),""))</f>
        <v/>
      </c>
      <c r="J920" s="28" t="str">
        <f aca="false">IF(COUNTA(B920,D920,E920,F920)=0,"",IF(OR(B920="",E920=""),"要入力",IF(N(B920)&gt;設定!$C$5,"日付誤り",IF(F920="","未消込",IF(ISNA(MATCH(F920,請求台帳!$A$5:$A$504,0)),"番号誤り",IF(INDEX(請求台帳!$Q$5:$Q$504,MATCH(F920,請求台帳!$A$5:$A$504,0))="取消","取消請求へ消込","消込済"))))))</f>
        <v/>
      </c>
      <c r="K920" s="26"/>
      <c r="L920" s="26"/>
    </row>
    <row r="921" customFormat="false" ht="15" hidden="false" customHeight="false" outlineLevel="0" collapsed="false">
      <c r="A921" s="31" t="str">
        <f aca="false">IF(COUNTA(B921,D921,E921,F921)=0,"",ROW()-4)</f>
        <v/>
      </c>
      <c r="B921" s="22"/>
      <c r="C921" s="26"/>
      <c r="D921" s="26"/>
      <c r="E921" s="18"/>
      <c r="F921" s="26"/>
      <c r="G921" s="31" t="str">
        <f aca="false">IF(F921="","",IFERROR(INDEX(請求台帳!$C$5:$C$504,MATCH(F921,請求台帳!$A$5:$A$504,0)),""))</f>
        <v/>
      </c>
      <c r="H921" s="31" t="str">
        <f aca="false">IF(F921="","",IFERROR(INDEX(請求台帳!$D$5:$D$504,MATCH(F921,請求台帳!$A$5:$A$504,0)),""))</f>
        <v/>
      </c>
      <c r="I921" s="27" t="str">
        <f aca="false">IF(F921="","",IFERROR(INDEX(請求台帳!$F$5:$F$504,MATCH(F921,請求台帳!$A$5:$A$504,0)),""))</f>
        <v/>
      </c>
      <c r="J921" s="28" t="str">
        <f aca="false">IF(COUNTA(B921,D921,E921,F921)=0,"",IF(OR(B921="",E921=""),"要入力",IF(N(B921)&gt;設定!$C$5,"日付誤り",IF(F921="","未消込",IF(ISNA(MATCH(F921,請求台帳!$A$5:$A$504,0)),"番号誤り",IF(INDEX(請求台帳!$Q$5:$Q$504,MATCH(F921,請求台帳!$A$5:$A$504,0))="取消","取消請求へ消込","消込済"))))))</f>
        <v/>
      </c>
      <c r="K921" s="26"/>
      <c r="L921" s="26"/>
    </row>
    <row r="922" customFormat="false" ht="15" hidden="false" customHeight="false" outlineLevel="0" collapsed="false">
      <c r="A922" s="31" t="str">
        <f aca="false">IF(COUNTA(B922,D922,E922,F922)=0,"",ROW()-4)</f>
        <v/>
      </c>
      <c r="B922" s="22"/>
      <c r="C922" s="26"/>
      <c r="D922" s="26"/>
      <c r="E922" s="18"/>
      <c r="F922" s="26"/>
      <c r="G922" s="31" t="str">
        <f aca="false">IF(F922="","",IFERROR(INDEX(請求台帳!$C$5:$C$504,MATCH(F922,請求台帳!$A$5:$A$504,0)),""))</f>
        <v/>
      </c>
      <c r="H922" s="31" t="str">
        <f aca="false">IF(F922="","",IFERROR(INDEX(請求台帳!$D$5:$D$504,MATCH(F922,請求台帳!$A$5:$A$504,0)),""))</f>
        <v/>
      </c>
      <c r="I922" s="27" t="str">
        <f aca="false">IF(F922="","",IFERROR(INDEX(請求台帳!$F$5:$F$504,MATCH(F922,請求台帳!$A$5:$A$504,0)),""))</f>
        <v/>
      </c>
      <c r="J922" s="28" t="str">
        <f aca="false">IF(COUNTA(B922,D922,E922,F922)=0,"",IF(OR(B922="",E922=""),"要入力",IF(N(B922)&gt;設定!$C$5,"日付誤り",IF(F922="","未消込",IF(ISNA(MATCH(F922,請求台帳!$A$5:$A$504,0)),"番号誤り",IF(INDEX(請求台帳!$Q$5:$Q$504,MATCH(F922,請求台帳!$A$5:$A$504,0))="取消","取消請求へ消込","消込済"))))))</f>
        <v/>
      </c>
      <c r="K922" s="26"/>
      <c r="L922" s="26"/>
    </row>
    <row r="923" customFormat="false" ht="15" hidden="false" customHeight="false" outlineLevel="0" collapsed="false">
      <c r="A923" s="31" t="str">
        <f aca="false">IF(COUNTA(B923,D923,E923,F923)=0,"",ROW()-4)</f>
        <v/>
      </c>
      <c r="B923" s="22"/>
      <c r="C923" s="26"/>
      <c r="D923" s="26"/>
      <c r="E923" s="18"/>
      <c r="F923" s="26"/>
      <c r="G923" s="31" t="str">
        <f aca="false">IF(F923="","",IFERROR(INDEX(請求台帳!$C$5:$C$504,MATCH(F923,請求台帳!$A$5:$A$504,0)),""))</f>
        <v/>
      </c>
      <c r="H923" s="31" t="str">
        <f aca="false">IF(F923="","",IFERROR(INDEX(請求台帳!$D$5:$D$504,MATCH(F923,請求台帳!$A$5:$A$504,0)),""))</f>
        <v/>
      </c>
      <c r="I923" s="27" t="str">
        <f aca="false">IF(F923="","",IFERROR(INDEX(請求台帳!$F$5:$F$504,MATCH(F923,請求台帳!$A$5:$A$504,0)),""))</f>
        <v/>
      </c>
      <c r="J923" s="28" t="str">
        <f aca="false">IF(COUNTA(B923,D923,E923,F923)=0,"",IF(OR(B923="",E923=""),"要入力",IF(N(B923)&gt;設定!$C$5,"日付誤り",IF(F923="","未消込",IF(ISNA(MATCH(F923,請求台帳!$A$5:$A$504,0)),"番号誤り",IF(INDEX(請求台帳!$Q$5:$Q$504,MATCH(F923,請求台帳!$A$5:$A$504,0))="取消","取消請求へ消込","消込済"))))))</f>
        <v/>
      </c>
      <c r="K923" s="26"/>
      <c r="L923" s="26"/>
    </row>
    <row r="924" customFormat="false" ht="15" hidden="false" customHeight="false" outlineLevel="0" collapsed="false">
      <c r="A924" s="31" t="str">
        <f aca="false">IF(COUNTA(B924,D924,E924,F924)=0,"",ROW()-4)</f>
        <v/>
      </c>
      <c r="B924" s="22"/>
      <c r="C924" s="26"/>
      <c r="D924" s="26"/>
      <c r="E924" s="18"/>
      <c r="F924" s="26"/>
      <c r="G924" s="31" t="str">
        <f aca="false">IF(F924="","",IFERROR(INDEX(請求台帳!$C$5:$C$504,MATCH(F924,請求台帳!$A$5:$A$504,0)),""))</f>
        <v/>
      </c>
      <c r="H924" s="31" t="str">
        <f aca="false">IF(F924="","",IFERROR(INDEX(請求台帳!$D$5:$D$504,MATCH(F924,請求台帳!$A$5:$A$504,0)),""))</f>
        <v/>
      </c>
      <c r="I924" s="27" t="str">
        <f aca="false">IF(F924="","",IFERROR(INDEX(請求台帳!$F$5:$F$504,MATCH(F924,請求台帳!$A$5:$A$504,0)),""))</f>
        <v/>
      </c>
      <c r="J924" s="28" t="str">
        <f aca="false">IF(COUNTA(B924,D924,E924,F924)=0,"",IF(OR(B924="",E924=""),"要入力",IF(N(B924)&gt;設定!$C$5,"日付誤り",IF(F924="","未消込",IF(ISNA(MATCH(F924,請求台帳!$A$5:$A$504,0)),"番号誤り",IF(INDEX(請求台帳!$Q$5:$Q$504,MATCH(F924,請求台帳!$A$5:$A$504,0))="取消","取消請求へ消込","消込済"))))))</f>
        <v/>
      </c>
      <c r="K924" s="26"/>
      <c r="L924" s="26"/>
    </row>
    <row r="925" customFormat="false" ht="15" hidden="false" customHeight="false" outlineLevel="0" collapsed="false">
      <c r="A925" s="31" t="str">
        <f aca="false">IF(COUNTA(B925,D925,E925,F925)=0,"",ROW()-4)</f>
        <v/>
      </c>
      <c r="B925" s="22"/>
      <c r="C925" s="26"/>
      <c r="D925" s="26"/>
      <c r="E925" s="18"/>
      <c r="F925" s="26"/>
      <c r="G925" s="31" t="str">
        <f aca="false">IF(F925="","",IFERROR(INDEX(請求台帳!$C$5:$C$504,MATCH(F925,請求台帳!$A$5:$A$504,0)),""))</f>
        <v/>
      </c>
      <c r="H925" s="31" t="str">
        <f aca="false">IF(F925="","",IFERROR(INDEX(請求台帳!$D$5:$D$504,MATCH(F925,請求台帳!$A$5:$A$504,0)),""))</f>
        <v/>
      </c>
      <c r="I925" s="27" t="str">
        <f aca="false">IF(F925="","",IFERROR(INDEX(請求台帳!$F$5:$F$504,MATCH(F925,請求台帳!$A$5:$A$504,0)),""))</f>
        <v/>
      </c>
      <c r="J925" s="28" t="str">
        <f aca="false">IF(COUNTA(B925,D925,E925,F925)=0,"",IF(OR(B925="",E925=""),"要入力",IF(N(B925)&gt;設定!$C$5,"日付誤り",IF(F925="","未消込",IF(ISNA(MATCH(F925,請求台帳!$A$5:$A$504,0)),"番号誤り",IF(INDEX(請求台帳!$Q$5:$Q$504,MATCH(F925,請求台帳!$A$5:$A$504,0))="取消","取消請求へ消込","消込済"))))))</f>
        <v/>
      </c>
      <c r="K925" s="26"/>
      <c r="L925" s="26"/>
    </row>
    <row r="926" customFormat="false" ht="15" hidden="false" customHeight="false" outlineLevel="0" collapsed="false">
      <c r="A926" s="31" t="str">
        <f aca="false">IF(COUNTA(B926,D926,E926,F926)=0,"",ROW()-4)</f>
        <v/>
      </c>
      <c r="B926" s="22"/>
      <c r="C926" s="26"/>
      <c r="D926" s="26"/>
      <c r="E926" s="18"/>
      <c r="F926" s="26"/>
      <c r="G926" s="31" t="str">
        <f aca="false">IF(F926="","",IFERROR(INDEX(請求台帳!$C$5:$C$504,MATCH(F926,請求台帳!$A$5:$A$504,0)),""))</f>
        <v/>
      </c>
      <c r="H926" s="31" t="str">
        <f aca="false">IF(F926="","",IFERROR(INDEX(請求台帳!$D$5:$D$504,MATCH(F926,請求台帳!$A$5:$A$504,0)),""))</f>
        <v/>
      </c>
      <c r="I926" s="27" t="str">
        <f aca="false">IF(F926="","",IFERROR(INDEX(請求台帳!$F$5:$F$504,MATCH(F926,請求台帳!$A$5:$A$504,0)),""))</f>
        <v/>
      </c>
      <c r="J926" s="28" t="str">
        <f aca="false">IF(COUNTA(B926,D926,E926,F926)=0,"",IF(OR(B926="",E926=""),"要入力",IF(N(B926)&gt;設定!$C$5,"日付誤り",IF(F926="","未消込",IF(ISNA(MATCH(F926,請求台帳!$A$5:$A$504,0)),"番号誤り",IF(INDEX(請求台帳!$Q$5:$Q$504,MATCH(F926,請求台帳!$A$5:$A$504,0))="取消","取消請求へ消込","消込済"))))))</f>
        <v/>
      </c>
      <c r="K926" s="26"/>
      <c r="L926" s="26"/>
    </row>
    <row r="927" customFormat="false" ht="15" hidden="false" customHeight="false" outlineLevel="0" collapsed="false">
      <c r="A927" s="31" t="str">
        <f aca="false">IF(COUNTA(B927,D927,E927,F927)=0,"",ROW()-4)</f>
        <v/>
      </c>
      <c r="B927" s="22"/>
      <c r="C927" s="26"/>
      <c r="D927" s="26"/>
      <c r="E927" s="18"/>
      <c r="F927" s="26"/>
      <c r="G927" s="31" t="str">
        <f aca="false">IF(F927="","",IFERROR(INDEX(請求台帳!$C$5:$C$504,MATCH(F927,請求台帳!$A$5:$A$504,0)),""))</f>
        <v/>
      </c>
      <c r="H927" s="31" t="str">
        <f aca="false">IF(F927="","",IFERROR(INDEX(請求台帳!$D$5:$D$504,MATCH(F927,請求台帳!$A$5:$A$504,0)),""))</f>
        <v/>
      </c>
      <c r="I927" s="27" t="str">
        <f aca="false">IF(F927="","",IFERROR(INDEX(請求台帳!$F$5:$F$504,MATCH(F927,請求台帳!$A$5:$A$504,0)),""))</f>
        <v/>
      </c>
      <c r="J927" s="28" t="str">
        <f aca="false">IF(COUNTA(B927,D927,E927,F927)=0,"",IF(OR(B927="",E927=""),"要入力",IF(N(B927)&gt;設定!$C$5,"日付誤り",IF(F927="","未消込",IF(ISNA(MATCH(F927,請求台帳!$A$5:$A$504,0)),"番号誤り",IF(INDEX(請求台帳!$Q$5:$Q$504,MATCH(F927,請求台帳!$A$5:$A$504,0))="取消","取消請求へ消込","消込済"))))))</f>
        <v/>
      </c>
      <c r="K927" s="26"/>
      <c r="L927" s="26"/>
    </row>
    <row r="928" customFormat="false" ht="15" hidden="false" customHeight="false" outlineLevel="0" collapsed="false">
      <c r="A928" s="31" t="str">
        <f aca="false">IF(COUNTA(B928,D928,E928,F928)=0,"",ROW()-4)</f>
        <v/>
      </c>
      <c r="B928" s="22"/>
      <c r="C928" s="26"/>
      <c r="D928" s="26"/>
      <c r="E928" s="18"/>
      <c r="F928" s="26"/>
      <c r="G928" s="31" t="str">
        <f aca="false">IF(F928="","",IFERROR(INDEX(請求台帳!$C$5:$C$504,MATCH(F928,請求台帳!$A$5:$A$504,0)),""))</f>
        <v/>
      </c>
      <c r="H928" s="31" t="str">
        <f aca="false">IF(F928="","",IFERROR(INDEX(請求台帳!$D$5:$D$504,MATCH(F928,請求台帳!$A$5:$A$504,0)),""))</f>
        <v/>
      </c>
      <c r="I928" s="27" t="str">
        <f aca="false">IF(F928="","",IFERROR(INDEX(請求台帳!$F$5:$F$504,MATCH(F928,請求台帳!$A$5:$A$504,0)),""))</f>
        <v/>
      </c>
      <c r="J928" s="28" t="str">
        <f aca="false">IF(COUNTA(B928,D928,E928,F928)=0,"",IF(OR(B928="",E928=""),"要入力",IF(N(B928)&gt;設定!$C$5,"日付誤り",IF(F928="","未消込",IF(ISNA(MATCH(F928,請求台帳!$A$5:$A$504,0)),"番号誤り",IF(INDEX(請求台帳!$Q$5:$Q$504,MATCH(F928,請求台帳!$A$5:$A$504,0))="取消","取消請求へ消込","消込済"))))))</f>
        <v/>
      </c>
      <c r="K928" s="26"/>
      <c r="L928" s="26"/>
    </row>
    <row r="929" customFormat="false" ht="15" hidden="false" customHeight="false" outlineLevel="0" collapsed="false">
      <c r="A929" s="31" t="str">
        <f aca="false">IF(COUNTA(B929,D929,E929,F929)=0,"",ROW()-4)</f>
        <v/>
      </c>
      <c r="B929" s="22"/>
      <c r="C929" s="26"/>
      <c r="D929" s="26"/>
      <c r="E929" s="18"/>
      <c r="F929" s="26"/>
      <c r="G929" s="31" t="str">
        <f aca="false">IF(F929="","",IFERROR(INDEX(請求台帳!$C$5:$C$504,MATCH(F929,請求台帳!$A$5:$A$504,0)),""))</f>
        <v/>
      </c>
      <c r="H929" s="31" t="str">
        <f aca="false">IF(F929="","",IFERROR(INDEX(請求台帳!$D$5:$D$504,MATCH(F929,請求台帳!$A$5:$A$504,0)),""))</f>
        <v/>
      </c>
      <c r="I929" s="27" t="str">
        <f aca="false">IF(F929="","",IFERROR(INDEX(請求台帳!$F$5:$F$504,MATCH(F929,請求台帳!$A$5:$A$504,0)),""))</f>
        <v/>
      </c>
      <c r="J929" s="28" t="str">
        <f aca="false">IF(COUNTA(B929,D929,E929,F929)=0,"",IF(OR(B929="",E929=""),"要入力",IF(N(B929)&gt;設定!$C$5,"日付誤り",IF(F929="","未消込",IF(ISNA(MATCH(F929,請求台帳!$A$5:$A$504,0)),"番号誤り",IF(INDEX(請求台帳!$Q$5:$Q$504,MATCH(F929,請求台帳!$A$5:$A$504,0))="取消","取消請求へ消込","消込済"))))))</f>
        <v/>
      </c>
      <c r="K929" s="26"/>
      <c r="L929" s="26"/>
    </row>
    <row r="930" customFormat="false" ht="15" hidden="false" customHeight="false" outlineLevel="0" collapsed="false">
      <c r="A930" s="31" t="str">
        <f aca="false">IF(COUNTA(B930,D930,E930,F930)=0,"",ROW()-4)</f>
        <v/>
      </c>
      <c r="B930" s="22"/>
      <c r="C930" s="26"/>
      <c r="D930" s="26"/>
      <c r="E930" s="18"/>
      <c r="F930" s="26"/>
      <c r="G930" s="31" t="str">
        <f aca="false">IF(F930="","",IFERROR(INDEX(請求台帳!$C$5:$C$504,MATCH(F930,請求台帳!$A$5:$A$504,0)),""))</f>
        <v/>
      </c>
      <c r="H930" s="31" t="str">
        <f aca="false">IF(F930="","",IFERROR(INDEX(請求台帳!$D$5:$D$504,MATCH(F930,請求台帳!$A$5:$A$504,0)),""))</f>
        <v/>
      </c>
      <c r="I930" s="27" t="str">
        <f aca="false">IF(F930="","",IFERROR(INDEX(請求台帳!$F$5:$F$504,MATCH(F930,請求台帳!$A$5:$A$504,0)),""))</f>
        <v/>
      </c>
      <c r="J930" s="28" t="str">
        <f aca="false">IF(COUNTA(B930,D930,E930,F930)=0,"",IF(OR(B930="",E930=""),"要入力",IF(N(B930)&gt;設定!$C$5,"日付誤り",IF(F930="","未消込",IF(ISNA(MATCH(F930,請求台帳!$A$5:$A$504,0)),"番号誤り",IF(INDEX(請求台帳!$Q$5:$Q$504,MATCH(F930,請求台帳!$A$5:$A$504,0))="取消","取消請求へ消込","消込済"))))))</f>
        <v/>
      </c>
      <c r="K930" s="26"/>
      <c r="L930" s="26"/>
    </row>
    <row r="931" customFormat="false" ht="15" hidden="false" customHeight="false" outlineLevel="0" collapsed="false">
      <c r="A931" s="31" t="str">
        <f aca="false">IF(COUNTA(B931,D931,E931,F931)=0,"",ROW()-4)</f>
        <v/>
      </c>
      <c r="B931" s="22"/>
      <c r="C931" s="26"/>
      <c r="D931" s="26"/>
      <c r="E931" s="18"/>
      <c r="F931" s="26"/>
      <c r="G931" s="31" t="str">
        <f aca="false">IF(F931="","",IFERROR(INDEX(請求台帳!$C$5:$C$504,MATCH(F931,請求台帳!$A$5:$A$504,0)),""))</f>
        <v/>
      </c>
      <c r="H931" s="31" t="str">
        <f aca="false">IF(F931="","",IFERROR(INDEX(請求台帳!$D$5:$D$504,MATCH(F931,請求台帳!$A$5:$A$504,0)),""))</f>
        <v/>
      </c>
      <c r="I931" s="27" t="str">
        <f aca="false">IF(F931="","",IFERROR(INDEX(請求台帳!$F$5:$F$504,MATCH(F931,請求台帳!$A$5:$A$504,0)),""))</f>
        <v/>
      </c>
      <c r="J931" s="28" t="str">
        <f aca="false">IF(COUNTA(B931,D931,E931,F931)=0,"",IF(OR(B931="",E931=""),"要入力",IF(N(B931)&gt;設定!$C$5,"日付誤り",IF(F931="","未消込",IF(ISNA(MATCH(F931,請求台帳!$A$5:$A$504,0)),"番号誤り",IF(INDEX(請求台帳!$Q$5:$Q$504,MATCH(F931,請求台帳!$A$5:$A$504,0))="取消","取消請求へ消込","消込済"))))))</f>
        <v/>
      </c>
      <c r="K931" s="26"/>
      <c r="L931" s="26"/>
    </row>
    <row r="932" customFormat="false" ht="15" hidden="false" customHeight="false" outlineLevel="0" collapsed="false">
      <c r="A932" s="31" t="str">
        <f aca="false">IF(COUNTA(B932,D932,E932,F932)=0,"",ROW()-4)</f>
        <v/>
      </c>
      <c r="B932" s="22"/>
      <c r="C932" s="26"/>
      <c r="D932" s="26"/>
      <c r="E932" s="18"/>
      <c r="F932" s="26"/>
      <c r="G932" s="31" t="str">
        <f aca="false">IF(F932="","",IFERROR(INDEX(請求台帳!$C$5:$C$504,MATCH(F932,請求台帳!$A$5:$A$504,0)),""))</f>
        <v/>
      </c>
      <c r="H932" s="31" t="str">
        <f aca="false">IF(F932="","",IFERROR(INDEX(請求台帳!$D$5:$D$504,MATCH(F932,請求台帳!$A$5:$A$504,0)),""))</f>
        <v/>
      </c>
      <c r="I932" s="27" t="str">
        <f aca="false">IF(F932="","",IFERROR(INDEX(請求台帳!$F$5:$F$504,MATCH(F932,請求台帳!$A$5:$A$504,0)),""))</f>
        <v/>
      </c>
      <c r="J932" s="28" t="str">
        <f aca="false">IF(COUNTA(B932,D932,E932,F932)=0,"",IF(OR(B932="",E932=""),"要入力",IF(N(B932)&gt;設定!$C$5,"日付誤り",IF(F932="","未消込",IF(ISNA(MATCH(F932,請求台帳!$A$5:$A$504,0)),"番号誤り",IF(INDEX(請求台帳!$Q$5:$Q$504,MATCH(F932,請求台帳!$A$5:$A$504,0))="取消","取消請求へ消込","消込済"))))))</f>
        <v/>
      </c>
      <c r="K932" s="26"/>
      <c r="L932" s="26"/>
    </row>
    <row r="933" customFormat="false" ht="15" hidden="false" customHeight="false" outlineLevel="0" collapsed="false">
      <c r="A933" s="31" t="str">
        <f aca="false">IF(COUNTA(B933,D933,E933,F933)=0,"",ROW()-4)</f>
        <v/>
      </c>
      <c r="B933" s="22"/>
      <c r="C933" s="26"/>
      <c r="D933" s="26"/>
      <c r="E933" s="18"/>
      <c r="F933" s="26"/>
      <c r="G933" s="31" t="str">
        <f aca="false">IF(F933="","",IFERROR(INDEX(請求台帳!$C$5:$C$504,MATCH(F933,請求台帳!$A$5:$A$504,0)),""))</f>
        <v/>
      </c>
      <c r="H933" s="31" t="str">
        <f aca="false">IF(F933="","",IFERROR(INDEX(請求台帳!$D$5:$D$504,MATCH(F933,請求台帳!$A$5:$A$504,0)),""))</f>
        <v/>
      </c>
      <c r="I933" s="27" t="str">
        <f aca="false">IF(F933="","",IFERROR(INDEX(請求台帳!$F$5:$F$504,MATCH(F933,請求台帳!$A$5:$A$504,0)),""))</f>
        <v/>
      </c>
      <c r="J933" s="28" t="str">
        <f aca="false">IF(COUNTA(B933,D933,E933,F933)=0,"",IF(OR(B933="",E933=""),"要入力",IF(N(B933)&gt;設定!$C$5,"日付誤り",IF(F933="","未消込",IF(ISNA(MATCH(F933,請求台帳!$A$5:$A$504,0)),"番号誤り",IF(INDEX(請求台帳!$Q$5:$Q$504,MATCH(F933,請求台帳!$A$5:$A$504,0))="取消","取消請求へ消込","消込済"))))))</f>
        <v/>
      </c>
      <c r="K933" s="26"/>
      <c r="L933" s="26"/>
    </row>
    <row r="934" customFormat="false" ht="15" hidden="false" customHeight="false" outlineLevel="0" collapsed="false">
      <c r="A934" s="31" t="str">
        <f aca="false">IF(COUNTA(B934,D934,E934,F934)=0,"",ROW()-4)</f>
        <v/>
      </c>
      <c r="B934" s="22"/>
      <c r="C934" s="26"/>
      <c r="D934" s="26"/>
      <c r="E934" s="18"/>
      <c r="F934" s="26"/>
      <c r="G934" s="31" t="str">
        <f aca="false">IF(F934="","",IFERROR(INDEX(請求台帳!$C$5:$C$504,MATCH(F934,請求台帳!$A$5:$A$504,0)),""))</f>
        <v/>
      </c>
      <c r="H934" s="31" t="str">
        <f aca="false">IF(F934="","",IFERROR(INDEX(請求台帳!$D$5:$D$504,MATCH(F934,請求台帳!$A$5:$A$504,0)),""))</f>
        <v/>
      </c>
      <c r="I934" s="27" t="str">
        <f aca="false">IF(F934="","",IFERROR(INDEX(請求台帳!$F$5:$F$504,MATCH(F934,請求台帳!$A$5:$A$504,0)),""))</f>
        <v/>
      </c>
      <c r="J934" s="28" t="str">
        <f aca="false">IF(COUNTA(B934,D934,E934,F934)=0,"",IF(OR(B934="",E934=""),"要入力",IF(N(B934)&gt;設定!$C$5,"日付誤り",IF(F934="","未消込",IF(ISNA(MATCH(F934,請求台帳!$A$5:$A$504,0)),"番号誤り",IF(INDEX(請求台帳!$Q$5:$Q$504,MATCH(F934,請求台帳!$A$5:$A$504,0))="取消","取消請求へ消込","消込済"))))))</f>
        <v/>
      </c>
      <c r="K934" s="26"/>
      <c r="L934" s="26"/>
    </row>
    <row r="935" customFormat="false" ht="15" hidden="false" customHeight="false" outlineLevel="0" collapsed="false">
      <c r="A935" s="31" t="str">
        <f aca="false">IF(COUNTA(B935,D935,E935,F935)=0,"",ROW()-4)</f>
        <v/>
      </c>
      <c r="B935" s="22"/>
      <c r="C935" s="26"/>
      <c r="D935" s="26"/>
      <c r="E935" s="18"/>
      <c r="F935" s="26"/>
      <c r="G935" s="31" t="str">
        <f aca="false">IF(F935="","",IFERROR(INDEX(請求台帳!$C$5:$C$504,MATCH(F935,請求台帳!$A$5:$A$504,0)),""))</f>
        <v/>
      </c>
      <c r="H935" s="31" t="str">
        <f aca="false">IF(F935="","",IFERROR(INDEX(請求台帳!$D$5:$D$504,MATCH(F935,請求台帳!$A$5:$A$504,0)),""))</f>
        <v/>
      </c>
      <c r="I935" s="27" t="str">
        <f aca="false">IF(F935="","",IFERROR(INDEX(請求台帳!$F$5:$F$504,MATCH(F935,請求台帳!$A$5:$A$504,0)),""))</f>
        <v/>
      </c>
      <c r="J935" s="28" t="str">
        <f aca="false">IF(COUNTA(B935,D935,E935,F935)=0,"",IF(OR(B935="",E935=""),"要入力",IF(N(B935)&gt;設定!$C$5,"日付誤り",IF(F935="","未消込",IF(ISNA(MATCH(F935,請求台帳!$A$5:$A$504,0)),"番号誤り",IF(INDEX(請求台帳!$Q$5:$Q$504,MATCH(F935,請求台帳!$A$5:$A$504,0))="取消","取消請求へ消込","消込済"))))))</f>
        <v/>
      </c>
      <c r="K935" s="26"/>
      <c r="L935" s="26"/>
    </row>
    <row r="936" customFormat="false" ht="15" hidden="false" customHeight="false" outlineLevel="0" collapsed="false">
      <c r="A936" s="31" t="str">
        <f aca="false">IF(COUNTA(B936,D936,E936,F936)=0,"",ROW()-4)</f>
        <v/>
      </c>
      <c r="B936" s="22"/>
      <c r="C936" s="26"/>
      <c r="D936" s="26"/>
      <c r="E936" s="18"/>
      <c r="F936" s="26"/>
      <c r="G936" s="31" t="str">
        <f aca="false">IF(F936="","",IFERROR(INDEX(請求台帳!$C$5:$C$504,MATCH(F936,請求台帳!$A$5:$A$504,0)),""))</f>
        <v/>
      </c>
      <c r="H936" s="31" t="str">
        <f aca="false">IF(F936="","",IFERROR(INDEX(請求台帳!$D$5:$D$504,MATCH(F936,請求台帳!$A$5:$A$504,0)),""))</f>
        <v/>
      </c>
      <c r="I936" s="27" t="str">
        <f aca="false">IF(F936="","",IFERROR(INDEX(請求台帳!$F$5:$F$504,MATCH(F936,請求台帳!$A$5:$A$504,0)),""))</f>
        <v/>
      </c>
      <c r="J936" s="28" t="str">
        <f aca="false">IF(COUNTA(B936,D936,E936,F936)=0,"",IF(OR(B936="",E936=""),"要入力",IF(N(B936)&gt;設定!$C$5,"日付誤り",IF(F936="","未消込",IF(ISNA(MATCH(F936,請求台帳!$A$5:$A$504,0)),"番号誤り",IF(INDEX(請求台帳!$Q$5:$Q$504,MATCH(F936,請求台帳!$A$5:$A$504,0))="取消","取消請求へ消込","消込済"))))))</f>
        <v/>
      </c>
      <c r="K936" s="26"/>
      <c r="L936" s="26"/>
    </row>
    <row r="937" customFormat="false" ht="15" hidden="false" customHeight="false" outlineLevel="0" collapsed="false">
      <c r="A937" s="31" t="str">
        <f aca="false">IF(COUNTA(B937,D937,E937,F937)=0,"",ROW()-4)</f>
        <v/>
      </c>
      <c r="B937" s="22"/>
      <c r="C937" s="26"/>
      <c r="D937" s="26"/>
      <c r="E937" s="18"/>
      <c r="F937" s="26"/>
      <c r="G937" s="31" t="str">
        <f aca="false">IF(F937="","",IFERROR(INDEX(請求台帳!$C$5:$C$504,MATCH(F937,請求台帳!$A$5:$A$504,0)),""))</f>
        <v/>
      </c>
      <c r="H937" s="31" t="str">
        <f aca="false">IF(F937="","",IFERROR(INDEX(請求台帳!$D$5:$D$504,MATCH(F937,請求台帳!$A$5:$A$504,0)),""))</f>
        <v/>
      </c>
      <c r="I937" s="27" t="str">
        <f aca="false">IF(F937="","",IFERROR(INDEX(請求台帳!$F$5:$F$504,MATCH(F937,請求台帳!$A$5:$A$504,0)),""))</f>
        <v/>
      </c>
      <c r="J937" s="28" t="str">
        <f aca="false">IF(COUNTA(B937,D937,E937,F937)=0,"",IF(OR(B937="",E937=""),"要入力",IF(N(B937)&gt;設定!$C$5,"日付誤り",IF(F937="","未消込",IF(ISNA(MATCH(F937,請求台帳!$A$5:$A$504,0)),"番号誤り",IF(INDEX(請求台帳!$Q$5:$Q$504,MATCH(F937,請求台帳!$A$5:$A$504,0))="取消","取消請求へ消込","消込済"))))))</f>
        <v/>
      </c>
      <c r="K937" s="26"/>
      <c r="L937" s="26"/>
    </row>
    <row r="938" customFormat="false" ht="15" hidden="false" customHeight="false" outlineLevel="0" collapsed="false">
      <c r="A938" s="31" t="str">
        <f aca="false">IF(COUNTA(B938,D938,E938,F938)=0,"",ROW()-4)</f>
        <v/>
      </c>
      <c r="B938" s="22"/>
      <c r="C938" s="26"/>
      <c r="D938" s="26"/>
      <c r="E938" s="18"/>
      <c r="F938" s="26"/>
      <c r="G938" s="31" t="str">
        <f aca="false">IF(F938="","",IFERROR(INDEX(請求台帳!$C$5:$C$504,MATCH(F938,請求台帳!$A$5:$A$504,0)),""))</f>
        <v/>
      </c>
      <c r="H938" s="31" t="str">
        <f aca="false">IF(F938="","",IFERROR(INDEX(請求台帳!$D$5:$D$504,MATCH(F938,請求台帳!$A$5:$A$504,0)),""))</f>
        <v/>
      </c>
      <c r="I938" s="27" t="str">
        <f aca="false">IF(F938="","",IFERROR(INDEX(請求台帳!$F$5:$F$504,MATCH(F938,請求台帳!$A$5:$A$504,0)),""))</f>
        <v/>
      </c>
      <c r="J938" s="28" t="str">
        <f aca="false">IF(COUNTA(B938,D938,E938,F938)=0,"",IF(OR(B938="",E938=""),"要入力",IF(N(B938)&gt;設定!$C$5,"日付誤り",IF(F938="","未消込",IF(ISNA(MATCH(F938,請求台帳!$A$5:$A$504,0)),"番号誤り",IF(INDEX(請求台帳!$Q$5:$Q$504,MATCH(F938,請求台帳!$A$5:$A$504,0))="取消","取消請求へ消込","消込済"))))))</f>
        <v/>
      </c>
      <c r="K938" s="26"/>
      <c r="L938" s="26"/>
    </row>
    <row r="939" customFormat="false" ht="15" hidden="false" customHeight="false" outlineLevel="0" collapsed="false">
      <c r="A939" s="31" t="str">
        <f aca="false">IF(COUNTA(B939,D939,E939,F939)=0,"",ROW()-4)</f>
        <v/>
      </c>
      <c r="B939" s="22"/>
      <c r="C939" s="26"/>
      <c r="D939" s="26"/>
      <c r="E939" s="18"/>
      <c r="F939" s="26"/>
      <c r="G939" s="31" t="str">
        <f aca="false">IF(F939="","",IFERROR(INDEX(請求台帳!$C$5:$C$504,MATCH(F939,請求台帳!$A$5:$A$504,0)),""))</f>
        <v/>
      </c>
      <c r="H939" s="31" t="str">
        <f aca="false">IF(F939="","",IFERROR(INDEX(請求台帳!$D$5:$D$504,MATCH(F939,請求台帳!$A$5:$A$504,0)),""))</f>
        <v/>
      </c>
      <c r="I939" s="27" t="str">
        <f aca="false">IF(F939="","",IFERROR(INDEX(請求台帳!$F$5:$F$504,MATCH(F939,請求台帳!$A$5:$A$504,0)),""))</f>
        <v/>
      </c>
      <c r="J939" s="28" t="str">
        <f aca="false">IF(COUNTA(B939,D939,E939,F939)=0,"",IF(OR(B939="",E939=""),"要入力",IF(N(B939)&gt;設定!$C$5,"日付誤り",IF(F939="","未消込",IF(ISNA(MATCH(F939,請求台帳!$A$5:$A$504,0)),"番号誤り",IF(INDEX(請求台帳!$Q$5:$Q$504,MATCH(F939,請求台帳!$A$5:$A$504,0))="取消","取消請求へ消込","消込済"))))))</f>
        <v/>
      </c>
      <c r="K939" s="26"/>
      <c r="L939" s="26"/>
    </row>
    <row r="940" customFormat="false" ht="15" hidden="false" customHeight="false" outlineLevel="0" collapsed="false">
      <c r="A940" s="31" t="str">
        <f aca="false">IF(COUNTA(B940,D940,E940,F940)=0,"",ROW()-4)</f>
        <v/>
      </c>
      <c r="B940" s="22"/>
      <c r="C940" s="26"/>
      <c r="D940" s="26"/>
      <c r="E940" s="18"/>
      <c r="F940" s="26"/>
      <c r="G940" s="31" t="str">
        <f aca="false">IF(F940="","",IFERROR(INDEX(請求台帳!$C$5:$C$504,MATCH(F940,請求台帳!$A$5:$A$504,0)),""))</f>
        <v/>
      </c>
      <c r="H940" s="31" t="str">
        <f aca="false">IF(F940="","",IFERROR(INDEX(請求台帳!$D$5:$D$504,MATCH(F940,請求台帳!$A$5:$A$504,0)),""))</f>
        <v/>
      </c>
      <c r="I940" s="27" t="str">
        <f aca="false">IF(F940="","",IFERROR(INDEX(請求台帳!$F$5:$F$504,MATCH(F940,請求台帳!$A$5:$A$504,0)),""))</f>
        <v/>
      </c>
      <c r="J940" s="28" t="str">
        <f aca="false">IF(COUNTA(B940,D940,E940,F940)=0,"",IF(OR(B940="",E940=""),"要入力",IF(N(B940)&gt;設定!$C$5,"日付誤り",IF(F940="","未消込",IF(ISNA(MATCH(F940,請求台帳!$A$5:$A$504,0)),"番号誤り",IF(INDEX(請求台帳!$Q$5:$Q$504,MATCH(F940,請求台帳!$A$5:$A$504,0))="取消","取消請求へ消込","消込済"))))))</f>
        <v/>
      </c>
      <c r="K940" s="26"/>
      <c r="L940" s="26"/>
    </row>
    <row r="941" customFormat="false" ht="15" hidden="false" customHeight="false" outlineLevel="0" collapsed="false">
      <c r="A941" s="31" t="str">
        <f aca="false">IF(COUNTA(B941,D941,E941,F941)=0,"",ROW()-4)</f>
        <v/>
      </c>
      <c r="B941" s="22"/>
      <c r="C941" s="26"/>
      <c r="D941" s="26"/>
      <c r="E941" s="18"/>
      <c r="F941" s="26"/>
      <c r="G941" s="31" t="str">
        <f aca="false">IF(F941="","",IFERROR(INDEX(請求台帳!$C$5:$C$504,MATCH(F941,請求台帳!$A$5:$A$504,0)),""))</f>
        <v/>
      </c>
      <c r="H941" s="31" t="str">
        <f aca="false">IF(F941="","",IFERROR(INDEX(請求台帳!$D$5:$D$504,MATCH(F941,請求台帳!$A$5:$A$504,0)),""))</f>
        <v/>
      </c>
      <c r="I941" s="27" t="str">
        <f aca="false">IF(F941="","",IFERROR(INDEX(請求台帳!$F$5:$F$504,MATCH(F941,請求台帳!$A$5:$A$504,0)),""))</f>
        <v/>
      </c>
      <c r="J941" s="28" t="str">
        <f aca="false">IF(COUNTA(B941,D941,E941,F941)=0,"",IF(OR(B941="",E941=""),"要入力",IF(N(B941)&gt;設定!$C$5,"日付誤り",IF(F941="","未消込",IF(ISNA(MATCH(F941,請求台帳!$A$5:$A$504,0)),"番号誤り",IF(INDEX(請求台帳!$Q$5:$Q$504,MATCH(F941,請求台帳!$A$5:$A$504,0))="取消","取消請求へ消込","消込済"))))))</f>
        <v/>
      </c>
      <c r="K941" s="26"/>
      <c r="L941" s="26"/>
    </row>
    <row r="942" customFormat="false" ht="15" hidden="false" customHeight="false" outlineLevel="0" collapsed="false">
      <c r="A942" s="31" t="str">
        <f aca="false">IF(COUNTA(B942,D942,E942,F942)=0,"",ROW()-4)</f>
        <v/>
      </c>
      <c r="B942" s="22"/>
      <c r="C942" s="26"/>
      <c r="D942" s="26"/>
      <c r="E942" s="18"/>
      <c r="F942" s="26"/>
      <c r="G942" s="31" t="str">
        <f aca="false">IF(F942="","",IFERROR(INDEX(請求台帳!$C$5:$C$504,MATCH(F942,請求台帳!$A$5:$A$504,0)),""))</f>
        <v/>
      </c>
      <c r="H942" s="31" t="str">
        <f aca="false">IF(F942="","",IFERROR(INDEX(請求台帳!$D$5:$D$504,MATCH(F942,請求台帳!$A$5:$A$504,0)),""))</f>
        <v/>
      </c>
      <c r="I942" s="27" t="str">
        <f aca="false">IF(F942="","",IFERROR(INDEX(請求台帳!$F$5:$F$504,MATCH(F942,請求台帳!$A$5:$A$504,0)),""))</f>
        <v/>
      </c>
      <c r="J942" s="28" t="str">
        <f aca="false">IF(COUNTA(B942,D942,E942,F942)=0,"",IF(OR(B942="",E942=""),"要入力",IF(N(B942)&gt;設定!$C$5,"日付誤り",IF(F942="","未消込",IF(ISNA(MATCH(F942,請求台帳!$A$5:$A$504,0)),"番号誤り",IF(INDEX(請求台帳!$Q$5:$Q$504,MATCH(F942,請求台帳!$A$5:$A$504,0))="取消","取消請求へ消込","消込済"))))))</f>
        <v/>
      </c>
      <c r="K942" s="26"/>
      <c r="L942" s="26"/>
    </row>
    <row r="943" customFormat="false" ht="15" hidden="false" customHeight="false" outlineLevel="0" collapsed="false">
      <c r="A943" s="31" t="str">
        <f aca="false">IF(COUNTA(B943,D943,E943,F943)=0,"",ROW()-4)</f>
        <v/>
      </c>
      <c r="B943" s="22"/>
      <c r="C943" s="26"/>
      <c r="D943" s="26"/>
      <c r="E943" s="18"/>
      <c r="F943" s="26"/>
      <c r="G943" s="31" t="str">
        <f aca="false">IF(F943="","",IFERROR(INDEX(請求台帳!$C$5:$C$504,MATCH(F943,請求台帳!$A$5:$A$504,0)),""))</f>
        <v/>
      </c>
      <c r="H943" s="31" t="str">
        <f aca="false">IF(F943="","",IFERROR(INDEX(請求台帳!$D$5:$D$504,MATCH(F943,請求台帳!$A$5:$A$504,0)),""))</f>
        <v/>
      </c>
      <c r="I943" s="27" t="str">
        <f aca="false">IF(F943="","",IFERROR(INDEX(請求台帳!$F$5:$F$504,MATCH(F943,請求台帳!$A$5:$A$504,0)),""))</f>
        <v/>
      </c>
      <c r="J943" s="28" t="str">
        <f aca="false">IF(COUNTA(B943,D943,E943,F943)=0,"",IF(OR(B943="",E943=""),"要入力",IF(N(B943)&gt;設定!$C$5,"日付誤り",IF(F943="","未消込",IF(ISNA(MATCH(F943,請求台帳!$A$5:$A$504,0)),"番号誤り",IF(INDEX(請求台帳!$Q$5:$Q$504,MATCH(F943,請求台帳!$A$5:$A$504,0))="取消","取消請求へ消込","消込済"))))))</f>
        <v/>
      </c>
      <c r="K943" s="26"/>
      <c r="L943" s="26"/>
    </row>
    <row r="944" customFormat="false" ht="15" hidden="false" customHeight="false" outlineLevel="0" collapsed="false">
      <c r="A944" s="31" t="str">
        <f aca="false">IF(COUNTA(B944,D944,E944,F944)=0,"",ROW()-4)</f>
        <v/>
      </c>
      <c r="B944" s="22"/>
      <c r="C944" s="26"/>
      <c r="D944" s="26"/>
      <c r="E944" s="18"/>
      <c r="F944" s="26"/>
      <c r="G944" s="31" t="str">
        <f aca="false">IF(F944="","",IFERROR(INDEX(請求台帳!$C$5:$C$504,MATCH(F944,請求台帳!$A$5:$A$504,0)),""))</f>
        <v/>
      </c>
      <c r="H944" s="31" t="str">
        <f aca="false">IF(F944="","",IFERROR(INDEX(請求台帳!$D$5:$D$504,MATCH(F944,請求台帳!$A$5:$A$504,0)),""))</f>
        <v/>
      </c>
      <c r="I944" s="27" t="str">
        <f aca="false">IF(F944="","",IFERROR(INDEX(請求台帳!$F$5:$F$504,MATCH(F944,請求台帳!$A$5:$A$504,0)),""))</f>
        <v/>
      </c>
      <c r="J944" s="28" t="str">
        <f aca="false">IF(COUNTA(B944,D944,E944,F944)=0,"",IF(OR(B944="",E944=""),"要入力",IF(N(B944)&gt;設定!$C$5,"日付誤り",IF(F944="","未消込",IF(ISNA(MATCH(F944,請求台帳!$A$5:$A$504,0)),"番号誤り",IF(INDEX(請求台帳!$Q$5:$Q$504,MATCH(F944,請求台帳!$A$5:$A$504,0))="取消","取消請求へ消込","消込済"))))))</f>
        <v/>
      </c>
      <c r="K944" s="26"/>
      <c r="L944" s="26"/>
    </row>
    <row r="945" customFormat="false" ht="15" hidden="false" customHeight="false" outlineLevel="0" collapsed="false">
      <c r="A945" s="31" t="str">
        <f aca="false">IF(COUNTA(B945,D945,E945,F945)=0,"",ROW()-4)</f>
        <v/>
      </c>
      <c r="B945" s="22"/>
      <c r="C945" s="26"/>
      <c r="D945" s="26"/>
      <c r="E945" s="18"/>
      <c r="F945" s="26"/>
      <c r="G945" s="31" t="str">
        <f aca="false">IF(F945="","",IFERROR(INDEX(請求台帳!$C$5:$C$504,MATCH(F945,請求台帳!$A$5:$A$504,0)),""))</f>
        <v/>
      </c>
      <c r="H945" s="31" t="str">
        <f aca="false">IF(F945="","",IFERROR(INDEX(請求台帳!$D$5:$D$504,MATCH(F945,請求台帳!$A$5:$A$504,0)),""))</f>
        <v/>
      </c>
      <c r="I945" s="27" t="str">
        <f aca="false">IF(F945="","",IFERROR(INDEX(請求台帳!$F$5:$F$504,MATCH(F945,請求台帳!$A$5:$A$504,0)),""))</f>
        <v/>
      </c>
      <c r="J945" s="28" t="str">
        <f aca="false">IF(COUNTA(B945,D945,E945,F945)=0,"",IF(OR(B945="",E945=""),"要入力",IF(N(B945)&gt;設定!$C$5,"日付誤り",IF(F945="","未消込",IF(ISNA(MATCH(F945,請求台帳!$A$5:$A$504,0)),"番号誤り",IF(INDEX(請求台帳!$Q$5:$Q$504,MATCH(F945,請求台帳!$A$5:$A$504,0))="取消","取消請求へ消込","消込済"))))))</f>
        <v/>
      </c>
      <c r="K945" s="26"/>
      <c r="L945" s="26"/>
    </row>
    <row r="946" customFormat="false" ht="15" hidden="false" customHeight="false" outlineLevel="0" collapsed="false">
      <c r="A946" s="31" t="str">
        <f aca="false">IF(COUNTA(B946,D946,E946,F946)=0,"",ROW()-4)</f>
        <v/>
      </c>
      <c r="B946" s="22"/>
      <c r="C946" s="26"/>
      <c r="D946" s="26"/>
      <c r="E946" s="18"/>
      <c r="F946" s="26"/>
      <c r="G946" s="31" t="str">
        <f aca="false">IF(F946="","",IFERROR(INDEX(請求台帳!$C$5:$C$504,MATCH(F946,請求台帳!$A$5:$A$504,0)),""))</f>
        <v/>
      </c>
      <c r="H946" s="31" t="str">
        <f aca="false">IF(F946="","",IFERROR(INDEX(請求台帳!$D$5:$D$504,MATCH(F946,請求台帳!$A$5:$A$504,0)),""))</f>
        <v/>
      </c>
      <c r="I946" s="27" t="str">
        <f aca="false">IF(F946="","",IFERROR(INDEX(請求台帳!$F$5:$F$504,MATCH(F946,請求台帳!$A$5:$A$504,0)),""))</f>
        <v/>
      </c>
      <c r="J946" s="28" t="str">
        <f aca="false">IF(COUNTA(B946,D946,E946,F946)=0,"",IF(OR(B946="",E946=""),"要入力",IF(N(B946)&gt;設定!$C$5,"日付誤り",IF(F946="","未消込",IF(ISNA(MATCH(F946,請求台帳!$A$5:$A$504,0)),"番号誤り",IF(INDEX(請求台帳!$Q$5:$Q$504,MATCH(F946,請求台帳!$A$5:$A$504,0))="取消","取消請求へ消込","消込済"))))))</f>
        <v/>
      </c>
      <c r="K946" s="26"/>
      <c r="L946" s="26"/>
    </row>
    <row r="947" customFormat="false" ht="15" hidden="false" customHeight="false" outlineLevel="0" collapsed="false">
      <c r="A947" s="31" t="str">
        <f aca="false">IF(COUNTA(B947,D947,E947,F947)=0,"",ROW()-4)</f>
        <v/>
      </c>
      <c r="B947" s="22"/>
      <c r="C947" s="26"/>
      <c r="D947" s="26"/>
      <c r="E947" s="18"/>
      <c r="F947" s="26"/>
      <c r="G947" s="31" t="str">
        <f aca="false">IF(F947="","",IFERROR(INDEX(請求台帳!$C$5:$C$504,MATCH(F947,請求台帳!$A$5:$A$504,0)),""))</f>
        <v/>
      </c>
      <c r="H947" s="31" t="str">
        <f aca="false">IF(F947="","",IFERROR(INDEX(請求台帳!$D$5:$D$504,MATCH(F947,請求台帳!$A$5:$A$504,0)),""))</f>
        <v/>
      </c>
      <c r="I947" s="27" t="str">
        <f aca="false">IF(F947="","",IFERROR(INDEX(請求台帳!$F$5:$F$504,MATCH(F947,請求台帳!$A$5:$A$504,0)),""))</f>
        <v/>
      </c>
      <c r="J947" s="28" t="str">
        <f aca="false">IF(COUNTA(B947,D947,E947,F947)=0,"",IF(OR(B947="",E947=""),"要入力",IF(N(B947)&gt;設定!$C$5,"日付誤り",IF(F947="","未消込",IF(ISNA(MATCH(F947,請求台帳!$A$5:$A$504,0)),"番号誤り",IF(INDEX(請求台帳!$Q$5:$Q$504,MATCH(F947,請求台帳!$A$5:$A$504,0))="取消","取消請求へ消込","消込済"))))))</f>
        <v/>
      </c>
      <c r="K947" s="26"/>
      <c r="L947" s="26"/>
    </row>
    <row r="948" customFormat="false" ht="15" hidden="false" customHeight="false" outlineLevel="0" collapsed="false">
      <c r="A948" s="31" t="str">
        <f aca="false">IF(COUNTA(B948,D948,E948,F948)=0,"",ROW()-4)</f>
        <v/>
      </c>
      <c r="B948" s="22"/>
      <c r="C948" s="26"/>
      <c r="D948" s="26"/>
      <c r="E948" s="18"/>
      <c r="F948" s="26"/>
      <c r="G948" s="31" t="str">
        <f aca="false">IF(F948="","",IFERROR(INDEX(請求台帳!$C$5:$C$504,MATCH(F948,請求台帳!$A$5:$A$504,0)),""))</f>
        <v/>
      </c>
      <c r="H948" s="31" t="str">
        <f aca="false">IF(F948="","",IFERROR(INDEX(請求台帳!$D$5:$D$504,MATCH(F948,請求台帳!$A$5:$A$504,0)),""))</f>
        <v/>
      </c>
      <c r="I948" s="27" t="str">
        <f aca="false">IF(F948="","",IFERROR(INDEX(請求台帳!$F$5:$F$504,MATCH(F948,請求台帳!$A$5:$A$504,0)),""))</f>
        <v/>
      </c>
      <c r="J948" s="28" t="str">
        <f aca="false">IF(COUNTA(B948,D948,E948,F948)=0,"",IF(OR(B948="",E948=""),"要入力",IF(N(B948)&gt;設定!$C$5,"日付誤り",IF(F948="","未消込",IF(ISNA(MATCH(F948,請求台帳!$A$5:$A$504,0)),"番号誤り",IF(INDEX(請求台帳!$Q$5:$Q$504,MATCH(F948,請求台帳!$A$5:$A$504,0))="取消","取消請求へ消込","消込済"))))))</f>
        <v/>
      </c>
      <c r="K948" s="26"/>
      <c r="L948" s="26"/>
    </row>
    <row r="949" customFormat="false" ht="15" hidden="false" customHeight="false" outlineLevel="0" collapsed="false">
      <c r="A949" s="31" t="str">
        <f aca="false">IF(COUNTA(B949,D949,E949,F949)=0,"",ROW()-4)</f>
        <v/>
      </c>
      <c r="B949" s="22"/>
      <c r="C949" s="26"/>
      <c r="D949" s="26"/>
      <c r="E949" s="18"/>
      <c r="F949" s="26"/>
      <c r="G949" s="31" t="str">
        <f aca="false">IF(F949="","",IFERROR(INDEX(請求台帳!$C$5:$C$504,MATCH(F949,請求台帳!$A$5:$A$504,0)),""))</f>
        <v/>
      </c>
      <c r="H949" s="31" t="str">
        <f aca="false">IF(F949="","",IFERROR(INDEX(請求台帳!$D$5:$D$504,MATCH(F949,請求台帳!$A$5:$A$504,0)),""))</f>
        <v/>
      </c>
      <c r="I949" s="27" t="str">
        <f aca="false">IF(F949="","",IFERROR(INDEX(請求台帳!$F$5:$F$504,MATCH(F949,請求台帳!$A$5:$A$504,0)),""))</f>
        <v/>
      </c>
      <c r="J949" s="28" t="str">
        <f aca="false">IF(COUNTA(B949,D949,E949,F949)=0,"",IF(OR(B949="",E949=""),"要入力",IF(N(B949)&gt;設定!$C$5,"日付誤り",IF(F949="","未消込",IF(ISNA(MATCH(F949,請求台帳!$A$5:$A$504,0)),"番号誤り",IF(INDEX(請求台帳!$Q$5:$Q$504,MATCH(F949,請求台帳!$A$5:$A$504,0))="取消","取消請求へ消込","消込済"))))))</f>
        <v/>
      </c>
      <c r="K949" s="26"/>
      <c r="L949" s="26"/>
    </row>
    <row r="950" customFormat="false" ht="15" hidden="false" customHeight="false" outlineLevel="0" collapsed="false">
      <c r="A950" s="31" t="str">
        <f aca="false">IF(COUNTA(B950,D950,E950,F950)=0,"",ROW()-4)</f>
        <v/>
      </c>
      <c r="B950" s="22"/>
      <c r="C950" s="26"/>
      <c r="D950" s="26"/>
      <c r="E950" s="18"/>
      <c r="F950" s="26"/>
      <c r="G950" s="31" t="str">
        <f aca="false">IF(F950="","",IFERROR(INDEX(請求台帳!$C$5:$C$504,MATCH(F950,請求台帳!$A$5:$A$504,0)),""))</f>
        <v/>
      </c>
      <c r="H950" s="31" t="str">
        <f aca="false">IF(F950="","",IFERROR(INDEX(請求台帳!$D$5:$D$504,MATCH(F950,請求台帳!$A$5:$A$504,0)),""))</f>
        <v/>
      </c>
      <c r="I950" s="27" t="str">
        <f aca="false">IF(F950="","",IFERROR(INDEX(請求台帳!$F$5:$F$504,MATCH(F950,請求台帳!$A$5:$A$504,0)),""))</f>
        <v/>
      </c>
      <c r="J950" s="28" t="str">
        <f aca="false">IF(COUNTA(B950,D950,E950,F950)=0,"",IF(OR(B950="",E950=""),"要入力",IF(N(B950)&gt;設定!$C$5,"日付誤り",IF(F950="","未消込",IF(ISNA(MATCH(F950,請求台帳!$A$5:$A$504,0)),"番号誤り",IF(INDEX(請求台帳!$Q$5:$Q$504,MATCH(F950,請求台帳!$A$5:$A$504,0))="取消","取消請求へ消込","消込済"))))))</f>
        <v/>
      </c>
      <c r="K950" s="26"/>
      <c r="L950" s="26"/>
    </row>
    <row r="951" customFormat="false" ht="15" hidden="false" customHeight="false" outlineLevel="0" collapsed="false">
      <c r="A951" s="31" t="str">
        <f aca="false">IF(COUNTA(B951,D951,E951,F951)=0,"",ROW()-4)</f>
        <v/>
      </c>
      <c r="B951" s="22"/>
      <c r="C951" s="26"/>
      <c r="D951" s="26"/>
      <c r="E951" s="18"/>
      <c r="F951" s="26"/>
      <c r="G951" s="31" t="str">
        <f aca="false">IF(F951="","",IFERROR(INDEX(請求台帳!$C$5:$C$504,MATCH(F951,請求台帳!$A$5:$A$504,0)),""))</f>
        <v/>
      </c>
      <c r="H951" s="31" t="str">
        <f aca="false">IF(F951="","",IFERROR(INDEX(請求台帳!$D$5:$D$504,MATCH(F951,請求台帳!$A$5:$A$504,0)),""))</f>
        <v/>
      </c>
      <c r="I951" s="27" t="str">
        <f aca="false">IF(F951="","",IFERROR(INDEX(請求台帳!$F$5:$F$504,MATCH(F951,請求台帳!$A$5:$A$504,0)),""))</f>
        <v/>
      </c>
      <c r="J951" s="28" t="str">
        <f aca="false">IF(COUNTA(B951,D951,E951,F951)=0,"",IF(OR(B951="",E951=""),"要入力",IF(N(B951)&gt;設定!$C$5,"日付誤り",IF(F951="","未消込",IF(ISNA(MATCH(F951,請求台帳!$A$5:$A$504,0)),"番号誤り",IF(INDEX(請求台帳!$Q$5:$Q$504,MATCH(F951,請求台帳!$A$5:$A$504,0))="取消","取消請求へ消込","消込済"))))))</f>
        <v/>
      </c>
      <c r="K951" s="26"/>
      <c r="L951" s="26"/>
    </row>
    <row r="952" customFormat="false" ht="15" hidden="false" customHeight="false" outlineLevel="0" collapsed="false">
      <c r="A952" s="31" t="str">
        <f aca="false">IF(COUNTA(B952,D952,E952,F952)=0,"",ROW()-4)</f>
        <v/>
      </c>
      <c r="B952" s="22"/>
      <c r="C952" s="26"/>
      <c r="D952" s="26"/>
      <c r="E952" s="18"/>
      <c r="F952" s="26"/>
      <c r="G952" s="31" t="str">
        <f aca="false">IF(F952="","",IFERROR(INDEX(請求台帳!$C$5:$C$504,MATCH(F952,請求台帳!$A$5:$A$504,0)),""))</f>
        <v/>
      </c>
      <c r="H952" s="31" t="str">
        <f aca="false">IF(F952="","",IFERROR(INDEX(請求台帳!$D$5:$D$504,MATCH(F952,請求台帳!$A$5:$A$504,0)),""))</f>
        <v/>
      </c>
      <c r="I952" s="27" t="str">
        <f aca="false">IF(F952="","",IFERROR(INDEX(請求台帳!$F$5:$F$504,MATCH(F952,請求台帳!$A$5:$A$504,0)),""))</f>
        <v/>
      </c>
      <c r="J952" s="28" t="str">
        <f aca="false">IF(COUNTA(B952,D952,E952,F952)=0,"",IF(OR(B952="",E952=""),"要入力",IF(N(B952)&gt;設定!$C$5,"日付誤り",IF(F952="","未消込",IF(ISNA(MATCH(F952,請求台帳!$A$5:$A$504,0)),"番号誤り",IF(INDEX(請求台帳!$Q$5:$Q$504,MATCH(F952,請求台帳!$A$5:$A$504,0))="取消","取消請求へ消込","消込済"))))))</f>
        <v/>
      </c>
      <c r="K952" s="26"/>
      <c r="L952" s="26"/>
    </row>
    <row r="953" customFormat="false" ht="15" hidden="false" customHeight="false" outlineLevel="0" collapsed="false">
      <c r="A953" s="31" t="str">
        <f aca="false">IF(COUNTA(B953,D953,E953,F953)=0,"",ROW()-4)</f>
        <v/>
      </c>
      <c r="B953" s="22"/>
      <c r="C953" s="26"/>
      <c r="D953" s="26"/>
      <c r="E953" s="18"/>
      <c r="F953" s="26"/>
      <c r="G953" s="31" t="str">
        <f aca="false">IF(F953="","",IFERROR(INDEX(請求台帳!$C$5:$C$504,MATCH(F953,請求台帳!$A$5:$A$504,0)),""))</f>
        <v/>
      </c>
      <c r="H953" s="31" t="str">
        <f aca="false">IF(F953="","",IFERROR(INDEX(請求台帳!$D$5:$D$504,MATCH(F953,請求台帳!$A$5:$A$504,0)),""))</f>
        <v/>
      </c>
      <c r="I953" s="27" t="str">
        <f aca="false">IF(F953="","",IFERROR(INDEX(請求台帳!$F$5:$F$504,MATCH(F953,請求台帳!$A$5:$A$504,0)),""))</f>
        <v/>
      </c>
      <c r="J953" s="28" t="str">
        <f aca="false">IF(COUNTA(B953,D953,E953,F953)=0,"",IF(OR(B953="",E953=""),"要入力",IF(N(B953)&gt;設定!$C$5,"日付誤り",IF(F953="","未消込",IF(ISNA(MATCH(F953,請求台帳!$A$5:$A$504,0)),"番号誤り",IF(INDEX(請求台帳!$Q$5:$Q$504,MATCH(F953,請求台帳!$A$5:$A$504,0))="取消","取消請求へ消込","消込済"))))))</f>
        <v/>
      </c>
      <c r="K953" s="26"/>
      <c r="L953" s="26"/>
    </row>
    <row r="954" customFormat="false" ht="15" hidden="false" customHeight="false" outlineLevel="0" collapsed="false">
      <c r="A954" s="31" t="str">
        <f aca="false">IF(COUNTA(B954,D954,E954,F954)=0,"",ROW()-4)</f>
        <v/>
      </c>
      <c r="B954" s="22"/>
      <c r="C954" s="26"/>
      <c r="D954" s="26"/>
      <c r="E954" s="18"/>
      <c r="F954" s="26"/>
      <c r="G954" s="31" t="str">
        <f aca="false">IF(F954="","",IFERROR(INDEX(請求台帳!$C$5:$C$504,MATCH(F954,請求台帳!$A$5:$A$504,0)),""))</f>
        <v/>
      </c>
      <c r="H954" s="31" t="str">
        <f aca="false">IF(F954="","",IFERROR(INDEX(請求台帳!$D$5:$D$504,MATCH(F954,請求台帳!$A$5:$A$504,0)),""))</f>
        <v/>
      </c>
      <c r="I954" s="27" t="str">
        <f aca="false">IF(F954="","",IFERROR(INDEX(請求台帳!$F$5:$F$504,MATCH(F954,請求台帳!$A$5:$A$504,0)),""))</f>
        <v/>
      </c>
      <c r="J954" s="28" t="str">
        <f aca="false">IF(COUNTA(B954,D954,E954,F954)=0,"",IF(OR(B954="",E954=""),"要入力",IF(N(B954)&gt;設定!$C$5,"日付誤り",IF(F954="","未消込",IF(ISNA(MATCH(F954,請求台帳!$A$5:$A$504,0)),"番号誤り",IF(INDEX(請求台帳!$Q$5:$Q$504,MATCH(F954,請求台帳!$A$5:$A$504,0))="取消","取消請求へ消込","消込済"))))))</f>
        <v/>
      </c>
      <c r="K954" s="26"/>
      <c r="L954" s="26"/>
    </row>
    <row r="955" customFormat="false" ht="15" hidden="false" customHeight="false" outlineLevel="0" collapsed="false">
      <c r="A955" s="31" t="str">
        <f aca="false">IF(COUNTA(B955,D955,E955,F955)=0,"",ROW()-4)</f>
        <v/>
      </c>
      <c r="B955" s="22"/>
      <c r="C955" s="26"/>
      <c r="D955" s="26"/>
      <c r="E955" s="18"/>
      <c r="F955" s="26"/>
      <c r="G955" s="31" t="str">
        <f aca="false">IF(F955="","",IFERROR(INDEX(請求台帳!$C$5:$C$504,MATCH(F955,請求台帳!$A$5:$A$504,0)),""))</f>
        <v/>
      </c>
      <c r="H955" s="31" t="str">
        <f aca="false">IF(F955="","",IFERROR(INDEX(請求台帳!$D$5:$D$504,MATCH(F955,請求台帳!$A$5:$A$504,0)),""))</f>
        <v/>
      </c>
      <c r="I955" s="27" t="str">
        <f aca="false">IF(F955="","",IFERROR(INDEX(請求台帳!$F$5:$F$504,MATCH(F955,請求台帳!$A$5:$A$504,0)),""))</f>
        <v/>
      </c>
      <c r="J955" s="28" t="str">
        <f aca="false">IF(COUNTA(B955,D955,E955,F955)=0,"",IF(OR(B955="",E955=""),"要入力",IF(N(B955)&gt;設定!$C$5,"日付誤り",IF(F955="","未消込",IF(ISNA(MATCH(F955,請求台帳!$A$5:$A$504,0)),"番号誤り",IF(INDEX(請求台帳!$Q$5:$Q$504,MATCH(F955,請求台帳!$A$5:$A$504,0))="取消","取消請求へ消込","消込済"))))))</f>
        <v/>
      </c>
      <c r="K955" s="26"/>
      <c r="L955" s="26"/>
    </row>
    <row r="956" customFormat="false" ht="15" hidden="false" customHeight="false" outlineLevel="0" collapsed="false">
      <c r="A956" s="31" t="str">
        <f aca="false">IF(COUNTA(B956,D956,E956,F956)=0,"",ROW()-4)</f>
        <v/>
      </c>
      <c r="B956" s="22"/>
      <c r="C956" s="26"/>
      <c r="D956" s="26"/>
      <c r="E956" s="18"/>
      <c r="F956" s="26"/>
      <c r="G956" s="31" t="str">
        <f aca="false">IF(F956="","",IFERROR(INDEX(請求台帳!$C$5:$C$504,MATCH(F956,請求台帳!$A$5:$A$504,0)),""))</f>
        <v/>
      </c>
      <c r="H956" s="31" t="str">
        <f aca="false">IF(F956="","",IFERROR(INDEX(請求台帳!$D$5:$D$504,MATCH(F956,請求台帳!$A$5:$A$504,0)),""))</f>
        <v/>
      </c>
      <c r="I956" s="27" t="str">
        <f aca="false">IF(F956="","",IFERROR(INDEX(請求台帳!$F$5:$F$504,MATCH(F956,請求台帳!$A$5:$A$504,0)),""))</f>
        <v/>
      </c>
      <c r="J956" s="28" t="str">
        <f aca="false">IF(COUNTA(B956,D956,E956,F956)=0,"",IF(OR(B956="",E956=""),"要入力",IF(N(B956)&gt;設定!$C$5,"日付誤り",IF(F956="","未消込",IF(ISNA(MATCH(F956,請求台帳!$A$5:$A$504,0)),"番号誤り",IF(INDEX(請求台帳!$Q$5:$Q$504,MATCH(F956,請求台帳!$A$5:$A$504,0))="取消","取消請求へ消込","消込済"))))))</f>
        <v/>
      </c>
      <c r="K956" s="26"/>
      <c r="L956" s="26"/>
    </row>
    <row r="957" customFormat="false" ht="15" hidden="false" customHeight="false" outlineLevel="0" collapsed="false">
      <c r="A957" s="31" t="str">
        <f aca="false">IF(COUNTA(B957,D957,E957,F957)=0,"",ROW()-4)</f>
        <v/>
      </c>
      <c r="B957" s="22"/>
      <c r="C957" s="26"/>
      <c r="D957" s="26"/>
      <c r="E957" s="18"/>
      <c r="F957" s="26"/>
      <c r="G957" s="31" t="str">
        <f aca="false">IF(F957="","",IFERROR(INDEX(請求台帳!$C$5:$C$504,MATCH(F957,請求台帳!$A$5:$A$504,0)),""))</f>
        <v/>
      </c>
      <c r="H957" s="31" t="str">
        <f aca="false">IF(F957="","",IFERROR(INDEX(請求台帳!$D$5:$D$504,MATCH(F957,請求台帳!$A$5:$A$504,0)),""))</f>
        <v/>
      </c>
      <c r="I957" s="27" t="str">
        <f aca="false">IF(F957="","",IFERROR(INDEX(請求台帳!$F$5:$F$504,MATCH(F957,請求台帳!$A$5:$A$504,0)),""))</f>
        <v/>
      </c>
      <c r="J957" s="28" t="str">
        <f aca="false">IF(COUNTA(B957,D957,E957,F957)=0,"",IF(OR(B957="",E957=""),"要入力",IF(N(B957)&gt;設定!$C$5,"日付誤り",IF(F957="","未消込",IF(ISNA(MATCH(F957,請求台帳!$A$5:$A$504,0)),"番号誤り",IF(INDEX(請求台帳!$Q$5:$Q$504,MATCH(F957,請求台帳!$A$5:$A$504,0))="取消","取消請求へ消込","消込済"))))))</f>
        <v/>
      </c>
      <c r="K957" s="26"/>
      <c r="L957" s="26"/>
    </row>
    <row r="958" customFormat="false" ht="15" hidden="false" customHeight="false" outlineLevel="0" collapsed="false">
      <c r="A958" s="31" t="str">
        <f aca="false">IF(COUNTA(B958,D958,E958,F958)=0,"",ROW()-4)</f>
        <v/>
      </c>
      <c r="B958" s="22"/>
      <c r="C958" s="26"/>
      <c r="D958" s="26"/>
      <c r="E958" s="18"/>
      <c r="F958" s="26"/>
      <c r="G958" s="31" t="str">
        <f aca="false">IF(F958="","",IFERROR(INDEX(請求台帳!$C$5:$C$504,MATCH(F958,請求台帳!$A$5:$A$504,0)),""))</f>
        <v/>
      </c>
      <c r="H958" s="31" t="str">
        <f aca="false">IF(F958="","",IFERROR(INDEX(請求台帳!$D$5:$D$504,MATCH(F958,請求台帳!$A$5:$A$504,0)),""))</f>
        <v/>
      </c>
      <c r="I958" s="27" t="str">
        <f aca="false">IF(F958="","",IFERROR(INDEX(請求台帳!$F$5:$F$504,MATCH(F958,請求台帳!$A$5:$A$504,0)),""))</f>
        <v/>
      </c>
      <c r="J958" s="28" t="str">
        <f aca="false">IF(COUNTA(B958,D958,E958,F958)=0,"",IF(OR(B958="",E958=""),"要入力",IF(N(B958)&gt;設定!$C$5,"日付誤り",IF(F958="","未消込",IF(ISNA(MATCH(F958,請求台帳!$A$5:$A$504,0)),"番号誤り",IF(INDEX(請求台帳!$Q$5:$Q$504,MATCH(F958,請求台帳!$A$5:$A$504,0))="取消","取消請求へ消込","消込済"))))))</f>
        <v/>
      </c>
      <c r="K958" s="26"/>
      <c r="L958" s="26"/>
    </row>
    <row r="959" customFormat="false" ht="15" hidden="false" customHeight="false" outlineLevel="0" collapsed="false">
      <c r="A959" s="31" t="str">
        <f aca="false">IF(COUNTA(B959,D959,E959,F959)=0,"",ROW()-4)</f>
        <v/>
      </c>
      <c r="B959" s="22"/>
      <c r="C959" s="26"/>
      <c r="D959" s="26"/>
      <c r="E959" s="18"/>
      <c r="F959" s="26"/>
      <c r="G959" s="31" t="str">
        <f aca="false">IF(F959="","",IFERROR(INDEX(請求台帳!$C$5:$C$504,MATCH(F959,請求台帳!$A$5:$A$504,0)),""))</f>
        <v/>
      </c>
      <c r="H959" s="31" t="str">
        <f aca="false">IF(F959="","",IFERROR(INDEX(請求台帳!$D$5:$D$504,MATCH(F959,請求台帳!$A$5:$A$504,0)),""))</f>
        <v/>
      </c>
      <c r="I959" s="27" t="str">
        <f aca="false">IF(F959="","",IFERROR(INDEX(請求台帳!$F$5:$F$504,MATCH(F959,請求台帳!$A$5:$A$504,0)),""))</f>
        <v/>
      </c>
      <c r="J959" s="28" t="str">
        <f aca="false">IF(COUNTA(B959,D959,E959,F959)=0,"",IF(OR(B959="",E959=""),"要入力",IF(N(B959)&gt;設定!$C$5,"日付誤り",IF(F959="","未消込",IF(ISNA(MATCH(F959,請求台帳!$A$5:$A$504,0)),"番号誤り",IF(INDEX(請求台帳!$Q$5:$Q$504,MATCH(F959,請求台帳!$A$5:$A$504,0))="取消","取消請求へ消込","消込済"))))))</f>
        <v/>
      </c>
      <c r="K959" s="26"/>
      <c r="L959" s="26"/>
    </row>
    <row r="960" customFormat="false" ht="15" hidden="false" customHeight="false" outlineLevel="0" collapsed="false">
      <c r="A960" s="31" t="str">
        <f aca="false">IF(COUNTA(B960,D960,E960,F960)=0,"",ROW()-4)</f>
        <v/>
      </c>
      <c r="B960" s="22"/>
      <c r="C960" s="26"/>
      <c r="D960" s="26"/>
      <c r="E960" s="18"/>
      <c r="F960" s="26"/>
      <c r="G960" s="31" t="str">
        <f aca="false">IF(F960="","",IFERROR(INDEX(請求台帳!$C$5:$C$504,MATCH(F960,請求台帳!$A$5:$A$504,0)),""))</f>
        <v/>
      </c>
      <c r="H960" s="31" t="str">
        <f aca="false">IF(F960="","",IFERROR(INDEX(請求台帳!$D$5:$D$504,MATCH(F960,請求台帳!$A$5:$A$504,0)),""))</f>
        <v/>
      </c>
      <c r="I960" s="27" t="str">
        <f aca="false">IF(F960="","",IFERROR(INDEX(請求台帳!$F$5:$F$504,MATCH(F960,請求台帳!$A$5:$A$504,0)),""))</f>
        <v/>
      </c>
      <c r="J960" s="28" t="str">
        <f aca="false">IF(COUNTA(B960,D960,E960,F960)=0,"",IF(OR(B960="",E960=""),"要入力",IF(N(B960)&gt;設定!$C$5,"日付誤り",IF(F960="","未消込",IF(ISNA(MATCH(F960,請求台帳!$A$5:$A$504,0)),"番号誤り",IF(INDEX(請求台帳!$Q$5:$Q$504,MATCH(F960,請求台帳!$A$5:$A$504,0))="取消","取消請求へ消込","消込済"))))))</f>
        <v/>
      </c>
      <c r="K960" s="26"/>
      <c r="L960" s="26"/>
    </row>
    <row r="961" customFormat="false" ht="15" hidden="false" customHeight="false" outlineLevel="0" collapsed="false">
      <c r="A961" s="31" t="str">
        <f aca="false">IF(COUNTA(B961,D961,E961,F961)=0,"",ROW()-4)</f>
        <v/>
      </c>
      <c r="B961" s="22"/>
      <c r="C961" s="26"/>
      <c r="D961" s="26"/>
      <c r="E961" s="18"/>
      <c r="F961" s="26"/>
      <c r="G961" s="31" t="str">
        <f aca="false">IF(F961="","",IFERROR(INDEX(請求台帳!$C$5:$C$504,MATCH(F961,請求台帳!$A$5:$A$504,0)),""))</f>
        <v/>
      </c>
      <c r="H961" s="31" t="str">
        <f aca="false">IF(F961="","",IFERROR(INDEX(請求台帳!$D$5:$D$504,MATCH(F961,請求台帳!$A$5:$A$504,0)),""))</f>
        <v/>
      </c>
      <c r="I961" s="27" t="str">
        <f aca="false">IF(F961="","",IFERROR(INDEX(請求台帳!$F$5:$F$504,MATCH(F961,請求台帳!$A$5:$A$504,0)),""))</f>
        <v/>
      </c>
      <c r="J961" s="28" t="str">
        <f aca="false">IF(COUNTA(B961,D961,E961,F961)=0,"",IF(OR(B961="",E961=""),"要入力",IF(N(B961)&gt;設定!$C$5,"日付誤り",IF(F961="","未消込",IF(ISNA(MATCH(F961,請求台帳!$A$5:$A$504,0)),"番号誤り",IF(INDEX(請求台帳!$Q$5:$Q$504,MATCH(F961,請求台帳!$A$5:$A$504,0))="取消","取消請求へ消込","消込済"))))))</f>
        <v/>
      </c>
      <c r="K961" s="26"/>
      <c r="L961" s="26"/>
    </row>
    <row r="962" customFormat="false" ht="15" hidden="false" customHeight="false" outlineLevel="0" collapsed="false">
      <c r="A962" s="31" t="str">
        <f aca="false">IF(COUNTA(B962,D962,E962,F962)=0,"",ROW()-4)</f>
        <v/>
      </c>
      <c r="B962" s="22"/>
      <c r="C962" s="26"/>
      <c r="D962" s="26"/>
      <c r="E962" s="18"/>
      <c r="F962" s="26"/>
      <c r="G962" s="31" t="str">
        <f aca="false">IF(F962="","",IFERROR(INDEX(請求台帳!$C$5:$C$504,MATCH(F962,請求台帳!$A$5:$A$504,0)),""))</f>
        <v/>
      </c>
      <c r="H962" s="31" t="str">
        <f aca="false">IF(F962="","",IFERROR(INDEX(請求台帳!$D$5:$D$504,MATCH(F962,請求台帳!$A$5:$A$504,0)),""))</f>
        <v/>
      </c>
      <c r="I962" s="27" t="str">
        <f aca="false">IF(F962="","",IFERROR(INDEX(請求台帳!$F$5:$F$504,MATCH(F962,請求台帳!$A$5:$A$504,0)),""))</f>
        <v/>
      </c>
      <c r="J962" s="28" t="str">
        <f aca="false">IF(COUNTA(B962,D962,E962,F962)=0,"",IF(OR(B962="",E962=""),"要入力",IF(N(B962)&gt;設定!$C$5,"日付誤り",IF(F962="","未消込",IF(ISNA(MATCH(F962,請求台帳!$A$5:$A$504,0)),"番号誤り",IF(INDEX(請求台帳!$Q$5:$Q$504,MATCH(F962,請求台帳!$A$5:$A$504,0))="取消","取消請求へ消込","消込済"))))))</f>
        <v/>
      </c>
      <c r="K962" s="26"/>
      <c r="L962" s="26"/>
    </row>
    <row r="963" customFormat="false" ht="15" hidden="false" customHeight="false" outlineLevel="0" collapsed="false">
      <c r="A963" s="31" t="str">
        <f aca="false">IF(COUNTA(B963,D963,E963,F963)=0,"",ROW()-4)</f>
        <v/>
      </c>
      <c r="B963" s="22"/>
      <c r="C963" s="26"/>
      <c r="D963" s="26"/>
      <c r="E963" s="18"/>
      <c r="F963" s="26"/>
      <c r="G963" s="31" t="str">
        <f aca="false">IF(F963="","",IFERROR(INDEX(請求台帳!$C$5:$C$504,MATCH(F963,請求台帳!$A$5:$A$504,0)),""))</f>
        <v/>
      </c>
      <c r="H963" s="31" t="str">
        <f aca="false">IF(F963="","",IFERROR(INDEX(請求台帳!$D$5:$D$504,MATCH(F963,請求台帳!$A$5:$A$504,0)),""))</f>
        <v/>
      </c>
      <c r="I963" s="27" t="str">
        <f aca="false">IF(F963="","",IFERROR(INDEX(請求台帳!$F$5:$F$504,MATCH(F963,請求台帳!$A$5:$A$504,0)),""))</f>
        <v/>
      </c>
      <c r="J963" s="28" t="str">
        <f aca="false">IF(COUNTA(B963,D963,E963,F963)=0,"",IF(OR(B963="",E963=""),"要入力",IF(N(B963)&gt;設定!$C$5,"日付誤り",IF(F963="","未消込",IF(ISNA(MATCH(F963,請求台帳!$A$5:$A$504,0)),"番号誤り",IF(INDEX(請求台帳!$Q$5:$Q$504,MATCH(F963,請求台帳!$A$5:$A$504,0))="取消","取消請求へ消込","消込済"))))))</f>
        <v/>
      </c>
      <c r="K963" s="26"/>
      <c r="L963" s="26"/>
    </row>
    <row r="964" customFormat="false" ht="15" hidden="false" customHeight="false" outlineLevel="0" collapsed="false">
      <c r="A964" s="31" t="str">
        <f aca="false">IF(COUNTA(B964,D964,E964,F964)=0,"",ROW()-4)</f>
        <v/>
      </c>
      <c r="B964" s="22"/>
      <c r="C964" s="26"/>
      <c r="D964" s="26"/>
      <c r="E964" s="18"/>
      <c r="F964" s="26"/>
      <c r="G964" s="31" t="str">
        <f aca="false">IF(F964="","",IFERROR(INDEX(請求台帳!$C$5:$C$504,MATCH(F964,請求台帳!$A$5:$A$504,0)),""))</f>
        <v/>
      </c>
      <c r="H964" s="31" t="str">
        <f aca="false">IF(F964="","",IFERROR(INDEX(請求台帳!$D$5:$D$504,MATCH(F964,請求台帳!$A$5:$A$504,0)),""))</f>
        <v/>
      </c>
      <c r="I964" s="27" t="str">
        <f aca="false">IF(F964="","",IFERROR(INDEX(請求台帳!$F$5:$F$504,MATCH(F964,請求台帳!$A$5:$A$504,0)),""))</f>
        <v/>
      </c>
      <c r="J964" s="28" t="str">
        <f aca="false">IF(COUNTA(B964,D964,E964,F964)=0,"",IF(OR(B964="",E964=""),"要入力",IF(N(B964)&gt;設定!$C$5,"日付誤り",IF(F964="","未消込",IF(ISNA(MATCH(F964,請求台帳!$A$5:$A$504,0)),"番号誤り",IF(INDEX(請求台帳!$Q$5:$Q$504,MATCH(F964,請求台帳!$A$5:$A$504,0))="取消","取消請求へ消込","消込済"))))))</f>
        <v/>
      </c>
      <c r="K964" s="26"/>
      <c r="L964" s="26"/>
    </row>
    <row r="965" customFormat="false" ht="15" hidden="false" customHeight="false" outlineLevel="0" collapsed="false">
      <c r="A965" s="31" t="str">
        <f aca="false">IF(COUNTA(B965,D965,E965,F965)=0,"",ROW()-4)</f>
        <v/>
      </c>
      <c r="B965" s="22"/>
      <c r="C965" s="26"/>
      <c r="D965" s="26"/>
      <c r="E965" s="18"/>
      <c r="F965" s="26"/>
      <c r="G965" s="31" t="str">
        <f aca="false">IF(F965="","",IFERROR(INDEX(請求台帳!$C$5:$C$504,MATCH(F965,請求台帳!$A$5:$A$504,0)),""))</f>
        <v/>
      </c>
      <c r="H965" s="31" t="str">
        <f aca="false">IF(F965="","",IFERROR(INDEX(請求台帳!$D$5:$D$504,MATCH(F965,請求台帳!$A$5:$A$504,0)),""))</f>
        <v/>
      </c>
      <c r="I965" s="27" t="str">
        <f aca="false">IF(F965="","",IFERROR(INDEX(請求台帳!$F$5:$F$504,MATCH(F965,請求台帳!$A$5:$A$504,0)),""))</f>
        <v/>
      </c>
      <c r="J965" s="28" t="str">
        <f aca="false">IF(COUNTA(B965,D965,E965,F965)=0,"",IF(OR(B965="",E965=""),"要入力",IF(N(B965)&gt;設定!$C$5,"日付誤り",IF(F965="","未消込",IF(ISNA(MATCH(F965,請求台帳!$A$5:$A$504,0)),"番号誤り",IF(INDEX(請求台帳!$Q$5:$Q$504,MATCH(F965,請求台帳!$A$5:$A$504,0))="取消","取消請求へ消込","消込済"))))))</f>
        <v/>
      </c>
      <c r="K965" s="26"/>
      <c r="L965" s="26"/>
    </row>
    <row r="966" customFormat="false" ht="15" hidden="false" customHeight="false" outlineLevel="0" collapsed="false">
      <c r="A966" s="31" t="str">
        <f aca="false">IF(COUNTA(B966,D966,E966,F966)=0,"",ROW()-4)</f>
        <v/>
      </c>
      <c r="B966" s="22"/>
      <c r="C966" s="26"/>
      <c r="D966" s="26"/>
      <c r="E966" s="18"/>
      <c r="F966" s="26"/>
      <c r="G966" s="31" t="str">
        <f aca="false">IF(F966="","",IFERROR(INDEX(請求台帳!$C$5:$C$504,MATCH(F966,請求台帳!$A$5:$A$504,0)),""))</f>
        <v/>
      </c>
      <c r="H966" s="31" t="str">
        <f aca="false">IF(F966="","",IFERROR(INDEX(請求台帳!$D$5:$D$504,MATCH(F966,請求台帳!$A$5:$A$504,0)),""))</f>
        <v/>
      </c>
      <c r="I966" s="27" t="str">
        <f aca="false">IF(F966="","",IFERROR(INDEX(請求台帳!$F$5:$F$504,MATCH(F966,請求台帳!$A$5:$A$504,0)),""))</f>
        <v/>
      </c>
      <c r="J966" s="28" t="str">
        <f aca="false">IF(COUNTA(B966,D966,E966,F966)=0,"",IF(OR(B966="",E966=""),"要入力",IF(N(B966)&gt;設定!$C$5,"日付誤り",IF(F966="","未消込",IF(ISNA(MATCH(F966,請求台帳!$A$5:$A$504,0)),"番号誤り",IF(INDEX(請求台帳!$Q$5:$Q$504,MATCH(F966,請求台帳!$A$5:$A$504,0))="取消","取消請求へ消込","消込済"))))))</f>
        <v/>
      </c>
      <c r="K966" s="26"/>
      <c r="L966" s="26"/>
    </row>
    <row r="967" customFormat="false" ht="15" hidden="false" customHeight="false" outlineLevel="0" collapsed="false">
      <c r="A967" s="31" t="str">
        <f aca="false">IF(COUNTA(B967,D967,E967,F967)=0,"",ROW()-4)</f>
        <v/>
      </c>
      <c r="B967" s="22"/>
      <c r="C967" s="26"/>
      <c r="D967" s="26"/>
      <c r="E967" s="18"/>
      <c r="F967" s="26"/>
      <c r="G967" s="31" t="str">
        <f aca="false">IF(F967="","",IFERROR(INDEX(請求台帳!$C$5:$C$504,MATCH(F967,請求台帳!$A$5:$A$504,0)),""))</f>
        <v/>
      </c>
      <c r="H967" s="31" t="str">
        <f aca="false">IF(F967="","",IFERROR(INDEX(請求台帳!$D$5:$D$504,MATCH(F967,請求台帳!$A$5:$A$504,0)),""))</f>
        <v/>
      </c>
      <c r="I967" s="27" t="str">
        <f aca="false">IF(F967="","",IFERROR(INDEX(請求台帳!$F$5:$F$504,MATCH(F967,請求台帳!$A$5:$A$504,0)),""))</f>
        <v/>
      </c>
      <c r="J967" s="28" t="str">
        <f aca="false">IF(COUNTA(B967,D967,E967,F967)=0,"",IF(OR(B967="",E967=""),"要入力",IF(N(B967)&gt;設定!$C$5,"日付誤り",IF(F967="","未消込",IF(ISNA(MATCH(F967,請求台帳!$A$5:$A$504,0)),"番号誤り",IF(INDEX(請求台帳!$Q$5:$Q$504,MATCH(F967,請求台帳!$A$5:$A$504,0))="取消","取消請求へ消込","消込済"))))))</f>
        <v/>
      </c>
      <c r="K967" s="26"/>
      <c r="L967" s="26"/>
    </row>
    <row r="968" customFormat="false" ht="15" hidden="false" customHeight="false" outlineLevel="0" collapsed="false">
      <c r="A968" s="31" t="str">
        <f aca="false">IF(COUNTA(B968,D968,E968,F968)=0,"",ROW()-4)</f>
        <v/>
      </c>
      <c r="B968" s="22"/>
      <c r="C968" s="26"/>
      <c r="D968" s="26"/>
      <c r="E968" s="18"/>
      <c r="F968" s="26"/>
      <c r="G968" s="31" t="str">
        <f aca="false">IF(F968="","",IFERROR(INDEX(請求台帳!$C$5:$C$504,MATCH(F968,請求台帳!$A$5:$A$504,0)),""))</f>
        <v/>
      </c>
      <c r="H968" s="31" t="str">
        <f aca="false">IF(F968="","",IFERROR(INDEX(請求台帳!$D$5:$D$504,MATCH(F968,請求台帳!$A$5:$A$504,0)),""))</f>
        <v/>
      </c>
      <c r="I968" s="27" t="str">
        <f aca="false">IF(F968="","",IFERROR(INDEX(請求台帳!$F$5:$F$504,MATCH(F968,請求台帳!$A$5:$A$504,0)),""))</f>
        <v/>
      </c>
      <c r="J968" s="28" t="str">
        <f aca="false">IF(COUNTA(B968,D968,E968,F968)=0,"",IF(OR(B968="",E968=""),"要入力",IF(N(B968)&gt;設定!$C$5,"日付誤り",IF(F968="","未消込",IF(ISNA(MATCH(F968,請求台帳!$A$5:$A$504,0)),"番号誤り",IF(INDEX(請求台帳!$Q$5:$Q$504,MATCH(F968,請求台帳!$A$5:$A$504,0))="取消","取消請求へ消込","消込済"))))))</f>
        <v/>
      </c>
      <c r="K968" s="26"/>
      <c r="L968" s="26"/>
    </row>
    <row r="969" customFormat="false" ht="15" hidden="false" customHeight="false" outlineLevel="0" collapsed="false">
      <c r="A969" s="31" t="str">
        <f aca="false">IF(COUNTA(B969,D969,E969,F969)=0,"",ROW()-4)</f>
        <v/>
      </c>
      <c r="B969" s="22"/>
      <c r="C969" s="26"/>
      <c r="D969" s="26"/>
      <c r="E969" s="18"/>
      <c r="F969" s="26"/>
      <c r="G969" s="31" t="str">
        <f aca="false">IF(F969="","",IFERROR(INDEX(請求台帳!$C$5:$C$504,MATCH(F969,請求台帳!$A$5:$A$504,0)),""))</f>
        <v/>
      </c>
      <c r="H969" s="31" t="str">
        <f aca="false">IF(F969="","",IFERROR(INDEX(請求台帳!$D$5:$D$504,MATCH(F969,請求台帳!$A$5:$A$504,0)),""))</f>
        <v/>
      </c>
      <c r="I969" s="27" t="str">
        <f aca="false">IF(F969="","",IFERROR(INDEX(請求台帳!$F$5:$F$504,MATCH(F969,請求台帳!$A$5:$A$504,0)),""))</f>
        <v/>
      </c>
      <c r="J969" s="28" t="str">
        <f aca="false">IF(COUNTA(B969,D969,E969,F969)=0,"",IF(OR(B969="",E969=""),"要入力",IF(N(B969)&gt;設定!$C$5,"日付誤り",IF(F969="","未消込",IF(ISNA(MATCH(F969,請求台帳!$A$5:$A$504,0)),"番号誤り",IF(INDEX(請求台帳!$Q$5:$Q$504,MATCH(F969,請求台帳!$A$5:$A$504,0))="取消","取消請求へ消込","消込済"))))))</f>
        <v/>
      </c>
      <c r="K969" s="26"/>
      <c r="L969" s="26"/>
    </row>
    <row r="970" customFormat="false" ht="15" hidden="false" customHeight="false" outlineLevel="0" collapsed="false">
      <c r="A970" s="31" t="str">
        <f aca="false">IF(COUNTA(B970,D970,E970,F970)=0,"",ROW()-4)</f>
        <v/>
      </c>
      <c r="B970" s="22"/>
      <c r="C970" s="26"/>
      <c r="D970" s="26"/>
      <c r="E970" s="18"/>
      <c r="F970" s="26"/>
      <c r="G970" s="31" t="str">
        <f aca="false">IF(F970="","",IFERROR(INDEX(請求台帳!$C$5:$C$504,MATCH(F970,請求台帳!$A$5:$A$504,0)),""))</f>
        <v/>
      </c>
      <c r="H970" s="31" t="str">
        <f aca="false">IF(F970="","",IFERROR(INDEX(請求台帳!$D$5:$D$504,MATCH(F970,請求台帳!$A$5:$A$504,0)),""))</f>
        <v/>
      </c>
      <c r="I970" s="27" t="str">
        <f aca="false">IF(F970="","",IFERROR(INDEX(請求台帳!$F$5:$F$504,MATCH(F970,請求台帳!$A$5:$A$504,0)),""))</f>
        <v/>
      </c>
      <c r="J970" s="28" t="str">
        <f aca="false">IF(COUNTA(B970,D970,E970,F970)=0,"",IF(OR(B970="",E970=""),"要入力",IF(N(B970)&gt;設定!$C$5,"日付誤り",IF(F970="","未消込",IF(ISNA(MATCH(F970,請求台帳!$A$5:$A$504,0)),"番号誤り",IF(INDEX(請求台帳!$Q$5:$Q$504,MATCH(F970,請求台帳!$A$5:$A$504,0))="取消","取消請求へ消込","消込済"))))))</f>
        <v/>
      </c>
      <c r="K970" s="26"/>
      <c r="L970" s="26"/>
    </row>
    <row r="971" customFormat="false" ht="15" hidden="false" customHeight="false" outlineLevel="0" collapsed="false">
      <c r="A971" s="31" t="str">
        <f aca="false">IF(COUNTA(B971,D971,E971,F971)=0,"",ROW()-4)</f>
        <v/>
      </c>
      <c r="B971" s="22"/>
      <c r="C971" s="26"/>
      <c r="D971" s="26"/>
      <c r="E971" s="18"/>
      <c r="F971" s="26"/>
      <c r="G971" s="31" t="str">
        <f aca="false">IF(F971="","",IFERROR(INDEX(請求台帳!$C$5:$C$504,MATCH(F971,請求台帳!$A$5:$A$504,0)),""))</f>
        <v/>
      </c>
      <c r="H971" s="31" t="str">
        <f aca="false">IF(F971="","",IFERROR(INDEX(請求台帳!$D$5:$D$504,MATCH(F971,請求台帳!$A$5:$A$504,0)),""))</f>
        <v/>
      </c>
      <c r="I971" s="27" t="str">
        <f aca="false">IF(F971="","",IFERROR(INDEX(請求台帳!$F$5:$F$504,MATCH(F971,請求台帳!$A$5:$A$504,0)),""))</f>
        <v/>
      </c>
      <c r="J971" s="28" t="str">
        <f aca="false">IF(COUNTA(B971,D971,E971,F971)=0,"",IF(OR(B971="",E971=""),"要入力",IF(N(B971)&gt;設定!$C$5,"日付誤り",IF(F971="","未消込",IF(ISNA(MATCH(F971,請求台帳!$A$5:$A$504,0)),"番号誤り",IF(INDEX(請求台帳!$Q$5:$Q$504,MATCH(F971,請求台帳!$A$5:$A$504,0))="取消","取消請求へ消込","消込済"))))))</f>
        <v/>
      </c>
      <c r="K971" s="26"/>
      <c r="L971" s="26"/>
    </row>
    <row r="972" customFormat="false" ht="15" hidden="false" customHeight="false" outlineLevel="0" collapsed="false">
      <c r="A972" s="31" t="str">
        <f aca="false">IF(COUNTA(B972,D972,E972,F972)=0,"",ROW()-4)</f>
        <v/>
      </c>
      <c r="B972" s="22"/>
      <c r="C972" s="26"/>
      <c r="D972" s="26"/>
      <c r="E972" s="18"/>
      <c r="F972" s="26"/>
      <c r="G972" s="31" t="str">
        <f aca="false">IF(F972="","",IFERROR(INDEX(請求台帳!$C$5:$C$504,MATCH(F972,請求台帳!$A$5:$A$504,0)),""))</f>
        <v/>
      </c>
      <c r="H972" s="31" t="str">
        <f aca="false">IF(F972="","",IFERROR(INDEX(請求台帳!$D$5:$D$504,MATCH(F972,請求台帳!$A$5:$A$504,0)),""))</f>
        <v/>
      </c>
      <c r="I972" s="27" t="str">
        <f aca="false">IF(F972="","",IFERROR(INDEX(請求台帳!$F$5:$F$504,MATCH(F972,請求台帳!$A$5:$A$504,0)),""))</f>
        <v/>
      </c>
      <c r="J972" s="28" t="str">
        <f aca="false">IF(COUNTA(B972,D972,E972,F972)=0,"",IF(OR(B972="",E972=""),"要入力",IF(N(B972)&gt;設定!$C$5,"日付誤り",IF(F972="","未消込",IF(ISNA(MATCH(F972,請求台帳!$A$5:$A$504,0)),"番号誤り",IF(INDEX(請求台帳!$Q$5:$Q$504,MATCH(F972,請求台帳!$A$5:$A$504,0))="取消","取消請求へ消込","消込済"))))))</f>
        <v/>
      </c>
      <c r="K972" s="26"/>
      <c r="L972" s="26"/>
    </row>
    <row r="973" customFormat="false" ht="15" hidden="false" customHeight="false" outlineLevel="0" collapsed="false">
      <c r="A973" s="31" t="str">
        <f aca="false">IF(COUNTA(B973,D973,E973,F973)=0,"",ROW()-4)</f>
        <v/>
      </c>
      <c r="B973" s="22"/>
      <c r="C973" s="26"/>
      <c r="D973" s="26"/>
      <c r="E973" s="18"/>
      <c r="F973" s="26"/>
      <c r="G973" s="31" t="str">
        <f aca="false">IF(F973="","",IFERROR(INDEX(請求台帳!$C$5:$C$504,MATCH(F973,請求台帳!$A$5:$A$504,0)),""))</f>
        <v/>
      </c>
      <c r="H973" s="31" t="str">
        <f aca="false">IF(F973="","",IFERROR(INDEX(請求台帳!$D$5:$D$504,MATCH(F973,請求台帳!$A$5:$A$504,0)),""))</f>
        <v/>
      </c>
      <c r="I973" s="27" t="str">
        <f aca="false">IF(F973="","",IFERROR(INDEX(請求台帳!$F$5:$F$504,MATCH(F973,請求台帳!$A$5:$A$504,0)),""))</f>
        <v/>
      </c>
      <c r="J973" s="28" t="str">
        <f aca="false">IF(COUNTA(B973,D973,E973,F973)=0,"",IF(OR(B973="",E973=""),"要入力",IF(N(B973)&gt;設定!$C$5,"日付誤り",IF(F973="","未消込",IF(ISNA(MATCH(F973,請求台帳!$A$5:$A$504,0)),"番号誤り",IF(INDEX(請求台帳!$Q$5:$Q$504,MATCH(F973,請求台帳!$A$5:$A$504,0))="取消","取消請求へ消込","消込済"))))))</f>
        <v/>
      </c>
      <c r="K973" s="26"/>
      <c r="L973" s="26"/>
    </row>
    <row r="974" customFormat="false" ht="15" hidden="false" customHeight="false" outlineLevel="0" collapsed="false">
      <c r="A974" s="31" t="str">
        <f aca="false">IF(COUNTA(B974,D974,E974,F974)=0,"",ROW()-4)</f>
        <v/>
      </c>
      <c r="B974" s="22"/>
      <c r="C974" s="26"/>
      <c r="D974" s="26"/>
      <c r="E974" s="18"/>
      <c r="F974" s="26"/>
      <c r="G974" s="31" t="str">
        <f aca="false">IF(F974="","",IFERROR(INDEX(請求台帳!$C$5:$C$504,MATCH(F974,請求台帳!$A$5:$A$504,0)),""))</f>
        <v/>
      </c>
      <c r="H974" s="31" t="str">
        <f aca="false">IF(F974="","",IFERROR(INDEX(請求台帳!$D$5:$D$504,MATCH(F974,請求台帳!$A$5:$A$504,0)),""))</f>
        <v/>
      </c>
      <c r="I974" s="27" t="str">
        <f aca="false">IF(F974="","",IFERROR(INDEX(請求台帳!$F$5:$F$504,MATCH(F974,請求台帳!$A$5:$A$504,0)),""))</f>
        <v/>
      </c>
      <c r="J974" s="28" t="str">
        <f aca="false">IF(COUNTA(B974,D974,E974,F974)=0,"",IF(OR(B974="",E974=""),"要入力",IF(N(B974)&gt;設定!$C$5,"日付誤り",IF(F974="","未消込",IF(ISNA(MATCH(F974,請求台帳!$A$5:$A$504,0)),"番号誤り",IF(INDEX(請求台帳!$Q$5:$Q$504,MATCH(F974,請求台帳!$A$5:$A$504,0))="取消","取消請求へ消込","消込済"))))))</f>
        <v/>
      </c>
      <c r="K974" s="26"/>
      <c r="L974" s="26"/>
    </row>
    <row r="975" customFormat="false" ht="15" hidden="false" customHeight="false" outlineLevel="0" collapsed="false">
      <c r="A975" s="31" t="str">
        <f aca="false">IF(COUNTA(B975,D975,E975,F975)=0,"",ROW()-4)</f>
        <v/>
      </c>
      <c r="B975" s="22"/>
      <c r="C975" s="26"/>
      <c r="D975" s="26"/>
      <c r="E975" s="18"/>
      <c r="F975" s="26"/>
      <c r="G975" s="31" t="str">
        <f aca="false">IF(F975="","",IFERROR(INDEX(請求台帳!$C$5:$C$504,MATCH(F975,請求台帳!$A$5:$A$504,0)),""))</f>
        <v/>
      </c>
      <c r="H975" s="31" t="str">
        <f aca="false">IF(F975="","",IFERROR(INDEX(請求台帳!$D$5:$D$504,MATCH(F975,請求台帳!$A$5:$A$504,0)),""))</f>
        <v/>
      </c>
      <c r="I975" s="27" t="str">
        <f aca="false">IF(F975="","",IFERROR(INDEX(請求台帳!$F$5:$F$504,MATCH(F975,請求台帳!$A$5:$A$504,0)),""))</f>
        <v/>
      </c>
      <c r="J975" s="28" t="str">
        <f aca="false">IF(COUNTA(B975,D975,E975,F975)=0,"",IF(OR(B975="",E975=""),"要入力",IF(N(B975)&gt;設定!$C$5,"日付誤り",IF(F975="","未消込",IF(ISNA(MATCH(F975,請求台帳!$A$5:$A$504,0)),"番号誤り",IF(INDEX(請求台帳!$Q$5:$Q$504,MATCH(F975,請求台帳!$A$5:$A$504,0))="取消","取消請求へ消込","消込済"))))))</f>
        <v/>
      </c>
      <c r="K975" s="26"/>
      <c r="L975" s="26"/>
    </row>
    <row r="976" customFormat="false" ht="15" hidden="false" customHeight="false" outlineLevel="0" collapsed="false">
      <c r="A976" s="31" t="str">
        <f aca="false">IF(COUNTA(B976,D976,E976,F976)=0,"",ROW()-4)</f>
        <v/>
      </c>
      <c r="B976" s="22"/>
      <c r="C976" s="26"/>
      <c r="D976" s="26"/>
      <c r="E976" s="18"/>
      <c r="F976" s="26"/>
      <c r="G976" s="31" t="str">
        <f aca="false">IF(F976="","",IFERROR(INDEX(請求台帳!$C$5:$C$504,MATCH(F976,請求台帳!$A$5:$A$504,0)),""))</f>
        <v/>
      </c>
      <c r="H976" s="31" t="str">
        <f aca="false">IF(F976="","",IFERROR(INDEX(請求台帳!$D$5:$D$504,MATCH(F976,請求台帳!$A$5:$A$504,0)),""))</f>
        <v/>
      </c>
      <c r="I976" s="27" t="str">
        <f aca="false">IF(F976="","",IFERROR(INDEX(請求台帳!$F$5:$F$504,MATCH(F976,請求台帳!$A$5:$A$504,0)),""))</f>
        <v/>
      </c>
      <c r="J976" s="28" t="str">
        <f aca="false">IF(COUNTA(B976,D976,E976,F976)=0,"",IF(OR(B976="",E976=""),"要入力",IF(N(B976)&gt;設定!$C$5,"日付誤り",IF(F976="","未消込",IF(ISNA(MATCH(F976,請求台帳!$A$5:$A$504,0)),"番号誤り",IF(INDEX(請求台帳!$Q$5:$Q$504,MATCH(F976,請求台帳!$A$5:$A$504,0))="取消","取消請求へ消込","消込済"))))))</f>
        <v/>
      </c>
      <c r="K976" s="26"/>
      <c r="L976" s="26"/>
    </row>
    <row r="977" customFormat="false" ht="15" hidden="false" customHeight="false" outlineLevel="0" collapsed="false">
      <c r="A977" s="31" t="str">
        <f aca="false">IF(COUNTA(B977,D977,E977,F977)=0,"",ROW()-4)</f>
        <v/>
      </c>
      <c r="B977" s="22"/>
      <c r="C977" s="26"/>
      <c r="D977" s="26"/>
      <c r="E977" s="18"/>
      <c r="F977" s="26"/>
      <c r="G977" s="31" t="str">
        <f aca="false">IF(F977="","",IFERROR(INDEX(請求台帳!$C$5:$C$504,MATCH(F977,請求台帳!$A$5:$A$504,0)),""))</f>
        <v/>
      </c>
      <c r="H977" s="31" t="str">
        <f aca="false">IF(F977="","",IFERROR(INDEX(請求台帳!$D$5:$D$504,MATCH(F977,請求台帳!$A$5:$A$504,0)),""))</f>
        <v/>
      </c>
      <c r="I977" s="27" t="str">
        <f aca="false">IF(F977="","",IFERROR(INDEX(請求台帳!$F$5:$F$504,MATCH(F977,請求台帳!$A$5:$A$504,0)),""))</f>
        <v/>
      </c>
      <c r="J977" s="28" t="str">
        <f aca="false">IF(COUNTA(B977,D977,E977,F977)=0,"",IF(OR(B977="",E977=""),"要入力",IF(N(B977)&gt;設定!$C$5,"日付誤り",IF(F977="","未消込",IF(ISNA(MATCH(F977,請求台帳!$A$5:$A$504,0)),"番号誤り",IF(INDEX(請求台帳!$Q$5:$Q$504,MATCH(F977,請求台帳!$A$5:$A$504,0))="取消","取消請求へ消込","消込済"))))))</f>
        <v/>
      </c>
      <c r="K977" s="26"/>
      <c r="L977" s="26"/>
    </row>
    <row r="978" customFormat="false" ht="15" hidden="false" customHeight="false" outlineLevel="0" collapsed="false">
      <c r="A978" s="31" t="str">
        <f aca="false">IF(COUNTA(B978,D978,E978,F978)=0,"",ROW()-4)</f>
        <v/>
      </c>
      <c r="B978" s="22"/>
      <c r="C978" s="26"/>
      <c r="D978" s="26"/>
      <c r="E978" s="18"/>
      <c r="F978" s="26"/>
      <c r="G978" s="31" t="str">
        <f aca="false">IF(F978="","",IFERROR(INDEX(請求台帳!$C$5:$C$504,MATCH(F978,請求台帳!$A$5:$A$504,0)),""))</f>
        <v/>
      </c>
      <c r="H978" s="31" t="str">
        <f aca="false">IF(F978="","",IFERROR(INDEX(請求台帳!$D$5:$D$504,MATCH(F978,請求台帳!$A$5:$A$504,0)),""))</f>
        <v/>
      </c>
      <c r="I978" s="27" t="str">
        <f aca="false">IF(F978="","",IFERROR(INDEX(請求台帳!$F$5:$F$504,MATCH(F978,請求台帳!$A$5:$A$504,0)),""))</f>
        <v/>
      </c>
      <c r="J978" s="28" t="str">
        <f aca="false">IF(COUNTA(B978,D978,E978,F978)=0,"",IF(OR(B978="",E978=""),"要入力",IF(N(B978)&gt;設定!$C$5,"日付誤り",IF(F978="","未消込",IF(ISNA(MATCH(F978,請求台帳!$A$5:$A$504,0)),"番号誤り",IF(INDEX(請求台帳!$Q$5:$Q$504,MATCH(F978,請求台帳!$A$5:$A$504,0))="取消","取消請求へ消込","消込済"))))))</f>
        <v/>
      </c>
      <c r="K978" s="26"/>
      <c r="L978" s="26"/>
    </row>
    <row r="979" customFormat="false" ht="15" hidden="false" customHeight="false" outlineLevel="0" collapsed="false">
      <c r="A979" s="31" t="str">
        <f aca="false">IF(COUNTA(B979,D979,E979,F979)=0,"",ROW()-4)</f>
        <v/>
      </c>
      <c r="B979" s="22"/>
      <c r="C979" s="26"/>
      <c r="D979" s="26"/>
      <c r="E979" s="18"/>
      <c r="F979" s="26"/>
      <c r="G979" s="31" t="str">
        <f aca="false">IF(F979="","",IFERROR(INDEX(請求台帳!$C$5:$C$504,MATCH(F979,請求台帳!$A$5:$A$504,0)),""))</f>
        <v/>
      </c>
      <c r="H979" s="31" t="str">
        <f aca="false">IF(F979="","",IFERROR(INDEX(請求台帳!$D$5:$D$504,MATCH(F979,請求台帳!$A$5:$A$504,0)),""))</f>
        <v/>
      </c>
      <c r="I979" s="27" t="str">
        <f aca="false">IF(F979="","",IFERROR(INDEX(請求台帳!$F$5:$F$504,MATCH(F979,請求台帳!$A$5:$A$504,0)),""))</f>
        <v/>
      </c>
      <c r="J979" s="28" t="str">
        <f aca="false">IF(COUNTA(B979,D979,E979,F979)=0,"",IF(OR(B979="",E979=""),"要入力",IF(N(B979)&gt;設定!$C$5,"日付誤り",IF(F979="","未消込",IF(ISNA(MATCH(F979,請求台帳!$A$5:$A$504,0)),"番号誤り",IF(INDEX(請求台帳!$Q$5:$Q$504,MATCH(F979,請求台帳!$A$5:$A$504,0))="取消","取消請求へ消込","消込済"))))))</f>
        <v/>
      </c>
      <c r="K979" s="26"/>
      <c r="L979" s="26"/>
    </row>
    <row r="980" customFormat="false" ht="15" hidden="false" customHeight="false" outlineLevel="0" collapsed="false">
      <c r="A980" s="31" t="str">
        <f aca="false">IF(COUNTA(B980,D980,E980,F980)=0,"",ROW()-4)</f>
        <v/>
      </c>
      <c r="B980" s="22"/>
      <c r="C980" s="26"/>
      <c r="D980" s="26"/>
      <c r="E980" s="18"/>
      <c r="F980" s="26"/>
      <c r="G980" s="31" t="str">
        <f aca="false">IF(F980="","",IFERROR(INDEX(請求台帳!$C$5:$C$504,MATCH(F980,請求台帳!$A$5:$A$504,0)),""))</f>
        <v/>
      </c>
      <c r="H980" s="31" t="str">
        <f aca="false">IF(F980="","",IFERROR(INDEX(請求台帳!$D$5:$D$504,MATCH(F980,請求台帳!$A$5:$A$504,0)),""))</f>
        <v/>
      </c>
      <c r="I980" s="27" t="str">
        <f aca="false">IF(F980="","",IFERROR(INDEX(請求台帳!$F$5:$F$504,MATCH(F980,請求台帳!$A$5:$A$504,0)),""))</f>
        <v/>
      </c>
      <c r="J980" s="28" t="str">
        <f aca="false">IF(COUNTA(B980,D980,E980,F980)=0,"",IF(OR(B980="",E980=""),"要入力",IF(N(B980)&gt;設定!$C$5,"日付誤り",IF(F980="","未消込",IF(ISNA(MATCH(F980,請求台帳!$A$5:$A$504,0)),"番号誤り",IF(INDEX(請求台帳!$Q$5:$Q$504,MATCH(F980,請求台帳!$A$5:$A$504,0))="取消","取消請求へ消込","消込済"))))))</f>
        <v/>
      </c>
      <c r="K980" s="26"/>
      <c r="L980" s="26"/>
    </row>
    <row r="981" customFormat="false" ht="15" hidden="false" customHeight="false" outlineLevel="0" collapsed="false">
      <c r="A981" s="31" t="str">
        <f aca="false">IF(COUNTA(B981,D981,E981,F981)=0,"",ROW()-4)</f>
        <v/>
      </c>
      <c r="B981" s="22"/>
      <c r="C981" s="26"/>
      <c r="D981" s="26"/>
      <c r="E981" s="18"/>
      <c r="F981" s="26"/>
      <c r="G981" s="31" t="str">
        <f aca="false">IF(F981="","",IFERROR(INDEX(請求台帳!$C$5:$C$504,MATCH(F981,請求台帳!$A$5:$A$504,0)),""))</f>
        <v/>
      </c>
      <c r="H981" s="31" t="str">
        <f aca="false">IF(F981="","",IFERROR(INDEX(請求台帳!$D$5:$D$504,MATCH(F981,請求台帳!$A$5:$A$504,0)),""))</f>
        <v/>
      </c>
      <c r="I981" s="27" t="str">
        <f aca="false">IF(F981="","",IFERROR(INDEX(請求台帳!$F$5:$F$504,MATCH(F981,請求台帳!$A$5:$A$504,0)),""))</f>
        <v/>
      </c>
      <c r="J981" s="28" t="str">
        <f aca="false">IF(COUNTA(B981,D981,E981,F981)=0,"",IF(OR(B981="",E981=""),"要入力",IF(N(B981)&gt;設定!$C$5,"日付誤り",IF(F981="","未消込",IF(ISNA(MATCH(F981,請求台帳!$A$5:$A$504,0)),"番号誤り",IF(INDEX(請求台帳!$Q$5:$Q$504,MATCH(F981,請求台帳!$A$5:$A$504,0))="取消","取消請求へ消込","消込済"))))))</f>
        <v/>
      </c>
      <c r="K981" s="26"/>
      <c r="L981" s="26"/>
    </row>
    <row r="982" customFormat="false" ht="15" hidden="false" customHeight="false" outlineLevel="0" collapsed="false">
      <c r="A982" s="31" t="str">
        <f aca="false">IF(COUNTA(B982,D982,E982,F982)=0,"",ROW()-4)</f>
        <v/>
      </c>
      <c r="B982" s="22"/>
      <c r="C982" s="26"/>
      <c r="D982" s="26"/>
      <c r="E982" s="18"/>
      <c r="F982" s="26"/>
      <c r="G982" s="31" t="str">
        <f aca="false">IF(F982="","",IFERROR(INDEX(請求台帳!$C$5:$C$504,MATCH(F982,請求台帳!$A$5:$A$504,0)),""))</f>
        <v/>
      </c>
      <c r="H982" s="31" t="str">
        <f aca="false">IF(F982="","",IFERROR(INDEX(請求台帳!$D$5:$D$504,MATCH(F982,請求台帳!$A$5:$A$504,0)),""))</f>
        <v/>
      </c>
      <c r="I982" s="27" t="str">
        <f aca="false">IF(F982="","",IFERROR(INDEX(請求台帳!$F$5:$F$504,MATCH(F982,請求台帳!$A$5:$A$504,0)),""))</f>
        <v/>
      </c>
      <c r="J982" s="28" t="str">
        <f aca="false">IF(COUNTA(B982,D982,E982,F982)=0,"",IF(OR(B982="",E982=""),"要入力",IF(N(B982)&gt;設定!$C$5,"日付誤り",IF(F982="","未消込",IF(ISNA(MATCH(F982,請求台帳!$A$5:$A$504,0)),"番号誤り",IF(INDEX(請求台帳!$Q$5:$Q$504,MATCH(F982,請求台帳!$A$5:$A$504,0))="取消","取消請求へ消込","消込済"))))))</f>
        <v/>
      </c>
      <c r="K982" s="26"/>
      <c r="L982" s="26"/>
    </row>
    <row r="983" customFormat="false" ht="15" hidden="false" customHeight="false" outlineLevel="0" collapsed="false">
      <c r="A983" s="31" t="str">
        <f aca="false">IF(COUNTA(B983,D983,E983,F983)=0,"",ROW()-4)</f>
        <v/>
      </c>
      <c r="B983" s="22"/>
      <c r="C983" s="26"/>
      <c r="D983" s="26"/>
      <c r="E983" s="18"/>
      <c r="F983" s="26"/>
      <c r="G983" s="31" t="str">
        <f aca="false">IF(F983="","",IFERROR(INDEX(請求台帳!$C$5:$C$504,MATCH(F983,請求台帳!$A$5:$A$504,0)),""))</f>
        <v/>
      </c>
      <c r="H983" s="31" t="str">
        <f aca="false">IF(F983="","",IFERROR(INDEX(請求台帳!$D$5:$D$504,MATCH(F983,請求台帳!$A$5:$A$504,0)),""))</f>
        <v/>
      </c>
      <c r="I983" s="27" t="str">
        <f aca="false">IF(F983="","",IFERROR(INDEX(請求台帳!$F$5:$F$504,MATCH(F983,請求台帳!$A$5:$A$504,0)),""))</f>
        <v/>
      </c>
      <c r="J983" s="28" t="str">
        <f aca="false">IF(COUNTA(B983,D983,E983,F983)=0,"",IF(OR(B983="",E983=""),"要入力",IF(N(B983)&gt;設定!$C$5,"日付誤り",IF(F983="","未消込",IF(ISNA(MATCH(F983,請求台帳!$A$5:$A$504,0)),"番号誤り",IF(INDEX(請求台帳!$Q$5:$Q$504,MATCH(F983,請求台帳!$A$5:$A$504,0))="取消","取消請求へ消込","消込済"))))))</f>
        <v/>
      </c>
      <c r="K983" s="26"/>
      <c r="L983" s="26"/>
    </row>
    <row r="984" customFormat="false" ht="15" hidden="false" customHeight="false" outlineLevel="0" collapsed="false">
      <c r="A984" s="31" t="str">
        <f aca="false">IF(COUNTA(B984,D984,E984,F984)=0,"",ROW()-4)</f>
        <v/>
      </c>
      <c r="B984" s="22"/>
      <c r="C984" s="26"/>
      <c r="D984" s="26"/>
      <c r="E984" s="18"/>
      <c r="F984" s="26"/>
      <c r="G984" s="31" t="str">
        <f aca="false">IF(F984="","",IFERROR(INDEX(請求台帳!$C$5:$C$504,MATCH(F984,請求台帳!$A$5:$A$504,0)),""))</f>
        <v/>
      </c>
      <c r="H984" s="31" t="str">
        <f aca="false">IF(F984="","",IFERROR(INDEX(請求台帳!$D$5:$D$504,MATCH(F984,請求台帳!$A$5:$A$504,0)),""))</f>
        <v/>
      </c>
      <c r="I984" s="27" t="str">
        <f aca="false">IF(F984="","",IFERROR(INDEX(請求台帳!$F$5:$F$504,MATCH(F984,請求台帳!$A$5:$A$504,0)),""))</f>
        <v/>
      </c>
      <c r="J984" s="28" t="str">
        <f aca="false">IF(COUNTA(B984,D984,E984,F984)=0,"",IF(OR(B984="",E984=""),"要入力",IF(N(B984)&gt;設定!$C$5,"日付誤り",IF(F984="","未消込",IF(ISNA(MATCH(F984,請求台帳!$A$5:$A$504,0)),"番号誤り",IF(INDEX(請求台帳!$Q$5:$Q$504,MATCH(F984,請求台帳!$A$5:$A$504,0))="取消","取消請求へ消込","消込済"))))))</f>
        <v/>
      </c>
      <c r="K984" s="26"/>
      <c r="L984" s="26"/>
    </row>
    <row r="985" customFormat="false" ht="15" hidden="false" customHeight="false" outlineLevel="0" collapsed="false">
      <c r="A985" s="31" t="str">
        <f aca="false">IF(COUNTA(B985,D985,E985,F985)=0,"",ROW()-4)</f>
        <v/>
      </c>
      <c r="B985" s="22"/>
      <c r="C985" s="26"/>
      <c r="D985" s="26"/>
      <c r="E985" s="18"/>
      <c r="F985" s="26"/>
      <c r="G985" s="31" t="str">
        <f aca="false">IF(F985="","",IFERROR(INDEX(請求台帳!$C$5:$C$504,MATCH(F985,請求台帳!$A$5:$A$504,0)),""))</f>
        <v/>
      </c>
      <c r="H985" s="31" t="str">
        <f aca="false">IF(F985="","",IFERROR(INDEX(請求台帳!$D$5:$D$504,MATCH(F985,請求台帳!$A$5:$A$504,0)),""))</f>
        <v/>
      </c>
      <c r="I985" s="27" t="str">
        <f aca="false">IF(F985="","",IFERROR(INDEX(請求台帳!$F$5:$F$504,MATCH(F985,請求台帳!$A$5:$A$504,0)),""))</f>
        <v/>
      </c>
      <c r="J985" s="28" t="str">
        <f aca="false">IF(COUNTA(B985,D985,E985,F985)=0,"",IF(OR(B985="",E985=""),"要入力",IF(N(B985)&gt;設定!$C$5,"日付誤り",IF(F985="","未消込",IF(ISNA(MATCH(F985,請求台帳!$A$5:$A$504,0)),"番号誤り",IF(INDEX(請求台帳!$Q$5:$Q$504,MATCH(F985,請求台帳!$A$5:$A$504,0))="取消","取消請求へ消込","消込済"))))))</f>
        <v/>
      </c>
      <c r="K985" s="26"/>
      <c r="L985" s="26"/>
    </row>
    <row r="986" customFormat="false" ht="15" hidden="false" customHeight="false" outlineLevel="0" collapsed="false">
      <c r="A986" s="31" t="str">
        <f aca="false">IF(COUNTA(B986,D986,E986,F986)=0,"",ROW()-4)</f>
        <v/>
      </c>
      <c r="B986" s="22"/>
      <c r="C986" s="26"/>
      <c r="D986" s="26"/>
      <c r="E986" s="18"/>
      <c r="F986" s="26"/>
      <c r="G986" s="31" t="str">
        <f aca="false">IF(F986="","",IFERROR(INDEX(請求台帳!$C$5:$C$504,MATCH(F986,請求台帳!$A$5:$A$504,0)),""))</f>
        <v/>
      </c>
      <c r="H986" s="31" t="str">
        <f aca="false">IF(F986="","",IFERROR(INDEX(請求台帳!$D$5:$D$504,MATCH(F986,請求台帳!$A$5:$A$504,0)),""))</f>
        <v/>
      </c>
      <c r="I986" s="27" t="str">
        <f aca="false">IF(F986="","",IFERROR(INDEX(請求台帳!$F$5:$F$504,MATCH(F986,請求台帳!$A$5:$A$504,0)),""))</f>
        <v/>
      </c>
      <c r="J986" s="28" t="str">
        <f aca="false">IF(COUNTA(B986,D986,E986,F986)=0,"",IF(OR(B986="",E986=""),"要入力",IF(N(B986)&gt;設定!$C$5,"日付誤り",IF(F986="","未消込",IF(ISNA(MATCH(F986,請求台帳!$A$5:$A$504,0)),"番号誤り",IF(INDEX(請求台帳!$Q$5:$Q$504,MATCH(F986,請求台帳!$A$5:$A$504,0))="取消","取消請求へ消込","消込済"))))))</f>
        <v/>
      </c>
      <c r="K986" s="26"/>
      <c r="L986" s="26"/>
    </row>
    <row r="987" customFormat="false" ht="15" hidden="false" customHeight="false" outlineLevel="0" collapsed="false">
      <c r="A987" s="31" t="str">
        <f aca="false">IF(COUNTA(B987,D987,E987,F987)=0,"",ROW()-4)</f>
        <v/>
      </c>
      <c r="B987" s="22"/>
      <c r="C987" s="26"/>
      <c r="D987" s="26"/>
      <c r="E987" s="18"/>
      <c r="F987" s="26"/>
      <c r="G987" s="31" t="str">
        <f aca="false">IF(F987="","",IFERROR(INDEX(請求台帳!$C$5:$C$504,MATCH(F987,請求台帳!$A$5:$A$504,0)),""))</f>
        <v/>
      </c>
      <c r="H987" s="31" t="str">
        <f aca="false">IF(F987="","",IFERROR(INDEX(請求台帳!$D$5:$D$504,MATCH(F987,請求台帳!$A$5:$A$504,0)),""))</f>
        <v/>
      </c>
      <c r="I987" s="27" t="str">
        <f aca="false">IF(F987="","",IFERROR(INDEX(請求台帳!$F$5:$F$504,MATCH(F987,請求台帳!$A$5:$A$504,0)),""))</f>
        <v/>
      </c>
      <c r="J987" s="28" t="str">
        <f aca="false">IF(COUNTA(B987,D987,E987,F987)=0,"",IF(OR(B987="",E987=""),"要入力",IF(N(B987)&gt;設定!$C$5,"日付誤り",IF(F987="","未消込",IF(ISNA(MATCH(F987,請求台帳!$A$5:$A$504,0)),"番号誤り",IF(INDEX(請求台帳!$Q$5:$Q$504,MATCH(F987,請求台帳!$A$5:$A$504,0))="取消","取消請求へ消込","消込済"))))))</f>
        <v/>
      </c>
      <c r="K987" s="26"/>
      <c r="L987" s="26"/>
    </row>
    <row r="988" customFormat="false" ht="15" hidden="false" customHeight="false" outlineLevel="0" collapsed="false">
      <c r="A988" s="31" t="str">
        <f aca="false">IF(COUNTA(B988,D988,E988,F988)=0,"",ROW()-4)</f>
        <v/>
      </c>
      <c r="B988" s="22"/>
      <c r="C988" s="26"/>
      <c r="D988" s="26"/>
      <c r="E988" s="18"/>
      <c r="F988" s="26"/>
      <c r="G988" s="31" t="str">
        <f aca="false">IF(F988="","",IFERROR(INDEX(請求台帳!$C$5:$C$504,MATCH(F988,請求台帳!$A$5:$A$504,0)),""))</f>
        <v/>
      </c>
      <c r="H988" s="31" t="str">
        <f aca="false">IF(F988="","",IFERROR(INDEX(請求台帳!$D$5:$D$504,MATCH(F988,請求台帳!$A$5:$A$504,0)),""))</f>
        <v/>
      </c>
      <c r="I988" s="27" t="str">
        <f aca="false">IF(F988="","",IFERROR(INDEX(請求台帳!$F$5:$F$504,MATCH(F988,請求台帳!$A$5:$A$504,0)),""))</f>
        <v/>
      </c>
      <c r="J988" s="28" t="str">
        <f aca="false">IF(COUNTA(B988,D988,E988,F988)=0,"",IF(OR(B988="",E988=""),"要入力",IF(N(B988)&gt;設定!$C$5,"日付誤り",IF(F988="","未消込",IF(ISNA(MATCH(F988,請求台帳!$A$5:$A$504,0)),"番号誤り",IF(INDEX(請求台帳!$Q$5:$Q$504,MATCH(F988,請求台帳!$A$5:$A$504,0))="取消","取消請求へ消込","消込済"))))))</f>
        <v/>
      </c>
      <c r="K988" s="26"/>
      <c r="L988" s="26"/>
    </row>
    <row r="989" customFormat="false" ht="15" hidden="false" customHeight="false" outlineLevel="0" collapsed="false">
      <c r="A989" s="31" t="str">
        <f aca="false">IF(COUNTA(B989,D989,E989,F989)=0,"",ROW()-4)</f>
        <v/>
      </c>
      <c r="B989" s="22"/>
      <c r="C989" s="26"/>
      <c r="D989" s="26"/>
      <c r="E989" s="18"/>
      <c r="F989" s="26"/>
      <c r="G989" s="31" t="str">
        <f aca="false">IF(F989="","",IFERROR(INDEX(請求台帳!$C$5:$C$504,MATCH(F989,請求台帳!$A$5:$A$504,0)),""))</f>
        <v/>
      </c>
      <c r="H989" s="31" t="str">
        <f aca="false">IF(F989="","",IFERROR(INDEX(請求台帳!$D$5:$D$504,MATCH(F989,請求台帳!$A$5:$A$504,0)),""))</f>
        <v/>
      </c>
      <c r="I989" s="27" t="str">
        <f aca="false">IF(F989="","",IFERROR(INDEX(請求台帳!$F$5:$F$504,MATCH(F989,請求台帳!$A$5:$A$504,0)),""))</f>
        <v/>
      </c>
      <c r="J989" s="28" t="str">
        <f aca="false">IF(COUNTA(B989,D989,E989,F989)=0,"",IF(OR(B989="",E989=""),"要入力",IF(N(B989)&gt;設定!$C$5,"日付誤り",IF(F989="","未消込",IF(ISNA(MATCH(F989,請求台帳!$A$5:$A$504,0)),"番号誤り",IF(INDEX(請求台帳!$Q$5:$Q$504,MATCH(F989,請求台帳!$A$5:$A$504,0))="取消","取消請求へ消込","消込済"))))))</f>
        <v/>
      </c>
      <c r="K989" s="26"/>
      <c r="L989" s="26"/>
    </row>
    <row r="990" customFormat="false" ht="15" hidden="false" customHeight="false" outlineLevel="0" collapsed="false">
      <c r="A990" s="31" t="str">
        <f aca="false">IF(COUNTA(B990,D990,E990,F990)=0,"",ROW()-4)</f>
        <v/>
      </c>
      <c r="B990" s="22"/>
      <c r="C990" s="26"/>
      <c r="D990" s="26"/>
      <c r="E990" s="18"/>
      <c r="F990" s="26"/>
      <c r="G990" s="31" t="str">
        <f aca="false">IF(F990="","",IFERROR(INDEX(請求台帳!$C$5:$C$504,MATCH(F990,請求台帳!$A$5:$A$504,0)),""))</f>
        <v/>
      </c>
      <c r="H990" s="31" t="str">
        <f aca="false">IF(F990="","",IFERROR(INDEX(請求台帳!$D$5:$D$504,MATCH(F990,請求台帳!$A$5:$A$504,0)),""))</f>
        <v/>
      </c>
      <c r="I990" s="27" t="str">
        <f aca="false">IF(F990="","",IFERROR(INDEX(請求台帳!$F$5:$F$504,MATCH(F990,請求台帳!$A$5:$A$504,0)),""))</f>
        <v/>
      </c>
      <c r="J990" s="28" t="str">
        <f aca="false">IF(COUNTA(B990,D990,E990,F990)=0,"",IF(OR(B990="",E990=""),"要入力",IF(N(B990)&gt;設定!$C$5,"日付誤り",IF(F990="","未消込",IF(ISNA(MATCH(F990,請求台帳!$A$5:$A$504,0)),"番号誤り",IF(INDEX(請求台帳!$Q$5:$Q$504,MATCH(F990,請求台帳!$A$5:$A$504,0))="取消","取消請求へ消込","消込済"))))))</f>
        <v/>
      </c>
      <c r="K990" s="26"/>
      <c r="L990" s="26"/>
    </row>
    <row r="991" customFormat="false" ht="15" hidden="false" customHeight="false" outlineLevel="0" collapsed="false">
      <c r="A991" s="31" t="str">
        <f aca="false">IF(COUNTA(B991,D991,E991,F991)=0,"",ROW()-4)</f>
        <v/>
      </c>
      <c r="B991" s="22"/>
      <c r="C991" s="26"/>
      <c r="D991" s="26"/>
      <c r="E991" s="18"/>
      <c r="F991" s="26"/>
      <c r="G991" s="31" t="str">
        <f aca="false">IF(F991="","",IFERROR(INDEX(請求台帳!$C$5:$C$504,MATCH(F991,請求台帳!$A$5:$A$504,0)),""))</f>
        <v/>
      </c>
      <c r="H991" s="31" t="str">
        <f aca="false">IF(F991="","",IFERROR(INDEX(請求台帳!$D$5:$D$504,MATCH(F991,請求台帳!$A$5:$A$504,0)),""))</f>
        <v/>
      </c>
      <c r="I991" s="27" t="str">
        <f aca="false">IF(F991="","",IFERROR(INDEX(請求台帳!$F$5:$F$504,MATCH(F991,請求台帳!$A$5:$A$504,0)),""))</f>
        <v/>
      </c>
      <c r="J991" s="28" t="str">
        <f aca="false">IF(COUNTA(B991,D991,E991,F991)=0,"",IF(OR(B991="",E991=""),"要入力",IF(N(B991)&gt;設定!$C$5,"日付誤り",IF(F991="","未消込",IF(ISNA(MATCH(F991,請求台帳!$A$5:$A$504,0)),"番号誤り",IF(INDEX(請求台帳!$Q$5:$Q$504,MATCH(F991,請求台帳!$A$5:$A$504,0))="取消","取消請求へ消込","消込済"))))))</f>
        <v/>
      </c>
      <c r="K991" s="26"/>
      <c r="L991" s="26"/>
    </row>
    <row r="992" customFormat="false" ht="15" hidden="false" customHeight="false" outlineLevel="0" collapsed="false">
      <c r="A992" s="31" t="str">
        <f aca="false">IF(COUNTA(B992,D992,E992,F992)=0,"",ROW()-4)</f>
        <v/>
      </c>
      <c r="B992" s="22"/>
      <c r="C992" s="26"/>
      <c r="D992" s="26"/>
      <c r="E992" s="18"/>
      <c r="F992" s="26"/>
      <c r="G992" s="31" t="str">
        <f aca="false">IF(F992="","",IFERROR(INDEX(請求台帳!$C$5:$C$504,MATCH(F992,請求台帳!$A$5:$A$504,0)),""))</f>
        <v/>
      </c>
      <c r="H992" s="31" t="str">
        <f aca="false">IF(F992="","",IFERROR(INDEX(請求台帳!$D$5:$D$504,MATCH(F992,請求台帳!$A$5:$A$504,0)),""))</f>
        <v/>
      </c>
      <c r="I992" s="27" t="str">
        <f aca="false">IF(F992="","",IFERROR(INDEX(請求台帳!$F$5:$F$504,MATCH(F992,請求台帳!$A$5:$A$504,0)),""))</f>
        <v/>
      </c>
      <c r="J992" s="28" t="str">
        <f aca="false">IF(COUNTA(B992,D992,E992,F992)=0,"",IF(OR(B992="",E992=""),"要入力",IF(N(B992)&gt;設定!$C$5,"日付誤り",IF(F992="","未消込",IF(ISNA(MATCH(F992,請求台帳!$A$5:$A$504,0)),"番号誤り",IF(INDEX(請求台帳!$Q$5:$Q$504,MATCH(F992,請求台帳!$A$5:$A$504,0))="取消","取消請求へ消込","消込済"))))))</f>
        <v/>
      </c>
      <c r="K992" s="26"/>
      <c r="L992" s="26"/>
    </row>
    <row r="993" customFormat="false" ht="15" hidden="false" customHeight="false" outlineLevel="0" collapsed="false">
      <c r="A993" s="31" t="str">
        <f aca="false">IF(COUNTA(B993,D993,E993,F993)=0,"",ROW()-4)</f>
        <v/>
      </c>
      <c r="B993" s="22"/>
      <c r="C993" s="26"/>
      <c r="D993" s="26"/>
      <c r="E993" s="18"/>
      <c r="F993" s="26"/>
      <c r="G993" s="31" t="str">
        <f aca="false">IF(F993="","",IFERROR(INDEX(請求台帳!$C$5:$C$504,MATCH(F993,請求台帳!$A$5:$A$504,0)),""))</f>
        <v/>
      </c>
      <c r="H993" s="31" t="str">
        <f aca="false">IF(F993="","",IFERROR(INDEX(請求台帳!$D$5:$D$504,MATCH(F993,請求台帳!$A$5:$A$504,0)),""))</f>
        <v/>
      </c>
      <c r="I993" s="27" t="str">
        <f aca="false">IF(F993="","",IFERROR(INDEX(請求台帳!$F$5:$F$504,MATCH(F993,請求台帳!$A$5:$A$504,0)),""))</f>
        <v/>
      </c>
      <c r="J993" s="28" t="str">
        <f aca="false">IF(COUNTA(B993,D993,E993,F993)=0,"",IF(OR(B993="",E993=""),"要入力",IF(N(B993)&gt;設定!$C$5,"日付誤り",IF(F993="","未消込",IF(ISNA(MATCH(F993,請求台帳!$A$5:$A$504,0)),"番号誤り",IF(INDEX(請求台帳!$Q$5:$Q$504,MATCH(F993,請求台帳!$A$5:$A$504,0))="取消","取消請求へ消込","消込済"))))))</f>
        <v/>
      </c>
      <c r="K993" s="26"/>
      <c r="L993" s="26"/>
    </row>
    <row r="994" customFormat="false" ht="15" hidden="false" customHeight="false" outlineLevel="0" collapsed="false">
      <c r="A994" s="31" t="str">
        <f aca="false">IF(COUNTA(B994,D994,E994,F994)=0,"",ROW()-4)</f>
        <v/>
      </c>
      <c r="B994" s="22"/>
      <c r="C994" s="26"/>
      <c r="D994" s="26"/>
      <c r="E994" s="18"/>
      <c r="F994" s="26"/>
      <c r="G994" s="31" t="str">
        <f aca="false">IF(F994="","",IFERROR(INDEX(請求台帳!$C$5:$C$504,MATCH(F994,請求台帳!$A$5:$A$504,0)),""))</f>
        <v/>
      </c>
      <c r="H994" s="31" t="str">
        <f aca="false">IF(F994="","",IFERROR(INDEX(請求台帳!$D$5:$D$504,MATCH(F994,請求台帳!$A$5:$A$504,0)),""))</f>
        <v/>
      </c>
      <c r="I994" s="27" t="str">
        <f aca="false">IF(F994="","",IFERROR(INDEX(請求台帳!$F$5:$F$504,MATCH(F994,請求台帳!$A$5:$A$504,0)),""))</f>
        <v/>
      </c>
      <c r="J994" s="28" t="str">
        <f aca="false">IF(COUNTA(B994,D994,E994,F994)=0,"",IF(OR(B994="",E994=""),"要入力",IF(N(B994)&gt;設定!$C$5,"日付誤り",IF(F994="","未消込",IF(ISNA(MATCH(F994,請求台帳!$A$5:$A$504,0)),"番号誤り",IF(INDEX(請求台帳!$Q$5:$Q$504,MATCH(F994,請求台帳!$A$5:$A$504,0))="取消","取消請求へ消込","消込済"))))))</f>
        <v/>
      </c>
      <c r="K994" s="26"/>
      <c r="L994" s="26"/>
    </row>
    <row r="995" customFormat="false" ht="15" hidden="false" customHeight="false" outlineLevel="0" collapsed="false">
      <c r="A995" s="31" t="str">
        <f aca="false">IF(COUNTA(B995,D995,E995,F995)=0,"",ROW()-4)</f>
        <v/>
      </c>
      <c r="B995" s="22"/>
      <c r="C995" s="26"/>
      <c r="D995" s="26"/>
      <c r="E995" s="18"/>
      <c r="F995" s="26"/>
      <c r="G995" s="31" t="str">
        <f aca="false">IF(F995="","",IFERROR(INDEX(請求台帳!$C$5:$C$504,MATCH(F995,請求台帳!$A$5:$A$504,0)),""))</f>
        <v/>
      </c>
      <c r="H995" s="31" t="str">
        <f aca="false">IF(F995="","",IFERROR(INDEX(請求台帳!$D$5:$D$504,MATCH(F995,請求台帳!$A$5:$A$504,0)),""))</f>
        <v/>
      </c>
      <c r="I995" s="27" t="str">
        <f aca="false">IF(F995="","",IFERROR(INDEX(請求台帳!$F$5:$F$504,MATCH(F995,請求台帳!$A$5:$A$504,0)),""))</f>
        <v/>
      </c>
      <c r="J995" s="28" t="str">
        <f aca="false">IF(COUNTA(B995,D995,E995,F995)=0,"",IF(OR(B995="",E995=""),"要入力",IF(N(B995)&gt;設定!$C$5,"日付誤り",IF(F995="","未消込",IF(ISNA(MATCH(F995,請求台帳!$A$5:$A$504,0)),"番号誤り",IF(INDEX(請求台帳!$Q$5:$Q$504,MATCH(F995,請求台帳!$A$5:$A$504,0))="取消","取消請求へ消込","消込済"))))))</f>
        <v/>
      </c>
      <c r="K995" s="26"/>
      <c r="L995" s="26"/>
    </row>
    <row r="996" customFormat="false" ht="15" hidden="false" customHeight="false" outlineLevel="0" collapsed="false">
      <c r="A996" s="31" t="str">
        <f aca="false">IF(COUNTA(B996,D996,E996,F996)=0,"",ROW()-4)</f>
        <v/>
      </c>
      <c r="B996" s="22"/>
      <c r="C996" s="26"/>
      <c r="D996" s="26"/>
      <c r="E996" s="18"/>
      <c r="F996" s="26"/>
      <c r="G996" s="31" t="str">
        <f aca="false">IF(F996="","",IFERROR(INDEX(請求台帳!$C$5:$C$504,MATCH(F996,請求台帳!$A$5:$A$504,0)),""))</f>
        <v/>
      </c>
      <c r="H996" s="31" t="str">
        <f aca="false">IF(F996="","",IFERROR(INDEX(請求台帳!$D$5:$D$504,MATCH(F996,請求台帳!$A$5:$A$504,0)),""))</f>
        <v/>
      </c>
      <c r="I996" s="27" t="str">
        <f aca="false">IF(F996="","",IFERROR(INDEX(請求台帳!$F$5:$F$504,MATCH(F996,請求台帳!$A$5:$A$504,0)),""))</f>
        <v/>
      </c>
      <c r="J996" s="28" t="str">
        <f aca="false">IF(COUNTA(B996,D996,E996,F996)=0,"",IF(OR(B996="",E996=""),"要入力",IF(N(B996)&gt;設定!$C$5,"日付誤り",IF(F996="","未消込",IF(ISNA(MATCH(F996,請求台帳!$A$5:$A$504,0)),"番号誤り",IF(INDEX(請求台帳!$Q$5:$Q$504,MATCH(F996,請求台帳!$A$5:$A$504,0))="取消","取消請求へ消込","消込済"))))))</f>
        <v/>
      </c>
      <c r="K996" s="26"/>
      <c r="L996" s="26"/>
    </row>
    <row r="997" customFormat="false" ht="15" hidden="false" customHeight="false" outlineLevel="0" collapsed="false">
      <c r="A997" s="31" t="str">
        <f aca="false">IF(COUNTA(B997,D997,E997,F997)=0,"",ROW()-4)</f>
        <v/>
      </c>
      <c r="B997" s="22"/>
      <c r="C997" s="26"/>
      <c r="D997" s="26"/>
      <c r="E997" s="18"/>
      <c r="F997" s="26"/>
      <c r="G997" s="31" t="str">
        <f aca="false">IF(F997="","",IFERROR(INDEX(請求台帳!$C$5:$C$504,MATCH(F997,請求台帳!$A$5:$A$504,0)),""))</f>
        <v/>
      </c>
      <c r="H997" s="31" t="str">
        <f aca="false">IF(F997="","",IFERROR(INDEX(請求台帳!$D$5:$D$504,MATCH(F997,請求台帳!$A$5:$A$504,0)),""))</f>
        <v/>
      </c>
      <c r="I997" s="27" t="str">
        <f aca="false">IF(F997="","",IFERROR(INDEX(請求台帳!$F$5:$F$504,MATCH(F997,請求台帳!$A$5:$A$504,0)),""))</f>
        <v/>
      </c>
      <c r="J997" s="28" t="str">
        <f aca="false">IF(COUNTA(B997,D997,E997,F997)=0,"",IF(OR(B997="",E997=""),"要入力",IF(N(B997)&gt;設定!$C$5,"日付誤り",IF(F997="","未消込",IF(ISNA(MATCH(F997,請求台帳!$A$5:$A$504,0)),"番号誤り",IF(INDEX(請求台帳!$Q$5:$Q$504,MATCH(F997,請求台帳!$A$5:$A$504,0))="取消","取消請求へ消込","消込済"))))))</f>
        <v/>
      </c>
      <c r="K997" s="26"/>
      <c r="L997" s="26"/>
    </row>
    <row r="998" customFormat="false" ht="15" hidden="false" customHeight="false" outlineLevel="0" collapsed="false">
      <c r="A998" s="31" t="str">
        <f aca="false">IF(COUNTA(B998,D998,E998,F998)=0,"",ROW()-4)</f>
        <v/>
      </c>
      <c r="B998" s="22"/>
      <c r="C998" s="26"/>
      <c r="D998" s="26"/>
      <c r="E998" s="18"/>
      <c r="F998" s="26"/>
      <c r="G998" s="31" t="str">
        <f aca="false">IF(F998="","",IFERROR(INDEX(請求台帳!$C$5:$C$504,MATCH(F998,請求台帳!$A$5:$A$504,0)),""))</f>
        <v/>
      </c>
      <c r="H998" s="31" t="str">
        <f aca="false">IF(F998="","",IFERROR(INDEX(請求台帳!$D$5:$D$504,MATCH(F998,請求台帳!$A$5:$A$504,0)),""))</f>
        <v/>
      </c>
      <c r="I998" s="27" t="str">
        <f aca="false">IF(F998="","",IFERROR(INDEX(請求台帳!$F$5:$F$504,MATCH(F998,請求台帳!$A$5:$A$504,0)),""))</f>
        <v/>
      </c>
      <c r="J998" s="28" t="str">
        <f aca="false">IF(COUNTA(B998,D998,E998,F998)=0,"",IF(OR(B998="",E998=""),"要入力",IF(N(B998)&gt;設定!$C$5,"日付誤り",IF(F998="","未消込",IF(ISNA(MATCH(F998,請求台帳!$A$5:$A$504,0)),"番号誤り",IF(INDEX(請求台帳!$Q$5:$Q$504,MATCH(F998,請求台帳!$A$5:$A$504,0))="取消","取消請求へ消込","消込済"))))))</f>
        <v/>
      </c>
      <c r="K998" s="26"/>
      <c r="L998" s="26"/>
    </row>
    <row r="999" customFormat="false" ht="15" hidden="false" customHeight="false" outlineLevel="0" collapsed="false">
      <c r="A999" s="31" t="str">
        <f aca="false">IF(COUNTA(B999,D999,E999,F999)=0,"",ROW()-4)</f>
        <v/>
      </c>
      <c r="B999" s="22"/>
      <c r="C999" s="26"/>
      <c r="D999" s="26"/>
      <c r="E999" s="18"/>
      <c r="F999" s="26"/>
      <c r="G999" s="31" t="str">
        <f aca="false">IF(F999="","",IFERROR(INDEX(請求台帳!$C$5:$C$504,MATCH(F999,請求台帳!$A$5:$A$504,0)),""))</f>
        <v/>
      </c>
      <c r="H999" s="31" t="str">
        <f aca="false">IF(F999="","",IFERROR(INDEX(請求台帳!$D$5:$D$504,MATCH(F999,請求台帳!$A$5:$A$504,0)),""))</f>
        <v/>
      </c>
      <c r="I999" s="27" t="str">
        <f aca="false">IF(F999="","",IFERROR(INDEX(請求台帳!$F$5:$F$504,MATCH(F999,請求台帳!$A$5:$A$504,0)),""))</f>
        <v/>
      </c>
      <c r="J999" s="28" t="str">
        <f aca="false">IF(COUNTA(B999,D999,E999,F999)=0,"",IF(OR(B999="",E999=""),"要入力",IF(N(B999)&gt;設定!$C$5,"日付誤り",IF(F999="","未消込",IF(ISNA(MATCH(F999,請求台帳!$A$5:$A$504,0)),"番号誤り",IF(INDEX(請求台帳!$Q$5:$Q$504,MATCH(F999,請求台帳!$A$5:$A$504,0))="取消","取消請求へ消込","消込済"))))))</f>
        <v/>
      </c>
      <c r="K999" s="26"/>
      <c r="L999" s="26"/>
    </row>
    <row r="1000" customFormat="false" ht="15" hidden="false" customHeight="false" outlineLevel="0" collapsed="false">
      <c r="A1000" s="31" t="str">
        <f aca="false">IF(COUNTA(B1000,D1000,E1000,F1000)=0,"",ROW()-4)</f>
        <v/>
      </c>
      <c r="B1000" s="22"/>
      <c r="C1000" s="26"/>
      <c r="D1000" s="26"/>
      <c r="E1000" s="18"/>
      <c r="F1000" s="26"/>
      <c r="G1000" s="31" t="str">
        <f aca="false">IF(F1000="","",IFERROR(INDEX(請求台帳!$C$5:$C$504,MATCH(F1000,請求台帳!$A$5:$A$504,0)),""))</f>
        <v/>
      </c>
      <c r="H1000" s="31" t="str">
        <f aca="false">IF(F1000="","",IFERROR(INDEX(請求台帳!$D$5:$D$504,MATCH(F1000,請求台帳!$A$5:$A$504,0)),""))</f>
        <v/>
      </c>
      <c r="I1000" s="27" t="str">
        <f aca="false">IF(F1000="","",IFERROR(INDEX(請求台帳!$F$5:$F$504,MATCH(F1000,請求台帳!$A$5:$A$504,0)),""))</f>
        <v/>
      </c>
      <c r="J1000" s="28" t="str">
        <f aca="false">IF(COUNTA(B1000,D1000,E1000,F1000)=0,"",IF(OR(B1000="",E1000=""),"要入力",IF(N(B1000)&gt;設定!$C$5,"日付誤り",IF(F1000="","未消込",IF(ISNA(MATCH(F1000,請求台帳!$A$5:$A$504,0)),"番号誤り",IF(INDEX(請求台帳!$Q$5:$Q$504,MATCH(F1000,請求台帳!$A$5:$A$504,0))="取消","取消請求へ消込","消込済"))))))</f>
        <v/>
      </c>
      <c r="K1000" s="26"/>
      <c r="L1000" s="26"/>
    </row>
    <row r="1001" customFormat="false" ht="15" hidden="false" customHeight="false" outlineLevel="0" collapsed="false">
      <c r="A1001" s="31" t="str">
        <f aca="false">IF(COUNTA(B1001,D1001,E1001,F1001)=0,"",ROW()-4)</f>
        <v/>
      </c>
      <c r="B1001" s="22"/>
      <c r="C1001" s="26"/>
      <c r="D1001" s="26"/>
      <c r="E1001" s="18"/>
      <c r="F1001" s="26"/>
      <c r="G1001" s="31" t="str">
        <f aca="false">IF(F1001="","",IFERROR(INDEX(請求台帳!$C$5:$C$504,MATCH(F1001,請求台帳!$A$5:$A$504,0)),""))</f>
        <v/>
      </c>
      <c r="H1001" s="31" t="str">
        <f aca="false">IF(F1001="","",IFERROR(INDEX(請求台帳!$D$5:$D$504,MATCH(F1001,請求台帳!$A$5:$A$504,0)),""))</f>
        <v/>
      </c>
      <c r="I1001" s="27" t="str">
        <f aca="false">IF(F1001="","",IFERROR(INDEX(請求台帳!$F$5:$F$504,MATCH(F1001,請求台帳!$A$5:$A$504,0)),""))</f>
        <v/>
      </c>
      <c r="J1001" s="28" t="str">
        <f aca="false">IF(COUNTA(B1001,D1001,E1001,F1001)=0,"",IF(OR(B1001="",E1001=""),"要入力",IF(N(B1001)&gt;設定!$C$5,"日付誤り",IF(F1001="","未消込",IF(ISNA(MATCH(F1001,請求台帳!$A$5:$A$504,0)),"番号誤り",IF(INDEX(請求台帳!$Q$5:$Q$504,MATCH(F1001,請求台帳!$A$5:$A$504,0))="取消","取消請求へ消込","消込済"))))))</f>
        <v/>
      </c>
      <c r="K1001" s="26"/>
      <c r="L1001" s="26"/>
    </row>
    <row r="1002" customFormat="false" ht="15" hidden="false" customHeight="false" outlineLevel="0" collapsed="false">
      <c r="A1002" s="31" t="str">
        <f aca="false">IF(COUNTA(B1002,D1002,E1002,F1002)=0,"",ROW()-4)</f>
        <v/>
      </c>
      <c r="B1002" s="22"/>
      <c r="C1002" s="26"/>
      <c r="D1002" s="26"/>
      <c r="E1002" s="18"/>
      <c r="F1002" s="26"/>
      <c r="G1002" s="31" t="str">
        <f aca="false">IF(F1002="","",IFERROR(INDEX(請求台帳!$C$5:$C$504,MATCH(F1002,請求台帳!$A$5:$A$504,0)),""))</f>
        <v/>
      </c>
      <c r="H1002" s="31" t="str">
        <f aca="false">IF(F1002="","",IFERROR(INDEX(請求台帳!$D$5:$D$504,MATCH(F1002,請求台帳!$A$5:$A$504,0)),""))</f>
        <v/>
      </c>
      <c r="I1002" s="27" t="str">
        <f aca="false">IF(F1002="","",IFERROR(INDEX(請求台帳!$F$5:$F$504,MATCH(F1002,請求台帳!$A$5:$A$504,0)),""))</f>
        <v/>
      </c>
      <c r="J1002" s="28" t="str">
        <f aca="false">IF(COUNTA(B1002,D1002,E1002,F1002)=0,"",IF(OR(B1002="",E1002=""),"要入力",IF(N(B1002)&gt;設定!$C$5,"日付誤り",IF(F1002="","未消込",IF(ISNA(MATCH(F1002,請求台帳!$A$5:$A$504,0)),"番号誤り",IF(INDEX(請求台帳!$Q$5:$Q$504,MATCH(F1002,請求台帳!$A$5:$A$504,0))="取消","取消請求へ消込","消込済"))))))</f>
        <v/>
      </c>
      <c r="K1002" s="26"/>
      <c r="L1002" s="26"/>
    </row>
    <row r="1003" customFormat="false" ht="15" hidden="false" customHeight="false" outlineLevel="0" collapsed="false">
      <c r="A1003" s="31" t="str">
        <f aca="false">IF(COUNTA(B1003,D1003,E1003,F1003)=0,"",ROW()-4)</f>
        <v/>
      </c>
      <c r="B1003" s="22"/>
      <c r="C1003" s="26"/>
      <c r="D1003" s="26"/>
      <c r="E1003" s="18"/>
      <c r="F1003" s="26"/>
      <c r="G1003" s="31" t="str">
        <f aca="false">IF(F1003="","",IFERROR(INDEX(請求台帳!$C$5:$C$504,MATCH(F1003,請求台帳!$A$5:$A$504,0)),""))</f>
        <v/>
      </c>
      <c r="H1003" s="31" t="str">
        <f aca="false">IF(F1003="","",IFERROR(INDEX(請求台帳!$D$5:$D$504,MATCH(F1003,請求台帳!$A$5:$A$504,0)),""))</f>
        <v/>
      </c>
      <c r="I1003" s="27" t="str">
        <f aca="false">IF(F1003="","",IFERROR(INDEX(請求台帳!$F$5:$F$504,MATCH(F1003,請求台帳!$A$5:$A$504,0)),""))</f>
        <v/>
      </c>
      <c r="J1003" s="28" t="str">
        <f aca="false">IF(COUNTA(B1003,D1003,E1003,F1003)=0,"",IF(OR(B1003="",E1003=""),"要入力",IF(N(B1003)&gt;設定!$C$5,"日付誤り",IF(F1003="","未消込",IF(ISNA(MATCH(F1003,請求台帳!$A$5:$A$504,0)),"番号誤り",IF(INDEX(請求台帳!$Q$5:$Q$504,MATCH(F1003,請求台帳!$A$5:$A$504,0))="取消","取消請求へ消込","消込済"))))))</f>
        <v/>
      </c>
      <c r="K1003" s="26"/>
      <c r="L1003" s="26"/>
    </row>
    <row r="1004" customFormat="false" ht="15" hidden="false" customHeight="false" outlineLevel="0" collapsed="false">
      <c r="A1004" s="31" t="str">
        <f aca="false">IF(COUNTA(B1004,D1004,E1004,F1004)=0,"",ROW()-4)</f>
        <v/>
      </c>
      <c r="B1004" s="22"/>
      <c r="C1004" s="26"/>
      <c r="D1004" s="26"/>
      <c r="E1004" s="18"/>
      <c r="F1004" s="26"/>
      <c r="G1004" s="31" t="str">
        <f aca="false">IF(F1004="","",IFERROR(INDEX(請求台帳!$C$5:$C$504,MATCH(F1004,請求台帳!$A$5:$A$504,0)),""))</f>
        <v/>
      </c>
      <c r="H1004" s="31" t="str">
        <f aca="false">IF(F1004="","",IFERROR(INDEX(請求台帳!$D$5:$D$504,MATCH(F1004,請求台帳!$A$5:$A$504,0)),""))</f>
        <v/>
      </c>
      <c r="I1004" s="27" t="str">
        <f aca="false">IF(F1004="","",IFERROR(INDEX(請求台帳!$F$5:$F$504,MATCH(F1004,請求台帳!$A$5:$A$504,0)),""))</f>
        <v/>
      </c>
      <c r="J1004" s="28" t="str">
        <f aca="false">IF(COUNTA(B1004,D1004,E1004,F1004)=0,"",IF(OR(B1004="",E1004=""),"要入力",IF(N(B1004)&gt;設定!$C$5,"日付誤り",IF(F1004="","未消込",IF(ISNA(MATCH(F1004,請求台帳!$A$5:$A$504,0)),"番号誤り",IF(INDEX(請求台帳!$Q$5:$Q$504,MATCH(F1004,請求台帳!$A$5:$A$504,0))="取消","取消請求へ消込","消込済"))))))</f>
        <v/>
      </c>
      <c r="K1004" s="26"/>
      <c r="L1004" s="26"/>
    </row>
  </sheetData>
  <sheetProtection sheet="true" formatCells="false" formatColumns="false" formatRows="false" autoFilter="false"/>
  <autoFilter ref="A4:L1004"/>
  <conditionalFormatting sqref="J5:J1004">
    <cfRule type="expression" priority="2" aboveAverage="0" equalAverage="0" bottom="0" percent="0" rank="0" text="" dxfId="1">
      <formula>$J5="入金済"</formula>
    </cfRule>
    <cfRule type="expression" priority="3" aboveAverage="0" equalAverage="0" bottom="0" percent="0" rank="0" text="" dxfId="1">
      <formula>$J5="消込済"</formula>
    </cfRule>
    <cfRule type="expression" priority="4" aboveAverage="0" equalAverage="0" bottom="0" percent="0" rank="0" text="" dxfId="0">
      <formula>$J5="期日超過"</formula>
    </cfRule>
    <cfRule type="expression" priority="5" aboveAverage="0" equalAverage="0" bottom="0" percent="0" rank="0" text="" dxfId="0">
      <formula>$J5="一部入金・超過"</formula>
    </cfRule>
    <cfRule type="expression" priority="6" aboveAverage="0" equalAverage="0" bottom="0" percent="0" rank="0" text="" dxfId="0">
      <formula>$J5="未消込"</formula>
    </cfRule>
    <cfRule type="expression" priority="7" aboveAverage="0" equalAverage="0" bottom="0" percent="0" rank="0" text="" dxfId="20">
      <formula>$J5="未送付"</formula>
    </cfRule>
    <cfRule type="expression" priority="8" aboveAverage="0" equalAverage="0" bottom="0" percent="0" rank="0" text="" dxfId="2">
      <formula>$J5="要入力"</formula>
    </cfRule>
    <cfRule type="expression" priority="9" aboveAverage="0" equalAverage="0" bottom="0" percent="0" rank="0" text="" dxfId="2">
      <formula>$J5="番号誤り"</formula>
    </cfRule>
    <cfRule type="expression" priority="10" aboveAverage="0" equalAverage="0" bottom="0" percent="0" rank="0" text="" dxfId="2">
      <formula>$J5="日付誤り"</formula>
    </cfRule>
    <cfRule type="expression" priority="11" aboveAverage="0" equalAverage="0" bottom="0" percent="0" rank="0" text="" dxfId="2">
      <formula>$J5="取消請求へ消込"</formula>
    </cfRule>
    <cfRule type="expression" priority="12" aboveAverage="0" equalAverage="0" bottom="0" percent="0" rank="0" text="" dxfId="21">
      <formula>$J5="期日間近"</formula>
    </cfRule>
    <cfRule type="expression" priority="13" aboveAverage="0" equalAverage="0" bottom="0" percent="0" rank="0" text="" dxfId="21">
      <formula>$J5="一部入金"</formula>
    </cfRule>
    <cfRule type="expression" priority="14" aboveAverage="0" equalAverage="0" bottom="0" percent="0" rank="0" text="" dxfId="22">
      <formula>$J5="過入金"</formula>
    </cfRule>
    <cfRule type="expression" priority="15" aboveAverage="0" equalAverage="0" bottom="0" percent="0" rank="0" text="" dxfId="23">
      <formula>$J5="取消"</formula>
    </cfRule>
  </conditionalFormatting>
  <dataValidations count="3">
    <dataValidation allowBlank="true" error="日付を入力してください(例: 2026/9/30)" errorStyle="stop" errorTitle="入力エラー" operator="between" showDropDown="false" showErrorMessage="true" showInputMessage="false" sqref="B5:B1004" type="date">
      <formula1>DATE(2000,1,1)</formula1>
      <formula2>DATE(2100,12,31)</formula2>
    </dataValidation>
    <dataValidation allowBlank="true" error="数値(円)を入力してください" errorStyle="stop" errorTitle="入力エラー" operator="between" showDropDown="false" showErrorMessage="true" showInputMessage="false" sqref="E5:E1004" type="decimal">
      <formula1>-999999999999</formula1>
      <formula2>999999999999</formula2>
    </dataValidation>
    <dataValidation allowBlank="true" error="一覧から選択してください" errorStyle="stop" errorTitle="入力エラー" operator="between" showDropDown="false" showErrorMessage="true" showInputMessage="false" sqref="C5:C1004" type="list">
      <formula1>設定!$G$5:$G$24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191</v>
      </c>
    </row>
    <row r="3" customFormat="false" ht="15" hidden="false" customHeight="false" outlineLevel="0" collapsed="false">
      <c r="C3" s="10" t="s">
        <v>192</v>
      </c>
      <c r="D3" s="32" t="n">
        <f aca="false">D205</f>
        <v>349300</v>
      </c>
      <c r="E3" s="32" t="n">
        <f aca="false">E205</f>
        <v>184300</v>
      </c>
      <c r="F3" s="32" t="n">
        <f aca="false">F205</f>
        <v>0</v>
      </c>
      <c r="G3" s="32" t="n">
        <f aca="false">G205</f>
        <v>165000</v>
      </c>
      <c r="H3" s="32" t="n">
        <f aca="false">H205</f>
        <v>0</v>
      </c>
    </row>
    <row r="4" customFormat="false" ht="31.5" hidden="false" customHeight="true" outlineLevel="0" collapsed="false">
      <c r="A4" s="20" t="s">
        <v>128</v>
      </c>
      <c r="B4" s="20" t="s">
        <v>129</v>
      </c>
      <c r="C4" s="20" t="s">
        <v>193</v>
      </c>
      <c r="D4" s="20" t="s">
        <v>141</v>
      </c>
      <c r="E4" s="20" t="s">
        <v>194</v>
      </c>
      <c r="F4" s="20" t="s">
        <v>195</v>
      </c>
      <c r="G4" s="20" t="s">
        <v>196</v>
      </c>
      <c r="H4" s="20" t="s">
        <v>197</v>
      </c>
      <c r="I4" s="20" t="s">
        <v>198</v>
      </c>
      <c r="J4" s="20" t="s">
        <v>199</v>
      </c>
    </row>
    <row r="5" customFormat="false" ht="15" hidden="false" customHeight="false" outlineLevel="0" collapsed="false">
      <c r="A5" s="31" t="str">
        <f aca="false">IF(取引先マスタ!A5="","",取引先マスタ!A5)</f>
        <v>C001</v>
      </c>
      <c r="B5" s="31" t="str">
        <f aca="false">IF(A5="","",取引先マスタ!B5)</f>
        <v>株式会社サンプル商事</v>
      </c>
      <c r="C5" s="31" t="str">
        <f aca="false">IF(A5="","",取引先マスタ!J5&amp;"")</f>
        <v>山田</v>
      </c>
      <c r="D5" s="27" t="n">
        <f aca="false">IF(A5="","",SUMIFS(請求台帳!$P$5:$P$504,請求台帳!$C$5:$C$504,A5,請求台帳!$Q$5:$Q$504,"&lt;&gt;取消"))</f>
        <v>110000</v>
      </c>
      <c r="E5" s="27" t="n">
        <f aca="false">IF(A5="","",D5-SUM(F5:H5))</f>
        <v>110000</v>
      </c>
      <c r="F5" s="27" t="n">
        <f aca="false">IF(A5="","",SUMIFS(請求台帳!$P$5:$P$504,請求台帳!$C$5:$C$504,A5,請求台帳!$S$5:$S$504,"&gt;=1",請求台帳!$S$5:$S$504,"&lt;=30"))</f>
        <v>0</v>
      </c>
      <c r="G5" s="27" t="n">
        <f aca="false">IF(A5="","",SUMIFS(請求台帳!$P$5:$P$504,請求台帳!$C$5:$C$504,A5,請求台帳!$S$5:$S$504,"&gt;=31",請求台帳!$S$5:$S$504,"&lt;=60"))</f>
        <v>0</v>
      </c>
      <c r="H5" s="27" t="n">
        <f aca="false">IF(A5="","",SUMIFS(請求台帳!$P$5:$P$504,請求台帳!$C$5:$C$504,A5,請求台帳!$S$5:$S$504,"&gt;=61"))</f>
        <v>0</v>
      </c>
      <c r="I5" s="33" t="n">
        <f aca="false">IF(A5="","",COUNTIFS(請求台帳!$C$5:$C$504,A5,請求台帳!$B$5:$B$504,"&gt;="&amp;チェック!$C$4,請求台帳!$B$5:$B$504,"&lt;="&amp;EOMONTH(チェック!$C$4,0),請求台帳!$Q$5:$Q$504,"&lt;&gt;取消"))</f>
        <v>0</v>
      </c>
      <c r="J5" s="28" t="str">
        <f aca="false">IF(A5="","",IF(AND(取引先マスタ!G5="有",I5=0),"請求漏れ候補",""))</f>
        <v>請求漏れ候補</v>
      </c>
    </row>
    <row r="6" customFormat="false" ht="15" hidden="false" customHeight="false" outlineLevel="0" collapsed="false">
      <c r="A6" s="31" t="str">
        <f aca="false">IF(取引先マスタ!A6="","",取引先マスタ!A6)</f>
        <v>C002</v>
      </c>
      <c r="B6" s="31" t="str">
        <f aca="false">IF(A6="","",取引先マスタ!B6)</f>
        <v>有限会社テスト工業</v>
      </c>
      <c r="C6" s="31" t="str">
        <f aca="false">IF(A6="","",取引先マスタ!J6&amp;"")</f>
        <v>佐藤</v>
      </c>
      <c r="D6" s="27" t="n">
        <f aca="false">IF(A6="","",SUMIFS(請求台帳!$P$5:$P$504,請求台帳!$C$5:$C$504,A6,請求台帳!$Q$5:$Q$504,"&lt;&gt;取消"))</f>
        <v>165000</v>
      </c>
      <c r="E6" s="27" t="n">
        <f aca="false">IF(A6="","",D6-SUM(F6:H6))</f>
        <v>0</v>
      </c>
      <c r="F6" s="27" t="n">
        <f aca="false">IF(A6="","",SUMIFS(請求台帳!$P$5:$P$504,請求台帳!$C$5:$C$504,A6,請求台帳!$S$5:$S$504,"&gt;=1",請求台帳!$S$5:$S$504,"&lt;=30"))</f>
        <v>0</v>
      </c>
      <c r="G6" s="27" t="n">
        <f aca="false">IF(A6="","",SUMIFS(請求台帳!$P$5:$P$504,請求台帳!$C$5:$C$504,A6,請求台帳!$S$5:$S$504,"&gt;=31",請求台帳!$S$5:$S$504,"&lt;=60"))</f>
        <v>165000</v>
      </c>
      <c r="H6" s="27" t="n">
        <f aca="false">IF(A6="","",SUMIFS(請求台帳!$P$5:$P$504,請求台帳!$C$5:$C$504,A6,請求台帳!$S$5:$S$504,"&gt;=61"))</f>
        <v>0</v>
      </c>
      <c r="I6" s="33" t="n">
        <f aca="false">IF(A6="","",COUNTIFS(請求台帳!$C$5:$C$504,A6,請求台帳!$B$5:$B$504,"&gt;="&amp;チェック!$C$4,請求台帳!$B$5:$B$504,"&lt;="&amp;EOMONTH(チェック!$C$4,0),請求台帳!$Q$5:$Q$504,"&lt;&gt;取消"))</f>
        <v>0</v>
      </c>
      <c r="J6" s="28" t="str">
        <f aca="false">IF(A6="","",IF(AND(取引先マスタ!G6="有",I6=0),"請求漏れ候補",""))</f>
        <v/>
      </c>
    </row>
    <row r="7" customFormat="false" ht="15" hidden="false" customHeight="false" outlineLevel="0" collapsed="false">
      <c r="A7" s="31" t="str">
        <f aca="false">IF(取引先マスタ!A7="","",取引先マスタ!A7)</f>
        <v>C003</v>
      </c>
      <c r="B7" s="31" t="str">
        <f aca="false">IF(A7="","",取引先マスタ!B7)</f>
        <v>合同会社デモ</v>
      </c>
      <c r="C7" s="31" t="str">
        <f aca="false">IF(A7="","",取引先マスタ!J7&amp;"")</f>
        <v>山田</v>
      </c>
      <c r="D7" s="27" t="n">
        <f aca="false">IF(A7="","",SUMIFS(請求台帳!$P$5:$P$504,請求台帳!$C$5:$C$504,A7,請求台帳!$Q$5:$Q$504,"&lt;&gt;取消"))</f>
        <v>74300</v>
      </c>
      <c r="E7" s="27" t="n">
        <f aca="false">IF(A7="","",D7-SUM(F7:H7))</f>
        <v>74300</v>
      </c>
      <c r="F7" s="27" t="n">
        <f aca="false">IF(A7="","",SUMIFS(請求台帳!$P$5:$P$504,請求台帳!$C$5:$C$504,A7,請求台帳!$S$5:$S$504,"&gt;=1",請求台帳!$S$5:$S$504,"&lt;=30"))</f>
        <v>0</v>
      </c>
      <c r="G7" s="27" t="n">
        <f aca="false">IF(A7="","",SUMIFS(請求台帳!$P$5:$P$504,請求台帳!$C$5:$C$504,A7,請求台帳!$S$5:$S$504,"&gt;=31",請求台帳!$S$5:$S$504,"&lt;=60"))</f>
        <v>0</v>
      </c>
      <c r="H7" s="27" t="n">
        <f aca="false">IF(A7="","",SUMIFS(請求台帳!$P$5:$P$504,請求台帳!$C$5:$C$504,A7,請求台帳!$S$5:$S$504,"&gt;=61"))</f>
        <v>0</v>
      </c>
      <c r="I7" s="33" t="n">
        <f aca="false">IF(A7="","",COUNTIFS(請求台帳!$C$5:$C$504,A7,請求台帳!$B$5:$B$504,"&gt;="&amp;チェック!$C$4,請求台帳!$B$5:$B$504,"&lt;="&amp;EOMONTH(チェック!$C$4,0),請求台帳!$Q$5:$Q$504,"&lt;&gt;取消"))</f>
        <v>1</v>
      </c>
      <c r="J7" s="28" t="str">
        <f aca="false">IF(A7="","",IF(AND(取引先マスタ!G7="有",I7=0),"請求漏れ候補",""))</f>
        <v/>
      </c>
    </row>
    <row r="8" customFormat="false" ht="15" hidden="false" customHeight="false" outlineLevel="0" collapsed="false">
      <c r="A8" s="31" t="str">
        <f aca="false">IF(取引先マスタ!A8="","",取引先マスタ!A8)</f>
        <v/>
      </c>
      <c r="B8" s="31" t="str">
        <f aca="false">IF(A8="","",取引先マスタ!B8)</f>
        <v/>
      </c>
      <c r="C8" s="31" t="str">
        <f aca="false">IF(A8="","",取引先マスタ!J8&amp;"")</f>
        <v/>
      </c>
      <c r="D8" s="27" t="str">
        <f aca="false">IF(A8="","",SUMIFS(請求台帳!$P$5:$P$504,請求台帳!$C$5:$C$504,A8,請求台帳!$Q$5:$Q$504,"&lt;&gt;取消"))</f>
        <v/>
      </c>
      <c r="E8" s="27" t="str">
        <f aca="false">IF(A8="","",D8-SUM(F8:H8))</f>
        <v/>
      </c>
      <c r="F8" s="27" t="str">
        <f aca="false">IF(A8="","",SUMIFS(請求台帳!$P$5:$P$504,請求台帳!$C$5:$C$504,A8,請求台帳!$S$5:$S$504,"&gt;=1",請求台帳!$S$5:$S$504,"&lt;=30"))</f>
        <v/>
      </c>
      <c r="G8" s="27" t="str">
        <f aca="false">IF(A8="","",SUMIFS(請求台帳!$P$5:$P$504,請求台帳!$C$5:$C$504,A8,請求台帳!$S$5:$S$504,"&gt;=31",請求台帳!$S$5:$S$504,"&lt;=60"))</f>
        <v/>
      </c>
      <c r="H8" s="27" t="str">
        <f aca="false">IF(A8="","",SUMIFS(請求台帳!$P$5:$P$504,請求台帳!$C$5:$C$504,A8,請求台帳!$S$5:$S$504,"&gt;=61"))</f>
        <v/>
      </c>
      <c r="I8" s="33" t="str">
        <f aca="false">IF(A8="","",COUNTIFS(請求台帳!$C$5:$C$504,A8,請求台帳!$B$5:$B$504,"&gt;="&amp;チェック!$C$4,請求台帳!$B$5:$B$504,"&lt;="&amp;EOMONTH(チェック!$C$4,0),請求台帳!$Q$5:$Q$504,"&lt;&gt;取消"))</f>
        <v/>
      </c>
      <c r="J8" s="28" t="str">
        <f aca="false">IF(A8="","",IF(AND(取引先マスタ!G8="有",I8=0),"請求漏れ候補",""))</f>
        <v/>
      </c>
    </row>
    <row r="9" customFormat="false" ht="15" hidden="false" customHeight="false" outlineLevel="0" collapsed="false">
      <c r="A9" s="31" t="str">
        <f aca="false">IF(取引先マスタ!A9="","",取引先マスタ!A9)</f>
        <v/>
      </c>
      <c r="B9" s="31" t="str">
        <f aca="false">IF(A9="","",取引先マスタ!B9)</f>
        <v/>
      </c>
      <c r="C9" s="31" t="str">
        <f aca="false">IF(A9="","",取引先マスタ!J9&amp;"")</f>
        <v/>
      </c>
      <c r="D9" s="27" t="str">
        <f aca="false">IF(A9="","",SUMIFS(請求台帳!$P$5:$P$504,請求台帳!$C$5:$C$504,A9,請求台帳!$Q$5:$Q$504,"&lt;&gt;取消"))</f>
        <v/>
      </c>
      <c r="E9" s="27" t="str">
        <f aca="false">IF(A9="","",D9-SUM(F9:H9))</f>
        <v/>
      </c>
      <c r="F9" s="27" t="str">
        <f aca="false">IF(A9="","",SUMIFS(請求台帳!$P$5:$P$504,請求台帳!$C$5:$C$504,A9,請求台帳!$S$5:$S$504,"&gt;=1",請求台帳!$S$5:$S$504,"&lt;=30"))</f>
        <v/>
      </c>
      <c r="G9" s="27" t="str">
        <f aca="false">IF(A9="","",SUMIFS(請求台帳!$P$5:$P$504,請求台帳!$C$5:$C$504,A9,請求台帳!$S$5:$S$504,"&gt;=31",請求台帳!$S$5:$S$504,"&lt;=60"))</f>
        <v/>
      </c>
      <c r="H9" s="27" t="str">
        <f aca="false">IF(A9="","",SUMIFS(請求台帳!$P$5:$P$504,請求台帳!$C$5:$C$504,A9,請求台帳!$S$5:$S$504,"&gt;=61"))</f>
        <v/>
      </c>
      <c r="I9" s="33" t="str">
        <f aca="false">IF(A9="","",COUNTIFS(請求台帳!$C$5:$C$504,A9,請求台帳!$B$5:$B$504,"&gt;="&amp;チェック!$C$4,請求台帳!$B$5:$B$504,"&lt;="&amp;EOMONTH(チェック!$C$4,0),請求台帳!$Q$5:$Q$504,"&lt;&gt;取消"))</f>
        <v/>
      </c>
      <c r="J9" s="28" t="str">
        <f aca="false">IF(A9="","",IF(AND(取引先マスタ!G9="有",I9=0),"請求漏れ候補",""))</f>
        <v/>
      </c>
    </row>
    <row r="10" customFormat="false" ht="15" hidden="false" customHeight="false" outlineLevel="0" collapsed="false">
      <c r="A10" s="31" t="str">
        <f aca="false">IF(取引先マスタ!A10="","",取引先マスタ!A10)</f>
        <v/>
      </c>
      <c r="B10" s="31" t="str">
        <f aca="false">IF(A10="","",取引先マスタ!B10)</f>
        <v/>
      </c>
      <c r="C10" s="31" t="str">
        <f aca="false">IF(A10="","",取引先マスタ!J10&amp;"")</f>
        <v/>
      </c>
      <c r="D10" s="27" t="str">
        <f aca="false">IF(A10="","",SUMIFS(請求台帳!$P$5:$P$504,請求台帳!$C$5:$C$504,A10,請求台帳!$Q$5:$Q$504,"&lt;&gt;取消"))</f>
        <v/>
      </c>
      <c r="E10" s="27" t="str">
        <f aca="false">IF(A10="","",D10-SUM(F10:H10))</f>
        <v/>
      </c>
      <c r="F10" s="27" t="str">
        <f aca="false">IF(A10="","",SUMIFS(請求台帳!$P$5:$P$504,請求台帳!$C$5:$C$504,A10,請求台帳!$S$5:$S$504,"&gt;=1",請求台帳!$S$5:$S$504,"&lt;=30"))</f>
        <v/>
      </c>
      <c r="G10" s="27" t="str">
        <f aca="false">IF(A10="","",SUMIFS(請求台帳!$P$5:$P$504,請求台帳!$C$5:$C$504,A10,請求台帳!$S$5:$S$504,"&gt;=31",請求台帳!$S$5:$S$504,"&lt;=60"))</f>
        <v/>
      </c>
      <c r="H10" s="27" t="str">
        <f aca="false">IF(A10="","",SUMIFS(請求台帳!$P$5:$P$504,請求台帳!$C$5:$C$504,A10,請求台帳!$S$5:$S$504,"&gt;=61"))</f>
        <v/>
      </c>
      <c r="I10" s="33" t="str">
        <f aca="false">IF(A10="","",COUNTIFS(請求台帳!$C$5:$C$504,A10,請求台帳!$B$5:$B$504,"&gt;="&amp;チェック!$C$4,請求台帳!$B$5:$B$504,"&lt;="&amp;EOMONTH(チェック!$C$4,0),請求台帳!$Q$5:$Q$504,"&lt;&gt;取消"))</f>
        <v/>
      </c>
      <c r="J10" s="28" t="str">
        <f aca="false">IF(A10="","",IF(AND(取引先マスタ!G10="有",I10=0),"請求漏れ候補",""))</f>
        <v/>
      </c>
    </row>
    <row r="11" customFormat="false" ht="15" hidden="false" customHeight="false" outlineLevel="0" collapsed="false">
      <c r="A11" s="31" t="str">
        <f aca="false">IF(取引先マスタ!A11="","",取引先マスタ!A11)</f>
        <v/>
      </c>
      <c r="B11" s="31" t="str">
        <f aca="false">IF(A11="","",取引先マスタ!B11)</f>
        <v/>
      </c>
      <c r="C11" s="31" t="str">
        <f aca="false">IF(A11="","",取引先マスタ!J11&amp;"")</f>
        <v/>
      </c>
      <c r="D11" s="27" t="str">
        <f aca="false">IF(A11="","",SUMIFS(請求台帳!$P$5:$P$504,請求台帳!$C$5:$C$504,A11,請求台帳!$Q$5:$Q$504,"&lt;&gt;取消"))</f>
        <v/>
      </c>
      <c r="E11" s="27" t="str">
        <f aca="false">IF(A11="","",D11-SUM(F11:H11))</f>
        <v/>
      </c>
      <c r="F11" s="27" t="str">
        <f aca="false">IF(A11="","",SUMIFS(請求台帳!$P$5:$P$504,請求台帳!$C$5:$C$504,A11,請求台帳!$S$5:$S$504,"&gt;=1",請求台帳!$S$5:$S$504,"&lt;=30"))</f>
        <v/>
      </c>
      <c r="G11" s="27" t="str">
        <f aca="false">IF(A11="","",SUMIFS(請求台帳!$P$5:$P$504,請求台帳!$C$5:$C$504,A11,請求台帳!$S$5:$S$504,"&gt;=31",請求台帳!$S$5:$S$504,"&lt;=60"))</f>
        <v/>
      </c>
      <c r="H11" s="27" t="str">
        <f aca="false">IF(A11="","",SUMIFS(請求台帳!$P$5:$P$504,請求台帳!$C$5:$C$504,A11,請求台帳!$S$5:$S$504,"&gt;=61"))</f>
        <v/>
      </c>
      <c r="I11" s="33" t="str">
        <f aca="false">IF(A11="","",COUNTIFS(請求台帳!$C$5:$C$504,A11,請求台帳!$B$5:$B$504,"&gt;="&amp;チェック!$C$4,請求台帳!$B$5:$B$504,"&lt;="&amp;EOMONTH(チェック!$C$4,0),請求台帳!$Q$5:$Q$504,"&lt;&gt;取消"))</f>
        <v/>
      </c>
      <c r="J11" s="28" t="str">
        <f aca="false">IF(A11="","",IF(AND(取引先マスタ!G11="有",I11=0),"請求漏れ候補",""))</f>
        <v/>
      </c>
    </row>
    <row r="12" customFormat="false" ht="15" hidden="false" customHeight="false" outlineLevel="0" collapsed="false">
      <c r="A12" s="31" t="str">
        <f aca="false">IF(取引先マスタ!A12="","",取引先マスタ!A12)</f>
        <v/>
      </c>
      <c r="B12" s="31" t="str">
        <f aca="false">IF(A12="","",取引先マスタ!B12)</f>
        <v/>
      </c>
      <c r="C12" s="31" t="str">
        <f aca="false">IF(A12="","",取引先マスタ!J12&amp;"")</f>
        <v/>
      </c>
      <c r="D12" s="27" t="str">
        <f aca="false">IF(A12="","",SUMIFS(請求台帳!$P$5:$P$504,請求台帳!$C$5:$C$504,A12,請求台帳!$Q$5:$Q$504,"&lt;&gt;取消"))</f>
        <v/>
      </c>
      <c r="E12" s="27" t="str">
        <f aca="false">IF(A12="","",D12-SUM(F12:H12))</f>
        <v/>
      </c>
      <c r="F12" s="27" t="str">
        <f aca="false">IF(A12="","",SUMIFS(請求台帳!$P$5:$P$504,請求台帳!$C$5:$C$504,A12,請求台帳!$S$5:$S$504,"&gt;=1",請求台帳!$S$5:$S$504,"&lt;=30"))</f>
        <v/>
      </c>
      <c r="G12" s="27" t="str">
        <f aca="false">IF(A12="","",SUMIFS(請求台帳!$P$5:$P$504,請求台帳!$C$5:$C$504,A12,請求台帳!$S$5:$S$504,"&gt;=31",請求台帳!$S$5:$S$504,"&lt;=60"))</f>
        <v/>
      </c>
      <c r="H12" s="27" t="str">
        <f aca="false">IF(A12="","",SUMIFS(請求台帳!$P$5:$P$504,請求台帳!$C$5:$C$504,A12,請求台帳!$S$5:$S$504,"&gt;=61"))</f>
        <v/>
      </c>
      <c r="I12" s="33" t="str">
        <f aca="false">IF(A12="","",COUNTIFS(請求台帳!$C$5:$C$504,A12,請求台帳!$B$5:$B$504,"&gt;="&amp;チェック!$C$4,請求台帳!$B$5:$B$504,"&lt;="&amp;EOMONTH(チェック!$C$4,0),請求台帳!$Q$5:$Q$504,"&lt;&gt;取消"))</f>
        <v/>
      </c>
      <c r="J12" s="28" t="str">
        <f aca="false">IF(A12="","",IF(AND(取引先マスタ!G12="有",I12=0),"請求漏れ候補",""))</f>
        <v/>
      </c>
    </row>
    <row r="13" customFormat="false" ht="15" hidden="false" customHeight="false" outlineLevel="0" collapsed="false">
      <c r="A13" s="31" t="str">
        <f aca="false">IF(取引先マスタ!A13="","",取引先マスタ!A13)</f>
        <v/>
      </c>
      <c r="B13" s="31" t="str">
        <f aca="false">IF(A13="","",取引先マスタ!B13)</f>
        <v/>
      </c>
      <c r="C13" s="31" t="str">
        <f aca="false">IF(A13="","",取引先マスタ!J13&amp;"")</f>
        <v/>
      </c>
      <c r="D13" s="27" t="str">
        <f aca="false">IF(A13="","",SUMIFS(請求台帳!$P$5:$P$504,請求台帳!$C$5:$C$504,A13,請求台帳!$Q$5:$Q$504,"&lt;&gt;取消"))</f>
        <v/>
      </c>
      <c r="E13" s="27" t="str">
        <f aca="false">IF(A13="","",D13-SUM(F13:H13))</f>
        <v/>
      </c>
      <c r="F13" s="27" t="str">
        <f aca="false">IF(A13="","",SUMIFS(請求台帳!$P$5:$P$504,請求台帳!$C$5:$C$504,A13,請求台帳!$S$5:$S$504,"&gt;=1",請求台帳!$S$5:$S$504,"&lt;=30"))</f>
        <v/>
      </c>
      <c r="G13" s="27" t="str">
        <f aca="false">IF(A13="","",SUMIFS(請求台帳!$P$5:$P$504,請求台帳!$C$5:$C$504,A13,請求台帳!$S$5:$S$504,"&gt;=31",請求台帳!$S$5:$S$504,"&lt;=60"))</f>
        <v/>
      </c>
      <c r="H13" s="27" t="str">
        <f aca="false">IF(A13="","",SUMIFS(請求台帳!$P$5:$P$504,請求台帳!$C$5:$C$504,A13,請求台帳!$S$5:$S$504,"&gt;=61"))</f>
        <v/>
      </c>
      <c r="I13" s="33" t="str">
        <f aca="false">IF(A13="","",COUNTIFS(請求台帳!$C$5:$C$504,A13,請求台帳!$B$5:$B$504,"&gt;="&amp;チェック!$C$4,請求台帳!$B$5:$B$504,"&lt;="&amp;EOMONTH(チェック!$C$4,0),請求台帳!$Q$5:$Q$504,"&lt;&gt;取消"))</f>
        <v/>
      </c>
      <c r="J13" s="28" t="str">
        <f aca="false">IF(A13="","",IF(AND(取引先マスタ!G13="有",I13=0),"請求漏れ候補",""))</f>
        <v/>
      </c>
    </row>
    <row r="14" customFormat="false" ht="15" hidden="false" customHeight="false" outlineLevel="0" collapsed="false">
      <c r="A14" s="31" t="str">
        <f aca="false">IF(取引先マスタ!A14="","",取引先マスタ!A14)</f>
        <v/>
      </c>
      <c r="B14" s="31" t="str">
        <f aca="false">IF(A14="","",取引先マスタ!B14)</f>
        <v/>
      </c>
      <c r="C14" s="31" t="str">
        <f aca="false">IF(A14="","",取引先マスタ!J14&amp;"")</f>
        <v/>
      </c>
      <c r="D14" s="27" t="str">
        <f aca="false">IF(A14="","",SUMIFS(請求台帳!$P$5:$P$504,請求台帳!$C$5:$C$504,A14,請求台帳!$Q$5:$Q$504,"&lt;&gt;取消"))</f>
        <v/>
      </c>
      <c r="E14" s="27" t="str">
        <f aca="false">IF(A14="","",D14-SUM(F14:H14))</f>
        <v/>
      </c>
      <c r="F14" s="27" t="str">
        <f aca="false">IF(A14="","",SUMIFS(請求台帳!$P$5:$P$504,請求台帳!$C$5:$C$504,A14,請求台帳!$S$5:$S$504,"&gt;=1",請求台帳!$S$5:$S$504,"&lt;=30"))</f>
        <v/>
      </c>
      <c r="G14" s="27" t="str">
        <f aca="false">IF(A14="","",SUMIFS(請求台帳!$P$5:$P$504,請求台帳!$C$5:$C$504,A14,請求台帳!$S$5:$S$504,"&gt;=31",請求台帳!$S$5:$S$504,"&lt;=60"))</f>
        <v/>
      </c>
      <c r="H14" s="27" t="str">
        <f aca="false">IF(A14="","",SUMIFS(請求台帳!$P$5:$P$504,請求台帳!$C$5:$C$504,A14,請求台帳!$S$5:$S$504,"&gt;=61"))</f>
        <v/>
      </c>
      <c r="I14" s="33" t="str">
        <f aca="false">IF(A14="","",COUNTIFS(請求台帳!$C$5:$C$504,A14,請求台帳!$B$5:$B$504,"&gt;="&amp;チェック!$C$4,請求台帳!$B$5:$B$504,"&lt;="&amp;EOMONTH(チェック!$C$4,0),請求台帳!$Q$5:$Q$504,"&lt;&gt;取消"))</f>
        <v/>
      </c>
      <c r="J14" s="28" t="str">
        <f aca="false">IF(A14="","",IF(AND(取引先マスタ!G14="有",I14=0),"請求漏れ候補",""))</f>
        <v/>
      </c>
    </row>
    <row r="15" customFormat="false" ht="15" hidden="false" customHeight="false" outlineLevel="0" collapsed="false">
      <c r="A15" s="31" t="str">
        <f aca="false">IF(取引先マスタ!A15="","",取引先マスタ!A15)</f>
        <v/>
      </c>
      <c r="B15" s="31" t="str">
        <f aca="false">IF(A15="","",取引先マスタ!B15)</f>
        <v/>
      </c>
      <c r="C15" s="31" t="str">
        <f aca="false">IF(A15="","",取引先マスタ!J15&amp;"")</f>
        <v/>
      </c>
      <c r="D15" s="27" t="str">
        <f aca="false">IF(A15="","",SUMIFS(請求台帳!$P$5:$P$504,請求台帳!$C$5:$C$504,A15,請求台帳!$Q$5:$Q$504,"&lt;&gt;取消"))</f>
        <v/>
      </c>
      <c r="E15" s="27" t="str">
        <f aca="false">IF(A15="","",D15-SUM(F15:H15))</f>
        <v/>
      </c>
      <c r="F15" s="27" t="str">
        <f aca="false">IF(A15="","",SUMIFS(請求台帳!$P$5:$P$504,請求台帳!$C$5:$C$504,A15,請求台帳!$S$5:$S$504,"&gt;=1",請求台帳!$S$5:$S$504,"&lt;=30"))</f>
        <v/>
      </c>
      <c r="G15" s="27" t="str">
        <f aca="false">IF(A15="","",SUMIFS(請求台帳!$P$5:$P$504,請求台帳!$C$5:$C$504,A15,請求台帳!$S$5:$S$504,"&gt;=31",請求台帳!$S$5:$S$504,"&lt;=60"))</f>
        <v/>
      </c>
      <c r="H15" s="27" t="str">
        <f aca="false">IF(A15="","",SUMIFS(請求台帳!$P$5:$P$504,請求台帳!$C$5:$C$504,A15,請求台帳!$S$5:$S$504,"&gt;=61"))</f>
        <v/>
      </c>
      <c r="I15" s="33" t="str">
        <f aca="false">IF(A15="","",COUNTIFS(請求台帳!$C$5:$C$504,A15,請求台帳!$B$5:$B$504,"&gt;="&amp;チェック!$C$4,請求台帳!$B$5:$B$504,"&lt;="&amp;EOMONTH(チェック!$C$4,0),請求台帳!$Q$5:$Q$504,"&lt;&gt;取消"))</f>
        <v/>
      </c>
      <c r="J15" s="28" t="str">
        <f aca="false">IF(A15="","",IF(AND(取引先マスタ!G15="有",I15=0),"請求漏れ候補",""))</f>
        <v/>
      </c>
    </row>
    <row r="16" customFormat="false" ht="15" hidden="false" customHeight="false" outlineLevel="0" collapsed="false">
      <c r="A16" s="31" t="str">
        <f aca="false">IF(取引先マスタ!A16="","",取引先マスタ!A16)</f>
        <v/>
      </c>
      <c r="B16" s="31" t="str">
        <f aca="false">IF(A16="","",取引先マスタ!B16)</f>
        <v/>
      </c>
      <c r="C16" s="31" t="str">
        <f aca="false">IF(A16="","",取引先マスタ!J16&amp;"")</f>
        <v/>
      </c>
      <c r="D16" s="27" t="str">
        <f aca="false">IF(A16="","",SUMIFS(請求台帳!$P$5:$P$504,請求台帳!$C$5:$C$504,A16,請求台帳!$Q$5:$Q$504,"&lt;&gt;取消"))</f>
        <v/>
      </c>
      <c r="E16" s="27" t="str">
        <f aca="false">IF(A16="","",D16-SUM(F16:H16))</f>
        <v/>
      </c>
      <c r="F16" s="27" t="str">
        <f aca="false">IF(A16="","",SUMIFS(請求台帳!$P$5:$P$504,請求台帳!$C$5:$C$504,A16,請求台帳!$S$5:$S$504,"&gt;=1",請求台帳!$S$5:$S$504,"&lt;=30"))</f>
        <v/>
      </c>
      <c r="G16" s="27" t="str">
        <f aca="false">IF(A16="","",SUMIFS(請求台帳!$P$5:$P$504,請求台帳!$C$5:$C$504,A16,請求台帳!$S$5:$S$504,"&gt;=31",請求台帳!$S$5:$S$504,"&lt;=60"))</f>
        <v/>
      </c>
      <c r="H16" s="27" t="str">
        <f aca="false">IF(A16="","",SUMIFS(請求台帳!$P$5:$P$504,請求台帳!$C$5:$C$504,A16,請求台帳!$S$5:$S$504,"&gt;=61"))</f>
        <v/>
      </c>
      <c r="I16" s="33" t="str">
        <f aca="false">IF(A16="","",COUNTIFS(請求台帳!$C$5:$C$504,A16,請求台帳!$B$5:$B$504,"&gt;="&amp;チェック!$C$4,請求台帳!$B$5:$B$504,"&lt;="&amp;EOMONTH(チェック!$C$4,0),請求台帳!$Q$5:$Q$504,"&lt;&gt;取消"))</f>
        <v/>
      </c>
      <c r="J16" s="28" t="str">
        <f aca="false">IF(A16="","",IF(AND(取引先マスタ!G16="有",I16=0),"請求漏れ候補",""))</f>
        <v/>
      </c>
    </row>
    <row r="17" customFormat="false" ht="15" hidden="false" customHeight="false" outlineLevel="0" collapsed="false">
      <c r="A17" s="31" t="str">
        <f aca="false">IF(取引先マスタ!A17="","",取引先マスタ!A17)</f>
        <v/>
      </c>
      <c r="B17" s="31" t="str">
        <f aca="false">IF(A17="","",取引先マスタ!B17)</f>
        <v/>
      </c>
      <c r="C17" s="31" t="str">
        <f aca="false">IF(A17="","",取引先マスタ!J17&amp;"")</f>
        <v/>
      </c>
      <c r="D17" s="27" t="str">
        <f aca="false">IF(A17="","",SUMIFS(請求台帳!$P$5:$P$504,請求台帳!$C$5:$C$504,A17,請求台帳!$Q$5:$Q$504,"&lt;&gt;取消"))</f>
        <v/>
      </c>
      <c r="E17" s="27" t="str">
        <f aca="false">IF(A17="","",D17-SUM(F17:H17))</f>
        <v/>
      </c>
      <c r="F17" s="27" t="str">
        <f aca="false">IF(A17="","",SUMIFS(請求台帳!$P$5:$P$504,請求台帳!$C$5:$C$504,A17,請求台帳!$S$5:$S$504,"&gt;=1",請求台帳!$S$5:$S$504,"&lt;=30"))</f>
        <v/>
      </c>
      <c r="G17" s="27" t="str">
        <f aca="false">IF(A17="","",SUMIFS(請求台帳!$P$5:$P$504,請求台帳!$C$5:$C$504,A17,請求台帳!$S$5:$S$504,"&gt;=31",請求台帳!$S$5:$S$504,"&lt;=60"))</f>
        <v/>
      </c>
      <c r="H17" s="27" t="str">
        <f aca="false">IF(A17="","",SUMIFS(請求台帳!$P$5:$P$504,請求台帳!$C$5:$C$504,A17,請求台帳!$S$5:$S$504,"&gt;=61"))</f>
        <v/>
      </c>
      <c r="I17" s="33" t="str">
        <f aca="false">IF(A17="","",COUNTIFS(請求台帳!$C$5:$C$504,A17,請求台帳!$B$5:$B$504,"&gt;="&amp;チェック!$C$4,請求台帳!$B$5:$B$504,"&lt;="&amp;EOMONTH(チェック!$C$4,0),請求台帳!$Q$5:$Q$504,"&lt;&gt;取消"))</f>
        <v/>
      </c>
      <c r="J17" s="28" t="str">
        <f aca="false">IF(A17="","",IF(AND(取引先マスタ!G17="有",I17=0),"請求漏れ候補",""))</f>
        <v/>
      </c>
    </row>
    <row r="18" customFormat="false" ht="15" hidden="false" customHeight="false" outlineLevel="0" collapsed="false">
      <c r="A18" s="31" t="str">
        <f aca="false">IF(取引先マスタ!A18="","",取引先マスタ!A18)</f>
        <v/>
      </c>
      <c r="B18" s="31" t="str">
        <f aca="false">IF(A18="","",取引先マスタ!B18)</f>
        <v/>
      </c>
      <c r="C18" s="31" t="str">
        <f aca="false">IF(A18="","",取引先マスタ!J18&amp;"")</f>
        <v/>
      </c>
      <c r="D18" s="27" t="str">
        <f aca="false">IF(A18="","",SUMIFS(請求台帳!$P$5:$P$504,請求台帳!$C$5:$C$504,A18,請求台帳!$Q$5:$Q$504,"&lt;&gt;取消"))</f>
        <v/>
      </c>
      <c r="E18" s="27" t="str">
        <f aca="false">IF(A18="","",D18-SUM(F18:H18))</f>
        <v/>
      </c>
      <c r="F18" s="27" t="str">
        <f aca="false">IF(A18="","",SUMIFS(請求台帳!$P$5:$P$504,請求台帳!$C$5:$C$504,A18,請求台帳!$S$5:$S$504,"&gt;=1",請求台帳!$S$5:$S$504,"&lt;=30"))</f>
        <v/>
      </c>
      <c r="G18" s="27" t="str">
        <f aca="false">IF(A18="","",SUMIFS(請求台帳!$P$5:$P$504,請求台帳!$C$5:$C$504,A18,請求台帳!$S$5:$S$504,"&gt;=31",請求台帳!$S$5:$S$504,"&lt;=60"))</f>
        <v/>
      </c>
      <c r="H18" s="27" t="str">
        <f aca="false">IF(A18="","",SUMIFS(請求台帳!$P$5:$P$504,請求台帳!$C$5:$C$504,A18,請求台帳!$S$5:$S$504,"&gt;=61"))</f>
        <v/>
      </c>
      <c r="I18" s="33" t="str">
        <f aca="false">IF(A18="","",COUNTIFS(請求台帳!$C$5:$C$504,A18,請求台帳!$B$5:$B$504,"&gt;="&amp;チェック!$C$4,請求台帳!$B$5:$B$504,"&lt;="&amp;EOMONTH(チェック!$C$4,0),請求台帳!$Q$5:$Q$504,"&lt;&gt;取消"))</f>
        <v/>
      </c>
      <c r="J18" s="28" t="str">
        <f aca="false">IF(A18="","",IF(AND(取引先マスタ!G18="有",I18=0),"請求漏れ候補",""))</f>
        <v/>
      </c>
    </row>
    <row r="19" customFormat="false" ht="15" hidden="false" customHeight="false" outlineLevel="0" collapsed="false">
      <c r="A19" s="31" t="str">
        <f aca="false">IF(取引先マスタ!A19="","",取引先マスタ!A19)</f>
        <v/>
      </c>
      <c r="B19" s="31" t="str">
        <f aca="false">IF(A19="","",取引先マスタ!B19)</f>
        <v/>
      </c>
      <c r="C19" s="31" t="str">
        <f aca="false">IF(A19="","",取引先マスタ!J19&amp;"")</f>
        <v/>
      </c>
      <c r="D19" s="27" t="str">
        <f aca="false">IF(A19="","",SUMIFS(請求台帳!$P$5:$P$504,請求台帳!$C$5:$C$504,A19,請求台帳!$Q$5:$Q$504,"&lt;&gt;取消"))</f>
        <v/>
      </c>
      <c r="E19" s="27" t="str">
        <f aca="false">IF(A19="","",D19-SUM(F19:H19))</f>
        <v/>
      </c>
      <c r="F19" s="27" t="str">
        <f aca="false">IF(A19="","",SUMIFS(請求台帳!$P$5:$P$504,請求台帳!$C$5:$C$504,A19,請求台帳!$S$5:$S$504,"&gt;=1",請求台帳!$S$5:$S$504,"&lt;=30"))</f>
        <v/>
      </c>
      <c r="G19" s="27" t="str">
        <f aca="false">IF(A19="","",SUMIFS(請求台帳!$P$5:$P$504,請求台帳!$C$5:$C$504,A19,請求台帳!$S$5:$S$504,"&gt;=31",請求台帳!$S$5:$S$504,"&lt;=60"))</f>
        <v/>
      </c>
      <c r="H19" s="27" t="str">
        <f aca="false">IF(A19="","",SUMIFS(請求台帳!$P$5:$P$504,請求台帳!$C$5:$C$504,A19,請求台帳!$S$5:$S$504,"&gt;=61"))</f>
        <v/>
      </c>
      <c r="I19" s="33" t="str">
        <f aca="false">IF(A19="","",COUNTIFS(請求台帳!$C$5:$C$504,A19,請求台帳!$B$5:$B$504,"&gt;="&amp;チェック!$C$4,請求台帳!$B$5:$B$504,"&lt;="&amp;EOMONTH(チェック!$C$4,0),請求台帳!$Q$5:$Q$504,"&lt;&gt;取消"))</f>
        <v/>
      </c>
      <c r="J19" s="28" t="str">
        <f aca="false">IF(A19="","",IF(AND(取引先マスタ!G19="有",I19=0),"請求漏れ候補",""))</f>
        <v/>
      </c>
    </row>
    <row r="20" customFormat="false" ht="15" hidden="false" customHeight="false" outlineLevel="0" collapsed="false">
      <c r="A20" s="31" t="str">
        <f aca="false">IF(取引先マスタ!A20="","",取引先マスタ!A20)</f>
        <v/>
      </c>
      <c r="B20" s="31" t="str">
        <f aca="false">IF(A20="","",取引先マスタ!B20)</f>
        <v/>
      </c>
      <c r="C20" s="31" t="str">
        <f aca="false">IF(A20="","",取引先マスタ!J20&amp;"")</f>
        <v/>
      </c>
      <c r="D20" s="27" t="str">
        <f aca="false">IF(A20="","",SUMIFS(請求台帳!$P$5:$P$504,請求台帳!$C$5:$C$504,A20,請求台帳!$Q$5:$Q$504,"&lt;&gt;取消"))</f>
        <v/>
      </c>
      <c r="E20" s="27" t="str">
        <f aca="false">IF(A20="","",D20-SUM(F20:H20))</f>
        <v/>
      </c>
      <c r="F20" s="27" t="str">
        <f aca="false">IF(A20="","",SUMIFS(請求台帳!$P$5:$P$504,請求台帳!$C$5:$C$504,A20,請求台帳!$S$5:$S$504,"&gt;=1",請求台帳!$S$5:$S$504,"&lt;=30"))</f>
        <v/>
      </c>
      <c r="G20" s="27" t="str">
        <f aca="false">IF(A20="","",SUMIFS(請求台帳!$P$5:$P$504,請求台帳!$C$5:$C$504,A20,請求台帳!$S$5:$S$504,"&gt;=31",請求台帳!$S$5:$S$504,"&lt;=60"))</f>
        <v/>
      </c>
      <c r="H20" s="27" t="str">
        <f aca="false">IF(A20="","",SUMIFS(請求台帳!$P$5:$P$504,請求台帳!$C$5:$C$504,A20,請求台帳!$S$5:$S$504,"&gt;=61"))</f>
        <v/>
      </c>
      <c r="I20" s="33" t="str">
        <f aca="false">IF(A20="","",COUNTIFS(請求台帳!$C$5:$C$504,A20,請求台帳!$B$5:$B$504,"&gt;="&amp;チェック!$C$4,請求台帳!$B$5:$B$504,"&lt;="&amp;EOMONTH(チェック!$C$4,0),請求台帳!$Q$5:$Q$504,"&lt;&gt;取消"))</f>
        <v/>
      </c>
      <c r="J20" s="28" t="str">
        <f aca="false">IF(A20="","",IF(AND(取引先マスタ!G20="有",I20=0),"請求漏れ候補",""))</f>
        <v/>
      </c>
    </row>
    <row r="21" customFormat="false" ht="15" hidden="false" customHeight="false" outlineLevel="0" collapsed="false">
      <c r="A21" s="31" t="str">
        <f aca="false">IF(取引先マスタ!A21="","",取引先マスタ!A21)</f>
        <v/>
      </c>
      <c r="B21" s="31" t="str">
        <f aca="false">IF(A21="","",取引先マスタ!B21)</f>
        <v/>
      </c>
      <c r="C21" s="31" t="str">
        <f aca="false">IF(A21="","",取引先マスタ!J21&amp;"")</f>
        <v/>
      </c>
      <c r="D21" s="27" t="str">
        <f aca="false">IF(A21="","",SUMIFS(請求台帳!$P$5:$P$504,請求台帳!$C$5:$C$504,A21,請求台帳!$Q$5:$Q$504,"&lt;&gt;取消"))</f>
        <v/>
      </c>
      <c r="E21" s="27" t="str">
        <f aca="false">IF(A21="","",D21-SUM(F21:H21))</f>
        <v/>
      </c>
      <c r="F21" s="27" t="str">
        <f aca="false">IF(A21="","",SUMIFS(請求台帳!$P$5:$P$504,請求台帳!$C$5:$C$504,A21,請求台帳!$S$5:$S$504,"&gt;=1",請求台帳!$S$5:$S$504,"&lt;=30"))</f>
        <v/>
      </c>
      <c r="G21" s="27" t="str">
        <f aca="false">IF(A21="","",SUMIFS(請求台帳!$P$5:$P$504,請求台帳!$C$5:$C$504,A21,請求台帳!$S$5:$S$504,"&gt;=31",請求台帳!$S$5:$S$504,"&lt;=60"))</f>
        <v/>
      </c>
      <c r="H21" s="27" t="str">
        <f aca="false">IF(A21="","",SUMIFS(請求台帳!$P$5:$P$504,請求台帳!$C$5:$C$504,A21,請求台帳!$S$5:$S$504,"&gt;=61"))</f>
        <v/>
      </c>
      <c r="I21" s="33" t="str">
        <f aca="false">IF(A21="","",COUNTIFS(請求台帳!$C$5:$C$504,A21,請求台帳!$B$5:$B$504,"&gt;="&amp;チェック!$C$4,請求台帳!$B$5:$B$504,"&lt;="&amp;EOMONTH(チェック!$C$4,0),請求台帳!$Q$5:$Q$504,"&lt;&gt;取消"))</f>
        <v/>
      </c>
      <c r="J21" s="28" t="str">
        <f aca="false">IF(A21="","",IF(AND(取引先マスタ!G21="有",I21=0),"請求漏れ候補",""))</f>
        <v/>
      </c>
    </row>
    <row r="22" customFormat="false" ht="15" hidden="false" customHeight="false" outlineLevel="0" collapsed="false">
      <c r="A22" s="31" t="str">
        <f aca="false">IF(取引先マスタ!A22="","",取引先マスタ!A22)</f>
        <v/>
      </c>
      <c r="B22" s="31" t="str">
        <f aca="false">IF(A22="","",取引先マスタ!B22)</f>
        <v/>
      </c>
      <c r="C22" s="31" t="str">
        <f aca="false">IF(A22="","",取引先マスタ!J22&amp;"")</f>
        <v/>
      </c>
      <c r="D22" s="27" t="str">
        <f aca="false">IF(A22="","",SUMIFS(請求台帳!$P$5:$P$504,請求台帳!$C$5:$C$504,A22,請求台帳!$Q$5:$Q$504,"&lt;&gt;取消"))</f>
        <v/>
      </c>
      <c r="E22" s="27" t="str">
        <f aca="false">IF(A22="","",D22-SUM(F22:H22))</f>
        <v/>
      </c>
      <c r="F22" s="27" t="str">
        <f aca="false">IF(A22="","",SUMIFS(請求台帳!$P$5:$P$504,請求台帳!$C$5:$C$504,A22,請求台帳!$S$5:$S$504,"&gt;=1",請求台帳!$S$5:$S$504,"&lt;=30"))</f>
        <v/>
      </c>
      <c r="G22" s="27" t="str">
        <f aca="false">IF(A22="","",SUMIFS(請求台帳!$P$5:$P$504,請求台帳!$C$5:$C$504,A22,請求台帳!$S$5:$S$504,"&gt;=31",請求台帳!$S$5:$S$504,"&lt;=60"))</f>
        <v/>
      </c>
      <c r="H22" s="27" t="str">
        <f aca="false">IF(A22="","",SUMIFS(請求台帳!$P$5:$P$504,請求台帳!$C$5:$C$504,A22,請求台帳!$S$5:$S$504,"&gt;=61"))</f>
        <v/>
      </c>
      <c r="I22" s="33" t="str">
        <f aca="false">IF(A22="","",COUNTIFS(請求台帳!$C$5:$C$504,A22,請求台帳!$B$5:$B$504,"&gt;="&amp;チェック!$C$4,請求台帳!$B$5:$B$504,"&lt;="&amp;EOMONTH(チェック!$C$4,0),請求台帳!$Q$5:$Q$504,"&lt;&gt;取消"))</f>
        <v/>
      </c>
      <c r="J22" s="28" t="str">
        <f aca="false">IF(A22="","",IF(AND(取引先マスタ!G22="有",I22=0),"請求漏れ候補",""))</f>
        <v/>
      </c>
    </row>
    <row r="23" customFormat="false" ht="15" hidden="false" customHeight="false" outlineLevel="0" collapsed="false">
      <c r="A23" s="31" t="str">
        <f aca="false">IF(取引先マスタ!A23="","",取引先マスタ!A23)</f>
        <v/>
      </c>
      <c r="B23" s="31" t="str">
        <f aca="false">IF(A23="","",取引先マスタ!B23)</f>
        <v/>
      </c>
      <c r="C23" s="31" t="str">
        <f aca="false">IF(A23="","",取引先マスタ!J23&amp;"")</f>
        <v/>
      </c>
      <c r="D23" s="27" t="str">
        <f aca="false">IF(A23="","",SUMIFS(請求台帳!$P$5:$P$504,請求台帳!$C$5:$C$504,A23,請求台帳!$Q$5:$Q$504,"&lt;&gt;取消"))</f>
        <v/>
      </c>
      <c r="E23" s="27" t="str">
        <f aca="false">IF(A23="","",D23-SUM(F23:H23))</f>
        <v/>
      </c>
      <c r="F23" s="27" t="str">
        <f aca="false">IF(A23="","",SUMIFS(請求台帳!$P$5:$P$504,請求台帳!$C$5:$C$504,A23,請求台帳!$S$5:$S$504,"&gt;=1",請求台帳!$S$5:$S$504,"&lt;=30"))</f>
        <v/>
      </c>
      <c r="G23" s="27" t="str">
        <f aca="false">IF(A23="","",SUMIFS(請求台帳!$P$5:$P$504,請求台帳!$C$5:$C$504,A23,請求台帳!$S$5:$S$504,"&gt;=31",請求台帳!$S$5:$S$504,"&lt;=60"))</f>
        <v/>
      </c>
      <c r="H23" s="27" t="str">
        <f aca="false">IF(A23="","",SUMIFS(請求台帳!$P$5:$P$504,請求台帳!$C$5:$C$504,A23,請求台帳!$S$5:$S$504,"&gt;=61"))</f>
        <v/>
      </c>
      <c r="I23" s="33" t="str">
        <f aca="false">IF(A23="","",COUNTIFS(請求台帳!$C$5:$C$504,A23,請求台帳!$B$5:$B$504,"&gt;="&amp;チェック!$C$4,請求台帳!$B$5:$B$504,"&lt;="&amp;EOMONTH(チェック!$C$4,0),請求台帳!$Q$5:$Q$504,"&lt;&gt;取消"))</f>
        <v/>
      </c>
      <c r="J23" s="28" t="str">
        <f aca="false">IF(A23="","",IF(AND(取引先マスタ!G23="有",I23=0),"請求漏れ候補",""))</f>
        <v/>
      </c>
    </row>
    <row r="24" customFormat="false" ht="15" hidden="false" customHeight="false" outlineLevel="0" collapsed="false">
      <c r="A24" s="31" t="str">
        <f aca="false">IF(取引先マスタ!A24="","",取引先マスタ!A24)</f>
        <v/>
      </c>
      <c r="B24" s="31" t="str">
        <f aca="false">IF(A24="","",取引先マスタ!B24)</f>
        <v/>
      </c>
      <c r="C24" s="31" t="str">
        <f aca="false">IF(A24="","",取引先マスタ!J24&amp;"")</f>
        <v/>
      </c>
      <c r="D24" s="27" t="str">
        <f aca="false">IF(A24="","",SUMIFS(請求台帳!$P$5:$P$504,請求台帳!$C$5:$C$504,A24,請求台帳!$Q$5:$Q$504,"&lt;&gt;取消"))</f>
        <v/>
      </c>
      <c r="E24" s="27" t="str">
        <f aca="false">IF(A24="","",D24-SUM(F24:H24))</f>
        <v/>
      </c>
      <c r="F24" s="27" t="str">
        <f aca="false">IF(A24="","",SUMIFS(請求台帳!$P$5:$P$504,請求台帳!$C$5:$C$504,A24,請求台帳!$S$5:$S$504,"&gt;=1",請求台帳!$S$5:$S$504,"&lt;=30"))</f>
        <v/>
      </c>
      <c r="G24" s="27" t="str">
        <f aca="false">IF(A24="","",SUMIFS(請求台帳!$P$5:$P$504,請求台帳!$C$5:$C$504,A24,請求台帳!$S$5:$S$504,"&gt;=31",請求台帳!$S$5:$S$504,"&lt;=60"))</f>
        <v/>
      </c>
      <c r="H24" s="27" t="str">
        <f aca="false">IF(A24="","",SUMIFS(請求台帳!$P$5:$P$504,請求台帳!$C$5:$C$504,A24,請求台帳!$S$5:$S$504,"&gt;=61"))</f>
        <v/>
      </c>
      <c r="I24" s="33" t="str">
        <f aca="false">IF(A24="","",COUNTIFS(請求台帳!$C$5:$C$504,A24,請求台帳!$B$5:$B$504,"&gt;="&amp;チェック!$C$4,請求台帳!$B$5:$B$504,"&lt;="&amp;EOMONTH(チェック!$C$4,0),請求台帳!$Q$5:$Q$504,"&lt;&gt;取消"))</f>
        <v/>
      </c>
      <c r="J24" s="28" t="str">
        <f aca="false">IF(A24="","",IF(AND(取引先マスタ!G24="有",I24=0),"請求漏れ候補",""))</f>
        <v/>
      </c>
    </row>
    <row r="25" customFormat="false" ht="15" hidden="false" customHeight="false" outlineLevel="0" collapsed="false">
      <c r="A25" s="31" t="str">
        <f aca="false">IF(取引先マスタ!A25="","",取引先マスタ!A25)</f>
        <v/>
      </c>
      <c r="B25" s="31" t="str">
        <f aca="false">IF(A25="","",取引先マスタ!B25)</f>
        <v/>
      </c>
      <c r="C25" s="31" t="str">
        <f aca="false">IF(A25="","",取引先マスタ!J25&amp;"")</f>
        <v/>
      </c>
      <c r="D25" s="27" t="str">
        <f aca="false">IF(A25="","",SUMIFS(請求台帳!$P$5:$P$504,請求台帳!$C$5:$C$504,A25,請求台帳!$Q$5:$Q$504,"&lt;&gt;取消"))</f>
        <v/>
      </c>
      <c r="E25" s="27" t="str">
        <f aca="false">IF(A25="","",D25-SUM(F25:H25))</f>
        <v/>
      </c>
      <c r="F25" s="27" t="str">
        <f aca="false">IF(A25="","",SUMIFS(請求台帳!$P$5:$P$504,請求台帳!$C$5:$C$504,A25,請求台帳!$S$5:$S$504,"&gt;=1",請求台帳!$S$5:$S$504,"&lt;=30"))</f>
        <v/>
      </c>
      <c r="G25" s="27" t="str">
        <f aca="false">IF(A25="","",SUMIFS(請求台帳!$P$5:$P$504,請求台帳!$C$5:$C$504,A25,請求台帳!$S$5:$S$504,"&gt;=31",請求台帳!$S$5:$S$504,"&lt;=60"))</f>
        <v/>
      </c>
      <c r="H25" s="27" t="str">
        <f aca="false">IF(A25="","",SUMIFS(請求台帳!$P$5:$P$504,請求台帳!$C$5:$C$504,A25,請求台帳!$S$5:$S$504,"&gt;=61"))</f>
        <v/>
      </c>
      <c r="I25" s="33" t="str">
        <f aca="false">IF(A25="","",COUNTIFS(請求台帳!$C$5:$C$504,A25,請求台帳!$B$5:$B$504,"&gt;="&amp;チェック!$C$4,請求台帳!$B$5:$B$504,"&lt;="&amp;EOMONTH(チェック!$C$4,0),請求台帳!$Q$5:$Q$504,"&lt;&gt;取消"))</f>
        <v/>
      </c>
      <c r="J25" s="28" t="str">
        <f aca="false">IF(A25="","",IF(AND(取引先マスタ!G25="有",I25=0),"請求漏れ候補",""))</f>
        <v/>
      </c>
    </row>
    <row r="26" customFormat="false" ht="15" hidden="false" customHeight="false" outlineLevel="0" collapsed="false">
      <c r="A26" s="31" t="str">
        <f aca="false">IF(取引先マスタ!A26="","",取引先マスタ!A26)</f>
        <v/>
      </c>
      <c r="B26" s="31" t="str">
        <f aca="false">IF(A26="","",取引先マスタ!B26)</f>
        <v/>
      </c>
      <c r="C26" s="31" t="str">
        <f aca="false">IF(A26="","",取引先マスタ!J26&amp;"")</f>
        <v/>
      </c>
      <c r="D26" s="27" t="str">
        <f aca="false">IF(A26="","",SUMIFS(請求台帳!$P$5:$P$504,請求台帳!$C$5:$C$504,A26,請求台帳!$Q$5:$Q$504,"&lt;&gt;取消"))</f>
        <v/>
      </c>
      <c r="E26" s="27" t="str">
        <f aca="false">IF(A26="","",D26-SUM(F26:H26))</f>
        <v/>
      </c>
      <c r="F26" s="27" t="str">
        <f aca="false">IF(A26="","",SUMIFS(請求台帳!$P$5:$P$504,請求台帳!$C$5:$C$504,A26,請求台帳!$S$5:$S$504,"&gt;=1",請求台帳!$S$5:$S$504,"&lt;=30"))</f>
        <v/>
      </c>
      <c r="G26" s="27" t="str">
        <f aca="false">IF(A26="","",SUMIFS(請求台帳!$P$5:$P$504,請求台帳!$C$5:$C$504,A26,請求台帳!$S$5:$S$504,"&gt;=31",請求台帳!$S$5:$S$504,"&lt;=60"))</f>
        <v/>
      </c>
      <c r="H26" s="27" t="str">
        <f aca="false">IF(A26="","",SUMIFS(請求台帳!$P$5:$P$504,請求台帳!$C$5:$C$504,A26,請求台帳!$S$5:$S$504,"&gt;=61"))</f>
        <v/>
      </c>
      <c r="I26" s="33" t="str">
        <f aca="false">IF(A26="","",COUNTIFS(請求台帳!$C$5:$C$504,A26,請求台帳!$B$5:$B$504,"&gt;="&amp;チェック!$C$4,請求台帳!$B$5:$B$504,"&lt;="&amp;EOMONTH(チェック!$C$4,0),請求台帳!$Q$5:$Q$504,"&lt;&gt;取消"))</f>
        <v/>
      </c>
      <c r="J26" s="28" t="str">
        <f aca="false">IF(A26="","",IF(AND(取引先マスタ!G26="有",I26=0),"請求漏れ候補",""))</f>
        <v/>
      </c>
    </row>
    <row r="27" customFormat="false" ht="15" hidden="false" customHeight="false" outlineLevel="0" collapsed="false">
      <c r="A27" s="31" t="str">
        <f aca="false">IF(取引先マスタ!A27="","",取引先マスタ!A27)</f>
        <v/>
      </c>
      <c r="B27" s="31" t="str">
        <f aca="false">IF(A27="","",取引先マスタ!B27)</f>
        <v/>
      </c>
      <c r="C27" s="31" t="str">
        <f aca="false">IF(A27="","",取引先マスタ!J27&amp;"")</f>
        <v/>
      </c>
      <c r="D27" s="27" t="str">
        <f aca="false">IF(A27="","",SUMIFS(請求台帳!$P$5:$P$504,請求台帳!$C$5:$C$504,A27,請求台帳!$Q$5:$Q$504,"&lt;&gt;取消"))</f>
        <v/>
      </c>
      <c r="E27" s="27" t="str">
        <f aca="false">IF(A27="","",D27-SUM(F27:H27))</f>
        <v/>
      </c>
      <c r="F27" s="27" t="str">
        <f aca="false">IF(A27="","",SUMIFS(請求台帳!$P$5:$P$504,請求台帳!$C$5:$C$504,A27,請求台帳!$S$5:$S$504,"&gt;=1",請求台帳!$S$5:$S$504,"&lt;=30"))</f>
        <v/>
      </c>
      <c r="G27" s="27" t="str">
        <f aca="false">IF(A27="","",SUMIFS(請求台帳!$P$5:$P$504,請求台帳!$C$5:$C$504,A27,請求台帳!$S$5:$S$504,"&gt;=31",請求台帳!$S$5:$S$504,"&lt;=60"))</f>
        <v/>
      </c>
      <c r="H27" s="27" t="str">
        <f aca="false">IF(A27="","",SUMIFS(請求台帳!$P$5:$P$504,請求台帳!$C$5:$C$504,A27,請求台帳!$S$5:$S$504,"&gt;=61"))</f>
        <v/>
      </c>
      <c r="I27" s="33" t="str">
        <f aca="false">IF(A27="","",COUNTIFS(請求台帳!$C$5:$C$504,A27,請求台帳!$B$5:$B$504,"&gt;="&amp;チェック!$C$4,請求台帳!$B$5:$B$504,"&lt;="&amp;EOMONTH(チェック!$C$4,0),請求台帳!$Q$5:$Q$504,"&lt;&gt;取消"))</f>
        <v/>
      </c>
      <c r="J27" s="28" t="str">
        <f aca="false">IF(A27="","",IF(AND(取引先マスタ!G27="有",I27=0),"請求漏れ候補",""))</f>
        <v/>
      </c>
    </row>
    <row r="28" customFormat="false" ht="15" hidden="false" customHeight="false" outlineLevel="0" collapsed="false">
      <c r="A28" s="31" t="str">
        <f aca="false">IF(取引先マスタ!A28="","",取引先マスタ!A28)</f>
        <v/>
      </c>
      <c r="B28" s="31" t="str">
        <f aca="false">IF(A28="","",取引先マスタ!B28)</f>
        <v/>
      </c>
      <c r="C28" s="31" t="str">
        <f aca="false">IF(A28="","",取引先マスタ!J28&amp;"")</f>
        <v/>
      </c>
      <c r="D28" s="27" t="str">
        <f aca="false">IF(A28="","",SUMIFS(請求台帳!$P$5:$P$504,請求台帳!$C$5:$C$504,A28,請求台帳!$Q$5:$Q$504,"&lt;&gt;取消"))</f>
        <v/>
      </c>
      <c r="E28" s="27" t="str">
        <f aca="false">IF(A28="","",D28-SUM(F28:H28))</f>
        <v/>
      </c>
      <c r="F28" s="27" t="str">
        <f aca="false">IF(A28="","",SUMIFS(請求台帳!$P$5:$P$504,請求台帳!$C$5:$C$504,A28,請求台帳!$S$5:$S$504,"&gt;=1",請求台帳!$S$5:$S$504,"&lt;=30"))</f>
        <v/>
      </c>
      <c r="G28" s="27" t="str">
        <f aca="false">IF(A28="","",SUMIFS(請求台帳!$P$5:$P$504,請求台帳!$C$5:$C$504,A28,請求台帳!$S$5:$S$504,"&gt;=31",請求台帳!$S$5:$S$504,"&lt;=60"))</f>
        <v/>
      </c>
      <c r="H28" s="27" t="str">
        <f aca="false">IF(A28="","",SUMIFS(請求台帳!$P$5:$P$504,請求台帳!$C$5:$C$504,A28,請求台帳!$S$5:$S$504,"&gt;=61"))</f>
        <v/>
      </c>
      <c r="I28" s="33" t="str">
        <f aca="false">IF(A28="","",COUNTIFS(請求台帳!$C$5:$C$504,A28,請求台帳!$B$5:$B$504,"&gt;="&amp;チェック!$C$4,請求台帳!$B$5:$B$504,"&lt;="&amp;EOMONTH(チェック!$C$4,0),請求台帳!$Q$5:$Q$504,"&lt;&gt;取消"))</f>
        <v/>
      </c>
      <c r="J28" s="28" t="str">
        <f aca="false">IF(A28="","",IF(AND(取引先マスタ!G28="有",I28=0),"請求漏れ候補",""))</f>
        <v/>
      </c>
    </row>
    <row r="29" customFormat="false" ht="15" hidden="false" customHeight="false" outlineLevel="0" collapsed="false">
      <c r="A29" s="31" t="str">
        <f aca="false">IF(取引先マスタ!A29="","",取引先マスタ!A29)</f>
        <v/>
      </c>
      <c r="B29" s="31" t="str">
        <f aca="false">IF(A29="","",取引先マスタ!B29)</f>
        <v/>
      </c>
      <c r="C29" s="31" t="str">
        <f aca="false">IF(A29="","",取引先マスタ!J29&amp;"")</f>
        <v/>
      </c>
      <c r="D29" s="27" t="str">
        <f aca="false">IF(A29="","",SUMIFS(請求台帳!$P$5:$P$504,請求台帳!$C$5:$C$504,A29,請求台帳!$Q$5:$Q$504,"&lt;&gt;取消"))</f>
        <v/>
      </c>
      <c r="E29" s="27" t="str">
        <f aca="false">IF(A29="","",D29-SUM(F29:H29))</f>
        <v/>
      </c>
      <c r="F29" s="27" t="str">
        <f aca="false">IF(A29="","",SUMIFS(請求台帳!$P$5:$P$504,請求台帳!$C$5:$C$504,A29,請求台帳!$S$5:$S$504,"&gt;=1",請求台帳!$S$5:$S$504,"&lt;=30"))</f>
        <v/>
      </c>
      <c r="G29" s="27" t="str">
        <f aca="false">IF(A29="","",SUMIFS(請求台帳!$P$5:$P$504,請求台帳!$C$5:$C$504,A29,請求台帳!$S$5:$S$504,"&gt;=31",請求台帳!$S$5:$S$504,"&lt;=60"))</f>
        <v/>
      </c>
      <c r="H29" s="27" t="str">
        <f aca="false">IF(A29="","",SUMIFS(請求台帳!$P$5:$P$504,請求台帳!$C$5:$C$504,A29,請求台帳!$S$5:$S$504,"&gt;=61"))</f>
        <v/>
      </c>
      <c r="I29" s="33" t="str">
        <f aca="false">IF(A29="","",COUNTIFS(請求台帳!$C$5:$C$504,A29,請求台帳!$B$5:$B$504,"&gt;="&amp;チェック!$C$4,請求台帳!$B$5:$B$504,"&lt;="&amp;EOMONTH(チェック!$C$4,0),請求台帳!$Q$5:$Q$504,"&lt;&gt;取消"))</f>
        <v/>
      </c>
      <c r="J29" s="28" t="str">
        <f aca="false">IF(A29="","",IF(AND(取引先マスタ!G29="有",I29=0),"請求漏れ候補",""))</f>
        <v/>
      </c>
    </row>
    <row r="30" customFormat="false" ht="15" hidden="false" customHeight="false" outlineLevel="0" collapsed="false">
      <c r="A30" s="31" t="str">
        <f aca="false">IF(取引先マスタ!A30="","",取引先マスタ!A30)</f>
        <v/>
      </c>
      <c r="B30" s="31" t="str">
        <f aca="false">IF(A30="","",取引先マスタ!B30)</f>
        <v/>
      </c>
      <c r="C30" s="31" t="str">
        <f aca="false">IF(A30="","",取引先マスタ!J30&amp;"")</f>
        <v/>
      </c>
      <c r="D30" s="27" t="str">
        <f aca="false">IF(A30="","",SUMIFS(請求台帳!$P$5:$P$504,請求台帳!$C$5:$C$504,A30,請求台帳!$Q$5:$Q$504,"&lt;&gt;取消"))</f>
        <v/>
      </c>
      <c r="E30" s="27" t="str">
        <f aca="false">IF(A30="","",D30-SUM(F30:H30))</f>
        <v/>
      </c>
      <c r="F30" s="27" t="str">
        <f aca="false">IF(A30="","",SUMIFS(請求台帳!$P$5:$P$504,請求台帳!$C$5:$C$504,A30,請求台帳!$S$5:$S$504,"&gt;=1",請求台帳!$S$5:$S$504,"&lt;=30"))</f>
        <v/>
      </c>
      <c r="G30" s="27" t="str">
        <f aca="false">IF(A30="","",SUMIFS(請求台帳!$P$5:$P$504,請求台帳!$C$5:$C$504,A30,請求台帳!$S$5:$S$504,"&gt;=31",請求台帳!$S$5:$S$504,"&lt;=60"))</f>
        <v/>
      </c>
      <c r="H30" s="27" t="str">
        <f aca="false">IF(A30="","",SUMIFS(請求台帳!$P$5:$P$504,請求台帳!$C$5:$C$504,A30,請求台帳!$S$5:$S$504,"&gt;=61"))</f>
        <v/>
      </c>
      <c r="I30" s="33" t="str">
        <f aca="false">IF(A30="","",COUNTIFS(請求台帳!$C$5:$C$504,A30,請求台帳!$B$5:$B$504,"&gt;="&amp;チェック!$C$4,請求台帳!$B$5:$B$504,"&lt;="&amp;EOMONTH(チェック!$C$4,0),請求台帳!$Q$5:$Q$504,"&lt;&gt;取消"))</f>
        <v/>
      </c>
      <c r="J30" s="28" t="str">
        <f aca="false">IF(A30="","",IF(AND(取引先マスタ!G30="有",I30=0),"請求漏れ候補",""))</f>
        <v/>
      </c>
    </row>
    <row r="31" customFormat="false" ht="15" hidden="false" customHeight="false" outlineLevel="0" collapsed="false">
      <c r="A31" s="31" t="str">
        <f aca="false">IF(取引先マスタ!A31="","",取引先マスタ!A31)</f>
        <v/>
      </c>
      <c r="B31" s="31" t="str">
        <f aca="false">IF(A31="","",取引先マスタ!B31)</f>
        <v/>
      </c>
      <c r="C31" s="31" t="str">
        <f aca="false">IF(A31="","",取引先マスタ!J31&amp;"")</f>
        <v/>
      </c>
      <c r="D31" s="27" t="str">
        <f aca="false">IF(A31="","",SUMIFS(請求台帳!$P$5:$P$504,請求台帳!$C$5:$C$504,A31,請求台帳!$Q$5:$Q$504,"&lt;&gt;取消"))</f>
        <v/>
      </c>
      <c r="E31" s="27" t="str">
        <f aca="false">IF(A31="","",D31-SUM(F31:H31))</f>
        <v/>
      </c>
      <c r="F31" s="27" t="str">
        <f aca="false">IF(A31="","",SUMIFS(請求台帳!$P$5:$P$504,請求台帳!$C$5:$C$504,A31,請求台帳!$S$5:$S$504,"&gt;=1",請求台帳!$S$5:$S$504,"&lt;=30"))</f>
        <v/>
      </c>
      <c r="G31" s="27" t="str">
        <f aca="false">IF(A31="","",SUMIFS(請求台帳!$P$5:$P$504,請求台帳!$C$5:$C$504,A31,請求台帳!$S$5:$S$504,"&gt;=31",請求台帳!$S$5:$S$504,"&lt;=60"))</f>
        <v/>
      </c>
      <c r="H31" s="27" t="str">
        <f aca="false">IF(A31="","",SUMIFS(請求台帳!$P$5:$P$504,請求台帳!$C$5:$C$504,A31,請求台帳!$S$5:$S$504,"&gt;=61"))</f>
        <v/>
      </c>
      <c r="I31" s="33" t="str">
        <f aca="false">IF(A31="","",COUNTIFS(請求台帳!$C$5:$C$504,A31,請求台帳!$B$5:$B$504,"&gt;="&amp;チェック!$C$4,請求台帳!$B$5:$B$504,"&lt;="&amp;EOMONTH(チェック!$C$4,0),請求台帳!$Q$5:$Q$504,"&lt;&gt;取消"))</f>
        <v/>
      </c>
      <c r="J31" s="28" t="str">
        <f aca="false">IF(A31="","",IF(AND(取引先マスタ!G31="有",I31=0),"請求漏れ候補",""))</f>
        <v/>
      </c>
    </row>
    <row r="32" customFormat="false" ht="15" hidden="false" customHeight="false" outlineLevel="0" collapsed="false">
      <c r="A32" s="31" t="str">
        <f aca="false">IF(取引先マスタ!A32="","",取引先マスタ!A32)</f>
        <v/>
      </c>
      <c r="B32" s="31" t="str">
        <f aca="false">IF(A32="","",取引先マスタ!B32)</f>
        <v/>
      </c>
      <c r="C32" s="31" t="str">
        <f aca="false">IF(A32="","",取引先マスタ!J32&amp;"")</f>
        <v/>
      </c>
      <c r="D32" s="27" t="str">
        <f aca="false">IF(A32="","",SUMIFS(請求台帳!$P$5:$P$504,請求台帳!$C$5:$C$504,A32,請求台帳!$Q$5:$Q$504,"&lt;&gt;取消"))</f>
        <v/>
      </c>
      <c r="E32" s="27" t="str">
        <f aca="false">IF(A32="","",D32-SUM(F32:H32))</f>
        <v/>
      </c>
      <c r="F32" s="27" t="str">
        <f aca="false">IF(A32="","",SUMIFS(請求台帳!$P$5:$P$504,請求台帳!$C$5:$C$504,A32,請求台帳!$S$5:$S$504,"&gt;=1",請求台帳!$S$5:$S$504,"&lt;=30"))</f>
        <v/>
      </c>
      <c r="G32" s="27" t="str">
        <f aca="false">IF(A32="","",SUMIFS(請求台帳!$P$5:$P$504,請求台帳!$C$5:$C$504,A32,請求台帳!$S$5:$S$504,"&gt;=31",請求台帳!$S$5:$S$504,"&lt;=60"))</f>
        <v/>
      </c>
      <c r="H32" s="27" t="str">
        <f aca="false">IF(A32="","",SUMIFS(請求台帳!$P$5:$P$504,請求台帳!$C$5:$C$504,A32,請求台帳!$S$5:$S$504,"&gt;=61"))</f>
        <v/>
      </c>
      <c r="I32" s="33" t="str">
        <f aca="false">IF(A32="","",COUNTIFS(請求台帳!$C$5:$C$504,A32,請求台帳!$B$5:$B$504,"&gt;="&amp;チェック!$C$4,請求台帳!$B$5:$B$504,"&lt;="&amp;EOMONTH(チェック!$C$4,0),請求台帳!$Q$5:$Q$504,"&lt;&gt;取消"))</f>
        <v/>
      </c>
      <c r="J32" s="28" t="str">
        <f aca="false">IF(A32="","",IF(AND(取引先マスタ!G32="有",I32=0),"請求漏れ候補",""))</f>
        <v/>
      </c>
    </row>
    <row r="33" customFormat="false" ht="15" hidden="false" customHeight="false" outlineLevel="0" collapsed="false">
      <c r="A33" s="31" t="str">
        <f aca="false">IF(取引先マスタ!A33="","",取引先マスタ!A33)</f>
        <v/>
      </c>
      <c r="B33" s="31" t="str">
        <f aca="false">IF(A33="","",取引先マスタ!B33)</f>
        <v/>
      </c>
      <c r="C33" s="31" t="str">
        <f aca="false">IF(A33="","",取引先マスタ!J33&amp;"")</f>
        <v/>
      </c>
      <c r="D33" s="27" t="str">
        <f aca="false">IF(A33="","",SUMIFS(請求台帳!$P$5:$P$504,請求台帳!$C$5:$C$504,A33,請求台帳!$Q$5:$Q$504,"&lt;&gt;取消"))</f>
        <v/>
      </c>
      <c r="E33" s="27" t="str">
        <f aca="false">IF(A33="","",D33-SUM(F33:H33))</f>
        <v/>
      </c>
      <c r="F33" s="27" t="str">
        <f aca="false">IF(A33="","",SUMIFS(請求台帳!$P$5:$P$504,請求台帳!$C$5:$C$504,A33,請求台帳!$S$5:$S$504,"&gt;=1",請求台帳!$S$5:$S$504,"&lt;=30"))</f>
        <v/>
      </c>
      <c r="G33" s="27" t="str">
        <f aca="false">IF(A33="","",SUMIFS(請求台帳!$P$5:$P$504,請求台帳!$C$5:$C$504,A33,請求台帳!$S$5:$S$504,"&gt;=31",請求台帳!$S$5:$S$504,"&lt;=60"))</f>
        <v/>
      </c>
      <c r="H33" s="27" t="str">
        <f aca="false">IF(A33="","",SUMIFS(請求台帳!$P$5:$P$504,請求台帳!$C$5:$C$504,A33,請求台帳!$S$5:$S$504,"&gt;=61"))</f>
        <v/>
      </c>
      <c r="I33" s="33" t="str">
        <f aca="false">IF(A33="","",COUNTIFS(請求台帳!$C$5:$C$504,A33,請求台帳!$B$5:$B$504,"&gt;="&amp;チェック!$C$4,請求台帳!$B$5:$B$504,"&lt;="&amp;EOMONTH(チェック!$C$4,0),請求台帳!$Q$5:$Q$504,"&lt;&gt;取消"))</f>
        <v/>
      </c>
      <c r="J33" s="28" t="str">
        <f aca="false">IF(A33="","",IF(AND(取引先マスタ!G33="有",I33=0),"請求漏れ候補",""))</f>
        <v/>
      </c>
    </row>
    <row r="34" customFormat="false" ht="15" hidden="false" customHeight="false" outlineLevel="0" collapsed="false">
      <c r="A34" s="31" t="str">
        <f aca="false">IF(取引先マスタ!A34="","",取引先マスタ!A34)</f>
        <v/>
      </c>
      <c r="B34" s="31" t="str">
        <f aca="false">IF(A34="","",取引先マスタ!B34)</f>
        <v/>
      </c>
      <c r="C34" s="31" t="str">
        <f aca="false">IF(A34="","",取引先マスタ!J34&amp;"")</f>
        <v/>
      </c>
      <c r="D34" s="27" t="str">
        <f aca="false">IF(A34="","",SUMIFS(請求台帳!$P$5:$P$504,請求台帳!$C$5:$C$504,A34,請求台帳!$Q$5:$Q$504,"&lt;&gt;取消"))</f>
        <v/>
      </c>
      <c r="E34" s="27" t="str">
        <f aca="false">IF(A34="","",D34-SUM(F34:H34))</f>
        <v/>
      </c>
      <c r="F34" s="27" t="str">
        <f aca="false">IF(A34="","",SUMIFS(請求台帳!$P$5:$P$504,請求台帳!$C$5:$C$504,A34,請求台帳!$S$5:$S$504,"&gt;=1",請求台帳!$S$5:$S$504,"&lt;=30"))</f>
        <v/>
      </c>
      <c r="G34" s="27" t="str">
        <f aca="false">IF(A34="","",SUMIFS(請求台帳!$P$5:$P$504,請求台帳!$C$5:$C$504,A34,請求台帳!$S$5:$S$504,"&gt;=31",請求台帳!$S$5:$S$504,"&lt;=60"))</f>
        <v/>
      </c>
      <c r="H34" s="27" t="str">
        <f aca="false">IF(A34="","",SUMIFS(請求台帳!$P$5:$P$504,請求台帳!$C$5:$C$504,A34,請求台帳!$S$5:$S$504,"&gt;=61"))</f>
        <v/>
      </c>
      <c r="I34" s="33" t="str">
        <f aca="false">IF(A34="","",COUNTIFS(請求台帳!$C$5:$C$504,A34,請求台帳!$B$5:$B$504,"&gt;="&amp;チェック!$C$4,請求台帳!$B$5:$B$504,"&lt;="&amp;EOMONTH(チェック!$C$4,0),請求台帳!$Q$5:$Q$504,"&lt;&gt;取消"))</f>
        <v/>
      </c>
      <c r="J34" s="28" t="str">
        <f aca="false">IF(A34="","",IF(AND(取引先マスタ!G34="有",I34=0),"請求漏れ候補",""))</f>
        <v/>
      </c>
    </row>
    <row r="35" customFormat="false" ht="15" hidden="false" customHeight="false" outlineLevel="0" collapsed="false">
      <c r="A35" s="31" t="str">
        <f aca="false">IF(取引先マスタ!A35="","",取引先マスタ!A35)</f>
        <v/>
      </c>
      <c r="B35" s="31" t="str">
        <f aca="false">IF(A35="","",取引先マスタ!B35)</f>
        <v/>
      </c>
      <c r="C35" s="31" t="str">
        <f aca="false">IF(A35="","",取引先マスタ!J35&amp;"")</f>
        <v/>
      </c>
      <c r="D35" s="27" t="str">
        <f aca="false">IF(A35="","",SUMIFS(請求台帳!$P$5:$P$504,請求台帳!$C$5:$C$504,A35,請求台帳!$Q$5:$Q$504,"&lt;&gt;取消"))</f>
        <v/>
      </c>
      <c r="E35" s="27" t="str">
        <f aca="false">IF(A35="","",D35-SUM(F35:H35))</f>
        <v/>
      </c>
      <c r="F35" s="27" t="str">
        <f aca="false">IF(A35="","",SUMIFS(請求台帳!$P$5:$P$504,請求台帳!$C$5:$C$504,A35,請求台帳!$S$5:$S$504,"&gt;=1",請求台帳!$S$5:$S$504,"&lt;=30"))</f>
        <v/>
      </c>
      <c r="G35" s="27" t="str">
        <f aca="false">IF(A35="","",SUMIFS(請求台帳!$P$5:$P$504,請求台帳!$C$5:$C$504,A35,請求台帳!$S$5:$S$504,"&gt;=31",請求台帳!$S$5:$S$504,"&lt;=60"))</f>
        <v/>
      </c>
      <c r="H35" s="27" t="str">
        <f aca="false">IF(A35="","",SUMIFS(請求台帳!$P$5:$P$504,請求台帳!$C$5:$C$504,A35,請求台帳!$S$5:$S$504,"&gt;=61"))</f>
        <v/>
      </c>
      <c r="I35" s="33" t="str">
        <f aca="false">IF(A35="","",COUNTIFS(請求台帳!$C$5:$C$504,A35,請求台帳!$B$5:$B$504,"&gt;="&amp;チェック!$C$4,請求台帳!$B$5:$B$504,"&lt;="&amp;EOMONTH(チェック!$C$4,0),請求台帳!$Q$5:$Q$504,"&lt;&gt;取消"))</f>
        <v/>
      </c>
      <c r="J35" s="28" t="str">
        <f aca="false">IF(A35="","",IF(AND(取引先マスタ!G35="有",I35=0),"請求漏れ候補",""))</f>
        <v/>
      </c>
    </row>
    <row r="36" customFormat="false" ht="15" hidden="false" customHeight="false" outlineLevel="0" collapsed="false">
      <c r="A36" s="31" t="str">
        <f aca="false">IF(取引先マスタ!A36="","",取引先マスタ!A36)</f>
        <v/>
      </c>
      <c r="B36" s="31" t="str">
        <f aca="false">IF(A36="","",取引先マスタ!B36)</f>
        <v/>
      </c>
      <c r="C36" s="31" t="str">
        <f aca="false">IF(A36="","",取引先マスタ!J36&amp;"")</f>
        <v/>
      </c>
      <c r="D36" s="27" t="str">
        <f aca="false">IF(A36="","",SUMIFS(請求台帳!$P$5:$P$504,請求台帳!$C$5:$C$504,A36,請求台帳!$Q$5:$Q$504,"&lt;&gt;取消"))</f>
        <v/>
      </c>
      <c r="E36" s="27" t="str">
        <f aca="false">IF(A36="","",D36-SUM(F36:H36))</f>
        <v/>
      </c>
      <c r="F36" s="27" t="str">
        <f aca="false">IF(A36="","",SUMIFS(請求台帳!$P$5:$P$504,請求台帳!$C$5:$C$504,A36,請求台帳!$S$5:$S$504,"&gt;=1",請求台帳!$S$5:$S$504,"&lt;=30"))</f>
        <v/>
      </c>
      <c r="G36" s="27" t="str">
        <f aca="false">IF(A36="","",SUMIFS(請求台帳!$P$5:$P$504,請求台帳!$C$5:$C$504,A36,請求台帳!$S$5:$S$504,"&gt;=31",請求台帳!$S$5:$S$504,"&lt;=60"))</f>
        <v/>
      </c>
      <c r="H36" s="27" t="str">
        <f aca="false">IF(A36="","",SUMIFS(請求台帳!$P$5:$P$504,請求台帳!$C$5:$C$504,A36,請求台帳!$S$5:$S$504,"&gt;=61"))</f>
        <v/>
      </c>
      <c r="I36" s="33" t="str">
        <f aca="false">IF(A36="","",COUNTIFS(請求台帳!$C$5:$C$504,A36,請求台帳!$B$5:$B$504,"&gt;="&amp;チェック!$C$4,請求台帳!$B$5:$B$504,"&lt;="&amp;EOMONTH(チェック!$C$4,0),請求台帳!$Q$5:$Q$504,"&lt;&gt;取消"))</f>
        <v/>
      </c>
      <c r="J36" s="28" t="str">
        <f aca="false">IF(A36="","",IF(AND(取引先マスタ!G36="有",I36=0),"請求漏れ候補",""))</f>
        <v/>
      </c>
    </row>
    <row r="37" customFormat="false" ht="15" hidden="false" customHeight="false" outlineLevel="0" collapsed="false">
      <c r="A37" s="31" t="str">
        <f aca="false">IF(取引先マスタ!A37="","",取引先マスタ!A37)</f>
        <v/>
      </c>
      <c r="B37" s="31" t="str">
        <f aca="false">IF(A37="","",取引先マスタ!B37)</f>
        <v/>
      </c>
      <c r="C37" s="31" t="str">
        <f aca="false">IF(A37="","",取引先マスタ!J37&amp;"")</f>
        <v/>
      </c>
      <c r="D37" s="27" t="str">
        <f aca="false">IF(A37="","",SUMIFS(請求台帳!$P$5:$P$504,請求台帳!$C$5:$C$504,A37,請求台帳!$Q$5:$Q$504,"&lt;&gt;取消"))</f>
        <v/>
      </c>
      <c r="E37" s="27" t="str">
        <f aca="false">IF(A37="","",D37-SUM(F37:H37))</f>
        <v/>
      </c>
      <c r="F37" s="27" t="str">
        <f aca="false">IF(A37="","",SUMIFS(請求台帳!$P$5:$P$504,請求台帳!$C$5:$C$504,A37,請求台帳!$S$5:$S$504,"&gt;=1",請求台帳!$S$5:$S$504,"&lt;=30"))</f>
        <v/>
      </c>
      <c r="G37" s="27" t="str">
        <f aca="false">IF(A37="","",SUMIFS(請求台帳!$P$5:$P$504,請求台帳!$C$5:$C$504,A37,請求台帳!$S$5:$S$504,"&gt;=31",請求台帳!$S$5:$S$504,"&lt;=60"))</f>
        <v/>
      </c>
      <c r="H37" s="27" t="str">
        <f aca="false">IF(A37="","",SUMIFS(請求台帳!$P$5:$P$504,請求台帳!$C$5:$C$504,A37,請求台帳!$S$5:$S$504,"&gt;=61"))</f>
        <v/>
      </c>
      <c r="I37" s="33" t="str">
        <f aca="false">IF(A37="","",COUNTIFS(請求台帳!$C$5:$C$504,A37,請求台帳!$B$5:$B$504,"&gt;="&amp;チェック!$C$4,請求台帳!$B$5:$B$504,"&lt;="&amp;EOMONTH(チェック!$C$4,0),請求台帳!$Q$5:$Q$504,"&lt;&gt;取消"))</f>
        <v/>
      </c>
      <c r="J37" s="28" t="str">
        <f aca="false">IF(A37="","",IF(AND(取引先マスタ!G37="有",I37=0),"請求漏れ候補",""))</f>
        <v/>
      </c>
    </row>
    <row r="38" customFormat="false" ht="15" hidden="false" customHeight="false" outlineLevel="0" collapsed="false">
      <c r="A38" s="31" t="str">
        <f aca="false">IF(取引先マスタ!A38="","",取引先マスタ!A38)</f>
        <v/>
      </c>
      <c r="B38" s="31" t="str">
        <f aca="false">IF(A38="","",取引先マスタ!B38)</f>
        <v/>
      </c>
      <c r="C38" s="31" t="str">
        <f aca="false">IF(A38="","",取引先マスタ!J38&amp;"")</f>
        <v/>
      </c>
      <c r="D38" s="27" t="str">
        <f aca="false">IF(A38="","",SUMIFS(請求台帳!$P$5:$P$504,請求台帳!$C$5:$C$504,A38,請求台帳!$Q$5:$Q$504,"&lt;&gt;取消"))</f>
        <v/>
      </c>
      <c r="E38" s="27" t="str">
        <f aca="false">IF(A38="","",D38-SUM(F38:H38))</f>
        <v/>
      </c>
      <c r="F38" s="27" t="str">
        <f aca="false">IF(A38="","",SUMIFS(請求台帳!$P$5:$P$504,請求台帳!$C$5:$C$504,A38,請求台帳!$S$5:$S$504,"&gt;=1",請求台帳!$S$5:$S$504,"&lt;=30"))</f>
        <v/>
      </c>
      <c r="G38" s="27" t="str">
        <f aca="false">IF(A38="","",SUMIFS(請求台帳!$P$5:$P$504,請求台帳!$C$5:$C$504,A38,請求台帳!$S$5:$S$504,"&gt;=31",請求台帳!$S$5:$S$504,"&lt;=60"))</f>
        <v/>
      </c>
      <c r="H38" s="27" t="str">
        <f aca="false">IF(A38="","",SUMIFS(請求台帳!$P$5:$P$504,請求台帳!$C$5:$C$504,A38,請求台帳!$S$5:$S$504,"&gt;=61"))</f>
        <v/>
      </c>
      <c r="I38" s="33" t="str">
        <f aca="false">IF(A38="","",COUNTIFS(請求台帳!$C$5:$C$504,A38,請求台帳!$B$5:$B$504,"&gt;="&amp;チェック!$C$4,請求台帳!$B$5:$B$504,"&lt;="&amp;EOMONTH(チェック!$C$4,0),請求台帳!$Q$5:$Q$504,"&lt;&gt;取消"))</f>
        <v/>
      </c>
      <c r="J38" s="28" t="str">
        <f aca="false">IF(A38="","",IF(AND(取引先マスタ!G38="有",I38=0),"請求漏れ候補",""))</f>
        <v/>
      </c>
    </row>
    <row r="39" customFormat="false" ht="15" hidden="false" customHeight="false" outlineLevel="0" collapsed="false">
      <c r="A39" s="31" t="str">
        <f aca="false">IF(取引先マスタ!A39="","",取引先マスタ!A39)</f>
        <v/>
      </c>
      <c r="B39" s="31" t="str">
        <f aca="false">IF(A39="","",取引先マスタ!B39)</f>
        <v/>
      </c>
      <c r="C39" s="31" t="str">
        <f aca="false">IF(A39="","",取引先マスタ!J39&amp;"")</f>
        <v/>
      </c>
      <c r="D39" s="27" t="str">
        <f aca="false">IF(A39="","",SUMIFS(請求台帳!$P$5:$P$504,請求台帳!$C$5:$C$504,A39,請求台帳!$Q$5:$Q$504,"&lt;&gt;取消"))</f>
        <v/>
      </c>
      <c r="E39" s="27" t="str">
        <f aca="false">IF(A39="","",D39-SUM(F39:H39))</f>
        <v/>
      </c>
      <c r="F39" s="27" t="str">
        <f aca="false">IF(A39="","",SUMIFS(請求台帳!$P$5:$P$504,請求台帳!$C$5:$C$504,A39,請求台帳!$S$5:$S$504,"&gt;=1",請求台帳!$S$5:$S$504,"&lt;=30"))</f>
        <v/>
      </c>
      <c r="G39" s="27" t="str">
        <f aca="false">IF(A39="","",SUMIFS(請求台帳!$P$5:$P$504,請求台帳!$C$5:$C$504,A39,請求台帳!$S$5:$S$504,"&gt;=31",請求台帳!$S$5:$S$504,"&lt;=60"))</f>
        <v/>
      </c>
      <c r="H39" s="27" t="str">
        <f aca="false">IF(A39="","",SUMIFS(請求台帳!$P$5:$P$504,請求台帳!$C$5:$C$504,A39,請求台帳!$S$5:$S$504,"&gt;=61"))</f>
        <v/>
      </c>
      <c r="I39" s="33" t="str">
        <f aca="false">IF(A39="","",COUNTIFS(請求台帳!$C$5:$C$504,A39,請求台帳!$B$5:$B$504,"&gt;="&amp;チェック!$C$4,請求台帳!$B$5:$B$504,"&lt;="&amp;EOMONTH(チェック!$C$4,0),請求台帳!$Q$5:$Q$504,"&lt;&gt;取消"))</f>
        <v/>
      </c>
      <c r="J39" s="28" t="str">
        <f aca="false">IF(A39="","",IF(AND(取引先マスタ!G39="有",I39=0),"請求漏れ候補",""))</f>
        <v/>
      </c>
    </row>
    <row r="40" customFormat="false" ht="15" hidden="false" customHeight="false" outlineLevel="0" collapsed="false">
      <c r="A40" s="31" t="str">
        <f aca="false">IF(取引先マスタ!A40="","",取引先マスタ!A40)</f>
        <v/>
      </c>
      <c r="B40" s="31" t="str">
        <f aca="false">IF(A40="","",取引先マスタ!B40)</f>
        <v/>
      </c>
      <c r="C40" s="31" t="str">
        <f aca="false">IF(A40="","",取引先マスタ!J40&amp;"")</f>
        <v/>
      </c>
      <c r="D40" s="27" t="str">
        <f aca="false">IF(A40="","",SUMIFS(請求台帳!$P$5:$P$504,請求台帳!$C$5:$C$504,A40,請求台帳!$Q$5:$Q$504,"&lt;&gt;取消"))</f>
        <v/>
      </c>
      <c r="E40" s="27" t="str">
        <f aca="false">IF(A40="","",D40-SUM(F40:H40))</f>
        <v/>
      </c>
      <c r="F40" s="27" t="str">
        <f aca="false">IF(A40="","",SUMIFS(請求台帳!$P$5:$P$504,請求台帳!$C$5:$C$504,A40,請求台帳!$S$5:$S$504,"&gt;=1",請求台帳!$S$5:$S$504,"&lt;=30"))</f>
        <v/>
      </c>
      <c r="G40" s="27" t="str">
        <f aca="false">IF(A40="","",SUMIFS(請求台帳!$P$5:$P$504,請求台帳!$C$5:$C$504,A40,請求台帳!$S$5:$S$504,"&gt;=31",請求台帳!$S$5:$S$504,"&lt;=60"))</f>
        <v/>
      </c>
      <c r="H40" s="27" t="str">
        <f aca="false">IF(A40="","",SUMIFS(請求台帳!$P$5:$P$504,請求台帳!$C$5:$C$504,A40,請求台帳!$S$5:$S$504,"&gt;=61"))</f>
        <v/>
      </c>
      <c r="I40" s="33" t="str">
        <f aca="false">IF(A40="","",COUNTIFS(請求台帳!$C$5:$C$504,A40,請求台帳!$B$5:$B$504,"&gt;="&amp;チェック!$C$4,請求台帳!$B$5:$B$504,"&lt;="&amp;EOMONTH(チェック!$C$4,0),請求台帳!$Q$5:$Q$504,"&lt;&gt;取消"))</f>
        <v/>
      </c>
      <c r="J40" s="28" t="str">
        <f aca="false">IF(A40="","",IF(AND(取引先マスタ!G40="有",I40=0),"請求漏れ候補",""))</f>
        <v/>
      </c>
    </row>
    <row r="41" customFormat="false" ht="15" hidden="false" customHeight="false" outlineLevel="0" collapsed="false">
      <c r="A41" s="31" t="str">
        <f aca="false">IF(取引先マスタ!A41="","",取引先マスタ!A41)</f>
        <v/>
      </c>
      <c r="B41" s="31" t="str">
        <f aca="false">IF(A41="","",取引先マスタ!B41)</f>
        <v/>
      </c>
      <c r="C41" s="31" t="str">
        <f aca="false">IF(A41="","",取引先マスタ!J41&amp;"")</f>
        <v/>
      </c>
      <c r="D41" s="27" t="str">
        <f aca="false">IF(A41="","",SUMIFS(請求台帳!$P$5:$P$504,請求台帳!$C$5:$C$504,A41,請求台帳!$Q$5:$Q$504,"&lt;&gt;取消"))</f>
        <v/>
      </c>
      <c r="E41" s="27" t="str">
        <f aca="false">IF(A41="","",D41-SUM(F41:H41))</f>
        <v/>
      </c>
      <c r="F41" s="27" t="str">
        <f aca="false">IF(A41="","",SUMIFS(請求台帳!$P$5:$P$504,請求台帳!$C$5:$C$504,A41,請求台帳!$S$5:$S$504,"&gt;=1",請求台帳!$S$5:$S$504,"&lt;=30"))</f>
        <v/>
      </c>
      <c r="G41" s="27" t="str">
        <f aca="false">IF(A41="","",SUMIFS(請求台帳!$P$5:$P$504,請求台帳!$C$5:$C$504,A41,請求台帳!$S$5:$S$504,"&gt;=31",請求台帳!$S$5:$S$504,"&lt;=60"))</f>
        <v/>
      </c>
      <c r="H41" s="27" t="str">
        <f aca="false">IF(A41="","",SUMIFS(請求台帳!$P$5:$P$504,請求台帳!$C$5:$C$504,A41,請求台帳!$S$5:$S$504,"&gt;=61"))</f>
        <v/>
      </c>
      <c r="I41" s="33" t="str">
        <f aca="false">IF(A41="","",COUNTIFS(請求台帳!$C$5:$C$504,A41,請求台帳!$B$5:$B$504,"&gt;="&amp;チェック!$C$4,請求台帳!$B$5:$B$504,"&lt;="&amp;EOMONTH(チェック!$C$4,0),請求台帳!$Q$5:$Q$504,"&lt;&gt;取消"))</f>
        <v/>
      </c>
      <c r="J41" s="28" t="str">
        <f aca="false">IF(A41="","",IF(AND(取引先マスタ!G41="有",I41=0),"請求漏れ候補",""))</f>
        <v/>
      </c>
    </row>
    <row r="42" customFormat="false" ht="15" hidden="false" customHeight="false" outlineLevel="0" collapsed="false">
      <c r="A42" s="31" t="str">
        <f aca="false">IF(取引先マスタ!A42="","",取引先マスタ!A42)</f>
        <v/>
      </c>
      <c r="B42" s="31" t="str">
        <f aca="false">IF(A42="","",取引先マスタ!B42)</f>
        <v/>
      </c>
      <c r="C42" s="31" t="str">
        <f aca="false">IF(A42="","",取引先マスタ!J42&amp;"")</f>
        <v/>
      </c>
      <c r="D42" s="27" t="str">
        <f aca="false">IF(A42="","",SUMIFS(請求台帳!$P$5:$P$504,請求台帳!$C$5:$C$504,A42,請求台帳!$Q$5:$Q$504,"&lt;&gt;取消"))</f>
        <v/>
      </c>
      <c r="E42" s="27" t="str">
        <f aca="false">IF(A42="","",D42-SUM(F42:H42))</f>
        <v/>
      </c>
      <c r="F42" s="27" t="str">
        <f aca="false">IF(A42="","",SUMIFS(請求台帳!$P$5:$P$504,請求台帳!$C$5:$C$504,A42,請求台帳!$S$5:$S$504,"&gt;=1",請求台帳!$S$5:$S$504,"&lt;=30"))</f>
        <v/>
      </c>
      <c r="G42" s="27" t="str">
        <f aca="false">IF(A42="","",SUMIFS(請求台帳!$P$5:$P$504,請求台帳!$C$5:$C$504,A42,請求台帳!$S$5:$S$504,"&gt;=31",請求台帳!$S$5:$S$504,"&lt;=60"))</f>
        <v/>
      </c>
      <c r="H42" s="27" t="str">
        <f aca="false">IF(A42="","",SUMIFS(請求台帳!$P$5:$P$504,請求台帳!$C$5:$C$504,A42,請求台帳!$S$5:$S$504,"&gt;=61"))</f>
        <v/>
      </c>
      <c r="I42" s="33" t="str">
        <f aca="false">IF(A42="","",COUNTIFS(請求台帳!$C$5:$C$504,A42,請求台帳!$B$5:$B$504,"&gt;="&amp;チェック!$C$4,請求台帳!$B$5:$B$504,"&lt;="&amp;EOMONTH(チェック!$C$4,0),請求台帳!$Q$5:$Q$504,"&lt;&gt;取消"))</f>
        <v/>
      </c>
      <c r="J42" s="28" t="str">
        <f aca="false">IF(A42="","",IF(AND(取引先マスタ!G42="有",I42=0),"請求漏れ候補",""))</f>
        <v/>
      </c>
    </row>
    <row r="43" customFormat="false" ht="15" hidden="false" customHeight="false" outlineLevel="0" collapsed="false">
      <c r="A43" s="31" t="str">
        <f aca="false">IF(取引先マスタ!A43="","",取引先マスタ!A43)</f>
        <v/>
      </c>
      <c r="B43" s="31" t="str">
        <f aca="false">IF(A43="","",取引先マスタ!B43)</f>
        <v/>
      </c>
      <c r="C43" s="31" t="str">
        <f aca="false">IF(A43="","",取引先マスタ!J43&amp;"")</f>
        <v/>
      </c>
      <c r="D43" s="27" t="str">
        <f aca="false">IF(A43="","",SUMIFS(請求台帳!$P$5:$P$504,請求台帳!$C$5:$C$504,A43,請求台帳!$Q$5:$Q$504,"&lt;&gt;取消"))</f>
        <v/>
      </c>
      <c r="E43" s="27" t="str">
        <f aca="false">IF(A43="","",D43-SUM(F43:H43))</f>
        <v/>
      </c>
      <c r="F43" s="27" t="str">
        <f aca="false">IF(A43="","",SUMIFS(請求台帳!$P$5:$P$504,請求台帳!$C$5:$C$504,A43,請求台帳!$S$5:$S$504,"&gt;=1",請求台帳!$S$5:$S$504,"&lt;=30"))</f>
        <v/>
      </c>
      <c r="G43" s="27" t="str">
        <f aca="false">IF(A43="","",SUMIFS(請求台帳!$P$5:$P$504,請求台帳!$C$5:$C$504,A43,請求台帳!$S$5:$S$504,"&gt;=31",請求台帳!$S$5:$S$504,"&lt;=60"))</f>
        <v/>
      </c>
      <c r="H43" s="27" t="str">
        <f aca="false">IF(A43="","",SUMIFS(請求台帳!$P$5:$P$504,請求台帳!$C$5:$C$504,A43,請求台帳!$S$5:$S$504,"&gt;=61"))</f>
        <v/>
      </c>
      <c r="I43" s="33" t="str">
        <f aca="false">IF(A43="","",COUNTIFS(請求台帳!$C$5:$C$504,A43,請求台帳!$B$5:$B$504,"&gt;="&amp;チェック!$C$4,請求台帳!$B$5:$B$504,"&lt;="&amp;EOMONTH(チェック!$C$4,0),請求台帳!$Q$5:$Q$504,"&lt;&gt;取消"))</f>
        <v/>
      </c>
      <c r="J43" s="28" t="str">
        <f aca="false">IF(A43="","",IF(AND(取引先マスタ!G43="有",I43=0),"請求漏れ候補",""))</f>
        <v/>
      </c>
    </row>
    <row r="44" customFormat="false" ht="15" hidden="false" customHeight="false" outlineLevel="0" collapsed="false">
      <c r="A44" s="31" t="str">
        <f aca="false">IF(取引先マスタ!A44="","",取引先マスタ!A44)</f>
        <v/>
      </c>
      <c r="B44" s="31" t="str">
        <f aca="false">IF(A44="","",取引先マスタ!B44)</f>
        <v/>
      </c>
      <c r="C44" s="31" t="str">
        <f aca="false">IF(A44="","",取引先マスタ!J44&amp;"")</f>
        <v/>
      </c>
      <c r="D44" s="27" t="str">
        <f aca="false">IF(A44="","",SUMIFS(請求台帳!$P$5:$P$504,請求台帳!$C$5:$C$504,A44,請求台帳!$Q$5:$Q$504,"&lt;&gt;取消"))</f>
        <v/>
      </c>
      <c r="E44" s="27" t="str">
        <f aca="false">IF(A44="","",D44-SUM(F44:H44))</f>
        <v/>
      </c>
      <c r="F44" s="27" t="str">
        <f aca="false">IF(A44="","",SUMIFS(請求台帳!$P$5:$P$504,請求台帳!$C$5:$C$504,A44,請求台帳!$S$5:$S$504,"&gt;=1",請求台帳!$S$5:$S$504,"&lt;=30"))</f>
        <v/>
      </c>
      <c r="G44" s="27" t="str">
        <f aca="false">IF(A44="","",SUMIFS(請求台帳!$P$5:$P$504,請求台帳!$C$5:$C$504,A44,請求台帳!$S$5:$S$504,"&gt;=31",請求台帳!$S$5:$S$504,"&lt;=60"))</f>
        <v/>
      </c>
      <c r="H44" s="27" t="str">
        <f aca="false">IF(A44="","",SUMIFS(請求台帳!$P$5:$P$504,請求台帳!$C$5:$C$504,A44,請求台帳!$S$5:$S$504,"&gt;=61"))</f>
        <v/>
      </c>
      <c r="I44" s="33" t="str">
        <f aca="false">IF(A44="","",COUNTIFS(請求台帳!$C$5:$C$504,A44,請求台帳!$B$5:$B$504,"&gt;="&amp;チェック!$C$4,請求台帳!$B$5:$B$504,"&lt;="&amp;EOMONTH(チェック!$C$4,0),請求台帳!$Q$5:$Q$504,"&lt;&gt;取消"))</f>
        <v/>
      </c>
      <c r="J44" s="28" t="str">
        <f aca="false">IF(A44="","",IF(AND(取引先マスタ!G44="有",I44=0),"請求漏れ候補",""))</f>
        <v/>
      </c>
    </row>
    <row r="45" customFormat="false" ht="15" hidden="false" customHeight="false" outlineLevel="0" collapsed="false">
      <c r="A45" s="31" t="str">
        <f aca="false">IF(取引先マスタ!A45="","",取引先マスタ!A45)</f>
        <v/>
      </c>
      <c r="B45" s="31" t="str">
        <f aca="false">IF(A45="","",取引先マスタ!B45)</f>
        <v/>
      </c>
      <c r="C45" s="31" t="str">
        <f aca="false">IF(A45="","",取引先マスタ!J45&amp;"")</f>
        <v/>
      </c>
      <c r="D45" s="27" t="str">
        <f aca="false">IF(A45="","",SUMIFS(請求台帳!$P$5:$P$504,請求台帳!$C$5:$C$504,A45,請求台帳!$Q$5:$Q$504,"&lt;&gt;取消"))</f>
        <v/>
      </c>
      <c r="E45" s="27" t="str">
        <f aca="false">IF(A45="","",D45-SUM(F45:H45))</f>
        <v/>
      </c>
      <c r="F45" s="27" t="str">
        <f aca="false">IF(A45="","",SUMIFS(請求台帳!$P$5:$P$504,請求台帳!$C$5:$C$504,A45,請求台帳!$S$5:$S$504,"&gt;=1",請求台帳!$S$5:$S$504,"&lt;=30"))</f>
        <v/>
      </c>
      <c r="G45" s="27" t="str">
        <f aca="false">IF(A45="","",SUMIFS(請求台帳!$P$5:$P$504,請求台帳!$C$5:$C$504,A45,請求台帳!$S$5:$S$504,"&gt;=31",請求台帳!$S$5:$S$504,"&lt;=60"))</f>
        <v/>
      </c>
      <c r="H45" s="27" t="str">
        <f aca="false">IF(A45="","",SUMIFS(請求台帳!$P$5:$P$504,請求台帳!$C$5:$C$504,A45,請求台帳!$S$5:$S$504,"&gt;=61"))</f>
        <v/>
      </c>
      <c r="I45" s="33" t="str">
        <f aca="false">IF(A45="","",COUNTIFS(請求台帳!$C$5:$C$504,A45,請求台帳!$B$5:$B$504,"&gt;="&amp;チェック!$C$4,請求台帳!$B$5:$B$504,"&lt;="&amp;EOMONTH(チェック!$C$4,0),請求台帳!$Q$5:$Q$504,"&lt;&gt;取消"))</f>
        <v/>
      </c>
      <c r="J45" s="28" t="str">
        <f aca="false">IF(A45="","",IF(AND(取引先マスタ!G45="有",I45=0),"請求漏れ候補",""))</f>
        <v/>
      </c>
    </row>
    <row r="46" customFormat="false" ht="15" hidden="false" customHeight="false" outlineLevel="0" collapsed="false">
      <c r="A46" s="31" t="str">
        <f aca="false">IF(取引先マスタ!A46="","",取引先マスタ!A46)</f>
        <v/>
      </c>
      <c r="B46" s="31" t="str">
        <f aca="false">IF(A46="","",取引先マスタ!B46)</f>
        <v/>
      </c>
      <c r="C46" s="31" t="str">
        <f aca="false">IF(A46="","",取引先マスタ!J46&amp;"")</f>
        <v/>
      </c>
      <c r="D46" s="27" t="str">
        <f aca="false">IF(A46="","",SUMIFS(請求台帳!$P$5:$P$504,請求台帳!$C$5:$C$504,A46,請求台帳!$Q$5:$Q$504,"&lt;&gt;取消"))</f>
        <v/>
      </c>
      <c r="E46" s="27" t="str">
        <f aca="false">IF(A46="","",D46-SUM(F46:H46))</f>
        <v/>
      </c>
      <c r="F46" s="27" t="str">
        <f aca="false">IF(A46="","",SUMIFS(請求台帳!$P$5:$P$504,請求台帳!$C$5:$C$504,A46,請求台帳!$S$5:$S$504,"&gt;=1",請求台帳!$S$5:$S$504,"&lt;=30"))</f>
        <v/>
      </c>
      <c r="G46" s="27" t="str">
        <f aca="false">IF(A46="","",SUMIFS(請求台帳!$P$5:$P$504,請求台帳!$C$5:$C$504,A46,請求台帳!$S$5:$S$504,"&gt;=31",請求台帳!$S$5:$S$504,"&lt;=60"))</f>
        <v/>
      </c>
      <c r="H46" s="27" t="str">
        <f aca="false">IF(A46="","",SUMIFS(請求台帳!$P$5:$P$504,請求台帳!$C$5:$C$504,A46,請求台帳!$S$5:$S$504,"&gt;=61"))</f>
        <v/>
      </c>
      <c r="I46" s="33" t="str">
        <f aca="false">IF(A46="","",COUNTIFS(請求台帳!$C$5:$C$504,A46,請求台帳!$B$5:$B$504,"&gt;="&amp;チェック!$C$4,請求台帳!$B$5:$B$504,"&lt;="&amp;EOMONTH(チェック!$C$4,0),請求台帳!$Q$5:$Q$504,"&lt;&gt;取消"))</f>
        <v/>
      </c>
      <c r="J46" s="28" t="str">
        <f aca="false">IF(A46="","",IF(AND(取引先マスタ!G46="有",I46=0),"請求漏れ候補",""))</f>
        <v/>
      </c>
    </row>
    <row r="47" customFormat="false" ht="15" hidden="false" customHeight="false" outlineLevel="0" collapsed="false">
      <c r="A47" s="31" t="str">
        <f aca="false">IF(取引先マスタ!A47="","",取引先マスタ!A47)</f>
        <v/>
      </c>
      <c r="B47" s="31" t="str">
        <f aca="false">IF(A47="","",取引先マスタ!B47)</f>
        <v/>
      </c>
      <c r="C47" s="31" t="str">
        <f aca="false">IF(A47="","",取引先マスタ!J47&amp;"")</f>
        <v/>
      </c>
      <c r="D47" s="27" t="str">
        <f aca="false">IF(A47="","",SUMIFS(請求台帳!$P$5:$P$504,請求台帳!$C$5:$C$504,A47,請求台帳!$Q$5:$Q$504,"&lt;&gt;取消"))</f>
        <v/>
      </c>
      <c r="E47" s="27" t="str">
        <f aca="false">IF(A47="","",D47-SUM(F47:H47))</f>
        <v/>
      </c>
      <c r="F47" s="27" t="str">
        <f aca="false">IF(A47="","",SUMIFS(請求台帳!$P$5:$P$504,請求台帳!$C$5:$C$504,A47,請求台帳!$S$5:$S$504,"&gt;=1",請求台帳!$S$5:$S$504,"&lt;=30"))</f>
        <v/>
      </c>
      <c r="G47" s="27" t="str">
        <f aca="false">IF(A47="","",SUMIFS(請求台帳!$P$5:$P$504,請求台帳!$C$5:$C$504,A47,請求台帳!$S$5:$S$504,"&gt;=31",請求台帳!$S$5:$S$504,"&lt;=60"))</f>
        <v/>
      </c>
      <c r="H47" s="27" t="str">
        <f aca="false">IF(A47="","",SUMIFS(請求台帳!$P$5:$P$504,請求台帳!$C$5:$C$504,A47,請求台帳!$S$5:$S$504,"&gt;=61"))</f>
        <v/>
      </c>
      <c r="I47" s="33" t="str">
        <f aca="false">IF(A47="","",COUNTIFS(請求台帳!$C$5:$C$504,A47,請求台帳!$B$5:$B$504,"&gt;="&amp;チェック!$C$4,請求台帳!$B$5:$B$504,"&lt;="&amp;EOMONTH(チェック!$C$4,0),請求台帳!$Q$5:$Q$504,"&lt;&gt;取消"))</f>
        <v/>
      </c>
      <c r="J47" s="28" t="str">
        <f aca="false">IF(A47="","",IF(AND(取引先マスタ!G47="有",I47=0),"請求漏れ候補",""))</f>
        <v/>
      </c>
    </row>
    <row r="48" customFormat="false" ht="15" hidden="false" customHeight="false" outlineLevel="0" collapsed="false">
      <c r="A48" s="31" t="str">
        <f aca="false">IF(取引先マスタ!A48="","",取引先マスタ!A48)</f>
        <v/>
      </c>
      <c r="B48" s="31" t="str">
        <f aca="false">IF(A48="","",取引先マスタ!B48)</f>
        <v/>
      </c>
      <c r="C48" s="31" t="str">
        <f aca="false">IF(A48="","",取引先マスタ!J48&amp;"")</f>
        <v/>
      </c>
      <c r="D48" s="27" t="str">
        <f aca="false">IF(A48="","",SUMIFS(請求台帳!$P$5:$P$504,請求台帳!$C$5:$C$504,A48,請求台帳!$Q$5:$Q$504,"&lt;&gt;取消"))</f>
        <v/>
      </c>
      <c r="E48" s="27" t="str">
        <f aca="false">IF(A48="","",D48-SUM(F48:H48))</f>
        <v/>
      </c>
      <c r="F48" s="27" t="str">
        <f aca="false">IF(A48="","",SUMIFS(請求台帳!$P$5:$P$504,請求台帳!$C$5:$C$504,A48,請求台帳!$S$5:$S$504,"&gt;=1",請求台帳!$S$5:$S$504,"&lt;=30"))</f>
        <v/>
      </c>
      <c r="G48" s="27" t="str">
        <f aca="false">IF(A48="","",SUMIFS(請求台帳!$P$5:$P$504,請求台帳!$C$5:$C$504,A48,請求台帳!$S$5:$S$504,"&gt;=31",請求台帳!$S$5:$S$504,"&lt;=60"))</f>
        <v/>
      </c>
      <c r="H48" s="27" t="str">
        <f aca="false">IF(A48="","",SUMIFS(請求台帳!$P$5:$P$504,請求台帳!$C$5:$C$504,A48,請求台帳!$S$5:$S$504,"&gt;=61"))</f>
        <v/>
      </c>
      <c r="I48" s="33" t="str">
        <f aca="false">IF(A48="","",COUNTIFS(請求台帳!$C$5:$C$504,A48,請求台帳!$B$5:$B$504,"&gt;="&amp;チェック!$C$4,請求台帳!$B$5:$B$504,"&lt;="&amp;EOMONTH(チェック!$C$4,0),請求台帳!$Q$5:$Q$504,"&lt;&gt;取消"))</f>
        <v/>
      </c>
      <c r="J48" s="28" t="str">
        <f aca="false">IF(A48="","",IF(AND(取引先マスタ!G48="有",I48=0),"請求漏れ候補",""))</f>
        <v/>
      </c>
    </row>
    <row r="49" customFormat="false" ht="15" hidden="false" customHeight="false" outlineLevel="0" collapsed="false">
      <c r="A49" s="31" t="str">
        <f aca="false">IF(取引先マスタ!A49="","",取引先マスタ!A49)</f>
        <v/>
      </c>
      <c r="B49" s="31" t="str">
        <f aca="false">IF(A49="","",取引先マスタ!B49)</f>
        <v/>
      </c>
      <c r="C49" s="31" t="str">
        <f aca="false">IF(A49="","",取引先マスタ!J49&amp;"")</f>
        <v/>
      </c>
      <c r="D49" s="27" t="str">
        <f aca="false">IF(A49="","",SUMIFS(請求台帳!$P$5:$P$504,請求台帳!$C$5:$C$504,A49,請求台帳!$Q$5:$Q$504,"&lt;&gt;取消"))</f>
        <v/>
      </c>
      <c r="E49" s="27" t="str">
        <f aca="false">IF(A49="","",D49-SUM(F49:H49))</f>
        <v/>
      </c>
      <c r="F49" s="27" t="str">
        <f aca="false">IF(A49="","",SUMIFS(請求台帳!$P$5:$P$504,請求台帳!$C$5:$C$504,A49,請求台帳!$S$5:$S$504,"&gt;=1",請求台帳!$S$5:$S$504,"&lt;=30"))</f>
        <v/>
      </c>
      <c r="G49" s="27" t="str">
        <f aca="false">IF(A49="","",SUMIFS(請求台帳!$P$5:$P$504,請求台帳!$C$5:$C$504,A49,請求台帳!$S$5:$S$504,"&gt;=31",請求台帳!$S$5:$S$504,"&lt;=60"))</f>
        <v/>
      </c>
      <c r="H49" s="27" t="str">
        <f aca="false">IF(A49="","",SUMIFS(請求台帳!$P$5:$P$504,請求台帳!$C$5:$C$504,A49,請求台帳!$S$5:$S$504,"&gt;=61"))</f>
        <v/>
      </c>
      <c r="I49" s="33" t="str">
        <f aca="false">IF(A49="","",COUNTIFS(請求台帳!$C$5:$C$504,A49,請求台帳!$B$5:$B$504,"&gt;="&amp;チェック!$C$4,請求台帳!$B$5:$B$504,"&lt;="&amp;EOMONTH(チェック!$C$4,0),請求台帳!$Q$5:$Q$504,"&lt;&gt;取消"))</f>
        <v/>
      </c>
      <c r="J49" s="28" t="str">
        <f aca="false">IF(A49="","",IF(AND(取引先マスタ!G49="有",I49=0),"請求漏れ候補",""))</f>
        <v/>
      </c>
    </row>
    <row r="50" customFormat="false" ht="15" hidden="false" customHeight="false" outlineLevel="0" collapsed="false">
      <c r="A50" s="31" t="str">
        <f aca="false">IF(取引先マスタ!A50="","",取引先マスタ!A50)</f>
        <v/>
      </c>
      <c r="B50" s="31" t="str">
        <f aca="false">IF(A50="","",取引先マスタ!B50)</f>
        <v/>
      </c>
      <c r="C50" s="31" t="str">
        <f aca="false">IF(A50="","",取引先マスタ!J50&amp;"")</f>
        <v/>
      </c>
      <c r="D50" s="27" t="str">
        <f aca="false">IF(A50="","",SUMIFS(請求台帳!$P$5:$P$504,請求台帳!$C$5:$C$504,A50,請求台帳!$Q$5:$Q$504,"&lt;&gt;取消"))</f>
        <v/>
      </c>
      <c r="E50" s="27" t="str">
        <f aca="false">IF(A50="","",D50-SUM(F50:H50))</f>
        <v/>
      </c>
      <c r="F50" s="27" t="str">
        <f aca="false">IF(A50="","",SUMIFS(請求台帳!$P$5:$P$504,請求台帳!$C$5:$C$504,A50,請求台帳!$S$5:$S$504,"&gt;=1",請求台帳!$S$5:$S$504,"&lt;=30"))</f>
        <v/>
      </c>
      <c r="G50" s="27" t="str">
        <f aca="false">IF(A50="","",SUMIFS(請求台帳!$P$5:$P$504,請求台帳!$C$5:$C$504,A50,請求台帳!$S$5:$S$504,"&gt;=31",請求台帳!$S$5:$S$504,"&lt;=60"))</f>
        <v/>
      </c>
      <c r="H50" s="27" t="str">
        <f aca="false">IF(A50="","",SUMIFS(請求台帳!$P$5:$P$504,請求台帳!$C$5:$C$504,A50,請求台帳!$S$5:$S$504,"&gt;=61"))</f>
        <v/>
      </c>
      <c r="I50" s="33" t="str">
        <f aca="false">IF(A50="","",COUNTIFS(請求台帳!$C$5:$C$504,A50,請求台帳!$B$5:$B$504,"&gt;="&amp;チェック!$C$4,請求台帳!$B$5:$B$504,"&lt;="&amp;EOMONTH(チェック!$C$4,0),請求台帳!$Q$5:$Q$504,"&lt;&gt;取消"))</f>
        <v/>
      </c>
      <c r="J50" s="28" t="str">
        <f aca="false">IF(A50="","",IF(AND(取引先マスタ!G50="有",I50=0),"請求漏れ候補",""))</f>
        <v/>
      </c>
    </row>
    <row r="51" customFormat="false" ht="15" hidden="false" customHeight="false" outlineLevel="0" collapsed="false">
      <c r="A51" s="31" t="str">
        <f aca="false">IF(取引先マスタ!A51="","",取引先マスタ!A51)</f>
        <v/>
      </c>
      <c r="B51" s="31" t="str">
        <f aca="false">IF(A51="","",取引先マスタ!B51)</f>
        <v/>
      </c>
      <c r="C51" s="31" t="str">
        <f aca="false">IF(A51="","",取引先マスタ!J51&amp;"")</f>
        <v/>
      </c>
      <c r="D51" s="27" t="str">
        <f aca="false">IF(A51="","",SUMIFS(請求台帳!$P$5:$P$504,請求台帳!$C$5:$C$504,A51,請求台帳!$Q$5:$Q$504,"&lt;&gt;取消"))</f>
        <v/>
      </c>
      <c r="E51" s="27" t="str">
        <f aca="false">IF(A51="","",D51-SUM(F51:H51))</f>
        <v/>
      </c>
      <c r="F51" s="27" t="str">
        <f aca="false">IF(A51="","",SUMIFS(請求台帳!$P$5:$P$504,請求台帳!$C$5:$C$504,A51,請求台帳!$S$5:$S$504,"&gt;=1",請求台帳!$S$5:$S$504,"&lt;=30"))</f>
        <v/>
      </c>
      <c r="G51" s="27" t="str">
        <f aca="false">IF(A51="","",SUMIFS(請求台帳!$P$5:$P$504,請求台帳!$C$5:$C$504,A51,請求台帳!$S$5:$S$504,"&gt;=31",請求台帳!$S$5:$S$504,"&lt;=60"))</f>
        <v/>
      </c>
      <c r="H51" s="27" t="str">
        <f aca="false">IF(A51="","",SUMIFS(請求台帳!$P$5:$P$504,請求台帳!$C$5:$C$504,A51,請求台帳!$S$5:$S$504,"&gt;=61"))</f>
        <v/>
      </c>
      <c r="I51" s="33" t="str">
        <f aca="false">IF(A51="","",COUNTIFS(請求台帳!$C$5:$C$504,A51,請求台帳!$B$5:$B$504,"&gt;="&amp;チェック!$C$4,請求台帳!$B$5:$B$504,"&lt;="&amp;EOMONTH(チェック!$C$4,0),請求台帳!$Q$5:$Q$504,"&lt;&gt;取消"))</f>
        <v/>
      </c>
      <c r="J51" s="28" t="str">
        <f aca="false">IF(A51="","",IF(AND(取引先マスタ!G51="有",I51=0),"請求漏れ候補",""))</f>
        <v/>
      </c>
    </row>
    <row r="52" customFormat="false" ht="15" hidden="false" customHeight="false" outlineLevel="0" collapsed="false">
      <c r="A52" s="31" t="str">
        <f aca="false">IF(取引先マスタ!A52="","",取引先マスタ!A52)</f>
        <v/>
      </c>
      <c r="B52" s="31" t="str">
        <f aca="false">IF(A52="","",取引先マスタ!B52)</f>
        <v/>
      </c>
      <c r="C52" s="31" t="str">
        <f aca="false">IF(A52="","",取引先マスタ!J52&amp;"")</f>
        <v/>
      </c>
      <c r="D52" s="27" t="str">
        <f aca="false">IF(A52="","",SUMIFS(請求台帳!$P$5:$P$504,請求台帳!$C$5:$C$504,A52,請求台帳!$Q$5:$Q$504,"&lt;&gt;取消"))</f>
        <v/>
      </c>
      <c r="E52" s="27" t="str">
        <f aca="false">IF(A52="","",D52-SUM(F52:H52))</f>
        <v/>
      </c>
      <c r="F52" s="27" t="str">
        <f aca="false">IF(A52="","",SUMIFS(請求台帳!$P$5:$P$504,請求台帳!$C$5:$C$504,A52,請求台帳!$S$5:$S$504,"&gt;=1",請求台帳!$S$5:$S$504,"&lt;=30"))</f>
        <v/>
      </c>
      <c r="G52" s="27" t="str">
        <f aca="false">IF(A52="","",SUMIFS(請求台帳!$P$5:$P$504,請求台帳!$C$5:$C$504,A52,請求台帳!$S$5:$S$504,"&gt;=31",請求台帳!$S$5:$S$504,"&lt;=60"))</f>
        <v/>
      </c>
      <c r="H52" s="27" t="str">
        <f aca="false">IF(A52="","",SUMIFS(請求台帳!$P$5:$P$504,請求台帳!$C$5:$C$504,A52,請求台帳!$S$5:$S$504,"&gt;=61"))</f>
        <v/>
      </c>
      <c r="I52" s="33" t="str">
        <f aca="false">IF(A52="","",COUNTIFS(請求台帳!$C$5:$C$504,A52,請求台帳!$B$5:$B$504,"&gt;="&amp;チェック!$C$4,請求台帳!$B$5:$B$504,"&lt;="&amp;EOMONTH(チェック!$C$4,0),請求台帳!$Q$5:$Q$504,"&lt;&gt;取消"))</f>
        <v/>
      </c>
      <c r="J52" s="28" t="str">
        <f aca="false">IF(A52="","",IF(AND(取引先マスタ!G52="有",I52=0),"請求漏れ候補",""))</f>
        <v/>
      </c>
    </row>
    <row r="53" customFormat="false" ht="15" hidden="false" customHeight="false" outlineLevel="0" collapsed="false">
      <c r="A53" s="31" t="str">
        <f aca="false">IF(取引先マスタ!A53="","",取引先マスタ!A53)</f>
        <v/>
      </c>
      <c r="B53" s="31" t="str">
        <f aca="false">IF(A53="","",取引先マスタ!B53)</f>
        <v/>
      </c>
      <c r="C53" s="31" t="str">
        <f aca="false">IF(A53="","",取引先マスタ!J53&amp;"")</f>
        <v/>
      </c>
      <c r="D53" s="27" t="str">
        <f aca="false">IF(A53="","",SUMIFS(請求台帳!$P$5:$P$504,請求台帳!$C$5:$C$504,A53,請求台帳!$Q$5:$Q$504,"&lt;&gt;取消"))</f>
        <v/>
      </c>
      <c r="E53" s="27" t="str">
        <f aca="false">IF(A53="","",D53-SUM(F53:H53))</f>
        <v/>
      </c>
      <c r="F53" s="27" t="str">
        <f aca="false">IF(A53="","",SUMIFS(請求台帳!$P$5:$P$504,請求台帳!$C$5:$C$504,A53,請求台帳!$S$5:$S$504,"&gt;=1",請求台帳!$S$5:$S$504,"&lt;=30"))</f>
        <v/>
      </c>
      <c r="G53" s="27" t="str">
        <f aca="false">IF(A53="","",SUMIFS(請求台帳!$P$5:$P$504,請求台帳!$C$5:$C$504,A53,請求台帳!$S$5:$S$504,"&gt;=31",請求台帳!$S$5:$S$504,"&lt;=60"))</f>
        <v/>
      </c>
      <c r="H53" s="27" t="str">
        <f aca="false">IF(A53="","",SUMIFS(請求台帳!$P$5:$P$504,請求台帳!$C$5:$C$504,A53,請求台帳!$S$5:$S$504,"&gt;=61"))</f>
        <v/>
      </c>
      <c r="I53" s="33" t="str">
        <f aca="false">IF(A53="","",COUNTIFS(請求台帳!$C$5:$C$504,A53,請求台帳!$B$5:$B$504,"&gt;="&amp;チェック!$C$4,請求台帳!$B$5:$B$504,"&lt;="&amp;EOMONTH(チェック!$C$4,0),請求台帳!$Q$5:$Q$504,"&lt;&gt;取消"))</f>
        <v/>
      </c>
      <c r="J53" s="28" t="str">
        <f aca="false">IF(A53="","",IF(AND(取引先マスタ!G53="有",I53=0),"請求漏れ候補",""))</f>
        <v/>
      </c>
    </row>
    <row r="54" customFormat="false" ht="15" hidden="false" customHeight="false" outlineLevel="0" collapsed="false">
      <c r="A54" s="31" t="str">
        <f aca="false">IF(取引先マスタ!A54="","",取引先マスタ!A54)</f>
        <v/>
      </c>
      <c r="B54" s="31" t="str">
        <f aca="false">IF(A54="","",取引先マスタ!B54)</f>
        <v/>
      </c>
      <c r="C54" s="31" t="str">
        <f aca="false">IF(A54="","",取引先マスタ!J54&amp;"")</f>
        <v/>
      </c>
      <c r="D54" s="27" t="str">
        <f aca="false">IF(A54="","",SUMIFS(請求台帳!$P$5:$P$504,請求台帳!$C$5:$C$504,A54,請求台帳!$Q$5:$Q$504,"&lt;&gt;取消"))</f>
        <v/>
      </c>
      <c r="E54" s="27" t="str">
        <f aca="false">IF(A54="","",D54-SUM(F54:H54))</f>
        <v/>
      </c>
      <c r="F54" s="27" t="str">
        <f aca="false">IF(A54="","",SUMIFS(請求台帳!$P$5:$P$504,請求台帳!$C$5:$C$504,A54,請求台帳!$S$5:$S$504,"&gt;=1",請求台帳!$S$5:$S$504,"&lt;=30"))</f>
        <v/>
      </c>
      <c r="G54" s="27" t="str">
        <f aca="false">IF(A54="","",SUMIFS(請求台帳!$P$5:$P$504,請求台帳!$C$5:$C$504,A54,請求台帳!$S$5:$S$504,"&gt;=31",請求台帳!$S$5:$S$504,"&lt;=60"))</f>
        <v/>
      </c>
      <c r="H54" s="27" t="str">
        <f aca="false">IF(A54="","",SUMIFS(請求台帳!$P$5:$P$504,請求台帳!$C$5:$C$504,A54,請求台帳!$S$5:$S$504,"&gt;=61"))</f>
        <v/>
      </c>
      <c r="I54" s="33" t="str">
        <f aca="false">IF(A54="","",COUNTIFS(請求台帳!$C$5:$C$504,A54,請求台帳!$B$5:$B$504,"&gt;="&amp;チェック!$C$4,請求台帳!$B$5:$B$504,"&lt;="&amp;EOMONTH(チェック!$C$4,0),請求台帳!$Q$5:$Q$504,"&lt;&gt;取消"))</f>
        <v/>
      </c>
      <c r="J54" s="28" t="str">
        <f aca="false">IF(A54="","",IF(AND(取引先マスタ!G54="有",I54=0),"請求漏れ候補",""))</f>
        <v/>
      </c>
    </row>
    <row r="55" customFormat="false" ht="15" hidden="false" customHeight="false" outlineLevel="0" collapsed="false">
      <c r="A55" s="31" t="str">
        <f aca="false">IF(取引先マスタ!A55="","",取引先マスタ!A55)</f>
        <v/>
      </c>
      <c r="B55" s="31" t="str">
        <f aca="false">IF(A55="","",取引先マスタ!B55)</f>
        <v/>
      </c>
      <c r="C55" s="31" t="str">
        <f aca="false">IF(A55="","",取引先マスタ!J55&amp;"")</f>
        <v/>
      </c>
      <c r="D55" s="27" t="str">
        <f aca="false">IF(A55="","",SUMIFS(請求台帳!$P$5:$P$504,請求台帳!$C$5:$C$504,A55,請求台帳!$Q$5:$Q$504,"&lt;&gt;取消"))</f>
        <v/>
      </c>
      <c r="E55" s="27" t="str">
        <f aca="false">IF(A55="","",D55-SUM(F55:H55))</f>
        <v/>
      </c>
      <c r="F55" s="27" t="str">
        <f aca="false">IF(A55="","",SUMIFS(請求台帳!$P$5:$P$504,請求台帳!$C$5:$C$504,A55,請求台帳!$S$5:$S$504,"&gt;=1",請求台帳!$S$5:$S$504,"&lt;=30"))</f>
        <v/>
      </c>
      <c r="G55" s="27" t="str">
        <f aca="false">IF(A55="","",SUMIFS(請求台帳!$P$5:$P$504,請求台帳!$C$5:$C$504,A55,請求台帳!$S$5:$S$504,"&gt;=31",請求台帳!$S$5:$S$504,"&lt;=60"))</f>
        <v/>
      </c>
      <c r="H55" s="27" t="str">
        <f aca="false">IF(A55="","",SUMIFS(請求台帳!$P$5:$P$504,請求台帳!$C$5:$C$504,A55,請求台帳!$S$5:$S$504,"&gt;=61"))</f>
        <v/>
      </c>
      <c r="I55" s="33" t="str">
        <f aca="false">IF(A55="","",COUNTIFS(請求台帳!$C$5:$C$504,A55,請求台帳!$B$5:$B$504,"&gt;="&amp;チェック!$C$4,請求台帳!$B$5:$B$504,"&lt;="&amp;EOMONTH(チェック!$C$4,0),請求台帳!$Q$5:$Q$504,"&lt;&gt;取消"))</f>
        <v/>
      </c>
      <c r="J55" s="28" t="str">
        <f aca="false">IF(A55="","",IF(AND(取引先マスタ!G55="有",I55=0),"請求漏れ候補",""))</f>
        <v/>
      </c>
    </row>
    <row r="56" customFormat="false" ht="15" hidden="false" customHeight="false" outlineLevel="0" collapsed="false">
      <c r="A56" s="31" t="str">
        <f aca="false">IF(取引先マスタ!A56="","",取引先マスタ!A56)</f>
        <v/>
      </c>
      <c r="B56" s="31" t="str">
        <f aca="false">IF(A56="","",取引先マスタ!B56)</f>
        <v/>
      </c>
      <c r="C56" s="31" t="str">
        <f aca="false">IF(A56="","",取引先マスタ!J56&amp;"")</f>
        <v/>
      </c>
      <c r="D56" s="27" t="str">
        <f aca="false">IF(A56="","",SUMIFS(請求台帳!$P$5:$P$504,請求台帳!$C$5:$C$504,A56,請求台帳!$Q$5:$Q$504,"&lt;&gt;取消"))</f>
        <v/>
      </c>
      <c r="E56" s="27" t="str">
        <f aca="false">IF(A56="","",D56-SUM(F56:H56))</f>
        <v/>
      </c>
      <c r="F56" s="27" t="str">
        <f aca="false">IF(A56="","",SUMIFS(請求台帳!$P$5:$P$504,請求台帳!$C$5:$C$504,A56,請求台帳!$S$5:$S$504,"&gt;=1",請求台帳!$S$5:$S$504,"&lt;=30"))</f>
        <v/>
      </c>
      <c r="G56" s="27" t="str">
        <f aca="false">IF(A56="","",SUMIFS(請求台帳!$P$5:$P$504,請求台帳!$C$5:$C$504,A56,請求台帳!$S$5:$S$504,"&gt;=31",請求台帳!$S$5:$S$504,"&lt;=60"))</f>
        <v/>
      </c>
      <c r="H56" s="27" t="str">
        <f aca="false">IF(A56="","",SUMIFS(請求台帳!$P$5:$P$504,請求台帳!$C$5:$C$504,A56,請求台帳!$S$5:$S$504,"&gt;=61"))</f>
        <v/>
      </c>
      <c r="I56" s="33" t="str">
        <f aca="false">IF(A56="","",COUNTIFS(請求台帳!$C$5:$C$504,A56,請求台帳!$B$5:$B$504,"&gt;="&amp;チェック!$C$4,請求台帳!$B$5:$B$504,"&lt;="&amp;EOMONTH(チェック!$C$4,0),請求台帳!$Q$5:$Q$504,"&lt;&gt;取消"))</f>
        <v/>
      </c>
      <c r="J56" s="28" t="str">
        <f aca="false">IF(A56="","",IF(AND(取引先マスタ!G56="有",I56=0),"請求漏れ候補",""))</f>
        <v/>
      </c>
    </row>
    <row r="57" customFormat="false" ht="15" hidden="false" customHeight="false" outlineLevel="0" collapsed="false">
      <c r="A57" s="31" t="str">
        <f aca="false">IF(取引先マスタ!A57="","",取引先マスタ!A57)</f>
        <v/>
      </c>
      <c r="B57" s="31" t="str">
        <f aca="false">IF(A57="","",取引先マスタ!B57)</f>
        <v/>
      </c>
      <c r="C57" s="31" t="str">
        <f aca="false">IF(A57="","",取引先マスタ!J57&amp;"")</f>
        <v/>
      </c>
      <c r="D57" s="27" t="str">
        <f aca="false">IF(A57="","",SUMIFS(請求台帳!$P$5:$P$504,請求台帳!$C$5:$C$504,A57,請求台帳!$Q$5:$Q$504,"&lt;&gt;取消"))</f>
        <v/>
      </c>
      <c r="E57" s="27" t="str">
        <f aca="false">IF(A57="","",D57-SUM(F57:H57))</f>
        <v/>
      </c>
      <c r="F57" s="27" t="str">
        <f aca="false">IF(A57="","",SUMIFS(請求台帳!$P$5:$P$504,請求台帳!$C$5:$C$504,A57,請求台帳!$S$5:$S$504,"&gt;=1",請求台帳!$S$5:$S$504,"&lt;=30"))</f>
        <v/>
      </c>
      <c r="G57" s="27" t="str">
        <f aca="false">IF(A57="","",SUMIFS(請求台帳!$P$5:$P$504,請求台帳!$C$5:$C$504,A57,請求台帳!$S$5:$S$504,"&gt;=31",請求台帳!$S$5:$S$504,"&lt;=60"))</f>
        <v/>
      </c>
      <c r="H57" s="27" t="str">
        <f aca="false">IF(A57="","",SUMIFS(請求台帳!$P$5:$P$504,請求台帳!$C$5:$C$504,A57,請求台帳!$S$5:$S$504,"&gt;=61"))</f>
        <v/>
      </c>
      <c r="I57" s="33" t="str">
        <f aca="false">IF(A57="","",COUNTIFS(請求台帳!$C$5:$C$504,A57,請求台帳!$B$5:$B$504,"&gt;="&amp;チェック!$C$4,請求台帳!$B$5:$B$504,"&lt;="&amp;EOMONTH(チェック!$C$4,0),請求台帳!$Q$5:$Q$504,"&lt;&gt;取消"))</f>
        <v/>
      </c>
      <c r="J57" s="28" t="str">
        <f aca="false">IF(A57="","",IF(AND(取引先マスタ!G57="有",I57=0),"請求漏れ候補",""))</f>
        <v/>
      </c>
    </row>
    <row r="58" customFormat="false" ht="15" hidden="false" customHeight="false" outlineLevel="0" collapsed="false">
      <c r="A58" s="31" t="str">
        <f aca="false">IF(取引先マスタ!A58="","",取引先マスタ!A58)</f>
        <v/>
      </c>
      <c r="B58" s="31" t="str">
        <f aca="false">IF(A58="","",取引先マスタ!B58)</f>
        <v/>
      </c>
      <c r="C58" s="31" t="str">
        <f aca="false">IF(A58="","",取引先マスタ!J58&amp;"")</f>
        <v/>
      </c>
      <c r="D58" s="27" t="str">
        <f aca="false">IF(A58="","",SUMIFS(請求台帳!$P$5:$P$504,請求台帳!$C$5:$C$504,A58,請求台帳!$Q$5:$Q$504,"&lt;&gt;取消"))</f>
        <v/>
      </c>
      <c r="E58" s="27" t="str">
        <f aca="false">IF(A58="","",D58-SUM(F58:H58))</f>
        <v/>
      </c>
      <c r="F58" s="27" t="str">
        <f aca="false">IF(A58="","",SUMIFS(請求台帳!$P$5:$P$504,請求台帳!$C$5:$C$504,A58,請求台帳!$S$5:$S$504,"&gt;=1",請求台帳!$S$5:$S$504,"&lt;=30"))</f>
        <v/>
      </c>
      <c r="G58" s="27" t="str">
        <f aca="false">IF(A58="","",SUMIFS(請求台帳!$P$5:$P$504,請求台帳!$C$5:$C$504,A58,請求台帳!$S$5:$S$504,"&gt;=31",請求台帳!$S$5:$S$504,"&lt;=60"))</f>
        <v/>
      </c>
      <c r="H58" s="27" t="str">
        <f aca="false">IF(A58="","",SUMIFS(請求台帳!$P$5:$P$504,請求台帳!$C$5:$C$504,A58,請求台帳!$S$5:$S$504,"&gt;=61"))</f>
        <v/>
      </c>
      <c r="I58" s="33" t="str">
        <f aca="false">IF(A58="","",COUNTIFS(請求台帳!$C$5:$C$504,A58,請求台帳!$B$5:$B$504,"&gt;="&amp;チェック!$C$4,請求台帳!$B$5:$B$504,"&lt;="&amp;EOMONTH(チェック!$C$4,0),請求台帳!$Q$5:$Q$504,"&lt;&gt;取消"))</f>
        <v/>
      </c>
      <c r="J58" s="28" t="str">
        <f aca="false">IF(A58="","",IF(AND(取引先マスタ!G58="有",I58=0),"請求漏れ候補",""))</f>
        <v/>
      </c>
    </row>
    <row r="59" customFormat="false" ht="15" hidden="false" customHeight="false" outlineLevel="0" collapsed="false">
      <c r="A59" s="31" t="str">
        <f aca="false">IF(取引先マスタ!A59="","",取引先マスタ!A59)</f>
        <v/>
      </c>
      <c r="B59" s="31" t="str">
        <f aca="false">IF(A59="","",取引先マスタ!B59)</f>
        <v/>
      </c>
      <c r="C59" s="31" t="str">
        <f aca="false">IF(A59="","",取引先マスタ!J59&amp;"")</f>
        <v/>
      </c>
      <c r="D59" s="27" t="str">
        <f aca="false">IF(A59="","",SUMIFS(請求台帳!$P$5:$P$504,請求台帳!$C$5:$C$504,A59,請求台帳!$Q$5:$Q$504,"&lt;&gt;取消"))</f>
        <v/>
      </c>
      <c r="E59" s="27" t="str">
        <f aca="false">IF(A59="","",D59-SUM(F59:H59))</f>
        <v/>
      </c>
      <c r="F59" s="27" t="str">
        <f aca="false">IF(A59="","",SUMIFS(請求台帳!$P$5:$P$504,請求台帳!$C$5:$C$504,A59,請求台帳!$S$5:$S$504,"&gt;=1",請求台帳!$S$5:$S$504,"&lt;=30"))</f>
        <v/>
      </c>
      <c r="G59" s="27" t="str">
        <f aca="false">IF(A59="","",SUMIFS(請求台帳!$P$5:$P$504,請求台帳!$C$5:$C$504,A59,請求台帳!$S$5:$S$504,"&gt;=31",請求台帳!$S$5:$S$504,"&lt;=60"))</f>
        <v/>
      </c>
      <c r="H59" s="27" t="str">
        <f aca="false">IF(A59="","",SUMIFS(請求台帳!$P$5:$P$504,請求台帳!$C$5:$C$504,A59,請求台帳!$S$5:$S$504,"&gt;=61"))</f>
        <v/>
      </c>
      <c r="I59" s="33" t="str">
        <f aca="false">IF(A59="","",COUNTIFS(請求台帳!$C$5:$C$504,A59,請求台帳!$B$5:$B$504,"&gt;="&amp;チェック!$C$4,請求台帳!$B$5:$B$504,"&lt;="&amp;EOMONTH(チェック!$C$4,0),請求台帳!$Q$5:$Q$504,"&lt;&gt;取消"))</f>
        <v/>
      </c>
      <c r="J59" s="28" t="str">
        <f aca="false">IF(A59="","",IF(AND(取引先マスタ!G59="有",I59=0),"請求漏れ候補",""))</f>
        <v/>
      </c>
    </row>
    <row r="60" customFormat="false" ht="15" hidden="false" customHeight="false" outlineLevel="0" collapsed="false">
      <c r="A60" s="31" t="str">
        <f aca="false">IF(取引先マスタ!A60="","",取引先マスタ!A60)</f>
        <v/>
      </c>
      <c r="B60" s="31" t="str">
        <f aca="false">IF(A60="","",取引先マスタ!B60)</f>
        <v/>
      </c>
      <c r="C60" s="31" t="str">
        <f aca="false">IF(A60="","",取引先マスタ!J60&amp;"")</f>
        <v/>
      </c>
      <c r="D60" s="27" t="str">
        <f aca="false">IF(A60="","",SUMIFS(請求台帳!$P$5:$P$504,請求台帳!$C$5:$C$504,A60,請求台帳!$Q$5:$Q$504,"&lt;&gt;取消"))</f>
        <v/>
      </c>
      <c r="E60" s="27" t="str">
        <f aca="false">IF(A60="","",D60-SUM(F60:H60))</f>
        <v/>
      </c>
      <c r="F60" s="27" t="str">
        <f aca="false">IF(A60="","",SUMIFS(請求台帳!$P$5:$P$504,請求台帳!$C$5:$C$504,A60,請求台帳!$S$5:$S$504,"&gt;=1",請求台帳!$S$5:$S$504,"&lt;=30"))</f>
        <v/>
      </c>
      <c r="G60" s="27" t="str">
        <f aca="false">IF(A60="","",SUMIFS(請求台帳!$P$5:$P$504,請求台帳!$C$5:$C$504,A60,請求台帳!$S$5:$S$504,"&gt;=31",請求台帳!$S$5:$S$504,"&lt;=60"))</f>
        <v/>
      </c>
      <c r="H60" s="27" t="str">
        <f aca="false">IF(A60="","",SUMIFS(請求台帳!$P$5:$P$504,請求台帳!$C$5:$C$504,A60,請求台帳!$S$5:$S$504,"&gt;=61"))</f>
        <v/>
      </c>
      <c r="I60" s="33" t="str">
        <f aca="false">IF(A60="","",COUNTIFS(請求台帳!$C$5:$C$504,A60,請求台帳!$B$5:$B$504,"&gt;="&amp;チェック!$C$4,請求台帳!$B$5:$B$504,"&lt;="&amp;EOMONTH(チェック!$C$4,0),請求台帳!$Q$5:$Q$504,"&lt;&gt;取消"))</f>
        <v/>
      </c>
      <c r="J60" s="28" t="str">
        <f aca="false">IF(A60="","",IF(AND(取引先マスタ!G60="有",I60=0),"請求漏れ候補",""))</f>
        <v/>
      </c>
    </row>
    <row r="61" customFormat="false" ht="15" hidden="false" customHeight="false" outlineLevel="0" collapsed="false">
      <c r="A61" s="31" t="str">
        <f aca="false">IF(取引先マスタ!A61="","",取引先マスタ!A61)</f>
        <v/>
      </c>
      <c r="B61" s="31" t="str">
        <f aca="false">IF(A61="","",取引先マスタ!B61)</f>
        <v/>
      </c>
      <c r="C61" s="31" t="str">
        <f aca="false">IF(A61="","",取引先マスタ!J61&amp;"")</f>
        <v/>
      </c>
      <c r="D61" s="27" t="str">
        <f aca="false">IF(A61="","",SUMIFS(請求台帳!$P$5:$P$504,請求台帳!$C$5:$C$504,A61,請求台帳!$Q$5:$Q$504,"&lt;&gt;取消"))</f>
        <v/>
      </c>
      <c r="E61" s="27" t="str">
        <f aca="false">IF(A61="","",D61-SUM(F61:H61))</f>
        <v/>
      </c>
      <c r="F61" s="27" t="str">
        <f aca="false">IF(A61="","",SUMIFS(請求台帳!$P$5:$P$504,請求台帳!$C$5:$C$504,A61,請求台帳!$S$5:$S$504,"&gt;=1",請求台帳!$S$5:$S$504,"&lt;=30"))</f>
        <v/>
      </c>
      <c r="G61" s="27" t="str">
        <f aca="false">IF(A61="","",SUMIFS(請求台帳!$P$5:$P$504,請求台帳!$C$5:$C$504,A61,請求台帳!$S$5:$S$504,"&gt;=31",請求台帳!$S$5:$S$504,"&lt;=60"))</f>
        <v/>
      </c>
      <c r="H61" s="27" t="str">
        <f aca="false">IF(A61="","",SUMIFS(請求台帳!$P$5:$P$504,請求台帳!$C$5:$C$504,A61,請求台帳!$S$5:$S$504,"&gt;=61"))</f>
        <v/>
      </c>
      <c r="I61" s="33" t="str">
        <f aca="false">IF(A61="","",COUNTIFS(請求台帳!$C$5:$C$504,A61,請求台帳!$B$5:$B$504,"&gt;="&amp;チェック!$C$4,請求台帳!$B$5:$B$504,"&lt;="&amp;EOMONTH(チェック!$C$4,0),請求台帳!$Q$5:$Q$504,"&lt;&gt;取消"))</f>
        <v/>
      </c>
      <c r="J61" s="28" t="str">
        <f aca="false">IF(A61="","",IF(AND(取引先マスタ!G61="有",I61=0),"請求漏れ候補",""))</f>
        <v/>
      </c>
    </row>
    <row r="62" customFormat="false" ht="15" hidden="false" customHeight="false" outlineLevel="0" collapsed="false">
      <c r="A62" s="31" t="str">
        <f aca="false">IF(取引先マスタ!A62="","",取引先マスタ!A62)</f>
        <v/>
      </c>
      <c r="B62" s="31" t="str">
        <f aca="false">IF(A62="","",取引先マスタ!B62)</f>
        <v/>
      </c>
      <c r="C62" s="31" t="str">
        <f aca="false">IF(A62="","",取引先マスタ!J62&amp;"")</f>
        <v/>
      </c>
      <c r="D62" s="27" t="str">
        <f aca="false">IF(A62="","",SUMIFS(請求台帳!$P$5:$P$504,請求台帳!$C$5:$C$504,A62,請求台帳!$Q$5:$Q$504,"&lt;&gt;取消"))</f>
        <v/>
      </c>
      <c r="E62" s="27" t="str">
        <f aca="false">IF(A62="","",D62-SUM(F62:H62))</f>
        <v/>
      </c>
      <c r="F62" s="27" t="str">
        <f aca="false">IF(A62="","",SUMIFS(請求台帳!$P$5:$P$504,請求台帳!$C$5:$C$504,A62,請求台帳!$S$5:$S$504,"&gt;=1",請求台帳!$S$5:$S$504,"&lt;=30"))</f>
        <v/>
      </c>
      <c r="G62" s="27" t="str">
        <f aca="false">IF(A62="","",SUMIFS(請求台帳!$P$5:$P$504,請求台帳!$C$5:$C$504,A62,請求台帳!$S$5:$S$504,"&gt;=31",請求台帳!$S$5:$S$504,"&lt;=60"))</f>
        <v/>
      </c>
      <c r="H62" s="27" t="str">
        <f aca="false">IF(A62="","",SUMIFS(請求台帳!$P$5:$P$504,請求台帳!$C$5:$C$504,A62,請求台帳!$S$5:$S$504,"&gt;=61"))</f>
        <v/>
      </c>
      <c r="I62" s="33" t="str">
        <f aca="false">IF(A62="","",COUNTIFS(請求台帳!$C$5:$C$504,A62,請求台帳!$B$5:$B$504,"&gt;="&amp;チェック!$C$4,請求台帳!$B$5:$B$504,"&lt;="&amp;EOMONTH(チェック!$C$4,0),請求台帳!$Q$5:$Q$504,"&lt;&gt;取消"))</f>
        <v/>
      </c>
      <c r="J62" s="28" t="str">
        <f aca="false">IF(A62="","",IF(AND(取引先マスタ!G62="有",I62=0),"請求漏れ候補",""))</f>
        <v/>
      </c>
    </row>
    <row r="63" customFormat="false" ht="15" hidden="false" customHeight="false" outlineLevel="0" collapsed="false">
      <c r="A63" s="31" t="str">
        <f aca="false">IF(取引先マスタ!A63="","",取引先マスタ!A63)</f>
        <v/>
      </c>
      <c r="B63" s="31" t="str">
        <f aca="false">IF(A63="","",取引先マスタ!B63)</f>
        <v/>
      </c>
      <c r="C63" s="31" t="str">
        <f aca="false">IF(A63="","",取引先マスタ!J63&amp;"")</f>
        <v/>
      </c>
      <c r="D63" s="27" t="str">
        <f aca="false">IF(A63="","",SUMIFS(請求台帳!$P$5:$P$504,請求台帳!$C$5:$C$504,A63,請求台帳!$Q$5:$Q$504,"&lt;&gt;取消"))</f>
        <v/>
      </c>
      <c r="E63" s="27" t="str">
        <f aca="false">IF(A63="","",D63-SUM(F63:H63))</f>
        <v/>
      </c>
      <c r="F63" s="27" t="str">
        <f aca="false">IF(A63="","",SUMIFS(請求台帳!$P$5:$P$504,請求台帳!$C$5:$C$504,A63,請求台帳!$S$5:$S$504,"&gt;=1",請求台帳!$S$5:$S$504,"&lt;=30"))</f>
        <v/>
      </c>
      <c r="G63" s="27" t="str">
        <f aca="false">IF(A63="","",SUMIFS(請求台帳!$P$5:$P$504,請求台帳!$C$5:$C$504,A63,請求台帳!$S$5:$S$504,"&gt;=31",請求台帳!$S$5:$S$504,"&lt;=60"))</f>
        <v/>
      </c>
      <c r="H63" s="27" t="str">
        <f aca="false">IF(A63="","",SUMIFS(請求台帳!$P$5:$P$504,請求台帳!$C$5:$C$504,A63,請求台帳!$S$5:$S$504,"&gt;=61"))</f>
        <v/>
      </c>
      <c r="I63" s="33" t="str">
        <f aca="false">IF(A63="","",COUNTIFS(請求台帳!$C$5:$C$504,A63,請求台帳!$B$5:$B$504,"&gt;="&amp;チェック!$C$4,請求台帳!$B$5:$B$504,"&lt;="&amp;EOMONTH(チェック!$C$4,0),請求台帳!$Q$5:$Q$504,"&lt;&gt;取消"))</f>
        <v/>
      </c>
      <c r="J63" s="28" t="str">
        <f aca="false">IF(A63="","",IF(AND(取引先マスタ!G63="有",I63=0),"請求漏れ候補",""))</f>
        <v/>
      </c>
    </row>
    <row r="64" customFormat="false" ht="15" hidden="false" customHeight="false" outlineLevel="0" collapsed="false">
      <c r="A64" s="31" t="str">
        <f aca="false">IF(取引先マスタ!A64="","",取引先マスタ!A64)</f>
        <v/>
      </c>
      <c r="B64" s="31" t="str">
        <f aca="false">IF(A64="","",取引先マスタ!B64)</f>
        <v/>
      </c>
      <c r="C64" s="31" t="str">
        <f aca="false">IF(A64="","",取引先マスタ!J64&amp;"")</f>
        <v/>
      </c>
      <c r="D64" s="27" t="str">
        <f aca="false">IF(A64="","",SUMIFS(請求台帳!$P$5:$P$504,請求台帳!$C$5:$C$504,A64,請求台帳!$Q$5:$Q$504,"&lt;&gt;取消"))</f>
        <v/>
      </c>
      <c r="E64" s="27" t="str">
        <f aca="false">IF(A64="","",D64-SUM(F64:H64))</f>
        <v/>
      </c>
      <c r="F64" s="27" t="str">
        <f aca="false">IF(A64="","",SUMIFS(請求台帳!$P$5:$P$504,請求台帳!$C$5:$C$504,A64,請求台帳!$S$5:$S$504,"&gt;=1",請求台帳!$S$5:$S$504,"&lt;=30"))</f>
        <v/>
      </c>
      <c r="G64" s="27" t="str">
        <f aca="false">IF(A64="","",SUMIFS(請求台帳!$P$5:$P$504,請求台帳!$C$5:$C$504,A64,請求台帳!$S$5:$S$504,"&gt;=31",請求台帳!$S$5:$S$504,"&lt;=60"))</f>
        <v/>
      </c>
      <c r="H64" s="27" t="str">
        <f aca="false">IF(A64="","",SUMIFS(請求台帳!$P$5:$P$504,請求台帳!$C$5:$C$504,A64,請求台帳!$S$5:$S$504,"&gt;=61"))</f>
        <v/>
      </c>
      <c r="I64" s="33" t="str">
        <f aca="false">IF(A64="","",COUNTIFS(請求台帳!$C$5:$C$504,A64,請求台帳!$B$5:$B$504,"&gt;="&amp;チェック!$C$4,請求台帳!$B$5:$B$504,"&lt;="&amp;EOMONTH(チェック!$C$4,0),請求台帳!$Q$5:$Q$504,"&lt;&gt;取消"))</f>
        <v/>
      </c>
      <c r="J64" s="28" t="str">
        <f aca="false">IF(A64="","",IF(AND(取引先マスタ!G64="有",I64=0),"請求漏れ候補",""))</f>
        <v/>
      </c>
    </row>
    <row r="65" customFormat="false" ht="15" hidden="false" customHeight="false" outlineLevel="0" collapsed="false">
      <c r="A65" s="31" t="str">
        <f aca="false">IF(取引先マスタ!A65="","",取引先マスタ!A65)</f>
        <v/>
      </c>
      <c r="B65" s="31" t="str">
        <f aca="false">IF(A65="","",取引先マスタ!B65)</f>
        <v/>
      </c>
      <c r="C65" s="31" t="str">
        <f aca="false">IF(A65="","",取引先マスタ!J65&amp;"")</f>
        <v/>
      </c>
      <c r="D65" s="27" t="str">
        <f aca="false">IF(A65="","",SUMIFS(請求台帳!$P$5:$P$504,請求台帳!$C$5:$C$504,A65,請求台帳!$Q$5:$Q$504,"&lt;&gt;取消"))</f>
        <v/>
      </c>
      <c r="E65" s="27" t="str">
        <f aca="false">IF(A65="","",D65-SUM(F65:H65))</f>
        <v/>
      </c>
      <c r="F65" s="27" t="str">
        <f aca="false">IF(A65="","",SUMIFS(請求台帳!$P$5:$P$504,請求台帳!$C$5:$C$504,A65,請求台帳!$S$5:$S$504,"&gt;=1",請求台帳!$S$5:$S$504,"&lt;=30"))</f>
        <v/>
      </c>
      <c r="G65" s="27" t="str">
        <f aca="false">IF(A65="","",SUMIFS(請求台帳!$P$5:$P$504,請求台帳!$C$5:$C$504,A65,請求台帳!$S$5:$S$504,"&gt;=31",請求台帳!$S$5:$S$504,"&lt;=60"))</f>
        <v/>
      </c>
      <c r="H65" s="27" t="str">
        <f aca="false">IF(A65="","",SUMIFS(請求台帳!$P$5:$P$504,請求台帳!$C$5:$C$504,A65,請求台帳!$S$5:$S$504,"&gt;=61"))</f>
        <v/>
      </c>
      <c r="I65" s="33" t="str">
        <f aca="false">IF(A65="","",COUNTIFS(請求台帳!$C$5:$C$504,A65,請求台帳!$B$5:$B$504,"&gt;="&amp;チェック!$C$4,請求台帳!$B$5:$B$504,"&lt;="&amp;EOMONTH(チェック!$C$4,0),請求台帳!$Q$5:$Q$504,"&lt;&gt;取消"))</f>
        <v/>
      </c>
      <c r="J65" s="28" t="str">
        <f aca="false">IF(A65="","",IF(AND(取引先マスタ!G65="有",I65=0),"請求漏れ候補",""))</f>
        <v/>
      </c>
    </row>
    <row r="66" customFormat="false" ht="15" hidden="false" customHeight="false" outlineLevel="0" collapsed="false">
      <c r="A66" s="31" t="str">
        <f aca="false">IF(取引先マスタ!A66="","",取引先マスタ!A66)</f>
        <v/>
      </c>
      <c r="B66" s="31" t="str">
        <f aca="false">IF(A66="","",取引先マスタ!B66)</f>
        <v/>
      </c>
      <c r="C66" s="31" t="str">
        <f aca="false">IF(A66="","",取引先マスタ!J66&amp;"")</f>
        <v/>
      </c>
      <c r="D66" s="27" t="str">
        <f aca="false">IF(A66="","",SUMIFS(請求台帳!$P$5:$P$504,請求台帳!$C$5:$C$504,A66,請求台帳!$Q$5:$Q$504,"&lt;&gt;取消"))</f>
        <v/>
      </c>
      <c r="E66" s="27" t="str">
        <f aca="false">IF(A66="","",D66-SUM(F66:H66))</f>
        <v/>
      </c>
      <c r="F66" s="27" t="str">
        <f aca="false">IF(A66="","",SUMIFS(請求台帳!$P$5:$P$504,請求台帳!$C$5:$C$504,A66,請求台帳!$S$5:$S$504,"&gt;=1",請求台帳!$S$5:$S$504,"&lt;=30"))</f>
        <v/>
      </c>
      <c r="G66" s="27" t="str">
        <f aca="false">IF(A66="","",SUMIFS(請求台帳!$P$5:$P$504,請求台帳!$C$5:$C$504,A66,請求台帳!$S$5:$S$504,"&gt;=31",請求台帳!$S$5:$S$504,"&lt;=60"))</f>
        <v/>
      </c>
      <c r="H66" s="27" t="str">
        <f aca="false">IF(A66="","",SUMIFS(請求台帳!$P$5:$P$504,請求台帳!$C$5:$C$504,A66,請求台帳!$S$5:$S$504,"&gt;=61"))</f>
        <v/>
      </c>
      <c r="I66" s="33" t="str">
        <f aca="false">IF(A66="","",COUNTIFS(請求台帳!$C$5:$C$504,A66,請求台帳!$B$5:$B$504,"&gt;="&amp;チェック!$C$4,請求台帳!$B$5:$B$504,"&lt;="&amp;EOMONTH(チェック!$C$4,0),請求台帳!$Q$5:$Q$504,"&lt;&gt;取消"))</f>
        <v/>
      </c>
      <c r="J66" s="28" t="str">
        <f aca="false">IF(A66="","",IF(AND(取引先マスタ!G66="有",I66=0),"請求漏れ候補",""))</f>
        <v/>
      </c>
    </row>
    <row r="67" customFormat="false" ht="15" hidden="false" customHeight="false" outlineLevel="0" collapsed="false">
      <c r="A67" s="31" t="str">
        <f aca="false">IF(取引先マスタ!A67="","",取引先マスタ!A67)</f>
        <v/>
      </c>
      <c r="B67" s="31" t="str">
        <f aca="false">IF(A67="","",取引先マスタ!B67)</f>
        <v/>
      </c>
      <c r="C67" s="31" t="str">
        <f aca="false">IF(A67="","",取引先マスタ!J67&amp;"")</f>
        <v/>
      </c>
      <c r="D67" s="27" t="str">
        <f aca="false">IF(A67="","",SUMIFS(請求台帳!$P$5:$P$504,請求台帳!$C$5:$C$504,A67,請求台帳!$Q$5:$Q$504,"&lt;&gt;取消"))</f>
        <v/>
      </c>
      <c r="E67" s="27" t="str">
        <f aca="false">IF(A67="","",D67-SUM(F67:H67))</f>
        <v/>
      </c>
      <c r="F67" s="27" t="str">
        <f aca="false">IF(A67="","",SUMIFS(請求台帳!$P$5:$P$504,請求台帳!$C$5:$C$504,A67,請求台帳!$S$5:$S$504,"&gt;=1",請求台帳!$S$5:$S$504,"&lt;=30"))</f>
        <v/>
      </c>
      <c r="G67" s="27" t="str">
        <f aca="false">IF(A67="","",SUMIFS(請求台帳!$P$5:$P$504,請求台帳!$C$5:$C$504,A67,請求台帳!$S$5:$S$504,"&gt;=31",請求台帳!$S$5:$S$504,"&lt;=60"))</f>
        <v/>
      </c>
      <c r="H67" s="27" t="str">
        <f aca="false">IF(A67="","",SUMIFS(請求台帳!$P$5:$P$504,請求台帳!$C$5:$C$504,A67,請求台帳!$S$5:$S$504,"&gt;=61"))</f>
        <v/>
      </c>
      <c r="I67" s="33" t="str">
        <f aca="false">IF(A67="","",COUNTIFS(請求台帳!$C$5:$C$504,A67,請求台帳!$B$5:$B$504,"&gt;="&amp;チェック!$C$4,請求台帳!$B$5:$B$504,"&lt;="&amp;EOMONTH(チェック!$C$4,0),請求台帳!$Q$5:$Q$504,"&lt;&gt;取消"))</f>
        <v/>
      </c>
      <c r="J67" s="28" t="str">
        <f aca="false">IF(A67="","",IF(AND(取引先マスタ!G67="有",I67=0),"請求漏れ候補",""))</f>
        <v/>
      </c>
    </row>
    <row r="68" customFormat="false" ht="15" hidden="false" customHeight="false" outlineLevel="0" collapsed="false">
      <c r="A68" s="31" t="str">
        <f aca="false">IF(取引先マスタ!A68="","",取引先マスタ!A68)</f>
        <v/>
      </c>
      <c r="B68" s="31" t="str">
        <f aca="false">IF(A68="","",取引先マスタ!B68)</f>
        <v/>
      </c>
      <c r="C68" s="31" t="str">
        <f aca="false">IF(A68="","",取引先マスタ!J68&amp;"")</f>
        <v/>
      </c>
      <c r="D68" s="27" t="str">
        <f aca="false">IF(A68="","",SUMIFS(請求台帳!$P$5:$P$504,請求台帳!$C$5:$C$504,A68,請求台帳!$Q$5:$Q$504,"&lt;&gt;取消"))</f>
        <v/>
      </c>
      <c r="E68" s="27" t="str">
        <f aca="false">IF(A68="","",D68-SUM(F68:H68))</f>
        <v/>
      </c>
      <c r="F68" s="27" t="str">
        <f aca="false">IF(A68="","",SUMIFS(請求台帳!$P$5:$P$504,請求台帳!$C$5:$C$504,A68,請求台帳!$S$5:$S$504,"&gt;=1",請求台帳!$S$5:$S$504,"&lt;=30"))</f>
        <v/>
      </c>
      <c r="G68" s="27" t="str">
        <f aca="false">IF(A68="","",SUMIFS(請求台帳!$P$5:$P$504,請求台帳!$C$5:$C$504,A68,請求台帳!$S$5:$S$504,"&gt;=31",請求台帳!$S$5:$S$504,"&lt;=60"))</f>
        <v/>
      </c>
      <c r="H68" s="27" t="str">
        <f aca="false">IF(A68="","",SUMIFS(請求台帳!$P$5:$P$504,請求台帳!$C$5:$C$504,A68,請求台帳!$S$5:$S$504,"&gt;=61"))</f>
        <v/>
      </c>
      <c r="I68" s="33" t="str">
        <f aca="false">IF(A68="","",COUNTIFS(請求台帳!$C$5:$C$504,A68,請求台帳!$B$5:$B$504,"&gt;="&amp;チェック!$C$4,請求台帳!$B$5:$B$504,"&lt;="&amp;EOMONTH(チェック!$C$4,0),請求台帳!$Q$5:$Q$504,"&lt;&gt;取消"))</f>
        <v/>
      </c>
      <c r="J68" s="28" t="str">
        <f aca="false">IF(A68="","",IF(AND(取引先マスタ!G68="有",I68=0),"請求漏れ候補",""))</f>
        <v/>
      </c>
    </row>
    <row r="69" customFormat="false" ht="15" hidden="false" customHeight="false" outlineLevel="0" collapsed="false">
      <c r="A69" s="31" t="str">
        <f aca="false">IF(取引先マスタ!A69="","",取引先マスタ!A69)</f>
        <v/>
      </c>
      <c r="B69" s="31" t="str">
        <f aca="false">IF(A69="","",取引先マスタ!B69)</f>
        <v/>
      </c>
      <c r="C69" s="31" t="str">
        <f aca="false">IF(A69="","",取引先マスタ!J69&amp;"")</f>
        <v/>
      </c>
      <c r="D69" s="27" t="str">
        <f aca="false">IF(A69="","",SUMIFS(請求台帳!$P$5:$P$504,請求台帳!$C$5:$C$504,A69,請求台帳!$Q$5:$Q$504,"&lt;&gt;取消"))</f>
        <v/>
      </c>
      <c r="E69" s="27" t="str">
        <f aca="false">IF(A69="","",D69-SUM(F69:H69))</f>
        <v/>
      </c>
      <c r="F69" s="27" t="str">
        <f aca="false">IF(A69="","",SUMIFS(請求台帳!$P$5:$P$504,請求台帳!$C$5:$C$504,A69,請求台帳!$S$5:$S$504,"&gt;=1",請求台帳!$S$5:$S$504,"&lt;=30"))</f>
        <v/>
      </c>
      <c r="G69" s="27" t="str">
        <f aca="false">IF(A69="","",SUMIFS(請求台帳!$P$5:$P$504,請求台帳!$C$5:$C$504,A69,請求台帳!$S$5:$S$504,"&gt;=31",請求台帳!$S$5:$S$504,"&lt;=60"))</f>
        <v/>
      </c>
      <c r="H69" s="27" t="str">
        <f aca="false">IF(A69="","",SUMIFS(請求台帳!$P$5:$P$504,請求台帳!$C$5:$C$504,A69,請求台帳!$S$5:$S$504,"&gt;=61"))</f>
        <v/>
      </c>
      <c r="I69" s="33" t="str">
        <f aca="false">IF(A69="","",COUNTIFS(請求台帳!$C$5:$C$504,A69,請求台帳!$B$5:$B$504,"&gt;="&amp;チェック!$C$4,請求台帳!$B$5:$B$504,"&lt;="&amp;EOMONTH(チェック!$C$4,0),請求台帳!$Q$5:$Q$504,"&lt;&gt;取消"))</f>
        <v/>
      </c>
      <c r="J69" s="28" t="str">
        <f aca="false">IF(A69="","",IF(AND(取引先マスタ!G69="有",I69=0),"請求漏れ候補",""))</f>
        <v/>
      </c>
    </row>
    <row r="70" customFormat="false" ht="15" hidden="false" customHeight="false" outlineLevel="0" collapsed="false">
      <c r="A70" s="31" t="str">
        <f aca="false">IF(取引先マスタ!A70="","",取引先マスタ!A70)</f>
        <v/>
      </c>
      <c r="B70" s="31" t="str">
        <f aca="false">IF(A70="","",取引先マスタ!B70)</f>
        <v/>
      </c>
      <c r="C70" s="31" t="str">
        <f aca="false">IF(A70="","",取引先マスタ!J70&amp;"")</f>
        <v/>
      </c>
      <c r="D70" s="27" t="str">
        <f aca="false">IF(A70="","",SUMIFS(請求台帳!$P$5:$P$504,請求台帳!$C$5:$C$504,A70,請求台帳!$Q$5:$Q$504,"&lt;&gt;取消"))</f>
        <v/>
      </c>
      <c r="E70" s="27" t="str">
        <f aca="false">IF(A70="","",D70-SUM(F70:H70))</f>
        <v/>
      </c>
      <c r="F70" s="27" t="str">
        <f aca="false">IF(A70="","",SUMIFS(請求台帳!$P$5:$P$504,請求台帳!$C$5:$C$504,A70,請求台帳!$S$5:$S$504,"&gt;=1",請求台帳!$S$5:$S$504,"&lt;=30"))</f>
        <v/>
      </c>
      <c r="G70" s="27" t="str">
        <f aca="false">IF(A70="","",SUMIFS(請求台帳!$P$5:$P$504,請求台帳!$C$5:$C$504,A70,請求台帳!$S$5:$S$504,"&gt;=31",請求台帳!$S$5:$S$504,"&lt;=60"))</f>
        <v/>
      </c>
      <c r="H70" s="27" t="str">
        <f aca="false">IF(A70="","",SUMIFS(請求台帳!$P$5:$P$504,請求台帳!$C$5:$C$504,A70,請求台帳!$S$5:$S$504,"&gt;=61"))</f>
        <v/>
      </c>
      <c r="I70" s="33" t="str">
        <f aca="false">IF(A70="","",COUNTIFS(請求台帳!$C$5:$C$504,A70,請求台帳!$B$5:$B$504,"&gt;="&amp;チェック!$C$4,請求台帳!$B$5:$B$504,"&lt;="&amp;EOMONTH(チェック!$C$4,0),請求台帳!$Q$5:$Q$504,"&lt;&gt;取消"))</f>
        <v/>
      </c>
      <c r="J70" s="28" t="str">
        <f aca="false">IF(A70="","",IF(AND(取引先マスタ!G70="有",I70=0),"請求漏れ候補",""))</f>
        <v/>
      </c>
    </row>
    <row r="71" customFormat="false" ht="15" hidden="false" customHeight="false" outlineLevel="0" collapsed="false">
      <c r="A71" s="31" t="str">
        <f aca="false">IF(取引先マスタ!A71="","",取引先マスタ!A71)</f>
        <v/>
      </c>
      <c r="B71" s="31" t="str">
        <f aca="false">IF(A71="","",取引先マスタ!B71)</f>
        <v/>
      </c>
      <c r="C71" s="31" t="str">
        <f aca="false">IF(A71="","",取引先マスタ!J71&amp;"")</f>
        <v/>
      </c>
      <c r="D71" s="27" t="str">
        <f aca="false">IF(A71="","",SUMIFS(請求台帳!$P$5:$P$504,請求台帳!$C$5:$C$504,A71,請求台帳!$Q$5:$Q$504,"&lt;&gt;取消"))</f>
        <v/>
      </c>
      <c r="E71" s="27" t="str">
        <f aca="false">IF(A71="","",D71-SUM(F71:H71))</f>
        <v/>
      </c>
      <c r="F71" s="27" t="str">
        <f aca="false">IF(A71="","",SUMIFS(請求台帳!$P$5:$P$504,請求台帳!$C$5:$C$504,A71,請求台帳!$S$5:$S$504,"&gt;=1",請求台帳!$S$5:$S$504,"&lt;=30"))</f>
        <v/>
      </c>
      <c r="G71" s="27" t="str">
        <f aca="false">IF(A71="","",SUMIFS(請求台帳!$P$5:$P$504,請求台帳!$C$5:$C$504,A71,請求台帳!$S$5:$S$504,"&gt;=31",請求台帳!$S$5:$S$504,"&lt;=60"))</f>
        <v/>
      </c>
      <c r="H71" s="27" t="str">
        <f aca="false">IF(A71="","",SUMIFS(請求台帳!$P$5:$P$504,請求台帳!$C$5:$C$504,A71,請求台帳!$S$5:$S$504,"&gt;=61"))</f>
        <v/>
      </c>
      <c r="I71" s="33" t="str">
        <f aca="false">IF(A71="","",COUNTIFS(請求台帳!$C$5:$C$504,A71,請求台帳!$B$5:$B$504,"&gt;="&amp;チェック!$C$4,請求台帳!$B$5:$B$504,"&lt;="&amp;EOMONTH(チェック!$C$4,0),請求台帳!$Q$5:$Q$504,"&lt;&gt;取消"))</f>
        <v/>
      </c>
      <c r="J71" s="28" t="str">
        <f aca="false">IF(A71="","",IF(AND(取引先マスタ!G71="有",I71=0),"請求漏れ候補",""))</f>
        <v/>
      </c>
    </row>
    <row r="72" customFormat="false" ht="15" hidden="false" customHeight="false" outlineLevel="0" collapsed="false">
      <c r="A72" s="31" t="str">
        <f aca="false">IF(取引先マスタ!A72="","",取引先マスタ!A72)</f>
        <v/>
      </c>
      <c r="B72" s="31" t="str">
        <f aca="false">IF(A72="","",取引先マスタ!B72)</f>
        <v/>
      </c>
      <c r="C72" s="31" t="str">
        <f aca="false">IF(A72="","",取引先マスタ!J72&amp;"")</f>
        <v/>
      </c>
      <c r="D72" s="27" t="str">
        <f aca="false">IF(A72="","",SUMIFS(請求台帳!$P$5:$P$504,請求台帳!$C$5:$C$504,A72,請求台帳!$Q$5:$Q$504,"&lt;&gt;取消"))</f>
        <v/>
      </c>
      <c r="E72" s="27" t="str">
        <f aca="false">IF(A72="","",D72-SUM(F72:H72))</f>
        <v/>
      </c>
      <c r="F72" s="27" t="str">
        <f aca="false">IF(A72="","",SUMIFS(請求台帳!$P$5:$P$504,請求台帳!$C$5:$C$504,A72,請求台帳!$S$5:$S$504,"&gt;=1",請求台帳!$S$5:$S$504,"&lt;=30"))</f>
        <v/>
      </c>
      <c r="G72" s="27" t="str">
        <f aca="false">IF(A72="","",SUMIFS(請求台帳!$P$5:$P$504,請求台帳!$C$5:$C$504,A72,請求台帳!$S$5:$S$504,"&gt;=31",請求台帳!$S$5:$S$504,"&lt;=60"))</f>
        <v/>
      </c>
      <c r="H72" s="27" t="str">
        <f aca="false">IF(A72="","",SUMIFS(請求台帳!$P$5:$P$504,請求台帳!$C$5:$C$504,A72,請求台帳!$S$5:$S$504,"&gt;=61"))</f>
        <v/>
      </c>
      <c r="I72" s="33" t="str">
        <f aca="false">IF(A72="","",COUNTIFS(請求台帳!$C$5:$C$504,A72,請求台帳!$B$5:$B$504,"&gt;="&amp;チェック!$C$4,請求台帳!$B$5:$B$504,"&lt;="&amp;EOMONTH(チェック!$C$4,0),請求台帳!$Q$5:$Q$504,"&lt;&gt;取消"))</f>
        <v/>
      </c>
      <c r="J72" s="28" t="str">
        <f aca="false">IF(A72="","",IF(AND(取引先マスタ!G72="有",I72=0),"請求漏れ候補",""))</f>
        <v/>
      </c>
    </row>
    <row r="73" customFormat="false" ht="15" hidden="false" customHeight="false" outlineLevel="0" collapsed="false">
      <c r="A73" s="31" t="str">
        <f aca="false">IF(取引先マスタ!A73="","",取引先マスタ!A73)</f>
        <v/>
      </c>
      <c r="B73" s="31" t="str">
        <f aca="false">IF(A73="","",取引先マスタ!B73)</f>
        <v/>
      </c>
      <c r="C73" s="31" t="str">
        <f aca="false">IF(A73="","",取引先マスタ!J73&amp;"")</f>
        <v/>
      </c>
      <c r="D73" s="27" t="str">
        <f aca="false">IF(A73="","",SUMIFS(請求台帳!$P$5:$P$504,請求台帳!$C$5:$C$504,A73,請求台帳!$Q$5:$Q$504,"&lt;&gt;取消"))</f>
        <v/>
      </c>
      <c r="E73" s="27" t="str">
        <f aca="false">IF(A73="","",D73-SUM(F73:H73))</f>
        <v/>
      </c>
      <c r="F73" s="27" t="str">
        <f aca="false">IF(A73="","",SUMIFS(請求台帳!$P$5:$P$504,請求台帳!$C$5:$C$504,A73,請求台帳!$S$5:$S$504,"&gt;=1",請求台帳!$S$5:$S$504,"&lt;=30"))</f>
        <v/>
      </c>
      <c r="G73" s="27" t="str">
        <f aca="false">IF(A73="","",SUMIFS(請求台帳!$P$5:$P$504,請求台帳!$C$5:$C$504,A73,請求台帳!$S$5:$S$504,"&gt;=31",請求台帳!$S$5:$S$504,"&lt;=60"))</f>
        <v/>
      </c>
      <c r="H73" s="27" t="str">
        <f aca="false">IF(A73="","",SUMIFS(請求台帳!$P$5:$P$504,請求台帳!$C$5:$C$504,A73,請求台帳!$S$5:$S$504,"&gt;=61"))</f>
        <v/>
      </c>
      <c r="I73" s="33" t="str">
        <f aca="false">IF(A73="","",COUNTIFS(請求台帳!$C$5:$C$504,A73,請求台帳!$B$5:$B$504,"&gt;="&amp;チェック!$C$4,請求台帳!$B$5:$B$504,"&lt;="&amp;EOMONTH(チェック!$C$4,0),請求台帳!$Q$5:$Q$504,"&lt;&gt;取消"))</f>
        <v/>
      </c>
      <c r="J73" s="28" t="str">
        <f aca="false">IF(A73="","",IF(AND(取引先マスタ!G73="有",I73=0),"請求漏れ候補",""))</f>
        <v/>
      </c>
    </row>
    <row r="74" customFormat="false" ht="15" hidden="false" customHeight="false" outlineLevel="0" collapsed="false">
      <c r="A74" s="31" t="str">
        <f aca="false">IF(取引先マスタ!A74="","",取引先マスタ!A74)</f>
        <v/>
      </c>
      <c r="B74" s="31" t="str">
        <f aca="false">IF(A74="","",取引先マスタ!B74)</f>
        <v/>
      </c>
      <c r="C74" s="31" t="str">
        <f aca="false">IF(A74="","",取引先マスタ!J74&amp;"")</f>
        <v/>
      </c>
      <c r="D74" s="27" t="str">
        <f aca="false">IF(A74="","",SUMIFS(請求台帳!$P$5:$P$504,請求台帳!$C$5:$C$504,A74,請求台帳!$Q$5:$Q$504,"&lt;&gt;取消"))</f>
        <v/>
      </c>
      <c r="E74" s="27" t="str">
        <f aca="false">IF(A74="","",D74-SUM(F74:H74))</f>
        <v/>
      </c>
      <c r="F74" s="27" t="str">
        <f aca="false">IF(A74="","",SUMIFS(請求台帳!$P$5:$P$504,請求台帳!$C$5:$C$504,A74,請求台帳!$S$5:$S$504,"&gt;=1",請求台帳!$S$5:$S$504,"&lt;=30"))</f>
        <v/>
      </c>
      <c r="G74" s="27" t="str">
        <f aca="false">IF(A74="","",SUMIFS(請求台帳!$P$5:$P$504,請求台帳!$C$5:$C$504,A74,請求台帳!$S$5:$S$504,"&gt;=31",請求台帳!$S$5:$S$504,"&lt;=60"))</f>
        <v/>
      </c>
      <c r="H74" s="27" t="str">
        <f aca="false">IF(A74="","",SUMIFS(請求台帳!$P$5:$P$504,請求台帳!$C$5:$C$504,A74,請求台帳!$S$5:$S$504,"&gt;=61"))</f>
        <v/>
      </c>
      <c r="I74" s="33" t="str">
        <f aca="false">IF(A74="","",COUNTIFS(請求台帳!$C$5:$C$504,A74,請求台帳!$B$5:$B$504,"&gt;="&amp;チェック!$C$4,請求台帳!$B$5:$B$504,"&lt;="&amp;EOMONTH(チェック!$C$4,0),請求台帳!$Q$5:$Q$504,"&lt;&gt;取消"))</f>
        <v/>
      </c>
      <c r="J74" s="28" t="str">
        <f aca="false">IF(A74="","",IF(AND(取引先マスタ!G74="有",I74=0),"請求漏れ候補",""))</f>
        <v/>
      </c>
    </row>
    <row r="75" customFormat="false" ht="15" hidden="false" customHeight="false" outlineLevel="0" collapsed="false">
      <c r="A75" s="31" t="str">
        <f aca="false">IF(取引先マスタ!A75="","",取引先マスタ!A75)</f>
        <v/>
      </c>
      <c r="B75" s="31" t="str">
        <f aca="false">IF(A75="","",取引先マスタ!B75)</f>
        <v/>
      </c>
      <c r="C75" s="31" t="str">
        <f aca="false">IF(A75="","",取引先マスタ!J75&amp;"")</f>
        <v/>
      </c>
      <c r="D75" s="27" t="str">
        <f aca="false">IF(A75="","",SUMIFS(請求台帳!$P$5:$P$504,請求台帳!$C$5:$C$504,A75,請求台帳!$Q$5:$Q$504,"&lt;&gt;取消"))</f>
        <v/>
      </c>
      <c r="E75" s="27" t="str">
        <f aca="false">IF(A75="","",D75-SUM(F75:H75))</f>
        <v/>
      </c>
      <c r="F75" s="27" t="str">
        <f aca="false">IF(A75="","",SUMIFS(請求台帳!$P$5:$P$504,請求台帳!$C$5:$C$504,A75,請求台帳!$S$5:$S$504,"&gt;=1",請求台帳!$S$5:$S$504,"&lt;=30"))</f>
        <v/>
      </c>
      <c r="G75" s="27" t="str">
        <f aca="false">IF(A75="","",SUMIFS(請求台帳!$P$5:$P$504,請求台帳!$C$5:$C$504,A75,請求台帳!$S$5:$S$504,"&gt;=31",請求台帳!$S$5:$S$504,"&lt;=60"))</f>
        <v/>
      </c>
      <c r="H75" s="27" t="str">
        <f aca="false">IF(A75="","",SUMIFS(請求台帳!$P$5:$P$504,請求台帳!$C$5:$C$504,A75,請求台帳!$S$5:$S$504,"&gt;=61"))</f>
        <v/>
      </c>
      <c r="I75" s="33" t="str">
        <f aca="false">IF(A75="","",COUNTIFS(請求台帳!$C$5:$C$504,A75,請求台帳!$B$5:$B$504,"&gt;="&amp;チェック!$C$4,請求台帳!$B$5:$B$504,"&lt;="&amp;EOMONTH(チェック!$C$4,0),請求台帳!$Q$5:$Q$504,"&lt;&gt;取消"))</f>
        <v/>
      </c>
      <c r="J75" s="28" t="str">
        <f aca="false">IF(A75="","",IF(AND(取引先マスタ!G75="有",I75=0),"請求漏れ候補",""))</f>
        <v/>
      </c>
    </row>
    <row r="76" customFormat="false" ht="15" hidden="false" customHeight="false" outlineLevel="0" collapsed="false">
      <c r="A76" s="31" t="str">
        <f aca="false">IF(取引先マスタ!A76="","",取引先マスタ!A76)</f>
        <v/>
      </c>
      <c r="B76" s="31" t="str">
        <f aca="false">IF(A76="","",取引先マスタ!B76)</f>
        <v/>
      </c>
      <c r="C76" s="31" t="str">
        <f aca="false">IF(A76="","",取引先マスタ!J76&amp;"")</f>
        <v/>
      </c>
      <c r="D76" s="27" t="str">
        <f aca="false">IF(A76="","",SUMIFS(請求台帳!$P$5:$P$504,請求台帳!$C$5:$C$504,A76,請求台帳!$Q$5:$Q$504,"&lt;&gt;取消"))</f>
        <v/>
      </c>
      <c r="E76" s="27" t="str">
        <f aca="false">IF(A76="","",D76-SUM(F76:H76))</f>
        <v/>
      </c>
      <c r="F76" s="27" t="str">
        <f aca="false">IF(A76="","",SUMIFS(請求台帳!$P$5:$P$504,請求台帳!$C$5:$C$504,A76,請求台帳!$S$5:$S$504,"&gt;=1",請求台帳!$S$5:$S$504,"&lt;=30"))</f>
        <v/>
      </c>
      <c r="G76" s="27" t="str">
        <f aca="false">IF(A76="","",SUMIFS(請求台帳!$P$5:$P$504,請求台帳!$C$5:$C$504,A76,請求台帳!$S$5:$S$504,"&gt;=31",請求台帳!$S$5:$S$504,"&lt;=60"))</f>
        <v/>
      </c>
      <c r="H76" s="27" t="str">
        <f aca="false">IF(A76="","",SUMIFS(請求台帳!$P$5:$P$504,請求台帳!$C$5:$C$504,A76,請求台帳!$S$5:$S$504,"&gt;=61"))</f>
        <v/>
      </c>
      <c r="I76" s="33" t="str">
        <f aca="false">IF(A76="","",COUNTIFS(請求台帳!$C$5:$C$504,A76,請求台帳!$B$5:$B$504,"&gt;="&amp;チェック!$C$4,請求台帳!$B$5:$B$504,"&lt;="&amp;EOMONTH(チェック!$C$4,0),請求台帳!$Q$5:$Q$504,"&lt;&gt;取消"))</f>
        <v/>
      </c>
      <c r="J76" s="28" t="str">
        <f aca="false">IF(A76="","",IF(AND(取引先マスタ!G76="有",I76=0),"請求漏れ候補",""))</f>
        <v/>
      </c>
    </row>
    <row r="77" customFormat="false" ht="15" hidden="false" customHeight="false" outlineLevel="0" collapsed="false">
      <c r="A77" s="31" t="str">
        <f aca="false">IF(取引先マスタ!A77="","",取引先マスタ!A77)</f>
        <v/>
      </c>
      <c r="B77" s="31" t="str">
        <f aca="false">IF(A77="","",取引先マスタ!B77)</f>
        <v/>
      </c>
      <c r="C77" s="31" t="str">
        <f aca="false">IF(A77="","",取引先マスタ!J77&amp;"")</f>
        <v/>
      </c>
      <c r="D77" s="27" t="str">
        <f aca="false">IF(A77="","",SUMIFS(請求台帳!$P$5:$P$504,請求台帳!$C$5:$C$504,A77,請求台帳!$Q$5:$Q$504,"&lt;&gt;取消"))</f>
        <v/>
      </c>
      <c r="E77" s="27" t="str">
        <f aca="false">IF(A77="","",D77-SUM(F77:H77))</f>
        <v/>
      </c>
      <c r="F77" s="27" t="str">
        <f aca="false">IF(A77="","",SUMIFS(請求台帳!$P$5:$P$504,請求台帳!$C$5:$C$504,A77,請求台帳!$S$5:$S$504,"&gt;=1",請求台帳!$S$5:$S$504,"&lt;=30"))</f>
        <v/>
      </c>
      <c r="G77" s="27" t="str">
        <f aca="false">IF(A77="","",SUMIFS(請求台帳!$P$5:$P$504,請求台帳!$C$5:$C$504,A77,請求台帳!$S$5:$S$504,"&gt;=31",請求台帳!$S$5:$S$504,"&lt;=60"))</f>
        <v/>
      </c>
      <c r="H77" s="27" t="str">
        <f aca="false">IF(A77="","",SUMIFS(請求台帳!$P$5:$P$504,請求台帳!$C$5:$C$504,A77,請求台帳!$S$5:$S$504,"&gt;=61"))</f>
        <v/>
      </c>
      <c r="I77" s="33" t="str">
        <f aca="false">IF(A77="","",COUNTIFS(請求台帳!$C$5:$C$504,A77,請求台帳!$B$5:$B$504,"&gt;="&amp;チェック!$C$4,請求台帳!$B$5:$B$504,"&lt;="&amp;EOMONTH(チェック!$C$4,0),請求台帳!$Q$5:$Q$504,"&lt;&gt;取消"))</f>
        <v/>
      </c>
      <c r="J77" s="28" t="str">
        <f aca="false">IF(A77="","",IF(AND(取引先マスタ!G77="有",I77=0),"請求漏れ候補",""))</f>
        <v/>
      </c>
    </row>
    <row r="78" customFormat="false" ht="15" hidden="false" customHeight="false" outlineLevel="0" collapsed="false">
      <c r="A78" s="31" t="str">
        <f aca="false">IF(取引先マスタ!A78="","",取引先マスタ!A78)</f>
        <v/>
      </c>
      <c r="B78" s="31" t="str">
        <f aca="false">IF(A78="","",取引先マスタ!B78)</f>
        <v/>
      </c>
      <c r="C78" s="31" t="str">
        <f aca="false">IF(A78="","",取引先マスタ!J78&amp;"")</f>
        <v/>
      </c>
      <c r="D78" s="27" t="str">
        <f aca="false">IF(A78="","",SUMIFS(請求台帳!$P$5:$P$504,請求台帳!$C$5:$C$504,A78,請求台帳!$Q$5:$Q$504,"&lt;&gt;取消"))</f>
        <v/>
      </c>
      <c r="E78" s="27" t="str">
        <f aca="false">IF(A78="","",D78-SUM(F78:H78))</f>
        <v/>
      </c>
      <c r="F78" s="27" t="str">
        <f aca="false">IF(A78="","",SUMIFS(請求台帳!$P$5:$P$504,請求台帳!$C$5:$C$504,A78,請求台帳!$S$5:$S$504,"&gt;=1",請求台帳!$S$5:$S$504,"&lt;=30"))</f>
        <v/>
      </c>
      <c r="G78" s="27" t="str">
        <f aca="false">IF(A78="","",SUMIFS(請求台帳!$P$5:$P$504,請求台帳!$C$5:$C$504,A78,請求台帳!$S$5:$S$504,"&gt;=31",請求台帳!$S$5:$S$504,"&lt;=60"))</f>
        <v/>
      </c>
      <c r="H78" s="27" t="str">
        <f aca="false">IF(A78="","",SUMIFS(請求台帳!$P$5:$P$504,請求台帳!$C$5:$C$504,A78,請求台帳!$S$5:$S$504,"&gt;=61"))</f>
        <v/>
      </c>
      <c r="I78" s="33" t="str">
        <f aca="false">IF(A78="","",COUNTIFS(請求台帳!$C$5:$C$504,A78,請求台帳!$B$5:$B$504,"&gt;="&amp;チェック!$C$4,請求台帳!$B$5:$B$504,"&lt;="&amp;EOMONTH(チェック!$C$4,0),請求台帳!$Q$5:$Q$504,"&lt;&gt;取消"))</f>
        <v/>
      </c>
      <c r="J78" s="28" t="str">
        <f aca="false">IF(A78="","",IF(AND(取引先マスタ!G78="有",I78=0),"請求漏れ候補",""))</f>
        <v/>
      </c>
    </row>
    <row r="79" customFormat="false" ht="15" hidden="false" customHeight="false" outlineLevel="0" collapsed="false">
      <c r="A79" s="31" t="str">
        <f aca="false">IF(取引先マスタ!A79="","",取引先マスタ!A79)</f>
        <v/>
      </c>
      <c r="B79" s="31" t="str">
        <f aca="false">IF(A79="","",取引先マスタ!B79)</f>
        <v/>
      </c>
      <c r="C79" s="31" t="str">
        <f aca="false">IF(A79="","",取引先マスタ!J79&amp;"")</f>
        <v/>
      </c>
      <c r="D79" s="27" t="str">
        <f aca="false">IF(A79="","",SUMIFS(請求台帳!$P$5:$P$504,請求台帳!$C$5:$C$504,A79,請求台帳!$Q$5:$Q$504,"&lt;&gt;取消"))</f>
        <v/>
      </c>
      <c r="E79" s="27" t="str">
        <f aca="false">IF(A79="","",D79-SUM(F79:H79))</f>
        <v/>
      </c>
      <c r="F79" s="27" t="str">
        <f aca="false">IF(A79="","",SUMIFS(請求台帳!$P$5:$P$504,請求台帳!$C$5:$C$504,A79,請求台帳!$S$5:$S$504,"&gt;=1",請求台帳!$S$5:$S$504,"&lt;=30"))</f>
        <v/>
      </c>
      <c r="G79" s="27" t="str">
        <f aca="false">IF(A79="","",SUMIFS(請求台帳!$P$5:$P$504,請求台帳!$C$5:$C$504,A79,請求台帳!$S$5:$S$504,"&gt;=31",請求台帳!$S$5:$S$504,"&lt;=60"))</f>
        <v/>
      </c>
      <c r="H79" s="27" t="str">
        <f aca="false">IF(A79="","",SUMIFS(請求台帳!$P$5:$P$504,請求台帳!$C$5:$C$504,A79,請求台帳!$S$5:$S$504,"&gt;=61"))</f>
        <v/>
      </c>
      <c r="I79" s="33" t="str">
        <f aca="false">IF(A79="","",COUNTIFS(請求台帳!$C$5:$C$504,A79,請求台帳!$B$5:$B$504,"&gt;="&amp;チェック!$C$4,請求台帳!$B$5:$B$504,"&lt;="&amp;EOMONTH(チェック!$C$4,0),請求台帳!$Q$5:$Q$504,"&lt;&gt;取消"))</f>
        <v/>
      </c>
      <c r="J79" s="28" t="str">
        <f aca="false">IF(A79="","",IF(AND(取引先マスタ!G79="有",I79=0),"請求漏れ候補",""))</f>
        <v/>
      </c>
    </row>
    <row r="80" customFormat="false" ht="15" hidden="false" customHeight="false" outlineLevel="0" collapsed="false">
      <c r="A80" s="31" t="str">
        <f aca="false">IF(取引先マスタ!A80="","",取引先マスタ!A80)</f>
        <v/>
      </c>
      <c r="B80" s="31" t="str">
        <f aca="false">IF(A80="","",取引先マスタ!B80)</f>
        <v/>
      </c>
      <c r="C80" s="31" t="str">
        <f aca="false">IF(A80="","",取引先マスタ!J80&amp;"")</f>
        <v/>
      </c>
      <c r="D80" s="27" t="str">
        <f aca="false">IF(A80="","",SUMIFS(請求台帳!$P$5:$P$504,請求台帳!$C$5:$C$504,A80,請求台帳!$Q$5:$Q$504,"&lt;&gt;取消"))</f>
        <v/>
      </c>
      <c r="E80" s="27" t="str">
        <f aca="false">IF(A80="","",D80-SUM(F80:H80))</f>
        <v/>
      </c>
      <c r="F80" s="27" t="str">
        <f aca="false">IF(A80="","",SUMIFS(請求台帳!$P$5:$P$504,請求台帳!$C$5:$C$504,A80,請求台帳!$S$5:$S$504,"&gt;=1",請求台帳!$S$5:$S$504,"&lt;=30"))</f>
        <v/>
      </c>
      <c r="G80" s="27" t="str">
        <f aca="false">IF(A80="","",SUMIFS(請求台帳!$P$5:$P$504,請求台帳!$C$5:$C$504,A80,請求台帳!$S$5:$S$504,"&gt;=31",請求台帳!$S$5:$S$504,"&lt;=60"))</f>
        <v/>
      </c>
      <c r="H80" s="27" t="str">
        <f aca="false">IF(A80="","",SUMIFS(請求台帳!$P$5:$P$504,請求台帳!$C$5:$C$504,A80,請求台帳!$S$5:$S$504,"&gt;=61"))</f>
        <v/>
      </c>
      <c r="I80" s="33" t="str">
        <f aca="false">IF(A80="","",COUNTIFS(請求台帳!$C$5:$C$504,A80,請求台帳!$B$5:$B$504,"&gt;="&amp;チェック!$C$4,請求台帳!$B$5:$B$504,"&lt;="&amp;EOMONTH(チェック!$C$4,0),請求台帳!$Q$5:$Q$504,"&lt;&gt;取消"))</f>
        <v/>
      </c>
      <c r="J80" s="28" t="str">
        <f aca="false">IF(A80="","",IF(AND(取引先マスタ!G80="有",I80=0),"請求漏れ候補",""))</f>
        <v/>
      </c>
    </row>
    <row r="81" customFormat="false" ht="15" hidden="false" customHeight="false" outlineLevel="0" collapsed="false">
      <c r="A81" s="31" t="str">
        <f aca="false">IF(取引先マスタ!A81="","",取引先マスタ!A81)</f>
        <v/>
      </c>
      <c r="B81" s="31" t="str">
        <f aca="false">IF(A81="","",取引先マスタ!B81)</f>
        <v/>
      </c>
      <c r="C81" s="31" t="str">
        <f aca="false">IF(A81="","",取引先マスタ!J81&amp;"")</f>
        <v/>
      </c>
      <c r="D81" s="27" t="str">
        <f aca="false">IF(A81="","",SUMIFS(請求台帳!$P$5:$P$504,請求台帳!$C$5:$C$504,A81,請求台帳!$Q$5:$Q$504,"&lt;&gt;取消"))</f>
        <v/>
      </c>
      <c r="E81" s="27" t="str">
        <f aca="false">IF(A81="","",D81-SUM(F81:H81))</f>
        <v/>
      </c>
      <c r="F81" s="27" t="str">
        <f aca="false">IF(A81="","",SUMIFS(請求台帳!$P$5:$P$504,請求台帳!$C$5:$C$504,A81,請求台帳!$S$5:$S$504,"&gt;=1",請求台帳!$S$5:$S$504,"&lt;=30"))</f>
        <v/>
      </c>
      <c r="G81" s="27" t="str">
        <f aca="false">IF(A81="","",SUMIFS(請求台帳!$P$5:$P$504,請求台帳!$C$5:$C$504,A81,請求台帳!$S$5:$S$504,"&gt;=31",請求台帳!$S$5:$S$504,"&lt;=60"))</f>
        <v/>
      </c>
      <c r="H81" s="27" t="str">
        <f aca="false">IF(A81="","",SUMIFS(請求台帳!$P$5:$P$504,請求台帳!$C$5:$C$504,A81,請求台帳!$S$5:$S$504,"&gt;=61"))</f>
        <v/>
      </c>
      <c r="I81" s="33" t="str">
        <f aca="false">IF(A81="","",COUNTIFS(請求台帳!$C$5:$C$504,A81,請求台帳!$B$5:$B$504,"&gt;="&amp;チェック!$C$4,請求台帳!$B$5:$B$504,"&lt;="&amp;EOMONTH(チェック!$C$4,0),請求台帳!$Q$5:$Q$504,"&lt;&gt;取消"))</f>
        <v/>
      </c>
      <c r="J81" s="28" t="str">
        <f aca="false">IF(A81="","",IF(AND(取引先マスタ!G81="有",I81=0),"請求漏れ候補",""))</f>
        <v/>
      </c>
    </row>
    <row r="82" customFormat="false" ht="15" hidden="false" customHeight="false" outlineLevel="0" collapsed="false">
      <c r="A82" s="31" t="str">
        <f aca="false">IF(取引先マスタ!A82="","",取引先マスタ!A82)</f>
        <v/>
      </c>
      <c r="B82" s="31" t="str">
        <f aca="false">IF(A82="","",取引先マスタ!B82)</f>
        <v/>
      </c>
      <c r="C82" s="31" t="str">
        <f aca="false">IF(A82="","",取引先マスタ!J82&amp;"")</f>
        <v/>
      </c>
      <c r="D82" s="27" t="str">
        <f aca="false">IF(A82="","",SUMIFS(請求台帳!$P$5:$P$504,請求台帳!$C$5:$C$504,A82,請求台帳!$Q$5:$Q$504,"&lt;&gt;取消"))</f>
        <v/>
      </c>
      <c r="E82" s="27" t="str">
        <f aca="false">IF(A82="","",D82-SUM(F82:H82))</f>
        <v/>
      </c>
      <c r="F82" s="27" t="str">
        <f aca="false">IF(A82="","",SUMIFS(請求台帳!$P$5:$P$504,請求台帳!$C$5:$C$504,A82,請求台帳!$S$5:$S$504,"&gt;=1",請求台帳!$S$5:$S$504,"&lt;=30"))</f>
        <v/>
      </c>
      <c r="G82" s="27" t="str">
        <f aca="false">IF(A82="","",SUMIFS(請求台帳!$P$5:$P$504,請求台帳!$C$5:$C$504,A82,請求台帳!$S$5:$S$504,"&gt;=31",請求台帳!$S$5:$S$504,"&lt;=60"))</f>
        <v/>
      </c>
      <c r="H82" s="27" t="str">
        <f aca="false">IF(A82="","",SUMIFS(請求台帳!$P$5:$P$504,請求台帳!$C$5:$C$504,A82,請求台帳!$S$5:$S$504,"&gt;=61"))</f>
        <v/>
      </c>
      <c r="I82" s="33" t="str">
        <f aca="false">IF(A82="","",COUNTIFS(請求台帳!$C$5:$C$504,A82,請求台帳!$B$5:$B$504,"&gt;="&amp;チェック!$C$4,請求台帳!$B$5:$B$504,"&lt;="&amp;EOMONTH(チェック!$C$4,0),請求台帳!$Q$5:$Q$504,"&lt;&gt;取消"))</f>
        <v/>
      </c>
      <c r="J82" s="28" t="str">
        <f aca="false">IF(A82="","",IF(AND(取引先マスタ!G82="有",I82=0),"請求漏れ候補",""))</f>
        <v/>
      </c>
    </row>
    <row r="83" customFormat="false" ht="15" hidden="false" customHeight="false" outlineLevel="0" collapsed="false">
      <c r="A83" s="31" t="str">
        <f aca="false">IF(取引先マスタ!A83="","",取引先マスタ!A83)</f>
        <v/>
      </c>
      <c r="B83" s="31" t="str">
        <f aca="false">IF(A83="","",取引先マスタ!B83)</f>
        <v/>
      </c>
      <c r="C83" s="31" t="str">
        <f aca="false">IF(A83="","",取引先マスタ!J83&amp;"")</f>
        <v/>
      </c>
      <c r="D83" s="27" t="str">
        <f aca="false">IF(A83="","",SUMIFS(請求台帳!$P$5:$P$504,請求台帳!$C$5:$C$504,A83,請求台帳!$Q$5:$Q$504,"&lt;&gt;取消"))</f>
        <v/>
      </c>
      <c r="E83" s="27" t="str">
        <f aca="false">IF(A83="","",D83-SUM(F83:H83))</f>
        <v/>
      </c>
      <c r="F83" s="27" t="str">
        <f aca="false">IF(A83="","",SUMIFS(請求台帳!$P$5:$P$504,請求台帳!$C$5:$C$504,A83,請求台帳!$S$5:$S$504,"&gt;=1",請求台帳!$S$5:$S$504,"&lt;=30"))</f>
        <v/>
      </c>
      <c r="G83" s="27" t="str">
        <f aca="false">IF(A83="","",SUMIFS(請求台帳!$P$5:$P$504,請求台帳!$C$5:$C$504,A83,請求台帳!$S$5:$S$504,"&gt;=31",請求台帳!$S$5:$S$504,"&lt;=60"))</f>
        <v/>
      </c>
      <c r="H83" s="27" t="str">
        <f aca="false">IF(A83="","",SUMIFS(請求台帳!$P$5:$P$504,請求台帳!$C$5:$C$504,A83,請求台帳!$S$5:$S$504,"&gt;=61"))</f>
        <v/>
      </c>
      <c r="I83" s="33" t="str">
        <f aca="false">IF(A83="","",COUNTIFS(請求台帳!$C$5:$C$504,A83,請求台帳!$B$5:$B$504,"&gt;="&amp;チェック!$C$4,請求台帳!$B$5:$B$504,"&lt;="&amp;EOMONTH(チェック!$C$4,0),請求台帳!$Q$5:$Q$504,"&lt;&gt;取消"))</f>
        <v/>
      </c>
      <c r="J83" s="28" t="str">
        <f aca="false">IF(A83="","",IF(AND(取引先マスタ!G83="有",I83=0),"請求漏れ候補",""))</f>
        <v/>
      </c>
    </row>
    <row r="84" customFormat="false" ht="15" hidden="false" customHeight="false" outlineLevel="0" collapsed="false">
      <c r="A84" s="31" t="str">
        <f aca="false">IF(取引先マスタ!A84="","",取引先マスタ!A84)</f>
        <v/>
      </c>
      <c r="B84" s="31" t="str">
        <f aca="false">IF(A84="","",取引先マスタ!B84)</f>
        <v/>
      </c>
      <c r="C84" s="31" t="str">
        <f aca="false">IF(A84="","",取引先マスタ!J84&amp;"")</f>
        <v/>
      </c>
      <c r="D84" s="27" t="str">
        <f aca="false">IF(A84="","",SUMIFS(請求台帳!$P$5:$P$504,請求台帳!$C$5:$C$504,A84,請求台帳!$Q$5:$Q$504,"&lt;&gt;取消"))</f>
        <v/>
      </c>
      <c r="E84" s="27" t="str">
        <f aca="false">IF(A84="","",D84-SUM(F84:H84))</f>
        <v/>
      </c>
      <c r="F84" s="27" t="str">
        <f aca="false">IF(A84="","",SUMIFS(請求台帳!$P$5:$P$504,請求台帳!$C$5:$C$504,A84,請求台帳!$S$5:$S$504,"&gt;=1",請求台帳!$S$5:$S$504,"&lt;=30"))</f>
        <v/>
      </c>
      <c r="G84" s="27" t="str">
        <f aca="false">IF(A84="","",SUMIFS(請求台帳!$P$5:$P$504,請求台帳!$C$5:$C$504,A84,請求台帳!$S$5:$S$504,"&gt;=31",請求台帳!$S$5:$S$504,"&lt;=60"))</f>
        <v/>
      </c>
      <c r="H84" s="27" t="str">
        <f aca="false">IF(A84="","",SUMIFS(請求台帳!$P$5:$P$504,請求台帳!$C$5:$C$504,A84,請求台帳!$S$5:$S$504,"&gt;=61"))</f>
        <v/>
      </c>
      <c r="I84" s="33" t="str">
        <f aca="false">IF(A84="","",COUNTIFS(請求台帳!$C$5:$C$504,A84,請求台帳!$B$5:$B$504,"&gt;="&amp;チェック!$C$4,請求台帳!$B$5:$B$504,"&lt;="&amp;EOMONTH(チェック!$C$4,0),請求台帳!$Q$5:$Q$504,"&lt;&gt;取消"))</f>
        <v/>
      </c>
      <c r="J84" s="28" t="str">
        <f aca="false">IF(A84="","",IF(AND(取引先マスタ!G84="有",I84=0),"請求漏れ候補",""))</f>
        <v/>
      </c>
    </row>
    <row r="85" customFormat="false" ht="15" hidden="false" customHeight="false" outlineLevel="0" collapsed="false">
      <c r="A85" s="31" t="str">
        <f aca="false">IF(取引先マスタ!A85="","",取引先マスタ!A85)</f>
        <v/>
      </c>
      <c r="B85" s="31" t="str">
        <f aca="false">IF(A85="","",取引先マスタ!B85)</f>
        <v/>
      </c>
      <c r="C85" s="31" t="str">
        <f aca="false">IF(A85="","",取引先マスタ!J85&amp;"")</f>
        <v/>
      </c>
      <c r="D85" s="27" t="str">
        <f aca="false">IF(A85="","",SUMIFS(請求台帳!$P$5:$P$504,請求台帳!$C$5:$C$504,A85,請求台帳!$Q$5:$Q$504,"&lt;&gt;取消"))</f>
        <v/>
      </c>
      <c r="E85" s="27" t="str">
        <f aca="false">IF(A85="","",D85-SUM(F85:H85))</f>
        <v/>
      </c>
      <c r="F85" s="27" t="str">
        <f aca="false">IF(A85="","",SUMIFS(請求台帳!$P$5:$P$504,請求台帳!$C$5:$C$504,A85,請求台帳!$S$5:$S$504,"&gt;=1",請求台帳!$S$5:$S$504,"&lt;=30"))</f>
        <v/>
      </c>
      <c r="G85" s="27" t="str">
        <f aca="false">IF(A85="","",SUMIFS(請求台帳!$P$5:$P$504,請求台帳!$C$5:$C$504,A85,請求台帳!$S$5:$S$504,"&gt;=31",請求台帳!$S$5:$S$504,"&lt;=60"))</f>
        <v/>
      </c>
      <c r="H85" s="27" t="str">
        <f aca="false">IF(A85="","",SUMIFS(請求台帳!$P$5:$P$504,請求台帳!$C$5:$C$504,A85,請求台帳!$S$5:$S$504,"&gt;=61"))</f>
        <v/>
      </c>
      <c r="I85" s="33" t="str">
        <f aca="false">IF(A85="","",COUNTIFS(請求台帳!$C$5:$C$504,A85,請求台帳!$B$5:$B$504,"&gt;="&amp;チェック!$C$4,請求台帳!$B$5:$B$504,"&lt;="&amp;EOMONTH(チェック!$C$4,0),請求台帳!$Q$5:$Q$504,"&lt;&gt;取消"))</f>
        <v/>
      </c>
      <c r="J85" s="28" t="str">
        <f aca="false">IF(A85="","",IF(AND(取引先マスタ!G85="有",I85=0),"請求漏れ候補",""))</f>
        <v/>
      </c>
    </row>
    <row r="86" customFormat="false" ht="15" hidden="false" customHeight="false" outlineLevel="0" collapsed="false">
      <c r="A86" s="31" t="str">
        <f aca="false">IF(取引先マスタ!A86="","",取引先マスタ!A86)</f>
        <v/>
      </c>
      <c r="B86" s="31" t="str">
        <f aca="false">IF(A86="","",取引先マスタ!B86)</f>
        <v/>
      </c>
      <c r="C86" s="31" t="str">
        <f aca="false">IF(A86="","",取引先マスタ!J86&amp;"")</f>
        <v/>
      </c>
      <c r="D86" s="27" t="str">
        <f aca="false">IF(A86="","",SUMIFS(請求台帳!$P$5:$P$504,請求台帳!$C$5:$C$504,A86,請求台帳!$Q$5:$Q$504,"&lt;&gt;取消"))</f>
        <v/>
      </c>
      <c r="E86" s="27" t="str">
        <f aca="false">IF(A86="","",D86-SUM(F86:H86))</f>
        <v/>
      </c>
      <c r="F86" s="27" t="str">
        <f aca="false">IF(A86="","",SUMIFS(請求台帳!$P$5:$P$504,請求台帳!$C$5:$C$504,A86,請求台帳!$S$5:$S$504,"&gt;=1",請求台帳!$S$5:$S$504,"&lt;=30"))</f>
        <v/>
      </c>
      <c r="G86" s="27" t="str">
        <f aca="false">IF(A86="","",SUMIFS(請求台帳!$P$5:$P$504,請求台帳!$C$5:$C$504,A86,請求台帳!$S$5:$S$504,"&gt;=31",請求台帳!$S$5:$S$504,"&lt;=60"))</f>
        <v/>
      </c>
      <c r="H86" s="27" t="str">
        <f aca="false">IF(A86="","",SUMIFS(請求台帳!$P$5:$P$504,請求台帳!$C$5:$C$504,A86,請求台帳!$S$5:$S$504,"&gt;=61"))</f>
        <v/>
      </c>
      <c r="I86" s="33" t="str">
        <f aca="false">IF(A86="","",COUNTIFS(請求台帳!$C$5:$C$504,A86,請求台帳!$B$5:$B$504,"&gt;="&amp;チェック!$C$4,請求台帳!$B$5:$B$504,"&lt;="&amp;EOMONTH(チェック!$C$4,0),請求台帳!$Q$5:$Q$504,"&lt;&gt;取消"))</f>
        <v/>
      </c>
      <c r="J86" s="28" t="str">
        <f aca="false">IF(A86="","",IF(AND(取引先マスタ!G86="有",I86=0),"請求漏れ候補",""))</f>
        <v/>
      </c>
    </row>
    <row r="87" customFormat="false" ht="15" hidden="false" customHeight="false" outlineLevel="0" collapsed="false">
      <c r="A87" s="31" t="str">
        <f aca="false">IF(取引先マスタ!A87="","",取引先マスタ!A87)</f>
        <v/>
      </c>
      <c r="B87" s="31" t="str">
        <f aca="false">IF(A87="","",取引先マスタ!B87)</f>
        <v/>
      </c>
      <c r="C87" s="31" t="str">
        <f aca="false">IF(A87="","",取引先マスタ!J87&amp;"")</f>
        <v/>
      </c>
      <c r="D87" s="27" t="str">
        <f aca="false">IF(A87="","",SUMIFS(請求台帳!$P$5:$P$504,請求台帳!$C$5:$C$504,A87,請求台帳!$Q$5:$Q$504,"&lt;&gt;取消"))</f>
        <v/>
      </c>
      <c r="E87" s="27" t="str">
        <f aca="false">IF(A87="","",D87-SUM(F87:H87))</f>
        <v/>
      </c>
      <c r="F87" s="27" t="str">
        <f aca="false">IF(A87="","",SUMIFS(請求台帳!$P$5:$P$504,請求台帳!$C$5:$C$504,A87,請求台帳!$S$5:$S$504,"&gt;=1",請求台帳!$S$5:$S$504,"&lt;=30"))</f>
        <v/>
      </c>
      <c r="G87" s="27" t="str">
        <f aca="false">IF(A87="","",SUMIFS(請求台帳!$P$5:$P$504,請求台帳!$C$5:$C$504,A87,請求台帳!$S$5:$S$504,"&gt;=31",請求台帳!$S$5:$S$504,"&lt;=60"))</f>
        <v/>
      </c>
      <c r="H87" s="27" t="str">
        <f aca="false">IF(A87="","",SUMIFS(請求台帳!$P$5:$P$504,請求台帳!$C$5:$C$504,A87,請求台帳!$S$5:$S$504,"&gt;=61"))</f>
        <v/>
      </c>
      <c r="I87" s="33" t="str">
        <f aca="false">IF(A87="","",COUNTIFS(請求台帳!$C$5:$C$504,A87,請求台帳!$B$5:$B$504,"&gt;="&amp;チェック!$C$4,請求台帳!$B$5:$B$504,"&lt;="&amp;EOMONTH(チェック!$C$4,0),請求台帳!$Q$5:$Q$504,"&lt;&gt;取消"))</f>
        <v/>
      </c>
      <c r="J87" s="28" t="str">
        <f aca="false">IF(A87="","",IF(AND(取引先マスタ!G87="有",I87=0),"請求漏れ候補",""))</f>
        <v/>
      </c>
    </row>
    <row r="88" customFormat="false" ht="15" hidden="false" customHeight="false" outlineLevel="0" collapsed="false">
      <c r="A88" s="31" t="str">
        <f aca="false">IF(取引先マスタ!A88="","",取引先マスタ!A88)</f>
        <v/>
      </c>
      <c r="B88" s="31" t="str">
        <f aca="false">IF(A88="","",取引先マスタ!B88)</f>
        <v/>
      </c>
      <c r="C88" s="31" t="str">
        <f aca="false">IF(A88="","",取引先マスタ!J88&amp;"")</f>
        <v/>
      </c>
      <c r="D88" s="27" t="str">
        <f aca="false">IF(A88="","",SUMIFS(請求台帳!$P$5:$P$504,請求台帳!$C$5:$C$504,A88,請求台帳!$Q$5:$Q$504,"&lt;&gt;取消"))</f>
        <v/>
      </c>
      <c r="E88" s="27" t="str">
        <f aca="false">IF(A88="","",D88-SUM(F88:H88))</f>
        <v/>
      </c>
      <c r="F88" s="27" t="str">
        <f aca="false">IF(A88="","",SUMIFS(請求台帳!$P$5:$P$504,請求台帳!$C$5:$C$504,A88,請求台帳!$S$5:$S$504,"&gt;=1",請求台帳!$S$5:$S$504,"&lt;=30"))</f>
        <v/>
      </c>
      <c r="G88" s="27" t="str">
        <f aca="false">IF(A88="","",SUMIFS(請求台帳!$P$5:$P$504,請求台帳!$C$5:$C$504,A88,請求台帳!$S$5:$S$504,"&gt;=31",請求台帳!$S$5:$S$504,"&lt;=60"))</f>
        <v/>
      </c>
      <c r="H88" s="27" t="str">
        <f aca="false">IF(A88="","",SUMIFS(請求台帳!$P$5:$P$504,請求台帳!$C$5:$C$504,A88,請求台帳!$S$5:$S$504,"&gt;=61"))</f>
        <v/>
      </c>
      <c r="I88" s="33" t="str">
        <f aca="false">IF(A88="","",COUNTIFS(請求台帳!$C$5:$C$504,A88,請求台帳!$B$5:$B$504,"&gt;="&amp;チェック!$C$4,請求台帳!$B$5:$B$504,"&lt;="&amp;EOMONTH(チェック!$C$4,0),請求台帳!$Q$5:$Q$504,"&lt;&gt;取消"))</f>
        <v/>
      </c>
      <c r="J88" s="28" t="str">
        <f aca="false">IF(A88="","",IF(AND(取引先マスタ!G88="有",I88=0),"請求漏れ候補",""))</f>
        <v/>
      </c>
    </row>
    <row r="89" customFormat="false" ht="15" hidden="false" customHeight="false" outlineLevel="0" collapsed="false">
      <c r="A89" s="31" t="str">
        <f aca="false">IF(取引先マスタ!A89="","",取引先マスタ!A89)</f>
        <v/>
      </c>
      <c r="B89" s="31" t="str">
        <f aca="false">IF(A89="","",取引先マスタ!B89)</f>
        <v/>
      </c>
      <c r="C89" s="31" t="str">
        <f aca="false">IF(A89="","",取引先マスタ!J89&amp;"")</f>
        <v/>
      </c>
      <c r="D89" s="27" t="str">
        <f aca="false">IF(A89="","",SUMIFS(請求台帳!$P$5:$P$504,請求台帳!$C$5:$C$504,A89,請求台帳!$Q$5:$Q$504,"&lt;&gt;取消"))</f>
        <v/>
      </c>
      <c r="E89" s="27" t="str">
        <f aca="false">IF(A89="","",D89-SUM(F89:H89))</f>
        <v/>
      </c>
      <c r="F89" s="27" t="str">
        <f aca="false">IF(A89="","",SUMIFS(請求台帳!$P$5:$P$504,請求台帳!$C$5:$C$504,A89,請求台帳!$S$5:$S$504,"&gt;=1",請求台帳!$S$5:$S$504,"&lt;=30"))</f>
        <v/>
      </c>
      <c r="G89" s="27" t="str">
        <f aca="false">IF(A89="","",SUMIFS(請求台帳!$P$5:$P$504,請求台帳!$C$5:$C$504,A89,請求台帳!$S$5:$S$504,"&gt;=31",請求台帳!$S$5:$S$504,"&lt;=60"))</f>
        <v/>
      </c>
      <c r="H89" s="27" t="str">
        <f aca="false">IF(A89="","",SUMIFS(請求台帳!$P$5:$P$504,請求台帳!$C$5:$C$504,A89,請求台帳!$S$5:$S$504,"&gt;=61"))</f>
        <v/>
      </c>
      <c r="I89" s="33" t="str">
        <f aca="false">IF(A89="","",COUNTIFS(請求台帳!$C$5:$C$504,A89,請求台帳!$B$5:$B$504,"&gt;="&amp;チェック!$C$4,請求台帳!$B$5:$B$504,"&lt;="&amp;EOMONTH(チェック!$C$4,0),請求台帳!$Q$5:$Q$504,"&lt;&gt;取消"))</f>
        <v/>
      </c>
      <c r="J89" s="28" t="str">
        <f aca="false">IF(A89="","",IF(AND(取引先マスタ!G89="有",I89=0),"請求漏れ候補",""))</f>
        <v/>
      </c>
    </row>
    <row r="90" customFormat="false" ht="15" hidden="false" customHeight="false" outlineLevel="0" collapsed="false">
      <c r="A90" s="31" t="str">
        <f aca="false">IF(取引先マスタ!A90="","",取引先マスタ!A90)</f>
        <v/>
      </c>
      <c r="B90" s="31" t="str">
        <f aca="false">IF(A90="","",取引先マスタ!B90)</f>
        <v/>
      </c>
      <c r="C90" s="31" t="str">
        <f aca="false">IF(A90="","",取引先マスタ!J90&amp;"")</f>
        <v/>
      </c>
      <c r="D90" s="27" t="str">
        <f aca="false">IF(A90="","",SUMIFS(請求台帳!$P$5:$P$504,請求台帳!$C$5:$C$504,A90,請求台帳!$Q$5:$Q$504,"&lt;&gt;取消"))</f>
        <v/>
      </c>
      <c r="E90" s="27" t="str">
        <f aca="false">IF(A90="","",D90-SUM(F90:H90))</f>
        <v/>
      </c>
      <c r="F90" s="27" t="str">
        <f aca="false">IF(A90="","",SUMIFS(請求台帳!$P$5:$P$504,請求台帳!$C$5:$C$504,A90,請求台帳!$S$5:$S$504,"&gt;=1",請求台帳!$S$5:$S$504,"&lt;=30"))</f>
        <v/>
      </c>
      <c r="G90" s="27" t="str">
        <f aca="false">IF(A90="","",SUMIFS(請求台帳!$P$5:$P$504,請求台帳!$C$5:$C$504,A90,請求台帳!$S$5:$S$504,"&gt;=31",請求台帳!$S$5:$S$504,"&lt;=60"))</f>
        <v/>
      </c>
      <c r="H90" s="27" t="str">
        <f aca="false">IF(A90="","",SUMIFS(請求台帳!$P$5:$P$504,請求台帳!$C$5:$C$504,A90,請求台帳!$S$5:$S$504,"&gt;=61"))</f>
        <v/>
      </c>
      <c r="I90" s="33" t="str">
        <f aca="false">IF(A90="","",COUNTIFS(請求台帳!$C$5:$C$504,A90,請求台帳!$B$5:$B$504,"&gt;="&amp;チェック!$C$4,請求台帳!$B$5:$B$504,"&lt;="&amp;EOMONTH(チェック!$C$4,0),請求台帳!$Q$5:$Q$504,"&lt;&gt;取消"))</f>
        <v/>
      </c>
      <c r="J90" s="28" t="str">
        <f aca="false">IF(A90="","",IF(AND(取引先マスタ!G90="有",I90=0),"請求漏れ候補",""))</f>
        <v/>
      </c>
    </row>
    <row r="91" customFormat="false" ht="15" hidden="false" customHeight="false" outlineLevel="0" collapsed="false">
      <c r="A91" s="31" t="str">
        <f aca="false">IF(取引先マスタ!A91="","",取引先マスタ!A91)</f>
        <v/>
      </c>
      <c r="B91" s="31" t="str">
        <f aca="false">IF(A91="","",取引先マスタ!B91)</f>
        <v/>
      </c>
      <c r="C91" s="31" t="str">
        <f aca="false">IF(A91="","",取引先マスタ!J91&amp;"")</f>
        <v/>
      </c>
      <c r="D91" s="27" t="str">
        <f aca="false">IF(A91="","",SUMIFS(請求台帳!$P$5:$P$504,請求台帳!$C$5:$C$504,A91,請求台帳!$Q$5:$Q$504,"&lt;&gt;取消"))</f>
        <v/>
      </c>
      <c r="E91" s="27" t="str">
        <f aca="false">IF(A91="","",D91-SUM(F91:H91))</f>
        <v/>
      </c>
      <c r="F91" s="27" t="str">
        <f aca="false">IF(A91="","",SUMIFS(請求台帳!$P$5:$P$504,請求台帳!$C$5:$C$504,A91,請求台帳!$S$5:$S$504,"&gt;=1",請求台帳!$S$5:$S$504,"&lt;=30"))</f>
        <v/>
      </c>
      <c r="G91" s="27" t="str">
        <f aca="false">IF(A91="","",SUMIFS(請求台帳!$P$5:$P$504,請求台帳!$C$5:$C$504,A91,請求台帳!$S$5:$S$504,"&gt;=31",請求台帳!$S$5:$S$504,"&lt;=60"))</f>
        <v/>
      </c>
      <c r="H91" s="27" t="str">
        <f aca="false">IF(A91="","",SUMIFS(請求台帳!$P$5:$P$504,請求台帳!$C$5:$C$504,A91,請求台帳!$S$5:$S$504,"&gt;=61"))</f>
        <v/>
      </c>
      <c r="I91" s="33" t="str">
        <f aca="false">IF(A91="","",COUNTIFS(請求台帳!$C$5:$C$504,A91,請求台帳!$B$5:$B$504,"&gt;="&amp;チェック!$C$4,請求台帳!$B$5:$B$504,"&lt;="&amp;EOMONTH(チェック!$C$4,0),請求台帳!$Q$5:$Q$504,"&lt;&gt;取消"))</f>
        <v/>
      </c>
      <c r="J91" s="28" t="str">
        <f aca="false">IF(A91="","",IF(AND(取引先マスタ!G91="有",I91=0),"請求漏れ候補",""))</f>
        <v/>
      </c>
    </row>
    <row r="92" customFormat="false" ht="15" hidden="false" customHeight="false" outlineLevel="0" collapsed="false">
      <c r="A92" s="31" t="str">
        <f aca="false">IF(取引先マスタ!A92="","",取引先マスタ!A92)</f>
        <v/>
      </c>
      <c r="B92" s="31" t="str">
        <f aca="false">IF(A92="","",取引先マスタ!B92)</f>
        <v/>
      </c>
      <c r="C92" s="31" t="str">
        <f aca="false">IF(A92="","",取引先マスタ!J92&amp;"")</f>
        <v/>
      </c>
      <c r="D92" s="27" t="str">
        <f aca="false">IF(A92="","",SUMIFS(請求台帳!$P$5:$P$504,請求台帳!$C$5:$C$504,A92,請求台帳!$Q$5:$Q$504,"&lt;&gt;取消"))</f>
        <v/>
      </c>
      <c r="E92" s="27" t="str">
        <f aca="false">IF(A92="","",D92-SUM(F92:H92))</f>
        <v/>
      </c>
      <c r="F92" s="27" t="str">
        <f aca="false">IF(A92="","",SUMIFS(請求台帳!$P$5:$P$504,請求台帳!$C$5:$C$504,A92,請求台帳!$S$5:$S$504,"&gt;=1",請求台帳!$S$5:$S$504,"&lt;=30"))</f>
        <v/>
      </c>
      <c r="G92" s="27" t="str">
        <f aca="false">IF(A92="","",SUMIFS(請求台帳!$P$5:$P$504,請求台帳!$C$5:$C$504,A92,請求台帳!$S$5:$S$504,"&gt;=31",請求台帳!$S$5:$S$504,"&lt;=60"))</f>
        <v/>
      </c>
      <c r="H92" s="27" t="str">
        <f aca="false">IF(A92="","",SUMIFS(請求台帳!$P$5:$P$504,請求台帳!$C$5:$C$504,A92,請求台帳!$S$5:$S$504,"&gt;=61"))</f>
        <v/>
      </c>
      <c r="I92" s="33" t="str">
        <f aca="false">IF(A92="","",COUNTIFS(請求台帳!$C$5:$C$504,A92,請求台帳!$B$5:$B$504,"&gt;="&amp;チェック!$C$4,請求台帳!$B$5:$B$504,"&lt;="&amp;EOMONTH(チェック!$C$4,0),請求台帳!$Q$5:$Q$504,"&lt;&gt;取消"))</f>
        <v/>
      </c>
      <c r="J92" s="28" t="str">
        <f aca="false">IF(A92="","",IF(AND(取引先マスタ!G92="有",I92=0),"請求漏れ候補",""))</f>
        <v/>
      </c>
    </row>
    <row r="93" customFormat="false" ht="15" hidden="false" customHeight="false" outlineLevel="0" collapsed="false">
      <c r="A93" s="31" t="str">
        <f aca="false">IF(取引先マスタ!A93="","",取引先マスタ!A93)</f>
        <v/>
      </c>
      <c r="B93" s="31" t="str">
        <f aca="false">IF(A93="","",取引先マスタ!B93)</f>
        <v/>
      </c>
      <c r="C93" s="31" t="str">
        <f aca="false">IF(A93="","",取引先マスタ!J93&amp;"")</f>
        <v/>
      </c>
      <c r="D93" s="27" t="str">
        <f aca="false">IF(A93="","",SUMIFS(請求台帳!$P$5:$P$504,請求台帳!$C$5:$C$504,A93,請求台帳!$Q$5:$Q$504,"&lt;&gt;取消"))</f>
        <v/>
      </c>
      <c r="E93" s="27" t="str">
        <f aca="false">IF(A93="","",D93-SUM(F93:H93))</f>
        <v/>
      </c>
      <c r="F93" s="27" t="str">
        <f aca="false">IF(A93="","",SUMIFS(請求台帳!$P$5:$P$504,請求台帳!$C$5:$C$504,A93,請求台帳!$S$5:$S$504,"&gt;=1",請求台帳!$S$5:$S$504,"&lt;=30"))</f>
        <v/>
      </c>
      <c r="G93" s="27" t="str">
        <f aca="false">IF(A93="","",SUMIFS(請求台帳!$P$5:$P$504,請求台帳!$C$5:$C$504,A93,請求台帳!$S$5:$S$504,"&gt;=31",請求台帳!$S$5:$S$504,"&lt;=60"))</f>
        <v/>
      </c>
      <c r="H93" s="27" t="str">
        <f aca="false">IF(A93="","",SUMIFS(請求台帳!$P$5:$P$504,請求台帳!$C$5:$C$504,A93,請求台帳!$S$5:$S$504,"&gt;=61"))</f>
        <v/>
      </c>
      <c r="I93" s="33" t="str">
        <f aca="false">IF(A93="","",COUNTIFS(請求台帳!$C$5:$C$504,A93,請求台帳!$B$5:$B$504,"&gt;="&amp;チェック!$C$4,請求台帳!$B$5:$B$504,"&lt;="&amp;EOMONTH(チェック!$C$4,0),請求台帳!$Q$5:$Q$504,"&lt;&gt;取消"))</f>
        <v/>
      </c>
      <c r="J93" s="28" t="str">
        <f aca="false">IF(A93="","",IF(AND(取引先マスタ!G93="有",I93=0),"請求漏れ候補",""))</f>
        <v/>
      </c>
    </row>
    <row r="94" customFormat="false" ht="15" hidden="false" customHeight="false" outlineLevel="0" collapsed="false">
      <c r="A94" s="31" t="str">
        <f aca="false">IF(取引先マスタ!A94="","",取引先マスタ!A94)</f>
        <v/>
      </c>
      <c r="B94" s="31" t="str">
        <f aca="false">IF(A94="","",取引先マスタ!B94)</f>
        <v/>
      </c>
      <c r="C94" s="31" t="str">
        <f aca="false">IF(A94="","",取引先マスタ!J94&amp;"")</f>
        <v/>
      </c>
      <c r="D94" s="27" t="str">
        <f aca="false">IF(A94="","",SUMIFS(請求台帳!$P$5:$P$504,請求台帳!$C$5:$C$504,A94,請求台帳!$Q$5:$Q$504,"&lt;&gt;取消"))</f>
        <v/>
      </c>
      <c r="E94" s="27" t="str">
        <f aca="false">IF(A94="","",D94-SUM(F94:H94))</f>
        <v/>
      </c>
      <c r="F94" s="27" t="str">
        <f aca="false">IF(A94="","",SUMIFS(請求台帳!$P$5:$P$504,請求台帳!$C$5:$C$504,A94,請求台帳!$S$5:$S$504,"&gt;=1",請求台帳!$S$5:$S$504,"&lt;=30"))</f>
        <v/>
      </c>
      <c r="G94" s="27" t="str">
        <f aca="false">IF(A94="","",SUMIFS(請求台帳!$P$5:$P$504,請求台帳!$C$5:$C$504,A94,請求台帳!$S$5:$S$504,"&gt;=31",請求台帳!$S$5:$S$504,"&lt;=60"))</f>
        <v/>
      </c>
      <c r="H94" s="27" t="str">
        <f aca="false">IF(A94="","",SUMIFS(請求台帳!$P$5:$P$504,請求台帳!$C$5:$C$504,A94,請求台帳!$S$5:$S$504,"&gt;=61"))</f>
        <v/>
      </c>
      <c r="I94" s="33" t="str">
        <f aca="false">IF(A94="","",COUNTIFS(請求台帳!$C$5:$C$504,A94,請求台帳!$B$5:$B$504,"&gt;="&amp;チェック!$C$4,請求台帳!$B$5:$B$504,"&lt;="&amp;EOMONTH(チェック!$C$4,0),請求台帳!$Q$5:$Q$504,"&lt;&gt;取消"))</f>
        <v/>
      </c>
      <c r="J94" s="28" t="str">
        <f aca="false">IF(A94="","",IF(AND(取引先マスタ!G94="有",I94=0),"請求漏れ候補",""))</f>
        <v/>
      </c>
    </row>
    <row r="95" customFormat="false" ht="15" hidden="false" customHeight="false" outlineLevel="0" collapsed="false">
      <c r="A95" s="31" t="str">
        <f aca="false">IF(取引先マスタ!A95="","",取引先マスタ!A95)</f>
        <v/>
      </c>
      <c r="B95" s="31" t="str">
        <f aca="false">IF(A95="","",取引先マスタ!B95)</f>
        <v/>
      </c>
      <c r="C95" s="31" t="str">
        <f aca="false">IF(A95="","",取引先マスタ!J95&amp;"")</f>
        <v/>
      </c>
      <c r="D95" s="27" t="str">
        <f aca="false">IF(A95="","",SUMIFS(請求台帳!$P$5:$P$504,請求台帳!$C$5:$C$504,A95,請求台帳!$Q$5:$Q$504,"&lt;&gt;取消"))</f>
        <v/>
      </c>
      <c r="E95" s="27" t="str">
        <f aca="false">IF(A95="","",D95-SUM(F95:H95))</f>
        <v/>
      </c>
      <c r="F95" s="27" t="str">
        <f aca="false">IF(A95="","",SUMIFS(請求台帳!$P$5:$P$504,請求台帳!$C$5:$C$504,A95,請求台帳!$S$5:$S$504,"&gt;=1",請求台帳!$S$5:$S$504,"&lt;=30"))</f>
        <v/>
      </c>
      <c r="G95" s="27" t="str">
        <f aca="false">IF(A95="","",SUMIFS(請求台帳!$P$5:$P$504,請求台帳!$C$5:$C$504,A95,請求台帳!$S$5:$S$504,"&gt;=31",請求台帳!$S$5:$S$504,"&lt;=60"))</f>
        <v/>
      </c>
      <c r="H95" s="27" t="str">
        <f aca="false">IF(A95="","",SUMIFS(請求台帳!$P$5:$P$504,請求台帳!$C$5:$C$504,A95,請求台帳!$S$5:$S$504,"&gt;=61"))</f>
        <v/>
      </c>
      <c r="I95" s="33" t="str">
        <f aca="false">IF(A95="","",COUNTIFS(請求台帳!$C$5:$C$504,A95,請求台帳!$B$5:$B$504,"&gt;="&amp;チェック!$C$4,請求台帳!$B$5:$B$504,"&lt;="&amp;EOMONTH(チェック!$C$4,0),請求台帳!$Q$5:$Q$504,"&lt;&gt;取消"))</f>
        <v/>
      </c>
      <c r="J95" s="28" t="str">
        <f aca="false">IF(A95="","",IF(AND(取引先マスタ!G95="有",I95=0),"請求漏れ候補",""))</f>
        <v/>
      </c>
    </row>
    <row r="96" customFormat="false" ht="15" hidden="false" customHeight="false" outlineLevel="0" collapsed="false">
      <c r="A96" s="31" t="str">
        <f aca="false">IF(取引先マスタ!A96="","",取引先マスタ!A96)</f>
        <v/>
      </c>
      <c r="B96" s="31" t="str">
        <f aca="false">IF(A96="","",取引先マスタ!B96)</f>
        <v/>
      </c>
      <c r="C96" s="31" t="str">
        <f aca="false">IF(A96="","",取引先マスタ!J96&amp;"")</f>
        <v/>
      </c>
      <c r="D96" s="27" t="str">
        <f aca="false">IF(A96="","",SUMIFS(請求台帳!$P$5:$P$504,請求台帳!$C$5:$C$504,A96,請求台帳!$Q$5:$Q$504,"&lt;&gt;取消"))</f>
        <v/>
      </c>
      <c r="E96" s="27" t="str">
        <f aca="false">IF(A96="","",D96-SUM(F96:H96))</f>
        <v/>
      </c>
      <c r="F96" s="27" t="str">
        <f aca="false">IF(A96="","",SUMIFS(請求台帳!$P$5:$P$504,請求台帳!$C$5:$C$504,A96,請求台帳!$S$5:$S$504,"&gt;=1",請求台帳!$S$5:$S$504,"&lt;=30"))</f>
        <v/>
      </c>
      <c r="G96" s="27" t="str">
        <f aca="false">IF(A96="","",SUMIFS(請求台帳!$P$5:$P$504,請求台帳!$C$5:$C$504,A96,請求台帳!$S$5:$S$504,"&gt;=31",請求台帳!$S$5:$S$504,"&lt;=60"))</f>
        <v/>
      </c>
      <c r="H96" s="27" t="str">
        <f aca="false">IF(A96="","",SUMIFS(請求台帳!$P$5:$P$504,請求台帳!$C$5:$C$504,A96,請求台帳!$S$5:$S$504,"&gt;=61"))</f>
        <v/>
      </c>
      <c r="I96" s="33" t="str">
        <f aca="false">IF(A96="","",COUNTIFS(請求台帳!$C$5:$C$504,A96,請求台帳!$B$5:$B$504,"&gt;="&amp;チェック!$C$4,請求台帳!$B$5:$B$504,"&lt;="&amp;EOMONTH(チェック!$C$4,0),請求台帳!$Q$5:$Q$504,"&lt;&gt;取消"))</f>
        <v/>
      </c>
      <c r="J96" s="28" t="str">
        <f aca="false">IF(A96="","",IF(AND(取引先マスタ!G96="有",I96=0),"請求漏れ候補",""))</f>
        <v/>
      </c>
    </row>
    <row r="97" customFormat="false" ht="15" hidden="false" customHeight="false" outlineLevel="0" collapsed="false">
      <c r="A97" s="31" t="str">
        <f aca="false">IF(取引先マスタ!A97="","",取引先マスタ!A97)</f>
        <v/>
      </c>
      <c r="B97" s="31" t="str">
        <f aca="false">IF(A97="","",取引先マスタ!B97)</f>
        <v/>
      </c>
      <c r="C97" s="31" t="str">
        <f aca="false">IF(A97="","",取引先マスタ!J97&amp;"")</f>
        <v/>
      </c>
      <c r="D97" s="27" t="str">
        <f aca="false">IF(A97="","",SUMIFS(請求台帳!$P$5:$P$504,請求台帳!$C$5:$C$504,A97,請求台帳!$Q$5:$Q$504,"&lt;&gt;取消"))</f>
        <v/>
      </c>
      <c r="E97" s="27" t="str">
        <f aca="false">IF(A97="","",D97-SUM(F97:H97))</f>
        <v/>
      </c>
      <c r="F97" s="27" t="str">
        <f aca="false">IF(A97="","",SUMIFS(請求台帳!$P$5:$P$504,請求台帳!$C$5:$C$504,A97,請求台帳!$S$5:$S$504,"&gt;=1",請求台帳!$S$5:$S$504,"&lt;=30"))</f>
        <v/>
      </c>
      <c r="G97" s="27" t="str">
        <f aca="false">IF(A97="","",SUMIFS(請求台帳!$P$5:$P$504,請求台帳!$C$5:$C$504,A97,請求台帳!$S$5:$S$504,"&gt;=31",請求台帳!$S$5:$S$504,"&lt;=60"))</f>
        <v/>
      </c>
      <c r="H97" s="27" t="str">
        <f aca="false">IF(A97="","",SUMIFS(請求台帳!$P$5:$P$504,請求台帳!$C$5:$C$504,A97,請求台帳!$S$5:$S$504,"&gt;=61"))</f>
        <v/>
      </c>
      <c r="I97" s="33" t="str">
        <f aca="false">IF(A97="","",COUNTIFS(請求台帳!$C$5:$C$504,A97,請求台帳!$B$5:$B$504,"&gt;="&amp;チェック!$C$4,請求台帳!$B$5:$B$504,"&lt;="&amp;EOMONTH(チェック!$C$4,0),請求台帳!$Q$5:$Q$504,"&lt;&gt;取消"))</f>
        <v/>
      </c>
      <c r="J97" s="28" t="str">
        <f aca="false">IF(A97="","",IF(AND(取引先マスタ!G97="有",I97=0),"請求漏れ候補",""))</f>
        <v/>
      </c>
    </row>
    <row r="98" customFormat="false" ht="15" hidden="false" customHeight="false" outlineLevel="0" collapsed="false">
      <c r="A98" s="31" t="str">
        <f aca="false">IF(取引先マスタ!A98="","",取引先マスタ!A98)</f>
        <v/>
      </c>
      <c r="B98" s="31" t="str">
        <f aca="false">IF(A98="","",取引先マスタ!B98)</f>
        <v/>
      </c>
      <c r="C98" s="31" t="str">
        <f aca="false">IF(A98="","",取引先マスタ!J98&amp;"")</f>
        <v/>
      </c>
      <c r="D98" s="27" t="str">
        <f aca="false">IF(A98="","",SUMIFS(請求台帳!$P$5:$P$504,請求台帳!$C$5:$C$504,A98,請求台帳!$Q$5:$Q$504,"&lt;&gt;取消"))</f>
        <v/>
      </c>
      <c r="E98" s="27" t="str">
        <f aca="false">IF(A98="","",D98-SUM(F98:H98))</f>
        <v/>
      </c>
      <c r="F98" s="27" t="str">
        <f aca="false">IF(A98="","",SUMIFS(請求台帳!$P$5:$P$504,請求台帳!$C$5:$C$504,A98,請求台帳!$S$5:$S$504,"&gt;=1",請求台帳!$S$5:$S$504,"&lt;=30"))</f>
        <v/>
      </c>
      <c r="G98" s="27" t="str">
        <f aca="false">IF(A98="","",SUMIFS(請求台帳!$P$5:$P$504,請求台帳!$C$5:$C$504,A98,請求台帳!$S$5:$S$504,"&gt;=31",請求台帳!$S$5:$S$504,"&lt;=60"))</f>
        <v/>
      </c>
      <c r="H98" s="27" t="str">
        <f aca="false">IF(A98="","",SUMIFS(請求台帳!$P$5:$P$504,請求台帳!$C$5:$C$504,A98,請求台帳!$S$5:$S$504,"&gt;=61"))</f>
        <v/>
      </c>
      <c r="I98" s="33" t="str">
        <f aca="false">IF(A98="","",COUNTIFS(請求台帳!$C$5:$C$504,A98,請求台帳!$B$5:$B$504,"&gt;="&amp;チェック!$C$4,請求台帳!$B$5:$B$504,"&lt;="&amp;EOMONTH(チェック!$C$4,0),請求台帳!$Q$5:$Q$504,"&lt;&gt;取消"))</f>
        <v/>
      </c>
      <c r="J98" s="28" t="str">
        <f aca="false">IF(A98="","",IF(AND(取引先マスタ!G98="有",I98=0),"請求漏れ候補",""))</f>
        <v/>
      </c>
    </row>
    <row r="99" customFormat="false" ht="15" hidden="false" customHeight="false" outlineLevel="0" collapsed="false">
      <c r="A99" s="31" t="str">
        <f aca="false">IF(取引先マスタ!A99="","",取引先マスタ!A99)</f>
        <v/>
      </c>
      <c r="B99" s="31" t="str">
        <f aca="false">IF(A99="","",取引先マスタ!B99)</f>
        <v/>
      </c>
      <c r="C99" s="31" t="str">
        <f aca="false">IF(A99="","",取引先マスタ!J99&amp;"")</f>
        <v/>
      </c>
      <c r="D99" s="27" t="str">
        <f aca="false">IF(A99="","",SUMIFS(請求台帳!$P$5:$P$504,請求台帳!$C$5:$C$504,A99,請求台帳!$Q$5:$Q$504,"&lt;&gt;取消"))</f>
        <v/>
      </c>
      <c r="E99" s="27" t="str">
        <f aca="false">IF(A99="","",D99-SUM(F99:H99))</f>
        <v/>
      </c>
      <c r="F99" s="27" t="str">
        <f aca="false">IF(A99="","",SUMIFS(請求台帳!$P$5:$P$504,請求台帳!$C$5:$C$504,A99,請求台帳!$S$5:$S$504,"&gt;=1",請求台帳!$S$5:$S$504,"&lt;=30"))</f>
        <v/>
      </c>
      <c r="G99" s="27" t="str">
        <f aca="false">IF(A99="","",SUMIFS(請求台帳!$P$5:$P$504,請求台帳!$C$5:$C$504,A99,請求台帳!$S$5:$S$504,"&gt;=31",請求台帳!$S$5:$S$504,"&lt;=60"))</f>
        <v/>
      </c>
      <c r="H99" s="27" t="str">
        <f aca="false">IF(A99="","",SUMIFS(請求台帳!$P$5:$P$504,請求台帳!$C$5:$C$504,A99,請求台帳!$S$5:$S$504,"&gt;=61"))</f>
        <v/>
      </c>
      <c r="I99" s="33" t="str">
        <f aca="false">IF(A99="","",COUNTIFS(請求台帳!$C$5:$C$504,A99,請求台帳!$B$5:$B$504,"&gt;="&amp;チェック!$C$4,請求台帳!$B$5:$B$504,"&lt;="&amp;EOMONTH(チェック!$C$4,0),請求台帳!$Q$5:$Q$504,"&lt;&gt;取消"))</f>
        <v/>
      </c>
      <c r="J99" s="28" t="str">
        <f aca="false">IF(A99="","",IF(AND(取引先マスタ!G99="有",I99=0),"請求漏れ候補",""))</f>
        <v/>
      </c>
    </row>
    <row r="100" customFormat="false" ht="15" hidden="false" customHeight="false" outlineLevel="0" collapsed="false">
      <c r="A100" s="31" t="str">
        <f aca="false">IF(取引先マスタ!A100="","",取引先マスタ!A100)</f>
        <v/>
      </c>
      <c r="B100" s="31" t="str">
        <f aca="false">IF(A100="","",取引先マスタ!B100)</f>
        <v/>
      </c>
      <c r="C100" s="31" t="str">
        <f aca="false">IF(A100="","",取引先マスタ!J100&amp;"")</f>
        <v/>
      </c>
      <c r="D100" s="27" t="str">
        <f aca="false">IF(A100="","",SUMIFS(請求台帳!$P$5:$P$504,請求台帳!$C$5:$C$504,A100,請求台帳!$Q$5:$Q$504,"&lt;&gt;取消"))</f>
        <v/>
      </c>
      <c r="E100" s="27" t="str">
        <f aca="false">IF(A100="","",D100-SUM(F100:H100))</f>
        <v/>
      </c>
      <c r="F100" s="27" t="str">
        <f aca="false">IF(A100="","",SUMIFS(請求台帳!$P$5:$P$504,請求台帳!$C$5:$C$504,A100,請求台帳!$S$5:$S$504,"&gt;=1",請求台帳!$S$5:$S$504,"&lt;=30"))</f>
        <v/>
      </c>
      <c r="G100" s="27" t="str">
        <f aca="false">IF(A100="","",SUMIFS(請求台帳!$P$5:$P$504,請求台帳!$C$5:$C$504,A100,請求台帳!$S$5:$S$504,"&gt;=31",請求台帳!$S$5:$S$504,"&lt;=60"))</f>
        <v/>
      </c>
      <c r="H100" s="27" t="str">
        <f aca="false">IF(A100="","",SUMIFS(請求台帳!$P$5:$P$504,請求台帳!$C$5:$C$504,A100,請求台帳!$S$5:$S$504,"&gt;=61"))</f>
        <v/>
      </c>
      <c r="I100" s="33" t="str">
        <f aca="false">IF(A100="","",COUNTIFS(請求台帳!$C$5:$C$504,A100,請求台帳!$B$5:$B$504,"&gt;="&amp;チェック!$C$4,請求台帳!$B$5:$B$504,"&lt;="&amp;EOMONTH(チェック!$C$4,0),請求台帳!$Q$5:$Q$504,"&lt;&gt;取消"))</f>
        <v/>
      </c>
      <c r="J100" s="28" t="str">
        <f aca="false">IF(A100="","",IF(AND(取引先マスタ!G100="有",I100=0),"請求漏れ候補",""))</f>
        <v/>
      </c>
    </row>
    <row r="101" customFormat="false" ht="15" hidden="false" customHeight="false" outlineLevel="0" collapsed="false">
      <c r="A101" s="31" t="str">
        <f aca="false">IF(取引先マスタ!A101="","",取引先マスタ!A101)</f>
        <v/>
      </c>
      <c r="B101" s="31" t="str">
        <f aca="false">IF(A101="","",取引先マスタ!B101)</f>
        <v/>
      </c>
      <c r="C101" s="31" t="str">
        <f aca="false">IF(A101="","",取引先マスタ!J101&amp;"")</f>
        <v/>
      </c>
      <c r="D101" s="27" t="str">
        <f aca="false">IF(A101="","",SUMIFS(請求台帳!$P$5:$P$504,請求台帳!$C$5:$C$504,A101,請求台帳!$Q$5:$Q$504,"&lt;&gt;取消"))</f>
        <v/>
      </c>
      <c r="E101" s="27" t="str">
        <f aca="false">IF(A101="","",D101-SUM(F101:H101))</f>
        <v/>
      </c>
      <c r="F101" s="27" t="str">
        <f aca="false">IF(A101="","",SUMIFS(請求台帳!$P$5:$P$504,請求台帳!$C$5:$C$504,A101,請求台帳!$S$5:$S$504,"&gt;=1",請求台帳!$S$5:$S$504,"&lt;=30"))</f>
        <v/>
      </c>
      <c r="G101" s="27" t="str">
        <f aca="false">IF(A101="","",SUMIFS(請求台帳!$P$5:$P$504,請求台帳!$C$5:$C$504,A101,請求台帳!$S$5:$S$504,"&gt;=31",請求台帳!$S$5:$S$504,"&lt;=60"))</f>
        <v/>
      </c>
      <c r="H101" s="27" t="str">
        <f aca="false">IF(A101="","",SUMIFS(請求台帳!$P$5:$P$504,請求台帳!$C$5:$C$504,A101,請求台帳!$S$5:$S$504,"&gt;=61"))</f>
        <v/>
      </c>
      <c r="I101" s="33" t="str">
        <f aca="false">IF(A101="","",COUNTIFS(請求台帳!$C$5:$C$504,A101,請求台帳!$B$5:$B$504,"&gt;="&amp;チェック!$C$4,請求台帳!$B$5:$B$504,"&lt;="&amp;EOMONTH(チェック!$C$4,0),請求台帳!$Q$5:$Q$504,"&lt;&gt;取消"))</f>
        <v/>
      </c>
      <c r="J101" s="28" t="str">
        <f aca="false">IF(A101="","",IF(AND(取引先マスタ!G101="有",I101=0),"請求漏れ候補",""))</f>
        <v/>
      </c>
    </row>
    <row r="102" customFormat="false" ht="15" hidden="false" customHeight="false" outlineLevel="0" collapsed="false">
      <c r="A102" s="31" t="str">
        <f aca="false">IF(取引先マスタ!A102="","",取引先マスタ!A102)</f>
        <v/>
      </c>
      <c r="B102" s="31" t="str">
        <f aca="false">IF(A102="","",取引先マスタ!B102)</f>
        <v/>
      </c>
      <c r="C102" s="31" t="str">
        <f aca="false">IF(A102="","",取引先マスタ!J102&amp;"")</f>
        <v/>
      </c>
      <c r="D102" s="27" t="str">
        <f aca="false">IF(A102="","",SUMIFS(請求台帳!$P$5:$P$504,請求台帳!$C$5:$C$504,A102,請求台帳!$Q$5:$Q$504,"&lt;&gt;取消"))</f>
        <v/>
      </c>
      <c r="E102" s="27" t="str">
        <f aca="false">IF(A102="","",D102-SUM(F102:H102))</f>
        <v/>
      </c>
      <c r="F102" s="27" t="str">
        <f aca="false">IF(A102="","",SUMIFS(請求台帳!$P$5:$P$504,請求台帳!$C$5:$C$504,A102,請求台帳!$S$5:$S$504,"&gt;=1",請求台帳!$S$5:$S$504,"&lt;=30"))</f>
        <v/>
      </c>
      <c r="G102" s="27" t="str">
        <f aca="false">IF(A102="","",SUMIFS(請求台帳!$P$5:$P$504,請求台帳!$C$5:$C$504,A102,請求台帳!$S$5:$S$504,"&gt;=31",請求台帳!$S$5:$S$504,"&lt;=60"))</f>
        <v/>
      </c>
      <c r="H102" s="27" t="str">
        <f aca="false">IF(A102="","",SUMIFS(請求台帳!$P$5:$P$504,請求台帳!$C$5:$C$504,A102,請求台帳!$S$5:$S$504,"&gt;=61"))</f>
        <v/>
      </c>
      <c r="I102" s="33" t="str">
        <f aca="false">IF(A102="","",COUNTIFS(請求台帳!$C$5:$C$504,A102,請求台帳!$B$5:$B$504,"&gt;="&amp;チェック!$C$4,請求台帳!$B$5:$B$504,"&lt;="&amp;EOMONTH(チェック!$C$4,0),請求台帳!$Q$5:$Q$504,"&lt;&gt;取消"))</f>
        <v/>
      </c>
      <c r="J102" s="28" t="str">
        <f aca="false">IF(A102="","",IF(AND(取引先マスタ!G102="有",I102=0),"請求漏れ候補",""))</f>
        <v/>
      </c>
    </row>
    <row r="103" customFormat="false" ht="15" hidden="false" customHeight="false" outlineLevel="0" collapsed="false">
      <c r="A103" s="31" t="str">
        <f aca="false">IF(取引先マスタ!A103="","",取引先マスタ!A103)</f>
        <v/>
      </c>
      <c r="B103" s="31" t="str">
        <f aca="false">IF(A103="","",取引先マスタ!B103)</f>
        <v/>
      </c>
      <c r="C103" s="31" t="str">
        <f aca="false">IF(A103="","",取引先マスタ!J103&amp;"")</f>
        <v/>
      </c>
      <c r="D103" s="27" t="str">
        <f aca="false">IF(A103="","",SUMIFS(請求台帳!$P$5:$P$504,請求台帳!$C$5:$C$504,A103,請求台帳!$Q$5:$Q$504,"&lt;&gt;取消"))</f>
        <v/>
      </c>
      <c r="E103" s="27" t="str">
        <f aca="false">IF(A103="","",D103-SUM(F103:H103))</f>
        <v/>
      </c>
      <c r="F103" s="27" t="str">
        <f aca="false">IF(A103="","",SUMIFS(請求台帳!$P$5:$P$504,請求台帳!$C$5:$C$504,A103,請求台帳!$S$5:$S$504,"&gt;=1",請求台帳!$S$5:$S$504,"&lt;=30"))</f>
        <v/>
      </c>
      <c r="G103" s="27" t="str">
        <f aca="false">IF(A103="","",SUMIFS(請求台帳!$P$5:$P$504,請求台帳!$C$5:$C$504,A103,請求台帳!$S$5:$S$504,"&gt;=31",請求台帳!$S$5:$S$504,"&lt;=60"))</f>
        <v/>
      </c>
      <c r="H103" s="27" t="str">
        <f aca="false">IF(A103="","",SUMIFS(請求台帳!$P$5:$P$504,請求台帳!$C$5:$C$504,A103,請求台帳!$S$5:$S$504,"&gt;=61"))</f>
        <v/>
      </c>
      <c r="I103" s="33" t="str">
        <f aca="false">IF(A103="","",COUNTIFS(請求台帳!$C$5:$C$504,A103,請求台帳!$B$5:$B$504,"&gt;="&amp;チェック!$C$4,請求台帳!$B$5:$B$504,"&lt;="&amp;EOMONTH(チェック!$C$4,0),請求台帳!$Q$5:$Q$504,"&lt;&gt;取消"))</f>
        <v/>
      </c>
      <c r="J103" s="28" t="str">
        <f aca="false">IF(A103="","",IF(AND(取引先マスタ!G103="有",I103=0),"請求漏れ候補",""))</f>
        <v/>
      </c>
    </row>
    <row r="104" customFormat="false" ht="15" hidden="false" customHeight="false" outlineLevel="0" collapsed="false">
      <c r="A104" s="31" t="str">
        <f aca="false">IF(取引先マスタ!A104="","",取引先マスタ!A104)</f>
        <v/>
      </c>
      <c r="B104" s="31" t="str">
        <f aca="false">IF(A104="","",取引先マスタ!B104)</f>
        <v/>
      </c>
      <c r="C104" s="31" t="str">
        <f aca="false">IF(A104="","",取引先マスタ!J104&amp;"")</f>
        <v/>
      </c>
      <c r="D104" s="27" t="str">
        <f aca="false">IF(A104="","",SUMIFS(請求台帳!$P$5:$P$504,請求台帳!$C$5:$C$504,A104,請求台帳!$Q$5:$Q$504,"&lt;&gt;取消"))</f>
        <v/>
      </c>
      <c r="E104" s="27" t="str">
        <f aca="false">IF(A104="","",D104-SUM(F104:H104))</f>
        <v/>
      </c>
      <c r="F104" s="27" t="str">
        <f aca="false">IF(A104="","",SUMIFS(請求台帳!$P$5:$P$504,請求台帳!$C$5:$C$504,A104,請求台帳!$S$5:$S$504,"&gt;=1",請求台帳!$S$5:$S$504,"&lt;=30"))</f>
        <v/>
      </c>
      <c r="G104" s="27" t="str">
        <f aca="false">IF(A104="","",SUMIFS(請求台帳!$P$5:$P$504,請求台帳!$C$5:$C$504,A104,請求台帳!$S$5:$S$504,"&gt;=31",請求台帳!$S$5:$S$504,"&lt;=60"))</f>
        <v/>
      </c>
      <c r="H104" s="27" t="str">
        <f aca="false">IF(A104="","",SUMIFS(請求台帳!$P$5:$P$504,請求台帳!$C$5:$C$504,A104,請求台帳!$S$5:$S$504,"&gt;=61"))</f>
        <v/>
      </c>
      <c r="I104" s="33" t="str">
        <f aca="false">IF(A104="","",COUNTIFS(請求台帳!$C$5:$C$504,A104,請求台帳!$B$5:$B$504,"&gt;="&amp;チェック!$C$4,請求台帳!$B$5:$B$504,"&lt;="&amp;EOMONTH(チェック!$C$4,0),請求台帳!$Q$5:$Q$504,"&lt;&gt;取消"))</f>
        <v/>
      </c>
      <c r="J104" s="28" t="str">
        <f aca="false">IF(A104="","",IF(AND(取引先マスタ!G104="有",I104=0),"請求漏れ候補",""))</f>
        <v/>
      </c>
    </row>
    <row r="105" customFormat="false" ht="15" hidden="false" customHeight="false" outlineLevel="0" collapsed="false">
      <c r="A105" s="31" t="str">
        <f aca="false">IF(取引先マスタ!A105="","",取引先マスタ!A105)</f>
        <v/>
      </c>
      <c r="B105" s="31" t="str">
        <f aca="false">IF(A105="","",取引先マスタ!B105)</f>
        <v/>
      </c>
      <c r="C105" s="31" t="str">
        <f aca="false">IF(A105="","",取引先マスタ!J105&amp;"")</f>
        <v/>
      </c>
      <c r="D105" s="27" t="str">
        <f aca="false">IF(A105="","",SUMIFS(請求台帳!$P$5:$P$504,請求台帳!$C$5:$C$504,A105,請求台帳!$Q$5:$Q$504,"&lt;&gt;取消"))</f>
        <v/>
      </c>
      <c r="E105" s="27" t="str">
        <f aca="false">IF(A105="","",D105-SUM(F105:H105))</f>
        <v/>
      </c>
      <c r="F105" s="27" t="str">
        <f aca="false">IF(A105="","",SUMIFS(請求台帳!$P$5:$P$504,請求台帳!$C$5:$C$504,A105,請求台帳!$S$5:$S$504,"&gt;=1",請求台帳!$S$5:$S$504,"&lt;=30"))</f>
        <v/>
      </c>
      <c r="G105" s="27" t="str">
        <f aca="false">IF(A105="","",SUMIFS(請求台帳!$P$5:$P$504,請求台帳!$C$5:$C$504,A105,請求台帳!$S$5:$S$504,"&gt;=31",請求台帳!$S$5:$S$504,"&lt;=60"))</f>
        <v/>
      </c>
      <c r="H105" s="27" t="str">
        <f aca="false">IF(A105="","",SUMIFS(請求台帳!$P$5:$P$504,請求台帳!$C$5:$C$504,A105,請求台帳!$S$5:$S$504,"&gt;=61"))</f>
        <v/>
      </c>
      <c r="I105" s="33" t="str">
        <f aca="false">IF(A105="","",COUNTIFS(請求台帳!$C$5:$C$504,A105,請求台帳!$B$5:$B$504,"&gt;="&amp;チェック!$C$4,請求台帳!$B$5:$B$504,"&lt;="&amp;EOMONTH(チェック!$C$4,0),請求台帳!$Q$5:$Q$504,"&lt;&gt;取消"))</f>
        <v/>
      </c>
      <c r="J105" s="28" t="str">
        <f aca="false">IF(A105="","",IF(AND(取引先マスタ!G105="有",I105=0),"請求漏れ候補",""))</f>
        <v/>
      </c>
    </row>
    <row r="106" customFormat="false" ht="15" hidden="false" customHeight="false" outlineLevel="0" collapsed="false">
      <c r="A106" s="31" t="str">
        <f aca="false">IF(取引先マスタ!A106="","",取引先マスタ!A106)</f>
        <v/>
      </c>
      <c r="B106" s="31" t="str">
        <f aca="false">IF(A106="","",取引先マスタ!B106)</f>
        <v/>
      </c>
      <c r="C106" s="31" t="str">
        <f aca="false">IF(A106="","",取引先マスタ!J106&amp;"")</f>
        <v/>
      </c>
      <c r="D106" s="27" t="str">
        <f aca="false">IF(A106="","",SUMIFS(請求台帳!$P$5:$P$504,請求台帳!$C$5:$C$504,A106,請求台帳!$Q$5:$Q$504,"&lt;&gt;取消"))</f>
        <v/>
      </c>
      <c r="E106" s="27" t="str">
        <f aca="false">IF(A106="","",D106-SUM(F106:H106))</f>
        <v/>
      </c>
      <c r="F106" s="27" t="str">
        <f aca="false">IF(A106="","",SUMIFS(請求台帳!$P$5:$P$504,請求台帳!$C$5:$C$504,A106,請求台帳!$S$5:$S$504,"&gt;=1",請求台帳!$S$5:$S$504,"&lt;=30"))</f>
        <v/>
      </c>
      <c r="G106" s="27" t="str">
        <f aca="false">IF(A106="","",SUMIFS(請求台帳!$P$5:$P$504,請求台帳!$C$5:$C$504,A106,請求台帳!$S$5:$S$504,"&gt;=31",請求台帳!$S$5:$S$504,"&lt;=60"))</f>
        <v/>
      </c>
      <c r="H106" s="27" t="str">
        <f aca="false">IF(A106="","",SUMIFS(請求台帳!$P$5:$P$504,請求台帳!$C$5:$C$504,A106,請求台帳!$S$5:$S$504,"&gt;=61"))</f>
        <v/>
      </c>
      <c r="I106" s="33" t="str">
        <f aca="false">IF(A106="","",COUNTIFS(請求台帳!$C$5:$C$504,A106,請求台帳!$B$5:$B$504,"&gt;="&amp;チェック!$C$4,請求台帳!$B$5:$B$504,"&lt;="&amp;EOMONTH(チェック!$C$4,0),請求台帳!$Q$5:$Q$504,"&lt;&gt;取消"))</f>
        <v/>
      </c>
      <c r="J106" s="28" t="str">
        <f aca="false">IF(A106="","",IF(AND(取引先マスタ!G106="有",I106=0),"請求漏れ候補",""))</f>
        <v/>
      </c>
    </row>
    <row r="107" customFormat="false" ht="15" hidden="false" customHeight="false" outlineLevel="0" collapsed="false">
      <c r="A107" s="31" t="str">
        <f aca="false">IF(取引先マスタ!A107="","",取引先マスタ!A107)</f>
        <v/>
      </c>
      <c r="B107" s="31" t="str">
        <f aca="false">IF(A107="","",取引先マスタ!B107)</f>
        <v/>
      </c>
      <c r="C107" s="31" t="str">
        <f aca="false">IF(A107="","",取引先マスタ!J107&amp;"")</f>
        <v/>
      </c>
      <c r="D107" s="27" t="str">
        <f aca="false">IF(A107="","",SUMIFS(請求台帳!$P$5:$P$504,請求台帳!$C$5:$C$504,A107,請求台帳!$Q$5:$Q$504,"&lt;&gt;取消"))</f>
        <v/>
      </c>
      <c r="E107" s="27" t="str">
        <f aca="false">IF(A107="","",D107-SUM(F107:H107))</f>
        <v/>
      </c>
      <c r="F107" s="27" t="str">
        <f aca="false">IF(A107="","",SUMIFS(請求台帳!$P$5:$P$504,請求台帳!$C$5:$C$504,A107,請求台帳!$S$5:$S$504,"&gt;=1",請求台帳!$S$5:$S$504,"&lt;=30"))</f>
        <v/>
      </c>
      <c r="G107" s="27" t="str">
        <f aca="false">IF(A107="","",SUMIFS(請求台帳!$P$5:$P$504,請求台帳!$C$5:$C$504,A107,請求台帳!$S$5:$S$504,"&gt;=31",請求台帳!$S$5:$S$504,"&lt;=60"))</f>
        <v/>
      </c>
      <c r="H107" s="27" t="str">
        <f aca="false">IF(A107="","",SUMIFS(請求台帳!$P$5:$P$504,請求台帳!$C$5:$C$504,A107,請求台帳!$S$5:$S$504,"&gt;=61"))</f>
        <v/>
      </c>
      <c r="I107" s="33" t="str">
        <f aca="false">IF(A107="","",COUNTIFS(請求台帳!$C$5:$C$504,A107,請求台帳!$B$5:$B$504,"&gt;="&amp;チェック!$C$4,請求台帳!$B$5:$B$504,"&lt;="&amp;EOMONTH(チェック!$C$4,0),請求台帳!$Q$5:$Q$504,"&lt;&gt;取消"))</f>
        <v/>
      </c>
      <c r="J107" s="28" t="str">
        <f aca="false">IF(A107="","",IF(AND(取引先マスタ!G107="有",I107=0),"請求漏れ候補",""))</f>
        <v/>
      </c>
    </row>
    <row r="108" customFormat="false" ht="15" hidden="false" customHeight="false" outlineLevel="0" collapsed="false">
      <c r="A108" s="31" t="str">
        <f aca="false">IF(取引先マスタ!A108="","",取引先マスタ!A108)</f>
        <v/>
      </c>
      <c r="B108" s="31" t="str">
        <f aca="false">IF(A108="","",取引先マスタ!B108)</f>
        <v/>
      </c>
      <c r="C108" s="31" t="str">
        <f aca="false">IF(A108="","",取引先マスタ!J108&amp;"")</f>
        <v/>
      </c>
      <c r="D108" s="27" t="str">
        <f aca="false">IF(A108="","",SUMIFS(請求台帳!$P$5:$P$504,請求台帳!$C$5:$C$504,A108,請求台帳!$Q$5:$Q$504,"&lt;&gt;取消"))</f>
        <v/>
      </c>
      <c r="E108" s="27" t="str">
        <f aca="false">IF(A108="","",D108-SUM(F108:H108))</f>
        <v/>
      </c>
      <c r="F108" s="27" t="str">
        <f aca="false">IF(A108="","",SUMIFS(請求台帳!$P$5:$P$504,請求台帳!$C$5:$C$504,A108,請求台帳!$S$5:$S$504,"&gt;=1",請求台帳!$S$5:$S$504,"&lt;=30"))</f>
        <v/>
      </c>
      <c r="G108" s="27" t="str">
        <f aca="false">IF(A108="","",SUMIFS(請求台帳!$P$5:$P$504,請求台帳!$C$5:$C$504,A108,請求台帳!$S$5:$S$504,"&gt;=31",請求台帳!$S$5:$S$504,"&lt;=60"))</f>
        <v/>
      </c>
      <c r="H108" s="27" t="str">
        <f aca="false">IF(A108="","",SUMIFS(請求台帳!$P$5:$P$504,請求台帳!$C$5:$C$504,A108,請求台帳!$S$5:$S$504,"&gt;=61"))</f>
        <v/>
      </c>
      <c r="I108" s="33" t="str">
        <f aca="false">IF(A108="","",COUNTIFS(請求台帳!$C$5:$C$504,A108,請求台帳!$B$5:$B$504,"&gt;="&amp;チェック!$C$4,請求台帳!$B$5:$B$504,"&lt;="&amp;EOMONTH(チェック!$C$4,0),請求台帳!$Q$5:$Q$504,"&lt;&gt;取消"))</f>
        <v/>
      </c>
      <c r="J108" s="28" t="str">
        <f aca="false">IF(A108="","",IF(AND(取引先マスタ!G108="有",I108=0),"請求漏れ候補",""))</f>
        <v/>
      </c>
    </row>
    <row r="109" customFormat="false" ht="15" hidden="false" customHeight="false" outlineLevel="0" collapsed="false">
      <c r="A109" s="31" t="str">
        <f aca="false">IF(取引先マスタ!A109="","",取引先マスタ!A109)</f>
        <v/>
      </c>
      <c r="B109" s="31" t="str">
        <f aca="false">IF(A109="","",取引先マスタ!B109)</f>
        <v/>
      </c>
      <c r="C109" s="31" t="str">
        <f aca="false">IF(A109="","",取引先マスタ!J109&amp;"")</f>
        <v/>
      </c>
      <c r="D109" s="27" t="str">
        <f aca="false">IF(A109="","",SUMIFS(請求台帳!$P$5:$P$504,請求台帳!$C$5:$C$504,A109,請求台帳!$Q$5:$Q$504,"&lt;&gt;取消"))</f>
        <v/>
      </c>
      <c r="E109" s="27" t="str">
        <f aca="false">IF(A109="","",D109-SUM(F109:H109))</f>
        <v/>
      </c>
      <c r="F109" s="27" t="str">
        <f aca="false">IF(A109="","",SUMIFS(請求台帳!$P$5:$P$504,請求台帳!$C$5:$C$504,A109,請求台帳!$S$5:$S$504,"&gt;=1",請求台帳!$S$5:$S$504,"&lt;=30"))</f>
        <v/>
      </c>
      <c r="G109" s="27" t="str">
        <f aca="false">IF(A109="","",SUMIFS(請求台帳!$P$5:$P$504,請求台帳!$C$5:$C$504,A109,請求台帳!$S$5:$S$504,"&gt;=31",請求台帳!$S$5:$S$504,"&lt;=60"))</f>
        <v/>
      </c>
      <c r="H109" s="27" t="str">
        <f aca="false">IF(A109="","",SUMIFS(請求台帳!$P$5:$P$504,請求台帳!$C$5:$C$504,A109,請求台帳!$S$5:$S$504,"&gt;=61"))</f>
        <v/>
      </c>
      <c r="I109" s="33" t="str">
        <f aca="false">IF(A109="","",COUNTIFS(請求台帳!$C$5:$C$504,A109,請求台帳!$B$5:$B$504,"&gt;="&amp;チェック!$C$4,請求台帳!$B$5:$B$504,"&lt;="&amp;EOMONTH(チェック!$C$4,0),請求台帳!$Q$5:$Q$504,"&lt;&gt;取消"))</f>
        <v/>
      </c>
      <c r="J109" s="28" t="str">
        <f aca="false">IF(A109="","",IF(AND(取引先マスタ!G109="有",I109=0),"請求漏れ候補",""))</f>
        <v/>
      </c>
    </row>
    <row r="110" customFormat="false" ht="15" hidden="false" customHeight="false" outlineLevel="0" collapsed="false">
      <c r="A110" s="31" t="str">
        <f aca="false">IF(取引先マスタ!A110="","",取引先マスタ!A110)</f>
        <v/>
      </c>
      <c r="B110" s="31" t="str">
        <f aca="false">IF(A110="","",取引先マスタ!B110)</f>
        <v/>
      </c>
      <c r="C110" s="31" t="str">
        <f aca="false">IF(A110="","",取引先マスタ!J110&amp;"")</f>
        <v/>
      </c>
      <c r="D110" s="27" t="str">
        <f aca="false">IF(A110="","",SUMIFS(請求台帳!$P$5:$P$504,請求台帳!$C$5:$C$504,A110,請求台帳!$Q$5:$Q$504,"&lt;&gt;取消"))</f>
        <v/>
      </c>
      <c r="E110" s="27" t="str">
        <f aca="false">IF(A110="","",D110-SUM(F110:H110))</f>
        <v/>
      </c>
      <c r="F110" s="27" t="str">
        <f aca="false">IF(A110="","",SUMIFS(請求台帳!$P$5:$P$504,請求台帳!$C$5:$C$504,A110,請求台帳!$S$5:$S$504,"&gt;=1",請求台帳!$S$5:$S$504,"&lt;=30"))</f>
        <v/>
      </c>
      <c r="G110" s="27" t="str">
        <f aca="false">IF(A110="","",SUMIFS(請求台帳!$P$5:$P$504,請求台帳!$C$5:$C$504,A110,請求台帳!$S$5:$S$504,"&gt;=31",請求台帳!$S$5:$S$504,"&lt;=60"))</f>
        <v/>
      </c>
      <c r="H110" s="27" t="str">
        <f aca="false">IF(A110="","",SUMIFS(請求台帳!$P$5:$P$504,請求台帳!$C$5:$C$504,A110,請求台帳!$S$5:$S$504,"&gt;=61"))</f>
        <v/>
      </c>
      <c r="I110" s="33" t="str">
        <f aca="false">IF(A110="","",COUNTIFS(請求台帳!$C$5:$C$504,A110,請求台帳!$B$5:$B$504,"&gt;="&amp;チェック!$C$4,請求台帳!$B$5:$B$504,"&lt;="&amp;EOMONTH(チェック!$C$4,0),請求台帳!$Q$5:$Q$504,"&lt;&gt;取消"))</f>
        <v/>
      </c>
      <c r="J110" s="28" t="str">
        <f aca="false">IF(A110="","",IF(AND(取引先マスタ!G110="有",I110=0),"請求漏れ候補",""))</f>
        <v/>
      </c>
    </row>
    <row r="111" customFormat="false" ht="15" hidden="false" customHeight="false" outlineLevel="0" collapsed="false">
      <c r="A111" s="31" t="str">
        <f aca="false">IF(取引先マスタ!A111="","",取引先マスタ!A111)</f>
        <v/>
      </c>
      <c r="B111" s="31" t="str">
        <f aca="false">IF(A111="","",取引先マスタ!B111)</f>
        <v/>
      </c>
      <c r="C111" s="31" t="str">
        <f aca="false">IF(A111="","",取引先マスタ!J111&amp;"")</f>
        <v/>
      </c>
      <c r="D111" s="27" t="str">
        <f aca="false">IF(A111="","",SUMIFS(請求台帳!$P$5:$P$504,請求台帳!$C$5:$C$504,A111,請求台帳!$Q$5:$Q$504,"&lt;&gt;取消"))</f>
        <v/>
      </c>
      <c r="E111" s="27" t="str">
        <f aca="false">IF(A111="","",D111-SUM(F111:H111))</f>
        <v/>
      </c>
      <c r="F111" s="27" t="str">
        <f aca="false">IF(A111="","",SUMIFS(請求台帳!$P$5:$P$504,請求台帳!$C$5:$C$504,A111,請求台帳!$S$5:$S$504,"&gt;=1",請求台帳!$S$5:$S$504,"&lt;=30"))</f>
        <v/>
      </c>
      <c r="G111" s="27" t="str">
        <f aca="false">IF(A111="","",SUMIFS(請求台帳!$P$5:$P$504,請求台帳!$C$5:$C$504,A111,請求台帳!$S$5:$S$504,"&gt;=31",請求台帳!$S$5:$S$504,"&lt;=60"))</f>
        <v/>
      </c>
      <c r="H111" s="27" t="str">
        <f aca="false">IF(A111="","",SUMIFS(請求台帳!$P$5:$P$504,請求台帳!$C$5:$C$504,A111,請求台帳!$S$5:$S$504,"&gt;=61"))</f>
        <v/>
      </c>
      <c r="I111" s="33" t="str">
        <f aca="false">IF(A111="","",COUNTIFS(請求台帳!$C$5:$C$504,A111,請求台帳!$B$5:$B$504,"&gt;="&amp;チェック!$C$4,請求台帳!$B$5:$B$504,"&lt;="&amp;EOMONTH(チェック!$C$4,0),請求台帳!$Q$5:$Q$504,"&lt;&gt;取消"))</f>
        <v/>
      </c>
      <c r="J111" s="28" t="str">
        <f aca="false">IF(A111="","",IF(AND(取引先マスタ!G111="有",I111=0),"請求漏れ候補",""))</f>
        <v/>
      </c>
    </row>
    <row r="112" customFormat="false" ht="15" hidden="false" customHeight="false" outlineLevel="0" collapsed="false">
      <c r="A112" s="31" t="str">
        <f aca="false">IF(取引先マスタ!A112="","",取引先マスタ!A112)</f>
        <v/>
      </c>
      <c r="B112" s="31" t="str">
        <f aca="false">IF(A112="","",取引先マスタ!B112)</f>
        <v/>
      </c>
      <c r="C112" s="31" t="str">
        <f aca="false">IF(A112="","",取引先マスタ!J112&amp;"")</f>
        <v/>
      </c>
      <c r="D112" s="27" t="str">
        <f aca="false">IF(A112="","",SUMIFS(請求台帳!$P$5:$P$504,請求台帳!$C$5:$C$504,A112,請求台帳!$Q$5:$Q$504,"&lt;&gt;取消"))</f>
        <v/>
      </c>
      <c r="E112" s="27" t="str">
        <f aca="false">IF(A112="","",D112-SUM(F112:H112))</f>
        <v/>
      </c>
      <c r="F112" s="27" t="str">
        <f aca="false">IF(A112="","",SUMIFS(請求台帳!$P$5:$P$504,請求台帳!$C$5:$C$504,A112,請求台帳!$S$5:$S$504,"&gt;=1",請求台帳!$S$5:$S$504,"&lt;=30"))</f>
        <v/>
      </c>
      <c r="G112" s="27" t="str">
        <f aca="false">IF(A112="","",SUMIFS(請求台帳!$P$5:$P$504,請求台帳!$C$5:$C$504,A112,請求台帳!$S$5:$S$504,"&gt;=31",請求台帳!$S$5:$S$504,"&lt;=60"))</f>
        <v/>
      </c>
      <c r="H112" s="27" t="str">
        <f aca="false">IF(A112="","",SUMIFS(請求台帳!$P$5:$P$504,請求台帳!$C$5:$C$504,A112,請求台帳!$S$5:$S$504,"&gt;=61"))</f>
        <v/>
      </c>
      <c r="I112" s="33" t="str">
        <f aca="false">IF(A112="","",COUNTIFS(請求台帳!$C$5:$C$504,A112,請求台帳!$B$5:$B$504,"&gt;="&amp;チェック!$C$4,請求台帳!$B$5:$B$504,"&lt;="&amp;EOMONTH(チェック!$C$4,0),請求台帳!$Q$5:$Q$504,"&lt;&gt;取消"))</f>
        <v/>
      </c>
      <c r="J112" s="28" t="str">
        <f aca="false">IF(A112="","",IF(AND(取引先マスタ!G112="有",I112=0),"請求漏れ候補",""))</f>
        <v/>
      </c>
    </row>
    <row r="113" customFormat="false" ht="15" hidden="false" customHeight="false" outlineLevel="0" collapsed="false">
      <c r="A113" s="31" t="str">
        <f aca="false">IF(取引先マスタ!A113="","",取引先マスタ!A113)</f>
        <v/>
      </c>
      <c r="B113" s="31" t="str">
        <f aca="false">IF(A113="","",取引先マスタ!B113)</f>
        <v/>
      </c>
      <c r="C113" s="31" t="str">
        <f aca="false">IF(A113="","",取引先マスタ!J113&amp;"")</f>
        <v/>
      </c>
      <c r="D113" s="27" t="str">
        <f aca="false">IF(A113="","",SUMIFS(請求台帳!$P$5:$P$504,請求台帳!$C$5:$C$504,A113,請求台帳!$Q$5:$Q$504,"&lt;&gt;取消"))</f>
        <v/>
      </c>
      <c r="E113" s="27" t="str">
        <f aca="false">IF(A113="","",D113-SUM(F113:H113))</f>
        <v/>
      </c>
      <c r="F113" s="27" t="str">
        <f aca="false">IF(A113="","",SUMIFS(請求台帳!$P$5:$P$504,請求台帳!$C$5:$C$504,A113,請求台帳!$S$5:$S$504,"&gt;=1",請求台帳!$S$5:$S$504,"&lt;=30"))</f>
        <v/>
      </c>
      <c r="G113" s="27" t="str">
        <f aca="false">IF(A113="","",SUMIFS(請求台帳!$P$5:$P$504,請求台帳!$C$5:$C$504,A113,請求台帳!$S$5:$S$504,"&gt;=31",請求台帳!$S$5:$S$504,"&lt;=60"))</f>
        <v/>
      </c>
      <c r="H113" s="27" t="str">
        <f aca="false">IF(A113="","",SUMIFS(請求台帳!$P$5:$P$504,請求台帳!$C$5:$C$504,A113,請求台帳!$S$5:$S$504,"&gt;=61"))</f>
        <v/>
      </c>
      <c r="I113" s="33" t="str">
        <f aca="false">IF(A113="","",COUNTIFS(請求台帳!$C$5:$C$504,A113,請求台帳!$B$5:$B$504,"&gt;="&amp;チェック!$C$4,請求台帳!$B$5:$B$504,"&lt;="&amp;EOMONTH(チェック!$C$4,0),請求台帳!$Q$5:$Q$504,"&lt;&gt;取消"))</f>
        <v/>
      </c>
      <c r="J113" s="28" t="str">
        <f aca="false">IF(A113="","",IF(AND(取引先マスタ!G113="有",I113=0),"請求漏れ候補",""))</f>
        <v/>
      </c>
    </row>
    <row r="114" customFormat="false" ht="15" hidden="false" customHeight="false" outlineLevel="0" collapsed="false">
      <c r="A114" s="31" t="str">
        <f aca="false">IF(取引先マスタ!A114="","",取引先マスタ!A114)</f>
        <v/>
      </c>
      <c r="B114" s="31" t="str">
        <f aca="false">IF(A114="","",取引先マスタ!B114)</f>
        <v/>
      </c>
      <c r="C114" s="31" t="str">
        <f aca="false">IF(A114="","",取引先マスタ!J114&amp;"")</f>
        <v/>
      </c>
      <c r="D114" s="27" t="str">
        <f aca="false">IF(A114="","",SUMIFS(請求台帳!$P$5:$P$504,請求台帳!$C$5:$C$504,A114,請求台帳!$Q$5:$Q$504,"&lt;&gt;取消"))</f>
        <v/>
      </c>
      <c r="E114" s="27" t="str">
        <f aca="false">IF(A114="","",D114-SUM(F114:H114))</f>
        <v/>
      </c>
      <c r="F114" s="27" t="str">
        <f aca="false">IF(A114="","",SUMIFS(請求台帳!$P$5:$P$504,請求台帳!$C$5:$C$504,A114,請求台帳!$S$5:$S$504,"&gt;=1",請求台帳!$S$5:$S$504,"&lt;=30"))</f>
        <v/>
      </c>
      <c r="G114" s="27" t="str">
        <f aca="false">IF(A114="","",SUMIFS(請求台帳!$P$5:$P$504,請求台帳!$C$5:$C$504,A114,請求台帳!$S$5:$S$504,"&gt;=31",請求台帳!$S$5:$S$504,"&lt;=60"))</f>
        <v/>
      </c>
      <c r="H114" s="27" t="str">
        <f aca="false">IF(A114="","",SUMIFS(請求台帳!$P$5:$P$504,請求台帳!$C$5:$C$504,A114,請求台帳!$S$5:$S$504,"&gt;=61"))</f>
        <v/>
      </c>
      <c r="I114" s="33" t="str">
        <f aca="false">IF(A114="","",COUNTIFS(請求台帳!$C$5:$C$504,A114,請求台帳!$B$5:$B$504,"&gt;="&amp;チェック!$C$4,請求台帳!$B$5:$B$504,"&lt;="&amp;EOMONTH(チェック!$C$4,0),請求台帳!$Q$5:$Q$504,"&lt;&gt;取消"))</f>
        <v/>
      </c>
      <c r="J114" s="28" t="str">
        <f aca="false">IF(A114="","",IF(AND(取引先マスタ!G114="有",I114=0),"請求漏れ候補",""))</f>
        <v/>
      </c>
    </row>
    <row r="115" customFormat="false" ht="15" hidden="false" customHeight="false" outlineLevel="0" collapsed="false">
      <c r="A115" s="31" t="str">
        <f aca="false">IF(取引先マスタ!A115="","",取引先マスタ!A115)</f>
        <v/>
      </c>
      <c r="B115" s="31" t="str">
        <f aca="false">IF(A115="","",取引先マスタ!B115)</f>
        <v/>
      </c>
      <c r="C115" s="31" t="str">
        <f aca="false">IF(A115="","",取引先マスタ!J115&amp;"")</f>
        <v/>
      </c>
      <c r="D115" s="27" t="str">
        <f aca="false">IF(A115="","",SUMIFS(請求台帳!$P$5:$P$504,請求台帳!$C$5:$C$504,A115,請求台帳!$Q$5:$Q$504,"&lt;&gt;取消"))</f>
        <v/>
      </c>
      <c r="E115" s="27" t="str">
        <f aca="false">IF(A115="","",D115-SUM(F115:H115))</f>
        <v/>
      </c>
      <c r="F115" s="27" t="str">
        <f aca="false">IF(A115="","",SUMIFS(請求台帳!$P$5:$P$504,請求台帳!$C$5:$C$504,A115,請求台帳!$S$5:$S$504,"&gt;=1",請求台帳!$S$5:$S$504,"&lt;=30"))</f>
        <v/>
      </c>
      <c r="G115" s="27" t="str">
        <f aca="false">IF(A115="","",SUMIFS(請求台帳!$P$5:$P$504,請求台帳!$C$5:$C$504,A115,請求台帳!$S$5:$S$504,"&gt;=31",請求台帳!$S$5:$S$504,"&lt;=60"))</f>
        <v/>
      </c>
      <c r="H115" s="27" t="str">
        <f aca="false">IF(A115="","",SUMIFS(請求台帳!$P$5:$P$504,請求台帳!$C$5:$C$504,A115,請求台帳!$S$5:$S$504,"&gt;=61"))</f>
        <v/>
      </c>
      <c r="I115" s="33" t="str">
        <f aca="false">IF(A115="","",COUNTIFS(請求台帳!$C$5:$C$504,A115,請求台帳!$B$5:$B$504,"&gt;="&amp;チェック!$C$4,請求台帳!$B$5:$B$504,"&lt;="&amp;EOMONTH(チェック!$C$4,0),請求台帳!$Q$5:$Q$504,"&lt;&gt;取消"))</f>
        <v/>
      </c>
      <c r="J115" s="28" t="str">
        <f aca="false">IF(A115="","",IF(AND(取引先マスタ!G115="有",I115=0),"請求漏れ候補",""))</f>
        <v/>
      </c>
    </row>
    <row r="116" customFormat="false" ht="15" hidden="false" customHeight="false" outlineLevel="0" collapsed="false">
      <c r="A116" s="31" t="str">
        <f aca="false">IF(取引先マスタ!A116="","",取引先マスタ!A116)</f>
        <v/>
      </c>
      <c r="B116" s="31" t="str">
        <f aca="false">IF(A116="","",取引先マスタ!B116)</f>
        <v/>
      </c>
      <c r="C116" s="31" t="str">
        <f aca="false">IF(A116="","",取引先マスタ!J116&amp;"")</f>
        <v/>
      </c>
      <c r="D116" s="27" t="str">
        <f aca="false">IF(A116="","",SUMIFS(請求台帳!$P$5:$P$504,請求台帳!$C$5:$C$504,A116,請求台帳!$Q$5:$Q$504,"&lt;&gt;取消"))</f>
        <v/>
      </c>
      <c r="E116" s="27" t="str">
        <f aca="false">IF(A116="","",D116-SUM(F116:H116))</f>
        <v/>
      </c>
      <c r="F116" s="27" t="str">
        <f aca="false">IF(A116="","",SUMIFS(請求台帳!$P$5:$P$504,請求台帳!$C$5:$C$504,A116,請求台帳!$S$5:$S$504,"&gt;=1",請求台帳!$S$5:$S$504,"&lt;=30"))</f>
        <v/>
      </c>
      <c r="G116" s="27" t="str">
        <f aca="false">IF(A116="","",SUMIFS(請求台帳!$P$5:$P$504,請求台帳!$C$5:$C$504,A116,請求台帳!$S$5:$S$504,"&gt;=31",請求台帳!$S$5:$S$504,"&lt;=60"))</f>
        <v/>
      </c>
      <c r="H116" s="27" t="str">
        <f aca="false">IF(A116="","",SUMIFS(請求台帳!$P$5:$P$504,請求台帳!$C$5:$C$504,A116,請求台帳!$S$5:$S$504,"&gt;=61"))</f>
        <v/>
      </c>
      <c r="I116" s="33" t="str">
        <f aca="false">IF(A116="","",COUNTIFS(請求台帳!$C$5:$C$504,A116,請求台帳!$B$5:$B$504,"&gt;="&amp;チェック!$C$4,請求台帳!$B$5:$B$504,"&lt;="&amp;EOMONTH(チェック!$C$4,0),請求台帳!$Q$5:$Q$504,"&lt;&gt;取消"))</f>
        <v/>
      </c>
      <c r="J116" s="28" t="str">
        <f aca="false">IF(A116="","",IF(AND(取引先マスタ!G116="有",I116=0),"請求漏れ候補",""))</f>
        <v/>
      </c>
    </row>
    <row r="117" customFormat="false" ht="15" hidden="false" customHeight="false" outlineLevel="0" collapsed="false">
      <c r="A117" s="31" t="str">
        <f aca="false">IF(取引先マスタ!A117="","",取引先マスタ!A117)</f>
        <v/>
      </c>
      <c r="B117" s="31" t="str">
        <f aca="false">IF(A117="","",取引先マスタ!B117)</f>
        <v/>
      </c>
      <c r="C117" s="31" t="str">
        <f aca="false">IF(A117="","",取引先マスタ!J117&amp;"")</f>
        <v/>
      </c>
      <c r="D117" s="27" t="str">
        <f aca="false">IF(A117="","",SUMIFS(請求台帳!$P$5:$P$504,請求台帳!$C$5:$C$504,A117,請求台帳!$Q$5:$Q$504,"&lt;&gt;取消"))</f>
        <v/>
      </c>
      <c r="E117" s="27" t="str">
        <f aca="false">IF(A117="","",D117-SUM(F117:H117))</f>
        <v/>
      </c>
      <c r="F117" s="27" t="str">
        <f aca="false">IF(A117="","",SUMIFS(請求台帳!$P$5:$P$504,請求台帳!$C$5:$C$504,A117,請求台帳!$S$5:$S$504,"&gt;=1",請求台帳!$S$5:$S$504,"&lt;=30"))</f>
        <v/>
      </c>
      <c r="G117" s="27" t="str">
        <f aca="false">IF(A117="","",SUMIFS(請求台帳!$P$5:$P$504,請求台帳!$C$5:$C$504,A117,請求台帳!$S$5:$S$504,"&gt;=31",請求台帳!$S$5:$S$504,"&lt;=60"))</f>
        <v/>
      </c>
      <c r="H117" s="27" t="str">
        <f aca="false">IF(A117="","",SUMIFS(請求台帳!$P$5:$P$504,請求台帳!$C$5:$C$504,A117,請求台帳!$S$5:$S$504,"&gt;=61"))</f>
        <v/>
      </c>
      <c r="I117" s="33" t="str">
        <f aca="false">IF(A117="","",COUNTIFS(請求台帳!$C$5:$C$504,A117,請求台帳!$B$5:$B$504,"&gt;="&amp;チェック!$C$4,請求台帳!$B$5:$B$504,"&lt;="&amp;EOMONTH(チェック!$C$4,0),請求台帳!$Q$5:$Q$504,"&lt;&gt;取消"))</f>
        <v/>
      </c>
      <c r="J117" s="28" t="str">
        <f aca="false">IF(A117="","",IF(AND(取引先マスタ!G117="有",I117=0),"請求漏れ候補",""))</f>
        <v/>
      </c>
    </row>
    <row r="118" customFormat="false" ht="15" hidden="false" customHeight="false" outlineLevel="0" collapsed="false">
      <c r="A118" s="31" t="str">
        <f aca="false">IF(取引先マスタ!A118="","",取引先マスタ!A118)</f>
        <v/>
      </c>
      <c r="B118" s="31" t="str">
        <f aca="false">IF(A118="","",取引先マスタ!B118)</f>
        <v/>
      </c>
      <c r="C118" s="31" t="str">
        <f aca="false">IF(A118="","",取引先マスタ!J118&amp;"")</f>
        <v/>
      </c>
      <c r="D118" s="27" t="str">
        <f aca="false">IF(A118="","",SUMIFS(請求台帳!$P$5:$P$504,請求台帳!$C$5:$C$504,A118,請求台帳!$Q$5:$Q$504,"&lt;&gt;取消"))</f>
        <v/>
      </c>
      <c r="E118" s="27" t="str">
        <f aca="false">IF(A118="","",D118-SUM(F118:H118))</f>
        <v/>
      </c>
      <c r="F118" s="27" t="str">
        <f aca="false">IF(A118="","",SUMIFS(請求台帳!$P$5:$P$504,請求台帳!$C$5:$C$504,A118,請求台帳!$S$5:$S$504,"&gt;=1",請求台帳!$S$5:$S$504,"&lt;=30"))</f>
        <v/>
      </c>
      <c r="G118" s="27" t="str">
        <f aca="false">IF(A118="","",SUMIFS(請求台帳!$P$5:$P$504,請求台帳!$C$5:$C$504,A118,請求台帳!$S$5:$S$504,"&gt;=31",請求台帳!$S$5:$S$504,"&lt;=60"))</f>
        <v/>
      </c>
      <c r="H118" s="27" t="str">
        <f aca="false">IF(A118="","",SUMIFS(請求台帳!$P$5:$P$504,請求台帳!$C$5:$C$504,A118,請求台帳!$S$5:$S$504,"&gt;=61"))</f>
        <v/>
      </c>
      <c r="I118" s="33" t="str">
        <f aca="false">IF(A118="","",COUNTIFS(請求台帳!$C$5:$C$504,A118,請求台帳!$B$5:$B$504,"&gt;="&amp;チェック!$C$4,請求台帳!$B$5:$B$504,"&lt;="&amp;EOMONTH(チェック!$C$4,0),請求台帳!$Q$5:$Q$504,"&lt;&gt;取消"))</f>
        <v/>
      </c>
      <c r="J118" s="28" t="str">
        <f aca="false">IF(A118="","",IF(AND(取引先マスタ!G118="有",I118=0),"請求漏れ候補",""))</f>
        <v/>
      </c>
    </row>
    <row r="119" customFormat="false" ht="15" hidden="false" customHeight="false" outlineLevel="0" collapsed="false">
      <c r="A119" s="31" t="str">
        <f aca="false">IF(取引先マスタ!A119="","",取引先マスタ!A119)</f>
        <v/>
      </c>
      <c r="B119" s="31" t="str">
        <f aca="false">IF(A119="","",取引先マスタ!B119)</f>
        <v/>
      </c>
      <c r="C119" s="31" t="str">
        <f aca="false">IF(A119="","",取引先マスタ!J119&amp;"")</f>
        <v/>
      </c>
      <c r="D119" s="27" t="str">
        <f aca="false">IF(A119="","",SUMIFS(請求台帳!$P$5:$P$504,請求台帳!$C$5:$C$504,A119,請求台帳!$Q$5:$Q$504,"&lt;&gt;取消"))</f>
        <v/>
      </c>
      <c r="E119" s="27" t="str">
        <f aca="false">IF(A119="","",D119-SUM(F119:H119))</f>
        <v/>
      </c>
      <c r="F119" s="27" t="str">
        <f aca="false">IF(A119="","",SUMIFS(請求台帳!$P$5:$P$504,請求台帳!$C$5:$C$504,A119,請求台帳!$S$5:$S$504,"&gt;=1",請求台帳!$S$5:$S$504,"&lt;=30"))</f>
        <v/>
      </c>
      <c r="G119" s="27" t="str">
        <f aca="false">IF(A119="","",SUMIFS(請求台帳!$P$5:$P$504,請求台帳!$C$5:$C$504,A119,請求台帳!$S$5:$S$504,"&gt;=31",請求台帳!$S$5:$S$504,"&lt;=60"))</f>
        <v/>
      </c>
      <c r="H119" s="27" t="str">
        <f aca="false">IF(A119="","",SUMIFS(請求台帳!$P$5:$P$504,請求台帳!$C$5:$C$504,A119,請求台帳!$S$5:$S$504,"&gt;=61"))</f>
        <v/>
      </c>
      <c r="I119" s="33" t="str">
        <f aca="false">IF(A119="","",COUNTIFS(請求台帳!$C$5:$C$504,A119,請求台帳!$B$5:$B$504,"&gt;="&amp;チェック!$C$4,請求台帳!$B$5:$B$504,"&lt;="&amp;EOMONTH(チェック!$C$4,0),請求台帳!$Q$5:$Q$504,"&lt;&gt;取消"))</f>
        <v/>
      </c>
      <c r="J119" s="28" t="str">
        <f aca="false">IF(A119="","",IF(AND(取引先マスタ!G119="有",I119=0),"請求漏れ候補",""))</f>
        <v/>
      </c>
    </row>
    <row r="120" customFormat="false" ht="15" hidden="false" customHeight="false" outlineLevel="0" collapsed="false">
      <c r="A120" s="31" t="str">
        <f aca="false">IF(取引先マスタ!A120="","",取引先マスタ!A120)</f>
        <v/>
      </c>
      <c r="B120" s="31" t="str">
        <f aca="false">IF(A120="","",取引先マスタ!B120)</f>
        <v/>
      </c>
      <c r="C120" s="31" t="str">
        <f aca="false">IF(A120="","",取引先マスタ!J120&amp;"")</f>
        <v/>
      </c>
      <c r="D120" s="27" t="str">
        <f aca="false">IF(A120="","",SUMIFS(請求台帳!$P$5:$P$504,請求台帳!$C$5:$C$504,A120,請求台帳!$Q$5:$Q$504,"&lt;&gt;取消"))</f>
        <v/>
      </c>
      <c r="E120" s="27" t="str">
        <f aca="false">IF(A120="","",D120-SUM(F120:H120))</f>
        <v/>
      </c>
      <c r="F120" s="27" t="str">
        <f aca="false">IF(A120="","",SUMIFS(請求台帳!$P$5:$P$504,請求台帳!$C$5:$C$504,A120,請求台帳!$S$5:$S$504,"&gt;=1",請求台帳!$S$5:$S$504,"&lt;=30"))</f>
        <v/>
      </c>
      <c r="G120" s="27" t="str">
        <f aca="false">IF(A120="","",SUMIFS(請求台帳!$P$5:$P$504,請求台帳!$C$5:$C$504,A120,請求台帳!$S$5:$S$504,"&gt;=31",請求台帳!$S$5:$S$504,"&lt;=60"))</f>
        <v/>
      </c>
      <c r="H120" s="27" t="str">
        <f aca="false">IF(A120="","",SUMIFS(請求台帳!$P$5:$P$504,請求台帳!$C$5:$C$504,A120,請求台帳!$S$5:$S$504,"&gt;=61"))</f>
        <v/>
      </c>
      <c r="I120" s="33" t="str">
        <f aca="false">IF(A120="","",COUNTIFS(請求台帳!$C$5:$C$504,A120,請求台帳!$B$5:$B$504,"&gt;="&amp;チェック!$C$4,請求台帳!$B$5:$B$504,"&lt;="&amp;EOMONTH(チェック!$C$4,0),請求台帳!$Q$5:$Q$504,"&lt;&gt;取消"))</f>
        <v/>
      </c>
      <c r="J120" s="28" t="str">
        <f aca="false">IF(A120="","",IF(AND(取引先マスタ!G120="有",I120=0),"請求漏れ候補",""))</f>
        <v/>
      </c>
    </row>
    <row r="121" customFormat="false" ht="15" hidden="false" customHeight="false" outlineLevel="0" collapsed="false">
      <c r="A121" s="31" t="str">
        <f aca="false">IF(取引先マスタ!A121="","",取引先マスタ!A121)</f>
        <v/>
      </c>
      <c r="B121" s="31" t="str">
        <f aca="false">IF(A121="","",取引先マスタ!B121)</f>
        <v/>
      </c>
      <c r="C121" s="31" t="str">
        <f aca="false">IF(A121="","",取引先マスタ!J121&amp;"")</f>
        <v/>
      </c>
      <c r="D121" s="27" t="str">
        <f aca="false">IF(A121="","",SUMIFS(請求台帳!$P$5:$P$504,請求台帳!$C$5:$C$504,A121,請求台帳!$Q$5:$Q$504,"&lt;&gt;取消"))</f>
        <v/>
      </c>
      <c r="E121" s="27" t="str">
        <f aca="false">IF(A121="","",D121-SUM(F121:H121))</f>
        <v/>
      </c>
      <c r="F121" s="27" t="str">
        <f aca="false">IF(A121="","",SUMIFS(請求台帳!$P$5:$P$504,請求台帳!$C$5:$C$504,A121,請求台帳!$S$5:$S$504,"&gt;=1",請求台帳!$S$5:$S$504,"&lt;=30"))</f>
        <v/>
      </c>
      <c r="G121" s="27" t="str">
        <f aca="false">IF(A121="","",SUMIFS(請求台帳!$P$5:$P$504,請求台帳!$C$5:$C$504,A121,請求台帳!$S$5:$S$504,"&gt;=31",請求台帳!$S$5:$S$504,"&lt;=60"))</f>
        <v/>
      </c>
      <c r="H121" s="27" t="str">
        <f aca="false">IF(A121="","",SUMIFS(請求台帳!$P$5:$P$504,請求台帳!$C$5:$C$504,A121,請求台帳!$S$5:$S$504,"&gt;=61"))</f>
        <v/>
      </c>
      <c r="I121" s="33" t="str">
        <f aca="false">IF(A121="","",COUNTIFS(請求台帳!$C$5:$C$504,A121,請求台帳!$B$5:$B$504,"&gt;="&amp;チェック!$C$4,請求台帳!$B$5:$B$504,"&lt;="&amp;EOMONTH(チェック!$C$4,0),請求台帳!$Q$5:$Q$504,"&lt;&gt;取消"))</f>
        <v/>
      </c>
      <c r="J121" s="28" t="str">
        <f aca="false">IF(A121="","",IF(AND(取引先マスタ!G121="有",I121=0),"請求漏れ候補",""))</f>
        <v/>
      </c>
    </row>
    <row r="122" customFormat="false" ht="15" hidden="false" customHeight="false" outlineLevel="0" collapsed="false">
      <c r="A122" s="31" t="str">
        <f aca="false">IF(取引先マスタ!A122="","",取引先マスタ!A122)</f>
        <v/>
      </c>
      <c r="B122" s="31" t="str">
        <f aca="false">IF(A122="","",取引先マスタ!B122)</f>
        <v/>
      </c>
      <c r="C122" s="31" t="str">
        <f aca="false">IF(A122="","",取引先マスタ!J122&amp;"")</f>
        <v/>
      </c>
      <c r="D122" s="27" t="str">
        <f aca="false">IF(A122="","",SUMIFS(請求台帳!$P$5:$P$504,請求台帳!$C$5:$C$504,A122,請求台帳!$Q$5:$Q$504,"&lt;&gt;取消"))</f>
        <v/>
      </c>
      <c r="E122" s="27" t="str">
        <f aca="false">IF(A122="","",D122-SUM(F122:H122))</f>
        <v/>
      </c>
      <c r="F122" s="27" t="str">
        <f aca="false">IF(A122="","",SUMIFS(請求台帳!$P$5:$P$504,請求台帳!$C$5:$C$504,A122,請求台帳!$S$5:$S$504,"&gt;=1",請求台帳!$S$5:$S$504,"&lt;=30"))</f>
        <v/>
      </c>
      <c r="G122" s="27" t="str">
        <f aca="false">IF(A122="","",SUMIFS(請求台帳!$P$5:$P$504,請求台帳!$C$5:$C$504,A122,請求台帳!$S$5:$S$504,"&gt;=31",請求台帳!$S$5:$S$504,"&lt;=60"))</f>
        <v/>
      </c>
      <c r="H122" s="27" t="str">
        <f aca="false">IF(A122="","",SUMIFS(請求台帳!$P$5:$P$504,請求台帳!$C$5:$C$504,A122,請求台帳!$S$5:$S$504,"&gt;=61"))</f>
        <v/>
      </c>
      <c r="I122" s="33" t="str">
        <f aca="false">IF(A122="","",COUNTIFS(請求台帳!$C$5:$C$504,A122,請求台帳!$B$5:$B$504,"&gt;="&amp;チェック!$C$4,請求台帳!$B$5:$B$504,"&lt;="&amp;EOMONTH(チェック!$C$4,0),請求台帳!$Q$5:$Q$504,"&lt;&gt;取消"))</f>
        <v/>
      </c>
      <c r="J122" s="28" t="str">
        <f aca="false">IF(A122="","",IF(AND(取引先マスタ!G122="有",I122=0),"請求漏れ候補",""))</f>
        <v/>
      </c>
    </row>
    <row r="123" customFormat="false" ht="15" hidden="false" customHeight="false" outlineLevel="0" collapsed="false">
      <c r="A123" s="31" t="str">
        <f aca="false">IF(取引先マスタ!A123="","",取引先マスタ!A123)</f>
        <v/>
      </c>
      <c r="B123" s="31" t="str">
        <f aca="false">IF(A123="","",取引先マスタ!B123)</f>
        <v/>
      </c>
      <c r="C123" s="31" t="str">
        <f aca="false">IF(A123="","",取引先マスタ!J123&amp;"")</f>
        <v/>
      </c>
      <c r="D123" s="27" t="str">
        <f aca="false">IF(A123="","",SUMIFS(請求台帳!$P$5:$P$504,請求台帳!$C$5:$C$504,A123,請求台帳!$Q$5:$Q$504,"&lt;&gt;取消"))</f>
        <v/>
      </c>
      <c r="E123" s="27" t="str">
        <f aca="false">IF(A123="","",D123-SUM(F123:H123))</f>
        <v/>
      </c>
      <c r="F123" s="27" t="str">
        <f aca="false">IF(A123="","",SUMIFS(請求台帳!$P$5:$P$504,請求台帳!$C$5:$C$504,A123,請求台帳!$S$5:$S$504,"&gt;=1",請求台帳!$S$5:$S$504,"&lt;=30"))</f>
        <v/>
      </c>
      <c r="G123" s="27" t="str">
        <f aca="false">IF(A123="","",SUMIFS(請求台帳!$P$5:$P$504,請求台帳!$C$5:$C$504,A123,請求台帳!$S$5:$S$504,"&gt;=31",請求台帳!$S$5:$S$504,"&lt;=60"))</f>
        <v/>
      </c>
      <c r="H123" s="27" t="str">
        <f aca="false">IF(A123="","",SUMIFS(請求台帳!$P$5:$P$504,請求台帳!$C$5:$C$504,A123,請求台帳!$S$5:$S$504,"&gt;=61"))</f>
        <v/>
      </c>
      <c r="I123" s="33" t="str">
        <f aca="false">IF(A123="","",COUNTIFS(請求台帳!$C$5:$C$504,A123,請求台帳!$B$5:$B$504,"&gt;="&amp;チェック!$C$4,請求台帳!$B$5:$B$504,"&lt;="&amp;EOMONTH(チェック!$C$4,0),請求台帳!$Q$5:$Q$504,"&lt;&gt;取消"))</f>
        <v/>
      </c>
      <c r="J123" s="28" t="str">
        <f aca="false">IF(A123="","",IF(AND(取引先マスタ!G123="有",I123=0),"請求漏れ候補",""))</f>
        <v/>
      </c>
    </row>
    <row r="124" customFormat="false" ht="15" hidden="false" customHeight="false" outlineLevel="0" collapsed="false">
      <c r="A124" s="31" t="str">
        <f aca="false">IF(取引先マスタ!A124="","",取引先マスタ!A124)</f>
        <v/>
      </c>
      <c r="B124" s="31" t="str">
        <f aca="false">IF(A124="","",取引先マスタ!B124)</f>
        <v/>
      </c>
      <c r="C124" s="31" t="str">
        <f aca="false">IF(A124="","",取引先マスタ!J124&amp;"")</f>
        <v/>
      </c>
      <c r="D124" s="27" t="str">
        <f aca="false">IF(A124="","",SUMIFS(請求台帳!$P$5:$P$504,請求台帳!$C$5:$C$504,A124,請求台帳!$Q$5:$Q$504,"&lt;&gt;取消"))</f>
        <v/>
      </c>
      <c r="E124" s="27" t="str">
        <f aca="false">IF(A124="","",D124-SUM(F124:H124))</f>
        <v/>
      </c>
      <c r="F124" s="27" t="str">
        <f aca="false">IF(A124="","",SUMIFS(請求台帳!$P$5:$P$504,請求台帳!$C$5:$C$504,A124,請求台帳!$S$5:$S$504,"&gt;=1",請求台帳!$S$5:$S$504,"&lt;=30"))</f>
        <v/>
      </c>
      <c r="G124" s="27" t="str">
        <f aca="false">IF(A124="","",SUMIFS(請求台帳!$P$5:$P$504,請求台帳!$C$5:$C$504,A124,請求台帳!$S$5:$S$504,"&gt;=31",請求台帳!$S$5:$S$504,"&lt;=60"))</f>
        <v/>
      </c>
      <c r="H124" s="27" t="str">
        <f aca="false">IF(A124="","",SUMIFS(請求台帳!$P$5:$P$504,請求台帳!$C$5:$C$504,A124,請求台帳!$S$5:$S$504,"&gt;=61"))</f>
        <v/>
      </c>
      <c r="I124" s="33" t="str">
        <f aca="false">IF(A124="","",COUNTIFS(請求台帳!$C$5:$C$504,A124,請求台帳!$B$5:$B$504,"&gt;="&amp;チェック!$C$4,請求台帳!$B$5:$B$504,"&lt;="&amp;EOMONTH(チェック!$C$4,0),請求台帳!$Q$5:$Q$504,"&lt;&gt;取消"))</f>
        <v/>
      </c>
      <c r="J124" s="28" t="str">
        <f aca="false">IF(A124="","",IF(AND(取引先マスタ!G124="有",I124=0),"請求漏れ候補",""))</f>
        <v/>
      </c>
    </row>
    <row r="125" customFormat="false" ht="15" hidden="false" customHeight="false" outlineLevel="0" collapsed="false">
      <c r="A125" s="31" t="str">
        <f aca="false">IF(取引先マスタ!A125="","",取引先マスタ!A125)</f>
        <v/>
      </c>
      <c r="B125" s="31" t="str">
        <f aca="false">IF(A125="","",取引先マスタ!B125)</f>
        <v/>
      </c>
      <c r="C125" s="31" t="str">
        <f aca="false">IF(A125="","",取引先マスタ!J125&amp;"")</f>
        <v/>
      </c>
      <c r="D125" s="27" t="str">
        <f aca="false">IF(A125="","",SUMIFS(請求台帳!$P$5:$P$504,請求台帳!$C$5:$C$504,A125,請求台帳!$Q$5:$Q$504,"&lt;&gt;取消"))</f>
        <v/>
      </c>
      <c r="E125" s="27" t="str">
        <f aca="false">IF(A125="","",D125-SUM(F125:H125))</f>
        <v/>
      </c>
      <c r="F125" s="27" t="str">
        <f aca="false">IF(A125="","",SUMIFS(請求台帳!$P$5:$P$504,請求台帳!$C$5:$C$504,A125,請求台帳!$S$5:$S$504,"&gt;=1",請求台帳!$S$5:$S$504,"&lt;=30"))</f>
        <v/>
      </c>
      <c r="G125" s="27" t="str">
        <f aca="false">IF(A125="","",SUMIFS(請求台帳!$P$5:$P$504,請求台帳!$C$5:$C$504,A125,請求台帳!$S$5:$S$504,"&gt;=31",請求台帳!$S$5:$S$504,"&lt;=60"))</f>
        <v/>
      </c>
      <c r="H125" s="27" t="str">
        <f aca="false">IF(A125="","",SUMIFS(請求台帳!$P$5:$P$504,請求台帳!$C$5:$C$504,A125,請求台帳!$S$5:$S$504,"&gt;=61"))</f>
        <v/>
      </c>
      <c r="I125" s="33" t="str">
        <f aca="false">IF(A125="","",COUNTIFS(請求台帳!$C$5:$C$504,A125,請求台帳!$B$5:$B$504,"&gt;="&amp;チェック!$C$4,請求台帳!$B$5:$B$504,"&lt;="&amp;EOMONTH(チェック!$C$4,0),請求台帳!$Q$5:$Q$504,"&lt;&gt;取消"))</f>
        <v/>
      </c>
      <c r="J125" s="28" t="str">
        <f aca="false">IF(A125="","",IF(AND(取引先マスタ!G125="有",I125=0),"請求漏れ候補",""))</f>
        <v/>
      </c>
    </row>
    <row r="126" customFormat="false" ht="15" hidden="false" customHeight="false" outlineLevel="0" collapsed="false">
      <c r="A126" s="31" t="str">
        <f aca="false">IF(取引先マスタ!A126="","",取引先マスタ!A126)</f>
        <v/>
      </c>
      <c r="B126" s="31" t="str">
        <f aca="false">IF(A126="","",取引先マスタ!B126)</f>
        <v/>
      </c>
      <c r="C126" s="31" t="str">
        <f aca="false">IF(A126="","",取引先マスタ!J126&amp;"")</f>
        <v/>
      </c>
      <c r="D126" s="27" t="str">
        <f aca="false">IF(A126="","",SUMIFS(請求台帳!$P$5:$P$504,請求台帳!$C$5:$C$504,A126,請求台帳!$Q$5:$Q$504,"&lt;&gt;取消"))</f>
        <v/>
      </c>
      <c r="E126" s="27" t="str">
        <f aca="false">IF(A126="","",D126-SUM(F126:H126))</f>
        <v/>
      </c>
      <c r="F126" s="27" t="str">
        <f aca="false">IF(A126="","",SUMIFS(請求台帳!$P$5:$P$504,請求台帳!$C$5:$C$504,A126,請求台帳!$S$5:$S$504,"&gt;=1",請求台帳!$S$5:$S$504,"&lt;=30"))</f>
        <v/>
      </c>
      <c r="G126" s="27" t="str">
        <f aca="false">IF(A126="","",SUMIFS(請求台帳!$P$5:$P$504,請求台帳!$C$5:$C$504,A126,請求台帳!$S$5:$S$504,"&gt;=31",請求台帳!$S$5:$S$504,"&lt;=60"))</f>
        <v/>
      </c>
      <c r="H126" s="27" t="str">
        <f aca="false">IF(A126="","",SUMIFS(請求台帳!$P$5:$P$504,請求台帳!$C$5:$C$504,A126,請求台帳!$S$5:$S$504,"&gt;=61"))</f>
        <v/>
      </c>
      <c r="I126" s="33" t="str">
        <f aca="false">IF(A126="","",COUNTIFS(請求台帳!$C$5:$C$504,A126,請求台帳!$B$5:$B$504,"&gt;="&amp;チェック!$C$4,請求台帳!$B$5:$B$504,"&lt;="&amp;EOMONTH(チェック!$C$4,0),請求台帳!$Q$5:$Q$504,"&lt;&gt;取消"))</f>
        <v/>
      </c>
      <c r="J126" s="28" t="str">
        <f aca="false">IF(A126="","",IF(AND(取引先マスタ!G126="有",I126=0),"請求漏れ候補",""))</f>
        <v/>
      </c>
    </row>
    <row r="127" customFormat="false" ht="15" hidden="false" customHeight="false" outlineLevel="0" collapsed="false">
      <c r="A127" s="31" t="str">
        <f aca="false">IF(取引先マスタ!A127="","",取引先マスタ!A127)</f>
        <v/>
      </c>
      <c r="B127" s="31" t="str">
        <f aca="false">IF(A127="","",取引先マスタ!B127)</f>
        <v/>
      </c>
      <c r="C127" s="31" t="str">
        <f aca="false">IF(A127="","",取引先マスタ!J127&amp;"")</f>
        <v/>
      </c>
      <c r="D127" s="27" t="str">
        <f aca="false">IF(A127="","",SUMIFS(請求台帳!$P$5:$P$504,請求台帳!$C$5:$C$504,A127,請求台帳!$Q$5:$Q$504,"&lt;&gt;取消"))</f>
        <v/>
      </c>
      <c r="E127" s="27" t="str">
        <f aca="false">IF(A127="","",D127-SUM(F127:H127))</f>
        <v/>
      </c>
      <c r="F127" s="27" t="str">
        <f aca="false">IF(A127="","",SUMIFS(請求台帳!$P$5:$P$504,請求台帳!$C$5:$C$504,A127,請求台帳!$S$5:$S$504,"&gt;=1",請求台帳!$S$5:$S$504,"&lt;=30"))</f>
        <v/>
      </c>
      <c r="G127" s="27" t="str">
        <f aca="false">IF(A127="","",SUMIFS(請求台帳!$P$5:$P$504,請求台帳!$C$5:$C$504,A127,請求台帳!$S$5:$S$504,"&gt;=31",請求台帳!$S$5:$S$504,"&lt;=60"))</f>
        <v/>
      </c>
      <c r="H127" s="27" t="str">
        <f aca="false">IF(A127="","",SUMIFS(請求台帳!$P$5:$P$504,請求台帳!$C$5:$C$504,A127,請求台帳!$S$5:$S$504,"&gt;=61"))</f>
        <v/>
      </c>
      <c r="I127" s="33" t="str">
        <f aca="false">IF(A127="","",COUNTIFS(請求台帳!$C$5:$C$504,A127,請求台帳!$B$5:$B$504,"&gt;="&amp;チェック!$C$4,請求台帳!$B$5:$B$504,"&lt;="&amp;EOMONTH(チェック!$C$4,0),請求台帳!$Q$5:$Q$504,"&lt;&gt;取消"))</f>
        <v/>
      </c>
      <c r="J127" s="28" t="str">
        <f aca="false">IF(A127="","",IF(AND(取引先マスタ!G127="有",I127=0),"請求漏れ候補",""))</f>
        <v/>
      </c>
    </row>
    <row r="128" customFormat="false" ht="15" hidden="false" customHeight="false" outlineLevel="0" collapsed="false">
      <c r="A128" s="31" t="str">
        <f aca="false">IF(取引先マスタ!A128="","",取引先マスタ!A128)</f>
        <v/>
      </c>
      <c r="B128" s="31" t="str">
        <f aca="false">IF(A128="","",取引先マスタ!B128)</f>
        <v/>
      </c>
      <c r="C128" s="31" t="str">
        <f aca="false">IF(A128="","",取引先マスタ!J128&amp;"")</f>
        <v/>
      </c>
      <c r="D128" s="27" t="str">
        <f aca="false">IF(A128="","",SUMIFS(請求台帳!$P$5:$P$504,請求台帳!$C$5:$C$504,A128,請求台帳!$Q$5:$Q$504,"&lt;&gt;取消"))</f>
        <v/>
      </c>
      <c r="E128" s="27" t="str">
        <f aca="false">IF(A128="","",D128-SUM(F128:H128))</f>
        <v/>
      </c>
      <c r="F128" s="27" t="str">
        <f aca="false">IF(A128="","",SUMIFS(請求台帳!$P$5:$P$504,請求台帳!$C$5:$C$504,A128,請求台帳!$S$5:$S$504,"&gt;=1",請求台帳!$S$5:$S$504,"&lt;=30"))</f>
        <v/>
      </c>
      <c r="G128" s="27" t="str">
        <f aca="false">IF(A128="","",SUMIFS(請求台帳!$P$5:$P$504,請求台帳!$C$5:$C$504,A128,請求台帳!$S$5:$S$504,"&gt;=31",請求台帳!$S$5:$S$504,"&lt;=60"))</f>
        <v/>
      </c>
      <c r="H128" s="27" t="str">
        <f aca="false">IF(A128="","",SUMIFS(請求台帳!$P$5:$P$504,請求台帳!$C$5:$C$504,A128,請求台帳!$S$5:$S$504,"&gt;=61"))</f>
        <v/>
      </c>
      <c r="I128" s="33" t="str">
        <f aca="false">IF(A128="","",COUNTIFS(請求台帳!$C$5:$C$504,A128,請求台帳!$B$5:$B$504,"&gt;="&amp;チェック!$C$4,請求台帳!$B$5:$B$504,"&lt;="&amp;EOMONTH(チェック!$C$4,0),請求台帳!$Q$5:$Q$504,"&lt;&gt;取消"))</f>
        <v/>
      </c>
      <c r="J128" s="28" t="str">
        <f aca="false">IF(A128="","",IF(AND(取引先マスタ!G128="有",I128=0),"請求漏れ候補",""))</f>
        <v/>
      </c>
    </row>
    <row r="129" customFormat="false" ht="15" hidden="false" customHeight="false" outlineLevel="0" collapsed="false">
      <c r="A129" s="31" t="str">
        <f aca="false">IF(取引先マスタ!A129="","",取引先マスタ!A129)</f>
        <v/>
      </c>
      <c r="B129" s="31" t="str">
        <f aca="false">IF(A129="","",取引先マスタ!B129)</f>
        <v/>
      </c>
      <c r="C129" s="31" t="str">
        <f aca="false">IF(A129="","",取引先マスタ!J129&amp;"")</f>
        <v/>
      </c>
      <c r="D129" s="27" t="str">
        <f aca="false">IF(A129="","",SUMIFS(請求台帳!$P$5:$P$504,請求台帳!$C$5:$C$504,A129,請求台帳!$Q$5:$Q$504,"&lt;&gt;取消"))</f>
        <v/>
      </c>
      <c r="E129" s="27" t="str">
        <f aca="false">IF(A129="","",D129-SUM(F129:H129))</f>
        <v/>
      </c>
      <c r="F129" s="27" t="str">
        <f aca="false">IF(A129="","",SUMIFS(請求台帳!$P$5:$P$504,請求台帳!$C$5:$C$504,A129,請求台帳!$S$5:$S$504,"&gt;=1",請求台帳!$S$5:$S$504,"&lt;=30"))</f>
        <v/>
      </c>
      <c r="G129" s="27" t="str">
        <f aca="false">IF(A129="","",SUMIFS(請求台帳!$P$5:$P$504,請求台帳!$C$5:$C$504,A129,請求台帳!$S$5:$S$504,"&gt;=31",請求台帳!$S$5:$S$504,"&lt;=60"))</f>
        <v/>
      </c>
      <c r="H129" s="27" t="str">
        <f aca="false">IF(A129="","",SUMIFS(請求台帳!$P$5:$P$504,請求台帳!$C$5:$C$504,A129,請求台帳!$S$5:$S$504,"&gt;=61"))</f>
        <v/>
      </c>
      <c r="I129" s="33" t="str">
        <f aca="false">IF(A129="","",COUNTIFS(請求台帳!$C$5:$C$504,A129,請求台帳!$B$5:$B$504,"&gt;="&amp;チェック!$C$4,請求台帳!$B$5:$B$504,"&lt;="&amp;EOMONTH(チェック!$C$4,0),請求台帳!$Q$5:$Q$504,"&lt;&gt;取消"))</f>
        <v/>
      </c>
      <c r="J129" s="28" t="str">
        <f aca="false">IF(A129="","",IF(AND(取引先マスタ!G129="有",I129=0),"請求漏れ候補",""))</f>
        <v/>
      </c>
    </row>
    <row r="130" customFormat="false" ht="15" hidden="false" customHeight="false" outlineLevel="0" collapsed="false">
      <c r="A130" s="31" t="str">
        <f aca="false">IF(取引先マスタ!A130="","",取引先マスタ!A130)</f>
        <v/>
      </c>
      <c r="B130" s="31" t="str">
        <f aca="false">IF(A130="","",取引先マスタ!B130)</f>
        <v/>
      </c>
      <c r="C130" s="31" t="str">
        <f aca="false">IF(A130="","",取引先マスタ!J130&amp;"")</f>
        <v/>
      </c>
      <c r="D130" s="27" t="str">
        <f aca="false">IF(A130="","",SUMIFS(請求台帳!$P$5:$P$504,請求台帳!$C$5:$C$504,A130,請求台帳!$Q$5:$Q$504,"&lt;&gt;取消"))</f>
        <v/>
      </c>
      <c r="E130" s="27" t="str">
        <f aca="false">IF(A130="","",D130-SUM(F130:H130))</f>
        <v/>
      </c>
      <c r="F130" s="27" t="str">
        <f aca="false">IF(A130="","",SUMIFS(請求台帳!$P$5:$P$504,請求台帳!$C$5:$C$504,A130,請求台帳!$S$5:$S$504,"&gt;=1",請求台帳!$S$5:$S$504,"&lt;=30"))</f>
        <v/>
      </c>
      <c r="G130" s="27" t="str">
        <f aca="false">IF(A130="","",SUMIFS(請求台帳!$P$5:$P$504,請求台帳!$C$5:$C$504,A130,請求台帳!$S$5:$S$504,"&gt;=31",請求台帳!$S$5:$S$504,"&lt;=60"))</f>
        <v/>
      </c>
      <c r="H130" s="27" t="str">
        <f aca="false">IF(A130="","",SUMIFS(請求台帳!$P$5:$P$504,請求台帳!$C$5:$C$504,A130,請求台帳!$S$5:$S$504,"&gt;=61"))</f>
        <v/>
      </c>
      <c r="I130" s="33" t="str">
        <f aca="false">IF(A130="","",COUNTIFS(請求台帳!$C$5:$C$504,A130,請求台帳!$B$5:$B$504,"&gt;="&amp;チェック!$C$4,請求台帳!$B$5:$B$504,"&lt;="&amp;EOMONTH(チェック!$C$4,0),請求台帳!$Q$5:$Q$504,"&lt;&gt;取消"))</f>
        <v/>
      </c>
      <c r="J130" s="28" t="str">
        <f aca="false">IF(A130="","",IF(AND(取引先マスタ!G130="有",I130=0),"請求漏れ候補",""))</f>
        <v/>
      </c>
    </row>
    <row r="131" customFormat="false" ht="15" hidden="false" customHeight="false" outlineLevel="0" collapsed="false">
      <c r="A131" s="31" t="str">
        <f aca="false">IF(取引先マスタ!A131="","",取引先マスタ!A131)</f>
        <v/>
      </c>
      <c r="B131" s="31" t="str">
        <f aca="false">IF(A131="","",取引先マスタ!B131)</f>
        <v/>
      </c>
      <c r="C131" s="31" t="str">
        <f aca="false">IF(A131="","",取引先マスタ!J131&amp;"")</f>
        <v/>
      </c>
      <c r="D131" s="27" t="str">
        <f aca="false">IF(A131="","",SUMIFS(請求台帳!$P$5:$P$504,請求台帳!$C$5:$C$504,A131,請求台帳!$Q$5:$Q$504,"&lt;&gt;取消"))</f>
        <v/>
      </c>
      <c r="E131" s="27" t="str">
        <f aca="false">IF(A131="","",D131-SUM(F131:H131))</f>
        <v/>
      </c>
      <c r="F131" s="27" t="str">
        <f aca="false">IF(A131="","",SUMIFS(請求台帳!$P$5:$P$504,請求台帳!$C$5:$C$504,A131,請求台帳!$S$5:$S$504,"&gt;=1",請求台帳!$S$5:$S$504,"&lt;=30"))</f>
        <v/>
      </c>
      <c r="G131" s="27" t="str">
        <f aca="false">IF(A131="","",SUMIFS(請求台帳!$P$5:$P$504,請求台帳!$C$5:$C$504,A131,請求台帳!$S$5:$S$504,"&gt;=31",請求台帳!$S$5:$S$504,"&lt;=60"))</f>
        <v/>
      </c>
      <c r="H131" s="27" t="str">
        <f aca="false">IF(A131="","",SUMIFS(請求台帳!$P$5:$P$504,請求台帳!$C$5:$C$504,A131,請求台帳!$S$5:$S$504,"&gt;=61"))</f>
        <v/>
      </c>
      <c r="I131" s="33" t="str">
        <f aca="false">IF(A131="","",COUNTIFS(請求台帳!$C$5:$C$504,A131,請求台帳!$B$5:$B$504,"&gt;="&amp;チェック!$C$4,請求台帳!$B$5:$B$504,"&lt;="&amp;EOMONTH(チェック!$C$4,0),請求台帳!$Q$5:$Q$504,"&lt;&gt;取消"))</f>
        <v/>
      </c>
      <c r="J131" s="28" t="str">
        <f aca="false">IF(A131="","",IF(AND(取引先マスタ!G131="有",I131=0),"請求漏れ候補",""))</f>
        <v/>
      </c>
    </row>
    <row r="132" customFormat="false" ht="15" hidden="false" customHeight="false" outlineLevel="0" collapsed="false">
      <c r="A132" s="31" t="str">
        <f aca="false">IF(取引先マスタ!A132="","",取引先マスタ!A132)</f>
        <v/>
      </c>
      <c r="B132" s="31" t="str">
        <f aca="false">IF(A132="","",取引先マスタ!B132)</f>
        <v/>
      </c>
      <c r="C132" s="31" t="str">
        <f aca="false">IF(A132="","",取引先マスタ!J132&amp;"")</f>
        <v/>
      </c>
      <c r="D132" s="27" t="str">
        <f aca="false">IF(A132="","",SUMIFS(請求台帳!$P$5:$P$504,請求台帳!$C$5:$C$504,A132,請求台帳!$Q$5:$Q$504,"&lt;&gt;取消"))</f>
        <v/>
      </c>
      <c r="E132" s="27" t="str">
        <f aca="false">IF(A132="","",D132-SUM(F132:H132))</f>
        <v/>
      </c>
      <c r="F132" s="27" t="str">
        <f aca="false">IF(A132="","",SUMIFS(請求台帳!$P$5:$P$504,請求台帳!$C$5:$C$504,A132,請求台帳!$S$5:$S$504,"&gt;=1",請求台帳!$S$5:$S$504,"&lt;=30"))</f>
        <v/>
      </c>
      <c r="G132" s="27" t="str">
        <f aca="false">IF(A132="","",SUMIFS(請求台帳!$P$5:$P$504,請求台帳!$C$5:$C$504,A132,請求台帳!$S$5:$S$504,"&gt;=31",請求台帳!$S$5:$S$504,"&lt;=60"))</f>
        <v/>
      </c>
      <c r="H132" s="27" t="str">
        <f aca="false">IF(A132="","",SUMIFS(請求台帳!$P$5:$P$504,請求台帳!$C$5:$C$504,A132,請求台帳!$S$5:$S$504,"&gt;=61"))</f>
        <v/>
      </c>
      <c r="I132" s="33" t="str">
        <f aca="false">IF(A132="","",COUNTIFS(請求台帳!$C$5:$C$504,A132,請求台帳!$B$5:$B$504,"&gt;="&amp;チェック!$C$4,請求台帳!$B$5:$B$504,"&lt;="&amp;EOMONTH(チェック!$C$4,0),請求台帳!$Q$5:$Q$504,"&lt;&gt;取消"))</f>
        <v/>
      </c>
      <c r="J132" s="28" t="str">
        <f aca="false">IF(A132="","",IF(AND(取引先マスタ!G132="有",I132=0),"請求漏れ候補",""))</f>
        <v/>
      </c>
    </row>
    <row r="133" customFormat="false" ht="15" hidden="false" customHeight="false" outlineLevel="0" collapsed="false">
      <c r="A133" s="31" t="str">
        <f aca="false">IF(取引先マスタ!A133="","",取引先マスタ!A133)</f>
        <v/>
      </c>
      <c r="B133" s="31" t="str">
        <f aca="false">IF(A133="","",取引先マスタ!B133)</f>
        <v/>
      </c>
      <c r="C133" s="31" t="str">
        <f aca="false">IF(A133="","",取引先マスタ!J133&amp;"")</f>
        <v/>
      </c>
      <c r="D133" s="27" t="str">
        <f aca="false">IF(A133="","",SUMIFS(請求台帳!$P$5:$P$504,請求台帳!$C$5:$C$504,A133,請求台帳!$Q$5:$Q$504,"&lt;&gt;取消"))</f>
        <v/>
      </c>
      <c r="E133" s="27" t="str">
        <f aca="false">IF(A133="","",D133-SUM(F133:H133))</f>
        <v/>
      </c>
      <c r="F133" s="27" t="str">
        <f aca="false">IF(A133="","",SUMIFS(請求台帳!$P$5:$P$504,請求台帳!$C$5:$C$504,A133,請求台帳!$S$5:$S$504,"&gt;=1",請求台帳!$S$5:$S$504,"&lt;=30"))</f>
        <v/>
      </c>
      <c r="G133" s="27" t="str">
        <f aca="false">IF(A133="","",SUMIFS(請求台帳!$P$5:$P$504,請求台帳!$C$5:$C$504,A133,請求台帳!$S$5:$S$504,"&gt;=31",請求台帳!$S$5:$S$504,"&lt;=60"))</f>
        <v/>
      </c>
      <c r="H133" s="27" t="str">
        <f aca="false">IF(A133="","",SUMIFS(請求台帳!$P$5:$P$504,請求台帳!$C$5:$C$504,A133,請求台帳!$S$5:$S$504,"&gt;=61"))</f>
        <v/>
      </c>
      <c r="I133" s="33" t="str">
        <f aca="false">IF(A133="","",COUNTIFS(請求台帳!$C$5:$C$504,A133,請求台帳!$B$5:$B$504,"&gt;="&amp;チェック!$C$4,請求台帳!$B$5:$B$504,"&lt;="&amp;EOMONTH(チェック!$C$4,0),請求台帳!$Q$5:$Q$504,"&lt;&gt;取消"))</f>
        <v/>
      </c>
      <c r="J133" s="28" t="str">
        <f aca="false">IF(A133="","",IF(AND(取引先マスタ!G133="有",I133=0),"請求漏れ候補",""))</f>
        <v/>
      </c>
    </row>
    <row r="134" customFormat="false" ht="15" hidden="false" customHeight="false" outlineLevel="0" collapsed="false">
      <c r="A134" s="31" t="str">
        <f aca="false">IF(取引先マスタ!A134="","",取引先マスタ!A134)</f>
        <v/>
      </c>
      <c r="B134" s="31" t="str">
        <f aca="false">IF(A134="","",取引先マスタ!B134)</f>
        <v/>
      </c>
      <c r="C134" s="31" t="str">
        <f aca="false">IF(A134="","",取引先マスタ!J134&amp;"")</f>
        <v/>
      </c>
      <c r="D134" s="27" t="str">
        <f aca="false">IF(A134="","",SUMIFS(請求台帳!$P$5:$P$504,請求台帳!$C$5:$C$504,A134,請求台帳!$Q$5:$Q$504,"&lt;&gt;取消"))</f>
        <v/>
      </c>
      <c r="E134" s="27" t="str">
        <f aca="false">IF(A134="","",D134-SUM(F134:H134))</f>
        <v/>
      </c>
      <c r="F134" s="27" t="str">
        <f aca="false">IF(A134="","",SUMIFS(請求台帳!$P$5:$P$504,請求台帳!$C$5:$C$504,A134,請求台帳!$S$5:$S$504,"&gt;=1",請求台帳!$S$5:$S$504,"&lt;=30"))</f>
        <v/>
      </c>
      <c r="G134" s="27" t="str">
        <f aca="false">IF(A134="","",SUMIFS(請求台帳!$P$5:$P$504,請求台帳!$C$5:$C$504,A134,請求台帳!$S$5:$S$504,"&gt;=31",請求台帳!$S$5:$S$504,"&lt;=60"))</f>
        <v/>
      </c>
      <c r="H134" s="27" t="str">
        <f aca="false">IF(A134="","",SUMIFS(請求台帳!$P$5:$P$504,請求台帳!$C$5:$C$504,A134,請求台帳!$S$5:$S$504,"&gt;=61"))</f>
        <v/>
      </c>
      <c r="I134" s="33" t="str">
        <f aca="false">IF(A134="","",COUNTIFS(請求台帳!$C$5:$C$504,A134,請求台帳!$B$5:$B$504,"&gt;="&amp;チェック!$C$4,請求台帳!$B$5:$B$504,"&lt;="&amp;EOMONTH(チェック!$C$4,0),請求台帳!$Q$5:$Q$504,"&lt;&gt;取消"))</f>
        <v/>
      </c>
      <c r="J134" s="28" t="str">
        <f aca="false">IF(A134="","",IF(AND(取引先マスタ!G134="有",I134=0),"請求漏れ候補",""))</f>
        <v/>
      </c>
    </row>
    <row r="135" customFormat="false" ht="15" hidden="false" customHeight="false" outlineLevel="0" collapsed="false">
      <c r="A135" s="31" t="str">
        <f aca="false">IF(取引先マスタ!A135="","",取引先マスタ!A135)</f>
        <v/>
      </c>
      <c r="B135" s="31" t="str">
        <f aca="false">IF(A135="","",取引先マスタ!B135)</f>
        <v/>
      </c>
      <c r="C135" s="31" t="str">
        <f aca="false">IF(A135="","",取引先マスタ!J135&amp;"")</f>
        <v/>
      </c>
      <c r="D135" s="27" t="str">
        <f aca="false">IF(A135="","",SUMIFS(請求台帳!$P$5:$P$504,請求台帳!$C$5:$C$504,A135,請求台帳!$Q$5:$Q$504,"&lt;&gt;取消"))</f>
        <v/>
      </c>
      <c r="E135" s="27" t="str">
        <f aca="false">IF(A135="","",D135-SUM(F135:H135))</f>
        <v/>
      </c>
      <c r="F135" s="27" t="str">
        <f aca="false">IF(A135="","",SUMIFS(請求台帳!$P$5:$P$504,請求台帳!$C$5:$C$504,A135,請求台帳!$S$5:$S$504,"&gt;=1",請求台帳!$S$5:$S$504,"&lt;=30"))</f>
        <v/>
      </c>
      <c r="G135" s="27" t="str">
        <f aca="false">IF(A135="","",SUMIFS(請求台帳!$P$5:$P$504,請求台帳!$C$5:$C$504,A135,請求台帳!$S$5:$S$504,"&gt;=31",請求台帳!$S$5:$S$504,"&lt;=60"))</f>
        <v/>
      </c>
      <c r="H135" s="27" t="str">
        <f aca="false">IF(A135="","",SUMIFS(請求台帳!$P$5:$P$504,請求台帳!$C$5:$C$504,A135,請求台帳!$S$5:$S$504,"&gt;=61"))</f>
        <v/>
      </c>
      <c r="I135" s="33" t="str">
        <f aca="false">IF(A135="","",COUNTIFS(請求台帳!$C$5:$C$504,A135,請求台帳!$B$5:$B$504,"&gt;="&amp;チェック!$C$4,請求台帳!$B$5:$B$504,"&lt;="&amp;EOMONTH(チェック!$C$4,0),請求台帳!$Q$5:$Q$504,"&lt;&gt;取消"))</f>
        <v/>
      </c>
      <c r="J135" s="28" t="str">
        <f aca="false">IF(A135="","",IF(AND(取引先マスタ!G135="有",I135=0),"請求漏れ候補",""))</f>
        <v/>
      </c>
    </row>
    <row r="136" customFormat="false" ht="15" hidden="false" customHeight="false" outlineLevel="0" collapsed="false">
      <c r="A136" s="31" t="str">
        <f aca="false">IF(取引先マスタ!A136="","",取引先マスタ!A136)</f>
        <v/>
      </c>
      <c r="B136" s="31" t="str">
        <f aca="false">IF(A136="","",取引先マスタ!B136)</f>
        <v/>
      </c>
      <c r="C136" s="31" t="str">
        <f aca="false">IF(A136="","",取引先マスタ!J136&amp;"")</f>
        <v/>
      </c>
      <c r="D136" s="27" t="str">
        <f aca="false">IF(A136="","",SUMIFS(請求台帳!$P$5:$P$504,請求台帳!$C$5:$C$504,A136,請求台帳!$Q$5:$Q$504,"&lt;&gt;取消"))</f>
        <v/>
      </c>
      <c r="E136" s="27" t="str">
        <f aca="false">IF(A136="","",D136-SUM(F136:H136))</f>
        <v/>
      </c>
      <c r="F136" s="27" t="str">
        <f aca="false">IF(A136="","",SUMIFS(請求台帳!$P$5:$P$504,請求台帳!$C$5:$C$504,A136,請求台帳!$S$5:$S$504,"&gt;=1",請求台帳!$S$5:$S$504,"&lt;=30"))</f>
        <v/>
      </c>
      <c r="G136" s="27" t="str">
        <f aca="false">IF(A136="","",SUMIFS(請求台帳!$P$5:$P$504,請求台帳!$C$5:$C$504,A136,請求台帳!$S$5:$S$504,"&gt;=31",請求台帳!$S$5:$S$504,"&lt;=60"))</f>
        <v/>
      </c>
      <c r="H136" s="27" t="str">
        <f aca="false">IF(A136="","",SUMIFS(請求台帳!$P$5:$P$504,請求台帳!$C$5:$C$504,A136,請求台帳!$S$5:$S$504,"&gt;=61"))</f>
        <v/>
      </c>
      <c r="I136" s="33" t="str">
        <f aca="false">IF(A136="","",COUNTIFS(請求台帳!$C$5:$C$504,A136,請求台帳!$B$5:$B$504,"&gt;="&amp;チェック!$C$4,請求台帳!$B$5:$B$504,"&lt;="&amp;EOMONTH(チェック!$C$4,0),請求台帳!$Q$5:$Q$504,"&lt;&gt;取消"))</f>
        <v/>
      </c>
      <c r="J136" s="28" t="str">
        <f aca="false">IF(A136="","",IF(AND(取引先マスタ!G136="有",I136=0),"請求漏れ候補",""))</f>
        <v/>
      </c>
    </row>
    <row r="137" customFormat="false" ht="15" hidden="false" customHeight="false" outlineLevel="0" collapsed="false">
      <c r="A137" s="31" t="str">
        <f aca="false">IF(取引先マスタ!A137="","",取引先マスタ!A137)</f>
        <v/>
      </c>
      <c r="B137" s="31" t="str">
        <f aca="false">IF(A137="","",取引先マスタ!B137)</f>
        <v/>
      </c>
      <c r="C137" s="31" t="str">
        <f aca="false">IF(A137="","",取引先マスタ!J137&amp;"")</f>
        <v/>
      </c>
      <c r="D137" s="27" t="str">
        <f aca="false">IF(A137="","",SUMIFS(請求台帳!$P$5:$P$504,請求台帳!$C$5:$C$504,A137,請求台帳!$Q$5:$Q$504,"&lt;&gt;取消"))</f>
        <v/>
      </c>
      <c r="E137" s="27" t="str">
        <f aca="false">IF(A137="","",D137-SUM(F137:H137))</f>
        <v/>
      </c>
      <c r="F137" s="27" t="str">
        <f aca="false">IF(A137="","",SUMIFS(請求台帳!$P$5:$P$504,請求台帳!$C$5:$C$504,A137,請求台帳!$S$5:$S$504,"&gt;=1",請求台帳!$S$5:$S$504,"&lt;=30"))</f>
        <v/>
      </c>
      <c r="G137" s="27" t="str">
        <f aca="false">IF(A137="","",SUMIFS(請求台帳!$P$5:$P$504,請求台帳!$C$5:$C$504,A137,請求台帳!$S$5:$S$504,"&gt;=31",請求台帳!$S$5:$S$504,"&lt;=60"))</f>
        <v/>
      </c>
      <c r="H137" s="27" t="str">
        <f aca="false">IF(A137="","",SUMIFS(請求台帳!$P$5:$P$504,請求台帳!$C$5:$C$504,A137,請求台帳!$S$5:$S$504,"&gt;=61"))</f>
        <v/>
      </c>
      <c r="I137" s="33" t="str">
        <f aca="false">IF(A137="","",COUNTIFS(請求台帳!$C$5:$C$504,A137,請求台帳!$B$5:$B$504,"&gt;="&amp;チェック!$C$4,請求台帳!$B$5:$B$504,"&lt;="&amp;EOMONTH(チェック!$C$4,0),請求台帳!$Q$5:$Q$504,"&lt;&gt;取消"))</f>
        <v/>
      </c>
      <c r="J137" s="28" t="str">
        <f aca="false">IF(A137="","",IF(AND(取引先マスタ!G137="有",I137=0),"請求漏れ候補",""))</f>
        <v/>
      </c>
    </row>
    <row r="138" customFormat="false" ht="15" hidden="false" customHeight="false" outlineLevel="0" collapsed="false">
      <c r="A138" s="31" t="str">
        <f aca="false">IF(取引先マスタ!A138="","",取引先マスタ!A138)</f>
        <v/>
      </c>
      <c r="B138" s="31" t="str">
        <f aca="false">IF(A138="","",取引先マスタ!B138)</f>
        <v/>
      </c>
      <c r="C138" s="31" t="str">
        <f aca="false">IF(A138="","",取引先マスタ!J138&amp;"")</f>
        <v/>
      </c>
      <c r="D138" s="27" t="str">
        <f aca="false">IF(A138="","",SUMIFS(請求台帳!$P$5:$P$504,請求台帳!$C$5:$C$504,A138,請求台帳!$Q$5:$Q$504,"&lt;&gt;取消"))</f>
        <v/>
      </c>
      <c r="E138" s="27" t="str">
        <f aca="false">IF(A138="","",D138-SUM(F138:H138))</f>
        <v/>
      </c>
      <c r="F138" s="27" t="str">
        <f aca="false">IF(A138="","",SUMIFS(請求台帳!$P$5:$P$504,請求台帳!$C$5:$C$504,A138,請求台帳!$S$5:$S$504,"&gt;=1",請求台帳!$S$5:$S$504,"&lt;=30"))</f>
        <v/>
      </c>
      <c r="G138" s="27" t="str">
        <f aca="false">IF(A138="","",SUMIFS(請求台帳!$P$5:$P$504,請求台帳!$C$5:$C$504,A138,請求台帳!$S$5:$S$504,"&gt;=31",請求台帳!$S$5:$S$504,"&lt;=60"))</f>
        <v/>
      </c>
      <c r="H138" s="27" t="str">
        <f aca="false">IF(A138="","",SUMIFS(請求台帳!$P$5:$P$504,請求台帳!$C$5:$C$504,A138,請求台帳!$S$5:$S$504,"&gt;=61"))</f>
        <v/>
      </c>
      <c r="I138" s="33" t="str">
        <f aca="false">IF(A138="","",COUNTIFS(請求台帳!$C$5:$C$504,A138,請求台帳!$B$5:$B$504,"&gt;="&amp;チェック!$C$4,請求台帳!$B$5:$B$504,"&lt;="&amp;EOMONTH(チェック!$C$4,0),請求台帳!$Q$5:$Q$504,"&lt;&gt;取消"))</f>
        <v/>
      </c>
      <c r="J138" s="28" t="str">
        <f aca="false">IF(A138="","",IF(AND(取引先マスタ!G138="有",I138=0),"請求漏れ候補",""))</f>
        <v/>
      </c>
    </row>
    <row r="139" customFormat="false" ht="15" hidden="false" customHeight="false" outlineLevel="0" collapsed="false">
      <c r="A139" s="31" t="str">
        <f aca="false">IF(取引先マスタ!A139="","",取引先マスタ!A139)</f>
        <v/>
      </c>
      <c r="B139" s="31" t="str">
        <f aca="false">IF(A139="","",取引先マスタ!B139)</f>
        <v/>
      </c>
      <c r="C139" s="31" t="str">
        <f aca="false">IF(A139="","",取引先マスタ!J139&amp;"")</f>
        <v/>
      </c>
      <c r="D139" s="27" t="str">
        <f aca="false">IF(A139="","",SUMIFS(請求台帳!$P$5:$P$504,請求台帳!$C$5:$C$504,A139,請求台帳!$Q$5:$Q$504,"&lt;&gt;取消"))</f>
        <v/>
      </c>
      <c r="E139" s="27" t="str">
        <f aca="false">IF(A139="","",D139-SUM(F139:H139))</f>
        <v/>
      </c>
      <c r="F139" s="27" t="str">
        <f aca="false">IF(A139="","",SUMIFS(請求台帳!$P$5:$P$504,請求台帳!$C$5:$C$504,A139,請求台帳!$S$5:$S$504,"&gt;=1",請求台帳!$S$5:$S$504,"&lt;=30"))</f>
        <v/>
      </c>
      <c r="G139" s="27" t="str">
        <f aca="false">IF(A139="","",SUMIFS(請求台帳!$P$5:$P$504,請求台帳!$C$5:$C$504,A139,請求台帳!$S$5:$S$504,"&gt;=31",請求台帳!$S$5:$S$504,"&lt;=60"))</f>
        <v/>
      </c>
      <c r="H139" s="27" t="str">
        <f aca="false">IF(A139="","",SUMIFS(請求台帳!$P$5:$P$504,請求台帳!$C$5:$C$504,A139,請求台帳!$S$5:$S$504,"&gt;=61"))</f>
        <v/>
      </c>
      <c r="I139" s="33" t="str">
        <f aca="false">IF(A139="","",COUNTIFS(請求台帳!$C$5:$C$504,A139,請求台帳!$B$5:$B$504,"&gt;="&amp;チェック!$C$4,請求台帳!$B$5:$B$504,"&lt;="&amp;EOMONTH(チェック!$C$4,0),請求台帳!$Q$5:$Q$504,"&lt;&gt;取消"))</f>
        <v/>
      </c>
      <c r="J139" s="28" t="str">
        <f aca="false">IF(A139="","",IF(AND(取引先マスタ!G139="有",I139=0),"請求漏れ候補",""))</f>
        <v/>
      </c>
    </row>
    <row r="140" customFormat="false" ht="15" hidden="false" customHeight="false" outlineLevel="0" collapsed="false">
      <c r="A140" s="31" t="str">
        <f aca="false">IF(取引先マスタ!A140="","",取引先マスタ!A140)</f>
        <v/>
      </c>
      <c r="B140" s="31" t="str">
        <f aca="false">IF(A140="","",取引先マスタ!B140)</f>
        <v/>
      </c>
      <c r="C140" s="31" t="str">
        <f aca="false">IF(A140="","",取引先マスタ!J140&amp;"")</f>
        <v/>
      </c>
      <c r="D140" s="27" t="str">
        <f aca="false">IF(A140="","",SUMIFS(請求台帳!$P$5:$P$504,請求台帳!$C$5:$C$504,A140,請求台帳!$Q$5:$Q$504,"&lt;&gt;取消"))</f>
        <v/>
      </c>
      <c r="E140" s="27" t="str">
        <f aca="false">IF(A140="","",D140-SUM(F140:H140))</f>
        <v/>
      </c>
      <c r="F140" s="27" t="str">
        <f aca="false">IF(A140="","",SUMIFS(請求台帳!$P$5:$P$504,請求台帳!$C$5:$C$504,A140,請求台帳!$S$5:$S$504,"&gt;=1",請求台帳!$S$5:$S$504,"&lt;=30"))</f>
        <v/>
      </c>
      <c r="G140" s="27" t="str">
        <f aca="false">IF(A140="","",SUMIFS(請求台帳!$P$5:$P$504,請求台帳!$C$5:$C$504,A140,請求台帳!$S$5:$S$504,"&gt;=31",請求台帳!$S$5:$S$504,"&lt;=60"))</f>
        <v/>
      </c>
      <c r="H140" s="27" t="str">
        <f aca="false">IF(A140="","",SUMIFS(請求台帳!$P$5:$P$504,請求台帳!$C$5:$C$504,A140,請求台帳!$S$5:$S$504,"&gt;=61"))</f>
        <v/>
      </c>
      <c r="I140" s="33" t="str">
        <f aca="false">IF(A140="","",COUNTIFS(請求台帳!$C$5:$C$504,A140,請求台帳!$B$5:$B$504,"&gt;="&amp;チェック!$C$4,請求台帳!$B$5:$B$504,"&lt;="&amp;EOMONTH(チェック!$C$4,0),請求台帳!$Q$5:$Q$504,"&lt;&gt;取消"))</f>
        <v/>
      </c>
      <c r="J140" s="28" t="str">
        <f aca="false">IF(A140="","",IF(AND(取引先マスタ!G140="有",I140=0),"請求漏れ候補",""))</f>
        <v/>
      </c>
    </row>
    <row r="141" customFormat="false" ht="15" hidden="false" customHeight="false" outlineLevel="0" collapsed="false">
      <c r="A141" s="31" t="str">
        <f aca="false">IF(取引先マスタ!A141="","",取引先マスタ!A141)</f>
        <v/>
      </c>
      <c r="B141" s="31" t="str">
        <f aca="false">IF(A141="","",取引先マスタ!B141)</f>
        <v/>
      </c>
      <c r="C141" s="31" t="str">
        <f aca="false">IF(A141="","",取引先マスタ!J141&amp;"")</f>
        <v/>
      </c>
      <c r="D141" s="27" t="str">
        <f aca="false">IF(A141="","",SUMIFS(請求台帳!$P$5:$P$504,請求台帳!$C$5:$C$504,A141,請求台帳!$Q$5:$Q$504,"&lt;&gt;取消"))</f>
        <v/>
      </c>
      <c r="E141" s="27" t="str">
        <f aca="false">IF(A141="","",D141-SUM(F141:H141))</f>
        <v/>
      </c>
      <c r="F141" s="27" t="str">
        <f aca="false">IF(A141="","",SUMIFS(請求台帳!$P$5:$P$504,請求台帳!$C$5:$C$504,A141,請求台帳!$S$5:$S$504,"&gt;=1",請求台帳!$S$5:$S$504,"&lt;=30"))</f>
        <v/>
      </c>
      <c r="G141" s="27" t="str">
        <f aca="false">IF(A141="","",SUMIFS(請求台帳!$P$5:$P$504,請求台帳!$C$5:$C$504,A141,請求台帳!$S$5:$S$504,"&gt;=31",請求台帳!$S$5:$S$504,"&lt;=60"))</f>
        <v/>
      </c>
      <c r="H141" s="27" t="str">
        <f aca="false">IF(A141="","",SUMIFS(請求台帳!$P$5:$P$504,請求台帳!$C$5:$C$504,A141,請求台帳!$S$5:$S$504,"&gt;=61"))</f>
        <v/>
      </c>
      <c r="I141" s="33" t="str">
        <f aca="false">IF(A141="","",COUNTIFS(請求台帳!$C$5:$C$504,A141,請求台帳!$B$5:$B$504,"&gt;="&amp;チェック!$C$4,請求台帳!$B$5:$B$504,"&lt;="&amp;EOMONTH(チェック!$C$4,0),請求台帳!$Q$5:$Q$504,"&lt;&gt;取消"))</f>
        <v/>
      </c>
      <c r="J141" s="28" t="str">
        <f aca="false">IF(A141="","",IF(AND(取引先マスタ!G141="有",I141=0),"請求漏れ候補",""))</f>
        <v/>
      </c>
    </row>
    <row r="142" customFormat="false" ht="15" hidden="false" customHeight="false" outlineLevel="0" collapsed="false">
      <c r="A142" s="31" t="str">
        <f aca="false">IF(取引先マスタ!A142="","",取引先マスタ!A142)</f>
        <v/>
      </c>
      <c r="B142" s="31" t="str">
        <f aca="false">IF(A142="","",取引先マスタ!B142)</f>
        <v/>
      </c>
      <c r="C142" s="31" t="str">
        <f aca="false">IF(A142="","",取引先マスタ!J142&amp;"")</f>
        <v/>
      </c>
      <c r="D142" s="27" t="str">
        <f aca="false">IF(A142="","",SUMIFS(請求台帳!$P$5:$P$504,請求台帳!$C$5:$C$504,A142,請求台帳!$Q$5:$Q$504,"&lt;&gt;取消"))</f>
        <v/>
      </c>
      <c r="E142" s="27" t="str">
        <f aca="false">IF(A142="","",D142-SUM(F142:H142))</f>
        <v/>
      </c>
      <c r="F142" s="27" t="str">
        <f aca="false">IF(A142="","",SUMIFS(請求台帳!$P$5:$P$504,請求台帳!$C$5:$C$504,A142,請求台帳!$S$5:$S$504,"&gt;=1",請求台帳!$S$5:$S$504,"&lt;=30"))</f>
        <v/>
      </c>
      <c r="G142" s="27" t="str">
        <f aca="false">IF(A142="","",SUMIFS(請求台帳!$P$5:$P$504,請求台帳!$C$5:$C$504,A142,請求台帳!$S$5:$S$504,"&gt;=31",請求台帳!$S$5:$S$504,"&lt;=60"))</f>
        <v/>
      </c>
      <c r="H142" s="27" t="str">
        <f aca="false">IF(A142="","",SUMIFS(請求台帳!$P$5:$P$504,請求台帳!$C$5:$C$504,A142,請求台帳!$S$5:$S$504,"&gt;=61"))</f>
        <v/>
      </c>
      <c r="I142" s="33" t="str">
        <f aca="false">IF(A142="","",COUNTIFS(請求台帳!$C$5:$C$504,A142,請求台帳!$B$5:$B$504,"&gt;="&amp;チェック!$C$4,請求台帳!$B$5:$B$504,"&lt;="&amp;EOMONTH(チェック!$C$4,0),請求台帳!$Q$5:$Q$504,"&lt;&gt;取消"))</f>
        <v/>
      </c>
      <c r="J142" s="28" t="str">
        <f aca="false">IF(A142="","",IF(AND(取引先マスタ!G142="有",I142=0),"請求漏れ候補",""))</f>
        <v/>
      </c>
    </row>
    <row r="143" customFormat="false" ht="15" hidden="false" customHeight="false" outlineLevel="0" collapsed="false">
      <c r="A143" s="31" t="str">
        <f aca="false">IF(取引先マスタ!A143="","",取引先マスタ!A143)</f>
        <v/>
      </c>
      <c r="B143" s="31" t="str">
        <f aca="false">IF(A143="","",取引先マスタ!B143)</f>
        <v/>
      </c>
      <c r="C143" s="31" t="str">
        <f aca="false">IF(A143="","",取引先マスタ!J143&amp;"")</f>
        <v/>
      </c>
      <c r="D143" s="27" t="str">
        <f aca="false">IF(A143="","",SUMIFS(請求台帳!$P$5:$P$504,請求台帳!$C$5:$C$504,A143,請求台帳!$Q$5:$Q$504,"&lt;&gt;取消"))</f>
        <v/>
      </c>
      <c r="E143" s="27" t="str">
        <f aca="false">IF(A143="","",D143-SUM(F143:H143))</f>
        <v/>
      </c>
      <c r="F143" s="27" t="str">
        <f aca="false">IF(A143="","",SUMIFS(請求台帳!$P$5:$P$504,請求台帳!$C$5:$C$504,A143,請求台帳!$S$5:$S$504,"&gt;=1",請求台帳!$S$5:$S$504,"&lt;=30"))</f>
        <v/>
      </c>
      <c r="G143" s="27" t="str">
        <f aca="false">IF(A143="","",SUMIFS(請求台帳!$P$5:$P$504,請求台帳!$C$5:$C$504,A143,請求台帳!$S$5:$S$504,"&gt;=31",請求台帳!$S$5:$S$504,"&lt;=60"))</f>
        <v/>
      </c>
      <c r="H143" s="27" t="str">
        <f aca="false">IF(A143="","",SUMIFS(請求台帳!$P$5:$P$504,請求台帳!$C$5:$C$504,A143,請求台帳!$S$5:$S$504,"&gt;=61"))</f>
        <v/>
      </c>
      <c r="I143" s="33" t="str">
        <f aca="false">IF(A143="","",COUNTIFS(請求台帳!$C$5:$C$504,A143,請求台帳!$B$5:$B$504,"&gt;="&amp;チェック!$C$4,請求台帳!$B$5:$B$504,"&lt;="&amp;EOMONTH(チェック!$C$4,0),請求台帳!$Q$5:$Q$504,"&lt;&gt;取消"))</f>
        <v/>
      </c>
      <c r="J143" s="28" t="str">
        <f aca="false">IF(A143="","",IF(AND(取引先マスタ!G143="有",I143=0),"請求漏れ候補",""))</f>
        <v/>
      </c>
    </row>
    <row r="144" customFormat="false" ht="15" hidden="false" customHeight="false" outlineLevel="0" collapsed="false">
      <c r="A144" s="31" t="str">
        <f aca="false">IF(取引先マスタ!A144="","",取引先マスタ!A144)</f>
        <v/>
      </c>
      <c r="B144" s="31" t="str">
        <f aca="false">IF(A144="","",取引先マスタ!B144)</f>
        <v/>
      </c>
      <c r="C144" s="31" t="str">
        <f aca="false">IF(A144="","",取引先マスタ!J144&amp;"")</f>
        <v/>
      </c>
      <c r="D144" s="27" t="str">
        <f aca="false">IF(A144="","",SUMIFS(請求台帳!$P$5:$P$504,請求台帳!$C$5:$C$504,A144,請求台帳!$Q$5:$Q$504,"&lt;&gt;取消"))</f>
        <v/>
      </c>
      <c r="E144" s="27" t="str">
        <f aca="false">IF(A144="","",D144-SUM(F144:H144))</f>
        <v/>
      </c>
      <c r="F144" s="27" t="str">
        <f aca="false">IF(A144="","",SUMIFS(請求台帳!$P$5:$P$504,請求台帳!$C$5:$C$504,A144,請求台帳!$S$5:$S$504,"&gt;=1",請求台帳!$S$5:$S$504,"&lt;=30"))</f>
        <v/>
      </c>
      <c r="G144" s="27" t="str">
        <f aca="false">IF(A144="","",SUMIFS(請求台帳!$P$5:$P$504,請求台帳!$C$5:$C$504,A144,請求台帳!$S$5:$S$504,"&gt;=31",請求台帳!$S$5:$S$504,"&lt;=60"))</f>
        <v/>
      </c>
      <c r="H144" s="27" t="str">
        <f aca="false">IF(A144="","",SUMIFS(請求台帳!$P$5:$P$504,請求台帳!$C$5:$C$504,A144,請求台帳!$S$5:$S$504,"&gt;=61"))</f>
        <v/>
      </c>
      <c r="I144" s="33" t="str">
        <f aca="false">IF(A144="","",COUNTIFS(請求台帳!$C$5:$C$504,A144,請求台帳!$B$5:$B$504,"&gt;="&amp;チェック!$C$4,請求台帳!$B$5:$B$504,"&lt;="&amp;EOMONTH(チェック!$C$4,0),請求台帳!$Q$5:$Q$504,"&lt;&gt;取消"))</f>
        <v/>
      </c>
      <c r="J144" s="28" t="str">
        <f aca="false">IF(A144="","",IF(AND(取引先マスタ!G144="有",I144=0),"請求漏れ候補",""))</f>
        <v/>
      </c>
    </row>
    <row r="145" customFormat="false" ht="15" hidden="false" customHeight="false" outlineLevel="0" collapsed="false">
      <c r="A145" s="31" t="str">
        <f aca="false">IF(取引先マスタ!A145="","",取引先マスタ!A145)</f>
        <v/>
      </c>
      <c r="B145" s="31" t="str">
        <f aca="false">IF(A145="","",取引先マスタ!B145)</f>
        <v/>
      </c>
      <c r="C145" s="31" t="str">
        <f aca="false">IF(A145="","",取引先マスタ!J145&amp;"")</f>
        <v/>
      </c>
      <c r="D145" s="27" t="str">
        <f aca="false">IF(A145="","",SUMIFS(請求台帳!$P$5:$P$504,請求台帳!$C$5:$C$504,A145,請求台帳!$Q$5:$Q$504,"&lt;&gt;取消"))</f>
        <v/>
      </c>
      <c r="E145" s="27" t="str">
        <f aca="false">IF(A145="","",D145-SUM(F145:H145))</f>
        <v/>
      </c>
      <c r="F145" s="27" t="str">
        <f aca="false">IF(A145="","",SUMIFS(請求台帳!$P$5:$P$504,請求台帳!$C$5:$C$504,A145,請求台帳!$S$5:$S$504,"&gt;=1",請求台帳!$S$5:$S$504,"&lt;=30"))</f>
        <v/>
      </c>
      <c r="G145" s="27" t="str">
        <f aca="false">IF(A145="","",SUMIFS(請求台帳!$P$5:$P$504,請求台帳!$C$5:$C$504,A145,請求台帳!$S$5:$S$504,"&gt;=31",請求台帳!$S$5:$S$504,"&lt;=60"))</f>
        <v/>
      </c>
      <c r="H145" s="27" t="str">
        <f aca="false">IF(A145="","",SUMIFS(請求台帳!$P$5:$P$504,請求台帳!$C$5:$C$504,A145,請求台帳!$S$5:$S$504,"&gt;=61"))</f>
        <v/>
      </c>
      <c r="I145" s="33" t="str">
        <f aca="false">IF(A145="","",COUNTIFS(請求台帳!$C$5:$C$504,A145,請求台帳!$B$5:$B$504,"&gt;="&amp;チェック!$C$4,請求台帳!$B$5:$B$504,"&lt;="&amp;EOMONTH(チェック!$C$4,0),請求台帳!$Q$5:$Q$504,"&lt;&gt;取消"))</f>
        <v/>
      </c>
      <c r="J145" s="28" t="str">
        <f aca="false">IF(A145="","",IF(AND(取引先マスタ!G145="有",I145=0),"請求漏れ候補",""))</f>
        <v/>
      </c>
    </row>
    <row r="146" customFormat="false" ht="15" hidden="false" customHeight="false" outlineLevel="0" collapsed="false">
      <c r="A146" s="31" t="str">
        <f aca="false">IF(取引先マスタ!A146="","",取引先マスタ!A146)</f>
        <v/>
      </c>
      <c r="B146" s="31" t="str">
        <f aca="false">IF(A146="","",取引先マスタ!B146)</f>
        <v/>
      </c>
      <c r="C146" s="31" t="str">
        <f aca="false">IF(A146="","",取引先マスタ!J146&amp;"")</f>
        <v/>
      </c>
      <c r="D146" s="27" t="str">
        <f aca="false">IF(A146="","",SUMIFS(請求台帳!$P$5:$P$504,請求台帳!$C$5:$C$504,A146,請求台帳!$Q$5:$Q$504,"&lt;&gt;取消"))</f>
        <v/>
      </c>
      <c r="E146" s="27" t="str">
        <f aca="false">IF(A146="","",D146-SUM(F146:H146))</f>
        <v/>
      </c>
      <c r="F146" s="27" t="str">
        <f aca="false">IF(A146="","",SUMIFS(請求台帳!$P$5:$P$504,請求台帳!$C$5:$C$504,A146,請求台帳!$S$5:$S$504,"&gt;=1",請求台帳!$S$5:$S$504,"&lt;=30"))</f>
        <v/>
      </c>
      <c r="G146" s="27" t="str">
        <f aca="false">IF(A146="","",SUMIFS(請求台帳!$P$5:$P$504,請求台帳!$C$5:$C$504,A146,請求台帳!$S$5:$S$504,"&gt;=31",請求台帳!$S$5:$S$504,"&lt;=60"))</f>
        <v/>
      </c>
      <c r="H146" s="27" t="str">
        <f aca="false">IF(A146="","",SUMIFS(請求台帳!$P$5:$P$504,請求台帳!$C$5:$C$504,A146,請求台帳!$S$5:$S$504,"&gt;=61"))</f>
        <v/>
      </c>
      <c r="I146" s="33" t="str">
        <f aca="false">IF(A146="","",COUNTIFS(請求台帳!$C$5:$C$504,A146,請求台帳!$B$5:$B$504,"&gt;="&amp;チェック!$C$4,請求台帳!$B$5:$B$504,"&lt;="&amp;EOMONTH(チェック!$C$4,0),請求台帳!$Q$5:$Q$504,"&lt;&gt;取消"))</f>
        <v/>
      </c>
      <c r="J146" s="28" t="str">
        <f aca="false">IF(A146="","",IF(AND(取引先マスタ!G146="有",I146=0),"請求漏れ候補",""))</f>
        <v/>
      </c>
    </row>
    <row r="147" customFormat="false" ht="15" hidden="false" customHeight="false" outlineLevel="0" collapsed="false">
      <c r="A147" s="31" t="str">
        <f aca="false">IF(取引先マスタ!A147="","",取引先マスタ!A147)</f>
        <v/>
      </c>
      <c r="B147" s="31" t="str">
        <f aca="false">IF(A147="","",取引先マスタ!B147)</f>
        <v/>
      </c>
      <c r="C147" s="31" t="str">
        <f aca="false">IF(A147="","",取引先マスタ!J147&amp;"")</f>
        <v/>
      </c>
      <c r="D147" s="27" t="str">
        <f aca="false">IF(A147="","",SUMIFS(請求台帳!$P$5:$P$504,請求台帳!$C$5:$C$504,A147,請求台帳!$Q$5:$Q$504,"&lt;&gt;取消"))</f>
        <v/>
      </c>
      <c r="E147" s="27" t="str">
        <f aca="false">IF(A147="","",D147-SUM(F147:H147))</f>
        <v/>
      </c>
      <c r="F147" s="27" t="str">
        <f aca="false">IF(A147="","",SUMIFS(請求台帳!$P$5:$P$504,請求台帳!$C$5:$C$504,A147,請求台帳!$S$5:$S$504,"&gt;=1",請求台帳!$S$5:$S$504,"&lt;=30"))</f>
        <v/>
      </c>
      <c r="G147" s="27" t="str">
        <f aca="false">IF(A147="","",SUMIFS(請求台帳!$P$5:$P$504,請求台帳!$C$5:$C$504,A147,請求台帳!$S$5:$S$504,"&gt;=31",請求台帳!$S$5:$S$504,"&lt;=60"))</f>
        <v/>
      </c>
      <c r="H147" s="27" t="str">
        <f aca="false">IF(A147="","",SUMIFS(請求台帳!$P$5:$P$504,請求台帳!$C$5:$C$504,A147,請求台帳!$S$5:$S$504,"&gt;=61"))</f>
        <v/>
      </c>
      <c r="I147" s="33" t="str">
        <f aca="false">IF(A147="","",COUNTIFS(請求台帳!$C$5:$C$504,A147,請求台帳!$B$5:$B$504,"&gt;="&amp;チェック!$C$4,請求台帳!$B$5:$B$504,"&lt;="&amp;EOMONTH(チェック!$C$4,0),請求台帳!$Q$5:$Q$504,"&lt;&gt;取消"))</f>
        <v/>
      </c>
      <c r="J147" s="28" t="str">
        <f aca="false">IF(A147="","",IF(AND(取引先マスタ!G147="有",I147=0),"請求漏れ候補",""))</f>
        <v/>
      </c>
    </row>
    <row r="148" customFormat="false" ht="15" hidden="false" customHeight="false" outlineLevel="0" collapsed="false">
      <c r="A148" s="31" t="str">
        <f aca="false">IF(取引先マスタ!A148="","",取引先マスタ!A148)</f>
        <v/>
      </c>
      <c r="B148" s="31" t="str">
        <f aca="false">IF(A148="","",取引先マスタ!B148)</f>
        <v/>
      </c>
      <c r="C148" s="31" t="str">
        <f aca="false">IF(A148="","",取引先マスタ!J148&amp;"")</f>
        <v/>
      </c>
      <c r="D148" s="27" t="str">
        <f aca="false">IF(A148="","",SUMIFS(請求台帳!$P$5:$P$504,請求台帳!$C$5:$C$504,A148,請求台帳!$Q$5:$Q$504,"&lt;&gt;取消"))</f>
        <v/>
      </c>
      <c r="E148" s="27" t="str">
        <f aca="false">IF(A148="","",D148-SUM(F148:H148))</f>
        <v/>
      </c>
      <c r="F148" s="27" t="str">
        <f aca="false">IF(A148="","",SUMIFS(請求台帳!$P$5:$P$504,請求台帳!$C$5:$C$504,A148,請求台帳!$S$5:$S$504,"&gt;=1",請求台帳!$S$5:$S$504,"&lt;=30"))</f>
        <v/>
      </c>
      <c r="G148" s="27" t="str">
        <f aca="false">IF(A148="","",SUMIFS(請求台帳!$P$5:$P$504,請求台帳!$C$5:$C$504,A148,請求台帳!$S$5:$S$504,"&gt;=31",請求台帳!$S$5:$S$504,"&lt;=60"))</f>
        <v/>
      </c>
      <c r="H148" s="27" t="str">
        <f aca="false">IF(A148="","",SUMIFS(請求台帳!$P$5:$P$504,請求台帳!$C$5:$C$504,A148,請求台帳!$S$5:$S$504,"&gt;=61"))</f>
        <v/>
      </c>
      <c r="I148" s="33" t="str">
        <f aca="false">IF(A148="","",COUNTIFS(請求台帳!$C$5:$C$504,A148,請求台帳!$B$5:$B$504,"&gt;="&amp;チェック!$C$4,請求台帳!$B$5:$B$504,"&lt;="&amp;EOMONTH(チェック!$C$4,0),請求台帳!$Q$5:$Q$504,"&lt;&gt;取消"))</f>
        <v/>
      </c>
      <c r="J148" s="28" t="str">
        <f aca="false">IF(A148="","",IF(AND(取引先マスタ!G148="有",I148=0),"請求漏れ候補",""))</f>
        <v/>
      </c>
    </row>
    <row r="149" customFormat="false" ht="15" hidden="false" customHeight="false" outlineLevel="0" collapsed="false">
      <c r="A149" s="31" t="str">
        <f aca="false">IF(取引先マスタ!A149="","",取引先マスタ!A149)</f>
        <v/>
      </c>
      <c r="B149" s="31" t="str">
        <f aca="false">IF(A149="","",取引先マスタ!B149)</f>
        <v/>
      </c>
      <c r="C149" s="31" t="str">
        <f aca="false">IF(A149="","",取引先マスタ!J149&amp;"")</f>
        <v/>
      </c>
      <c r="D149" s="27" t="str">
        <f aca="false">IF(A149="","",SUMIFS(請求台帳!$P$5:$P$504,請求台帳!$C$5:$C$504,A149,請求台帳!$Q$5:$Q$504,"&lt;&gt;取消"))</f>
        <v/>
      </c>
      <c r="E149" s="27" t="str">
        <f aca="false">IF(A149="","",D149-SUM(F149:H149))</f>
        <v/>
      </c>
      <c r="F149" s="27" t="str">
        <f aca="false">IF(A149="","",SUMIFS(請求台帳!$P$5:$P$504,請求台帳!$C$5:$C$504,A149,請求台帳!$S$5:$S$504,"&gt;=1",請求台帳!$S$5:$S$504,"&lt;=30"))</f>
        <v/>
      </c>
      <c r="G149" s="27" t="str">
        <f aca="false">IF(A149="","",SUMIFS(請求台帳!$P$5:$P$504,請求台帳!$C$5:$C$504,A149,請求台帳!$S$5:$S$504,"&gt;=31",請求台帳!$S$5:$S$504,"&lt;=60"))</f>
        <v/>
      </c>
      <c r="H149" s="27" t="str">
        <f aca="false">IF(A149="","",SUMIFS(請求台帳!$P$5:$P$504,請求台帳!$C$5:$C$504,A149,請求台帳!$S$5:$S$504,"&gt;=61"))</f>
        <v/>
      </c>
      <c r="I149" s="33" t="str">
        <f aca="false">IF(A149="","",COUNTIFS(請求台帳!$C$5:$C$504,A149,請求台帳!$B$5:$B$504,"&gt;="&amp;チェック!$C$4,請求台帳!$B$5:$B$504,"&lt;="&amp;EOMONTH(チェック!$C$4,0),請求台帳!$Q$5:$Q$504,"&lt;&gt;取消"))</f>
        <v/>
      </c>
      <c r="J149" s="28" t="str">
        <f aca="false">IF(A149="","",IF(AND(取引先マスタ!G149="有",I149=0),"請求漏れ候補",""))</f>
        <v/>
      </c>
    </row>
    <row r="150" customFormat="false" ht="15" hidden="false" customHeight="false" outlineLevel="0" collapsed="false">
      <c r="A150" s="31" t="str">
        <f aca="false">IF(取引先マスタ!A150="","",取引先マスタ!A150)</f>
        <v/>
      </c>
      <c r="B150" s="31" t="str">
        <f aca="false">IF(A150="","",取引先マスタ!B150)</f>
        <v/>
      </c>
      <c r="C150" s="31" t="str">
        <f aca="false">IF(A150="","",取引先マスタ!J150&amp;"")</f>
        <v/>
      </c>
      <c r="D150" s="27" t="str">
        <f aca="false">IF(A150="","",SUMIFS(請求台帳!$P$5:$P$504,請求台帳!$C$5:$C$504,A150,請求台帳!$Q$5:$Q$504,"&lt;&gt;取消"))</f>
        <v/>
      </c>
      <c r="E150" s="27" t="str">
        <f aca="false">IF(A150="","",D150-SUM(F150:H150))</f>
        <v/>
      </c>
      <c r="F150" s="27" t="str">
        <f aca="false">IF(A150="","",SUMIFS(請求台帳!$P$5:$P$504,請求台帳!$C$5:$C$504,A150,請求台帳!$S$5:$S$504,"&gt;=1",請求台帳!$S$5:$S$504,"&lt;=30"))</f>
        <v/>
      </c>
      <c r="G150" s="27" t="str">
        <f aca="false">IF(A150="","",SUMIFS(請求台帳!$P$5:$P$504,請求台帳!$C$5:$C$504,A150,請求台帳!$S$5:$S$504,"&gt;=31",請求台帳!$S$5:$S$504,"&lt;=60"))</f>
        <v/>
      </c>
      <c r="H150" s="27" t="str">
        <f aca="false">IF(A150="","",SUMIFS(請求台帳!$P$5:$P$504,請求台帳!$C$5:$C$504,A150,請求台帳!$S$5:$S$504,"&gt;=61"))</f>
        <v/>
      </c>
      <c r="I150" s="33" t="str">
        <f aca="false">IF(A150="","",COUNTIFS(請求台帳!$C$5:$C$504,A150,請求台帳!$B$5:$B$504,"&gt;="&amp;チェック!$C$4,請求台帳!$B$5:$B$504,"&lt;="&amp;EOMONTH(チェック!$C$4,0),請求台帳!$Q$5:$Q$504,"&lt;&gt;取消"))</f>
        <v/>
      </c>
      <c r="J150" s="28" t="str">
        <f aca="false">IF(A150="","",IF(AND(取引先マスタ!G150="有",I150=0),"請求漏れ候補",""))</f>
        <v/>
      </c>
    </row>
    <row r="151" customFormat="false" ht="15" hidden="false" customHeight="false" outlineLevel="0" collapsed="false">
      <c r="A151" s="31" t="str">
        <f aca="false">IF(取引先マスタ!A151="","",取引先マスタ!A151)</f>
        <v/>
      </c>
      <c r="B151" s="31" t="str">
        <f aca="false">IF(A151="","",取引先マスタ!B151)</f>
        <v/>
      </c>
      <c r="C151" s="31" t="str">
        <f aca="false">IF(A151="","",取引先マスタ!J151&amp;"")</f>
        <v/>
      </c>
      <c r="D151" s="27" t="str">
        <f aca="false">IF(A151="","",SUMIFS(請求台帳!$P$5:$P$504,請求台帳!$C$5:$C$504,A151,請求台帳!$Q$5:$Q$504,"&lt;&gt;取消"))</f>
        <v/>
      </c>
      <c r="E151" s="27" t="str">
        <f aca="false">IF(A151="","",D151-SUM(F151:H151))</f>
        <v/>
      </c>
      <c r="F151" s="27" t="str">
        <f aca="false">IF(A151="","",SUMIFS(請求台帳!$P$5:$P$504,請求台帳!$C$5:$C$504,A151,請求台帳!$S$5:$S$504,"&gt;=1",請求台帳!$S$5:$S$504,"&lt;=30"))</f>
        <v/>
      </c>
      <c r="G151" s="27" t="str">
        <f aca="false">IF(A151="","",SUMIFS(請求台帳!$P$5:$P$504,請求台帳!$C$5:$C$504,A151,請求台帳!$S$5:$S$504,"&gt;=31",請求台帳!$S$5:$S$504,"&lt;=60"))</f>
        <v/>
      </c>
      <c r="H151" s="27" t="str">
        <f aca="false">IF(A151="","",SUMIFS(請求台帳!$P$5:$P$504,請求台帳!$C$5:$C$504,A151,請求台帳!$S$5:$S$504,"&gt;=61"))</f>
        <v/>
      </c>
      <c r="I151" s="33" t="str">
        <f aca="false">IF(A151="","",COUNTIFS(請求台帳!$C$5:$C$504,A151,請求台帳!$B$5:$B$504,"&gt;="&amp;チェック!$C$4,請求台帳!$B$5:$B$504,"&lt;="&amp;EOMONTH(チェック!$C$4,0),請求台帳!$Q$5:$Q$504,"&lt;&gt;取消"))</f>
        <v/>
      </c>
      <c r="J151" s="28" t="str">
        <f aca="false">IF(A151="","",IF(AND(取引先マスタ!G151="有",I151=0),"請求漏れ候補",""))</f>
        <v/>
      </c>
    </row>
    <row r="152" customFormat="false" ht="15" hidden="false" customHeight="false" outlineLevel="0" collapsed="false">
      <c r="A152" s="31" t="str">
        <f aca="false">IF(取引先マスタ!A152="","",取引先マスタ!A152)</f>
        <v/>
      </c>
      <c r="B152" s="31" t="str">
        <f aca="false">IF(A152="","",取引先マスタ!B152)</f>
        <v/>
      </c>
      <c r="C152" s="31" t="str">
        <f aca="false">IF(A152="","",取引先マスタ!J152&amp;"")</f>
        <v/>
      </c>
      <c r="D152" s="27" t="str">
        <f aca="false">IF(A152="","",SUMIFS(請求台帳!$P$5:$P$504,請求台帳!$C$5:$C$504,A152,請求台帳!$Q$5:$Q$504,"&lt;&gt;取消"))</f>
        <v/>
      </c>
      <c r="E152" s="27" t="str">
        <f aca="false">IF(A152="","",D152-SUM(F152:H152))</f>
        <v/>
      </c>
      <c r="F152" s="27" t="str">
        <f aca="false">IF(A152="","",SUMIFS(請求台帳!$P$5:$P$504,請求台帳!$C$5:$C$504,A152,請求台帳!$S$5:$S$504,"&gt;=1",請求台帳!$S$5:$S$504,"&lt;=30"))</f>
        <v/>
      </c>
      <c r="G152" s="27" t="str">
        <f aca="false">IF(A152="","",SUMIFS(請求台帳!$P$5:$P$504,請求台帳!$C$5:$C$504,A152,請求台帳!$S$5:$S$504,"&gt;=31",請求台帳!$S$5:$S$504,"&lt;=60"))</f>
        <v/>
      </c>
      <c r="H152" s="27" t="str">
        <f aca="false">IF(A152="","",SUMIFS(請求台帳!$P$5:$P$504,請求台帳!$C$5:$C$504,A152,請求台帳!$S$5:$S$504,"&gt;=61"))</f>
        <v/>
      </c>
      <c r="I152" s="33" t="str">
        <f aca="false">IF(A152="","",COUNTIFS(請求台帳!$C$5:$C$504,A152,請求台帳!$B$5:$B$504,"&gt;="&amp;チェック!$C$4,請求台帳!$B$5:$B$504,"&lt;="&amp;EOMONTH(チェック!$C$4,0),請求台帳!$Q$5:$Q$504,"&lt;&gt;取消"))</f>
        <v/>
      </c>
      <c r="J152" s="28" t="str">
        <f aca="false">IF(A152="","",IF(AND(取引先マスタ!G152="有",I152=0),"請求漏れ候補",""))</f>
        <v/>
      </c>
    </row>
    <row r="153" customFormat="false" ht="15" hidden="false" customHeight="false" outlineLevel="0" collapsed="false">
      <c r="A153" s="31" t="str">
        <f aca="false">IF(取引先マスタ!A153="","",取引先マスタ!A153)</f>
        <v/>
      </c>
      <c r="B153" s="31" t="str">
        <f aca="false">IF(A153="","",取引先マスタ!B153)</f>
        <v/>
      </c>
      <c r="C153" s="31" t="str">
        <f aca="false">IF(A153="","",取引先マスタ!J153&amp;"")</f>
        <v/>
      </c>
      <c r="D153" s="27" t="str">
        <f aca="false">IF(A153="","",SUMIFS(請求台帳!$P$5:$P$504,請求台帳!$C$5:$C$504,A153,請求台帳!$Q$5:$Q$504,"&lt;&gt;取消"))</f>
        <v/>
      </c>
      <c r="E153" s="27" t="str">
        <f aca="false">IF(A153="","",D153-SUM(F153:H153))</f>
        <v/>
      </c>
      <c r="F153" s="27" t="str">
        <f aca="false">IF(A153="","",SUMIFS(請求台帳!$P$5:$P$504,請求台帳!$C$5:$C$504,A153,請求台帳!$S$5:$S$504,"&gt;=1",請求台帳!$S$5:$S$504,"&lt;=30"))</f>
        <v/>
      </c>
      <c r="G153" s="27" t="str">
        <f aca="false">IF(A153="","",SUMIFS(請求台帳!$P$5:$P$504,請求台帳!$C$5:$C$504,A153,請求台帳!$S$5:$S$504,"&gt;=31",請求台帳!$S$5:$S$504,"&lt;=60"))</f>
        <v/>
      </c>
      <c r="H153" s="27" t="str">
        <f aca="false">IF(A153="","",SUMIFS(請求台帳!$P$5:$P$504,請求台帳!$C$5:$C$504,A153,請求台帳!$S$5:$S$504,"&gt;=61"))</f>
        <v/>
      </c>
      <c r="I153" s="33" t="str">
        <f aca="false">IF(A153="","",COUNTIFS(請求台帳!$C$5:$C$504,A153,請求台帳!$B$5:$B$504,"&gt;="&amp;チェック!$C$4,請求台帳!$B$5:$B$504,"&lt;="&amp;EOMONTH(チェック!$C$4,0),請求台帳!$Q$5:$Q$504,"&lt;&gt;取消"))</f>
        <v/>
      </c>
      <c r="J153" s="28" t="str">
        <f aca="false">IF(A153="","",IF(AND(取引先マスタ!G153="有",I153=0),"請求漏れ候補",""))</f>
        <v/>
      </c>
    </row>
    <row r="154" customFormat="false" ht="15" hidden="false" customHeight="false" outlineLevel="0" collapsed="false">
      <c r="A154" s="31" t="str">
        <f aca="false">IF(取引先マスタ!A154="","",取引先マスタ!A154)</f>
        <v/>
      </c>
      <c r="B154" s="31" t="str">
        <f aca="false">IF(A154="","",取引先マスタ!B154)</f>
        <v/>
      </c>
      <c r="C154" s="31" t="str">
        <f aca="false">IF(A154="","",取引先マスタ!J154&amp;"")</f>
        <v/>
      </c>
      <c r="D154" s="27" t="str">
        <f aca="false">IF(A154="","",SUMIFS(請求台帳!$P$5:$P$504,請求台帳!$C$5:$C$504,A154,請求台帳!$Q$5:$Q$504,"&lt;&gt;取消"))</f>
        <v/>
      </c>
      <c r="E154" s="27" t="str">
        <f aca="false">IF(A154="","",D154-SUM(F154:H154))</f>
        <v/>
      </c>
      <c r="F154" s="27" t="str">
        <f aca="false">IF(A154="","",SUMIFS(請求台帳!$P$5:$P$504,請求台帳!$C$5:$C$504,A154,請求台帳!$S$5:$S$504,"&gt;=1",請求台帳!$S$5:$S$504,"&lt;=30"))</f>
        <v/>
      </c>
      <c r="G154" s="27" t="str">
        <f aca="false">IF(A154="","",SUMIFS(請求台帳!$P$5:$P$504,請求台帳!$C$5:$C$504,A154,請求台帳!$S$5:$S$504,"&gt;=31",請求台帳!$S$5:$S$504,"&lt;=60"))</f>
        <v/>
      </c>
      <c r="H154" s="27" t="str">
        <f aca="false">IF(A154="","",SUMIFS(請求台帳!$P$5:$P$504,請求台帳!$C$5:$C$504,A154,請求台帳!$S$5:$S$504,"&gt;=61"))</f>
        <v/>
      </c>
      <c r="I154" s="33" t="str">
        <f aca="false">IF(A154="","",COUNTIFS(請求台帳!$C$5:$C$504,A154,請求台帳!$B$5:$B$504,"&gt;="&amp;チェック!$C$4,請求台帳!$B$5:$B$504,"&lt;="&amp;EOMONTH(チェック!$C$4,0),請求台帳!$Q$5:$Q$504,"&lt;&gt;取消"))</f>
        <v/>
      </c>
      <c r="J154" s="28" t="str">
        <f aca="false">IF(A154="","",IF(AND(取引先マスタ!G154="有",I154=0),"請求漏れ候補",""))</f>
        <v/>
      </c>
    </row>
    <row r="155" customFormat="false" ht="15" hidden="false" customHeight="false" outlineLevel="0" collapsed="false">
      <c r="A155" s="31" t="str">
        <f aca="false">IF(取引先マスタ!A155="","",取引先マスタ!A155)</f>
        <v/>
      </c>
      <c r="B155" s="31" t="str">
        <f aca="false">IF(A155="","",取引先マスタ!B155)</f>
        <v/>
      </c>
      <c r="C155" s="31" t="str">
        <f aca="false">IF(A155="","",取引先マスタ!J155&amp;"")</f>
        <v/>
      </c>
      <c r="D155" s="27" t="str">
        <f aca="false">IF(A155="","",SUMIFS(請求台帳!$P$5:$P$504,請求台帳!$C$5:$C$504,A155,請求台帳!$Q$5:$Q$504,"&lt;&gt;取消"))</f>
        <v/>
      </c>
      <c r="E155" s="27" t="str">
        <f aca="false">IF(A155="","",D155-SUM(F155:H155))</f>
        <v/>
      </c>
      <c r="F155" s="27" t="str">
        <f aca="false">IF(A155="","",SUMIFS(請求台帳!$P$5:$P$504,請求台帳!$C$5:$C$504,A155,請求台帳!$S$5:$S$504,"&gt;=1",請求台帳!$S$5:$S$504,"&lt;=30"))</f>
        <v/>
      </c>
      <c r="G155" s="27" t="str">
        <f aca="false">IF(A155="","",SUMIFS(請求台帳!$P$5:$P$504,請求台帳!$C$5:$C$504,A155,請求台帳!$S$5:$S$504,"&gt;=31",請求台帳!$S$5:$S$504,"&lt;=60"))</f>
        <v/>
      </c>
      <c r="H155" s="27" t="str">
        <f aca="false">IF(A155="","",SUMIFS(請求台帳!$P$5:$P$504,請求台帳!$C$5:$C$504,A155,請求台帳!$S$5:$S$504,"&gt;=61"))</f>
        <v/>
      </c>
      <c r="I155" s="33" t="str">
        <f aca="false">IF(A155="","",COUNTIFS(請求台帳!$C$5:$C$504,A155,請求台帳!$B$5:$B$504,"&gt;="&amp;チェック!$C$4,請求台帳!$B$5:$B$504,"&lt;="&amp;EOMONTH(チェック!$C$4,0),請求台帳!$Q$5:$Q$504,"&lt;&gt;取消"))</f>
        <v/>
      </c>
      <c r="J155" s="28" t="str">
        <f aca="false">IF(A155="","",IF(AND(取引先マスタ!G155="有",I155=0),"請求漏れ候補",""))</f>
        <v/>
      </c>
    </row>
    <row r="156" customFormat="false" ht="15" hidden="false" customHeight="false" outlineLevel="0" collapsed="false">
      <c r="A156" s="31" t="str">
        <f aca="false">IF(取引先マスタ!A156="","",取引先マスタ!A156)</f>
        <v/>
      </c>
      <c r="B156" s="31" t="str">
        <f aca="false">IF(A156="","",取引先マスタ!B156)</f>
        <v/>
      </c>
      <c r="C156" s="31" t="str">
        <f aca="false">IF(A156="","",取引先マスタ!J156&amp;"")</f>
        <v/>
      </c>
      <c r="D156" s="27" t="str">
        <f aca="false">IF(A156="","",SUMIFS(請求台帳!$P$5:$P$504,請求台帳!$C$5:$C$504,A156,請求台帳!$Q$5:$Q$504,"&lt;&gt;取消"))</f>
        <v/>
      </c>
      <c r="E156" s="27" t="str">
        <f aca="false">IF(A156="","",D156-SUM(F156:H156))</f>
        <v/>
      </c>
      <c r="F156" s="27" t="str">
        <f aca="false">IF(A156="","",SUMIFS(請求台帳!$P$5:$P$504,請求台帳!$C$5:$C$504,A156,請求台帳!$S$5:$S$504,"&gt;=1",請求台帳!$S$5:$S$504,"&lt;=30"))</f>
        <v/>
      </c>
      <c r="G156" s="27" t="str">
        <f aca="false">IF(A156="","",SUMIFS(請求台帳!$P$5:$P$504,請求台帳!$C$5:$C$504,A156,請求台帳!$S$5:$S$504,"&gt;=31",請求台帳!$S$5:$S$504,"&lt;=60"))</f>
        <v/>
      </c>
      <c r="H156" s="27" t="str">
        <f aca="false">IF(A156="","",SUMIFS(請求台帳!$P$5:$P$504,請求台帳!$C$5:$C$504,A156,請求台帳!$S$5:$S$504,"&gt;=61"))</f>
        <v/>
      </c>
      <c r="I156" s="33" t="str">
        <f aca="false">IF(A156="","",COUNTIFS(請求台帳!$C$5:$C$504,A156,請求台帳!$B$5:$B$504,"&gt;="&amp;チェック!$C$4,請求台帳!$B$5:$B$504,"&lt;="&amp;EOMONTH(チェック!$C$4,0),請求台帳!$Q$5:$Q$504,"&lt;&gt;取消"))</f>
        <v/>
      </c>
      <c r="J156" s="28" t="str">
        <f aca="false">IF(A156="","",IF(AND(取引先マスタ!G156="有",I156=0),"請求漏れ候補",""))</f>
        <v/>
      </c>
    </row>
    <row r="157" customFormat="false" ht="15" hidden="false" customHeight="false" outlineLevel="0" collapsed="false">
      <c r="A157" s="31" t="str">
        <f aca="false">IF(取引先マスタ!A157="","",取引先マスタ!A157)</f>
        <v/>
      </c>
      <c r="B157" s="31" t="str">
        <f aca="false">IF(A157="","",取引先マスタ!B157)</f>
        <v/>
      </c>
      <c r="C157" s="31" t="str">
        <f aca="false">IF(A157="","",取引先マスタ!J157&amp;"")</f>
        <v/>
      </c>
      <c r="D157" s="27" t="str">
        <f aca="false">IF(A157="","",SUMIFS(請求台帳!$P$5:$P$504,請求台帳!$C$5:$C$504,A157,請求台帳!$Q$5:$Q$504,"&lt;&gt;取消"))</f>
        <v/>
      </c>
      <c r="E157" s="27" t="str">
        <f aca="false">IF(A157="","",D157-SUM(F157:H157))</f>
        <v/>
      </c>
      <c r="F157" s="27" t="str">
        <f aca="false">IF(A157="","",SUMIFS(請求台帳!$P$5:$P$504,請求台帳!$C$5:$C$504,A157,請求台帳!$S$5:$S$504,"&gt;=1",請求台帳!$S$5:$S$504,"&lt;=30"))</f>
        <v/>
      </c>
      <c r="G157" s="27" t="str">
        <f aca="false">IF(A157="","",SUMIFS(請求台帳!$P$5:$P$504,請求台帳!$C$5:$C$504,A157,請求台帳!$S$5:$S$504,"&gt;=31",請求台帳!$S$5:$S$504,"&lt;=60"))</f>
        <v/>
      </c>
      <c r="H157" s="27" t="str">
        <f aca="false">IF(A157="","",SUMIFS(請求台帳!$P$5:$P$504,請求台帳!$C$5:$C$504,A157,請求台帳!$S$5:$S$504,"&gt;=61"))</f>
        <v/>
      </c>
      <c r="I157" s="33" t="str">
        <f aca="false">IF(A157="","",COUNTIFS(請求台帳!$C$5:$C$504,A157,請求台帳!$B$5:$B$504,"&gt;="&amp;チェック!$C$4,請求台帳!$B$5:$B$504,"&lt;="&amp;EOMONTH(チェック!$C$4,0),請求台帳!$Q$5:$Q$504,"&lt;&gt;取消"))</f>
        <v/>
      </c>
      <c r="J157" s="28" t="str">
        <f aca="false">IF(A157="","",IF(AND(取引先マスタ!G157="有",I157=0),"請求漏れ候補",""))</f>
        <v/>
      </c>
    </row>
    <row r="158" customFormat="false" ht="15" hidden="false" customHeight="false" outlineLevel="0" collapsed="false">
      <c r="A158" s="31" t="str">
        <f aca="false">IF(取引先マスタ!A158="","",取引先マスタ!A158)</f>
        <v/>
      </c>
      <c r="B158" s="31" t="str">
        <f aca="false">IF(A158="","",取引先マスタ!B158)</f>
        <v/>
      </c>
      <c r="C158" s="31" t="str">
        <f aca="false">IF(A158="","",取引先マスタ!J158&amp;"")</f>
        <v/>
      </c>
      <c r="D158" s="27" t="str">
        <f aca="false">IF(A158="","",SUMIFS(請求台帳!$P$5:$P$504,請求台帳!$C$5:$C$504,A158,請求台帳!$Q$5:$Q$504,"&lt;&gt;取消"))</f>
        <v/>
      </c>
      <c r="E158" s="27" t="str">
        <f aca="false">IF(A158="","",D158-SUM(F158:H158))</f>
        <v/>
      </c>
      <c r="F158" s="27" t="str">
        <f aca="false">IF(A158="","",SUMIFS(請求台帳!$P$5:$P$504,請求台帳!$C$5:$C$504,A158,請求台帳!$S$5:$S$504,"&gt;=1",請求台帳!$S$5:$S$504,"&lt;=30"))</f>
        <v/>
      </c>
      <c r="G158" s="27" t="str">
        <f aca="false">IF(A158="","",SUMIFS(請求台帳!$P$5:$P$504,請求台帳!$C$5:$C$504,A158,請求台帳!$S$5:$S$504,"&gt;=31",請求台帳!$S$5:$S$504,"&lt;=60"))</f>
        <v/>
      </c>
      <c r="H158" s="27" t="str">
        <f aca="false">IF(A158="","",SUMIFS(請求台帳!$P$5:$P$504,請求台帳!$C$5:$C$504,A158,請求台帳!$S$5:$S$504,"&gt;=61"))</f>
        <v/>
      </c>
      <c r="I158" s="33" t="str">
        <f aca="false">IF(A158="","",COUNTIFS(請求台帳!$C$5:$C$504,A158,請求台帳!$B$5:$B$504,"&gt;="&amp;チェック!$C$4,請求台帳!$B$5:$B$504,"&lt;="&amp;EOMONTH(チェック!$C$4,0),請求台帳!$Q$5:$Q$504,"&lt;&gt;取消"))</f>
        <v/>
      </c>
      <c r="J158" s="28" t="str">
        <f aca="false">IF(A158="","",IF(AND(取引先マスタ!G158="有",I158=0),"請求漏れ候補",""))</f>
        <v/>
      </c>
    </row>
    <row r="159" customFormat="false" ht="15" hidden="false" customHeight="false" outlineLevel="0" collapsed="false">
      <c r="A159" s="31" t="str">
        <f aca="false">IF(取引先マスタ!A159="","",取引先マスタ!A159)</f>
        <v/>
      </c>
      <c r="B159" s="31" t="str">
        <f aca="false">IF(A159="","",取引先マスタ!B159)</f>
        <v/>
      </c>
      <c r="C159" s="31" t="str">
        <f aca="false">IF(A159="","",取引先マスタ!J159&amp;"")</f>
        <v/>
      </c>
      <c r="D159" s="27" t="str">
        <f aca="false">IF(A159="","",SUMIFS(請求台帳!$P$5:$P$504,請求台帳!$C$5:$C$504,A159,請求台帳!$Q$5:$Q$504,"&lt;&gt;取消"))</f>
        <v/>
      </c>
      <c r="E159" s="27" t="str">
        <f aca="false">IF(A159="","",D159-SUM(F159:H159))</f>
        <v/>
      </c>
      <c r="F159" s="27" t="str">
        <f aca="false">IF(A159="","",SUMIFS(請求台帳!$P$5:$P$504,請求台帳!$C$5:$C$504,A159,請求台帳!$S$5:$S$504,"&gt;=1",請求台帳!$S$5:$S$504,"&lt;=30"))</f>
        <v/>
      </c>
      <c r="G159" s="27" t="str">
        <f aca="false">IF(A159="","",SUMIFS(請求台帳!$P$5:$P$504,請求台帳!$C$5:$C$504,A159,請求台帳!$S$5:$S$504,"&gt;=31",請求台帳!$S$5:$S$504,"&lt;=60"))</f>
        <v/>
      </c>
      <c r="H159" s="27" t="str">
        <f aca="false">IF(A159="","",SUMIFS(請求台帳!$P$5:$P$504,請求台帳!$C$5:$C$504,A159,請求台帳!$S$5:$S$504,"&gt;=61"))</f>
        <v/>
      </c>
      <c r="I159" s="33" t="str">
        <f aca="false">IF(A159="","",COUNTIFS(請求台帳!$C$5:$C$504,A159,請求台帳!$B$5:$B$504,"&gt;="&amp;チェック!$C$4,請求台帳!$B$5:$B$504,"&lt;="&amp;EOMONTH(チェック!$C$4,0),請求台帳!$Q$5:$Q$504,"&lt;&gt;取消"))</f>
        <v/>
      </c>
      <c r="J159" s="28" t="str">
        <f aca="false">IF(A159="","",IF(AND(取引先マスタ!G159="有",I159=0),"請求漏れ候補",""))</f>
        <v/>
      </c>
    </row>
    <row r="160" customFormat="false" ht="15" hidden="false" customHeight="false" outlineLevel="0" collapsed="false">
      <c r="A160" s="31" t="str">
        <f aca="false">IF(取引先マスタ!A160="","",取引先マスタ!A160)</f>
        <v/>
      </c>
      <c r="B160" s="31" t="str">
        <f aca="false">IF(A160="","",取引先マスタ!B160)</f>
        <v/>
      </c>
      <c r="C160" s="31" t="str">
        <f aca="false">IF(A160="","",取引先マスタ!J160&amp;"")</f>
        <v/>
      </c>
      <c r="D160" s="27" t="str">
        <f aca="false">IF(A160="","",SUMIFS(請求台帳!$P$5:$P$504,請求台帳!$C$5:$C$504,A160,請求台帳!$Q$5:$Q$504,"&lt;&gt;取消"))</f>
        <v/>
      </c>
      <c r="E160" s="27" t="str">
        <f aca="false">IF(A160="","",D160-SUM(F160:H160))</f>
        <v/>
      </c>
      <c r="F160" s="27" t="str">
        <f aca="false">IF(A160="","",SUMIFS(請求台帳!$P$5:$P$504,請求台帳!$C$5:$C$504,A160,請求台帳!$S$5:$S$504,"&gt;=1",請求台帳!$S$5:$S$504,"&lt;=30"))</f>
        <v/>
      </c>
      <c r="G160" s="27" t="str">
        <f aca="false">IF(A160="","",SUMIFS(請求台帳!$P$5:$P$504,請求台帳!$C$5:$C$504,A160,請求台帳!$S$5:$S$504,"&gt;=31",請求台帳!$S$5:$S$504,"&lt;=60"))</f>
        <v/>
      </c>
      <c r="H160" s="27" t="str">
        <f aca="false">IF(A160="","",SUMIFS(請求台帳!$P$5:$P$504,請求台帳!$C$5:$C$504,A160,請求台帳!$S$5:$S$504,"&gt;=61"))</f>
        <v/>
      </c>
      <c r="I160" s="33" t="str">
        <f aca="false">IF(A160="","",COUNTIFS(請求台帳!$C$5:$C$504,A160,請求台帳!$B$5:$B$504,"&gt;="&amp;チェック!$C$4,請求台帳!$B$5:$B$504,"&lt;="&amp;EOMONTH(チェック!$C$4,0),請求台帳!$Q$5:$Q$504,"&lt;&gt;取消"))</f>
        <v/>
      </c>
      <c r="J160" s="28" t="str">
        <f aca="false">IF(A160="","",IF(AND(取引先マスタ!G160="有",I160=0),"請求漏れ候補",""))</f>
        <v/>
      </c>
    </row>
    <row r="161" customFormat="false" ht="15" hidden="false" customHeight="false" outlineLevel="0" collapsed="false">
      <c r="A161" s="31" t="str">
        <f aca="false">IF(取引先マスタ!A161="","",取引先マスタ!A161)</f>
        <v/>
      </c>
      <c r="B161" s="31" t="str">
        <f aca="false">IF(A161="","",取引先マスタ!B161)</f>
        <v/>
      </c>
      <c r="C161" s="31" t="str">
        <f aca="false">IF(A161="","",取引先マスタ!J161&amp;"")</f>
        <v/>
      </c>
      <c r="D161" s="27" t="str">
        <f aca="false">IF(A161="","",SUMIFS(請求台帳!$P$5:$P$504,請求台帳!$C$5:$C$504,A161,請求台帳!$Q$5:$Q$504,"&lt;&gt;取消"))</f>
        <v/>
      </c>
      <c r="E161" s="27" t="str">
        <f aca="false">IF(A161="","",D161-SUM(F161:H161))</f>
        <v/>
      </c>
      <c r="F161" s="27" t="str">
        <f aca="false">IF(A161="","",SUMIFS(請求台帳!$P$5:$P$504,請求台帳!$C$5:$C$504,A161,請求台帳!$S$5:$S$504,"&gt;=1",請求台帳!$S$5:$S$504,"&lt;=30"))</f>
        <v/>
      </c>
      <c r="G161" s="27" t="str">
        <f aca="false">IF(A161="","",SUMIFS(請求台帳!$P$5:$P$504,請求台帳!$C$5:$C$504,A161,請求台帳!$S$5:$S$504,"&gt;=31",請求台帳!$S$5:$S$504,"&lt;=60"))</f>
        <v/>
      </c>
      <c r="H161" s="27" t="str">
        <f aca="false">IF(A161="","",SUMIFS(請求台帳!$P$5:$P$504,請求台帳!$C$5:$C$504,A161,請求台帳!$S$5:$S$504,"&gt;=61"))</f>
        <v/>
      </c>
      <c r="I161" s="33" t="str">
        <f aca="false">IF(A161="","",COUNTIFS(請求台帳!$C$5:$C$504,A161,請求台帳!$B$5:$B$504,"&gt;="&amp;チェック!$C$4,請求台帳!$B$5:$B$504,"&lt;="&amp;EOMONTH(チェック!$C$4,0),請求台帳!$Q$5:$Q$504,"&lt;&gt;取消"))</f>
        <v/>
      </c>
      <c r="J161" s="28" t="str">
        <f aca="false">IF(A161="","",IF(AND(取引先マスタ!G161="有",I161=0),"請求漏れ候補",""))</f>
        <v/>
      </c>
    </row>
    <row r="162" customFormat="false" ht="15" hidden="false" customHeight="false" outlineLevel="0" collapsed="false">
      <c r="A162" s="31" t="str">
        <f aca="false">IF(取引先マスタ!A162="","",取引先マスタ!A162)</f>
        <v/>
      </c>
      <c r="B162" s="31" t="str">
        <f aca="false">IF(A162="","",取引先マスタ!B162)</f>
        <v/>
      </c>
      <c r="C162" s="31" t="str">
        <f aca="false">IF(A162="","",取引先マスタ!J162&amp;"")</f>
        <v/>
      </c>
      <c r="D162" s="27" t="str">
        <f aca="false">IF(A162="","",SUMIFS(請求台帳!$P$5:$P$504,請求台帳!$C$5:$C$504,A162,請求台帳!$Q$5:$Q$504,"&lt;&gt;取消"))</f>
        <v/>
      </c>
      <c r="E162" s="27" t="str">
        <f aca="false">IF(A162="","",D162-SUM(F162:H162))</f>
        <v/>
      </c>
      <c r="F162" s="27" t="str">
        <f aca="false">IF(A162="","",SUMIFS(請求台帳!$P$5:$P$504,請求台帳!$C$5:$C$504,A162,請求台帳!$S$5:$S$504,"&gt;=1",請求台帳!$S$5:$S$504,"&lt;=30"))</f>
        <v/>
      </c>
      <c r="G162" s="27" t="str">
        <f aca="false">IF(A162="","",SUMIFS(請求台帳!$P$5:$P$504,請求台帳!$C$5:$C$504,A162,請求台帳!$S$5:$S$504,"&gt;=31",請求台帳!$S$5:$S$504,"&lt;=60"))</f>
        <v/>
      </c>
      <c r="H162" s="27" t="str">
        <f aca="false">IF(A162="","",SUMIFS(請求台帳!$P$5:$P$504,請求台帳!$C$5:$C$504,A162,請求台帳!$S$5:$S$504,"&gt;=61"))</f>
        <v/>
      </c>
      <c r="I162" s="33" t="str">
        <f aca="false">IF(A162="","",COUNTIFS(請求台帳!$C$5:$C$504,A162,請求台帳!$B$5:$B$504,"&gt;="&amp;チェック!$C$4,請求台帳!$B$5:$B$504,"&lt;="&amp;EOMONTH(チェック!$C$4,0),請求台帳!$Q$5:$Q$504,"&lt;&gt;取消"))</f>
        <v/>
      </c>
      <c r="J162" s="28" t="str">
        <f aca="false">IF(A162="","",IF(AND(取引先マスタ!G162="有",I162=0),"請求漏れ候補",""))</f>
        <v/>
      </c>
    </row>
    <row r="163" customFormat="false" ht="15" hidden="false" customHeight="false" outlineLevel="0" collapsed="false">
      <c r="A163" s="31" t="str">
        <f aca="false">IF(取引先マスタ!A163="","",取引先マスタ!A163)</f>
        <v/>
      </c>
      <c r="B163" s="31" t="str">
        <f aca="false">IF(A163="","",取引先マスタ!B163)</f>
        <v/>
      </c>
      <c r="C163" s="31" t="str">
        <f aca="false">IF(A163="","",取引先マスタ!J163&amp;"")</f>
        <v/>
      </c>
      <c r="D163" s="27" t="str">
        <f aca="false">IF(A163="","",SUMIFS(請求台帳!$P$5:$P$504,請求台帳!$C$5:$C$504,A163,請求台帳!$Q$5:$Q$504,"&lt;&gt;取消"))</f>
        <v/>
      </c>
      <c r="E163" s="27" t="str">
        <f aca="false">IF(A163="","",D163-SUM(F163:H163))</f>
        <v/>
      </c>
      <c r="F163" s="27" t="str">
        <f aca="false">IF(A163="","",SUMIFS(請求台帳!$P$5:$P$504,請求台帳!$C$5:$C$504,A163,請求台帳!$S$5:$S$504,"&gt;=1",請求台帳!$S$5:$S$504,"&lt;=30"))</f>
        <v/>
      </c>
      <c r="G163" s="27" t="str">
        <f aca="false">IF(A163="","",SUMIFS(請求台帳!$P$5:$P$504,請求台帳!$C$5:$C$504,A163,請求台帳!$S$5:$S$504,"&gt;=31",請求台帳!$S$5:$S$504,"&lt;=60"))</f>
        <v/>
      </c>
      <c r="H163" s="27" t="str">
        <f aca="false">IF(A163="","",SUMIFS(請求台帳!$P$5:$P$504,請求台帳!$C$5:$C$504,A163,請求台帳!$S$5:$S$504,"&gt;=61"))</f>
        <v/>
      </c>
      <c r="I163" s="33" t="str">
        <f aca="false">IF(A163="","",COUNTIFS(請求台帳!$C$5:$C$504,A163,請求台帳!$B$5:$B$504,"&gt;="&amp;チェック!$C$4,請求台帳!$B$5:$B$504,"&lt;="&amp;EOMONTH(チェック!$C$4,0),請求台帳!$Q$5:$Q$504,"&lt;&gt;取消"))</f>
        <v/>
      </c>
      <c r="J163" s="28" t="str">
        <f aca="false">IF(A163="","",IF(AND(取引先マスタ!G163="有",I163=0),"請求漏れ候補",""))</f>
        <v/>
      </c>
    </row>
    <row r="164" customFormat="false" ht="15" hidden="false" customHeight="false" outlineLevel="0" collapsed="false">
      <c r="A164" s="31" t="str">
        <f aca="false">IF(取引先マスタ!A164="","",取引先マスタ!A164)</f>
        <v/>
      </c>
      <c r="B164" s="31" t="str">
        <f aca="false">IF(A164="","",取引先マスタ!B164)</f>
        <v/>
      </c>
      <c r="C164" s="31" t="str">
        <f aca="false">IF(A164="","",取引先マスタ!J164&amp;"")</f>
        <v/>
      </c>
      <c r="D164" s="27" t="str">
        <f aca="false">IF(A164="","",SUMIFS(請求台帳!$P$5:$P$504,請求台帳!$C$5:$C$504,A164,請求台帳!$Q$5:$Q$504,"&lt;&gt;取消"))</f>
        <v/>
      </c>
      <c r="E164" s="27" t="str">
        <f aca="false">IF(A164="","",D164-SUM(F164:H164))</f>
        <v/>
      </c>
      <c r="F164" s="27" t="str">
        <f aca="false">IF(A164="","",SUMIFS(請求台帳!$P$5:$P$504,請求台帳!$C$5:$C$504,A164,請求台帳!$S$5:$S$504,"&gt;=1",請求台帳!$S$5:$S$504,"&lt;=30"))</f>
        <v/>
      </c>
      <c r="G164" s="27" t="str">
        <f aca="false">IF(A164="","",SUMIFS(請求台帳!$P$5:$P$504,請求台帳!$C$5:$C$504,A164,請求台帳!$S$5:$S$504,"&gt;=31",請求台帳!$S$5:$S$504,"&lt;=60"))</f>
        <v/>
      </c>
      <c r="H164" s="27" t="str">
        <f aca="false">IF(A164="","",SUMIFS(請求台帳!$P$5:$P$504,請求台帳!$C$5:$C$504,A164,請求台帳!$S$5:$S$504,"&gt;=61"))</f>
        <v/>
      </c>
      <c r="I164" s="33" t="str">
        <f aca="false">IF(A164="","",COUNTIFS(請求台帳!$C$5:$C$504,A164,請求台帳!$B$5:$B$504,"&gt;="&amp;チェック!$C$4,請求台帳!$B$5:$B$504,"&lt;="&amp;EOMONTH(チェック!$C$4,0),請求台帳!$Q$5:$Q$504,"&lt;&gt;取消"))</f>
        <v/>
      </c>
      <c r="J164" s="28" t="str">
        <f aca="false">IF(A164="","",IF(AND(取引先マスタ!G164="有",I164=0),"請求漏れ候補",""))</f>
        <v/>
      </c>
    </row>
    <row r="165" customFormat="false" ht="15" hidden="false" customHeight="false" outlineLevel="0" collapsed="false">
      <c r="A165" s="31" t="str">
        <f aca="false">IF(取引先マスタ!A165="","",取引先マスタ!A165)</f>
        <v/>
      </c>
      <c r="B165" s="31" t="str">
        <f aca="false">IF(A165="","",取引先マスタ!B165)</f>
        <v/>
      </c>
      <c r="C165" s="31" t="str">
        <f aca="false">IF(A165="","",取引先マスタ!J165&amp;"")</f>
        <v/>
      </c>
      <c r="D165" s="27" t="str">
        <f aca="false">IF(A165="","",SUMIFS(請求台帳!$P$5:$P$504,請求台帳!$C$5:$C$504,A165,請求台帳!$Q$5:$Q$504,"&lt;&gt;取消"))</f>
        <v/>
      </c>
      <c r="E165" s="27" t="str">
        <f aca="false">IF(A165="","",D165-SUM(F165:H165))</f>
        <v/>
      </c>
      <c r="F165" s="27" t="str">
        <f aca="false">IF(A165="","",SUMIFS(請求台帳!$P$5:$P$504,請求台帳!$C$5:$C$504,A165,請求台帳!$S$5:$S$504,"&gt;=1",請求台帳!$S$5:$S$504,"&lt;=30"))</f>
        <v/>
      </c>
      <c r="G165" s="27" t="str">
        <f aca="false">IF(A165="","",SUMIFS(請求台帳!$P$5:$P$504,請求台帳!$C$5:$C$504,A165,請求台帳!$S$5:$S$504,"&gt;=31",請求台帳!$S$5:$S$504,"&lt;=60"))</f>
        <v/>
      </c>
      <c r="H165" s="27" t="str">
        <f aca="false">IF(A165="","",SUMIFS(請求台帳!$P$5:$P$504,請求台帳!$C$5:$C$504,A165,請求台帳!$S$5:$S$504,"&gt;=61"))</f>
        <v/>
      </c>
      <c r="I165" s="33" t="str">
        <f aca="false">IF(A165="","",COUNTIFS(請求台帳!$C$5:$C$504,A165,請求台帳!$B$5:$B$504,"&gt;="&amp;チェック!$C$4,請求台帳!$B$5:$B$504,"&lt;="&amp;EOMONTH(チェック!$C$4,0),請求台帳!$Q$5:$Q$504,"&lt;&gt;取消"))</f>
        <v/>
      </c>
      <c r="J165" s="28" t="str">
        <f aca="false">IF(A165="","",IF(AND(取引先マスタ!G165="有",I165=0),"請求漏れ候補",""))</f>
        <v/>
      </c>
    </row>
    <row r="166" customFormat="false" ht="15" hidden="false" customHeight="false" outlineLevel="0" collapsed="false">
      <c r="A166" s="31" t="str">
        <f aca="false">IF(取引先マスタ!A166="","",取引先マスタ!A166)</f>
        <v/>
      </c>
      <c r="B166" s="31" t="str">
        <f aca="false">IF(A166="","",取引先マスタ!B166)</f>
        <v/>
      </c>
      <c r="C166" s="31" t="str">
        <f aca="false">IF(A166="","",取引先マスタ!J166&amp;"")</f>
        <v/>
      </c>
      <c r="D166" s="27" t="str">
        <f aca="false">IF(A166="","",SUMIFS(請求台帳!$P$5:$P$504,請求台帳!$C$5:$C$504,A166,請求台帳!$Q$5:$Q$504,"&lt;&gt;取消"))</f>
        <v/>
      </c>
      <c r="E166" s="27" t="str">
        <f aca="false">IF(A166="","",D166-SUM(F166:H166))</f>
        <v/>
      </c>
      <c r="F166" s="27" t="str">
        <f aca="false">IF(A166="","",SUMIFS(請求台帳!$P$5:$P$504,請求台帳!$C$5:$C$504,A166,請求台帳!$S$5:$S$504,"&gt;=1",請求台帳!$S$5:$S$504,"&lt;=30"))</f>
        <v/>
      </c>
      <c r="G166" s="27" t="str">
        <f aca="false">IF(A166="","",SUMIFS(請求台帳!$P$5:$P$504,請求台帳!$C$5:$C$504,A166,請求台帳!$S$5:$S$504,"&gt;=31",請求台帳!$S$5:$S$504,"&lt;=60"))</f>
        <v/>
      </c>
      <c r="H166" s="27" t="str">
        <f aca="false">IF(A166="","",SUMIFS(請求台帳!$P$5:$P$504,請求台帳!$C$5:$C$504,A166,請求台帳!$S$5:$S$504,"&gt;=61"))</f>
        <v/>
      </c>
      <c r="I166" s="33" t="str">
        <f aca="false">IF(A166="","",COUNTIFS(請求台帳!$C$5:$C$504,A166,請求台帳!$B$5:$B$504,"&gt;="&amp;チェック!$C$4,請求台帳!$B$5:$B$504,"&lt;="&amp;EOMONTH(チェック!$C$4,0),請求台帳!$Q$5:$Q$504,"&lt;&gt;取消"))</f>
        <v/>
      </c>
      <c r="J166" s="28" t="str">
        <f aca="false">IF(A166="","",IF(AND(取引先マスタ!G166="有",I166=0),"請求漏れ候補",""))</f>
        <v/>
      </c>
    </row>
    <row r="167" customFormat="false" ht="15" hidden="false" customHeight="false" outlineLevel="0" collapsed="false">
      <c r="A167" s="31" t="str">
        <f aca="false">IF(取引先マスタ!A167="","",取引先マスタ!A167)</f>
        <v/>
      </c>
      <c r="B167" s="31" t="str">
        <f aca="false">IF(A167="","",取引先マスタ!B167)</f>
        <v/>
      </c>
      <c r="C167" s="31" t="str">
        <f aca="false">IF(A167="","",取引先マスタ!J167&amp;"")</f>
        <v/>
      </c>
      <c r="D167" s="27" t="str">
        <f aca="false">IF(A167="","",SUMIFS(請求台帳!$P$5:$P$504,請求台帳!$C$5:$C$504,A167,請求台帳!$Q$5:$Q$504,"&lt;&gt;取消"))</f>
        <v/>
      </c>
      <c r="E167" s="27" t="str">
        <f aca="false">IF(A167="","",D167-SUM(F167:H167))</f>
        <v/>
      </c>
      <c r="F167" s="27" t="str">
        <f aca="false">IF(A167="","",SUMIFS(請求台帳!$P$5:$P$504,請求台帳!$C$5:$C$504,A167,請求台帳!$S$5:$S$504,"&gt;=1",請求台帳!$S$5:$S$504,"&lt;=30"))</f>
        <v/>
      </c>
      <c r="G167" s="27" t="str">
        <f aca="false">IF(A167="","",SUMIFS(請求台帳!$P$5:$P$504,請求台帳!$C$5:$C$504,A167,請求台帳!$S$5:$S$504,"&gt;=31",請求台帳!$S$5:$S$504,"&lt;=60"))</f>
        <v/>
      </c>
      <c r="H167" s="27" t="str">
        <f aca="false">IF(A167="","",SUMIFS(請求台帳!$P$5:$P$504,請求台帳!$C$5:$C$504,A167,請求台帳!$S$5:$S$504,"&gt;=61"))</f>
        <v/>
      </c>
      <c r="I167" s="33" t="str">
        <f aca="false">IF(A167="","",COUNTIFS(請求台帳!$C$5:$C$504,A167,請求台帳!$B$5:$B$504,"&gt;="&amp;チェック!$C$4,請求台帳!$B$5:$B$504,"&lt;="&amp;EOMONTH(チェック!$C$4,0),請求台帳!$Q$5:$Q$504,"&lt;&gt;取消"))</f>
        <v/>
      </c>
      <c r="J167" s="28" t="str">
        <f aca="false">IF(A167="","",IF(AND(取引先マスタ!G167="有",I167=0),"請求漏れ候補",""))</f>
        <v/>
      </c>
    </row>
    <row r="168" customFormat="false" ht="15" hidden="false" customHeight="false" outlineLevel="0" collapsed="false">
      <c r="A168" s="31" t="str">
        <f aca="false">IF(取引先マスタ!A168="","",取引先マスタ!A168)</f>
        <v/>
      </c>
      <c r="B168" s="31" t="str">
        <f aca="false">IF(A168="","",取引先マスタ!B168)</f>
        <v/>
      </c>
      <c r="C168" s="31" t="str">
        <f aca="false">IF(A168="","",取引先マスタ!J168&amp;"")</f>
        <v/>
      </c>
      <c r="D168" s="27" t="str">
        <f aca="false">IF(A168="","",SUMIFS(請求台帳!$P$5:$P$504,請求台帳!$C$5:$C$504,A168,請求台帳!$Q$5:$Q$504,"&lt;&gt;取消"))</f>
        <v/>
      </c>
      <c r="E168" s="27" t="str">
        <f aca="false">IF(A168="","",D168-SUM(F168:H168))</f>
        <v/>
      </c>
      <c r="F168" s="27" t="str">
        <f aca="false">IF(A168="","",SUMIFS(請求台帳!$P$5:$P$504,請求台帳!$C$5:$C$504,A168,請求台帳!$S$5:$S$504,"&gt;=1",請求台帳!$S$5:$S$504,"&lt;=30"))</f>
        <v/>
      </c>
      <c r="G168" s="27" t="str">
        <f aca="false">IF(A168="","",SUMIFS(請求台帳!$P$5:$P$504,請求台帳!$C$5:$C$504,A168,請求台帳!$S$5:$S$504,"&gt;=31",請求台帳!$S$5:$S$504,"&lt;=60"))</f>
        <v/>
      </c>
      <c r="H168" s="27" t="str">
        <f aca="false">IF(A168="","",SUMIFS(請求台帳!$P$5:$P$504,請求台帳!$C$5:$C$504,A168,請求台帳!$S$5:$S$504,"&gt;=61"))</f>
        <v/>
      </c>
      <c r="I168" s="33" t="str">
        <f aca="false">IF(A168="","",COUNTIFS(請求台帳!$C$5:$C$504,A168,請求台帳!$B$5:$B$504,"&gt;="&amp;チェック!$C$4,請求台帳!$B$5:$B$504,"&lt;="&amp;EOMONTH(チェック!$C$4,0),請求台帳!$Q$5:$Q$504,"&lt;&gt;取消"))</f>
        <v/>
      </c>
      <c r="J168" s="28" t="str">
        <f aca="false">IF(A168="","",IF(AND(取引先マスタ!G168="有",I168=0),"請求漏れ候補",""))</f>
        <v/>
      </c>
    </row>
    <row r="169" customFormat="false" ht="15" hidden="false" customHeight="false" outlineLevel="0" collapsed="false">
      <c r="A169" s="31" t="str">
        <f aca="false">IF(取引先マスタ!A169="","",取引先マスタ!A169)</f>
        <v/>
      </c>
      <c r="B169" s="31" t="str">
        <f aca="false">IF(A169="","",取引先マスタ!B169)</f>
        <v/>
      </c>
      <c r="C169" s="31" t="str">
        <f aca="false">IF(A169="","",取引先マスタ!J169&amp;"")</f>
        <v/>
      </c>
      <c r="D169" s="27" t="str">
        <f aca="false">IF(A169="","",SUMIFS(請求台帳!$P$5:$P$504,請求台帳!$C$5:$C$504,A169,請求台帳!$Q$5:$Q$504,"&lt;&gt;取消"))</f>
        <v/>
      </c>
      <c r="E169" s="27" t="str">
        <f aca="false">IF(A169="","",D169-SUM(F169:H169))</f>
        <v/>
      </c>
      <c r="F169" s="27" t="str">
        <f aca="false">IF(A169="","",SUMIFS(請求台帳!$P$5:$P$504,請求台帳!$C$5:$C$504,A169,請求台帳!$S$5:$S$504,"&gt;=1",請求台帳!$S$5:$S$504,"&lt;=30"))</f>
        <v/>
      </c>
      <c r="G169" s="27" t="str">
        <f aca="false">IF(A169="","",SUMIFS(請求台帳!$P$5:$P$504,請求台帳!$C$5:$C$504,A169,請求台帳!$S$5:$S$504,"&gt;=31",請求台帳!$S$5:$S$504,"&lt;=60"))</f>
        <v/>
      </c>
      <c r="H169" s="27" t="str">
        <f aca="false">IF(A169="","",SUMIFS(請求台帳!$P$5:$P$504,請求台帳!$C$5:$C$504,A169,請求台帳!$S$5:$S$504,"&gt;=61"))</f>
        <v/>
      </c>
      <c r="I169" s="33" t="str">
        <f aca="false">IF(A169="","",COUNTIFS(請求台帳!$C$5:$C$504,A169,請求台帳!$B$5:$B$504,"&gt;="&amp;チェック!$C$4,請求台帳!$B$5:$B$504,"&lt;="&amp;EOMONTH(チェック!$C$4,0),請求台帳!$Q$5:$Q$504,"&lt;&gt;取消"))</f>
        <v/>
      </c>
      <c r="J169" s="28" t="str">
        <f aca="false">IF(A169="","",IF(AND(取引先マスタ!G169="有",I169=0),"請求漏れ候補",""))</f>
        <v/>
      </c>
    </row>
    <row r="170" customFormat="false" ht="15" hidden="false" customHeight="false" outlineLevel="0" collapsed="false">
      <c r="A170" s="31" t="str">
        <f aca="false">IF(取引先マスタ!A170="","",取引先マスタ!A170)</f>
        <v/>
      </c>
      <c r="B170" s="31" t="str">
        <f aca="false">IF(A170="","",取引先マスタ!B170)</f>
        <v/>
      </c>
      <c r="C170" s="31" t="str">
        <f aca="false">IF(A170="","",取引先マスタ!J170&amp;"")</f>
        <v/>
      </c>
      <c r="D170" s="27" t="str">
        <f aca="false">IF(A170="","",SUMIFS(請求台帳!$P$5:$P$504,請求台帳!$C$5:$C$504,A170,請求台帳!$Q$5:$Q$504,"&lt;&gt;取消"))</f>
        <v/>
      </c>
      <c r="E170" s="27" t="str">
        <f aca="false">IF(A170="","",D170-SUM(F170:H170))</f>
        <v/>
      </c>
      <c r="F170" s="27" t="str">
        <f aca="false">IF(A170="","",SUMIFS(請求台帳!$P$5:$P$504,請求台帳!$C$5:$C$504,A170,請求台帳!$S$5:$S$504,"&gt;=1",請求台帳!$S$5:$S$504,"&lt;=30"))</f>
        <v/>
      </c>
      <c r="G170" s="27" t="str">
        <f aca="false">IF(A170="","",SUMIFS(請求台帳!$P$5:$P$504,請求台帳!$C$5:$C$504,A170,請求台帳!$S$5:$S$504,"&gt;=31",請求台帳!$S$5:$S$504,"&lt;=60"))</f>
        <v/>
      </c>
      <c r="H170" s="27" t="str">
        <f aca="false">IF(A170="","",SUMIFS(請求台帳!$P$5:$P$504,請求台帳!$C$5:$C$504,A170,請求台帳!$S$5:$S$504,"&gt;=61"))</f>
        <v/>
      </c>
      <c r="I170" s="33" t="str">
        <f aca="false">IF(A170="","",COUNTIFS(請求台帳!$C$5:$C$504,A170,請求台帳!$B$5:$B$504,"&gt;="&amp;チェック!$C$4,請求台帳!$B$5:$B$504,"&lt;="&amp;EOMONTH(チェック!$C$4,0),請求台帳!$Q$5:$Q$504,"&lt;&gt;取消"))</f>
        <v/>
      </c>
      <c r="J170" s="28" t="str">
        <f aca="false">IF(A170="","",IF(AND(取引先マスタ!G170="有",I170=0),"請求漏れ候補",""))</f>
        <v/>
      </c>
    </row>
    <row r="171" customFormat="false" ht="15" hidden="false" customHeight="false" outlineLevel="0" collapsed="false">
      <c r="A171" s="31" t="str">
        <f aca="false">IF(取引先マスタ!A171="","",取引先マスタ!A171)</f>
        <v/>
      </c>
      <c r="B171" s="31" t="str">
        <f aca="false">IF(A171="","",取引先マスタ!B171)</f>
        <v/>
      </c>
      <c r="C171" s="31" t="str">
        <f aca="false">IF(A171="","",取引先マスタ!J171&amp;"")</f>
        <v/>
      </c>
      <c r="D171" s="27" t="str">
        <f aca="false">IF(A171="","",SUMIFS(請求台帳!$P$5:$P$504,請求台帳!$C$5:$C$504,A171,請求台帳!$Q$5:$Q$504,"&lt;&gt;取消"))</f>
        <v/>
      </c>
      <c r="E171" s="27" t="str">
        <f aca="false">IF(A171="","",D171-SUM(F171:H171))</f>
        <v/>
      </c>
      <c r="F171" s="27" t="str">
        <f aca="false">IF(A171="","",SUMIFS(請求台帳!$P$5:$P$504,請求台帳!$C$5:$C$504,A171,請求台帳!$S$5:$S$504,"&gt;=1",請求台帳!$S$5:$S$504,"&lt;=30"))</f>
        <v/>
      </c>
      <c r="G171" s="27" t="str">
        <f aca="false">IF(A171="","",SUMIFS(請求台帳!$P$5:$P$504,請求台帳!$C$5:$C$504,A171,請求台帳!$S$5:$S$504,"&gt;=31",請求台帳!$S$5:$S$504,"&lt;=60"))</f>
        <v/>
      </c>
      <c r="H171" s="27" t="str">
        <f aca="false">IF(A171="","",SUMIFS(請求台帳!$P$5:$P$504,請求台帳!$C$5:$C$504,A171,請求台帳!$S$5:$S$504,"&gt;=61"))</f>
        <v/>
      </c>
      <c r="I171" s="33" t="str">
        <f aca="false">IF(A171="","",COUNTIFS(請求台帳!$C$5:$C$504,A171,請求台帳!$B$5:$B$504,"&gt;="&amp;チェック!$C$4,請求台帳!$B$5:$B$504,"&lt;="&amp;EOMONTH(チェック!$C$4,0),請求台帳!$Q$5:$Q$504,"&lt;&gt;取消"))</f>
        <v/>
      </c>
      <c r="J171" s="28" t="str">
        <f aca="false">IF(A171="","",IF(AND(取引先マスタ!G171="有",I171=0),"請求漏れ候補",""))</f>
        <v/>
      </c>
    </row>
    <row r="172" customFormat="false" ht="15" hidden="false" customHeight="false" outlineLevel="0" collapsed="false">
      <c r="A172" s="31" t="str">
        <f aca="false">IF(取引先マスタ!A172="","",取引先マスタ!A172)</f>
        <v/>
      </c>
      <c r="B172" s="31" t="str">
        <f aca="false">IF(A172="","",取引先マスタ!B172)</f>
        <v/>
      </c>
      <c r="C172" s="31" t="str">
        <f aca="false">IF(A172="","",取引先マスタ!J172&amp;"")</f>
        <v/>
      </c>
      <c r="D172" s="27" t="str">
        <f aca="false">IF(A172="","",SUMIFS(請求台帳!$P$5:$P$504,請求台帳!$C$5:$C$504,A172,請求台帳!$Q$5:$Q$504,"&lt;&gt;取消"))</f>
        <v/>
      </c>
      <c r="E172" s="27" t="str">
        <f aca="false">IF(A172="","",D172-SUM(F172:H172))</f>
        <v/>
      </c>
      <c r="F172" s="27" t="str">
        <f aca="false">IF(A172="","",SUMIFS(請求台帳!$P$5:$P$504,請求台帳!$C$5:$C$504,A172,請求台帳!$S$5:$S$504,"&gt;=1",請求台帳!$S$5:$S$504,"&lt;=30"))</f>
        <v/>
      </c>
      <c r="G172" s="27" t="str">
        <f aca="false">IF(A172="","",SUMIFS(請求台帳!$P$5:$P$504,請求台帳!$C$5:$C$504,A172,請求台帳!$S$5:$S$504,"&gt;=31",請求台帳!$S$5:$S$504,"&lt;=60"))</f>
        <v/>
      </c>
      <c r="H172" s="27" t="str">
        <f aca="false">IF(A172="","",SUMIFS(請求台帳!$P$5:$P$504,請求台帳!$C$5:$C$504,A172,請求台帳!$S$5:$S$504,"&gt;=61"))</f>
        <v/>
      </c>
      <c r="I172" s="33" t="str">
        <f aca="false">IF(A172="","",COUNTIFS(請求台帳!$C$5:$C$504,A172,請求台帳!$B$5:$B$504,"&gt;="&amp;チェック!$C$4,請求台帳!$B$5:$B$504,"&lt;="&amp;EOMONTH(チェック!$C$4,0),請求台帳!$Q$5:$Q$504,"&lt;&gt;取消"))</f>
        <v/>
      </c>
      <c r="J172" s="28" t="str">
        <f aca="false">IF(A172="","",IF(AND(取引先マスタ!G172="有",I172=0),"請求漏れ候補",""))</f>
        <v/>
      </c>
    </row>
    <row r="173" customFormat="false" ht="15" hidden="false" customHeight="false" outlineLevel="0" collapsed="false">
      <c r="A173" s="31" t="str">
        <f aca="false">IF(取引先マスタ!A173="","",取引先マスタ!A173)</f>
        <v/>
      </c>
      <c r="B173" s="31" t="str">
        <f aca="false">IF(A173="","",取引先マスタ!B173)</f>
        <v/>
      </c>
      <c r="C173" s="31" t="str">
        <f aca="false">IF(A173="","",取引先マスタ!J173&amp;"")</f>
        <v/>
      </c>
      <c r="D173" s="27" t="str">
        <f aca="false">IF(A173="","",SUMIFS(請求台帳!$P$5:$P$504,請求台帳!$C$5:$C$504,A173,請求台帳!$Q$5:$Q$504,"&lt;&gt;取消"))</f>
        <v/>
      </c>
      <c r="E173" s="27" t="str">
        <f aca="false">IF(A173="","",D173-SUM(F173:H173))</f>
        <v/>
      </c>
      <c r="F173" s="27" t="str">
        <f aca="false">IF(A173="","",SUMIFS(請求台帳!$P$5:$P$504,請求台帳!$C$5:$C$504,A173,請求台帳!$S$5:$S$504,"&gt;=1",請求台帳!$S$5:$S$504,"&lt;=30"))</f>
        <v/>
      </c>
      <c r="G173" s="27" t="str">
        <f aca="false">IF(A173="","",SUMIFS(請求台帳!$P$5:$P$504,請求台帳!$C$5:$C$504,A173,請求台帳!$S$5:$S$504,"&gt;=31",請求台帳!$S$5:$S$504,"&lt;=60"))</f>
        <v/>
      </c>
      <c r="H173" s="27" t="str">
        <f aca="false">IF(A173="","",SUMIFS(請求台帳!$P$5:$P$504,請求台帳!$C$5:$C$504,A173,請求台帳!$S$5:$S$504,"&gt;=61"))</f>
        <v/>
      </c>
      <c r="I173" s="33" t="str">
        <f aca="false">IF(A173="","",COUNTIFS(請求台帳!$C$5:$C$504,A173,請求台帳!$B$5:$B$504,"&gt;="&amp;チェック!$C$4,請求台帳!$B$5:$B$504,"&lt;="&amp;EOMONTH(チェック!$C$4,0),請求台帳!$Q$5:$Q$504,"&lt;&gt;取消"))</f>
        <v/>
      </c>
      <c r="J173" s="28" t="str">
        <f aca="false">IF(A173="","",IF(AND(取引先マスタ!G173="有",I173=0),"請求漏れ候補",""))</f>
        <v/>
      </c>
    </row>
    <row r="174" customFormat="false" ht="15" hidden="false" customHeight="false" outlineLevel="0" collapsed="false">
      <c r="A174" s="31" t="str">
        <f aca="false">IF(取引先マスタ!A174="","",取引先マスタ!A174)</f>
        <v/>
      </c>
      <c r="B174" s="31" t="str">
        <f aca="false">IF(A174="","",取引先マスタ!B174)</f>
        <v/>
      </c>
      <c r="C174" s="31" t="str">
        <f aca="false">IF(A174="","",取引先マスタ!J174&amp;"")</f>
        <v/>
      </c>
      <c r="D174" s="27" t="str">
        <f aca="false">IF(A174="","",SUMIFS(請求台帳!$P$5:$P$504,請求台帳!$C$5:$C$504,A174,請求台帳!$Q$5:$Q$504,"&lt;&gt;取消"))</f>
        <v/>
      </c>
      <c r="E174" s="27" t="str">
        <f aca="false">IF(A174="","",D174-SUM(F174:H174))</f>
        <v/>
      </c>
      <c r="F174" s="27" t="str">
        <f aca="false">IF(A174="","",SUMIFS(請求台帳!$P$5:$P$504,請求台帳!$C$5:$C$504,A174,請求台帳!$S$5:$S$504,"&gt;=1",請求台帳!$S$5:$S$504,"&lt;=30"))</f>
        <v/>
      </c>
      <c r="G174" s="27" t="str">
        <f aca="false">IF(A174="","",SUMIFS(請求台帳!$P$5:$P$504,請求台帳!$C$5:$C$504,A174,請求台帳!$S$5:$S$504,"&gt;=31",請求台帳!$S$5:$S$504,"&lt;=60"))</f>
        <v/>
      </c>
      <c r="H174" s="27" t="str">
        <f aca="false">IF(A174="","",SUMIFS(請求台帳!$P$5:$P$504,請求台帳!$C$5:$C$504,A174,請求台帳!$S$5:$S$504,"&gt;=61"))</f>
        <v/>
      </c>
      <c r="I174" s="33" t="str">
        <f aca="false">IF(A174="","",COUNTIFS(請求台帳!$C$5:$C$504,A174,請求台帳!$B$5:$B$504,"&gt;="&amp;チェック!$C$4,請求台帳!$B$5:$B$504,"&lt;="&amp;EOMONTH(チェック!$C$4,0),請求台帳!$Q$5:$Q$504,"&lt;&gt;取消"))</f>
        <v/>
      </c>
      <c r="J174" s="28" t="str">
        <f aca="false">IF(A174="","",IF(AND(取引先マスタ!G174="有",I174=0),"請求漏れ候補",""))</f>
        <v/>
      </c>
    </row>
    <row r="175" customFormat="false" ht="15" hidden="false" customHeight="false" outlineLevel="0" collapsed="false">
      <c r="A175" s="31" t="str">
        <f aca="false">IF(取引先マスタ!A175="","",取引先マスタ!A175)</f>
        <v/>
      </c>
      <c r="B175" s="31" t="str">
        <f aca="false">IF(A175="","",取引先マスタ!B175)</f>
        <v/>
      </c>
      <c r="C175" s="31" t="str">
        <f aca="false">IF(A175="","",取引先マスタ!J175&amp;"")</f>
        <v/>
      </c>
      <c r="D175" s="27" t="str">
        <f aca="false">IF(A175="","",SUMIFS(請求台帳!$P$5:$P$504,請求台帳!$C$5:$C$504,A175,請求台帳!$Q$5:$Q$504,"&lt;&gt;取消"))</f>
        <v/>
      </c>
      <c r="E175" s="27" t="str">
        <f aca="false">IF(A175="","",D175-SUM(F175:H175))</f>
        <v/>
      </c>
      <c r="F175" s="27" t="str">
        <f aca="false">IF(A175="","",SUMIFS(請求台帳!$P$5:$P$504,請求台帳!$C$5:$C$504,A175,請求台帳!$S$5:$S$504,"&gt;=1",請求台帳!$S$5:$S$504,"&lt;=30"))</f>
        <v/>
      </c>
      <c r="G175" s="27" t="str">
        <f aca="false">IF(A175="","",SUMIFS(請求台帳!$P$5:$P$504,請求台帳!$C$5:$C$504,A175,請求台帳!$S$5:$S$504,"&gt;=31",請求台帳!$S$5:$S$504,"&lt;=60"))</f>
        <v/>
      </c>
      <c r="H175" s="27" t="str">
        <f aca="false">IF(A175="","",SUMIFS(請求台帳!$P$5:$P$504,請求台帳!$C$5:$C$504,A175,請求台帳!$S$5:$S$504,"&gt;=61"))</f>
        <v/>
      </c>
      <c r="I175" s="33" t="str">
        <f aca="false">IF(A175="","",COUNTIFS(請求台帳!$C$5:$C$504,A175,請求台帳!$B$5:$B$504,"&gt;="&amp;チェック!$C$4,請求台帳!$B$5:$B$504,"&lt;="&amp;EOMONTH(チェック!$C$4,0),請求台帳!$Q$5:$Q$504,"&lt;&gt;取消"))</f>
        <v/>
      </c>
      <c r="J175" s="28" t="str">
        <f aca="false">IF(A175="","",IF(AND(取引先マスタ!G175="有",I175=0),"請求漏れ候補",""))</f>
        <v/>
      </c>
    </row>
    <row r="176" customFormat="false" ht="15" hidden="false" customHeight="false" outlineLevel="0" collapsed="false">
      <c r="A176" s="31" t="str">
        <f aca="false">IF(取引先マスタ!A176="","",取引先マスタ!A176)</f>
        <v/>
      </c>
      <c r="B176" s="31" t="str">
        <f aca="false">IF(A176="","",取引先マスタ!B176)</f>
        <v/>
      </c>
      <c r="C176" s="31" t="str">
        <f aca="false">IF(A176="","",取引先マスタ!J176&amp;"")</f>
        <v/>
      </c>
      <c r="D176" s="27" t="str">
        <f aca="false">IF(A176="","",SUMIFS(請求台帳!$P$5:$P$504,請求台帳!$C$5:$C$504,A176,請求台帳!$Q$5:$Q$504,"&lt;&gt;取消"))</f>
        <v/>
      </c>
      <c r="E176" s="27" t="str">
        <f aca="false">IF(A176="","",D176-SUM(F176:H176))</f>
        <v/>
      </c>
      <c r="F176" s="27" t="str">
        <f aca="false">IF(A176="","",SUMIFS(請求台帳!$P$5:$P$504,請求台帳!$C$5:$C$504,A176,請求台帳!$S$5:$S$504,"&gt;=1",請求台帳!$S$5:$S$504,"&lt;=30"))</f>
        <v/>
      </c>
      <c r="G176" s="27" t="str">
        <f aca="false">IF(A176="","",SUMIFS(請求台帳!$P$5:$P$504,請求台帳!$C$5:$C$504,A176,請求台帳!$S$5:$S$504,"&gt;=31",請求台帳!$S$5:$S$504,"&lt;=60"))</f>
        <v/>
      </c>
      <c r="H176" s="27" t="str">
        <f aca="false">IF(A176="","",SUMIFS(請求台帳!$P$5:$P$504,請求台帳!$C$5:$C$504,A176,請求台帳!$S$5:$S$504,"&gt;=61"))</f>
        <v/>
      </c>
      <c r="I176" s="33" t="str">
        <f aca="false">IF(A176="","",COUNTIFS(請求台帳!$C$5:$C$504,A176,請求台帳!$B$5:$B$504,"&gt;="&amp;チェック!$C$4,請求台帳!$B$5:$B$504,"&lt;="&amp;EOMONTH(チェック!$C$4,0),請求台帳!$Q$5:$Q$504,"&lt;&gt;取消"))</f>
        <v/>
      </c>
      <c r="J176" s="28" t="str">
        <f aca="false">IF(A176="","",IF(AND(取引先マスタ!G176="有",I176=0),"請求漏れ候補",""))</f>
        <v/>
      </c>
    </row>
    <row r="177" customFormat="false" ht="15" hidden="false" customHeight="false" outlineLevel="0" collapsed="false">
      <c r="A177" s="31" t="str">
        <f aca="false">IF(取引先マスタ!A177="","",取引先マスタ!A177)</f>
        <v/>
      </c>
      <c r="B177" s="31" t="str">
        <f aca="false">IF(A177="","",取引先マスタ!B177)</f>
        <v/>
      </c>
      <c r="C177" s="31" t="str">
        <f aca="false">IF(A177="","",取引先マスタ!J177&amp;"")</f>
        <v/>
      </c>
      <c r="D177" s="27" t="str">
        <f aca="false">IF(A177="","",SUMIFS(請求台帳!$P$5:$P$504,請求台帳!$C$5:$C$504,A177,請求台帳!$Q$5:$Q$504,"&lt;&gt;取消"))</f>
        <v/>
      </c>
      <c r="E177" s="27" t="str">
        <f aca="false">IF(A177="","",D177-SUM(F177:H177))</f>
        <v/>
      </c>
      <c r="F177" s="27" t="str">
        <f aca="false">IF(A177="","",SUMIFS(請求台帳!$P$5:$P$504,請求台帳!$C$5:$C$504,A177,請求台帳!$S$5:$S$504,"&gt;=1",請求台帳!$S$5:$S$504,"&lt;=30"))</f>
        <v/>
      </c>
      <c r="G177" s="27" t="str">
        <f aca="false">IF(A177="","",SUMIFS(請求台帳!$P$5:$P$504,請求台帳!$C$5:$C$504,A177,請求台帳!$S$5:$S$504,"&gt;=31",請求台帳!$S$5:$S$504,"&lt;=60"))</f>
        <v/>
      </c>
      <c r="H177" s="27" t="str">
        <f aca="false">IF(A177="","",SUMIFS(請求台帳!$P$5:$P$504,請求台帳!$C$5:$C$504,A177,請求台帳!$S$5:$S$504,"&gt;=61"))</f>
        <v/>
      </c>
      <c r="I177" s="33" t="str">
        <f aca="false">IF(A177="","",COUNTIFS(請求台帳!$C$5:$C$504,A177,請求台帳!$B$5:$B$504,"&gt;="&amp;チェック!$C$4,請求台帳!$B$5:$B$504,"&lt;="&amp;EOMONTH(チェック!$C$4,0),請求台帳!$Q$5:$Q$504,"&lt;&gt;取消"))</f>
        <v/>
      </c>
      <c r="J177" s="28" t="str">
        <f aca="false">IF(A177="","",IF(AND(取引先マスタ!G177="有",I177=0),"請求漏れ候補",""))</f>
        <v/>
      </c>
    </row>
    <row r="178" customFormat="false" ht="15" hidden="false" customHeight="false" outlineLevel="0" collapsed="false">
      <c r="A178" s="31" t="str">
        <f aca="false">IF(取引先マスタ!A178="","",取引先マスタ!A178)</f>
        <v/>
      </c>
      <c r="B178" s="31" t="str">
        <f aca="false">IF(A178="","",取引先マスタ!B178)</f>
        <v/>
      </c>
      <c r="C178" s="31" t="str">
        <f aca="false">IF(A178="","",取引先マスタ!J178&amp;"")</f>
        <v/>
      </c>
      <c r="D178" s="27" t="str">
        <f aca="false">IF(A178="","",SUMIFS(請求台帳!$P$5:$P$504,請求台帳!$C$5:$C$504,A178,請求台帳!$Q$5:$Q$504,"&lt;&gt;取消"))</f>
        <v/>
      </c>
      <c r="E178" s="27" t="str">
        <f aca="false">IF(A178="","",D178-SUM(F178:H178))</f>
        <v/>
      </c>
      <c r="F178" s="27" t="str">
        <f aca="false">IF(A178="","",SUMIFS(請求台帳!$P$5:$P$504,請求台帳!$C$5:$C$504,A178,請求台帳!$S$5:$S$504,"&gt;=1",請求台帳!$S$5:$S$504,"&lt;=30"))</f>
        <v/>
      </c>
      <c r="G178" s="27" t="str">
        <f aca="false">IF(A178="","",SUMIFS(請求台帳!$P$5:$P$504,請求台帳!$C$5:$C$504,A178,請求台帳!$S$5:$S$504,"&gt;=31",請求台帳!$S$5:$S$504,"&lt;=60"))</f>
        <v/>
      </c>
      <c r="H178" s="27" t="str">
        <f aca="false">IF(A178="","",SUMIFS(請求台帳!$P$5:$P$504,請求台帳!$C$5:$C$504,A178,請求台帳!$S$5:$S$504,"&gt;=61"))</f>
        <v/>
      </c>
      <c r="I178" s="33" t="str">
        <f aca="false">IF(A178="","",COUNTIFS(請求台帳!$C$5:$C$504,A178,請求台帳!$B$5:$B$504,"&gt;="&amp;チェック!$C$4,請求台帳!$B$5:$B$504,"&lt;="&amp;EOMONTH(チェック!$C$4,0),請求台帳!$Q$5:$Q$504,"&lt;&gt;取消"))</f>
        <v/>
      </c>
      <c r="J178" s="28" t="str">
        <f aca="false">IF(A178="","",IF(AND(取引先マスタ!G178="有",I178=0),"請求漏れ候補",""))</f>
        <v/>
      </c>
    </row>
    <row r="179" customFormat="false" ht="15" hidden="false" customHeight="false" outlineLevel="0" collapsed="false">
      <c r="A179" s="31" t="str">
        <f aca="false">IF(取引先マスタ!A179="","",取引先マスタ!A179)</f>
        <v/>
      </c>
      <c r="B179" s="31" t="str">
        <f aca="false">IF(A179="","",取引先マスタ!B179)</f>
        <v/>
      </c>
      <c r="C179" s="31" t="str">
        <f aca="false">IF(A179="","",取引先マスタ!J179&amp;"")</f>
        <v/>
      </c>
      <c r="D179" s="27" t="str">
        <f aca="false">IF(A179="","",SUMIFS(請求台帳!$P$5:$P$504,請求台帳!$C$5:$C$504,A179,請求台帳!$Q$5:$Q$504,"&lt;&gt;取消"))</f>
        <v/>
      </c>
      <c r="E179" s="27" t="str">
        <f aca="false">IF(A179="","",D179-SUM(F179:H179))</f>
        <v/>
      </c>
      <c r="F179" s="27" t="str">
        <f aca="false">IF(A179="","",SUMIFS(請求台帳!$P$5:$P$504,請求台帳!$C$5:$C$504,A179,請求台帳!$S$5:$S$504,"&gt;=1",請求台帳!$S$5:$S$504,"&lt;=30"))</f>
        <v/>
      </c>
      <c r="G179" s="27" t="str">
        <f aca="false">IF(A179="","",SUMIFS(請求台帳!$P$5:$P$504,請求台帳!$C$5:$C$504,A179,請求台帳!$S$5:$S$504,"&gt;=31",請求台帳!$S$5:$S$504,"&lt;=60"))</f>
        <v/>
      </c>
      <c r="H179" s="27" t="str">
        <f aca="false">IF(A179="","",SUMIFS(請求台帳!$P$5:$P$504,請求台帳!$C$5:$C$504,A179,請求台帳!$S$5:$S$504,"&gt;=61"))</f>
        <v/>
      </c>
      <c r="I179" s="33" t="str">
        <f aca="false">IF(A179="","",COUNTIFS(請求台帳!$C$5:$C$504,A179,請求台帳!$B$5:$B$504,"&gt;="&amp;チェック!$C$4,請求台帳!$B$5:$B$504,"&lt;="&amp;EOMONTH(チェック!$C$4,0),請求台帳!$Q$5:$Q$504,"&lt;&gt;取消"))</f>
        <v/>
      </c>
      <c r="J179" s="28" t="str">
        <f aca="false">IF(A179="","",IF(AND(取引先マスタ!G179="有",I179=0),"請求漏れ候補",""))</f>
        <v/>
      </c>
    </row>
    <row r="180" customFormat="false" ht="15" hidden="false" customHeight="false" outlineLevel="0" collapsed="false">
      <c r="A180" s="31" t="str">
        <f aca="false">IF(取引先マスタ!A180="","",取引先マスタ!A180)</f>
        <v/>
      </c>
      <c r="B180" s="31" t="str">
        <f aca="false">IF(A180="","",取引先マスタ!B180)</f>
        <v/>
      </c>
      <c r="C180" s="31" t="str">
        <f aca="false">IF(A180="","",取引先マスタ!J180&amp;"")</f>
        <v/>
      </c>
      <c r="D180" s="27" t="str">
        <f aca="false">IF(A180="","",SUMIFS(請求台帳!$P$5:$P$504,請求台帳!$C$5:$C$504,A180,請求台帳!$Q$5:$Q$504,"&lt;&gt;取消"))</f>
        <v/>
      </c>
      <c r="E180" s="27" t="str">
        <f aca="false">IF(A180="","",D180-SUM(F180:H180))</f>
        <v/>
      </c>
      <c r="F180" s="27" t="str">
        <f aca="false">IF(A180="","",SUMIFS(請求台帳!$P$5:$P$504,請求台帳!$C$5:$C$504,A180,請求台帳!$S$5:$S$504,"&gt;=1",請求台帳!$S$5:$S$504,"&lt;=30"))</f>
        <v/>
      </c>
      <c r="G180" s="27" t="str">
        <f aca="false">IF(A180="","",SUMIFS(請求台帳!$P$5:$P$504,請求台帳!$C$5:$C$504,A180,請求台帳!$S$5:$S$504,"&gt;=31",請求台帳!$S$5:$S$504,"&lt;=60"))</f>
        <v/>
      </c>
      <c r="H180" s="27" t="str">
        <f aca="false">IF(A180="","",SUMIFS(請求台帳!$P$5:$P$504,請求台帳!$C$5:$C$504,A180,請求台帳!$S$5:$S$504,"&gt;=61"))</f>
        <v/>
      </c>
      <c r="I180" s="33" t="str">
        <f aca="false">IF(A180="","",COUNTIFS(請求台帳!$C$5:$C$504,A180,請求台帳!$B$5:$B$504,"&gt;="&amp;チェック!$C$4,請求台帳!$B$5:$B$504,"&lt;="&amp;EOMONTH(チェック!$C$4,0),請求台帳!$Q$5:$Q$504,"&lt;&gt;取消"))</f>
        <v/>
      </c>
      <c r="J180" s="28" t="str">
        <f aca="false">IF(A180="","",IF(AND(取引先マスタ!G180="有",I180=0),"請求漏れ候補",""))</f>
        <v/>
      </c>
    </row>
    <row r="181" customFormat="false" ht="15" hidden="false" customHeight="false" outlineLevel="0" collapsed="false">
      <c r="A181" s="31" t="str">
        <f aca="false">IF(取引先マスタ!A181="","",取引先マスタ!A181)</f>
        <v/>
      </c>
      <c r="B181" s="31" t="str">
        <f aca="false">IF(A181="","",取引先マスタ!B181)</f>
        <v/>
      </c>
      <c r="C181" s="31" t="str">
        <f aca="false">IF(A181="","",取引先マスタ!J181&amp;"")</f>
        <v/>
      </c>
      <c r="D181" s="27" t="str">
        <f aca="false">IF(A181="","",SUMIFS(請求台帳!$P$5:$P$504,請求台帳!$C$5:$C$504,A181,請求台帳!$Q$5:$Q$504,"&lt;&gt;取消"))</f>
        <v/>
      </c>
      <c r="E181" s="27" t="str">
        <f aca="false">IF(A181="","",D181-SUM(F181:H181))</f>
        <v/>
      </c>
      <c r="F181" s="27" t="str">
        <f aca="false">IF(A181="","",SUMIFS(請求台帳!$P$5:$P$504,請求台帳!$C$5:$C$504,A181,請求台帳!$S$5:$S$504,"&gt;=1",請求台帳!$S$5:$S$504,"&lt;=30"))</f>
        <v/>
      </c>
      <c r="G181" s="27" t="str">
        <f aca="false">IF(A181="","",SUMIFS(請求台帳!$P$5:$P$504,請求台帳!$C$5:$C$504,A181,請求台帳!$S$5:$S$504,"&gt;=31",請求台帳!$S$5:$S$504,"&lt;=60"))</f>
        <v/>
      </c>
      <c r="H181" s="27" t="str">
        <f aca="false">IF(A181="","",SUMIFS(請求台帳!$P$5:$P$504,請求台帳!$C$5:$C$504,A181,請求台帳!$S$5:$S$504,"&gt;=61"))</f>
        <v/>
      </c>
      <c r="I181" s="33" t="str">
        <f aca="false">IF(A181="","",COUNTIFS(請求台帳!$C$5:$C$504,A181,請求台帳!$B$5:$B$504,"&gt;="&amp;チェック!$C$4,請求台帳!$B$5:$B$504,"&lt;="&amp;EOMONTH(チェック!$C$4,0),請求台帳!$Q$5:$Q$504,"&lt;&gt;取消"))</f>
        <v/>
      </c>
      <c r="J181" s="28" t="str">
        <f aca="false">IF(A181="","",IF(AND(取引先マスタ!G181="有",I181=0),"請求漏れ候補",""))</f>
        <v/>
      </c>
    </row>
    <row r="182" customFormat="false" ht="15" hidden="false" customHeight="false" outlineLevel="0" collapsed="false">
      <c r="A182" s="31" t="str">
        <f aca="false">IF(取引先マスタ!A182="","",取引先マスタ!A182)</f>
        <v/>
      </c>
      <c r="B182" s="31" t="str">
        <f aca="false">IF(A182="","",取引先マスタ!B182)</f>
        <v/>
      </c>
      <c r="C182" s="31" t="str">
        <f aca="false">IF(A182="","",取引先マスタ!J182&amp;"")</f>
        <v/>
      </c>
      <c r="D182" s="27" t="str">
        <f aca="false">IF(A182="","",SUMIFS(請求台帳!$P$5:$P$504,請求台帳!$C$5:$C$504,A182,請求台帳!$Q$5:$Q$504,"&lt;&gt;取消"))</f>
        <v/>
      </c>
      <c r="E182" s="27" t="str">
        <f aca="false">IF(A182="","",D182-SUM(F182:H182))</f>
        <v/>
      </c>
      <c r="F182" s="27" t="str">
        <f aca="false">IF(A182="","",SUMIFS(請求台帳!$P$5:$P$504,請求台帳!$C$5:$C$504,A182,請求台帳!$S$5:$S$504,"&gt;=1",請求台帳!$S$5:$S$504,"&lt;=30"))</f>
        <v/>
      </c>
      <c r="G182" s="27" t="str">
        <f aca="false">IF(A182="","",SUMIFS(請求台帳!$P$5:$P$504,請求台帳!$C$5:$C$504,A182,請求台帳!$S$5:$S$504,"&gt;=31",請求台帳!$S$5:$S$504,"&lt;=60"))</f>
        <v/>
      </c>
      <c r="H182" s="27" t="str">
        <f aca="false">IF(A182="","",SUMIFS(請求台帳!$P$5:$P$504,請求台帳!$C$5:$C$504,A182,請求台帳!$S$5:$S$504,"&gt;=61"))</f>
        <v/>
      </c>
      <c r="I182" s="33" t="str">
        <f aca="false">IF(A182="","",COUNTIFS(請求台帳!$C$5:$C$504,A182,請求台帳!$B$5:$B$504,"&gt;="&amp;チェック!$C$4,請求台帳!$B$5:$B$504,"&lt;="&amp;EOMONTH(チェック!$C$4,0),請求台帳!$Q$5:$Q$504,"&lt;&gt;取消"))</f>
        <v/>
      </c>
      <c r="J182" s="28" t="str">
        <f aca="false">IF(A182="","",IF(AND(取引先マスタ!G182="有",I182=0),"請求漏れ候補",""))</f>
        <v/>
      </c>
    </row>
    <row r="183" customFormat="false" ht="15" hidden="false" customHeight="false" outlineLevel="0" collapsed="false">
      <c r="A183" s="31" t="str">
        <f aca="false">IF(取引先マスタ!A183="","",取引先マスタ!A183)</f>
        <v/>
      </c>
      <c r="B183" s="31" t="str">
        <f aca="false">IF(A183="","",取引先マスタ!B183)</f>
        <v/>
      </c>
      <c r="C183" s="31" t="str">
        <f aca="false">IF(A183="","",取引先マスタ!J183&amp;"")</f>
        <v/>
      </c>
      <c r="D183" s="27" t="str">
        <f aca="false">IF(A183="","",SUMIFS(請求台帳!$P$5:$P$504,請求台帳!$C$5:$C$504,A183,請求台帳!$Q$5:$Q$504,"&lt;&gt;取消"))</f>
        <v/>
      </c>
      <c r="E183" s="27" t="str">
        <f aca="false">IF(A183="","",D183-SUM(F183:H183))</f>
        <v/>
      </c>
      <c r="F183" s="27" t="str">
        <f aca="false">IF(A183="","",SUMIFS(請求台帳!$P$5:$P$504,請求台帳!$C$5:$C$504,A183,請求台帳!$S$5:$S$504,"&gt;=1",請求台帳!$S$5:$S$504,"&lt;=30"))</f>
        <v/>
      </c>
      <c r="G183" s="27" t="str">
        <f aca="false">IF(A183="","",SUMIFS(請求台帳!$P$5:$P$504,請求台帳!$C$5:$C$504,A183,請求台帳!$S$5:$S$504,"&gt;=31",請求台帳!$S$5:$S$504,"&lt;=60"))</f>
        <v/>
      </c>
      <c r="H183" s="27" t="str">
        <f aca="false">IF(A183="","",SUMIFS(請求台帳!$P$5:$P$504,請求台帳!$C$5:$C$504,A183,請求台帳!$S$5:$S$504,"&gt;=61"))</f>
        <v/>
      </c>
      <c r="I183" s="33" t="str">
        <f aca="false">IF(A183="","",COUNTIFS(請求台帳!$C$5:$C$504,A183,請求台帳!$B$5:$B$504,"&gt;="&amp;チェック!$C$4,請求台帳!$B$5:$B$504,"&lt;="&amp;EOMONTH(チェック!$C$4,0),請求台帳!$Q$5:$Q$504,"&lt;&gt;取消"))</f>
        <v/>
      </c>
      <c r="J183" s="28" t="str">
        <f aca="false">IF(A183="","",IF(AND(取引先マスタ!G183="有",I183=0),"請求漏れ候補",""))</f>
        <v/>
      </c>
    </row>
    <row r="184" customFormat="false" ht="15" hidden="false" customHeight="false" outlineLevel="0" collapsed="false">
      <c r="A184" s="31" t="str">
        <f aca="false">IF(取引先マスタ!A184="","",取引先マスタ!A184)</f>
        <v/>
      </c>
      <c r="B184" s="31" t="str">
        <f aca="false">IF(A184="","",取引先マスタ!B184)</f>
        <v/>
      </c>
      <c r="C184" s="31" t="str">
        <f aca="false">IF(A184="","",取引先マスタ!J184&amp;"")</f>
        <v/>
      </c>
      <c r="D184" s="27" t="str">
        <f aca="false">IF(A184="","",SUMIFS(請求台帳!$P$5:$P$504,請求台帳!$C$5:$C$504,A184,請求台帳!$Q$5:$Q$504,"&lt;&gt;取消"))</f>
        <v/>
      </c>
      <c r="E184" s="27" t="str">
        <f aca="false">IF(A184="","",D184-SUM(F184:H184))</f>
        <v/>
      </c>
      <c r="F184" s="27" t="str">
        <f aca="false">IF(A184="","",SUMIFS(請求台帳!$P$5:$P$504,請求台帳!$C$5:$C$504,A184,請求台帳!$S$5:$S$504,"&gt;=1",請求台帳!$S$5:$S$504,"&lt;=30"))</f>
        <v/>
      </c>
      <c r="G184" s="27" t="str">
        <f aca="false">IF(A184="","",SUMIFS(請求台帳!$P$5:$P$504,請求台帳!$C$5:$C$504,A184,請求台帳!$S$5:$S$504,"&gt;=31",請求台帳!$S$5:$S$504,"&lt;=60"))</f>
        <v/>
      </c>
      <c r="H184" s="27" t="str">
        <f aca="false">IF(A184="","",SUMIFS(請求台帳!$P$5:$P$504,請求台帳!$C$5:$C$504,A184,請求台帳!$S$5:$S$504,"&gt;=61"))</f>
        <v/>
      </c>
      <c r="I184" s="33" t="str">
        <f aca="false">IF(A184="","",COUNTIFS(請求台帳!$C$5:$C$504,A184,請求台帳!$B$5:$B$504,"&gt;="&amp;チェック!$C$4,請求台帳!$B$5:$B$504,"&lt;="&amp;EOMONTH(チェック!$C$4,0),請求台帳!$Q$5:$Q$504,"&lt;&gt;取消"))</f>
        <v/>
      </c>
      <c r="J184" s="28" t="str">
        <f aca="false">IF(A184="","",IF(AND(取引先マスタ!G184="有",I184=0),"請求漏れ候補",""))</f>
        <v/>
      </c>
    </row>
    <row r="185" customFormat="false" ht="15" hidden="false" customHeight="false" outlineLevel="0" collapsed="false">
      <c r="A185" s="31" t="str">
        <f aca="false">IF(取引先マスタ!A185="","",取引先マスタ!A185)</f>
        <v/>
      </c>
      <c r="B185" s="31" t="str">
        <f aca="false">IF(A185="","",取引先マスタ!B185)</f>
        <v/>
      </c>
      <c r="C185" s="31" t="str">
        <f aca="false">IF(A185="","",取引先マスタ!J185&amp;"")</f>
        <v/>
      </c>
      <c r="D185" s="27" t="str">
        <f aca="false">IF(A185="","",SUMIFS(請求台帳!$P$5:$P$504,請求台帳!$C$5:$C$504,A185,請求台帳!$Q$5:$Q$504,"&lt;&gt;取消"))</f>
        <v/>
      </c>
      <c r="E185" s="27" t="str">
        <f aca="false">IF(A185="","",D185-SUM(F185:H185))</f>
        <v/>
      </c>
      <c r="F185" s="27" t="str">
        <f aca="false">IF(A185="","",SUMIFS(請求台帳!$P$5:$P$504,請求台帳!$C$5:$C$504,A185,請求台帳!$S$5:$S$504,"&gt;=1",請求台帳!$S$5:$S$504,"&lt;=30"))</f>
        <v/>
      </c>
      <c r="G185" s="27" t="str">
        <f aca="false">IF(A185="","",SUMIFS(請求台帳!$P$5:$P$504,請求台帳!$C$5:$C$504,A185,請求台帳!$S$5:$S$504,"&gt;=31",請求台帳!$S$5:$S$504,"&lt;=60"))</f>
        <v/>
      </c>
      <c r="H185" s="27" t="str">
        <f aca="false">IF(A185="","",SUMIFS(請求台帳!$P$5:$P$504,請求台帳!$C$5:$C$504,A185,請求台帳!$S$5:$S$504,"&gt;=61"))</f>
        <v/>
      </c>
      <c r="I185" s="33" t="str">
        <f aca="false">IF(A185="","",COUNTIFS(請求台帳!$C$5:$C$504,A185,請求台帳!$B$5:$B$504,"&gt;="&amp;チェック!$C$4,請求台帳!$B$5:$B$504,"&lt;="&amp;EOMONTH(チェック!$C$4,0),請求台帳!$Q$5:$Q$504,"&lt;&gt;取消"))</f>
        <v/>
      </c>
      <c r="J185" s="28" t="str">
        <f aca="false">IF(A185="","",IF(AND(取引先マスタ!G185="有",I185=0),"請求漏れ候補",""))</f>
        <v/>
      </c>
    </row>
    <row r="186" customFormat="false" ht="15" hidden="false" customHeight="false" outlineLevel="0" collapsed="false">
      <c r="A186" s="31" t="str">
        <f aca="false">IF(取引先マスタ!A186="","",取引先マスタ!A186)</f>
        <v/>
      </c>
      <c r="B186" s="31" t="str">
        <f aca="false">IF(A186="","",取引先マスタ!B186)</f>
        <v/>
      </c>
      <c r="C186" s="31" t="str">
        <f aca="false">IF(A186="","",取引先マスタ!J186&amp;"")</f>
        <v/>
      </c>
      <c r="D186" s="27" t="str">
        <f aca="false">IF(A186="","",SUMIFS(請求台帳!$P$5:$P$504,請求台帳!$C$5:$C$504,A186,請求台帳!$Q$5:$Q$504,"&lt;&gt;取消"))</f>
        <v/>
      </c>
      <c r="E186" s="27" t="str">
        <f aca="false">IF(A186="","",D186-SUM(F186:H186))</f>
        <v/>
      </c>
      <c r="F186" s="27" t="str">
        <f aca="false">IF(A186="","",SUMIFS(請求台帳!$P$5:$P$504,請求台帳!$C$5:$C$504,A186,請求台帳!$S$5:$S$504,"&gt;=1",請求台帳!$S$5:$S$504,"&lt;=30"))</f>
        <v/>
      </c>
      <c r="G186" s="27" t="str">
        <f aca="false">IF(A186="","",SUMIFS(請求台帳!$P$5:$P$504,請求台帳!$C$5:$C$504,A186,請求台帳!$S$5:$S$504,"&gt;=31",請求台帳!$S$5:$S$504,"&lt;=60"))</f>
        <v/>
      </c>
      <c r="H186" s="27" t="str">
        <f aca="false">IF(A186="","",SUMIFS(請求台帳!$P$5:$P$504,請求台帳!$C$5:$C$504,A186,請求台帳!$S$5:$S$504,"&gt;=61"))</f>
        <v/>
      </c>
      <c r="I186" s="33" t="str">
        <f aca="false">IF(A186="","",COUNTIFS(請求台帳!$C$5:$C$504,A186,請求台帳!$B$5:$B$504,"&gt;="&amp;チェック!$C$4,請求台帳!$B$5:$B$504,"&lt;="&amp;EOMONTH(チェック!$C$4,0),請求台帳!$Q$5:$Q$504,"&lt;&gt;取消"))</f>
        <v/>
      </c>
      <c r="J186" s="28" t="str">
        <f aca="false">IF(A186="","",IF(AND(取引先マスタ!G186="有",I186=0),"請求漏れ候補",""))</f>
        <v/>
      </c>
    </row>
    <row r="187" customFormat="false" ht="15" hidden="false" customHeight="false" outlineLevel="0" collapsed="false">
      <c r="A187" s="31" t="str">
        <f aca="false">IF(取引先マスタ!A187="","",取引先マスタ!A187)</f>
        <v/>
      </c>
      <c r="B187" s="31" t="str">
        <f aca="false">IF(A187="","",取引先マスタ!B187)</f>
        <v/>
      </c>
      <c r="C187" s="31" t="str">
        <f aca="false">IF(A187="","",取引先マスタ!J187&amp;"")</f>
        <v/>
      </c>
      <c r="D187" s="27" t="str">
        <f aca="false">IF(A187="","",SUMIFS(請求台帳!$P$5:$P$504,請求台帳!$C$5:$C$504,A187,請求台帳!$Q$5:$Q$504,"&lt;&gt;取消"))</f>
        <v/>
      </c>
      <c r="E187" s="27" t="str">
        <f aca="false">IF(A187="","",D187-SUM(F187:H187))</f>
        <v/>
      </c>
      <c r="F187" s="27" t="str">
        <f aca="false">IF(A187="","",SUMIFS(請求台帳!$P$5:$P$504,請求台帳!$C$5:$C$504,A187,請求台帳!$S$5:$S$504,"&gt;=1",請求台帳!$S$5:$S$504,"&lt;=30"))</f>
        <v/>
      </c>
      <c r="G187" s="27" t="str">
        <f aca="false">IF(A187="","",SUMIFS(請求台帳!$P$5:$P$504,請求台帳!$C$5:$C$504,A187,請求台帳!$S$5:$S$504,"&gt;=31",請求台帳!$S$5:$S$504,"&lt;=60"))</f>
        <v/>
      </c>
      <c r="H187" s="27" t="str">
        <f aca="false">IF(A187="","",SUMIFS(請求台帳!$P$5:$P$504,請求台帳!$C$5:$C$504,A187,請求台帳!$S$5:$S$504,"&gt;=61"))</f>
        <v/>
      </c>
      <c r="I187" s="33" t="str">
        <f aca="false">IF(A187="","",COUNTIFS(請求台帳!$C$5:$C$504,A187,請求台帳!$B$5:$B$504,"&gt;="&amp;チェック!$C$4,請求台帳!$B$5:$B$504,"&lt;="&amp;EOMONTH(チェック!$C$4,0),請求台帳!$Q$5:$Q$504,"&lt;&gt;取消"))</f>
        <v/>
      </c>
      <c r="J187" s="28" t="str">
        <f aca="false">IF(A187="","",IF(AND(取引先マスタ!G187="有",I187=0),"請求漏れ候補",""))</f>
        <v/>
      </c>
    </row>
    <row r="188" customFormat="false" ht="15" hidden="false" customHeight="false" outlineLevel="0" collapsed="false">
      <c r="A188" s="31" t="str">
        <f aca="false">IF(取引先マスタ!A188="","",取引先マスタ!A188)</f>
        <v/>
      </c>
      <c r="B188" s="31" t="str">
        <f aca="false">IF(A188="","",取引先マスタ!B188)</f>
        <v/>
      </c>
      <c r="C188" s="31" t="str">
        <f aca="false">IF(A188="","",取引先マスタ!J188&amp;"")</f>
        <v/>
      </c>
      <c r="D188" s="27" t="str">
        <f aca="false">IF(A188="","",SUMIFS(請求台帳!$P$5:$P$504,請求台帳!$C$5:$C$504,A188,請求台帳!$Q$5:$Q$504,"&lt;&gt;取消"))</f>
        <v/>
      </c>
      <c r="E188" s="27" t="str">
        <f aca="false">IF(A188="","",D188-SUM(F188:H188))</f>
        <v/>
      </c>
      <c r="F188" s="27" t="str">
        <f aca="false">IF(A188="","",SUMIFS(請求台帳!$P$5:$P$504,請求台帳!$C$5:$C$504,A188,請求台帳!$S$5:$S$504,"&gt;=1",請求台帳!$S$5:$S$504,"&lt;=30"))</f>
        <v/>
      </c>
      <c r="G188" s="27" t="str">
        <f aca="false">IF(A188="","",SUMIFS(請求台帳!$P$5:$P$504,請求台帳!$C$5:$C$504,A188,請求台帳!$S$5:$S$504,"&gt;=31",請求台帳!$S$5:$S$504,"&lt;=60"))</f>
        <v/>
      </c>
      <c r="H188" s="27" t="str">
        <f aca="false">IF(A188="","",SUMIFS(請求台帳!$P$5:$P$504,請求台帳!$C$5:$C$504,A188,請求台帳!$S$5:$S$504,"&gt;=61"))</f>
        <v/>
      </c>
      <c r="I188" s="33" t="str">
        <f aca="false">IF(A188="","",COUNTIFS(請求台帳!$C$5:$C$504,A188,請求台帳!$B$5:$B$504,"&gt;="&amp;チェック!$C$4,請求台帳!$B$5:$B$504,"&lt;="&amp;EOMONTH(チェック!$C$4,0),請求台帳!$Q$5:$Q$504,"&lt;&gt;取消"))</f>
        <v/>
      </c>
      <c r="J188" s="28" t="str">
        <f aca="false">IF(A188="","",IF(AND(取引先マスタ!G188="有",I188=0),"請求漏れ候補",""))</f>
        <v/>
      </c>
    </row>
    <row r="189" customFormat="false" ht="15" hidden="false" customHeight="false" outlineLevel="0" collapsed="false">
      <c r="A189" s="31" t="str">
        <f aca="false">IF(取引先マスタ!A189="","",取引先マスタ!A189)</f>
        <v/>
      </c>
      <c r="B189" s="31" t="str">
        <f aca="false">IF(A189="","",取引先マスタ!B189)</f>
        <v/>
      </c>
      <c r="C189" s="31" t="str">
        <f aca="false">IF(A189="","",取引先マスタ!J189&amp;"")</f>
        <v/>
      </c>
      <c r="D189" s="27" t="str">
        <f aca="false">IF(A189="","",SUMIFS(請求台帳!$P$5:$P$504,請求台帳!$C$5:$C$504,A189,請求台帳!$Q$5:$Q$504,"&lt;&gt;取消"))</f>
        <v/>
      </c>
      <c r="E189" s="27" t="str">
        <f aca="false">IF(A189="","",D189-SUM(F189:H189))</f>
        <v/>
      </c>
      <c r="F189" s="27" t="str">
        <f aca="false">IF(A189="","",SUMIFS(請求台帳!$P$5:$P$504,請求台帳!$C$5:$C$504,A189,請求台帳!$S$5:$S$504,"&gt;=1",請求台帳!$S$5:$S$504,"&lt;=30"))</f>
        <v/>
      </c>
      <c r="G189" s="27" t="str">
        <f aca="false">IF(A189="","",SUMIFS(請求台帳!$P$5:$P$504,請求台帳!$C$5:$C$504,A189,請求台帳!$S$5:$S$504,"&gt;=31",請求台帳!$S$5:$S$504,"&lt;=60"))</f>
        <v/>
      </c>
      <c r="H189" s="27" t="str">
        <f aca="false">IF(A189="","",SUMIFS(請求台帳!$P$5:$P$504,請求台帳!$C$5:$C$504,A189,請求台帳!$S$5:$S$504,"&gt;=61"))</f>
        <v/>
      </c>
      <c r="I189" s="33" t="str">
        <f aca="false">IF(A189="","",COUNTIFS(請求台帳!$C$5:$C$504,A189,請求台帳!$B$5:$B$504,"&gt;="&amp;チェック!$C$4,請求台帳!$B$5:$B$504,"&lt;="&amp;EOMONTH(チェック!$C$4,0),請求台帳!$Q$5:$Q$504,"&lt;&gt;取消"))</f>
        <v/>
      </c>
      <c r="J189" s="28" t="str">
        <f aca="false">IF(A189="","",IF(AND(取引先マスタ!G189="有",I189=0),"請求漏れ候補",""))</f>
        <v/>
      </c>
    </row>
    <row r="190" customFormat="false" ht="15" hidden="false" customHeight="false" outlineLevel="0" collapsed="false">
      <c r="A190" s="31" t="str">
        <f aca="false">IF(取引先マスタ!A190="","",取引先マスタ!A190)</f>
        <v/>
      </c>
      <c r="B190" s="31" t="str">
        <f aca="false">IF(A190="","",取引先マスタ!B190)</f>
        <v/>
      </c>
      <c r="C190" s="31" t="str">
        <f aca="false">IF(A190="","",取引先マスタ!J190&amp;"")</f>
        <v/>
      </c>
      <c r="D190" s="27" t="str">
        <f aca="false">IF(A190="","",SUMIFS(請求台帳!$P$5:$P$504,請求台帳!$C$5:$C$504,A190,請求台帳!$Q$5:$Q$504,"&lt;&gt;取消"))</f>
        <v/>
      </c>
      <c r="E190" s="27" t="str">
        <f aca="false">IF(A190="","",D190-SUM(F190:H190))</f>
        <v/>
      </c>
      <c r="F190" s="27" t="str">
        <f aca="false">IF(A190="","",SUMIFS(請求台帳!$P$5:$P$504,請求台帳!$C$5:$C$504,A190,請求台帳!$S$5:$S$504,"&gt;=1",請求台帳!$S$5:$S$504,"&lt;=30"))</f>
        <v/>
      </c>
      <c r="G190" s="27" t="str">
        <f aca="false">IF(A190="","",SUMIFS(請求台帳!$P$5:$P$504,請求台帳!$C$5:$C$504,A190,請求台帳!$S$5:$S$504,"&gt;=31",請求台帳!$S$5:$S$504,"&lt;=60"))</f>
        <v/>
      </c>
      <c r="H190" s="27" t="str">
        <f aca="false">IF(A190="","",SUMIFS(請求台帳!$P$5:$P$504,請求台帳!$C$5:$C$504,A190,請求台帳!$S$5:$S$504,"&gt;=61"))</f>
        <v/>
      </c>
      <c r="I190" s="33" t="str">
        <f aca="false">IF(A190="","",COUNTIFS(請求台帳!$C$5:$C$504,A190,請求台帳!$B$5:$B$504,"&gt;="&amp;チェック!$C$4,請求台帳!$B$5:$B$504,"&lt;="&amp;EOMONTH(チェック!$C$4,0),請求台帳!$Q$5:$Q$504,"&lt;&gt;取消"))</f>
        <v/>
      </c>
      <c r="J190" s="28" t="str">
        <f aca="false">IF(A190="","",IF(AND(取引先マスタ!G190="有",I190=0),"請求漏れ候補",""))</f>
        <v/>
      </c>
    </row>
    <row r="191" customFormat="false" ht="15" hidden="false" customHeight="false" outlineLevel="0" collapsed="false">
      <c r="A191" s="31" t="str">
        <f aca="false">IF(取引先マスタ!A191="","",取引先マスタ!A191)</f>
        <v/>
      </c>
      <c r="B191" s="31" t="str">
        <f aca="false">IF(A191="","",取引先マスタ!B191)</f>
        <v/>
      </c>
      <c r="C191" s="31" t="str">
        <f aca="false">IF(A191="","",取引先マスタ!J191&amp;"")</f>
        <v/>
      </c>
      <c r="D191" s="27" t="str">
        <f aca="false">IF(A191="","",SUMIFS(請求台帳!$P$5:$P$504,請求台帳!$C$5:$C$504,A191,請求台帳!$Q$5:$Q$504,"&lt;&gt;取消"))</f>
        <v/>
      </c>
      <c r="E191" s="27" t="str">
        <f aca="false">IF(A191="","",D191-SUM(F191:H191))</f>
        <v/>
      </c>
      <c r="F191" s="27" t="str">
        <f aca="false">IF(A191="","",SUMIFS(請求台帳!$P$5:$P$504,請求台帳!$C$5:$C$504,A191,請求台帳!$S$5:$S$504,"&gt;=1",請求台帳!$S$5:$S$504,"&lt;=30"))</f>
        <v/>
      </c>
      <c r="G191" s="27" t="str">
        <f aca="false">IF(A191="","",SUMIFS(請求台帳!$P$5:$P$504,請求台帳!$C$5:$C$504,A191,請求台帳!$S$5:$S$504,"&gt;=31",請求台帳!$S$5:$S$504,"&lt;=60"))</f>
        <v/>
      </c>
      <c r="H191" s="27" t="str">
        <f aca="false">IF(A191="","",SUMIFS(請求台帳!$P$5:$P$504,請求台帳!$C$5:$C$504,A191,請求台帳!$S$5:$S$504,"&gt;=61"))</f>
        <v/>
      </c>
      <c r="I191" s="33" t="str">
        <f aca="false">IF(A191="","",COUNTIFS(請求台帳!$C$5:$C$504,A191,請求台帳!$B$5:$B$504,"&gt;="&amp;チェック!$C$4,請求台帳!$B$5:$B$504,"&lt;="&amp;EOMONTH(チェック!$C$4,0),請求台帳!$Q$5:$Q$504,"&lt;&gt;取消"))</f>
        <v/>
      </c>
      <c r="J191" s="28" t="str">
        <f aca="false">IF(A191="","",IF(AND(取引先マスタ!G191="有",I191=0),"請求漏れ候補",""))</f>
        <v/>
      </c>
    </row>
    <row r="192" customFormat="false" ht="15" hidden="false" customHeight="false" outlineLevel="0" collapsed="false">
      <c r="A192" s="31" t="str">
        <f aca="false">IF(取引先マスタ!A192="","",取引先マスタ!A192)</f>
        <v/>
      </c>
      <c r="B192" s="31" t="str">
        <f aca="false">IF(A192="","",取引先マスタ!B192)</f>
        <v/>
      </c>
      <c r="C192" s="31" t="str">
        <f aca="false">IF(A192="","",取引先マスタ!J192&amp;"")</f>
        <v/>
      </c>
      <c r="D192" s="27" t="str">
        <f aca="false">IF(A192="","",SUMIFS(請求台帳!$P$5:$P$504,請求台帳!$C$5:$C$504,A192,請求台帳!$Q$5:$Q$504,"&lt;&gt;取消"))</f>
        <v/>
      </c>
      <c r="E192" s="27" t="str">
        <f aca="false">IF(A192="","",D192-SUM(F192:H192))</f>
        <v/>
      </c>
      <c r="F192" s="27" t="str">
        <f aca="false">IF(A192="","",SUMIFS(請求台帳!$P$5:$P$504,請求台帳!$C$5:$C$504,A192,請求台帳!$S$5:$S$504,"&gt;=1",請求台帳!$S$5:$S$504,"&lt;=30"))</f>
        <v/>
      </c>
      <c r="G192" s="27" t="str">
        <f aca="false">IF(A192="","",SUMIFS(請求台帳!$P$5:$P$504,請求台帳!$C$5:$C$504,A192,請求台帳!$S$5:$S$504,"&gt;=31",請求台帳!$S$5:$S$504,"&lt;=60"))</f>
        <v/>
      </c>
      <c r="H192" s="27" t="str">
        <f aca="false">IF(A192="","",SUMIFS(請求台帳!$P$5:$P$504,請求台帳!$C$5:$C$504,A192,請求台帳!$S$5:$S$504,"&gt;=61"))</f>
        <v/>
      </c>
      <c r="I192" s="33" t="str">
        <f aca="false">IF(A192="","",COUNTIFS(請求台帳!$C$5:$C$504,A192,請求台帳!$B$5:$B$504,"&gt;="&amp;チェック!$C$4,請求台帳!$B$5:$B$504,"&lt;="&amp;EOMONTH(チェック!$C$4,0),請求台帳!$Q$5:$Q$504,"&lt;&gt;取消"))</f>
        <v/>
      </c>
      <c r="J192" s="28" t="str">
        <f aca="false">IF(A192="","",IF(AND(取引先マスタ!G192="有",I192=0),"請求漏れ候補",""))</f>
        <v/>
      </c>
    </row>
    <row r="193" customFormat="false" ht="15" hidden="false" customHeight="false" outlineLevel="0" collapsed="false">
      <c r="A193" s="31" t="str">
        <f aca="false">IF(取引先マスタ!A193="","",取引先マスタ!A193)</f>
        <v/>
      </c>
      <c r="B193" s="31" t="str">
        <f aca="false">IF(A193="","",取引先マスタ!B193)</f>
        <v/>
      </c>
      <c r="C193" s="31" t="str">
        <f aca="false">IF(A193="","",取引先マスタ!J193&amp;"")</f>
        <v/>
      </c>
      <c r="D193" s="27" t="str">
        <f aca="false">IF(A193="","",SUMIFS(請求台帳!$P$5:$P$504,請求台帳!$C$5:$C$504,A193,請求台帳!$Q$5:$Q$504,"&lt;&gt;取消"))</f>
        <v/>
      </c>
      <c r="E193" s="27" t="str">
        <f aca="false">IF(A193="","",D193-SUM(F193:H193))</f>
        <v/>
      </c>
      <c r="F193" s="27" t="str">
        <f aca="false">IF(A193="","",SUMIFS(請求台帳!$P$5:$P$504,請求台帳!$C$5:$C$504,A193,請求台帳!$S$5:$S$504,"&gt;=1",請求台帳!$S$5:$S$504,"&lt;=30"))</f>
        <v/>
      </c>
      <c r="G193" s="27" t="str">
        <f aca="false">IF(A193="","",SUMIFS(請求台帳!$P$5:$P$504,請求台帳!$C$5:$C$504,A193,請求台帳!$S$5:$S$504,"&gt;=31",請求台帳!$S$5:$S$504,"&lt;=60"))</f>
        <v/>
      </c>
      <c r="H193" s="27" t="str">
        <f aca="false">IF(A193="","",SUMIFS(請求台帳!$P$5:$P$504,請求台帳!$C$5:$C$504,A193,請求台帳!$S$5:$S$504,"&gt;=61"))</f>
        <v/>
      </c>
      <c r="I193" s="33" t="str">
        <f aca="false">IF(A193="","",COUNTIFS(請求台帳!$C$5:$C$504,A193,請求台帳!$B$5:$B$504,"&gt;="&amp;チェック!$C$4,請求台帳!$B$5:$B$504,"&lt;="&amp;EOMONTH(チェック!$C$4,0),請求台帳!$Q$5:$Q$504,"&lt;&gt;取消"))</f>
        <v/>
      </c>
      <c r="J193" s="28" t="str">
        <f aca="false">IF(A193="","",IF(AND(取引先マスタ!G193="有",I193=0),"請求漏れ候補",""))</f>
        <v/>
      </c>
    </row>
    <row r="194" customFormat="false" ht="15" hidden="false" customHeight="false" outlineLevel="0" collapsed="false">
      <c r="A194" s="31" t="str">
        <f aca="false">IF(取引先マスタ!A194="","",取引先マスタ!A194)</f>
        <v/>
      </c>
      <c r="B194" s="31" t="str">
        <f aca="false">IF(A194="","",取引先マスタ!B194)</f>
        <v/>
      </c>
      <c r="C194" s="31" t="str">
        <f aca="false">IF(A194="","",取引先マスタ!J194&amp;"")</f>
        <v/>
      </c>
      <c r="D194" s="27" t="str">
        <f aca="false">IF(A194="","",SUMIFS(請求台帳!$P$5:$P$504,請求台帳!$C$5:$C$504,A194,請求台帳!$Q$5:$Q$504,"&lt;&gt;取消"))</f>
        <v/>
      </c>
      <c r="E194" s="27" t="str">
        <f aca="false">IF(A194="","",D194-SUM(F194:H194))</f>
        <v/>
      </c>
      <c r="F194" s="27" t="str">
        <f aca="false">IF(A194="","",SUMIFS(請求台帳!$P$5:$P$504,請求台帳!$C$5:$C$504,A194,請求台帳!$S$5:$S$504,"&gt;=1",請求台帳!$S$5:$S$504,"&lt;=30"))</f>
        <v/>
      </c>
      <c r="G194" s="27" t="str">
        <f aca="false">IF(A194="","",SUMIFS(請求台帳!$P$5:$P$504,請求台帳!$C$5:$C$504,A194,請求台帳!$S$5:$S$504,"&gt;=31",請求台帳!$S$5:$S$504,"&lt;=60"))</f>
        <v/>
      </c>
      <c r="H194" s="27" t="str">
        <f aca="false">IF(A194="","",SUMIFS(請求台帳!$P$5:$P$504,請求台帳!$C$5:$C$504,A194,請求台帳!$S$5:$S$504,"&gt;=61"))</f>
        <v/>
      </c>
      <c r="I194" s="33" t="str">
        <f aca="false">IF(A194="","",COUNTIFS(請求台帳!$C$5:$C$504,A194,請求台帳!$B$5:$B$504,"&gt;="&amp;チェック!$C$4,請求台帳!$B$5:$B$504,"&lt;="&amp;EOMONTH(チェック!$C$4,0),請求台帳!$Q$5:$Q$504,"&lt;&gt;取消"))</f>
        <v/>
      </c>
      <c r="J194" s="28" t="str">
        <f aca="false">IF(A194="","",IF(AND(取引先マスタ!G194="有",I194=0),"請求漏れ候補",""))</f>
        <v/>
      </c>
    </row>
    <row r="195" customFormat="false" ht="15" hidden="false" customHeight="false" outlineLevel="0" collapsed="false">
      <c r="A195" s="31" t="str">
        <f aca="false">IF(取引先マスタ!A195="","",取引先マスタ!A195)</f>
        <v/>
      </c>
      <c r="B195" s="31" t="str">
        <f aca="false">IF(A195="","",取引先マスタ!B195)</f>
        <v/>
      </c>
      <c r="C195" s="31" t="str">
        <f aca="false">IF(A195="","",取引先マスタ!J195&amp;"")</f>
        <v/>
      </c>
      <c r="D195" s="27" t="str">
        <f aca="false">IF(A195="","",SUMIFS(請求台帳!$P$5:$P$504,請求台帳!$C$5:$C$504,A195,請求台帳!$Q$5:$Q$504,"&lt;&gt;取消"))</f>
        <v/>
      </c>
      <c r="E195" s="27" t="str">
        <f aca="false">IF(A195="","",D195-SUM(F195:H195))</f>
        <v/>
      </c>
      <c r="F195" s="27" t="str">
        <f aca="false">IF(A195="","",SUMIFS(請求台帳!$P$5:$P$504,請求台帳!$C$5:$C$504,A195,請求台帳!$S$5:$S$504,"&gt;=1",請求台帳!$S$5:$S$504,"&lt;=30"))</f>
        <v/>
      </c>
      <c r="G195" s="27" t="str">
        <f aca="false">IF(A195="","",SUMIFS(請求台帳!$P$5:$P$504,請求台帳!$C$5:$C$504,A195,請求台帳!$S$5:$S$504,"&gt;=31",請求台帳!$S$5:$S$504,"&lt;=60"))</f>
        <v/>
      </c>
      <c r="H195" s="27" t="str">
        <f aca="false">IF(A195="","",SUMIFS(請求台帳!$P$5:$P$504,請求台帳!$C$5:$C$504,A195,請求台帳!$S$5:$S$504,"&gt;=61"))</f>
        <v/>
      </c>
      <c r="I195" s="33" t="str">
        <f aca="false">IF(A195="","",COUNTIFS(請求台帳!$C$5:$C$504,A195,請求台帳!$B$5:$B$504,"&gt;="&amp;チェック!$C$4,請求台帳!$B$5:$B$504,"&lt;="&amp;EOMONTH(チェック!$C$4,0),請求台帳!$Q$5:$Q$504,"&lt;&gt;取消"))</f>
        <v/>
      </c>
      <c r="J195" s="28" t="str">
        <f aca="false">IF(A195="","",IF(AND(取引先マスタ!G195="有",I195=0),"請求漏れ候補",""))</f>
        <v/>
      </c>
    </row>
    <row r="196" customFormat="false" ht="15" hidden="false" customHeight="false" outlineLevel="0" collapsed="false">
      <c r="A196" s="31" t="str">
        <f aca="false">IF(取引先マスタ!A196="","",取引先マスタ!A196)</f>
        <v/>
      </c>
      <c r="B196" s="31" t="str">
        <f aca="false">IF(A196="","",取引先マスタ!B196)</f>
        <v/>
      </c>
      <c r="C196" s="31" t="str">
        <f aca="false">IF(A196="","",取引先マスタ!J196&amp;"")</f>
        <v/>
      </c>
      <c r="D196" s="27" t="str">
        <f aca="false">IF(A196="","",SUMIFS(請求台帳!$P$5:$P$504,請求台帳!$C$5:$C$504,A196,請求台帳!$Q$5:$Q$504,"&lt;&gt;取消"))</f>
        <v/>
      </c>
      <c r="E196" s="27" t="str">
        <f aca="false">IF(A196="","",D196-SUM(F196:H196))</f>
        <v/>
      </c>
      <c r="F196" s="27" t="str">
        <f aca="false">IF(A196="","",SUMIFS(請求台帳!$P$5:$P$504,請求台帳!$C$5:$C$504,A196,請求台帳!$S$5:$S$504,"&gt;=1",請求台帳!$S$5:$S$504,"&lt;=30"))</f>
        <v/>
      </c>
      <c r="G196" s="27" t="str">
        <f aca="false">IF(A196="","",SUMIFS(請求台帳!$P$5:$P$504,請求台帳!$C$5:$C$504,A196,請求台帳!$S$5:$S$504,"&gt;=31",請求台帳!$S$5:$S$504,"&lt;=60"))</f>
        <v/>
      </c>
      <c r="H196" s="27" t="str">
        <f aca="false">IF(A196="","",SUMIFS(請求台帳!$P$5:$P$504,請求台帳!$C$5:$C$504,A196,請求台帳!$S$5:$S$504,"&gt;=61"))</f>
        <v/>
      </c>
      <c r="I196" s="33" t="str">
        <f aca="false">IF(A196="","",COUNTIFS(請求台帳!$C$5:$C$504,A196,請求台帳!$B$5:$B$504,"&gt;="&amp;チェック!$C$4,請求台帳!$B$5:$B$504,"&lt;="&amp;EOMONTH(チェック!$C$4,0),請求台帳!$Q$5:$Q$504,"&lt;&gt;取消"))</f>
        <v/>
      </c>
      <c r="J196" s="28" t="str">
        <f aca="false">IF(A196="","",IF(AND(取引先マスタ!G196="有",I196=0),"請求漏れ候補",""))</f>
        <v/>
      </c>
    </row>
    <row r="197" customFormat="false" ht="15" hidden="false" customHeight="false" outlineLevel="0" collapsed="false">
      <c r="A197" s="31" t="str">
        <f aca="false">IF(取引先マスタ!A197="","",取引先マスタ!A197)</f>
        <v/>
      </c>
      <c r="B197" s="31" t="str">
        <f aca="false">IF(A197="","",取引先マスタ!B197)</f>
        <v/>
      </c>
      <c r="C197" s="31" t="str">
        <f aca="false">IF(A197="","",取引先マスタ!J197&amp;"")</f>
        <v/>
      </c>
      <c r="D197" s="27" t="str">
        <f aca="false">IF(A197="","",SUMIFS(請求台帳!$P$5:$P$504,請求台帳!$C$5:$C$504,A197,請求台帳!$Q$5:$Q$504,"&lt;&gt;取消"))</f>
        <v/>
      </c>
      <c r="E197" s="27" t="str">
        <f aca="false">IF(A197="","",D197-SUM(F197:H197))</f>
        <v/>
      </c>
      <c r="F197" s="27" t="str">
        <f aca="false">IF(A197="","",SUMIFS(請求台帳!$P$5:$P$504,請求台帳!$C$5:$C$504,A197,請求台帳!$S$5:$S$504,"&gt;=1",請求台帳!$S$5:$S$504,"&lt;=30"))</f>
        <v/>
      </c>
      <c r="G197" s="27" t="str">
        <f aca="false">IF(A197="","",SUMIFS(請求台帳!$P$5:$P$504,請求台帳!$C$5:$C$504,A197,請求台帳!$S$5:$S$504,"&gt;=31",請求台帳!$S$5:$S$504,"&lt;=60"))</f>
        <v/>
      </c>
      <c r="H197" s="27" t="str">
        <f aca="false">IF(A197="","",SUMIFS(請求台帳!$P$5:$P$504,請求台帳!$C$5:$C$504,A197,請求台帳!$S$5:$S$504,"&gt;=61"))</f>
        <v/>
      </c>
      <c r="I197" s="33" t="str">
        <f aca="false">IF(A197="","",COUNTIFS(請求台帳!$C$5:$C$504,A197,請求台帳!$B$5:$B$504,"&gt;="&amp;チェック!$C$4,請求台帳!$B$5:$B$504,"&lt;="&amp;EOMONTH(チェック!$C$4,0),請求台帳!$Q$5:$Q$504,"&lt;&gt;取消"))</f>
        <v/>
      </c>
      <c r="J197" s="28" t="str">
        <f aca="false">IF(A197="","",IF(AND(取引先マスタ!G197="有",I197=0),"請求漏れ候補",""))</f>
        <v/>
      </c>
    </row>
    <row r="198" customFormat="false" ht="15" hidden="false" customHeight="false" outlineLevel="0" collapsed="false">
      <c r="A198" s="31" t="str">
        <f aca="false">IF(取引先マスタ!A198="","",取引先マスタ!A198)</f>
        <v/>
      </c>
      <c r="B198" s="31" t="str">
        <f aca="false">IF(A198="","",取引先マスタ!B198)</f>
        <v/>
      </c>
      <c r="C198" s="31" t="str">
        <f aca="false">IF(A198="","",取引先マスタ!J198&amp;"")</f>
        <v/>
      </c>
      <c r="D198" s="27" t="str">
        <f aca="false">IF(A198="","",SUMIFS(請求台帳!$P$5:$P$504,請求台帳!$C$5:$C$504,A198,請求台帳!$Q$5:$Q$504,"&lt;&gt;取消"))</f>
        <v/>
      </c>
      <c r="E198" s="27" t="str">
        <f aca="false">IF(A198="","",D198-SUM(F198:H198))</f>
        <v/>
      </c>
      <c r="F198" s="27" t="str">
        <f aca="false">IF(A198="","",SUMIFS(請求台帳!$P$5:$P$504,請求台帳!$C$5:$C$504,A198,請求台帳!$S$5:$S$504,"&gt;=1",請求台帳!$S$5:$S$504,"&lt;=30"))</f>
        <v/>
      </c>
      <c r="G198" s="27" t="str">
        <f aca="false">IF(A198="","",SUMIFS(請求台帳!$P$5:$P$504,請求台帳!$C$5:$C$504,A198,請求台帳!$S$5:$S$504,"&gt;=31",請求台帳!$S$5:$S$504,"&lt;=60"))</f>
        <v/>
      </c>
      <c r="H198" s="27" t="str">
        <f aca="false">IF(A198="","",SUMIFS(請求台帳!$P$5:$P$504,請求台帳!$C$5:$C$504,A198,請求台帳!$S$5:$S$504,"&gt;=61"))</f>
        <v/>
      </c>
      <c r="I198" s="33" t="str">
        <f aca="false">IF(A198="","",COUNTIFS(請求台帳!$C$5:$C$504,A198,請求台帳!$B$5:$B$504,"&gt;="&amp;チェック!$C$4,請求台帳!$B$5:$B$504,"&lt;="&amp;EOMONTH(チェック!$C$4,0),請求台帳!$Q$5:$Q$504,"&lt;&gt;取消"))</f>
        <v/>
      </c>
      <c r="J198" s="28" t="str">
        <f aca="false">IF(A198="","",IF(AND(取引先マスタ!G198="有",I198=0),"請求漏れ候補",""))</f>
        <v/>
      </c>
    </row>
    <row r="199" customFormat="false" ht="15" hidden="false" customHeight="false" outlineLevel="0" collapsed="false">
      <c r="A199" s="31" t="str">
        <f aca="false">IF(取引先マスタ!A199="","",取引先マスタ!A199)</f>
        <v/>
      </c>
      <c r="B199" s="31" t="str">
        <f aca="false">IF(A199="","",取引先マスタ!B199)</f>
        <v/>
      </c>
      <c r="C199" s="31" t="str">
        <f aca="false">IF(A199="","",取引先マスタ!J199&amp;"")</f>
        <v/>
      </c>
      <c r="D199" s="27" t="str">
        <f aca="false">IF(A199="","",SUMIFS(請求台帳!$P$5:$P$504,請求台帳!$C$5:$C$504,A199,請求台帳!$Q$5:$Q$504,"&lt;&gt;取消"))</f>
        <v/>
      </c>
      <c r="E199" s="27" t="str">
        <f aca="false">IF(A199="","",D199-SUM(F199:H199))</f>
        <v/>
      </c>
      <c r="F199" s="27" t="str">
        <f aca="false">IF(A199="","",SUMIFS(請求台帳!$P$5:$P$504,請求台帳!$C$5:$C$504,A199,請求台帳!$S$5:$S$504,"&gt;=1",請求台帳!$S$5:$S$504,"&lt;=30"))</f>
        <v/>
      </c>
      <c r="G199" s="27" t="str">
        <f aca="false">IF(A199="","",SUMIFS(請求台帳!$P$5:$P$504,請求台帳!$C$5:$C$504,A199,請求台帳!$S$5:$S$504,"&gt;=31",請求台帳!$S$5:$S$504,"&lt;=60"))</f>
        <v/>
      </c>
      <c r="H199" s="27" t="str">
        <f aca="false">IF(A199="","",SUMIFS(請求台帳!$P$5:$P$504,請求台帳!$C$5:$C$504,A199,請求台帳!$S$5:$S$504,"&gt;=61"))</f>
        <v/>
      </c>
      <c r="I199" s="33" t="str">
        <f aca="false">IF(A199="","",COUNTIFS(請求台帳!$C$5:$C$504,A199,請求台帳!$B$5:$B$504,"&gt;="&amp;チェック!$C$4,請求台帳!$B$5:$B$504,"&lt;="&amp;EOMONTH(チェック!$C$4,0),請求台帳!$Q$5:$Q$504,"&lt;&gt;取消"))</f>
        <v/>
      </c>
      <c r="J199" s="28" t="str">
        <f aca="false">IF(A199="","",IF(AND(取引先マスタ!G199="有",I199=0),"請求漏れ候補",""))</f>
        <v/>
      </c>
    </row>
    <row r="200" customFormat="false" ht="15" hidden="false" customHeight="false" outlineLevel="0" collapsed="false">
      <c r="A200" s="31" t="str">
        <f aca="false">IF(取引先マスタ!A200="","",取引先マスタ!A200)</f>
        <v/>
      </c>
      <c r="B200" s="31" t="str">
        <f aca="false">IF(A200="","",取引先マスタ!B200)</f>
        <v/>
      </c>
      <c r="C200" s="31" t="str">
        <f aca="false">IF(A200="","",取引先マスタ!J200&amp;"")</f>
        <v/>
      </c>
      <c r="D200" s="27" t="str">
        <f aca="false">IF(A200="","",SUMIFS(請求台帳!$P$5:$P$504,請求台帳!$C$5:$C$504,A200,請求台帳!$Q$5:$Q$504,"&lt;&gt;取消"))</f>
        <v/>
      </c>
      <c r="E200" s="27" t="str">
        <f aca="false">IF(A200="","",D200-SUM(F200:H200))</f>
        <v/>
      </c>
      <c r="F200" s="27" t="str">
        <f aca="false">IF(A200="","",SUMIFS(請求台帳!$P$5:$P$504,請求台帳!$C$5:$C$504,A200,請求台帳!$S$5:$S$504,"&gt;=1",請求台帳!$S$5:$S$504,"&lt;=30"))</f>
        <v/>
      </c>
      <c r="G200" s="27" t="str">
        <f aca="false">IF(A200="","",SUMIFS(請求台帳!$P$5:$P$504,請求台帳!$C$5:$C$504,A200,請求台帳!$S$5:$S$504,"&gt;=31",請求台帳!$S$5:$S$504,"&lt;=60"))</f>
        <v/>
      </c>
      <c r="H200" s="27" t="str">
        <f aca="false">IF(A200="","",SUMIFS(請求台帳!$P$5:$P$504,請求台帳!$C$5:$C$504,A200,請求台帳!$S$5:$S$504,"&gt;=61"))</f>
        <v/>
      </c>
      <c r="I200" s="33" t="str">
        <f aca="false">IF(A200="","",COUNTIFS(請求台帳!$C$5:$C$504,A200,請求台帳!$B$5:$B$504,"&gt;="&amp;チェック!$C$4,請求台帳!$B$5:$B$504,"&lt;="&amp;EOMONTH(チェック!$C$4,0),請求台帳!$Q$5:$Q$504,"&lt;&gt;取消"))</f>
        <v/>
      </c>
      <c r="J200" s="28" t="str">
        <f aca="false">IF(A200="","",IF(AND(取引先マスタ!G200="有",I200=0),"請求漏れ候補",""))</f>
        <v/>
      </c>
    </row>
    <row r="201" customFormat="false" ht="15" hidden="false" customHeight="false" outlineLevel="0" collapsed="false">
      <c r="A201" s="31" t="str">
        <f aca="false">IF(取引先マスタ!A201="","",取引先マスタ!A201)</f>
        <v/>
      </c>
      <c r="B201" s="31" t="str">
        <f aca="false">IF(A201="","",取引先マスタ!B201)</f>
        <v/>
      </c>
      <c r="C201" s="31" t="str">
        <f aca="false">IF(A201="","",取引先マスタ!J201&amp;"")</f>
        <v/>
      </c>
      <c r="D201" s="27" t="str">
        <f aca="false">IF(A201="","",SUMIFS(請求台帳!$P$5:$P$504,請求台帳!$C$5:$C$504,A201,請求台帳!$Q$5:$Q$504,"&lt;&gt;取消"))</f>
        <v/>
      </c>
      <c r="E201" s="27" t="str">
        <f aca="false">IF(A201="","",D201-SUM(F201:H201))</f>
        <v/>
      </c>
      <c r="F201" s="27" t="str">
        <f aca="false">IF(A201="","",SUMIFS(請求台帳!$P$5:$P$504,請求台帳!$C$5:$C$504,A201,請求台帳!$S$5:$S$504,"&gt;=1",請求台帳!$S$5:$S$504,"&lt;=30"))</f>
        <v/>
      </c>
      <c r="G201" s="27" t="str">
        <f aca="false">IF(A201="","",SUMIFS(請求台帳!$P$5:$P$504,請求台帳!$C$5:$C$504,A201,請求台帳!$S$5:$S$504,"&gt;=31",請求台帳!$S$5:$S$504,"&lt;=60"))</f>
        <v/>
      </c>
      <c r="H201" s="27" t="str">
        <f aca="false">IF(A201="","",SUMIFS(請求台帳!$P$5:$P$504,請求台帳!$C$5:$C$504,A201,請求台帳!$S$5:$S$504,"&gt;=61"))</f>
        <v/>
      </c>
      <c r="I201" s="33" t="str">
        <f aca="false">IF(A201="","",COUNTIFS(請求台帳!$C$5:$C$504,A201,請求台帳!$B$5:$B$504,"&gt;="&amp;チェック!$C$4,請求台帳!$B$5:$B$504,"&lt;="&amp;EOMONTH(チェック!$C$4,0),請求台帳!$Q$5:$Q$504,"&lt;&gt;取消"))</f>
        <v/>
      </c>
      <c r="J201" s="28" t="str">
        <f aca="false">IF(A201="","",IF(AND(取引先マスタ!G201="有",I201=0),"請求漏れ候補",""))</f>
        <v/>
      </c>
    </row>
    <row r="202" customFormat="false" ht="15" hidden="false" customHeight="false" outlineLevel="0" collapsed="false">
      <c r="A202" s="31" t="str">
        <f aca="false">IF(取引先マスタ!A202="","",取引先マスタ!A202)</f>
        <v/>
      </c>
      <c r="B202" s="31" t="str">
        <f aca="false">IF(A202="","",取引先マスタ!B202)</f>
        <v/>
      </c>
      <c r="C202" s="31" t="str">
        <f aca="false">IF(A202="","",取引先マスタ!J202&amp;"")</f>
        <v/>
      </c>
      <c r="D202" s="27" t="str">
        <f aca="false">IF(A202="","",SUMIFS(請求台帳!$P$5:$P$504,請求台帳!$C$5:$C$504,A202,請求台帳!$Q$5:$Q$504,"&lt;&gt;取消"))</f>
        <v/>
      </c>
      <c r="E202" s="27" t="str">
        <f aca="false">IF(A202="","",D202-SUM(F202:H202))</f>
        <v/>
      </c>
      <c r="F202" s="27" t="str">
        <f aca="false">IF(A202="","",SUMIFS(請求台帳!$P$5:$P$504,請求台帳!$C$5:$C$504,A202,請求台帳!$S$5:$S$504,"&gt;=1",請求台帳!$S$5:$S$504,"&lt;=30"))</f>
        <v/>
      </c>
      <c r="G202" s="27" t="str">
        <f aca="false">IF(A202="","",SUMIFS(請求台帳!$P$5:$P$504,請求台帳!$C$5:$C$504,A202,請求台帳!$S$5:$S$504,"&gt;=31",請求台帳!$S$5:$S$504,"&lt;=60"))</f>
        <v/>
      </c>
      <c r="H202" s="27" t="str">
        <f aca="false">IF(A202="","",SUMIFS(請求台帳!$P$5:$P$504,請求台帳!$C$5:$C$504,A202,請求台帳!$S$5:$S$504,"&gt;=61"))</f>
        <v/>
      </c>
      <c r="I202" s="33" t="str">
        <f aca="false">IF(A202="","",COUNTIFS(請求台帳!$C$5:$C$504,A202,請求台帳!$B$5:$B$504,"&gt;="&amp;チェック!$C$4,請求台帳!$B$5:$B$504,"&lt;="&amp;EOMONTH(チェック!$C$4,0),請求台帳!$Q$5:$Q$504,"&lt;&gt;取消"))</f>
        <v/>
      </c>
      <c r="J202" s="28" t="str">
        <f aca="false">IF(A202="","",IF(AND(取引先マスタ!G202="有",I202=0),"請求漏れ候補",""))</f>
        <v/>
      </c>
    </row>
    <row r="203" customFormat="false" ht="15" hidden="false" customHeight="false" outlineLevel="0" collapsed="false">
      <c r="A203" s="31" t="str">
        <f aca="false">IF(取引先マスタ!A203="","",取引先マスタ!A203)</f>
        <v/>
      </c>
      <c r="B203" s="31" t="str">
        <f aca="false">IF(A203="","",取引先マスタ!B203)</f>
        <v/>
      </c>
      <c r="C203" s="31" t="str">
        <f aca="false">IF(A203="","",取引先マスタ!J203&amp;"")</f>
        <v/>
      </c>
      <c r="D203" s="27" t="str">
        <f aca="false">IF(A203="","",SUMIFS(請求台帳!$P$5:$P$504,請求台帳!$C$5:$C$504,A203,請求台帳!$Q$5:$Q$504,"&lt;&gt;取消"))</f>
        <v/>
      </c>
      <c r="E203" s="27" t="str">
        <f aca="false">IF(A203="","",D203-SUM(F203:H203))</f>
        <v/>
      </c>
      <c r="F203" s="27" t="str">
        <f aca="false">IF(A203="","",SUMIFS(請求台帳!$P$5:$P$504,請求台帳!$C$5:$C$504,A203,請求台帳!$S$5:$S$504,"&gt;=1",請求台帳!$S$5:$S$504,"&lt;=30"))</f>
        <v/>
      </c>
      <c r="G203" s="27" t="str">
        <f aca="false">IF(A203="","",SUMIFS(請求台帳!$P$5:$P$504,請求台帳!$C$5:$C$504,A203,請求台帳!$S$5:$S$504,"&gt;=31",請求台帳!$S$5:$S$504,"&lt;=60"))</f>
        <v/>
      </c>
      <c r="H203" s="27" t="str">
        <f aca="false">IF(A203="","",SUMIFS(請求台帳!$P$5:$P$504,請求台帳!$C$5:$C$504,A203,請求台帳!$S$5:$S$504,"&gt;=61"))</f>
        <v/>
      </c>
      <c r="I203" s="33" t="str">
        <f aca="false">IF(A203="","",COUNTIFS(請求台帳!$C$5:$C$504,A203,請求台帳!$B$5:$B$504,"&gt;="&amp;チェック!$C$4,請求台帳!$B$5:$B$504,"&lt;="&amp;EOMONTH(チェック!$C$4,0),請求台帳!$Q$5:$Q$504,"&lt;&gt;取消"))</f>
        <v/>
      </c>
      <c r="J203" s="28" t="str">
        <f aca="false">IF(A203="","",IF(AND(取引先マスタ!G203="有",I203=0),"請求漏れ候補",""))</f>
        <v/>
      </c>
    </row>
    <row r="204" customFormat="false" ht="15" hidden="false" customHeight="false" outlineLevel="0" collapsed="false">
      <c r="A204" s="31" t="str">
        <f aca="false">IF(取引先マスタ!A204="","",取引先マスタ!A204)</f>
        <v/>
      </c>
      <c r="B204" s="31" t="str">
        <f aca="false">IF(A204="","",取引先マスタ!B204)</f>
        <v/>
      </c>
      <c r="C204" s="31" t="str">
        <f aca="false">IF(A204="","",取引先マスタ!J204&amp;"")</f>
        <v/>
      </c>
      <c r="D204" s="27" t="str">
        <f aca="false">IF(A204="","",SUMIFS(請求台帳!$P$5:$P$504,請求台帳!$C$5:$C$504,A204,請求台帳!$Q$5:$Q$504,"&lt;&gt;取消"))</f>
        <v/>
      </c>
      <c r="E204" s="27" t="str">
        <f aca="false">IF(A204="","",D204-SUM(F204:H204))</f>
        <v/>
      </c>
      <c r="F204" s="27" t="str">
        <f aca="false">IF(A204="","",SUMIFS(請求台帳!$P$5:$P$504,請求台帳!$C$5:$C$504,A204,請求台帳!$S$5:$S$504,"&gt;=1",請求台帳!$S$5:$S$504,"&lt;=30"))</f>
        <v/>
      </c>
      <c r="G204" s="27" t="str">
        <f aca="false">IF(A204="","",SUMIFS(請求台帳!$P$5:$P$504,請求台帳!$C$5:$C$504,A204,請求台帳!$S$5:$S$504,"&gt;=31",請求台帳!$S$5:$S$504,"&lt;=60"))</f>
        <v/>
      </c>
      <c r="H204" s="27" t="str">
        <f aca="false">IF(A204="","",SUMIFS(請求台帳!$P$5:$P$504,請求台帳!$C$5:$C$504,A204,請求台帳!$S$5:$S$504,"&gt;=61"))</f>
        <v/>
      </c>
      <c r="I204" s="33" t="str">
        <f aca="false">IF(A204="","",COUNTIFS(請求台帳!$C$5:$C$504,A204,請求台帳!$B$5:$B$504,"&gt;="&amp;チェック!$C$4,請求台帳!$B$5:$B$504,"&lt;="&amp;EOMONTH(チェック!$C$4,0),請求台帳!$Q$5:$Q$504,"&lt;&gt;取消"))</f>
        <v/>
      </c>
      <c r="J204" s="28" t="str">
        <f aca="false">IF(A204="","",IF(AND(取引先マスタ!G204="有",I204=0),"請求漏れ候補",""))</f>
        <v/>
      </c>
    </row>
    <row r="205" customFormat="false" ht="15" hidden="false" customHeight="false" outlineLevel="0" collapsed="false">
      <c r="B205" s="10" t="s">
        <v>192</v>
      </c>
      <c r="D205" s="32" t="n">
        <f aca="false">SUM(D5:D204)</f>
        <v>349300</v>
      </c>
      <c r="E205" s="32" t="n">
        <f aca="false">SUM(E5:E204)</f>
        <v>184300</v>
      </c>
      <c r="F205" s="32" t="n">
        <f aca="false">SUM(F5:F204)</f>
        <v>0</v>
      </c>
      <c r="G205" s="32" t="n">
        <f aca="false">SUM(G5:G204)</f>
        <v>165000</v>
      </c>
      <c r="H205" s="32" t="n">
        <f aca="false">SUM(H5:H204)</f>
        <v>0</v>
      </c>
    </row>
  </sheetData>
  <sheetProtection sheet="true" formatCells="false" formatColumns="false" formatRows="false" autoFilter="false"/>
  <conditionalFormatting sqref="J5:J204">
    <cfRule type="expression" priority="2" aboveAverage="0" equalAverage="0" bottom="0" percent="0" rank="0" text="" dxfId="0">
      <formula>$J5="請求漏れ候補"</formula>
    </cfRule>
  </conditionalFormatting>
  <conditionalFormatting sqref="F5:F204">
    <cfRule type="expression" priority="3" aboveAverage="0" equalAverage="0" bottom="0" percent="0" rank="0" text="" dxfId="25">
      <formula>N($F5)&gt;0</formula>
    </cfRule>
  </conditionalFormatting>
  <conditionalFormatting sqref="G5:G204">
    <cfRule type="expression" priority="4" aboveAverage="0" equalAverage="0" bottom="0" percent="0" rank="0" text="" dxfId="25">
      <formula>N($G5)&gt;0</formula>
    </cfRule>
  </conditionalFormatting>
  <conditionalFormatting sqref="H5:H204">
    <cfRule type="expression" priority="5" aboveAverage="0" equalAverage="0" bottom="0" percent="0" rank="0" text="" dxfId="25">
      <formula>N($H5)&gt;0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28" min="3" style="0" width="12"/>
  </cols>
  <sheetData>
    <row r="1" customFormat="false" ht="19.4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3" customFormat="false" ht="15" hidden="false" customHeight="true" outlineLevel="0" collapsed="false">
      <c r="A3" s="34" t="s">
        <v>128</v>
      </c>
      <c r="B3" s="34" t="s">
        <v>129</v>
      </c>
      <c r="C3" s="35" t="n">
        <f aca="false">DATE(YEAR(設定!$C$7),MONTH(設定!$C$7)+0,1)</f>
        <v>45931</v>
      </c>
      <c r="D3" s="35"/>
      <c r="E3" s="35" t="n">
        <f aca="false">DATE(YEAR(設定!$C$7),MONTH(設定!$C$7)+1,1)</f>
        <v>45962</v>
      </c>
      <c r="F3" s="35"/>
      <c r="G3" s="35" t="n">
        <f aca="false">DATE(YEAR(設定!$C$7),MONTH(設定!$C$7)+2,1)</f>
        <v>45992</v>
      </c>
      <c r="H3" s="35"/>
      <c r="I3" s="35" t="n">
        <f aca="false">DATE(YEAR(設定!$C$7),MONTH(設定!$C$7)+3,1)</f>
        <v>46023</v>
      </c>
      <c r="J3" s="35"/>
      <c r="K3" s="35" t="n">
        <f aca="false">DATE(YEAR(設定!$C$7),MONTH(設定!$C$7)+4,1)</f>
        <v>46054</v>
      </c>
      <c r="L3" s="35"/>
      <c r="M3" s="35" t="n">
        <f aca="false">DATE(YEAR(設定!$C$7),MONTH(設定!$C$7)+5,1)</f>
        <v>46082</v>
      </c>
      <c r="N3" s="35"/>
      <c r="O3" s="35" t="n">
        <f aca="false">DATE(YEAR(設定!$C$7),MONTH(設定!$C$7)+6,1)</f>
        <v>46113</v>
      </c>
      <c r="P3" s="35"/>
      <c r="Q3" s="35" t="n">
        <f aca="false">DATE(YEAR(設定!$C$7),MONTH(設定!$C$7)+7,1)</f>
        <v>46143</v>
      </c>
      <c r="R3" s="35"/>
      <c r="S3" s="35" t="n">
        <f aca="false">DATE(YEAR(設定!$C$7),MONTH(設定!$C$7)+8,1)</f>
        <v>46174</v>
      </c>
      <c r="T3" s="35"/>
      <c r="U3" s="35" t="n">
        <f aca="false">DATE(YEAR(設定!$C$7),MONTH(設定!$C$7)+9,1)</f>
        <v>46204</v>
      </c>
      <c r="V3" s="35"/>
      <c r="W3" s="35" t="n">
        <f aca="false">DATE(YEAR(設定!$C$7),MONTH(設定!$C$7)+10,1)</f>
        <v>46235</v>
      </c>
      <c r="X3" s="35"/>
      <c r="Y3" s="35" t="n">
        <f aca="false">DATE(YEAR(設定!$C$7),MONTH(設定!$C$7)+11,1)</f>
        <v>46266</v>
      </c>
      <c r="Z3" s="35"/>
      <c r="AA3" s="36" t="s">
        <v>202</v>
      </c>
      <c r="AB3" s="36"/>
    </row>
    <row r="4" customFormat="false" ht="15" hidden="false" customHeight="false" outlineLevel="0" collapsed="false">
      <c r="A4" s="34"/>
      <c r="B4" s="34"/>
      <c r="C4" s="13" t="s">
        <v>176</v>
      </c>
      <c r="D4" s="13" t="s">
        <v>138</v>
      </c>
      <c r="E4" s="13" t="s">
        <v>176</v>
      </c>
      <c r="F4" s="13" t="s">
        <v>138</v>
      </c>
      <c r="G4" s="13" t="s">
        <v>176</v>
      </c>
      <c r="H4" s="13" t="s">
        <v>138</v>
      </c>
      <c r="I4" s="13" t="s">
        <v>176</v>
      </c>
      <c r="J4" s="13" t="s">
        <v>138</v>
      </c>
      <c r="K4" s="13" t="s">
        <v>176</v>
      </c>
      <c r="L4" s="13" t="s">
        <v>138</v>
      </c>
      <c r="M4" s="13" t="s">
        <v>176</v>
      </c>
      <c r="N4" s="13" t="s">
        <v>138</v>
      </c>
      <c r="O4" s="13" t="s">
        <v>176</v>
      </c>
      <c r="P4" s="13" t="s">
        <v>138</v>
      </c>
      <c r="Q4" s="13" t="s">
        <v>176</v>
      </c>
      <c r="R4" s="13" t="s">
        <v>138</v>
      </c>
      <c r="S4" s="13" t="s">
        <v>176</v>
      </c>
      <c r="T4" s="13" t="s">
        <v>138</v>
      </c>
      <c r="U4" s="13" t="s">
        <v>176</v>
      </c>
      <c r="V4" s="13" t="s">
        <v>138</v>
      </c>
      <c r="W4" s="13" t="s">
        <v>176</v>
      </c>
      <c r="X4" s="13" t="s">
        <v>138</v>
      </c>
      <c r="Y4" s="13" t="s">
        <v>176</v>
      </c>
      <c r="Z4" s="13" t="s">
        <v>138</v>
      </c>
      <c r="AA4" s="13" t="s">
        <v>176</v>
      </c>
      <c r="AB4" s="13" t="s">
        <v>138</v>
      </c>
    </row>
    <row r="5" customFormat="false" ht="15" hidden="false" customHeight="false" outlineLevel="0" collapsed="false">
      <c r="A5" s="31" t="str">
        <f aca="false">IF(取引先マスタ!A5="","",取引先マスタ!A5)</f>
        <v>C001</v>
      </c>
      <c r="B5" s="31" t="str">
        <f aca="false">IF(A5="","",取引先マスタ!B5)</f>
        <v>株式会社サンプル商事</v>
      </c>
      <c r="C5" s="27" t="n">
        <f aca="false">IF($A5="","",SUMIFS(請求台帳!$F$5:$F$504,請求台帳!$C$5:$C$504,$A5,請求台帳!$B$5:$B$504,"&gt;="&amp;C$3,請求台帳!$B$5:$B$504,"&lt;"&amp;DATE(YEAR(C$3),MONTH(C$3)+1,1),請求台帳!$Q$5:$Q$504,"&lt;&gt;取消"))</f>
        <v>0</v>
      </c>
      <c r="D5" s="27" t="n">
        <f aca="false">IF($A5="","",SUMIFS(入金明細!$E$5:$E$1004,入金明細!$G$5:$G$1004,$A5,入金明細!$B$5:$B$1004,"&gt;="&amp;C$3,入金明細!$B$5:$B$1004,"&lt;"&amp;DATE(YEAR(C$3),MONTH(C$3)+1,1)))</f>
        <v>0</v>
      </c>
      <c r="E5" s="27" t="n">
        <f aca="false">IF($A5="","",SUMIFS(請求台帳!$F$5:$F$504,請求台帳!$C$5:$C$504,$A5,請求台帳!$B$5:$B$504,"&gt;="&amp;E$3,請求台帳!$B$5:$B$504,"&lt;"&amp;DATE(YEAR(E$3),MONTH(E$3)+1,1),請求台帳!$Q$5:$Q$504,"&lt;&gt;取消"))</f>
        <v>0</v>
      </c>
      <c r="F5" s="27" t="n">
        <f aca="false">IF($A5="","",SUMIFS(入金明細!$E$5:$E$1004,入金明細!$G$5:$G$1004,$A5,入金明細!$B$5:$B$1004,"&gt;="&amp;E$3,入金明細!$B$5:$B$1004,"&lt;"&amp;DATE(YEAR(E$3),MONTH(E$3)+1,1)))</f>
        <v>0</v>
      </c>
      <c r="G5" s="27" t="n">
        <f aca="false">IF($A5="","",SUMIFS(請求台帳!$F$5:$F$504,請求台帳!$C$5:$C$504,$A5,請求台帳!$B$5:$B$504,"&gt;="&amp;G$3,請求台帳!$B$5:$B$504,"&lt;"&amp;DATE(YEAR(G$3),MONTH(G$3)+1,1),請求台帳!$Q$5:$Q$504,"&lt;&gt;取消"))</f>
        <v>0</v>
      </c>
      <c r="H5" s="27" t="n">
        <f aca="false">IF($A5="","",SUMIFS(入金明細!$E$5:$E$1004,入金明細!$G$5:$G$1004,$A5,入金明細!$B$5:$B$1004,"&gt;="&amp;G$3,入金明細!$B$5:$B$1004,"&lt;"&amp;DATE(YEAR(G$3),MONTH(G$3)+1,1)))</f>
        <v>0</v>
      </c>
      <c r="I5" s="27" t="n">
        <f aca="false">IF($A5="","",SUMIFS(請求台帳!$F$5:$F$504,請求台帳!$C$5:$C$504,$A5,請求台帳!$B$5:$B$504,"&gt;="&amp;I$3,請求台帳!$B$5:$B$504,"&lt;"&amp;DATE(YEAR(I$3),MONTH(I$3)+1,1),請求台帳!$Q$5:$Q$504,"&lt;&gt;取消"))</f>
        <v>0</v>
      </c>
      <c r="J5" s="27" t="n">
        <f aca="false">IF($A5="","",SUMIFS(入金明細!$E$5:$E$1004,入金明細!$G$5:$G$1004,$A5,入金明細!$B$5:$B$1004,"&gt;="&amp;I$3,入金明細!$B$5:$B$1004,"&lt;"&amp;DATE(YEAR(I$3),MONTH(I$3)+1,1)))</f>
        <v>0</v>
      </c>
      <c r="K5" s="27" t="n">
        <f aca="false">IF($A5="","",SUMIFS(請求台帳!$F$5:$F$504,請求台帳!$C$5:$C$504,$A5,請求台帳!$B$5:$B$504,"&gt;="&amp;K$3,請求台帳!$B$5:$B$504,"&lt;"&amp;DATE(YEAR(K$3),MONTH(K$3)+1,1),請求台帳!$Q$5:$Q$504,"&lt;&gt;取消"))</f>
        <v>0</v>
      </c>
      <c r="L5" s="27" t="n">
        <f aca="false">IF($A5="","",SUMIFS(入金明細!$E$5:$E$1004,入金明細!$G$5:$G$1004,$A5,入金明細!$B$5:$B$1004,"&gt;="&amp;K$3,入金明細!$B$5:$B$1004,"&lt;"&amp;DATE(YEAR(K$3),MONTH(K$3)+1,1)))</f>
        <v>0</v>
      </c>
      <c r="M5" s="27" t="n">
        <f aca="false">IF($A5="","",SUMIFS(請求台帳!$F$5:$F$504,請求台帳!$C$5:$C$504,$A5,請求台帳!$B$5:$B$504,"&gt;="&amp;M$3,請求台帳!$B$5:$B$504,"&lt;"&amp;DATE(YEAR(M$3),MONTH(M$3)+1,1),請求台帳!$Q$5:$Q$504,"&lt;&gt;取消"))</f>
        <v>0</v>
      </c>
      <c r="N5" s="27" t="n">
        <f aca="false">IF($A5="","",SUMIFS(入金明細!$E$5:$E$1004,入金明細!$G$5:$G$1004,$A5,入金明細!$B$5:$B$1004,"&gt;="&amp;M$3,入金明細!$B$5:$B$1004,"&lt;"&amp;DATE(YEAR(M$3),MONTH(M$3)+1,1)))</f>
        <v>0</v>
      </c>
      <c r="O5" s="27" t="n">
        <f aca="false">IF($A5="","",SUMIFS(請求台帳!$F$5:$F$504,請求台帳!$C$5:$C$504,$A5,請求台帳!$B$5:$B$504,"&gt;="&amp;O$3,請求台帳!$B$5:$B$504,"&lt;"&amp;DATE(YEAR(O$3),MONTH(O$3)+1,1),請求台帳!$Q$5:$Q$504,"&lt;&gt;取消"))</f>
        <v>0</v>
      </c>
      <c r="P5" s="27" t="n">
        <f aca="false">IF($A5="","",SUMIFS(入金明細!$E$5:$E$1004,入金明細!$G$5:$G$1004,$A5,入金明細!$B$5:$B$1004,"&gt;="&amp;O$3,入金明細!$B$5:$B$1004,"&lt;"&amp;DATE(YEAR(O$3),MONTH(O$3)+1,1)))</f>
        <v>0</v>
      </c>
      <c r="Q5" s="27" t="n">
        <f aca="false">IF($A5="","",SUMIFS(請求台帳!$F$5:$F$504,請求台帳!$C$5:$C$504,$A5,請求台帳!$B$5:$B$504,"&gt;="&amp;Q$3,請求台帳!$B$5:$B$504,"&lt;"&amp;DATE(YEAR(Q$3),MONTH(Q$3)+1,1),請求台帳!$Q$5:$Q$504,"&lt;&gt;取消"))</f>
        <v>0</v>
      </c>
      <c r="R5" s="27" t="n">
        <f aca="false">IF($A5="","",SUMIFS(入金明細!$E$5:$E$1004,入金明細!$G$5:$G$1004,$A5,入金明細!$B$5:$B$1004,"&gt;="&amp;Q$3,入金明細!$B$5:$B$1004,"&lt;"&amp;DATE(YEAR(Q$3),MONTH(Q$3)+1,1)))</f>
        <v>0</v>
      </c>
      <c r="S5" s="27" t="n">
        <f aca="false">IF($A5="","",SUMIFS(請求台帳!$F$5:$F$504,請求台帳!$C$5:$C$504,$A5,請求台帳!$B$5:$B$504,"&gt;="&amp;S$3,請求台帳!$B$5:$B$504,"&lt;"&amp;DATE(YEAR(S$3),MONTH(S$3)+1,1),請求台帳!$Q$5:$Q$504,"&lt;&gt;取消"))</f>
        <v>0</v>
      </c>
      <c r="T5" s="27" t="n">
        <f aca="false">IF($A5="","",SUMIFS(入金明細!$E$5:$E$1004,入金明細!$G$5:$G$1004,$A5,入金明細!$B$5:$B$1004,"&gt;="&amp;S$3,入金明細!$B$5:$B$1004,"&lt;"&amp;DATE(YEAR(S$3),MONTH(S$3)+1,1)))</f>
        <v>0</v>
      </c>
      <c r="U5" s="27" t="n">
        <f aca="false">IF($A5="","",SUMIFS(請求台帳!$F$5:$F$504,請求台帳!$C$5:$C$504,$A5,請求台帳!$B$5:$B$504,"&gt;="&amp;U$3,請求台帳!$B$5:$B$504,"&lt;"&amp;DATE(YEAR(U$3),MONTH(U$3)+1,1),請求台帳!$Q$5:$Q$504,"&lt;&gt;取消"))</f>
        <v>110000</v>
      </c>
      <c r="V5" s="27" t="n">
        <f aca="false">IF($A5="","",SUMIFS(入金明細!$E$5:$E$1004,入金明細!$G$5:$G$1004,$A5,入金明細!$B$5:$B$1004,"&gt;="&amp;U$3,入金明細!$B$5:$B$1004,"&lt;"&amp;DATE(YEAR(U$3),MONTH(U$3)+1,1)))</f>
        <v>0</v>
      </c>
      <c r="W5" s="27" t="n">
        <f aca="false">IF($A5="","",SUMIFS(請求台帳!$F$5:$F$504,請求台帳!$C$5:$C$504,$A5,請求台帳!$B$5:$B$504,"&gt;="&amp;W$3,請求台帳!$B$5:$B$504,"&lt;"&amp;DATE(YEAR(W$3),MONTH(W$3)+1,1),請求台帳!$Q$5:$Q$504,"&lt;&gt;取消"))</f>
        <v>0</v>
      </c>
      <c r="X5" s="27" t="n">
        <f aca="false">IF($A5="","",SUMIFS(入金明細!$E$5:$E$1004,入金明細!$G$5:$G$1004,$A5,入金明細!$B$5:$B$1004,"&gt;="&amp;W$3,入金明細!$B$5:$B$1004,"&lt;"&amp;DATE(YEAR(W$3),MONTH(W$3)+1,1)))</f>
        <v>110000</v>
      </c>
      <c r="Y5" s="27" t="n">
        <f aca="false">IF($A5="","",SUMIFS(請求台帳!$F$5:$F$504,請求台帳!$C$5:$C$504,$A5,請求台帳!$B$5:$B$504,"&gt;="&amp;Y$3,請求台帳!$B$5:$B$504,"&lt;"&amp;DATE(YEAR(Y$3),MONTH(Y$3)+1,1),請求台帳!$Q$5:$Q$504,"&lt;&gt;取消"))</f>
        <v>110000</v>
      </c>
      <c r="Z5" s="27" t="n">
        <f aca="false">IF($A5="","",SUMIFS(入金明細!$E$5:$E$1004,入金明細!$G$5:$G$1004,$A5,入金明細!$B$5:$B$1004,"&gt;="&amp;Y$3,入金明細!$B$5:$B$1004,"&lt;"&amp;DATE(YEAR(Y$3),MONTH(Y$3)+1,1)))</f>
        <v>0</v>
      </c>
      <c r="AA5" s="37" t="n">
        <f aca="false">SUM(C5,E5,G5,I5,K5,M5,O5,Q5,S5,U5,W5,Y5)</f>
        <v>220000</v>
      </c>
      <c r="AB5" s="37" t="n">
        <f aca="false">SUM(D5,F5,H5,J5,L5,N5,P5,R5,T5,V5,X5,Z5)</f>
        <v>110000</v>
      </c>
    </row>
    <row r="6" customFormat="false" ht="15" hidden="false" customHeight="false" outlineLevel="0" collapsed="false">
      <c r="A6" s="31" t="str">
        <f aca="false">IF(取引先マスタ!A6="","",取引先マスタ!A6)</f>
        <v>C002</v>
      </c>
      <c r="B6" s="31" t="str">
        <f aca="false">IF(A6="","",取引先マスタ!B6)</f>
        <v>有限会社テスト工業</v>
      </c>
      <c r="C6" s="27" t="n">
        <f aca="false">IF($A6="","",SUMIFS(請求台帳!$F$5:$F$504,請求台帳!$C$5:$C$504,$A6,請求台帳!$B$5:$B$504,"&gt;="&amp;C$3,請求台帳!$B$5:$B$504,"&lt;"&amp;DATE(YEAR(C$3),MONTH(C$3)+1,1),請求台帳!$Q$5:$Q$504,"&lt;&gt;取消"))</f>
        <v>0</v>
      </c>
      <c r="D6" s="27" t="n">
        <f aca="false">IF($A6="","",SUMIFS(入金明細!$E$5:$E$1004,入金明細!$G$5:$G$1004,$A6,入金明細!$B$5:$B$1004,"&gt;="&amp;C$3,入金明細!$B$5:$B$1004,"&lt;"&amp;DATE(YEAR(C$3),MONTH(C$3)+1,1)))</f>
        <v>0</v>
      </c>
      <c r="E6" s="27" t="n">
        <f aca="false">IF($A6="","",SUMIFS(請求台帳!$F$5:$F$504,請求台帳!$C$5:$C$504,$A6,請求台帳!$B$5:$B$504,"&gt;="&amp;E$3,請求台帳!$B$5:$B$504,"&lt;"&amp;DATE(YEAR(E$3),MONTH(E$3)+1,1),請求台帳!$Q$5:$Q$504,"&lt;&gt;取消"))</f>
        <v>0</v>
      </c>
      <c r="F6" s="27" t="n">
        <f aca="false">IF($A6="","",SUMIFS(入金明細!$E$5:$E$1004,入金明細!$G$5:$G$1004,$A6,入金明細!$B$5:$B$1004,"&gt;="&amp;E$3,入金明細!$B$5:$B$1004,"&lt;"&amp;DATE(YEAR(E$3),MONTH(E$3)+1,1)))</f>
        <v>0</v>
      </c>
      <c r="G6" s="27" t="n">
        <f aca="false">IF($A6="","",SUMIFS(請求台帳!$F$5:$F$504,請求台帳!$C$5:$C$504,$A6,請求台帳!$B$5:$B$504,"&gt;="&amp;G$3,請求台帳!$B$5:$B$504,"&lt;"&amp;DATE(YEAR(G$3),MONTH(G$3)+1,1),請求台帳!$Q$5:$Q$504,"&lt;&gt;取消"))</f>
        <v>0</v>
      </c>
      <c r="H6" s="27" t="n">
        <f aca="false">IF($A6="","",SUMIFS(入金明細!$E$5:$E$1004,入金明細!$G$5:$G$1004,$A6,入金明細!$B$5:$B$1004,"&gt;="&amp;G$3,入金明細!$B$5:$B$1004,"&lt;"&amp;DATE(YEAR(G$3),MONTH(G$3)+1,1)))</f>
        <v>0</v>
      </c>
      <c r="I6" s="27" t="n">
        <f aca="false">IF($A6="","",SUMIFS(請求台帳!$F$5:$F$504,請求台帳!$C$5:$C$504,$A6,請求台帳!$B$5:$B$504,"&gt;="&amp;I$3,請求台帳!$B$5:$B$504,"&lt;"&amp;DATE(YEAR(I$3),MONTH(I$3)+1,1),請求台帳!$Q$5:$Q$504,"&lt;&gt;取消"))</f>
        <v>0</v>
      </c>
      <c r="J6" s="27" t="n">
        <f aca="false">IF($A6="","",SUMIFS(入金明細!$E$5:$E$1004,入金明細!$G$5:$G$1004,$A6,入金明細!$B$5:$B$1004,"&gt;="&amp;I$3,入金明細!$B$5:$B$1004,"&lt;"&amp;DATE(YEAR(I$3),MONTH(I$3)+1,1)))</f>
        <v>0</v>
      </c>
      <c r="K6" s="27" t="n">
        <f aca="false">IF($A6="","",SUMIFS(請求台帳!$F$5:$F$504,請求台帳!$C$5:$C$504,$A6,請求台帳!$B$5:$B$504,"&gt;="&amp;K$3,請求台帳!$B$5:$B$504,"&lt;"&amp;DATE(YEAR(K$3),MONTH(K$3)+1,1),請求台帳!$Q$5:$Q$504,"&lt;&gt;取消"))</f>
        <v>0</v>
      </c>
      <c r="L6" s="27" t="n">
        <f aca="false">IF($A6="","",SUMIFS(入金明細!$E$5:$E$1004,入金明細!$G$5:$G$1004,$A6,入金明細!$B$5:$B$1004,"&gt;="&amp;K$3,入金明細!$B$5:$B$1004,"&lt;"&amp;DATE(YEAR(K$3),MONTH(K$3)+1,1)))</f>
        <v>0</v>
      </c>
      <c r="M6" s="27" t="n">
        <f aca="false">IF($A6="","",SUMIFS(請求台帳!$F$5:$F$504,請求台帳!$C$5:$C$504,$A6,請求台帳!$B$5:$B$504,"&gt;="&amp;M$3,請求台帳!$B$5:$B$504,"&lt;"&amp;DATE(YEAR(M$3),MONTH(M$3)+1,1),請求台帳!$Q$5:$Q$504,"&lt;&gt;取消"))</f>
        <v>0</v>
      </c>
      <c r="N6" s="27" t="n">
        <f aca="false">IF($A6="","",SUMIFS(入金明細!$E$5:$E$1004,入金明細!$G$5:$G$1004,$A6,入金明細!$B$5:$B$1004,"&gt;="&amp;M$3,入金明細!$B$5:$B$1004,"&lt;"&amp;DATE(YEAR(M$3),MONTH(M$3)+1,1)))</f>
        <v>0</v>
      </c>
      <c r="O6" s="27" t="n">
        <f aca="false">IF($A6="","",SUMIFS(請求台帳!$F$5:$F$504,請求台帳!$C$5:$C$504,$A6,請求台帳!$B$5:$B$504,"&gt;="&amp;O$3,請求台帳!$B$5:$B$504,"&lt;"&amp;DATE(YEAR(O$3),MONTH(O$3)+1,1),請求台帳!$Q$5:$Q$504,"&lt;&gt;取消"))</f>
        <v>0</v>
      </c>
      <c r="P6" s="27" t="n">
        <f aca="false">IF($A6="","",SUMIFS(入金明細!$E$5:$E$1004,入金明細!$G$5:$G$1004,$A6,入金明細!$B$5:$B$1004,"&gt;="&amp;O$3,入金明細!$B$5:$B$1004,"&lt;"&amp;DATE(YEAR(O$3),MONTH(O$3)+1,1)))</f>
        <v>0</v>
      </c>
      <c r="Q6" s="27" t="n">
        <f aca="false">IF($A6="","",SUMIFS(請求台帳!$F$5:$F$504,請求台帳!$C$5:$C$504,$A6,請求台帳!$B$5:$B$504,"&gt;="&amp;Q$3,請求台帳!$B$5:$B$504,"&lt;"&amp;DATE(YEAR(Q$3),MONTH(Q$3)+1,1),請求台帳!$Q$5:$Q$504,"&lt;&gt;取消"))</f>
        <v>0</v>
      </c>
      <c r="R6" s="27" t="n">
        <f aca="false">IF($A6="","",SUMIFS(入金明細!$E$5:$E$1004,入金明細!$G$5:$G$1004,$A6,入金明細!$B$5:$B$1004,"&gt;="&amp;Q$3,入金明細!$B$5:$B$1004,"&lt;"&amp;DATE(YEAR(Q$3),MONTH(Q$3)+1,1)))</f>
        <v>0</v>
      </c>
      <c r="S6" s="27" t="n">
        <f aca="false">IF($A6="","",SUMIFS(請求台帳!$F$5:$F$504,請求台帳!$C$5:$C$504,$A6,請求台帳!$B$5:$B$504,"&gt;="&amp;S$3,請求台帳!$B$5:$B$504,"&lt;"&amp;DATE(YEAR(S$3),MONTH(S$3)+1,1),請求台帳!$Q$5:$Q$504,"&lt;&gt;取消"))</f>
        <v>165000</v>
      </c>
      <c r="T6" s="27" t="n">
        <f aca="false">IF($A6="","",SUMIFS(入金明細!$E$5:$E$1004,入金明細!$G$5:$G$1004,$A6,入金明細!$B$5:$B$1004,"&gt;="&amp;S$3,入金明細!$B$5:$B$1004,"&lt;"&amp;DATE(YEAR(S$3),MONTH(S$3)+1,1)))</f>
        <v>0</v>
      </c>
      <c r="U6" s="27" t="n">
        <f aca="false">IF($A6="","",SUMIFS(請求台帳!$F$5:$F$504,請求台帳!$C$5:$C$504,$A6,請求台帳!$B$5:$B$504,"&gt;="&amp;U$3,請求台帳!$B$5:$B$504,"&lt;"&amp;DATE(YEAR(U$3),MONTH(U$3)+1,1),請求台帳!$Q$5:$Q$504,"&lt;&gt;取消"))</f>
        <v>275000</v>
      </c>
      <c r="V6" s="27" t="n">
        <f aca="false">IF($A6="","",SUMIFS(入金明細!$E$5:$E$1004,入金明細!$G$5:$G$1004,$A6,入金明細!$B$5:$B$1004,"&gt;="&amp;U$3,入金明細!$B$5:$B$1004,"&lt;"&amp;DATE(YEAR(U$3),MONTH(U$3)+1,1)))</f>
        <v>0</v>
      </c>
      <c r="W6" s="27" t="n">
        <f aca="false">IF($A6="","",SUMIFS(請求台帳!$F$5:$F$504,請求台帳!$C$5:$C$504,$A6,請求台帳!$B$5:$B$504,"&gt;="&amp;W$3,請求台帳!$B$5:$B$504,"&lt;"&amp;DATE(YEAR(W$3),MONTH(W$3)+1,1),請求台帳!$Q$5:$Q$504,"&lt;&gt;取消"))</f>
        <v>0</v>
      </c>
      <c r="X6" s="27" t="n">
        <f aca="false">IF($A6="","",SUMIFS(入金明細!$E$5:$E$1004,入金明細!$G$5:$G$1004,$A6,入金明細!$B$5:$B$1004,"&gt;="&amp;W$3,入金明細!$B$5:$B$1004,"&lt;"&amp;DATE(YEAR(W$3),MONTH(W$3)+1,1)))</f>
        <v>0</v>
      </c>
      <c r="Y6" s="27" t="n">
        <f aca="false">IF($A6="","",SUMIFS(請求台帳!$F$5:$F$504,請求台帳!$C$5:$C$504,$A6,請求台帳!$B$5:$B$504,"&gt;="&amp;Y$3,請求台帳!$B$5:$B$504,"&lt;"&amp;DATE(YEAR(Y$3),MONTH(Y$3)+1,1),請求台帳!$Q$5:$Q$504,"&lt;&gt;取消"))</f>
        <v>0</v>
      </c>
      <c r="Z6" s="27" t="n">
        <f aca="false">IF($A6="","",SUMIFS(入金明細!$E$5:$E$1004,入金明細!$G$5:$G$1004,$A6,入金明細!$B$5:$B$1004,"&gt;="&amp;Y$3,入金明細!$B$5:$B$1004,"&lt;"&amp;DATE(YEAR(Y$3),MONTH(Y$3)+1,1)))</f>
        <v>274560</v>
      </c>
      <c r="AA6" s="37" t="n">
        <f aca="false">SUM(C6,E6,G6,I6,K6,M6,O6,Q6,S6,U6,W6,Y6)</f>
        <v>440000</v>
      </c>
      <c r="AB6" s="37" t="n">
        <f aca="false">SUM(D6,F6,H6,J6,L6,N6,P6,R6,T6,V6,X6,Z6)</f>
        <v>274560</v>
      </c>
    </row>
    <row r="7" customFormat="false" ht="15" hidden="false" customHeight="false" outlineLevel="0" collapsed="false">
      <c r="A7" s="31" t="str">
        <f aca="false">IF(取引先マスタ!A7="","",取引先マスタ!A7)</f>
        <v>C003</v>
      </c>
      <c r="B7" s="31" t="str">
        <f aca="false">IF(A7="","",取引先マスタ!B7)</f>
        <v>合同会社デモ</v>
      </c>
      <c r="C7" s="27" t="n">
        <f aca="false">IF($A7="","",SUMIFS(請求台帳!$F$5:$F$504,請求台帳!$C$5:$C$504,$A7,請求台帳!$B$5:$B$504,"&gt;="&amp;C$3,請求台帳!$B$5:$B$504,"&lt;"&amp;DATE(YEAR(C$3),MONTH(C$3)+1,1),請求台帳!$Q$5:$Q$504,"&lt;&gt;取消"))</f>
        <v>0</v>
      </c>
      <c r="D7" s="27" t="n">
        <f aca="false">IF($A7="","",SUMIFS(入金明細!$E$5:$E$1004,入金明細!$G$5:$G$1004,$A7,入金明細!$B$5:$B$1004,"&gt;="&amp;C$3,入金明細!$B$5:$B$1004,"&lt;"&amp;DATE(YEAR(C$3),MONTH(C$3)+1,1)))</f>
        <v>0</v>
      </c>
      <c r="E7" s="27" t="n">
        <f aca="false">IF($A7="","",SUMIFS(請求台帳!$F$5:$F$504,請求台帳!$C$5:$C$504,$A7,請求台帳!$B$5:$B$504,"&gt;="&amp;E$3,請求台帳!$B$5:$B$504,"&lt;"&amp;DATE(YEAR(E$3),MONTH(E$3)+1,1),請求台帳!$Q$5:$Q$504,"&lt;&gt;取消"))</f>
        <v>0</v>
      </c>
      <c r="F7" s="27" t="n">
        <f aca="false">IF($A7="","",SUMIFS(入金明細!$E$5:$E$1004,入金明細!$G$5:$G$1004,$A7,入金明細!$B$5:$B$1004,"&gt;="&amp;E$3,入金明細!$B$5:$B$1004,"&lt;"&amp;DATE(YEAR(E$3),MONTH(E$3)+1,1)))</f>
        <v>0</v>
      </c>
      <c r="G7" s="27" t="n">
        <f aca="false">IF($A7="","",SUMIFS(請求台帳!$F$5:$F$504,請求台帳!$C$5:$C$504,$A7,請求台帳!$B$5:$B$504,"&gt;="&amp;G$3,請求台帳!$B$5:$B$504,"&lt;"&amp;DATE(YEAR(G$3),MONTH(G$3)+1,1),請求台帳!$Q$5:$Q$504,"&lt;&gt;取消"))</f>
        <v>0</v>
      </c>
      <c r="H7" s="27" t="n">
        <f aca="false">IF($A7="","",SUMIFS(入金明細!$E$5:$E$1004,入金明細!$G$5:$G$1004,$A7,入金明細!$B$5:$B$1004,"&gt;="&amp;G$3,入金明細!$B$5:$B$1004,"&lt;"&amp;DATE(YEAR(G$3),MONTH(G$3)+1,1)))</f>
        <v>0</v>
      </c>
      <c r="I7" s="27" t="n">
        <f aca="false">IF($A7="","",SUMIFS(請求台帳!$F$5:$F$504,請求台帳!$C$5:$C$504,$A7,請求台帳!$B$5:$B$504,"&gt;="&amp;I$3,請求台帳!$B$5:$B$504,"&lt;"&amp;DATE(YEAR(I$3),MONTH(I$3)+1,1),請求台帳!$Q$5:$Q$504,"&lt;&gt;取消"))</f>
        <v>0</v>
      </c>
      <c r="J7" s="27" t="n">
        <f aca="false">IF($A7="","",SUMIFS(入金明細!$E$5:$E$1004,入金明細!$G$5:$G$1004,$A7,入金明細!$B$5:$B$1004,"&gt;="&amp;I$3,入金明細!$B$5:$B$1004,"&lt;"&amp;DATE(YEAR(I$3),MONTH(I$3)+1,1)))</f>
        <v>0</v>
      </c>
      <c r="K7" s="27" t="n">
        <f aca="false">IF($A7="","",SUMIFS(請求台帳!$F$5:$F$504,請求台帳!$C$5:$C$504,$A7,請求台帳!$B$5:$B$504,"&gt;="&amp;K$3,請求台帳!$B$5:$B$504,"&lt;"&amp;DATE(YEAR(K$3),MONTH(K$3)+1,1),請求台帳!$Q$5:$Q$504,"&lt;&gt;取消"))</f>
        <v>0</v>
      </c>
      <c r="L7" s="27" t="n">
        <f aca="false">IF($A7="","",SUMIFS(入金明細!$E$5:$E$1004,入金明細!$G$5:$G$1004,$A7,入金明細!$B$5:$B$1004,"&gt;="&amp;K$3,入金明細!$B$5:$B$1004,"&lt;"&amp;DATE(YEAR(K$3),MONTH(K$3)+1,1)))</f>
        <v>0</v>
      </c>
      <c r="M7" s="27" t="n">
        <f aca="false">IF($A7="","",SUMIFS(請求台帳!$F$5:$F$504,請求台帳!$C$5:$C$504,$A7,請求台帳!$B$5:$B$504,"&gt;="&amp;M$3,請求台帳!$B$5:$B$504,"&lt;"&amp;DATE(YEAR(M$3),MONTH(M$3)+1,1),請求台帳!$Q$5:$Q$504,"&lt;&gt;取消"))</f>
        <v>0</v>
      </c>
      <c r="N7" s="27" t="n">
        <f aca="false">IF($A7="","",SUMIFS(入金明細!$E$5:$E$1004,入金明細!$G$5:$G$1004,$A7,入金明細!$B$5:$B$1004,"&gt;="&amp;M$3,入金明細!$B$5:$B$1004,"&lt;"&amp;DATE(YEAR(M$3),MONTH(M$3)+1,1)))</f>
        <v>0</v>
      </c>
      <c r="O7" s="27" t="n">
        <f aca="false">IF($A7="","",SUMIFS(請求台帳!$F$5:$F$504,請求台帳!$C$5:$C$504,$A7,請求台帳!$B$5:$B$504,"&gt;="&amp;O$3,請求台帳!$B$5:$B$504,"&lt;"&amp;DATE(YEAR(O$3),MONTH(O$3)+1,1),請求台帳!$Q$5:$Q$504,"&lt;&gt;取消"))</f>
        <v>0</v>
      </c>
      <c r="P7" s="27" t="n">
        <f aca="false">IF($A7="","",SUMIFS(入金明細!$E$5:$E$1004,入金明細!$G$5:$G$1004,$A7,入金明細!$B$5:$B$1004,"&gt;="&amp;O$3,入金明細!$B$5:$B$1004,"&lt;"&amp;DATE(YEAR(O$3),MONTH(O$3)+1,1)))</f>
        <v>0</v>
      </c>
      <c r="Q7" s="27" t="n">
        <f aca="false">IF($A7="","",SUMIFS(請求台帳!$F$5:$F$504,請求台帳!$C$5:$C$504,$A7,請求台帳!$B$5:$B$504,"&gt;="&amp;Q$3,請求台帳!$B$5:$B$504,"&lt;"&amp;DATE(YEAR(Q$3),MONTH(Q$3)+1,1),請求台帳!$Q$5:$Q$504,"&lt;&gt;取消"))</f>
        <v>0</v>
      </c>
      <c r="R7" s="27" t="n">
        <f aca="false">IF($A7="","",SUMIFS(入金明細!$E$5:$E$1004,入金明細!$G$5:$G$1004,$A7,入金明細!$B$5:$B$1004,"&gt;="&amp;Q$3,入金明細!$B$5:$B$1004,"&lt;"&amp;DATE(YEAR(Q$3),MONTH(Q$3)+1,1)))</f>
        <v>0</v>
      </c>
      <c r="S7" s="27" t="n">
        <f aca="false">IF($A7="","",SUMIFS(請求台帳!$F$5:$F$504,請求台帳!$C$5:$C$504,$A7,請求台帳!$B$5:$B$504,"&gt;="&amp;S$3,請求台帳!$B$5:$B$504,"&lt;"&amp;DATE(YEAR(S$3),MONTH(S$3)+1,1),請求台帳!$Q$5:$Q$504,"&lt;&gt;取消"))</f>
        <v>0</v>
      </c>
      <c r="T7" s="27" t="n">
        <f aca="false">IF($A7="","",SUMIFS(入金明細!$E$5:$E$1004,入金明細!$G$5:$G$1004,$A7,入金明細!$B$5:$B$1004,"&gt;="&amp;S$3,入金明細!$B$5:$B$1004,"&lt;"&amp;DATE(YEAR(S$3),MONTH(S$3)+1,1)))</f>
        <v>0</v>
      </c>
      <c r="U7" s="27" t="n">
        <f aca="false">IF($A7="","",SUMIFS(請求台帳!$F$5:$F$504,請求台帳!$C$5:$C$504,$A7,請求台帳!$B$5:$B$504,"&gt;="&amp;U$3,請求台帳!$B$5:$B$504,"&lt;"&amp;DATE(YEAR(U$3),MONTH(U$3)+1,1),請求台帳!$Q$5:$Q$504,"&lt;&gt;取消"))</f>
        <v>0</v>
      </c>
      <c r="V7" s="27" t="n">
        <f aca="false">IF($A7="","",SUMIFS(入金明細!$E$5:$E$1004,入金明細!$G$5:$G$1004,$A7,入金明細!$B$5:$B$1004,"&gt;="&amp;U$3,入金明細!$B$5:$B$1004,"&lt;"&amp;DATE(YEAR(U$3),MONTH(U$3)+1,1)))</f>
        <v>0</v>
      </c>
      <c r="W7" s="27" t="n">
        <f aca="false">IF($A7="","",SUMIFS(請求台帳!$F$5:$F$504,請求台帳!$C$5:$C$504,$A7,請求台帳!$B$5:$B$504,"&gt;="&amp;W$3,請求台帳!$B$5:$B$504,"&lt;"&amp;DATE(YEAR(W$3),MONTH(W$3)+1,1),請求台帳!$Q$5:$Q$504,"&lt;&gt;取消"))</f>
        <v>88000</v>
      </c>
      <c r="X7" s="27" t="n">
        <f aca="false">IF($A7="","",SUMIFS(入金明細!$E$5:$E$1004,入金明細!$G$5:$G$1004,$A7,入金明細!$B$5:$B$1004,"&gt;="&amp;W$3,入金明細!$B$5:$B$1004,"&lt;"&amp;DATE(YEAR(W$3),MONTH(W$3)+1,1)))</f>
        <v>0</v>
      </c>
      <c r="Y7" s="27" t="n">
        <f aca="false">IF($A7="","",SUMIFS(請求台帳!$F$5:$F$504,請求台帳!$C$5:$C$504,$A7,請求台帳!$B$5:$B$504,"&gt;="&amp;Y$3,請求台帳!$B$5:$B$504,"&lt;"&amp;DATE(YEAR(Y$3),MONTH(Y$3)+1,1),請求台帳!$Q$5:$Q$504,"&lt;&gt;取消"))</f>
        <v>36300</v>
      </c>
      <c r="Z7" s="27" t="n">
        <f aca="false">IF($A7="","",SUMIFS(入金明細!$E$5:$E$1004,入金明細!$G$5:$G$1004,$A7,入金明細!$B$5:$B$1004,"&gt;="&amp;Y$3,入金明細!$B$5:$B$1004,"&lt;"&amp;DATE(YEAR(Y$3),MONTH(Y$3)+1,1)))</f>
        <v>50000</v>
      </c>
      <c r="AA7" s="37" t="n">
        <f aca="false">SUM(C7,E7,G7,I7,K7,M7,O7,Q7,S7,U7,W7,Y7)</f>
        <v>124300</v>
      </c>
      <c r="AB7" s="37" t="n">
        <f aca="false">SUM(D7,F7,H7,J7,L7,N7,P7,R7,T7,V7,X7,Z7)</f>
        <v>50000</v>
      </c>
    </row>
    <row r="8" customFormat="false" ht="15" hidden="false" customHeight="false" outlineLevel="0" collapsed="false">
      <c r="A8" s="31" t="str">
        <f aca="false">IF(取引先マスタ!A8="","",取引先マスタ!A8)</f>
        <v/>
      </c>
      <c r="B8" s="31" t="str">
        <f aca="false">IF(A8="","",取引先マスタ!B8)</f>
        <v/>
      </c>
      <c r="C8" s="27" t="str">
        <f aca="false">IF($A8="","",SUMIFS(請求台帳!$F$5:$F$504,請求台帳!$C$5:$C$504,$A8,請求台帳!$B$5:$B$504,"&gt;="&amp;C$3,請求台帳!$B$5:$B$504,"&lt;"&amp;DATE(YEAR(C$3),MONTH(C$3)+1,1),請求台帳!$Q$5:$Q$504,"&lt;&gt;取消"))</f>
        <v/>
      </c>
      <c r="D8" s="27" t="str">
        <f aca="false">IF($A8="","",SUMIFS(入金明細!$E$5:$E$1004,入金明細!$G$5:$G$1004,$A8,入金明細!$B$5:$B$1004,"&gt;="&amp;C$3,入金明細!$B$5:$B$1004,"&lt;"&amp;DATE(YEAR(C$3),MONTH(C$3)+1,1)))</f>
        <v/>
      </c>
      <c r="E8" s="27" t="str">
        <f aca="false">IF($A8="","",SUMIFS(請求台帳!$F$5:$F$504,請求台帳!$C$5:$C$504,$A8,請求台帳!$B$5:$B$504,"&gt;="&amp;E$3,請求台帳!$B$5:$B$504,"&lt;"&amp;DATE(YEAR(E$3),MONTH(E$3)+1,1),請求台帳!$Q$5:$Q$504,"&lt;&gt;取消"))</f>
        <v/>
      </c>
      <c r="F8" s="27" t="str">
        <f aca="false">IF($A8="","",SUMIFS(入金明細!$E$5:$E$1004,入金明細!$G$5:$G$1004,$A8,入金明細!$B$5:$B$1004,"&gt;="&amp;E$3,入金明細!$B$5:$B$1004,"&lt;"&amp;DATE(YEAR(E$3),MONTH(E$3)+1,1)))</f>
        <v/>
      </c>
      <c r="G8" s="27" t="str">
        <f aca="false">IF($A8="","",SUMIFS(請求台帳!$F$5:$F$504,請求台帳!$C$5:$C$504,$A8,請求台帳!$B$5:$B$504,"&gt;="&amp;G$3,請求台帳!$B$5:$B$504,"&lt;"&amp;DATE(YEAR(G$3),MONTH(G$3)+1,1),請求台帳!$Q$5:$Q$504,"&lt;&gt;取消"))</f>
        <v/>
      </c>
      <c r="H8" s="27" t="str">
        <f aca="false">IF($A8="","",SUMIFS(入金明細!$E$5:$E$1004,入金明細!$G$5:$G$1004,$A8,入金明細!$B$5:$B$1004,"&gt;="&amp;G$3,入金明細!$B$5:$B$1004,"&lt;"&amp;DATE(YEAR(G$3),MONTH(G$3)+1,1)))</f>
        <v/>
      </c>
      <c r="I8" s="27" t="str">
        <f aca="false">IF($A8="","",SUMIFS(請求台帳!$F$5:$F$504,請求台帳!$C$5:$C$504,$A8,請求台帳!$B$5:$B$504,"&gt;="&amp;I$3,請求台帳!$B$5:$B$504,"&lt;"&amp;DATE(YEAR(I$3),MONTH(I$3)+1,1),請求台帳!$Q$5:$Q$504,"&lt;&gt;取消"))</f>
        <v/>
      </c>
      <c r="J8" s="27" t="str">
        <f aca="false">IF($A8="","",SUMIFS(入金明細!$E$5:$E$1004,入金明細!$G$5:$G$1004,$A8,入金明細!$B$5:$B$1004,"&gt;="&amp;I$3,入金明細!$B$5:$B$1004,"&lt;"&amp;DATE(YEAR(I$3),MONTH(I$3)+1,1)))</f>
        <v/>
      </c>
      <c r="K8" s="27" t="str">
        <f aca="false">IF($A8="","",SUMIFS(請求台帳!$F$5:$F$504,請求台帳!$C$5:$C$504,$A8,請求台帳!$B$5:$B$504,"&gt;="&amp;K$3,請求台帳!$B$5:$B$504,"&lt;"&amp;DATE(YEAR(K$3),MONTH(K$3)+1,1),請求台帳!$Q$5:$Q$504,"&lt;&gt;取消"))</f>
        <v/>
      </c>
      <c r="L8" s="27" t="str">
        <f aca="false">IF($A8="","",SUMIFS(入金明細!$E$5:$E$1004,入金明細!$G$5:$G$1004,$A8,入金明細!$B$5:$B$1004,"&gt;="&amp;K$3,入金明細!$B$5:$B$1004,"&lt;"&amp;DATE(YEAR(K$3),MONTH(K$3)+1,1)))</f>
        <v/>
      </c>
      <c r="M8" s="27" t="str">
        <f aca="false">IF($A8="","",SUMIFS(請求台帳!$F$5:$F$504,請求台帳!$C$5:$C$504,$A8,請求台帳!$B$5:$B$504,"&gt;="&amp;M$3,請求台帳!$B$5:$B$504,"&lt;"&amp;DATE(YEAR(M$3),MONTH(M$3)+1,1),請求台帳!$Q$5:$Q$504,"&lt;&gt;取消"))</f>
        <v/>
      </c>
      <c r="N8" s="27" t="str">
        <f aca="false">IF($A8="","",SUMIFS(入金明細!$E$5:$E$1004,入金明細!$G$5:$G$1004,$A8,入金明細!$B$5:$B$1004,"&gt;="&amp;M$3,入金明細!$B$5:$B$1004,"&lt;"&amp;DATE(YEAR(M$3),MONTH(M$3)+1,1)))</f>
        <v/>
      </c>
      <c r="O8" s="27" t="str">
        <f aca="false">IF($A8="","",SUMIFS(請求台帳!$F$5:$F$504,請求台帳!$C$5:$C$504,$A8,請求台帳!$B$5:$B$504,"&gt;="&amp;O$3,請求台帳!$B$5:$B$504,"&lt;"&amp;DATE(YEAR(O$3),MONTH(O$3)+1,1),請求台帳!$Q$5:$Q$504,"&lt;&gt;取消"))</f>
        <v/>
      </c>
      <c r="P8" s="27" t="str">
        <f aca="false">IF($A8="","",SUMIFS(入金明細!$E$5:$E$1004,入金明細!$G$5:$G$1004,$A8,入金明細!$B$5:$B$1004,"&gt;="&amp;O$3,入金明細!$B$5:$B$1004,"&lt;"&amp;DATE(YEAR(O$3),MONTH(O$3)+1,1)))</f>
        <v/>
      </c>
      <c r="Q8" s="27" t="str">
        <f aca="false">IF($A8="","",SUMIFS(請求台帳!$F$5:$F$504,請求台帳!$C$5:$C$504,$A8,請求台帳!$B$5:$B$504,"&gt;="&amp;Q$3,請求台帳!$B$5:$B$504,"&lt;"&amp;DATE(YEAR(Q$3),MONTH(Q$3)+1,1),請求台帳!$Q$5:$Q$504,"&lt;&gt;取消"))</f>
        <v/>
      </c>
      <c r="R8" s="27" t="str">
        <f aca="false">IF($A8="","",SUMIFS(入金明細!$E$5:$E$1004,入金明細!$G$5:$G$1004,$A8,入金明細!$B$5:$B$1004,"&gt;="&amp;Q$3,入金明細!$B$5:$B$1004,"&lt;"&amp;DATE(YEAR(Q$3),MONTH(Q$3)+1,1)))</f>
        <v/>
      </c>
      <c r="S8" s="27" t="str">
        <f aca="false">IF($A8="","",SUMIFS(請求台帳!$F$5:$F$504,請求台帳!$C$5:$C$504,$A8,請求台帳!$B$5:$B$504,"&gt;="&amp;S$3,請求台帳!$B$5:$B$504,"&lt;"&amp;DATE(YEAR(S$3),MONTH(S$3)+1,1),請求台帳!$Q$5:$Q$504,"&lt;&gt;取消"))</f>
        <v/>
      </c>
      <c r="T8" s="27" t="str">
        <f aca="false">IF($A8="","",SUMIFS(入金明細!$E$5:$E$1004,入金明細!$G$5:$G$1004,$A8,入金明細!$B$5:$B$1004,"&gt;="&amp;S$3,入金明細!$B$5:$B$1004,"&lt;"&amp;DATE(YEAR(S$3),MONTH(S$3)+1,1)))</f>
        <v/>
      </c>
      <c r="U8" s="27" t="str">
        <f aca="false">IF($A8="","",SUMIFS(請求台帳!$F$5:$F$504,請求台帳!$C$5:$C$504,$A8,請求台帳!$B$5:$B$504,"&gt;="&amp;U$3,請求台帳!$B$5:$B$504,"&lt;"&amp;DATE(YEAR(U$3),MONTH(U$3)+1,1),請求台帳!$Q$5:$Q$504,"&lt;&gt;取消"))</f>
        <v/>
      </c>
      <c r="V8" s="27" t="str">
        <f aca="false">IF($A8="","",SUMIFS(入金明細!$E$5:$E$1004,入金明細!$G$5:$G$1004,$A8,入金明細!$B$5:$B$1004,"&gt;="&amp;U$3,入金明細!$B$5:$B$1004,"&lt;"&amp;DATE(YEAR(U$3),MONTH(U$3)+1,1)))</f>
        <v/>
      </c>
      <c r="W8" s="27" t="str">
        <f aca="false">IF($A8="","",SUMIFS(請求台帳!$F$5:$F$504,請求台帳!$C$5:$C$504,$A8,請求台帳!$B$5:$B$504,"&gt;="&amp;W$3,請求台帳!$B$5:$B$504,"&lt;"&amp;DATE(YEAR(W$3),MONTH(W$3)+1,1),請求台帳!$Q$5:$Q$504,"&lt;&gt;取消"))</f>
        <v/>
      </c>
      <c r="X8" s="27" t="str">
        <f aca="false">IF($A8="","",SUMIFS(入金明細!$E$5:$E$1004,入金明細!$G$5:$G$1004,$A8,入金明細!$B$5:$B$1004,"&gt;="&amp;W$3,入金明細!$B$5:$B$1004,"&lt;"&amp;DATE(YEAR(W$3),MONTH(W$3)+1,1)))</f>
        <v/>
      </c>
      <c r="Y8" s="27" t="str">
        <f aca="false">IF($A8="","",SUMIFS(請求台帳!$F$5:$F$504,請求台帳!$C$5:$C$504,$A8,請求台帳!$B$5:$B$504,"&gt;="&amp;Y$3,請求台帳!$B$5:$B$504,"&lt;"&amp;DATE(YEAR(Y$3),MONTH(Y$3)+1,1),請求台帳!$Q$5:$Q$504,"&lt;&gt;取消"))</f>
        <v/>
      </c>
      <c r="Z8" s="27" t="str">
        <f aca="false">IF($A8="","",SUMIFS(入金明細!$E$5:$E$1004,入金明細!$G$5:$G$1004,$A8,入金明細!$B$5:$B$1004,"&gt;="&amp;Y$3,入金明細!$B$5:$B$1004,"&lt;"&amp;DATE(YEAR(Y$3),MONTH(Y$3)+1,1)))</f>
        <v/>
      </c>
      <c r="AA8" s="37" t="n">
        <f aca="false">SUM(C8,E8,G8,I8,K8,M8,O8,Q8,S8,U8,W8,Y8)</f>
        <v>0</v>
      </c>
      <c r="AB8" s="37" t="n">
        <f aca="false">SUM(D8,F8,H8,J8,L8,N8,P8,R8,T8,V8,X8,Z8)</f>
        <v>0</v>
      </c>
    </row>
    <row r="9" customFormat="false" ht="15" hidden="false" customHeight="false" outlineLevel="0" collapsed="false">
      <c r="A9" s="31" t="str">
        <f aca="false">IF(取引先マスタ!A9="","",取引先マスタ!A9)</f>
        <v/>
      </c>
      <c r="B9" s="31" t="str">
        <f aca="false">IF(A9="","",取引先マスタ!B9)</f>
        <v/>
      </c>
      <c r="C9" s="27" t="str">
        <f aca="false">IF($A9="","",SUMIFS(請求台帳!$F$5:$F$504,請求台帳!$C$5:$C$504,$A9,請求台帳!$B$5:$B$504,"&gt;="&amp;C$3,請求台帳!$B$5:$B$504,"&lt;"&amp;DATE(YEAR(C$3),MONTH(C$3)+1,1),請求台帳!$Q$5:$Q$504,"&lt;&gt;取消"))</f>
        <v/>
      </c>
      <c r="D9" s="27" t="str">
        <f aca="false">IF($A9="","",SUMIFS(入金明細!$E$5:$E$1004,入金明細!$G$5:$G$1004,$A9,入金明細!$B$5:$B$1004,"&gt;="&amp;C$3,入金明細!$B$5:$B$1004,"&lt;"&amp;DATE(YEAR(C$3),MONTH(C$3)+1,1)))</f>
        <v/>
      </c>
      <c r="E9" s="27" t="str">
        <f aca="false">IF($A9="","",SUMIFS(請求台帳!$F$5:$F$504,請求台帳!$C$5:$C$504,$A9,請求台帳!$B$5:$B$504,"&gt;="&amp;E$3,請求台帳!$B$5:$B$504,"&lt;"&amp;DATE(YEAR(E$3),MONTH(E$3)+1,1),請求台帳!$Q$5:$Q$504,"&lt;&gt;取消"))</f>
        <v/>
      </c>
      <c r="F9" s="27" t="str">
        <f aca="false">IF($A9="","",SUMIFS(入金明細!$E$5:$E$1004,入金明細!$G$5:$G$1004,$A9,入金明細!$B$5:$B$1004,"&gt;="&amp;E$3,入金明細!$B$5:$B$1004,"&lt;"&amp;DATE(YEAR(E$3),MONTH(E$3)+1,1)))</f>
        <v/>
      </c>
      <c r="G9" s="27" t="str">
        <f aca="false">IF($A9="","",SUMIFS(請求台帳!$F$5:$F$504,請求台帳!$C$5:$C$504,$A9,請求台帳!$B$5:$B$504,"&gt;="&amp;G$3,請求台帳!$B$5:$B$504,"&lt;"&amp;DATE(YEAR(G$3),MONTH(G$3)+1,1),請求台帳!$Q$5:$Q$504,"&lt;&gt;取消"))</f>
        <v/>
      </c>
      <c r="H9" s="27" t="str">
        <f aca="false">IF($A9="","",SUMIFS(入金明細!$E$5:$E$1004,入金明細!$G$5:$G$1004,$A9,入金明細!$B$5:$B$1004,"&gt;="&amp;G$3,入金明細!$B$5:$B$1004,"&lt;"&amp;DATE(YEAR(G$3),MONTH(G$3)+1,1)))</f>
        <v/>
      </c>
      <c r="I9" s="27" t="str">
        <f aca="false">IF($A9="","",SUMIFS(請求台帳!$F$5:$F$504,請求台帳!$C$5:$C$504,$A9,請求台帳!$B$5:$B$504,"&gt;="&amp;I$3,請求台帳!$B$5:$B$504,"&lt;"&amp;DATE(YEAR(I$3),MONTH(I$3)+1,1),請求台帳!$Q$5:$Q$504,"&lt;&gt;取消"))</f>
        <v/>
      </c>
      <c r="J9" s="27" t="str">
        <f aca="false">IF($A9="","",SUMIFS(入金明細!$E$5:$E$1004,入金明細!$G$5:$G$1004,$A9,入金明細!$B$5:$B$1004,"&gt;="&amp;I$3,入金明細!$B$5:$B$1004,"&lt;"&amp;DATE(YEAR(I$3),MONTH(I$3)+1,1)))</f>
        <v/>
      </c>
      <c r="K9" s="27" t="str">
        <f aca="false">IF($A9="","",SUMIFS(請求台帳!$F$5:$F$504,請求台帳!$C$5:$C$504,$A9,請求台帳!$B$5:$B$504,"&gt;="&amp;K$3,請求台帳!$B$5:$B$504,"&lt;"&amp;DATE(YEAR(K$3),MONTH(K$3)+1,1),請求台帳!$Q$5:$Q$504,"&lt;&gt;取消"))</f>
        <v/>
      </c>
      <c r="L9" s="27" t="str">
        <f aca="false">IF($A9="","",SUMIFS(入金明細!$E$5:$E$1004,入金明細!$G$5:$G$1004,$A9,入金明細!$B$5:$B$1004,"&gt;="&amp;K$3,入金明細!$B$5:$B$1004,"&lt;"&amp;DATE(YEAR(K$3),MONTH(K$3)+1,1)))</f>
        <v/>
      </c>
      <c r="M9" s="27" t="str">
        <f aca="false">IF($A9="","",SUMIFS(請求台帳!$F$5:$F$504,請求台帳!$C$5:$C$504,$A9,請求台帳!$B$5:$B$504,"&gt;="&amp;M$3,請求台帳!$B$5:$B$504,"&lt;"&amp;DATE(YEAR(M$3),MONTH(M$3)+1,1),請求台帳!$Q$5:$Q$504,"&lt;&gt;取消"))</f>
        <v/>
      </c>
      <c r="N9" s="27" t="str">
        <f aca="false">IF($A9="","",SUMIFS(入金明細!$E$5:$E$1004,入金明細!$G$5:$G$1004,$A9,入金明細!$B$5:$B$1004,"&gt;="&amp;M$3,入金明細!$B$5:$B$1004,"&lt;"&amp;DATE(YEAR(M$3),MONTH(M$3)+1,1)))</f>
        <v/>
      </c>
      <c r="O9" s="27" t="str">
        <f aca="false">IF($A9="","",SUMIFS(請求台帳!$F$5:$F$504,請求台帳!$C$5:$C$504,$A9,請求台帳!$B$5:$B$504,"&gt;="&amp;O$3,請求台帳!$B$5:$B$504,"&lt;"&amp;DATE(YEAR(O$3),MONTH(O$3)+1,1),請求台帳!$Q$5:$Q$504,"&lt;&gt;取消"))</f>
        <v/>
      </c>
      <c r="P9" s="27" t="str">
        <f aca="false">IF($A9="","",SUMIFS(入金明細!$E$5:$E$1004,入金明細!$G$5:$G$1004,$A9,入金明細!$B$5:$B$1004,"&gt;="&amp;O$3,入金明細!$B$5:$B$1004,"&lt;"&amp;DATE(YEAR(O$3),MONTH(O$3)+1,1)))</f>
        <v/>
      </c>
      <c r="Q9" s="27" t="str">
        <f aca="false">IF($A9="","",SUMIFS(請求台帳!$F$5:$F$504,請求台帳!$C$5:$C$504,$A9,請求台帳!$B$5:$B$504,"&gt;="&amp;Q$3,請求台帳!$B$5:$B$504,"&lt;"&amp;DATE(YEAR(Q$3),MONTH(Q$3)+1,1),請求台帳!$Q$5:$Q$504,"&lt;&gt;取消"))</f>
        <v/>
      </c>
      <c r="R9" s="27" t="str">
        <f aca="false">IF($A9="","",SUMIFS(入金明細!$E$5:$E$1004,入金明細!$G$5:$G$1004,$A9,入金明細!$B$5:$B$1004,"&gt;="&amp;Q$3,入金明細!$B$5:$B$1004,"&lt;"&amp;DATE(YEAR(Q$3),MONTH(Q$3)+1,1)))</f>
        <v/>
      </c>
      <c r="S9" s="27" t="str">
        <f aca="false">IF($A9="","",SUMIFS(請求台帳!$F$5:$F$504,請求台帳!$C$5:$C$504,$A9,請求台帳!$B$5:$B$504,"&gt;="&amp;S$3,請求台帳!$B$5:$B$504,"&lt;"&amp;DATE(YEAR(S$3),MONTH(S$3)+1,1),請求台帳!$Q$5:$Q$504,"&lt;&gt;取消"))</f>
        <v/>
      </c>
      <c r="T9" s="27" t="str">
        <f aca="false">IF($A9="","",SUMIFS(入金明細!$E$5:$E$1004,入金明細!$G$5:$G$1004,$A9,入金明細!$B$5:$B$1004,"&gt;="&amp;S$3,入金明細!$B$5:$B$1004,"&lt;"&amp;DATE(YEAR(S$3),MONTH(S$3)+1,1)))</f>
        <v/>
      </c>
      <c r="U9" s="27" t="str">
        <f aca="false">IF($A9="","",SUMIFS(請求台帳!$F$5:$F$504,請求台帳!$C$5:$C$504,$A9,請求台帳!$B$5:$B$504,"&gt;="&amp;U$3,請求台帳!$B$5:$B$504,"&lt;"&amp;DATE(YEAR(U$3),MONTH(U$3)+1,1),請求台帳!$Q$5:$Q$504,"&lt;&gt;取消"))</f>
        <v/>
      </c>
      <c r="V9" s="27" t="str">
        <f aca="false">IF($A9="","",SUMIFS(入金明細!$E$5:$E$1004,入金明細!$G$5:$G$1004,$A9,入金明細!$B$5:$B$1004,"&gt;="&amp;U$3,入金明細!$B$5:$B$1004,"&lt;"&amp;DATE(YEAR(U$3),MONTH(U$3)+1,1)))</f>
        <v/>
      </c>
      <c r="W9" s="27" t="str">
        <f aca="false">IF($A9="","",SUMIFS(請求台帳!$F$5:$F$504,請求台帳!$C$5:$C$504,$A9,請求台帳!$B$5:$B$504,"&gt;="&amp;W$3,請求台帳!$B$5:$B$504,"&lt;"&amp;DATE(YEAR(W$3),MONTH(W$3)+1,1),請求台帳!$Q$5:$Q$504,"&lt;&gt;取消"))</f>
        <v/>
      </c>
      <c r="X9" s="27" t="str">
        <f aca="false">IF($A9="","",SUMIFS(入金明細!$E$5:$E$1004,入金明細!$G$5:$G$1004,$A9,入金明細!$B$5:$B$1004,"&gt;="&amp;W$3,入金明細!$B$5:$B$1004,"&lt;"&amp;DATE(YEAR(W$3),MONTH(W$3)+1,1)))</f>
        <v/>
      </c>
      <c r="Y9" s="27" t="str">
        <f aca="false">IF($A9="","",SUMIFS(請求台帳!$F$5:$F$504,請求台帳!$C$5:$C$504,$A9,請求台帳!$B$5:$B$504,"&gt;="&amp;Y$3,請求台帳!$B$5:$B$504,"&lt;"&amp;DATE(YEAR(Y$3),MONTH(Y$3)+1,1),請求台帳!$Q$5:$Q$504,"&lt;&gt;取消"))</f>
        <v/>
      </c>
      <c r="Z9" s="27" t="str">
        <f aca="false">IF($A9="","",SUMIFS(入金明細!$E$5:$E$1004,入金明細!$G$5:$G$1004,$A9,入金明細!$B$5:$B$1004,"&gt;="&amp;Y$3,入金明細!$B$5:$B$1004,"&lt;"&amp;DATE(YEAR(Y$3),MONTH(Y$3)+1,1)))</f>
        <v/>
      </c>
      <c r="AA9" s="37" t="n">
        <f aca="false">SUM(C9,E9,G9,I9,K9,M9,O9,Q9,S9,U9,W9,Y9)</f>
        <v>0</v>
      </c>
      <c r="AB9" s="37" t="n">
        <f aca="false">SUM(D9,F9,H9,J9,L9,N9,P9,R9,T9,V9,X9,Z9)</f>
        <v>0</v>
      </c>
    </row>
    <row r="10" customFormat="false" ht="15" hidden="false" customHeight="false" outlineLevel="0" collapsed="false">
      <c r="A10" s="31" t="str">
        <f aca="false">IF(取引先マスタ!A10="","",取引先マスタ!A10)</f>
        <v/>
      </c>
      <c r="B10" s="31" t="str">
        <f aca="false">IF(A10="","",取引先マスタ!B10)</f>
        <v/>
      </c>
      <c r="C10" s="27" t="str">
        <f aca="false">IF($A10="","",SUMIFS(請求台帳!$F$5:$F$504,請求台帳!$C$5:$C$504,$A10,請求台帳!$B$5:$B$504,"&gt;="&amp;C$3,請求台帳!$B$5:$B$504,"&lt;"&amp;DATE(YEAR(C$3),MONTH(C$3)+1,1),請求台帳!$Q$5:$Q$504,"&lt;&gt;取消"))</f>
        <v/>
      </c>
      <c r="D10" s="27" t="str">
        <f aca="false">IF($A10="","",SUMIFS(入金明細!$E$5:$E$1004,入金明細!$G$5:$G$1004,$A10,入金明細!$B$5:$B$1004,"&gt;="&amp;C$3,入金明細!$B$5:$B$1004,"&lt;"&amp;DATE(YEAR(C$3),MONTH(C$3)+1,1)))</f>
        <v/>
      </c>
      <c r="E10" s="27" t="str">
        <f aca="false">IF($A10="","",SUMIFS(請求台帳!$F$5:$F$504,請求台帳!$C$5:$C$504,$A10,請求台帳!$B$5:$B$504,"&gt;="&amp;E$3,請求台帳!$B$5:$B$504,"&lt;"&amp;DATE(YEAR(E$3),MONTH(E$3)+1,1),請求台帳!$Q$5:$Q$504,"&lt;&gt;取消"))</f>
        <v/>
      </c>
      <c r="F10" s="27" t="str">
        <f aca="false">IF($A10="","",SUMIFS(入金明細!$E$5:$E$1004,入金明細!$G$5:$G$1004,$A10,入金明細!$B$5:$B$1004,"&gt;="&amp;E$3,入金明細!$B$5:$B$1004,"&lt;"&amp;DATE(YEAR(E$3),MONTH(E$3)+1,1)))</f>
        <v/>
      </c>
      <c r="G10" s="27" t="str">
        <f aca="false">IF($A10="","",SUMIFS(請求台帳!$F$5:$F$504,請求台帳!$C$5:$C$504,$A10,請求台帳!$B$5:$B$504,"&gt;="&amp;G$3,請求台帳!$B$5:$B$504,"&lt;"&amp;DATE(YEAR(G$3),MONTH(G$3)+1,1),請求台帳!$Q$5:$Q$504,"&lt;&gt;取消"))</f>
        <v/>
      </c>
      <c r="H10" s="27" t="str">
        <f aca="false">IF($A10="","",SUMIFS(入金明細!$E$5:$E$1004,入金明細!$G$5:$G$1004,$A10,入金明細!$B$5:$B$1004,"&gt;="&amp;G$3,入金明細!$B$5:$B$1004,"&lt;"&amp;DATE(YEAR(G$3),MONTH(G$3)+1,1)))</f>
        <v/>
      </c>
      <c r="I10" s="27" t="str">
        <f aca="false">IF($A10="","",SUMIFS(請求台帳!$F$5:$F$504,請求台帳!$C$5:$C$504,$A10,請求台帳!$B$5:$B$504,"&gt;="&amp;I$3,請求台帳!$B$5:$B$504,"&lt;"&amp;DATE(YEAR(I$3),MONTH(I$3)+1,1),請求台帳!$Q$5:$Q$504,"&lt;&gt;取消"))</f>
        <v/>
      </c>
      <c r="J10" s="27" t="str">
        <f aca="false">IF($A10="","",SUMIFS(入金明細!$E$5:$E$1004,入金明細!$G$5:$G$1004,$A10,入金明細!$B$5:$B$1004,"&gt;="&amp;I$3,入金明細!$B$5:$B$1004,"&lt;"&amp;DATE(YEAR(I$3),MONTH(I$3)+1,1)))</f>
        <v/>
      </c>
      <c r="K10" s="27" t="str">
        <f aca="false">IF($A10="","",SUMIFS(請求台帳!$F$5:$F$504,請求台帳!$C$5:$C$504,$A10,請求台帳!$B$5:$B$504,"&gt;="&amp;K$3,請求台帳!$B$5:$B$504,"&lt;"&amp;DATE(YEAR(K$3),MONTH(K$3)+1,1),請求台帳!$Q$5:$Q$504,"&lt;&gt;取消"))</f>
        <v/>
      </c>
      <c r="L10" s="27" t="str">
        <f aca="false">IF($A10="","",SUMIFS(入金明細!$E$5:$E$1004,入金明細!$G$5:$G$1004,$A10,入金明細!$B$5:$B$1004,"&gt;="&amp;K$3,入金明細!$B$5:$B$1004,"&lt;"&amp;DATE(YEAR(K$3),MONTH(K$3)+1,1)))</f>
        <v/>
      </c>
      <c r="M10" s="27" t="str">
        <f aca="false">IF($A10="","",SUMIFS(請求台帳!$F$5:$F$504,請求台帳!$C$5:$C$504,$A10,請求台帳!$B$5:$B$504,"&gt;="&amp;M$3,請求台帳!$B$5:$B$504,"&lt;"&amp;DATE(YEAR(M$3),MONTH(M$3)+1,1),請求台帳!$Q$5:$Q$504,"&lt;&gt;取消"))</f>
        <v/>
      </c>
      <c r="N10" s="27" t="str">
        <f aca="false">IF($A10="","",SUMIFS(入金明細!$E$5:$E$1004,入金明細!$G$5:$G$1004,$A10,入金明細!$B$5:$B$1004,"&gt;="&amp;M$3,入金明細!$B$5:$B$1004,"&lt;"&amp;DATE(YEAR(M$3),MONTH(M$3)+1,1)))</f>
        <v/>
      </c>
      <c r="O10" s="27" t="str">
        <f aca="false">IF($A10="","",SUMIFS(請求台帳!$F$5:$F$504,請求台帳!$C$5:$C$504,$A10,請求台帳!$B$5:$B$504,"&gt;="&amp;O$3,請求台帳!$B$5:$B$504,"&lt;"&amp;DATE(YEAR(O$3),MONTH(O$3)+1,1),請求台帳!$Q$5:$Q$504,"&lt;&gt;取消"))</f>
        <v/>
      </c>
      <c r="P10" s="27" t="str">
        <f aca="false">IF($A10="","",SUMIFS(入金明細!$E$5:$E$1004,入金明細!$G$5:$G$1004,$A10,入金明細!$B$5:$B$1004,"&gt;="&amp;O$3,入金明細!$B$5:$B$1004,"&lt;"&amp;DATE(YEAR(O$3),MONTH(O$3)+1,1)))</f>
        <v/>
      </c>
      <c r="Q10" s="27" t="str">
        <f aca="false">IF($A10="","",SUMIFS(請求台帳!$F$5:$F$504,請求台帳!$C$5:$C$504,$A10,請求台帳!$B$5:$B$504,"&gt;="&amp;Q$3,請求台帳!$B$5:$B$504,"&lt;"&amp;DATE(YEAR(Q$3),MONTH(Q$3)+1,1),請求台帳!$Q$5:$Q$504,"&lt;&gt;取消"))</f>
        <v/>
      </c>
      <c r="R10" s="27" t="str">
        <f aca="false">IF($A10="","",SUMIFS(入金明細!$E$5:$E$1004,入金明細!$G$5:$G$1004,$A10,入金明細!$B$5:$B$1004,"&gt;="&amp;Q$3,入金明細!$B$5:$B$1004,"&lt;"&amp;DATE(YEAR(Q$3),MONTH(Q$3)+1,1)))</f>
        <v/>
      </c>
      <c r="S10" s="27" t="str">
        <f aca="false">IF($A10="","",SUMIFS(請求台帳!$F$5:$F$504,請求台帳!$C$5:$C$504,$A10,請求台帳!$B$5:$B$504,"&gt;="&amp;S$3,請求台帳!$B$5:$B$504,"&lt;"&amp;DATE(YEAR(S$3),MONTH(S$3)+1,1),請求台帳!$Q$5:$Q$504,"&lt;&gt;取消"))</f>
        <v/>
      </c>
      <c r="T10" s="27" t="str">
        <f aca="false">IF($A10="","",SUMIFS(入金明細!$E$5:$E$1004,入金明細!$G$5:$G$1004,$A10,入金明細!$B$5:$B$1004,"&gt;="&amp;S$3,入金明細!$B$5:$B$1004,"&lt;"&amp;DATE(YEAR(S$3),MONTH(S$3)+1,1)))</f>
        <v/>
      </c>
      <c r="U10" s="27" t="str">
        <f aca="false">IF($A10="","",SUMIFS(請求台帳!$F$5:$F$504,請求台帳!$C$5:$C$504,$A10,請求台帳!$B$5:$B$504,"&gt;="&amp;U$3,請求台帳!$B$5:$B$504,"&lt;"&amp;DATE(YEAR(U$3),MONTH(U$3)+1,1),請求台帳!$Q$5:$Q$504,"&lt;&gt;取消"))</f>
        <v/>
      </c>
      <c r="V10" s="27" t="str">
        <f aca="false">IF($A10="","",SUMIFS(入金明細!$E$5:$E$1004,入金明細!$G$5:$G$1004,$A10,入金明細!$B$5:$B$1004,"&gt;="&amp;U$3,入金明細!$B$5:$B$1004,"&lt;"&amp;DATE(YEAR(U$3),MONTH(U$3)+1,1)))</f>
        <v/>
      </c>
      <c r="W10" s="27" t="str">
        <f aca="false">IF($A10="","",SUMIFS(請求台帳!$F$5:$F$504,請求台帳!$C$5:$C$504,$A10,請求台帳!$B$5:$B$504,"&gt;="&amp;W$3,請求台帳!$B$5:$B$504,"&lt;"&amp;DATE(YEAR(W$3),MONTH(W$3)+1,1),請求台帳!$Q$5:$Q$504,"&lt;&gt;取消"))</f>
        <v/>
      </c>
      <c r="X10" s="27" t="str">
        <f aca="false">IF($A10="","",SUMIFS(入金明細!$E$5:$E$1004,入金明細!$G$5:$G$1004,$A10,入金明細!$B$5:$B$1004,"&gt;="&amp;W$3,入金明細!$B$5:$B$1004,"&lt;"&amp;DATE(YEAR(W$3),MONTH(W$3)+1,1)))</f>
        <v/>
      </c>
      <c r="Y10" s="27" t="str">
        <f aca="false">IF($A10="","",SUMIFS(請求台帳!$F$5:$F$504,請求台帳!$C$5:$C$504,$A10,請求台帳!$B$5:$B$504,"&gt;="&amp;Y$3,請求台帳!$B$5:$B$504,"&lt;"&amp;DATE(YEAR(Y$3),MONTH(Y$3)+1,1),請求台帳!$Q$5:$Q$504,"&lt;&gt;取消"))</f>
        <v/>
      </c>
      <c r="Z10" s="27" t="str">
        <f aca="false">IF($A10="","",SUMIFS(入金明細!$E$5:$E$1004,入金明細!$G$5:$G$1004,$A10,入金明細!$B$5:$B$1004,"&gt;="&amp;Y$3,入金明細!$B$5:$B$1004,"&lt;"&amp;DATE(YEAR(Y$3),MONTH(Y$3)+1,1)))</f>
        <v/>
      </c>
      <c r="AA10" s="37" t="n">
        <f aca="false">SUM(C10,E10,G10,I10,K10,M10,O10,Q10,S10,U10,W10,Y10)</f>
        <v>0</v>
      </c>
      <c r="AB10" s="37" t="n">
        <f aca="false">SUM(D10,F10,H10,J10,L10,N10,P10,R10,T10,V10,X10,Z10)</f>
        <v>0</v>
      </c>
    </row>
    <row r="11" customFormat="false" ht="15" hidden="false" customHeight="false" outlineLevel="0" collapsed="false">
      <c r="A11" s="31" t="str">
        <f aca="false">IF(取引先マスタ!A11="","",取引先マスタ!A11)</f>
        <v/>
      </c>
      <c r="B11" s="31" t="str">
        <f aca="false">IF(A11="","",取引先マスタ!B11)</f>
        <v/>
      </c>
      <c r="C11" s="27" t="str">
        <f aca="false">IF($A11="","",SUMIFS(請求台帳!$F$5:$F$504,請求台帳!$C$5:$C$504,$A11,請求台帳!$B$5:$B$504,"&gt;="&amp;C$3,請求台帳!$B$5:$B$504,"&lt;"&amp;DATE(YEAR(C$3),MONTH(C$3)+1,1),請求台帳!$Q$5:$Q$504,"&lt;&gt;取消"))</f>
        <v/>
      </c>
      <c r="D11" s="27" t="str">
        <f aca="false">IF($A11="","",SUMIFS(入金明細!$E$5:$E$1004,入金明細!$G$5:$G$1004,$A11,入金明細!$B$5:$B$1004,"&gt;="&amp;C$3,入金明細!$B$5:$B$1004,"&lt;"&amp;DATE(YEAR(C$3),MONTH(C$3)+1,1)))</f>
        <v/>
      </c>
      <c r="E11" s="27" t="str">
        <f aca="false">IF($A11="","",SUMIFS(請求台帳!$F$5:$F$504,請求台帳!$C$5:$C$504,$A11,請求台帳!$B$5:$B$504,"&gt;="&amp;E$3,請求台帳!$B$5:$B$504,"&lt;"&amp;DATE(YEAR(E$3),MONTH(E$3)+1,1),請求台帳!$Q$5:$Q$504,"&lt;&gt;取消"))</f>
        <v/>
      </c>
      <c r="F11" s="27" t="str">
        <f aca="false">IF($A11="","",SUMIFS(入金明細!$E$5:$E$1004,入金明細!$G$5:$G$1004,$A11,入金明細!$B$5:$B$1004,"&gt;="&amp;E$3,入金明細!$B$5:$B$1004,"&lt;"&amp;DATE(YEAR(E$3),MONTH(E$3)+1,1)))</f>
        <v/>
      </c>
      <c r="G11" s="27" t="str">
        <f aca="false">IF($A11="","",SUMIFS(請求台帳!$F$5:$F$504,請求台帳!$C$5:$C$504,$A11,請求台帳!$B$5:$B$504,"&gt;="&amp;G$3,請求台帳!$B$5:$B$504,"&lt;"&amp;DATE(YEAR(G$3),MONTH(G$3)+1,1),請求台帳!$Q$5:$Q$504,"&lt;&gt;取消"))</f>
        <v/>
      </c>
      <c r="H11" s="27" t="str">
        <f aca="false">IF($A11="","",SUMIFS(入金明細!$E$5:$E$1004,入金明細!$G$5:$G$1004,$A11,入金明細!$B$5:$B$1004,"&gt;="&amp;G$3,入金明細!$B$5:$B$1004,"&lt;"&amp;DATE(YEAR(G$3),MONTH(G$3)+1,1)))</f>
        <v/>
      </c>
      <c r="I11" s="27" t="str">
        <f aca="false">IF($A11="","",SUMIFS(請求台帳!$F$5:$F$504,請求台帳!$C$5:$C$504,$A11,請求台帳!$B$5:$B$504,"&gt;="&amp;I$3,請求台帳!$B$5:$B$504,"&lt;"&amp;DATE(YEAR(I$3),MONTH(I$3)+1,1),請求台帳!$Q$5:$Q$504,"&lt;&gt;取消"))</f>
        <v/>
      </c>
      <c r="J11" s="27" t="str">
        <f aca="false">IF($A11="","",SUMIFS(入金明細!$E$5:$E$1004,入金明細!$G$5:$G$1004,$A11,入金明細!$B$5:$B$1004,"&gt;="&amp;I$3,入金明細!$B$5:$B$1004,"&lt;"&amp;DATE(YEAR(I$3),MONTH(I$3)+1,1)))</f>
        <v/>
      </c>
      <c r="K11" s="27" t="str">
        <f aca="false">IF($A11="","",SUMIFS(請求台帳!$F$5:$F$504,請求台帳!$C$5:$C$504,$A11,請求台帳!$B$5:$B$504,"&gt;="&amp;K$3,請求台帳!$B$5:$B$504,"&lt;"&amp;DATE(YEAR(K$3),MONTH(K$3)+1,1),請求台帳!$Q$5:$Q$504,"&lt;&gt;取消"))</f>
        <v/>
      </c>
      <c r="L11" s="27" t="str">
        <f aca="false">IF($A11="","",SUMIFS(入金明細!$E$5:$E$1004,入金明細!$G$5:$G$1004,$A11,入金明細!$B$5:$B$1004,"&gt;="&amp;K$3,入金明細!$B$5:$B$1004,"&lt;"&amp;DATE(YEAR(K$3),MONTH(K$3)+1,1)))</f>
        <v/>
      </c>
      <c r="M11" s="27" t="str">
        <f aca="false">IF($A11="","",SUMIFS(請求台帳!$F$5:$F$504,請求台帳!$C$5:$C$504,$A11,請求台帳!$B$5:$B$504,"&gt;="&amp;M$3,請求台帳!$B$5:$B$504,"&lt;"&amp;DATE(YEAR(M$3),MONTH(M$3)+1,1),請求台帳!$Q$5:$Q$504,"&lt;&gt;取消"))</f>
        <v/>
      </c>
      <c r="N11" s="27" t="str">
        <f aca="false">IF($A11="","",SUMIFS(入金明細!$E$5:$E$1004,入金明細!$G$5:$G$1004,$A11,入金明細!$B$5:$B$1004,"&gt;="&amp;M$3,入金明細!$B$5:$B$1004,"&lt;"&amp;DATE(YEAR(M$3),MONTH(M$3)+1,1)))</f>
        <v/>
      </c>
      <c r="O11" s="27" t="str">
        <f aca="false">IF($A11="","",SUMIFS(請求台帳!$F$5:$F$504,請求台帳!$C$5:$C$504,$A11,請求台帳!$B$5:$B$504,"&gt;="&amp;O$3,請求台帳!$B$5:$B$504,"&lt;"&amp;DATE(YEAR(O$3),MONTH(O$3)+1,1),請求台帳!$Q$5:$Q$504,"&lt;&gt;取消"))</f>
        <v/>
      </c>
      <c r="P11" s="27" t="str">
        <f aca="false">IF($A11="","",SUMIFS(入金明細!$E$5:$E$1004,入金明細!$G$5:$G$1004,$A11,入金明細!$B$5:$B$1004,"&gt;="&amp;O$3,入金明細!$B$5:$B$1004,"&lt;"&amp;DATE(YEAR(O$3),MONTH(O$3)+1,1)))</f>
        <v/>
      </c>
      <c r="Q11" s="27" t="str">
        <f aca="false">IF($A11="","",SUMIFS(請求台帳!$F$5:$F$504,請求台帳!$C$5:$C$504,$A11,請求台帳!$B$5:$B$504,"&gt;="&amp;Q$3,請求台帳!$B$5:$B$504,"&lt;"&amp;DATE(YEAR(Q$3),MONTH(Q$3)+1,1),請求台帳!$Q$5:$Q$504,"&lt;&gt;取消"))</f>
        <v/>
      </c>
      <c r="R11" s="27" t="str">
        <f aca="false">IF($A11="","",SUMIFS(入金明細!$E$5:$E$1004,入金明細!$G$5:$G$1004,$A11,入金明細!$B$5:$B$1004,"&gt;="&amp;Q$3,入金明細!$B$5:$B$1004,"&lt;"&amp;DATE(YEAR(Q$3),MONTH(Q$3)+1,1)))</f>
        <v/>
      </c>
      <c r="S11" s="27" t="str">
        <f aca="false">IF($A11="","",SUMIFS(請求台帳!$F$5:$F$504,請求台帳!$C$5:$C$504,$A11,請求台帳!$B$5:$B$504,"&gt;="&amp;S$3,請求台帳!$B$5:$B$504,"&lt;"&amp;DATE(YEAR(S$3),MONTH(S$3)+1,1),請求台帳!$Q$5:$Q$504,"&lt;&gt;取消"))</f>
        <v/>
      </c>
      <c r="T11" s="27" t="str">
        <f aca="false">IF($A11="","",SUMIFS(入金明細!$E$5:$E$1004,入金明細!$G$5:$G$1004,$A11,入金明細!$B$5:$B$1004,"&gt;="&amp;S$3,入金明細!$B$5:$B$1004,"&lt;"&amp;DATE(YEAR(S$3),MONTH(S$3)+1,1)))</f>
        <v/>
      </c>
      <c r="U11" s="27" t="str">
        <f aca="false">IF($A11="","",SUMIFS(請求台帳!$F$5:$F$504,請求台帳!$C$5:$C$504,$A11,請求台帳!$B$5:$B$504,"&gt;="&amp;U$3,請求台帳!$B$5:$B$504,"&lt;"&amp;DATE(YEAR(U$3),MONTH(U$3)+1,1),請求台帳!$Q$5:$Q$504,"&lt;&gt;取消"))</f>
        <v/>
      </c>
      <c r="V11" s="27" t="str">
        <f aca="false">IF($A11="","",SUMIFS(入金明細!$E$5:$E$1004,入金明細!$G$5:$G$1004,$A11,入金明細!$B$5:$B$1004,"&gt;="&amp;U$3,入金明細!$B$5:$B$1004,"&lt;"&amp;DATE(YEAR(U$3),MONTH(U$3)+1,1)))</f>
        <v/>
      </c>
      <c r="W11" s="27" t="str">
        <f aca="false">IF($A11="","",SUMIFS(請求台帳!$F$5:$F$504,請求台帳!$C$5:$C$504,$A11,請求台帳!$B$5:$B$504,"&gt;="&amp;W$3,請求台帳!$B$5:$B$504,"&lt;"&amp;DATE(YEAR(W$3),MONTH(W$3)+1,1),請求台帳!$Q$5:$Q$504,"&lt;&gt;取消"))</f>
        <v/>
      </c>
      <c r="X11" s="27" t="str">
        <f aca="false">IF($A11="","",SUMIFS(入金明細!$E$5:$E$1004,入金明細!$G$5:$G$1004,$A11,入金明細!$B$5:$B$1004,"&gt;="&amp;W$3,入金明細!$B$5:$B$1004,"&lt;"&amp;DATE(YEAR(W$3),MONTH(W$3)+1,1)))</f>
        <v/>
      </c>
      <c r="Y11" s="27" t="str">
        <f aca="false">IF($A11="","",SUMIFS(請求台帳!$F$5:$F$504,請求台帳!$C$5:$C$504,$A11,請求台帳!$B$5:$B$504,"&gt;="&amp;Y$3,請求台帳!$B$5:$B$504,"&lt;"&amp;DATE(YEAR(Y$3),MONTH(Y$3)+1,1),請求台帳!$Q$5:$Q$504,"&lt;&gt;取消"))</f>
        <v/>
      </c>
      <c r="Z11" s="27" t="str">
        <f aca="false">IF($A11="","",SUMIFS(入金明細!$E$5:$E$1004,入金明細!$G$5:$G$1004,$A11,入金明細!$B$5:$B$1004,"&gt;="&amp;Y$3,入金明細!$B$5:$B$1004,"&lt;"&amp;DATE(YEAR(Y$3),MONTH(Y$3)+1,1)))</f>
        <v/>
      </c>
      <c r="AA11" s="37" t="n">
        <f aca="false">SUM(C11,E11,G11,I11,K11,M11,O11,Q11,S11,U11,W11,Y11)</f>
        <v>0</v>
      </c>
      <c r="AB11" s="37" t="n">
        <f aca="false">SUM(D11,F11,H11,J11,L11,N11,P11,R11,T11,V11,X11,Z11)</f>
        <v>0</v>
      </c>
    </row>
    <row r="12" customFormat="false" ht="15" hidden="false" customHeight="false" outlineLevel="0" collapsed="false">
      <c r="A12" s="31" t="str">
        <f aca="false">IF(取引先マスタ!A12="","",取引先マスタ!A12)</f>
        <v/>
      </c>
      <c r="B12" s="31" t="str">
        <f aca="false">IF(A12="","",取引先マスタ!B12)</f>
        <v/>
      </c>
      <c r="C12" s="27" t="str">
        <f aca="false">IF($A12="","",SUMIFS(請求台帳!$F$5:$F$504,請求台帳!$C$5:$C$504,$A12,請求台帳!$B$5:$B$504,"&gt;="&amp;C$3,請求台帳!$B$5:$B$504,"&lt;"&amp;DATE(YEAR(C$3),MONTH(C$3)+1,1),請求台帳!$Q$5:$Q$504,"&lt;&gt;取消"))</f>
        <v/>
      </c>
      <c r="D12" s="27" t="str">
        <f aca="false">IF($A12="","",SUMIFS(入金明細!$E$5:$E$1004,入金明細!$G$5:$G$1004,$A12,入金明細!$B$5:$B$1004,"&gt;="&amp;C$3,入金明細!$B$5:$B$1004,"&lt;"&amp;DATE(YEAR(C$3),MONTH(C$3)+1,1)))</f>
        <v/>
      </c>
      <c r="E12" s="27" t="str">
        <f aca="false">IF($A12="","",SUMIFS(請求台帳!$F$5:$F$504,請求台帳!$C$5:$C$504,$A12,請求台帳!$B$5:$B$504,"&gt;="&amp;E$3,請求台帳!$B$5:$B$504,"&lt;"&amp;DATE(YEAR(E$3),MONTH(E$3)+1,1),請求台帳!$Q$5:$Q$504,"&lt;&gt;取消"))</f>
        <v/>
      </c>
      <c r="F12" s="27" t="str">
        <f aca="false">IF($A12="","",SUMIFS(入金明細!$E$5:$E$1004,入金明細!$G$5:$G$1004,$A12,入金明細!$B$5:$B$1004,"&gt;="&amp;E$3,入金明細!$B$5:$B$1004,"&lt;"&amp;DATE(YEAR(E$3),MONTH(E$3)+1,1)))</f>
        <v/>
      </c>
      <c r="G12" s="27" t="str">
        <f aca="false">IF($A12="","",SUMIFS(請求台帳!$F$5:$F$504,請求台帳!$C$5:$C$504,$A12,請求台帳!$B$5:$B$504,"&gt;="&amp;G$3,請求台帳!$B$5:$B$504,"&lt;"&amp;DATE(YEAR(G$3),MONTH(G$3)+1,1),請求台帳!$Q$5:$Q$504,"&lt;&gt;取消"))</f>
        <v/>
      </c>
      <c r="H12" s="27" t="str">
        <f aca="false">IF($A12="","",SUMIFS(入金明細!$E$5:$E$1004,入金明細!$G$5:$G$1004,$A12,入金明細!$B$5:$B$1004,"&gt;="&amp;G$3,入金明細!$B$5:$B$1004,"&lt;"&amp;DATE(YEAR(G$3),MONTH(G$3)+1,1)))</f>
        <v/>
      </c>
      <c r="I12" s="27" t="str">
        <f aca="false">IF($A12="","",SUMIFS(請求台帳!$F$5:$F$504,請求台帳!$C$5:$C$504,$A12,請求台帳!$B$5:$B$504,"&gt;="&amp;I$3,請求台帳!$B$5:$B$504,"&lt;"&amp;DATE(YEAR(I$3),MONTH(I$3)+1,1),請求台帳!$Q$5:$Q$504,"&lt;&gt;取消"))</f>
        <v/>
      </c>
      <c r="J12" s="27" t="str">
        <f aca="false">IF($A12="","",SUMIFS(入金明細!$E$5:$E$1004,入金明細!$G$5:$G$1004,$A12,入金明細!$B$5:$B$1004,"&gt;="&amp;I$3,入金明細!$B$5:$B$1004,"&lt;"&amp;DATE(YEAR(I$3),MONTH(I$3)+1,1)))</f>
        <v/>
      </c>
      <c r="K12" s="27" t="str">
        <f aca="false">IF($A12="","",SUMIFS(請求台帳!$F$5:$F$504,請求台帳!$C$5:$C$504,$A12,請求台帳!$B$5:$B$504,"&gt;="&amp;K$3,請求台帳!$B$5:$B$504,"&lt;"&amp;DATE(YEAR(K$3),MONTH(K$3)+1,1),請求台帳!$Q$5:$Q$504,"&lt;&gt;取消"))</f>
        <v/>
      </c>
      <c r="L12" s="27" t="str">
        <f aca="false">IF($A12="","",SUMIFS(入金明細!$E$5:$E$1004,入金明細!$G$5:$G$1004,$A12,入金明細!$B$5:$B$1004,"&gt;="&amp;K$3,入金明細!$B$5:$B$1004,"&lt;"&amp;DATE(YEAR(K$3),MONTH(K$3)+1,1)))</f>
        <v/>
      </c>
      <c r="M12" s="27" t="str">
        <f aca="false">IF($A12="","",SUMIFS(請求台帳!$F$5:$F$504,請求台帳!$C$5:$C$504,$A12,請求台帳!$B$5:$B$504,"&gt;="&amp;M$3,請求台帳!$B$5:$B$504,"&lt;"&amp;DATE(YEAR(M$3),MONTH(M$3)+1,1),請求台帳!$Q$5:$Q$504,"&lt;&gt;取消"))</f>
        <v/>
      </c>
      <c r="N12" s="27" t="str">
        <f aca="false">IF($A12="","",SUMIFS(入金明細!$E$5:$E$1004,入金明細!$G$5:$G$1004,$A12,入金明細!$B$5:$B$1004,"&gt;="&amp;M$3,入金明細!$B$5:$B$1004,"&lt;"&amp;DATE(YEAR(M$3),MONTH(M$3)+1,1)))</f>
        <v/>
      </c>
      <c r="O12" s="27" t="str">
        <f aca="false">IF($A12="","",SUMIFS(請求台帳!$F$5:$F$504,請求台帳!$C$5:$C$504,$A12,請求台帳!$B$5:$B$504,"&gt;="&amp;O$3,請求台帳!$B$5:$B$504,"&lt;"&amp;DATE(YEAR(O$3),MONTH(O$3)+1,1),請求台帳!$Q$5:$Q$504,"&lt;&gt;取消"))</f>
        <v/>
      </c>
      <c r="P12" s="27" t="str">
        <f aca="false">IF($A12="","",SUMIFS(入金明細!$E$5:$E$1004,入金明細!$G$5:$G$1004,$A12,入金明細!$B$5:$B$1004,"&gt;="&amp;O$3,入金明細!$B$5:$B$1004,"&lt;"&amp;DATE(YEAR(O$3),MONTH(O$3)+1,1)))</f>
        <v/>
      </c>
      <c r="Q12" s="27" t="str">
        <f aca="false">IF($A12="","",SUMIFS(請求台帳!$F$5:$F$504,請求台帳!$C$5:$C$504,$A12,請求台帳!$B$5:$B$504,"&gt;="&amp;Q$3,請求台帳!$B$5:$B$504,"&lt;"&amp;DATE(YEAR(Q$3),MONTH(Q$3)+1,1),請求台帳!$Q$5:$Q$504,"&lt;&gt;取消"))</f>
        <v/>
      </c>
      <c r="R12" s="27" t="str">
        <f aca="false">IF($A12="","",SUMIFS(入金明細!$E$5:$E$1004,入金明細!$G$5:$G$1004,$A12,入金明細!$B$5:$B$1004,"&gt;="&amp;Q$3,入金明細!$B$5:$B$1004,"&lt;"&amp;DATE(YEAR(Q$3),MONTH(Q$3)+1,1)))</f>
        <v/>
      </c>
      <c r="S12" s="27" t="str">
        <f aca="false">IF($A12="","",SUMIFS(請求台帳!$F$5:$F$504,請求台帳!$C$5:$C$504,$A12,請求台帳!$B$5:$B$504,"&gt;="&amp;S$3,請求台帳!$B$5:$B$504,"&lt;"&amp;DATE(YEAR(S$3),MONTH(S$3)+1,1),請求台帳!$Q$5:$Q$504,"&lt;&gt;取消"))</f>
        <v/>
      </c>
      <c r="T12" s="27" t="str">
        <f aca="false">IF($A12="","",SUMIFS(入金明細!$E$5:$E$1004,入金明細!$G$5:$G$1004,$A12,入金明細!$B$5:$B$1004,"&gt;="&amp;S$3,入金明細!$B$5:$B$1004,"&lt;"&amp;DATE(YEAR(S$3),MONTH(S$3)+1,1)))</f>
        <v/>
      </c>
      <c r="U12" s="27" t="str">
        <f aca="false">IF($A12="","",SUMIFS(請求台帳!$F$5:$F$504,請求台帳!$C$5:$C$504,$A12,請求台帳!$B$5:$B$504,"&gt;="&amp;U$3,請求台帳!$B$5:$B$504,"&lt;"&amp;DATE(YEAR(U$3),MONTH(U$3)+1,1),請求台帳!$Q$5:$Q$504,"&lt;&gt;取消"))</f>
        <v/>
      </c>
      <c r="V12" s="27" t="str">
        <f aca="false">IF($A12="","",SUMIFS(入金明細!$E$5:$E$1004,入金明細!$G$5:$G$1004,$A12,入金明細!$B$5:$B$1004,"&gt;="&amp;U$3,入金明細!$B$5:$B$1004,"&lt;"&amp;DATE(YEAR(U$3),MONTH(U$3)+1,1)))</f>
        <v/>
      </c>
      <c r="W12" s="27" t="str">
        <f aca="false">IF($A12="","",SUMIFS(請求台帳!$F$5:$F$504,請求台帳!$C$5:$C$504,$A12,請求台帳!$B$5:$B$504,"&gt;="&amp;W$3,請求台帳!$B$5:$B$504,"&lt;"&amp;DATE(YEAR(W$3),MONTH(W$3)+1,1),請求台帳!$Q$5:$Q$504,"&lt;&gt;取消"))</f>
        <v/>
      </c>
      <c r="X12" s="27" t="str">
        <f aca="false">IF($A12="","",SUMIFS(入金明細!$E$5:$E$1004,入金明細!$G$5:$G$1004,$A12,入金明細!$B$5:$B$1004,"&gt;="&amp;W$3,入金明細!$B$5:$B$1004,"&lt;"&amp;DATE(YEAR(W$3),MONTH(W$3)+1,1)))</f>
        <v/>
      </c>
      <c r="Y12" s="27" t="str">
        <f aca="false">IF($A12="","",SUMIFS(請求台帳!$F$5:$F$504,請求台帳!$C$5:$C$504,$A12,請求台帳!$B$5:$B$504,"&gt;="&amp;Y$3,請求台帳!$B$5:$B$504,"&lt;"&amp;DATE(YEAR(Y$3),MONTH(Y$3)+1,1),請求台帳!$Q$5:$Q$504,"&lt;&gt;取消"))</f>
        <v/>
      </c>
      <c r="Z12" s="27" t="str">
        <f aca="false">IF($A12="","",SUMIFS(入金明細!$E$5:$E$1004,入金明細!$G$5:$G$1004,$A12,入金明細!$B$5:$B$1004,"&gt;="&amp;Y$3,入金明細!$B$5:$B$1004,"&lt;"&amp;DATE(YEAR(Y$3),MONTH(Y$3)+1,1)))</f>
        <v/>
      </c>
      <c r="AA12" s="37" t="n">
        <f aca="false">SUM(C12,E12,G12,I12,K12,M12,O12,Q12,S12,U12,W12,Y12)</f>
        <v>0</v>
      </c>
      <c r="AB12" s="37" t="n">
        <f aca="false">SUM(D12,F12,H12,J12,L12,N12,P12,R12,T12,V12,X12,Z12)</f>
        <v>0</v>
      </c>
    </row>
    <row r="13" customFormat="false" ht="15" hidden="false" customHeight="false" outlineLevel="0" collapsed="false">
      <c r="A13" s="31" t="str">
        <f aca="false">IF(取引先マスタ!A13="","",取引先マスタ!A13)</f>
        <v/>
      </c>
      <c r="B13" s="31" t="str">
        <f aca="false">IF(A13="","",取引先マスタ!B13)</f>
        <v/>
      </c>
      <c r="C13" s="27" t="str">
        <f aca="false">IF($A13="","",SUMIFS(請求台帳!$F$5:$F$504,請求台帳!$C$5:$C$504,$A13,請求台帳!$B$5:$B$504,"&gt;="&amp;C$3,請求台帳!$B$5:$B$504,"&lt;"&amp;DATE(YEAR(C$3),MONTH(C$3)+1,1),請求台帳!$Q$5:$Q$504,"&lt;&gt;取消"))</f>
        <v/>
      </c>
      <c r="D13" s="27" t="str">
        <f aca="false">IF($A13="","",SUMIFS(入金明細!$E$5:$E$1004,入金明細!$G$5:$G$1004,$A13,入金明細!$B$5:$B$1004,"&gt;="&amp;C$3,入金明細!$B$5:$B$1004,"&lt;"&amp;DATE(YEAR(C$3),MONTH(C$3)+1,1)))</f>
        <v/>
      </c>
      <c r="E13" s="27" t="str">
        <f aca="false">IF($A13="","",SUMIFS(請求台帳!$F$5:$F$504,請求台帳!$C$5:$C$504,$A13,請求台帳!$B$5:$B$504,"&gt;="&amp;E$3,請求台帳!$B$5:$B$504,"&lt;"&amp;DATE(YEAR(E$3),MONTH(E$3)+1,1),請求台帳!$Q$5:$Q$504,"&lt;&gt;取消"))</f>
        <v/>
      </c>
      <c r="F13" s="27" t="str">
        <f aca="false">IF($A13="","",SUMIFS(入金明細!$E$5:$E$1004,入金明細!$G$5:$G$1004,$A13,入金明細!$B$5:$B$1004,"&gt;="&amp;E$3,入金明細!$B$5:$B$1004,"&lt;"&amp;DATE(YEAR(E$3),MONTH(E$3)+1,1)))</f>
        <v/>
      </c>
      <c r="G13" s="27" t="str">
        <f aca="false">IF($A13="","",SUMIFS(請求台帳!$F$5:$F$504,請求台帳!$C$5:$C$504,$A13,請求台帳!$B$5:$B$504,"&gt;="&amp;G$3,請求台帳!$B$5:$B$504,"&lt;"&amp;DATE(YEAR(G$3),MONTH(G$3)+1,1),請求台帳!$Q$5:$Q$504,"&lt;&gt;取消"))</f>
        <v/>
      </c>
      <c r="H13" s="27" t="str">
        <f aca="false">IF($A13="","",SUMIFS(入金明細!$E$5:$E$1004,入金明細!$G$5:$G$1004,$A13,入金明細!$B$5:$B$1004,"&gt;="&amp;G$3,入金明細!$B$5:$B$1004,"&lt;"&amp;DATE(YEAR(G$3),MONTH(G$3)+1,1)))</f>
        <v/>
      </c>
      <c r="I13" s="27" t="str">
        <f aca="false">IF($A13="","",SUMIFS(請求台帳!$F$5:$F$504,請求台帳!$C$5:$C$504,$A13,請求台帳!$B$5:$B$504,"&gt;="&amp;I$3,請求台帳!$B$5:$B$504,"&lt;"&amp;DATE(YEAR(I$3),MONTH(I$3)+1,1),請求台帳!$Q$5:$Q$504,"&lt;&gt;取消"))</f>
        <v/>
      </c>
      <c r="J13" s="27" t="str">
        <f aca="false">IF($A13="","",SUMIFS(入金明細!$E$5:$E$1004,入金明細!$G$5:$G$1004,$A13,入金明細!$B$5:$B$1004,"&gt;="&amp;I$3,入金明細!$B$5:$B$1004,"&lt;"&amp;DATE(YEAR(I$3),MONTH(I$3)+1,1)))</f>
        <v/>
      </c>
      <c r="K13" s="27" t="str">
        <f aca="false">IF($A13="","",SUMIFS(請求台帳!$F$5:$F$504,請求台帳!$C$5:$C$504,$A13,請求台帳!$B$5:$B$504,"&gt;="&amp;K$3,請求台帳!$B$5:$B$504,"&lt;"&amp;DATE(YEAR(K$3),MONTH(K$3)+1,1),請求台帳!$Q$5:$Q$504,"&lt;&gt;取消"))</f>
        <v/>
      </c>
      <c r="L13" s="27" t="str">
        <f aca="false">IF($A13="","",SUMIFS(入金明細!$E$5:$E$1004,入金明細!$G$5:$G$1004,$A13,入金明細!$B$5:$B$1004,"&gt;="&amp;K$3,入金明細!$B$5:$B$1004,"&lt;"&amp;DATE(YEAR(K$3),MONTH(K$3)+1,1)))</f>
        <v/>
      </c>
      <c r="M13" s="27" t="str">
        <f aca="false">IF($A13="","",SUMIFS(請求台帳!$F$5:$F$504,請求台帳!$C$5:$C$504,$A13,請求台帳!$B$5:$B$504,"&gt;="&amp;M$3,請求台帳!$B$5:$B$504,"&lt;"&amp;DATE(YEAR(M$3),MONTH(M$3)+1,1),請求台帳!$Q$5:$Q$504,"&lt;&gt;取消"))</f>
        <v/>
      </c>
      <c r="N13" s="27" t="str">
        <f aca="false">IF($A13="","",SUMIFS(入金明細!$E$5:$E$1004,入金明細!$G$5:$G$1004,$A13,入金明細!$B$5:$B$1004,"&gt;="&amp;M$3,入金明細!$B$5:$B$1004,"&lt;"&amp;DATE(YEAR(M$3),MONTH(M$3)+1,1)))</f>
        <v/>
      </c>
      <c r="O13" s="27" t="str">
        <f aca="false">IF($A13="","",SUMIFS(請求台帳!$F$5:$F$504,請求台帳!$C$5:$C$504,$A13,請求台帳!$B$5:$B$504,"&gt;="&amp;O$3,請求台帳!$B$5:$B$504,"&lt;"&amp;DATE(YEAR(O$3),MONTH(O$3)+1,1),請求台帳!$Q$5:$Q$504,"&lt;&gt;取消"))</f>
        <v/>
      </c>
      <c r="P13" s="27" t="str">
        <f aca="false">IF($A13="","",SUMIFS(入金明細!$E$5:$E$1004,入金明細!$G$5:$G$1004,$A13,入金明細!$B$5:$B$1004,"&gt;="&amp;O$3,入金明細!$B$5:$B$1004,"&lt;"&amp;DATE(YEAR(O$3),MONTH(O$3)+1,1)))</f>
        <v/>
      </c>
      <c r="Q13" s="27" t="str">
        <f aca="false">IF($A13="","",SUMIFS(請求台帳!$F$5:$F$504,請求台帳!$C$5:$C$504,$A13,請求台帳!$B$5:$B$504,"&gt;="&amp;Q$3,請求台帳!$B$5:$B$504,"&lt;"&amp;DATE(YEAR(Q$3),MONTH(Q$3)+1,1),請求台帳!$Q$5:$Q$504,"&lt;&gt;取消"))</f>
        <v/>
      </c>
      <c r="R13" s="27" t="str">
        <f aca="false">IF($A13="","",SUMIFS(入金明細!$E$5:$E$1004,入金明細!$G$5:$G$1004,$A13,入金明細!$B$5:$B$1004,"&gt;="&amp;Q$3,入金明細!$B$5:$B$1004,"&lt;"&amp;DATE(YEAR(Q$3),MONTH(Q$3)+1,1)))</f>
        <v/>
      </c>
      <c r="S13" s="27" t="str">
        <f aca="false">IF($A13="","",SUMIFS(請求台帳!$F$5:$F$504,請求台帳!$C$5:$C$504,$A13,請求台帳!$B$5:$B$504,"&gt;="&amp;S$3,請求台帳!$B$5:$B$504,"&lt;"&amp;DATE(YEAR(S$3),MONTH(S$3)+1,1),請求台帳!$Q$5:$Q$504,"&lt;&gt;取消"))</f>
        <v/>
      </c>
      <c r="T13" s="27" t="str">
        <f aca="false">IF($A13="","",SUMIFS(入金明細!$E$5:$E$1004,入金明細!$G$5:$G$1004,$A13,入金明細!$B$5:$B$1004,"&gt;="&amp;S$3,入金明細!$B$5:$B$1004,"&lt;"&amp;DATE(YEAR(S$3),MONTH(S$3)+1,1)))</f>
        <v/>
      </c>
      <c r="U13" s="27" t="str">
        <f aca="false">IF($A13="","",SUMIFS(請求台帳!$F$5:$F$504,請求台帳!$C$5:$C$504,$A13,請求台帳!$B$5:$B$504,"&gt;="&amp;U$3,請求台帳!$B$5:$B$504,"&lt;"&amp;DATE(YEAR(U$3),MONTH(U$3)+1,1),請求台帳!$Q$5:$Q$504,"&lt;&gt;取消"))</f>
        <v/>
      </c>
      <c r="V13" s="27" t="str">
        <f aca="false">IF($A13="","",SUMIFS(入金明細!$E$5:$E$1004,入金明細!$G$5:$G$1004,$A13,入金明細!$B$5:$B$1004,"&gt;="&amp;U$3,入金明細!$B$5:$B$1004,"&lt;"&amp;DATE(YEAR(U$3),MONTH(U$3)+1,1)))</f>
        <v/>
      </c>
      <c r="W13" s="27" t="str">
        <f aca="false">IF($A13="","",SUMIFS(請求台帳!$F$5:$F$504,請求台帳!$C$5:$C$504,$A13,請求台帳!$B$5:$B$504,"&gt;="&amp;W$3,請求台帳!$B$5:$B$504,"&lt;"&amp;DATE(YEAR(W$3),MONTH(W$3)+1,1),請求台帳!$Q$5:$Q$504,"&lt;&gt;取消"))</f>
        <v/>
      </c>
      <c r="X13" s="27" t="str">
        <f aca="false">IF($A13="","",SUMIFS(入金明細!$E$5:$E$1004,入金明細!$G$5:$G$1004,$A13,入金明細!$B$5:$B$1004,"&gt;="&amp;W$3,入金明細!$B$5:$B$1004,"&lt;"&amp;DATE(YEAR(W$3),MONTH(W$3)+1,1)))</f>
        <v/>
      </c>
      <c r="Y13" s="27" t="str">
        <f aca="false">IF($A13="","",SUMIFS(請求台帳!$F$5:$F$504,請求台帳!$C$5:$C$504,$A13,請求台帳!$B$5:$B$504,"&gt;="&amp;Y$3,請求台帳!$B$5:$B$504,"&lt;"&amp;DATE(YEAR(Y$3),MONTH(Y$3)+1,1),請求台帳!$Q$5:$Q$504,"&lt;&gt;取消"))</f>
        <v/>
      </c>
      <c r="Z13" s="27" t="str">
        <f aca="false">IF($A13="","",SUMIFS(入金明細!$E$5:$E$1004,入金明細!$G$5:$G$1004,$A13,入金明細!$B$5:$B$1004,"&gt;="&amp;Y$3,入金明細!$B$5:$B$1004,"&lt;"&amp;DATE(YEAR(Y$3),MONTH(Y$3)+1,1)))</f>
        <v/>
      </c>
      <c r="AA13" s="37" t="n">
        <f aca="false">SUM(C13,E13,G13,I13,K13,M13,O13,Q13,S13,U13,W13,Y13)</f>
        <v>0</v>
      </c>
      <c r="AB13" s="37" t="n">
        <f aca="false">SUM(D13,F13,H13,J13,L13,N13,P13,R13,T13,V13,X13,Z13)</f>
        <v>0</v>
      </c>
    </row>
    <row r="14" customFormat="false" ht="15" hidden="false" customHeight="false" outlineLevel="0" collapsed="false">
      <c r="A14" s="31" t="str">
        <f aca="false">IF(取引先マスタ!A14="","",取引先マスタ!A14)</f>
        <v/>
      </c>
      <c r="B14" s="31" t="str">
        <f aca="false">IF(A14="","",取引先マスタ!B14)</f>
        <v/>
      </c>
      <c r="C14" s="27" t="str">
        <f aca="false">IF($A14="","",SUMIFS(請求台帳!$F$5:$F$504,請求台帳!$C$5:$C$504,$A14,請求台帳!$B$5:$B$504,"&gt;="&amp;C$3,請求台帳!$B$5:$B$504,"&lt;"&amp;DATE(YEAR(C$3),MONTH(C$3)+1,1),請求台帳!$Q$5:$Q$504,"&lt;&gt;取消"))</f>
        <v/>
      </c>
      <c r="D14" s="27" t="str">
        <f aca="false">IF($A14="","",SUMIFS(入金明細!$E$5:$E$1004,入金明細!$G$5:$G$1004,$A14,入金明細!$B$5:$B$1004,"&gt;="&amp;C$3,入金明細!$B$5:$B$1004,"&lt;"&amp;DATE(YEAR(C$3),MONTH(C$3)+1,1)))</f>
        <v/>
      </c>
      <c r="E14" s="27" t="str">
        <f aca="false">IF($A14="","",SUMIFS(請求台帳!$F$5:$F$504,請求台帳!$C$5:$C$504,$A14,請求台帳!$B$5:$B$504,"&gt;="&amp;E$3,請求台帳!$B$5:$B$504,"&lt;"&amp;DATE(YEAR(E$3),MONTH(E$3)+1,1),請求台帳!$Q$5:$Q$504,"&lt;&gt;取消"))</f>
        <v/>
      </c>
      <c r="F14" s="27" t="str">
        <f aca="false">IF($A14="","",SUMIFS(入金明細!$E$5:$E$1004,入金明細!$G$5:$G$1004,$A14,入金明細!$B$5:$B$1004,"&gt;="&amp;E$3,入金明細!$B$5:$B$1004,"&lt;"&amp;DATE(YEAR(E$3),MONTH(E$3)+1,1)))</f>
        <v/>
      </c>
      <c r="G14" s="27" t="str">
        <f aca="false">IF($A14="","",SUMIFS(請求台帳!$F$5:$F$504,請求台帳!$C$5:$C$504,$A14,請求台帳!$B$5:$B$504,"&gt;="&amp;G$3,請求台帳!$B$5:$B$504,"&lt;"&amp;DATE(YEAR(G$3),MONTH(G$3)+1,1),請求台帳!$Q$5:$Q$504,"&lt;&gt;取消"))</f>
        <v/>
      </c>
      <c r="H14" s="27" t="str">
        <f aca="false">IF($A14="","",SUMIFS(入金明細!$E$5:$E$1004,入金明細!$G$5:$G$1004,$A14,入金明細!$B$5:$B$1004,"&gt;="&amp;G$3,入金明細!$B$5:$B$1004,"&lt;"&amp;DATE(YEAR(G$3),MONTH(G$3)+1,1)))</f>
        <v/>
      </c>
      <c r="I14" s="27" t="str">
        <f aca="false">IF($A14="","",SUMIFS(請求台帳!$F$5:$F$504,請求台帳!$C$5:$C$504,$A14,請求台帳!$B$5:$B$504,"&gt;="&amp;I$3,請求台帳!$B$5:$B$504,"&lt;"&amp;DATE(YEAR(I$3),MONTH(I$3)+1,1),請求台帳!$Q$5:$Q$504,"&lt;&gt;取消"))</f>
        <v/>
      </c>
      <c r="J14" s="27" t="str">
        <f aca="false">IF($A14="","",SUMIFS(入金明細!$E$5:$E$1004,入金明細!$G$5:$G$1004,$A14,入金明細!$B$5:$B$1004,"&gt;="&amp;I$3,入金明細!$B$5:$B$1004,"&lt;"&amp;DATE(YEAR(I$3),MONTH(I$3)+1,1)))</f>
        <v/>
      </c>
      <c r="K14" s="27" t="str">
        <f aca="false">IF($A14="","",SUMIFS(請求台帳!$F$5:$F$504,請求台帳!$C$5:$C$504,$A14,請求台帳!$B$5:$B$504,"&gt;="&amp;K$3,請求台帳!$B$5:$B$504,"&lt;"&amp;DATE(YEAR(K$3),MONTH(K$3)+1,1),請求台帳!$Q$5:$Q$504,"&lt;&gt;取消"))</f>
        <v/>
      </c>
      <c r="L14" s="27" t="str">
        <f aca="false">IF($A14="","",SUMIFS(入金明細!$E$5:$E$1004,入金明細!$G$5:$G$1004,$A14,入金明細!$B$5:$B$1004,"&gt;="&amp;K$3,入金明細!$B$5:$B$1004,"&lt;"&amp;DATE(YEAR(K$3),MONTH(K$3)+1,1)))</f>
        <v/>
      </c>
      <c r="M14" s="27" t="str">
        <f aca="false">IF($A14="","",SUMIFS(請求台帳!$F$5:$F$504,請求台帳!$C$5:$C$504,$A14,請求台帳!$B$5:$B$504,"&gt;="&amp;M$3,請求台帳!$B$5:$B$504,"&lt;"&amp;DATE(YEAR(M$3),MONTH(M$3)+1,1),請求台帳!$Q$5:$Q$504,"&lt;&gt;取消"))</f>
        <v/>
      </c>
      <c r="N14" s="27" t="str">
        <f aca="false">IF($A14="","",SUMIFS(入金明細!$E$5:$E$1004,入金明細!$G$5:$G$1004,$A14,入金明細!$B$5:$B$1004,"&gt;="&amp;M$3,入金明細!$B$5:$B$1004,"&lt;"&amp;DATE(YEAR(M$3),MONTH(M$3)+1,1)))</f>
        <v/>
      </c>
      <c r="O14" s="27" t="str">
        <f aca="false">IF($A14="","",SUMIFS(請求台帳!$F$5:$F$504,請求台帳!$C$5:$C$504,$A14,請求台帳!$B$5:$B$504,"&gt;="&amp;O$3,請求台帳!$B$5:$B$504,"&lt;"&amp;DATE(YEAR(O$3),MONTH(O$3)+1,1),請求台帳!$Q$5:$Q$504,"&lt;&gt;取消"))</f>
        <v/>
      </c>
      <c r="P14" s="27" t="str">
        <f aca="false">IF($A14="","",SUMIFS(入金明細!$E$5:$E$1004,入金明細!$G$5:$G$1004,$A14,入金明細!$B$5:$B$1004,"&gt;="&amp;O$3,入金明細!$B$5:$B$1004,"&lt;"&amp;DATE(YEAR(O$3),MONTH(O$3)+1,1)))</f>
        <v/>
      </c>
      <c r="Q14" s="27" t="str">
        <f aca="false">IF($A14="","",SUMIFS(請求台帳!$F$5:$F$504,請求台帳!$C$5:$C$504,$A14,請求台帳!$B$5:$B$504,"&gt;="&amp;Q$3,請求台帳!$B$5:$B$504,"&lt;"&amp;DATE(YEAR(Q$3),MONTH(Q$3)+1,1),請求台帳!$Q$5:$Q$504,"&lt;&gt;取消"))</f>
        <v/>
      </c>
      <c r="R14" s="27" t="str">
        <f aca="false">IF($A14="","",SUMIFS(入金明細!$E$5:$E$1004,入金明細!$G$5:$G$1004,$A14,入金明細!$B$5:$B$1004,"&gt;="&amp;Q$3,入金明細!$B$5:$B$1004,"&lt;"&amp;DATE(YEAR(Q$3),MONTH(Q$3)+1,1)))</f>
        <v/>
      </c>
      <c r="S14" s="27" t="str">
        <f aca="false">IF($A14="","",SUMIFS(請求台帳!$F$5:$F$504,請求台帳!$C$5:$C$504,$A14,請求台帳!$B$5:$B$504,"&gt;="&amp;S$3,請求台帳!$B$5:$B$504,"&lt;"&amp;DATE(YEAR(S$3),MONTH(S$3)+1,1),請求台帳!$Q$5:$Q$504,"&lt;&gt;取消"))</f>
        <v/>
      </c>
      <c r="T14" s="27" t="str">
        <f aca="false">IF($A14="","",SUMIFS(入金明細!$E$5:$E$1004,入金明細!$G$5:$G$1004,$A14,入金明細!$B$5:$B$1004,"&gt;="&amp;S$3,入金明細!$B$5:$B$1004,"&lt;"&amp;DATE(YEAR(S$3),MONTH(S$3)+1,1)))</f>
        <v/>
      </c>
      <c r="U14" s="27" t="str">
        <f aca="false">IF($A14="","",SUMIFS(請求台帳!$F$5:$F$504,請求台帳!$C$5:$C$504,$A14,請求台帳!$B$5:$B$504,"&gt;="&amp;U$3,請求台帳!$B$5:$B$504,"&lt;"&amp;DATE(YEAR(U$3),MONTH(U$3)+1,1),請求台帳!$Q$5:$Q$504,"&lt;&gt;取消"))</f>
        <v/>
      </c>
      <c r="V14" s="27" t="str">
        <f aca="false">IF($A14="","",SUMIFS(入金明細!$E$5:$E$1004,入金明細!$G$5:$G$1004,$A14,入金明細!$B$5:$B$1004,"&gt;="&amp;U$3,入金明細!$B$5:$B$1004,"&lt;"&amp;DATE(YEAR(U$3),MONTH(U$3)+1,1)))</f>
        <v/>
      </c>
      <c r="W14" s="27" t="str">
        <f aca="false">IF($A14="","",SUMIFS(請求台帳!$F$5:$F$504,請求台帳!$C$5:$C$504,$A14,請求台帳!$B$5:$B$504,"&gt;="&amp;W$3,請求台帳!$B$5:$B$504,"&lt;"&amp;DATE(YEAR(W$3),MONTH(W$3)+1,1),請求台帳!$Q$5:$Q$504,"&lt;&gt;取消"))</f>
        <v/>
      </c>
      <c r="X14" s="27" t="str">
        <f aca="false">IF($A14="","",SUMIFS(入金明細!$E$5:$E$1004,入金明細!$G$5:$G$1004,$A14,入金明細!$B$5:$B$1004,"&gt;="&amp;W$3,入金明細!$B$5:$B$1004,"&lt;"&amp;DATE(YEAR(W$3),MONTH(W$3)+1,1)))</f>
        <v/>
      </c>
      <c r="Y14" s="27" t="str">
        <f aca="false">IF($A14="","",SUMIFS(請求台帳!$F$5:$F$504,請求台帳!$C$5:$C$504,$A14,請求台帳!$B$5:$B$504,"&gt;="&amp;Y$3,請求台帳!$B$5:$B$504,"&lt;"&amp;DATE(YEAR(Y$3),MONTH(Y$3)+1,1),請求台帳!$Q$5:$Q$504,"&lt;&gt;取消"))</f>
        <v/>
      </c>
      <c r="Z14" s="27" t="str">
        <f aca="false">IF($A14="","",SUMIFS(入金明細!$E$5:$E$1004,入金明細!$G$5:$G$1004,$A14,入金明細!$B$5:$B$1004,"&gt;="&amp;Y$3,入金明細!$B$5:$B$1004,"&lt;"&amp;DATE(YEAR(Y$3),MONTH(Y$3)+1,1)))</f>
        <v/>
      </c>
      <c r="AA14" s="37" t="n">
        <f aca="false">SUM(C14,E14,G14,I14,K14,M14,O14,Q14,S14,U14,W14,Y14)</f>
        <v>0</v>
      </c>
      <c r="AB14" s="37" t="n">
        <f aca="false">SUM(D14,F14,H14,J14,L14,N14,P14,R14,T14,V14,X14,Z14)</f>
        <v>0</v>
      </c>
    </row>
    <row r="15" customFormat="false" ht="15" hidden="false" customHeight="false" outlineLevel="0" collapsed="false">
      <c r="A15" s="31" t="str">
        <f aca="false">IF(取引先マスタ!A15="","",取引先マスタ!A15)</f>
        <v/>
      </c>
      <c r="B15" s="31" t="str">
        <f aca="false">IF(A15="","",取引先マスタ!B15)</f>
        <v/>
      </c>
      <c r="C15" s="27" t="str">
        <f aca="false">IF($A15="","",SUMIFS(請求台帳!$F$5:$F$504,請求台帳!$C$5:$C$504,$A15,請求台帳!$B$5:$B$504,"&gt;="&amp;C$3,請求台帳!$B$5:$B$504,"&lt;"&amp;DATE(YEAR(C$3),MONTH(C$3)+1,1),請求台帳!$Q$5:$Q$504,"&lt;&gt;取消"))</f>
        <v/>
      </c>
      <c r="D15" s="27" t="str">
        <f aca="false">IF($A15="","",SUMIFS(入金明細!$E$5:$E$1004,入金明細!$G$5:$G$1004,$A15,入金明細!$B$5:$B$1004,"&gt;="&amp;C$3,入金明細!$B$5:$B$1004,"&lt;"&amp;DATE(YEAR(C$3),MONTH(C$3)+1,1)))</f>
        <v/>
      </c>
      <c r="E15" s="27" t="str">
        <f aca="false">IF($A15="","",SUMIFS(請求台帳!$F$5:$F$504,請求台帳!$C$5:$C$504,$A15,請求台帳!$B$5:$B$504,"&gt;="&amp;E$3,請求台帳!$B$5:$B$504,"&lt;"&amp;DATE(YEAR(E$3),MONTH(E$3)+1,1),請求台帳!$Q$5:$Q$504,"&lt;&gt;取消"))</f>
        <v/>
      </c>
      <c r="F15" s="27" t="str">
        <f aca="false">IF($A15="","",SUMIFS(入金明細!$E$5:$E$1004,入金明細!$G$5:$G$1004,$A15,入金明細!$B$5:$B$1004,"&gt;="&amp;E$3,入金明細!$B$5:$B$1004,"&lt;"&amp;DATE(YEAR(E$3),MONTH(E$3)+1,1)))</f>
        <v/>
      </c>
      <c r="G15" s="27" t="str">
        <f aca="false">IF($A15="","",SUMIFS(請求台帳!$F$5:$F$504,請求台帳!$C$5:$C$504,$A15,請求台帳!$B$5:$B$504,"&gt;="&amp;G$3,請求台帳!$B$5:$B$504,"&lt;"&amp;DATE(YEAR(G$3),MONTH(G$3)+1,1),請求台帳!$Q$5:$Q$504,"&lt;&gt;取消"))</f>
        <v/>
      </c>
      <c r="H15" s="27" t="str">
        <f aca="false">IF($A15="","",SUMIFS(入金明細!$E$5:$E$1004,入金明細!$G$5:$G$1004,$A15,入金明細!$B$5:$B$1004,"&gt;="&amp;G$3,入金明細!$B$5:$B$1004,"&lt;"&amp;DATE(YEAR(G$3),MONTH(G$3)+1,1)))</f>
        <v/>
      </c>
      <c r="I15" s="27" t="str">
        <f aca="false">IF($A15="","",SUMIFS(請求台帳!$F$5:$F$504,請求台帳!$C$5:$C$504,$A15,請求台帳!$B$5:$B$504,"&gt;="&amp;I$3,請求台帳!$B$5:$B$504,"&lt;"&amp;DATE(YEAR(I$3),MONTH(I$3)+1,1),請求台帳!$Q$5:$Q$504,"&lt;&gt;取消"))</f>
        <v/>
      </c>
      <c r="J15" s="27" t="str">
        <f aca="false">IF($A15="","",SUMIFS(入金明細!$E$5:$E$1004,入金明細!$G$5:$G$1004,$A15,入金明細!$B$5:$B$1004,"&gt;="&amp;I$3,入金明細!$B$5:$B$1004,"&lt;"&amp;DATE(YEAR(I$3),MONTH(I$3)+1,1)))</f>
        <v/>
      </c>
      <c r="K15" s="27" t="str">
        <f aca="false">IF($A15="","",SUMIFS(請求台帳!$F$5:$F$504,請求台帳!$C$5:$C$504,$A15,請求台帳!$B$5:$B$504,"&gt;="&amp;K$3,請求台帳!$B$5:$B$504,"&lt;"&amp;DATE(YEAR(K$3),MONTH(K$3)+1,1),請求台帳!$Q$5:$Q$504,"&lt;&gt;取消"))</f>
        <v/>
      </c>
      <c r="L15" s="27" t="str">
        <f aca="false">IF($A15="","",SUMIFS(入金明細!$E$5:$E$1004,入金明細!$G$5:$G$1004,$A15,入金明細!$B$5:$B$1004,"&gt;="&amp;K$3,入金明細!$B$5:$B$1004,"&lt;"&amp;DATE(YEAR(K$3),MONTH(K$3)+1,1)))</f>
        <v/>
      </c>
      <c r="M15" s="27" t="str">
        <f aca="false">IF($A15="","",SUMIFS(請求台帳!$F$5:$F$504,請求台帳!$C$5:$C$504,$A15,請求台帳!$B$5:$B$504,"&gt;="&amp;M$3,請求台帳!$B$5:$B$504,"&lt;"&amp;DATE(YEAR(M$3),MONTH(M$3)+1,1),請求台帳!$Q$5:$Q$504,"&lt;&gt;取消"))</f>
        <v/>
      </c>
      <c r="N15" s="27" t="str">
        <f aca="false">IF($A15="","",SUMIFS(入金明細!$E$5:$E$1004,入金明細!$G$5:$G$1004,$A15,入金明細!$B$5:$B$1004,"&gt;="&amp;M$3,入金明細!$B$5:$B$1004,"&lt;"&amp;DATE(YEAR(M$3),MONTH(M$3)+1,1)))</f>
        <v/>
      </c>
      <c r="O15" s="27" t="str">
        <f aca="false">IF($A15="","",SUMIFS(請求台帳!$F$5:$F$504,請求台帳!$C$5:$C$504,$A15,請求台帳!$B$5:$B$504,"&gt;="&amp;O$3,請求台帳!$B$5:$B$504,"&lt;"&amp;DATE(YEAR(O$3),MONTH(O$3)+1,1),請求台帳!$Q$5:$Q$504,"&lt;&gt;取消"))</f>
        <v/>
      </c>
      <c r="P15" s="27" t="str">
        <f aca="false">IF($A15="","",SUMIFS(入金明細!$E$5:$E$1004,入金明細!$G$5:$G$1004,$A15,入金明細!$B$5:$B$1004,"&gt;="&amp;O$3,入金明細!$B$5:$B$1004,"&lt;"&amp;DATE(YEAR(O$3),MONTH(O$3)+1,1)))</f>
        <v/>
      </c>
      <c r="Q15" s="27" t="str">
        <f aca="false">IF($A15="","",SUMIFS(請求台帳!$F$5:$F$504,請求台帳!$C$5:$C$504,$A15,請求台帳!$B$5:$B$504,"&gt;="&amp;Q$3,請求台帳!$B$5:$B$504,"&lt;"&amp;DATE(YEAR(Q$3),MONTH(Q$3)+1,1),請求台帳!$Q$5:$Q$504,"&lt;&gt;取消"))</f>
        <v/>
      </c>
      <c r="R15" s="27" t="str">
        <f aca="false">IF($A15="","",SUMIFS(入金明細!$E$5:$E$1004,入金明細!$G$5:$G$1004,$A15,入金明細!$B$5:$B$1004,"&gt;="&amp;Q$3,入金明細!$B$5:$B$1004,"&lt;"&amp;DATE(YEAR(Q$3),MONTH(Q$3)+1,1)))</f>
        <v/>
      </c>
      <c r="S15" s="27" t="str">
        <f aca="false">IF($A15="","",SUMIFS(請求台帳!$F$5:$F$504,請求台帳!$C$5:$C$504,$A15,請求台帳!$B$5:$B$504,"&gt;="&amp;S$3,請求台帳!$B$5:$B$504,"&lt;"&amp;DATE(YEAR(S$3),MONTH(S$3)+1,1),請求台帳!$Q$5:$Q$504,"&lt;&gt;取消"))</f>
        <v/>
      </c>
      <c r="T15" s="27" t="str">
        <f aca="false">IF($A15="","",SUMIFS(入金明細!$E$5:$E$1004,入金明細!$G$5:$G$1004,$A15,入金明細!$B$5:$B$1004,"&gt;="&amp;S$3,入金明細!$B$5:$B$1004,"&lt;"&amp;DATE(YEAR(S$3),MONTH(S$3)+1,1)))</f>
        <v/>
      </c>
      <c r="U15" s="27" t="str">
        <f aca="false">IF($A15="","",SUMIFS(請求台帳!$F$5:$F$504,請求台帳!$C$5:$C$504,$A15,請求台帳!$B$5:$B$504,"&gt;="&amp;U$3,請求台帳!$B$5:$B$504,"&lt;"&amp;DATE(YEAR(U$3),MONTH(U$3)+1,1),請求台帳!$Q$5:$Q$504,"&lt;&gt;取消"))</f>
        <v/>
      </c>
      <c r="V15" s="27" t="str">
        <f aca="false">IF($A15="","",SUMIFS(入金明細!$E$5:$E$1004,入金明細!$G$5:$G$1004,$A15,入金明細!$B$5:$B$1004,"&gt;="&amp;U$3,入金明細!$B$5:$B$1004,"&lt;"&amp;DATE(YEAR(U$3),MONTH(U$3)+1,1)))</f>
        <v/>
      </c>
      <c r="W15" s="27" t="str">
        <f aca="false">IF($A15="","",SUMIFS(請求台帳!$F$5:$F$504,請求台帳!$C$5:$C$504,$A15,請求台帳!$B$5:$B$504,"&gt;="&amp;W$3,請求台帳!$B$5:$B$504,"&lt;"&amp;DATE(YEAR(W$3),MONTH(W$3)+1,1),請求台帳!$Q$5:$Q$504,"&lt;&gt;取消"))</f>
        <v/>
      </c>
      <c r="X15" s="27" t="str">
        <f aca="false">IF($A15="","",SUMIFS(入金明細!$E$5:$E$1004,入金明細!$G$5:$G$1004,$A15,入金明細!$B$5:$B$1004,"&gt;="&amp;W$3,入金明細!$B$5:$B$1004,"&lt;"&amp;DATE(YEAR(W$3),MONTH(W$3)+1,1)))</f>
        <v/>
      </c>
      <c r="Y15" s="27" t="str">
        <f aca="false">IF($A15="","",SUMIFS(請求台帳!$F$5:$F$504,請求台帳!$C$5:$C$504,$A15,請求台帳!$B$5:$B$504,"&gt;="&amp;Y$3,請求台帳!$B$5:$B$504,"&lt;"&amp;DATE(YEAR(Y$3),MONTH(Y$3)+1,1),請求台帳!$Q$5:$Q$504,"&lt;&gt;取消"))</f>
        <v/>
      </c>
      <c r="Z15" s="27" t="str">
        <f aca="false">IF($A15="","",SUMIFS(入金明細!$E$5:$E$1004,入金明細!$G$5:$G$1004,$A15,入金明細!$B$5:$B$1004,"&gt;="&amp;Y$3,入金明細!$B$5:$B$1004,"&lt;"&amp;DATE(YEAR(Y$3),MONTH(Y$3)+1,1)))</f>
        <v/>
      </c>
      <c r="AA15" s="37" t="n">
        <f aca="false">SUM(C15,E15,G15,I15,K15,M15,O15,Q15,S15,U15,W15,Y15)</f>
        <v>0</v>
      </c>
      <c r="AB15" s="37" t="n">
        <f aca="false">SUM(D15,F15,H15,J15,L15,N15,P15,R15,T15,V15,X15,Z15)</f>
        <v>0</v>
      </c>
    </row>
    <row r="16" customFormat="false" ht="15" hidden="false" customHeight="false" outlineLevel="0" collapsed="false">
      <c r="A16" s="31" t="str">
        <f aca="false">IF(取引先マスタ!A16="","",取引先マスタ!A16)</f>
        <v/>
      </c>
      <c r="B16" s="31" t="str">
        <f aca="false">IF(A16="","",取引先マスタ!B16)</f>
        <v/>
      </c>
      <c r="C16" s="27" t="str">
        <f aca="false">IF($A16="","",SUMIFS(請求台帳!$F$5:$F$504,請求台帳!$C$5:$C$504,$A16,請求台帳!$B$5:$B$504,"&gt;="&amp;C$3,請求台帳!$B$5:$B$504,"&lt;"&amp;DATE(YEAR(C$3),MONTH(C$3)+1,1),請求台帳!$Q$5:$Q$504,"&lt;&gt;取消"))</f>
        <v/>
      </c>
      <c r="D16" s="27" t="str">
        <f aca="false">IF($A16="","",SUMIFS(入金明細!$E$5:$E$1004,入金明細!$G$5:$G$1004,$A16,入金明細!$B$5:$B$1004,"&gt;="&amp;C$3,入金明細!$B$5:$B$1004,"&lt;"&amp;DATE(YEAR(C$3),MONTH(C$3)+1,1)))</f>
        <v/>
      </c>
      <c r="E16" s="27" t="str">
        <f aca="false">IF($A16="","",SUMIFS(請求台帳!$F$5:$F$504,請求台帳!$C$5:$C$504,$A16,請求台帳!$B$5:$B$504,"&gt;="&amp;E$3,請求台帳!$B$5:$B$504,"&lt;"&amp;DATE(YEAR(E$3),MONTH(E$3)+1,1),請求台帳!$Q$5:$Q$504,"&lt;&gt;取消"))</f>
        <v/>
      </c>
      <c r="F16" s="27" t="str">
        <f aca="false">IF($A16="","",SUMIFS(入金明細!$E$5:$E$1004,入金明細!$G$5:$G$1004,$A16,入金明細!$B$5:$B$1004,"&gt;="&amp;E$3,入金明細!$B$5:$B$1004,"&lt;"&amp;DATE(YEAR(E$3),MONTH(E$3)+1,1)))</f>
        <v/>
      </c>
      <c r="G16" s="27" t="str">
        <f aca="false">IF($A16="","",SUMIFS(請求台帳!$F$5:$F$504,請求台帳!$C$5:$C$504,$A16,請求台帳!$B$5:$B$504,"&gt;="&amp;G$3,請求台帳!$B$5:$B$504,"&lt;"&amp;DATE(YEAR(G$3),MONTH(G$3)+1,1),請求台帳!$Q$5:$Q$504,"&lt;&gt;取消"))</f>
        <v/>
      </c>
      <c r="H16" s="27" t="str">
        <f aca="false">IF($A16="","",SUMIFS(入金明細!$E$5:$E$1004,入金明細!$G$5:$G$1004,$A16,入金明細!$B$5:$B$1004,"&gt;="&amp;G$3,入金明細!$B$5:$B$1004,"&lt;"&amp;DATE(YEAR(G$3),MONTH(G$3)+1,1)))</f>
        <v/>
      </c>
      <c r="I16" s="27" t="str">
        <f aca="false">IF($A16="","",SUMIFS(請求台帳!$F$5:$F$504,請求台帳!$C$5:$C$504,$A16,請求台帳!$B$5:$B$504,"&gt;="&amp;I$3,請求台帳!$B$5:$B$504,"&lt;"&amp;DATE(YEAR(I$3),MONTH(I$3)+1,1),請求台帳!$Q$5:$Q$504,"&lt;&gt;取消"))</f>
        <v/>
      </c>
      <c r="J16" s="27" t="str">
        <f aca="false">IF($A16="","",SUMIFS(入金明細!$E$5:$E$1004,入金明細!$G$5:$G$1004,$A16,入金明細!$B$5:$B$1004,"&gt;="&amp;I$3,入金明細!$B$5:$B$1004,"&lt;"&amp;DATE(YEAR(I$3),MONTH(I$3)+1,1)))</f>
        <v/>
      </c>
      <c r="K16" s="27" t="str">
        <f aca="false">IF($A16="","",SUMIFS(請求台帳!$F$5:$F$504,請求台帳!$C$5:$C$504,$A16,請求台帳!$B$5:$B$504,"&gt;="&amp;K$3,請求台帳!$B$5:$B$504,"&lt;"&amp;DATE(YEAR(K$3),MONTH(K$3)+1,1),請求台帳!$Q$5:$Q$504,"&lt;&gt;取消"))</f>
        <v/>
      </c>
      <c r="L16" s="27" t="str">
        <f aca="false">IF($A16="","",SUMIFS(入金明細!$E$5:$E$1004,入金明細!$G$5:$G$1004,$A16,入金明細!$B$5:$B$1004,"&gt;="&amp;K$3,入金明細!$B$5:$B$1004,"&lt;"&amp;DATE(YEAR(K$3),MONTH(K$3)+1,1)))</f>
        <v/>
      </c>
      <c r="M16" s="27" t="str">
        <f aca="false">IF($A16="","",SUMIFS(請求台帳!$F$5:$F$504,請求台帳!$C$5:$C$504,$A16,請求台帳!$B$5:$B$504,"&gt;="&amp;M$3,請求台帳!$B$5:$B$504,"&lt;"&amp;DATE(YEAR(M$3),MONTH(M$3)+1,1),請求台帳!$Q$5:$Q$504,"&lt;&gt;取消"))</f>
        <v/>
      </c>
      <c r="N16" s="27" t="str">
        <f aca="false">IF($A16="","",SUMIFS(入金明細!$E$5:$E$1004,入金明細!$G$5:$G$1004,$A16,入金明細!$B$5:$B$1004,"&gt;="&amp;M$3,入金明細!$B$5:$B$1004,"&lt;"&amp;DATE(YEAR(M$3),MONTH(M$3)+1,1)))</f>
        <v/>
      </c>
      <c r="O16" s="27" t="str">
        <f aca="false">IF($A16="","",SUMIFS(請求台帳!$F$5:$F$504,請求台帳!$C$5:$C$504,$A16,請求台帳!$B$5:$B$504,"&gt;="&amp;O$3,請求台帳!$B$5:$B$504,"&lt;"&amp;DATE(YEAR(O$3),MONTH(O$3)+1,1),請求台帳!$Q$5:$Q$504,"&lt;&gt;取消"))</f>
        <v/>
      </c>
      <c r="P16" s="27" t="str">
        <f aca="false">IF($A16="","",SUMIFS(入金明細!$E$5:$E$1004,入金明細!$G$5:$G$1004,$A16,入金明細!$B$5:$B$1004,"&gt;="&amp;O$3,入金明細!$B$5:$B$1004,"&lt;"&amp;DATE(YEAR(O$3),MONTH(O$3)+1,1)))</f>
        <v/>
      </c>
      <c r="Q16" s="27" t="str">
        <f aca="false">IF($A16="","",SUMIFS(請求台帳!$F$5:$F$504,請求台帳!$C$5:$C$504,$A16,請求台帳!$B$5:$B$504,"&gt;="&amp;Q$3,請求台帳!$B$5:$B$504,"&lt;"&amp;DATE(YEAR(Q$3),MONTH(Q$3)+1,1),請求台帳!$Q$5:$Q$504,"&lt;&gt;取消"))</f>
        <v/>
      </c>
      <c r="R16" s="27" t="str">
        <f aca="false">IF($A16="","",SUMIFS(入金明細!$E$5:$E$1004,入金明細!$G$5:$G$1004,$A16,入金明細!$B$5:$B$1004,"&gt;="&amp;Q$3,入金明細!$B$5:$B$1004,"&lt;"&amp;DATE(YEAR(Q$3),MONTH(Q$3)+1,1)))</f>
        <v/>
      </c>
      <c r="S16" s="27" t="str">
        <f aca="false">IF($A16="","",SUMIFS(請求台帳!$F$5:$F$504,請求台帳!$C$5:$C$504,$A16,請求台帳!$B$5:$B$504,"&gt;="&amp;S$3,請求台帳!$B$5:$B$504,"&lt;"&amp;DATE(YEAR(S$3),MONTH(S$3)+1,1),請求台帳!$Q$5:$Q$504,"&lt;&gt;取消"))</f>
        <v/>
      </c>
      <c r="T16" s="27" t="str">
        <f aca="false">IF($A16="","",SUMIFS(入金明細!$E$5:$E$1004,入金明細!$G$5:$G$1004,$A16,入金明細!$B$5:$B$1004,"&gt;="&amp;S$3,入金明細!$B$5:$B$1004,"&lt;"&amp;DATE(YEAR(S$3),MONTH(S$3)+1,1)))</f>
        <v/>
      </c>
      <c r="U16" s="27" t="str">
        <f aca="false">IF($A16="","",SUMIFS(請求台帳!$F$5:$F$504,請求台帳!$C$5:$C$504,$A16,請求台帳!$B$5:$B$504,"&gt;="&amp;U$3,請求台帳!$B$5:$B$504,"&lt;"&amp;DATE(YEAR(U$3),MONTH(U$3)+1,1),請求台帳!$Q$5:$Q$504,"&lt;&gt;取消"))</f>
        <v/>
      </c>
      <c r="V16" s="27" t="str">
        <f aca="false">IF($A16="","",SUMIFS(入金明細!$E$5:$E$1004,入金明細!$G$5:$G$1004,$A16,入金明細!$B$5:$B$1004,"&gt;="&amp;U$3,入金明細!$B$5:$B$1004,"&lt;"&amp;DATE(YEAR(U$3),MONTH(U$3)+1,1)))</f>
        <v/>
      </c>
      <c r="W16" s="27" t="str">
        <f aca="false">IF($A16="","",SUMIFS(請求台帳!$F$5:$F$504,請求台帳!$C$5:$C$504,$A16,請求台帳!$B$5:$B$504,"&gt;="&amp;W$3,請求台帳!$B$5:$B$504,"&lt;"&amp;DATE(YEAR(W$3),MONTH(W$3)+1,1),請求台帳!$Q$5:$Q$504,"&lt;&gt;取消"))</f>
        <v/>
      </c>
      <c r="X16" s="27" t="str">
        <f aca="false">IF($A16="","",SUMIFS(入金明細!$E$5:$E$1004,入金明細!$G$5:$G$1004,$A16,入金明細!$B$5:$B$1004,"&gt;="&amp;W$3,入金明細!$B$5:$B$1004,"&lt;"&amp;DATE(YEAR(W$3),MONTH(W$3)+1,1)))</f>
        <v/>
      </c>
      <c r="Y16" s="27" t="str">
        <f aca="false">IF($A16="","",SUMIFS(請求台帳!$F$5:$F$504,請求台帳!$C$5:$C$504,$A16,請求台帳!$B$5:$B$504,"&gt;="&amp;Y$3,請求台帳!$B$5:$B$504,"&lt;"&amp;DATE(YEAR(Y$3),MONTH(Y$3)+1,1),請求台帳!$Q$5:$Q$504,"&lt;&gt;取消"))</f>
        <v/>
      </c>
      <c r="Z16" s="27" t="str">
        <f aca="false">IF($A16="","",SUMIFS(入金明細!$E$5:$E$1004,入金明細!$G$5:$G$1004,$A16,入金明細!$B$5:$B$1004,"&gt;="&amp;Y$3,入金明細!$B$5:$B$1004,"&lt;"&amp;DATE(YEAR(Y$3),MONTH(Y$3)+1,1)))</f>
        <v/>
      </c>
      <c r="AA16" s="37" t="n">
        <f aca="false">SUM(C16,E16,G16,I16,K16,M16,O16,Q16,S16,U16,W16,Y16)</f>
        <v>0</v>
      </c>
      <c r="AB16" s="37" t="n">
        <f aca="false">SUM(D16,F16,H16,J16,L16,N16,P16,R16,T16,V16,X16,Z16)</f>
        <v>0</v>
      </c>
    </row>
    <row r="17" customFormat="false" ht="15" hidden="false" customHeight="false" outlineLevel="0" collapsed="false">
      <c r="A17" s="31" t="str">
        <f aca="false">IF(取引先マスタ!A17="","",取引先マスタ!A17)</f>
        <v/>
      </c>
      <c r="B17" s="31" t="str">
        <f aca="false">IF(A17="","",取引先マスタ!B17)</f>
        <v/>
      </c>
      <c r="C17" s="27" t="str">
        <f aca="false">IF($A17="","",SUMIFS(請求台帳!$F$5:$F$504,請求台帳!$C$5:$C$504,$A17,請求台帳!$B$5:$B$504,"&gt;="&amp;C$3,請求台帳!$B$5:$B$504,"&lt;"&amp;DATE(YEAR(C$3),MONTH(C$3)+1,1),請求台帳!$Q$5:$Q$504,"&lt;&gt;取消"))</f>
        <v/>
      </c>
      <c r="D17" s="27" t="str">
        <f aca="false">IF($A17="","",SUMIFS(入金明細!$E$5:$E$1004,入金明細!$G$5:$G$1004,$A17,入金明細!$B$5:$B$1004,"&gt;="&amp;C$3,入金明細!$B$5:$B$1004,"&lt;"&amp;DATE(YEAR(C$3),MONTH(C$3)+1,1)))</f>
        <v/>
      </c>
      <c r="E17" s="27" t="str">
        <f aca="false">IF($A17="","",SUMIFS(請求台帳!$F$5:$F$504,請求台帳!$C$5:$C$504,$A17,請求台帳!$B$5:$B$504,"&gt;="&amp;E$3,請求台帳!$B$5:$B$504,"&lt;"&amp;DATE(YEAR(E$3),MONTH(E$3)+1,1),請求台帳!$Q$5:$Q$504,"&lt;&gt;取消"))</f>
        <v/>
      </c>
      <c r="F17" s="27" t="str">
        <f aca="false">IF($A17="","",SUMIFS(入金明細!$E$5:$E$1004,入金明細!$G$5:$G$1004,$A17,入金明細!$B$5:$B$1004,"&gt;="&amp;E$3,入金明細!$B$5:$B$1004,"&lt;"&amp;DATE(YEAR(E$3),MONTH(E$3)+1,1)))</f>
        <v/>
      </c>
      <c r="G17" s="27" t="str">
        <f aca="false">IF($A17="","",SUMIFS(請求台帳!$F$5:$F$504,請求台帳!$C$5:$C$504,$A17,請求台帳!$B$5:$B$504,"&gt;="&amp;G$3,請求台帳!$B$5:$B$504,"&lt;"&amp;DATE(YEAR(G$3),MONTH(G$3)+1,1),請求台帳!$Q$5:$Q$504,"&lt;&gt;取消"))</f>
        <v/>
      </c>
      <c r="H17" s="27" t="str">
        <f aca="false">IF($A17="","",SUMIFS(入金明細!$E$5:$E$1004,入金明細!$G$5:$G$1004,$A17,入金明細!$B$5:$B$1004,"&gt;="&amp;G$3,入金明細!$B$5:$B$1004,"&lt;"&amp;DATE(YEAR(G$3),MONTH(G$3)+1,1)))</f>
        <v/>
      </c>
      <c r="I17" s="27" t="str">
        <f aca="false">IF($A17="","",SUMIFS(請求台帳!$F$5:$F$504,請求台帳!$C$5:$C$504,$A17,請求台帳!$B$5:$B$504,"&gt;="&amp;I$3,請求台帳!$B$5:$B$504,"&lt;"&amp;DATE(YEAR(I$3),MONTH(I$3)+1,1),請求台帳!$Q$5:$Q$504,"&lt;&gt;取消"))</f>
        <v/>
      </c>
      <c r="J17" s="27" t="str">
        <f aca="false">IF($A17="","",SUMIFS(入金明細!$E$5:$E$1004,入金明細!$G$5:$G$1004,$A17,入金明細!$B$5:$B$1004,"&gt;="&amp;I$3,入金明細!$B$5:$B$1004,"&lt;"&amp;DATE(YEAR(I$3),MONTH(I$3)+1,1)))</f>
        <v/>
      </c>
      <c r="K17" s="27" t="str">
        <f aca="false">IF($A17="","",SUMIFS(請求台帳!$F$5:$F$504,請求台帳!$C$5:$C$504,$A17,請求台帳!$B$5:$B$504,"&gt;="&amp;K$3,請求台帳!$B$5:$B$504,"&lt;"&amp;DATE(YEAR(K$3),MONTH(K$3)+1,1),請求台帳!$Q$5:$Q$504,"&lt;&gt;取消"))</f>
        <v/>
      </c>
      <c r="L17" s="27" t="str">
        <f aca="false">IF($A17="","",SUMIFS(入金明細!$E$5:$E$1004,入金明細!$G$5:$G$1004,$A17,入金明細!$B$5:$B$1004,"&gt;="&amp;K$3,入金明細!$B$5:$B$1004,"&lt;"&amp;DATE(YEAR(K$3),MONTH(K$3)+1,1)))</f>
        <v/>
      </c>
      <c r="M17" s="27" t="str">
        <f aca="false">IF($A17="","",SUMIFS(請求台帳!$F$5:$F$504,請求台帳!$C$5:$C$504,$A17,請求台帳!$B$5:$B$504,"&gt;="&amp;M$3,請求台帳!$B$5:$B$504,"&lt;"&amp;DATE(YEAR(M$3),MONTH(M$3)+1,1),請求台帳!$Q$5:$Q$504,"&lt;&gt;取消"))</f>
        <v/>
      </c>
      <c r="N17" s="27" t="str">
        <f aca="false">IF($A17="","",SUMIFS(入金明細!$E$5:$E$1004,入金明細!$G$5:$G$1004,$A17,入金明細!$B$5:$B$1004,"&gt;="&amp;M$3,入金明細!$B$5:$B$1004,"&lt;"&amp;DATE(YEAR(M$3),MONTH(M$3)+1,1)))</f>
        <v/>
      </c>
      <c r="O17" s="27" t="str">
        <f aca="false">IF($A17="","",SUMIFS(請求台帳!$F$5:$F$504,請求台帳!$C$5:$C$504,$A17,請求台帳!$B$5:$B$504,"&gt;="&amp;O$3,請求台帳!$B$5:$B$504,"&lt;"&amp;DATE(YEAR(O$3),MONTH(O$3)+1,1),請求台帳!$Q$5:$Q$504,"&lt;&gt;取消"))</f>
        <v/>
      </c>
      <c r="P17" s="27" t="str">
        <f aca="false">IF($A17="","",SUMIFS(入金明細!$E$5:$E$1004,入金明細!$G$5:$G$1004,$A17,入金明細!$B$5:$B$1004,"&gt;="&amp;O$3,入金明細!$B$5:$B$1004,"&lt;"&amp;DATE(YEAR(O$3),MONTH(O$3)+1,1)))</f>
        <v/>
      </c>
      <c r="Q17" s="27" t="str">
        <f aca="false">IF($A17="","",SUMIFS(請求台帳!$F$5:$F$504,請求台帳!$C$5:$C$504,$A17,請求台帳!$B$5:$B$504,"&gt;="&amp;Q$3,請求台帳!$B$5:$B$504,"&lt;"&amp;DATE(YEAR(Q$3),MONTH(Q$3)+1,1),請求台帳!$Q$5:$Q$504,"&lt;&gt;取消"))</f>
        <v/>
      </c>
      <c r="R17" s="27" t="str">
        <f aca="false">IF($A17="","",SUMIFS(入金明細!$E$5:$E$1004,入金明細!$G$5:$G$1004,$A17,入金明細!$B$5:$B$1004,"&gt;="&amp;Q$3,入金明細!$B$5:$B$1004,"&lt;"&amp;DATE(YEAR(Q$3),MONTH(Q$3)+1,1)))</f>
        <v/>
      </c>
      <c r="S17" s="27" t="str">
        <f aca="false">IF($A17="","",SUMIFS(請求台帳!$F$5:$F$504,請求台帳!$C$5:$C$504,$A17,請求台帳!$B$5:$B$504,"&gt;="&amp;S$3,請求台帳!$B$5:$B$504,"&lt;"&amp;DATE(YEAR(S$3),MONTH(S$3)+1,1),請求台帳!$Q$5:$Q$504,"&lt;&gt;取消"))</f>
        <v/>
      </c>
      <c r="T17" s="27" t="str">
        <f aca="false">IF($A17="","",SUMIFS(入金明細!$E$5:$E$1004,入金明細!$G$5:$G$1004,$A17,入金明細!$B$5:$B$1004,"&gt;="&amp;S$3,入金明細!$B$5:$B$1004,"&lt;"&amp;DATE(YEAR(S$3),MONTH(S$3)+1,1)))</f>
        <v/>
      </c>
      <c r="U17" s="27" t="str">
        <f aca="false">IF($A17="","",SUMIFS(請求台帳!$F$5:$F$504,請求台帳!$C$5:$C$504,$A17,請求台帳!$B$5:$B$504,"&gt;="&amp;U$3,請求台帳!$B$5:$B$504,"&lt;"&amp;DATE(YEAR(U$3),MONTH(U$3)+1,1),請求台帳!$Q$5:$Q$504,"&lt;&gt;取消"))</f>
        <v/>
      </c>
      <c r="V17" s="27" t="str">
        <f aca="false">IF($A17="","",SUMIFS(入金明細!$E$5:$E$1004,入金明細!$G$5:$G$1004,$A17,入金明細!$B$5:$B$1004,"&gt;="&amp;U$3,入金明細!$B$5:$B$1004,"&lt;"&amp;DATE(YEAR(U$3),MONTH(U$3)+1,1)))</f>
        <v/>
      </c>
      <c r="W17" s="27" t="str">
        <f aca="false">IF($A17="","",SUMIFS(請求台帳!$F$5:$F$504,請求台帳!$C$5:$C$504,$A17,請求台帳!$B$5:$B$504,"&gt;="&amp;W$3,請求台帳!$B$5:$B$504,"&lt;"&amp;DATE(YEAR(W$3),MONTH(W$3)+1,1),請求台帳!$Q$5:$Q$504,"&lt;&gt;取消"))</f>
        <v/>
      </c>
      <c r="X17" s="27" t="str">
        <f aca="false">IF($A17="","",SUMIFS(入金明細!$E$5:$E$1004,入金明細!$G$5:$G$1004,$A17,入金明細!$B$5:$B$1004,"&gt;="&amp;W$3,入金明細!$B$5:$B$1004,"&lt;"&amp;DATE(YEAR(W$3),MONTH(W$3)+1,1)))</f>
        <v/>
      </c>
      <c r="Y17" s="27" t="str">
        <f aca="false">IF($A17="","",SUMIFS(請求台帳!$F$5:$F$504,請求台帳!$C$5:$C$504,$A17,請求台帳!$B$5:$B$504,"&gt;="&amp;Y$3,請求台帳!$B$5:$B$504,"&lt;"&amp;DATE(YEAR(Y$3),MONTH(Y$3)+1,1),請求台帳!$Q$5:$Q$504,"&lt;&gt;取消"))</f>
        <v/>
      </c>
      <c r="Z17" s="27" t="str">
        <f aca="false">IF($A17="","",SUMIFS(入金明細!$E$5:$E$1004,入金明細!$G$5:$G$1004,$A17,入金明細!$B$5:$B$1004,"&gt;="&amp;Y$3,入金明細!$B$5:$B$1004,"&lt;"&amp;DATE(YEAR(Y$3),MONTH(Y$3)+1,1)))</f>
        <v/>
      </c>
      <c r="AA17" s="37" t="n">
        <f aca="false">SUM(C17,E17,G17,I17,K17,M17,O17,Q17,S17,U17,W17,Y17)</f>
        <v>0</v>
      </c>
      <c r="AB17" s="37" t="n">
        <f aca="false">SUM(D17,F17,H17,J17,L17,N17,P17,R17,T17,V17,X17,Z17)</f>
        <v>0</v>
      </c>
    </row>
    <row r="18" customFormat="false" ht="15" hidden="false" customHeight="false" outlineLevel="0" collapsed="false">
      <c r="A18" s="31" t="str">
        <f aca="false">IF(取引先マスタ!A18="","",取引先マスタ!A18)</f>
        <v/>
      </c>
      <c r="B18" s="31" t="str">
        <f aca="false">IF(A18="","",取引先マスタ!B18)</f>
        <v/>
      </c>
      <c r="C18" s="27" t="str">
        <f aca="false">IF($A18="","",SUMIFS(請求台帳!$F$5:$F$504,請求台帳!$C$5:$C$504,$A18,請求台帳!$B$5:$B$504,"&gt;="&amp;C$3,請求台帳!$B$5:$B$504,"&lt;"&amp;DATE(YEAR(C$3),MONTH(C$3)+1,1),請求台帳!$Q$5:$Q$504,"&lt;&gt;取消"))</f>
        <v/>
      </c>
      <c r="D18" s="27" t="str">
        <f aca="false">IF($A18="","",SUMIFS(入金明細!$E$5:$E$1004,入金明細!$G$5:$G$1004,$A18,入金明細!$B$5:$B$1004,"&gt;="&amp;C$3,入金明細!$B$5:$B$1004,"&lt;"&amp;DATE(YEAR(C$3),MONTH(C$3)+1,1)))</f>
        <v/>
      </c>
      <c r="E18" s="27" t="str">
        <f aca="false">IF($A18="","",SUMIFS(請求台帳!$F$5:$F$504,請求台帳!$C$5:$C$504,$A18,請求台帳!$B$5:$B$504,"&gt;="&amp;E$3,請求台帳!$B$5:$B$504,"&lt;"&amp;DATE(YEAR(E$3),MONTH(E$3)+1,1),請求台帳!$Q$5:$Q$504,"&lt;&gt;取消"))</f>
        <v/>
      </c>
      <c r="F18" s="27" t="str">
        <f aca="false">IF($A18="","",SUMIFS(入金明細!$E$5:$E$1004,入金明細!$G$5:$G$1004,$A18,入金明細!$B$5:$B$1004,"&gt;="&amp;E$3,入金明細!$B$5:$B$1004,"&lt;"&amp;DATE(YEAR(E$3),MONTH(E$3)+1,1)))</f>
        <v/>
      </c>
      <c r="G18" s="27" t="str">
        <f aca="false">IF($A18="","",SUMIFS(請求台帳!$F$5:$F$504,請求台帳!$C$5:$C$504,$A18,請求台帳!$B$5:$B$504,"&gt;="&amp;G$3,請求台帳!$B$5:$B$504,"&lt;"&amp;DATE(YEAR(G$3),MONTH(G$3)+1,1),請求台帳!$Q$5:$Q$504,"&lt;&gt;取消"))</f>
        <v/>
      </c>
      <c r="H18" s="27" t="str">
        <f aca="false">IF($A18="","",SUMIFS(入金明細!$E$5:$E$1004,入金明細!$G$5:$G$1004,$A18,入金明細!$B$5:$B$1004,"&gt;="&amp;G$3,入金明細!$B$5:$B$1004,"&lt;"&amp;DATE(YEAR(G$3),MONTH(G$3)+1,1)))</f>
        <v/>
      </c>
      <c r="I18" s="27" t="str">
        <f aca="false">IF($A18="","",SUMIFS(請求台帳!$F$5:$F$504,請求台帳!$C$5:$C$504,$A18,請求台帳!$B$5:$B$504,"&gt;="&amp;I$3,請求台帳!$B$5:$B$504,"&lt;"&amp;DATE(YEAR(I$3),MONTH(I$3)+1,1),請求台帳!$Q$5:$Q$504,"&lt;&gt;取消"))</f>
        <v/>
      </c>
      <c r="J18" s="27" t="str">
        <f aca="false">IF($A18="","",SUMIFS(入金明細!$E$5:$E$1004,入金明細!$G$5:$G$1004,$A18,入金明細!$B$5:$B$1004,"&gt;="&amp;I$3,入金明細!$B$5:$B$1004,"&lt;"&amp;DATE(YEAR(I$3),MONTH(I$3)+1,1)))</f>
        <v/>
      </c>
      <c r="K18" s="27" t="str">
        <f aca="false">IF($A18="","",SUMIFS(請求台帳!$F$5:$F$504,請求台帳!$C$5:$C$504,$A18,請求台帳!$B$5:$B$504,"&gt;="&amp;K$3,請求台帳!$B$5:$B$504,"&lt;"&amp;DATE(YEAR(K$3),MONTH(K$3)+1,1),請求台帳!$Q$5:$Q$504,"&lt;&gt;取消"))</f>
        <v/>
      </c>
      <c r="L18" s="27" t="str">
        <f aca="false">IF($A18="","",SUMIFS(入金明細!$E$5:$E$1004,入金明細!$G$5:$G$1004,$A18,入金明細!$B$5:$B$1004,"&gt;="&amp;K$3,入金明細!$B$5:$B$1004,"&lt;"&amp;DATE(YEAR(K$3),MONTH(K$3)+1,1)))</f>
        <v/>
      </c>
      <c r="M18" s="27" t="str">
        <f aca="false">IF($A18="","",SUMIFS(請求台帳!$F$5:$F$504,請求台帳!$C$5:$C$504,$A18,請求台帳!$B$5:$B$504,"&gt;="&amp;M$3,請求台帳!$B$5:$B$504,"&lt;"&amp;DATE(YEAR(M$3),MONTH(M$3)+1,1),請求台帳!$Q$5:$Q$504,"&lt;&gt;取消"))</f>
        <v/>
      </c>
      <c r="N18" s="27" t="str">
        <f aca="false">IF($A18="","",SUMIFS(入金明細!$E$5:$E$1004,入金明細!$G$5:$G$1004,$A18,入金明細!$B$5:$B$1004,"&gt;="&amp;M$3,入金明細!$B$5:$B$1004,"&lt;"&amp;DATE(YEAR(M$3),MONTH(M$3)+1,1)))</f>
        <v/>
      </c>
      <c r="O18" s="27" t="str">
        <f aca="false">IF($A18="","",SUMIFS(請求台帳!$F$5:$F$504,請求台帳!$C$5:$C$504,$A18,請求台帳!$B$5:$B$504,"&gt;="&amp;O$3,請求台帳!$B$5:$B$504,"&lt;"&amp;DATE(YEAR(O$3),MONTH(O$3)+1,1),請求台帳!$Q$5:$Q$504,"&lt;&gt;取消"))</f>
        <v/>
      </c>
      <c r="P18" s="27" t="str">
        <f aca="false">IF($A18="","",SUMIFS(入金明細!$E$5:$E$1004,入金明細!$G$5:$G$1004,$A18,入金明細!$B$5:$B$1004,"&gt;="&amp;O$3,入金明細!$B$5:$B$1004,"&lt;"&amp;DATE(YEAR(O$3),MONTH(O$3)+1,1)))</f>
        <v/>
      </c>
      <c r="Q18" s="27" t="str">
        <f aca="false">IF($A18="","",SUMIFS(請求台帳!$F$5:$F$504,請求台帳!$C$5:$C$504,$A18,請求台帳!$B$5:$B$504,"&gt;="&amp;Q$3,請求台帳!$B$5:$B$504,"&lt;"&amp;DATE(YEAR(Q$3),MONTH(Q$3)+1,1),請求台帳!$Q$5:$Q$504,"&lt;&gt;取消"))</f>
        <v/>
      </c>
      <c r="R18" s="27" t="str">
        <f aca="false">IF($A18="","",SUMIFS(入金明細!$E$5:$E$1004,入金明細!$G$5:$G$1004,$A18,入金明細!$B$5:$B$1004,"&gt;="&amp;Q$3,入金明細!$B$5:$B$1004,"&lt;"&amp;DATE(YEAR(Q$3),MONTH(Q$3)+1,1)))</f>
        <v/>
      </c>
      <c r="S18" s="27" t="str">
        <f aca="false">IF($A18="","",SUMIFS(請求台帳!$F$5:$F$504,請求台帳!$C$5:$C$504,$A18,請求台帳!$B$5:$B$504,"&gt;="&amp;S$3,請求台帳!$B$5:$B$504,"&lt;"&amp;DATE(YEAR(S$3),MONTH(S$3)+1,1),請求台帳!$Q$5:$Q$504,"&lt;&gt;取消"))</f>
        <v/>
      </c>
      <c r="T18" s="27" t="str">
        <f aca="false">IF($A18="","",SUMIFS(入金明細!$E$5:$E$1004,入金明細!$G$5:$G$1004,$A18,入金明細!$B$5:$B$1004,"&gt;="&amp;S$3,入金明細!$B$5:$B$1004,"&lt;"&amp;DATE(YEAR(S$3),MONTH(S$3)+1,1)))</f>
        <v/>
      </c>
      <c r="U18" s="27" t="str">
        <f aca="false">IF($A18="","",SUMIFS(請求台帳!$F$5:$F$504,請求台帳!$C$5:$C$504,$A18,請求台帳!$B$5:$B$504,"&gt;="&amp;U$3,請求台帳!$B$5:$B$504,"&lt;"&amp;DATE(YEAR(U$3),MONTH(U$3)+1,1),請求台帳!$Q$5:$Q$504,"&lt;&gt;取消"))</f>
        <v/>
      </c>
      <c r="V18" s="27" t="str">
        <f aca="false">IF($A18="","",SUMIFS(入金明細!$E$5:$E$1004,入金明細!$G$5:$G$1004,$A18,入金明細!$B$5:$B$1004,"&gt;="&amp;U$3,入金明細!$B$5:$B$1004,"&lt;"&amp;DATE(YEAR(U$3),MONTH(U$3)+1,1)))</f>
        <v/>
      </c>
      <c r="W18" s="27" t="str">
        <f aca="false">IF($A18="","",SUMIFS(請求台帳!$F$5:$F$504,請求台帳!$C$5:$C$504,$A18,請求台帳!$B$5:$B$504,"&gt;="&amp;W$3,請求台帳!$B$5:$B$504,"&lt;"&amp;DATE(YEAR(W$3),MONTH(W$3)+1,1),請求台帳!$Q$5:$Q$504,"&lt;&gt;取消"))</f>
        <v/>
      </c>
      <c r="X18" s="27" t="str">
        <f aca="false">IF($A18="","",SUMIFS(入金明細!$E$5:$E$1004,入金明細!$G$5:$G$1004,$A18,入金明細!$B$5:$B$1004,"&gt;="&amp;W$3,入金明細!$B$5:$B$1004,"&lt;"&amp;DATE(YEAR(W$3),MONTH(W$3)+1,1)))</f>
        <v/>
      </c>
      <c r="Y18" s="27" t="str">
        <f aca="false">IF($A18="","",SUMIFS(請求台帳!$F$5:$F$504,請求台帳!$C$5:$C$504,$A18,請求台帳!$B$5:$B$504,"&gt;="&amp;Y$3,請求台帳!$B$5:$B$504,"&lt;"&amp;DATE(YEAR(Y$3),MONTH(Y$3)+1,1),請求台帳!$Q$5:$Q$504,"&lt;&gt;取消"))</f>
        <v/>
      </c>
      <c r="Z18" s="27" t="str">
        <f aca="false">IF($A18="","",SUMIFS(入金明細!$E$5:$E$1004,入金明細!$G$5:$G$1004,$A18,入金明細!$B$5:$B$1004,"&gt;="&amp;Y$3,入金明細!$B$5:$B$1004,"&lt;"&amp;DATE(YEAR(Y$3),MONTH(Y$3)+1,1)))</f>
        <v/>
      </c>
      <c r="AA18" s="37" t="n">
        <f aca="false">SUM(C18,E18,G18,I18,K18,M18,O18,Q18,S18,U18,W18,Y18)</f>
        <v>0</v>
      </c>
      <c r="AB18" s="37" t="n">
        <f aca="false">SUM(D18,F18,H18,J18,L18,N18,P18,R18,T18,V18,X18,Z18)</f>
        <v>0</v>
      </c>
    </row>
    <row r="19" customFormat="false" ht="15" hidden="false" customHeight="false" outlineLevel="0" collapsed="false">
      <c r="A19" s="31" t="str">
        <f aca="false">IF(取引先マスタ!A19="","",取引先マスタ!A19)</f>
        <v/>
      </c>
      <c r="B19" s="31" t="str">
        <f aca="false">IF(A19="","",取引先マスタ!B19)</f>
        <v/>
      </c>
      <c r="C19" s="27" t="str">
        <f aca="false">IF($A19="","",SUMIFS(請求台帳!$F$5:$F$504,請求台帳!$C$5:$C$504,$A19,請求台帳!$B$5:$B$504,"&gt;="&amp;C$3,請求台帳!$B$5:$B$504,"&lt;"&amp;DATE(YEAR(C$3),MONTH(C$3)+1,1),請求台帳!$Q$5:$Q$504,"&lt;&gt;取消"))</f>
        <v/>
      </c>
      <c r="D19" s="27" t="str">
        <f aca="false">IF($A19="","",SUMIFS(入金明細!$E$5:$E$1004,入金明細!$G$5:$G$1004,$A19,入金明細!$B$5:$B$1004,"&gt;="&amp;C$3,入金明細!$B$5:$B$1004,"&lt;"&amp;DATE(YEAR(C$3),MONTH(C$3)+1,1)))</f>
        <v/>
      </c>
      <c r="E19" s="27" t="str">
        <f aca="false">IF($A19="","",SUMIFS(請求台帳!$F$5:$F$504,請求台帳!$C$5:$C$504,$A19,請求台帳!$B$5:$B$504,"&gt;="&amp;E$3,請求台帳!$B$5:$B$504,"&lt;"&amp;DATE(YEAR(E$3),MONTH(E$3)+1,1),請求台帳!$Q$5:$Q$504,"&lt;&gt;取消"))</f>
        <v/>
      </c>
      <c r="F19" s="27" t="str">
        <f aca="false">IF($A19="","",SUMIFS(入金明細!$E$5:$E$1004,入金明細!$G$5:$G$1004,$A19,入金明細!$B$5:$B$1004,"&gt;="&amp;E$3,入金明細!$B$5:$B$1004,"&lt;"&amp;DATE(YEAR(E$3),MONTH(E$3)+1,1)))</f>
        <v/>
      </c>
      <c r="G19" s="27" t="str">
        <f aca="false">IF($A19="","",SUMIFS(請求台帳!$F$5:$F$504,請求台帳!$C$5:$C$504,$A19,請求台帳!$B$5:$B$504,"&gt;="&amp;G$3,請求台帳!$B$5:$B$504,"&lt;"&amp;DATE(YEAR(G$3),MONTH(G$3)+1,1),請求台帳!$Q$5:$Q$504,"&lt;&gt;取消"))</f>
        <v/>
      </c>
      <c r="H19" s="27" t="str">
        <f aca="false">IF($A19="","",SUMIFS(入金明細!$E$5:$E$1004,入金明細!$G$5:$G$1004,$A19,入金明細!$B$5:$B$1004,"&gt;="&amp;G$3,入金明細!$B$5:$B$1004,"&lt;"&amp;DATE(YEAR(G$3),MONTH(G$3)+1,1)))</f>
        <v/>
      </c>
      <c r="I19" s="27" t="str">
        <f aca="false">IF($A19="","",SUMIFS(請求台帳!$F$5:$F$504,請求台帳!$C$5:$C$504,$A19,請求台帳!$B$5:$B$504,"&gt;="&amp;I$3,請求台帳!$B$5:$B$504,"&lt;"&amp;DATE(YEAR(I$3),MONTH(I$3)+1,1),請求台帳!$Q$5:$Q$504,"&lt;&gt;取消"))</f>
        <v/>
      </c>
      <c r="J19" s="27" t="str">
        <f aca="false">IF($A19="","",SUMIFS(入金明細!$E$5:$E$1004,入金明細!$G$5:$G$1004,$A19,入金明細!$B$5:$B$1004,"&gt;="&amp;I$3,入金明細!$B$5:$B$1004,"&lt;"&amp;DATE(YEAR(I$3),MONTH(I$3)+1,1)))</f>
        <v/>
      </c>
      <c r="K19" s="27" t="str">
        <f aca="false">IF($A19="","",SUMIFS(請求台帳!$F$5:$F$504,請求台帳!$C$5:$C$504,$A19,請求台帳!$B$5:$B$504,"&gt;="&amp;K$3,請求台帳!$B$5:$B$504,"&lt;"&amp;DATE(YEAR(K$3),MONTH(K$3)+1,1),請求台帳!$Q$5:$Q$504,"&lt;&gt;取消"))</f>
        <v/>
      </c>
      <c r="L19" s="27" t="str">
        <f aca="false">IF($A19="","",SUMIFS(入金明細!$E$5:$E$1004,入金明細!$G$5:$G$1004,$A19,入金明細!$B$5:$B$1004,"&gt;="&amp;K$3,入金明細!$B$5:$B$1004,"&lt;"&amp;DATE(YEAR(K$3),MONTH(K$3)+1,1)))</f>
        <v/>
      </c>
      <c r="M19" s="27" t="str">
        <f aca="false">IF($A19="","",SUMIFS(請求台帳!$F$5:$F$504,請求台帳!$C$5:$C$504,$A19,請求台帳!$B$5:$B$504,"&gt;="&amp;M$3,請求台帳!$B$5:$B$504,"&lt;"&amp;DATE(YEAR(M$3),MONTH(M$3)+1,1),請求台帳!$Q$5:$Q$504,"&lt;&gt;取消"))</f>
        <v/>
      </c>
      <c r="N19" s="27" t="str">
        <f aca="false">IF($A19="","",SUMIFS(入金明細!$E$5:$E$1004,入金明細!$G$5:$G$1004,$A19,入金明細!$B$5:$B$1004,"&gt;="&amp;M$3,入金明細!$B$5:$B$1004,"&lt;"&amp;DATE(YEAR(M$3),MONTH(M$3)+1,1)))</f>
        <v/>
      </c>
      <c r="O19" s="27" t="str">
        <f aca="false">IF($A19="","",SUMIFS(請求台帳!$F$5:$F$504,請求台帳!$C$5:$C$504,$A19,請求台帳!$B$5:$B$504,"&gt;="&amp;O$3,請求台帳!$B$5:$B$504,"&lt;"&amp;DATE(YEAR(O$3),MONTH(O$3)+1,1),請求台帳!$Q$5:$Q$504,"&lt;&gt;取消"))</f>
        <v/>
      </c>
      <c r="P19" s="27" t="str">
        <f aca="false">IF($A19="","",SUMIFS(入金明細!$E$5:$E$1004,入金明細!$G$5:$G$1004,$A19,入金明細!$B$5:$B$1004,"&gt;="&amp;O$3,入金明細!$B$5:$B$1004,"&lt;"&amp;DATE(YEAR(O$3),MONTH(O$3)+1,1)))</f>
        <v/>
      </c>
      <c r="Q19" s="27" t="str">
        <f aca="false">IF($A19="","",SUMIFS(請求台帳!$F$5:$F$504,請求台帳!$C$5:$C$504,$A19,請求台帳!$B$5:$B$504,"&gt;="&amp;Q$3,請求台帳!$B$5:$B$504,"&lt;"&amp;DATE(YEAR(Q$3),MONTH(Q$3)+1,1),請求台帳!$Q$5:$Q$504,"&lt;&gt;取消"))</f>
        <v/>
      </c>
      <c r="R19" s="27" t="str">
        <f aca="false">IF($A19="","",SUMIFS(入金明細!$E$5:$E$1004,入金明細!$G$5:$G$1004,$A19,入金明細!$B$5:$B$1004,"&gt;="&amp;Q$3,入金明細!$B$5:$B$1004,"&lt;"&amp;DATE(YEAR(Q$3),MONTH(Q$3)+1,1)))</f>
        <v/>
      </c>
      <c r="S19" s="27" t="str">
        <f aca="false">IF($A19="","",SUMIFS(請求台帳!$F$5:$F$504,請求台帳!$C$5:$C$504,$A19,請求台帳!$B$5:$B$504,"&gt;="&amp;S$3,請求台帳!$B$5:$B$504,"&lt;"&amp;DATE(YEAR(S$3),MONTH(S$3)+1,1),請求台帳!$Q$5:$Q$504,"&lt;&gt;取消"))</f>
        <v/>
      </c>
      <c r="T19" s="27" t="str">
        <f aca="false">IF($A19="","",SUMIFS(入金明細!$E$5:$E$1004,入金明細!$G$5:$G$1004,$A19,入金明細!$B$5:$B$1004,"&gt;="&amp;S$3,入金明細!$B$5:$B$1004,"&lt;"&amp;DATE(YEAR(S$3),MONTH(S$3)+1,1)))</f>
        <v/>
      </c>
      <c r="U19" s="27" t="str">
        <f aca="false">IF($A19="","",SUMIFS(請求台帳!$F$5:$F$504,請求台帳!$C$5:$C$504,$A19,請求台帳!$B$5:$B$504,"&gt;="&amp;U$3,請求台帳!$B$5:$B$504,"&lt;"&amp;DATE(YEAR(U$3),MONTH(U$3)+1,1),請求台帳!$Q$5:$Q$504,"&lt;&gt;取消"))</f>
        <v/>
      </c>
      <c r="V19" s="27" t="str">
        <f aca="false">IF($A19="","",SUMIFS(入金明細!$E$5:$E$1004,入金明細!$G$5:$G$1004,$A19,入金明細!$B$5:$B$1004,"&gt;="&amp;U$3,入金明細!$B$5:$B$1004,"&lt;"&amp;DATE(YEAR(U$3),MONTH(U$3)+1,1)))</f>
        <v/>
      </c>
      <c r="W19" s="27" t="str">
        <f aca="false">IF($A19="","",SUMIFS(請求台帳!$F$5:$F$504,請求台帳!$C$5:$C$504,$A19,請求台帳!$B$5:$B$504,"&gt;="&amp;W$3,請求台帳!$B$5:$B$504,"&lt;"&amp;DATE(YEAR(W$3),MONTH(W$3)+1,1),請求台帳!$Q$5:$Q$504,"&lt;&gt;取消"))</f>
        <v/>
      </c>
      <c r="X19" s="27" t="str">
        <f aca="false">IF($A19="","",SUMIFS(入金明細!$E$5:$E$1004,入金明細!$G$5:$G$1004,$A19,入金明細!$B$5:$B$1004,"&gt;="&amp;W$3,入金明細!$B$5:$B$1004,"&lt;"&amp;DATE(YEAR(W$3),MONTH(W$3)+1,1)))</f>
        <v/>
      </c>
      <c r="Y19" s="27" t="str">
        <f aca="false">IF($A19="","",SUMIFS(請求台帳!$F$5:$F$504,請求台帳!$C$5:$C$504,$A19,請求台帳!$B$5:$B$504,"&gt;="&amp;Y$3,請求台帳!$B$5:$B$504,"&lt;"&amp;DATE(YEAR(Y$3),MONTH(Y$3)+1,1),請求台帳!$Q$5:$Q$504,"&lt;&gt;取消"))</f>
        <v/>
      </c>
      <c r="Z19" s="27" t="str">
        <f aca="false">IF($A19="","",SUMIFS(入金明細!$E$5:$E$1004,入金明細!$G$5:$G$1004,$A19,入金明細!$B$5:$B$1004,"&gt;="&amp;Y$3,入金明細!$B$5:$B$1004,"&lt;"&amp;DATE(YEAR(Y$3),MONTH(Y$3)+1,1)))</f>
        <v/>
      </c>
      <c r="AA19" s="37" t="n">
        <f aca="false">SUM(C19,E19,G19,I19,K19,M19,O19,Q19,S19,U19,W19,Y19)</f>
        <v>0</v>
      </c>
      <c r="AB19" s="37" t="n">
        <f aca="false">SUM(D19,F19,H19,J19,L19,N19,P19,R19,T19,V19,X19,Z19)</f>
        <v>0</v>
      </c>
    </row>
    <row r="20" customFormat="false" ht="15" hidden="false" customHeight="false" outlineLevel="0" collapsed="false">
      <c r="A20" s="31" t="str">
        <f aca="false">IF(取引先マスタ!A20="","",取引先マスタ!A20)</f>
        <v/>
      </c>
      <c r="B20" s="31" t="str">
        <f aca="false">IF(A20="","",取引先マスタ!B20)</f>
        <v/>
      </c>
      <c r="C20" s="27" t="str">
        <f aca="false">IF($A20="","",SUMIFS(請求台帳!$F$5:$F$504,請求台帳!$C$5:$C$504,$A20,請求台帳!$B$5:$B$504,"&gt;="&amp;C$3,請求台帳!$B$5:$B$504,"&lt;"&amp;DATE(YEAR(C$3),MONTH(C$3)+1,1),請求台帳!$Q$5:$Q$504,"&lt;&gt;取消"))</f>
        <v/>
      </c>
      <c r="D20" s="27" t="str">
        <f aca="false">IF($A20="","",SUMIFS(入金明細!$E$5:$E$1004,入金明細!$G$5:$G$1004,$A20,入金明細!$B$5:$B$1004,"&gt;="&amp;C$3,入金明細!$B$5:$B$1004,"&lt;"&amp;DATE(YEAR(C$3),MONTH(C$3)+1,1)))</f>
        <v/>
      </c>
      <c r="E20" s="27" t="str">
        <f aca="false">IF($A20="","",SUMIFS(請求台帳!$F$5:$F$504,請求台帳!$C$5:$C$504,$A20,請求台帳!$B$5:$B$504,"&gt;="&amp;E$3,請求台帳!$B$5:$B$504,"&lt;"&amp;DATE(YEAR(E$3),MONTH(E$3)+1,1),請求台帳!$Q$5:$Q$504,"&lt;&gt;取消"))</f>
        <v/>
      </c>
      <c r="F20" s="27" t="str">
        <f aca="false">IF($A20="","",SUMIFS(入金明細!$E$5:$E$1004,入金明細!$G$5:$G$1004,$A20,入金明細!$B$5:$B$1004,"&gt;="&amp;E$3,入金明細!$B$5:$B$1004,"&lt;"&amp;DATE(YEAR(E$3),MONTH(E$3)+1,1)))</f>
        <v/>
      </c>
      <c r="G20" s="27" t="str">
        <f aca="false">IF($A20="","",SUMIFS(請求台帳!$F$5:$F$504,請求台帳!$C$5:$C$504,$A20,請求台帳!$B$5:$B$504,"&gt;="&amp;G$3,請求台帳!$B$5:$B$504,"&lt;"&amp;DATE(YEAR(G$3),MONTH(G$3)+1,1),請求台帳!$Q$5:$Q$504,"&lt;&gt;取消"))</f>
        <v/>
      </c>
      <c r="H20" s="27" t="str">
        <f aca="false">IF($A20="","",SUMIFS(入金明細!$E$5:$E$1004,入金明細!$G$5:$G$1004,$A20,入金明細!$B$5:$B$1004,"&gt;="&amp;G$3,入金明細!$B$5:$B$1004,"&lt;"&amp;DATE(YEAR(G$3),MONTH(G$3)+1,1)))</f>
        <v/>
      </c>
      <c r="I20" s="27" t="str">
        <f aca="false">IF($A20="","",SUMIFS(請求台帳!$F$5:$F$504,請求台帳!$C$5:$C$504,$A20,請求台帳!$B$5:$B$504,"&gt;="&amp;I$3,請求台帳!$B$5:$B$504,"&lt;"&amp;DATE(YEAR(I$3),MONTH(I$3)+1,1),請求台帳!$Q$5:$Q$504,"&lt;&gt;取消"))</f>
        <v/>
      </c>
      <c r="J20" s="27" t="str">
        <f aca="false">IF($A20="","",SUMIFS(入金明細!$E$5:$E$1004,入金明細!$G$5:$G$1004,$A20,入金明細!$B$5:$B$1004,"&gt;="&amp;I$3,入金明細!$B$5:$B$1004,"&lt;"&amp;DATE(YEAR(I$3),MONTH(I$3)+1,1)))</f>
        <v/>
      </c>
      <c r="K20" s="27" t="str">
        <f aca="false">IF($A20="","",SUMIFS(請求台帳!$F$5:$F$504,請求台帳!$C$5:$C$504,$A20,請求台帳!$B$5:$B$504,"&gt;="&amp;K$3,請求台帳!$B$5:$B$504,"&lt;"&amp;DATE(YEAR(K$3),MONTH(K$3)+1,1),請求台帳!$Q$5:$Q$504,"&lt;&gt;取消"))</f>
        <v/>
      </c>
      <c r="L20" s="27" t="str">
        <f aca="false">IF($A20="","",SUMIFS(入金明細!$E$5:$E$1004,入金明細!$G$5:$G$1004,$A20,入金明細!$B$5:$B$1004,"&gt;="&amp;K$3,入金明細!$B$5:$B$1004,"&lt;"&amp;DATE(YEAR(K$3),MONTH(K$3)+1,1)))</f>
        <v/>
      </c>
      <c r="M20" s="27" t="str">
        <f aca="false">IF($A20="","",SUMIFS(請求台帳!$F$5:$F$504,請求台帳!$C$5:$C$504,$A20,請求台帳!$B$5:$B$504,"&gt;="&amp;M$3,請求台帳!$B$5:$B$504,"&lt;"&amp;DATE(YEAR(M$3),MONTH(M$3)+1,1),請求台帳!$Q$5:$Q$504,"&lt;&gt;取消"))</f>
        <v/>
      </c>
      <c r="N20" s="27" t="str">
        <f aca="false">IF($A20="","",SUMIFS(入金明細!$E$5:$E$1004,入金明細!$G$5:$G$1004,$A20,入金明細!$B$5:$B$1004,"&gt;="&amp;M$3,入金明細!$B$5:$B$1004,"&lt;"&amp;DATE(YEAR(M$3),MONTH(M$3)+1,1)))</f>
        <v/>
      </c>
      <c r="O20" s="27" t="str">
        <f aca="false">IF($A20="","",SUMIFS(請求台帳!$F$5:$F$504,請求台帳!$C$5:$C$504,$A20,請求台帳!$B$5:$B$504,"&gt;="&amp;O$3,請求台帳!$B$5:$B$504,"&lt;"&amp;DATE(YEAR(O$3),MONTH(O$3)+1,1),請求台帳!$Q$5:$Q$504,"&lt;&gt;取消"))</f>
        <v/>
      </c>
      <c r="P20" s="27" t="str">
        <f aca="false">IF($A20="","",SUMIFS(入金明細!$E$5:$E$1004,入金明細!$G$5:$G$1004,$A20,入金明細!$B$5:$B$1004,"&gt;="&amp;O$3,入金明細!$B$5:$B$1004,"&lt;"&amp;DATE(YEAR(O$3),MONTH(O$3)+1,1)))</f>
        <v/>
      </c>
      <c r="Q20" s="27" t="str">
        <f aca="false">IF($A20="","",SUMIFS(請求台帳!$F$5:$F$504,請求台帳!$C$5:$C$504,$A20,請求台帳!$B$5:$B$504,"&gt;="&amp;Q$3,請求台帳!$B$5:$B$504,"&lt;"&amp;DATE(YEAR(Q$3),MONTH(Q$3)+1,1),請求台帳!$Q$5:$Q$504,"&lt;&gt;取消"))</f>
        <v/>
      </c>
      <c r="R20" s="27" t="str">
        <f aca="false">IF($A20="","",SUMIFS(入金明細!$E$5:$E$1004,入金明細!$G$5:$G$1004,$A20,入金明細!$B$5:$B$1004,"&gt;="&amp;Q$3,入金明細!$B$5:$B$1004,"&lt;"&amp;DATE(YEAR(Q$3),MONTH(Q$3)+1,1)))</f>
        <v/>
      </c>
      <c r="S20" s="27" t="str">
        <f aca="false">IF($A20="","",SUMIFS(請求台帳!$F$5:$F$504,請求台帳!$C$5:$C$504,$A20,請求台帳!$B$5:$B$504,"&gt;="&amp;S$3,請求台帳!$B$5:$B$504,"&lt;"&amp;DATE(YEAR(S$3),MONTH(S$3)+1,1),請求台帳!$Q$5:$Q$504,"&lt;&gt;取消"))</f>
        <v/>
      </c>
      <c r="T20" s="27" t="str">
        <f aca="false">IF($A20="","",SUMIFS(入金明細!$E$5:$E$1004,入金明細!$G$5:$G$1004,$A20,入金明細!$B$5:$B$1004,"&gt;="&amp;S$3,入金明細!$B$5:$B$1004,"&lt;"&amp;DATE(YEAR(S$3),MONTH(S$3)+1,1)))</f>
        <v/>
      </c>
      <c r="U20" s="27" t="str">
        <f aca="false">IF($A20="","",SUMIFS(請求台帳!$F$5:$F$504,請求台帳!$C$5:$C$504,$A20,請求台帳!$B$5:$B$504,"&gt;="&amp;U$3,請求台帳!$B$5:$B$504,"&lt;"&amp;DATE(YEAR(U$3),MONTH(U$3)+1,1),請求台帳!$Q$5:$Q$504,"&lt;&gt;取消"))</f>
        <v/>
      </c>
      <c r="V20" s="27" t="str">
        <f aca="false">IF($A20="","",SUMIFS(入金明細!$E$5:$E$1004,入金明細!$G$5:$G$1004,$A20,入金明細!$B$5:$B$1004,"&gt;="&amp;U$3,入金明細!$B$5:$B$1004,"&lt;"&amp;DATE(YEAR(U$3),MONTH(U$3)+1,1)))</f>
        <v/>
      </c>
      <c r="W20" s="27" t="str">
        <f aca="false">IF($A20="","",SUMIFS(請求台帳!$F$5:$F$504,請求台帳!$C$5:$C$504,$A20,請求台帳!$B$5:$B$504,"&gt;="&amp;W$3,請求台帳!$B$5:$B$504,"&lt;"&amp;DATE(YEAR(W$3),MONTH(W$3)+1,1),請求台帳!$Q$5:$Q$504,"&lt;&gt;取消"))</f>
        <v/>
      </c>
      <c r="X20" s="27" t="str">
        <f aca="false">IF($A20="","",SUMIFS(入金明細!$E$5:$E$1004,入金明細!$G$5:$G$1004,$A20,入金明細!$B$5:$B$1004,"&gt;="&amp;W$3,入金明細!$B$5:$B$1004,"&lt;"&amp;DATE(YEAR(W$3),MONTH(W$3)+1,1)))</f>
        <v/>
      </c>
      <c r="Y20" s="27" t="str">
        <f aca="false">IF($A20="","",SUMIFS(請求台帳!$F$5:$F$504,請求台帳!$C$5:$C$504,$A20,請求台帳!$B$5:$B$504,"&gt;="&amp;Y$3,請求台帳!$B$5:$B$504,"&lt;"&amp;DATE(YEAR(Y$3),MONTH(Y$3)+1,1),請求台帳!$Q$5:$Q$504,"&lt;&gt;取消"))</f>
        <v/>
      </c>
      <c r="Z20" s="27" t="str">
        <f aca="false">IF($A20="","",SUMIFS(入金明細!$E$5:$E$1004,入金明細!$G$5:$G$1004,$A20,入金明細!$B$5:$B$1004,"&gt;="&amp;Y$3,入金明細!$B$5:$B$1004,"&lt;"&amp;DATE(YEAR(Y$3),MONTH(Y$3)+1,1)))</f>
        <v/>
      </c>
      <c r="AA20" s="37" t="n">
        <f aca="false">SUM(C20,E20,G20,I20,K20,M20,O20,Q20,S20,U20,W20,Y20)</f>
        <v>0</v>
      </c>
      <c r="AB20" s="37" t="n">
        <f aca="false">SUM(D20,F20,H20,J20,L20,N20,P20,R20,T20,V20,X20,Z20)</f>
        <v>0</v>
      </c>
    </row>
    <row r="21" customFormat="false" ht="15" hidden="false" customHeight="false" outlineLevel="0" collapsed="false">
      <c r="A21" s="31" t="str">
        <f aca="false">IF(取引先マスタ!A21="","",取引先マスタ!A21)</f>
        <v/>
      </c>
      <c r="B21" s="31" t="str">
        <f aca="false">IF(A21="","",取引先マスタ!B21)</f>
        <v/>
      </c>
      <c r="C21" s="27" t="str">
        <f aca="false">IF($A21="","",SUMIFS(請求台帳!$F$5:$F$504,請求台帳!$C$5:$C$504,$A21,請求台帳!$B$5:$B$504,"&gt;="&amp;C$3,請求台帳!$B$5:$B$504,"&lt;"&amp;DATE(YEAR(C$3),MONTH(C$3)+1,1),請求台帳!$Q$5:$Q$504,"&lt;&gt;取消"))</f>
        <v/>
      </c>
      <c r="D21" s="27" t="str">
        <f aca="false">IF($A21="","",SUMIFS(入金明細!$E$5:$E$1004,入金明細!$G$5:$G$1004,$A21,入金明細!$B$5:$B$1004,"&gt;="&amp;C$3,入金明細!$B$5:$B$1004,"&lt;"&amp;DATE(YEAR(C$3),MONTH(C$3)+1,1)))</f>
        <v/>
      </c>
      <c r="E21" s="27" t="str">
        <f aca="false">IF($A21="","",SUMIFS(請求台帳!$F$5:$F$504,請求台帳!$C$5:$C$504,$A21,請求台帳!$B$5:$B$504,"&gt;="&amp;E$3,請求台帳!$B$5:$B$504,"&lt;"&amp;DATE(YEAR(E$3),MONTH(E$3)+1,1),請求台帳!$Q$5:$Q$504,"&lt;&gt;取消"))</f>
        <v/>
      </c>
      <c r="F21" s="27" t="str">
        <f aca="false">IF($A21="","",SUMIFS(入金明細!$E$5:$E$1004,入金明細!$G$5:$G$1004,$A21,入金明細!$B$5:$B$1004,"&gt;="&amp;E$3,入金明細!$B$5:$B$1004,"&lt;"&amp;DATE(YEAR(E$3),MONTH(E$3)+1,1)))</f>
        <v/>
      </c>
      <c r="G21" s="27" t="str">
        <f aca="false">IF($A21="","",SUMIFS(請求台帳!$F$5:$F$504,請求台帳!$C$5:$C$504,$A21,請求台帳!$B$5:$B$504,"&gt;="&amp;G$3,請求台帳!$B$5:$B$504,"&lt;"&amp;DATE(YEAR(G$3),MONTH(G$3)+1,1),請求台帳!$Q$5:$Q$504,"&lt;&gt;取消"))</f>
        <v/>
      </c>
      <c r="H21" s="27" t="str">
        <f aca="false">IF($A21="","",SUMIFS(入金明細!$E$5:$E$1004,入金明細!$G$5:$G$1004,$A21,入金明細!$B$5:$B$1004,"&gt;="&amp;G$3,入金明細!$B$5:$B$1004,"&lt;"&amp;DATE(YEAR(G$3),MONTH(G$3)+1,1)))</f>
        <v/>
      </c>
      <c r="I21" s="27" t="str">
        <f aca="false">IF($A21="","",SUMIFS(請求台帳!$F$5:$F$504,請求台帳!$C$5:$C$504,$A21,請求台帳!$B$5:$B$504,"&gt;="&amp;I$3,請求台帳!$B$5:$B$504,"&lt;"&amp;DATE(YEAR(I$3),MONTH(I$3)+1,1),請求台帳!$Q$5:$Q$504,"&lt;&gt;取消"))</f>
        <v/>
      </c>
      <c r="J21" s="27" t="str">
        <f aca="false">IF($A21="","",SUMIFS(入金明細!$E$5:$E$1004,入金明細!$G$5:$G$1004,$A21,入金明細!$B$5:$B$1004,"&gt;="&amp;I$3,入金明細!$B$5:$B$1004,"&lt;"&amp;DATE(YEAR(I$3),MONTH(I$3)+1,1)))</f>
        <v/>
      </c>
      <c r="K21" s="27" t="str">
        <f aca="false">IF($A21="","",SUMIFS(請求台帳!$F$5:$F$504,請求台帳!$C$5:$C$504,$A21,請求台帳!$B$5:$B$504,"&gt;="&amp;K$3,請求台帳!$B$5:$B$504,"&lt;"&amp;DATE(YEAR(K$3),MONTH(K$3)+1,1),請求台帳!$Q$5:$Q$504,"&lt;&gt;取消"))</f>
        <v/>
      </c>
      <c r="L21" s="27" t="str">
        <f aca="false">IF($A21="","",SUMIFS(入金明細!$E$5:$E$1004,入金明細!$G$5:$G$1004,$A21,入金明細!$B$5:$B$1004,"&gt;="&amp;K$3,入金明細!$B$5:$B$1004,"&lt;"&amp;DATE(YEAR(K$3),MONTH(K$3)+1,1)))</f>
        <v/>
      </c>
      <c r="M21" s="27" t="str">
        <f aca="false">IF($A21="","",SUMIFS(請求台帳!$F$5:$F$504,請求台帳!$C$5:$C$504,$A21,請求台帳!$B$5:$B$504,"&gt;="&amp;M$3,請求台帳!$B$5:$B$504,"&lt;"&amp;DATE(YEAR(M$3),MONTH(M$3)+1,1),請求台帳!$Q$5:$Q$504,"&lt;&gt;取消"))</f>
        <v/>
      </c>
      <c r="N21" s="27" t="str">
        <f aca="false">IF($A21="","",SUMIFS(入金明細!$E$5:$E$1004,入金明細!$G$5:$G$1004,$A21,入金明細!$B$5:$B$1004,"&gt;="&amp;M$3,入金明細!$B$5:$B$1004,"&lt;"&amp;DATE(YEAR(M$3),MONTH(M$3)+1,1)))</f>
        <v/>
      </c>
      <c r="O21" s="27" t="str">
        <f aca="false">IF($A21="","",SUMIFS(請求台帳!$F$5:$F$504,請求台帳!$C$5:$C$504,$A21,請求台帳!$B$5:$B$504,"&gt;="&amp;O$3,請求台帳!$B$5:$B$504,"&lt;"&amp;DATE(YEAR(O$3),MONTH(O$3)+1,1),請求台帳!$Q$5:$Q$504,"&lt;&gt;取消"))</f>
        <v/>
      </c>
      <c r="P21" s="27" t="str">
        <f aca="false">IF($A21="","",SUMIFS(入金明細!$E$5:$E$1004,入金明細!$G$5:$G$1004,$A21,入金明細!$B$5:$B$1004,"&gt;="&amp;O$3,入金明細!$B$5:$B$1004,"&lt;"&amp;DATE(YEAR(O$3),MONTH(O$3)+1,1)))</f>
        <v/>
      </c>
      <c r="Q21" s="27" t="str">
        <f aca="false">IF($A21="","",SUMIFS(請求台帳!$F$5:$F$504,請求台帳!$C$5:$C$504,$A21,請求台帳!$B$5:$B$504,"&gt;="&amp;Q$3,請求台帳!$B$5:$B$504,"&lt;"&amp;DATE(YEAR(Q$3),MONTH(Q$3)+1,1),請求台帳!$Q$5:$Q$504,"&lt;&gt;取消"))</f>
        <v/>
      </c>
      <c r="R21" s="27" t="str">
        <f aca="false">IF($A21="","",SUMIFS(入金明細!$E$5:$E$1004,入金明細!$G$5:$G$1004,$A21,入金明細!$B$5:$B$1004,"&gt;="&amp;Q$3,入金明細!$B$5:$B$1004,"&lt;"&amp;DATE(YEAR(Q$3),MONTH(Q$3)+1,1)))</f>
        <v/>
      </c>
      <c r="S21" s="27" t="str">
        <f aca="false">IF($A21="","",SUMIFS(請求台帳!$F$5:$F$504,請求台帳!$C$5:$C$504,$A21,請求台帳!$B$5:$B$504,"&gt;="&amp;S$3,請求台帳!$B$5:$B$504,"&lt;"&amp;DATE(YEAR(S$3),MONTH(S$3)+1,1),請求台帳!$Q$5:$Q$504,"&lt;&gt;取消"))</f>
        <v/>
      </c>
      <c r="T21" s="27" t="str">
        <f aca="false">IF($A21="","",SUMIFS(入金明細!$E$5:$E$1004,入金明細!$G$5:$G$1004,$A21,入金明細!$B$5:$B$1004,"&gt;="&amp;S$3,入金明細!$B$5:$B$1004,"&lt;"&amp;DATE(YEAR(S$3),MONTH(S$3)+1,1)))</f>
        <v/>
      </c>
      <c r="U21" s="27" t="str">
        <f aca="false">IF($A21="","",SUMIFS(請求台帳!$F$5:$F$504,請求台帳!$C$5:$C$504,$A21,請求台帳!$B$5:$B$504,"&gt;="&amp;U$3,請求台帳!$B$5:$B$504,"&lt;"&amp;DATE(YEAR(U$3),MONTH(U$3)+1,1),請求台帳!$Q$5:$Q$504,"&lt;&gt;取消"))</f>
        <v/>
      </c>
      <c r="V21" s="27" t="str">
        <f aca="false">IF($A21="","",SUMIFS(入金明細!$E$5:$E$1004,入金明細!$G$5:$G$1004,$A21,入金明細!$B$5:$B$1004,"&gt;="&amp;U$3,入金明細!$B$5:$B$1004,"&lt;"&amp;DATE(YEAR(U$3),MONTH(U$3)+1,1)))</f>
        <v/>
      </c>
      <c r="W21" s="27" t="str">
        <f aca="false">IF($A21="","",SUMIFS(請求台帳!$F$5:$F$504,請求台帳!$C$5:$C$504,$A21,請求台帳!$B$5:$B$504,"&gt;="&amp;W$3,請求台帳!$B$5:$B$504,"&lt;"&amp;DATE(YEAR(W$3),MONTH(W$3)+1,1),請求台帳!$Q$5:$Q$504,"&lt;&gt;取消"))</f>
        <v/>
      </c>
      <c r="X21" s="27" t="str">
        <f aca="false">IF($A21="","",SUMIFS(入金明細!$E$5:$E$1004,入金明細!$G$5:$G$1004,$A21,入金明細!$B$5:$B$1004,"&gt;="&amp;W$3,入金明細!$B$5:$B$1004,"&lt;"&amp;DATE(YEAR(W$3),MONTH(W$3)+1,1)))</f>
        <v/>
      </c>
      <c r="Y21" s="27" t="str">
        <f aca="false">IF($A21="","",SUMIFS(請求台帳!$F$5:$F$504,請求台帳!$C$5:$C$504,$A21,請求台帳!$B$5:$B$504,"&gt;="&amp;Y$3,請求台帳!$B$5:$B$504,"&lt;"&amp;DATE(YEAR(Y$3),MONTH(Y$3)+1,1),請求台帳!$Q$5:$Q$504,"&lt;&gt;取消"))</f>
        <v/>
      </c>
      <c r="Z21" s="27" t="str">
        <f aca="false">IF($A21="","",SUMIFS(入金明細!$E$5:$E$1004,入金明細!$G$5:$G$1004,$A21,入金明細!$B$5:$B$1004,"&gt;="&amp;Y$3,入金明細!$B$5:$B$1004,"&lt;"&amp;DATE(YEAR(Y$3),MONTH(Y$3)+1,1)))</f>
        <v/>
      </c>
      <c r="AA21" s="37" t="n">
        <f aca="false">SUM(C21,E21,G21,I21,K21,M21,O21,Q21,S21,U21,W21,Y21)</f>
        <v>0</v>
      </c>
      <c r="AB21" s="37" t="n">
        <f aca="false">SUM(D21,F21,H21,J21,L21,N21,P21,R21,T21,V21,X21,Z21)</f>
        <v>0</v>
      </c>
    </row>
    <row r="22" customFormat="false" ht="15" hidden="false" customHeight="false" outlineLevel="0" collapsed="false">
      <c r="A22" s="31" t="str">
        <f aca="false">IF(取引先マスタ!A22="","",取引先マスタ!A22)</f>
        <v/>
      </c>
      <c r="B22" s="31" t="str">
        <f aca="false">IF(A22="","",取引先マスタ!B22)</f>
        <v/>
      </c>
      <c r="C22" s="27" t="str">
        <f aca="false">IF($A22="","",SUMIFS(請求台帳!$F$5:$F$504,請求台帳!$C$5:$C$504,$A22,請求台帳!$B$5:$B$504,"&gt;="&amp;C$3,請求台帳!$B$5:$B$504,"&lt;"&amp;DATE(YEAR(C$3),MONTH(C$3)+1,1),請求台帳!$Q$5:$Q$504,"&lt;&gt;取消"))</f>
        <v/>
      </c>
      <c r="D22" s="27" t="str">
        <f aca="false">IF($A22="","",SUMIFS(入金明細!$E$5:$E$1004,入金明細!$G$5:$G$1004,$A22,入金明細!$B$5:$B$1004,"&gt;="&amp;C$3,入金明細!$B$5:$B$1004,"&lt;"&amp;DATE(YEAR(C$3),MONTH(C$3)+1,1)))</f>
        <v/>
      </c>
      <c r="E22" s="27" t="str">
        <f aca="false">IF($A22="","",SUMIFS(請求台帳!$F$5:$F$504,請求台帳!$C$5:$C$504,$A22,請求台帳!$B$5:$B$504,"&gt;="&amp;E$3,請求台帳!$B$5:$B$504,"&lt;"&amp;DATE(YEAR(E$3),MONTH(E$3)+1,1),請求台帳!$Q$5:$Q$504,"&lt;&gt;取消"))</f>
        <v/>
      </c>
      <c r="F22" s="27" t="str">
        <f aca="false">IF($A22="","",SUMIFS(入金明細!$E$5:$E$1004,入金明細!$G$5:$G$1004,$A22,入金明細!$B$5:$B$1004,"&gt;="&amp;E$3,入金明細!$B$5:$B$1004,"&lt;"&amp;DATE(YEAR(E$3),MONTH(E$3)+1,1)))</f>
        <v/>
      </c>
      <c r="G22" s="27" t="str">
        <f aca="false">IF($A22="","",SUMIFS(請求台帳!$F$5:$F$504,請求台帳!$C$5:$C$504,$A22,請求台帳!$B$5:$B$504,"&gt;="&amp;G$3,請求台帳!$B$5:$B$504,"&lt;"&amp;DATE(YEAR(G$3),MONTH(G$3)+1,1),請求台帳!$Q$5:$Q$504,"&lt;&gt;取消"))</f>
        <v/>
      </c>
      <c r="H22" s="27" t="str">
        <f aca="false">IF($A22="","",SUMIFS(入金明細!$E$5:$E$1004,入金明細!$G$5:$G$1004,$A22,入金明細!$B$5:$B$1004,"&gt;="&amp;G$3,入金明細!$B$5:$B$1004,"&lt;"&amp;DATE(YEAR(G$3),MONTH(G$3)+1,1)))</f>
        <v/>
      </c>
      <c r="I22" s="27" t="str">
        <f aca="false">IF($A22="","",SUMIFS(請求台帳!$F$5:$F$504,請求台帳!$C$5:$C$504,$A22,請求台帳!$B$5:$B$504,"&gt;="&amp;I$3,請求台帳!$B$5:$B$504,"&lt;"&amp;DATE(YEAR(I$3),MONTH(I$3)+1,1),請求台帳!$Q$5:$Q$504,"&lt;&gt;取消"))</f>
        <v/>
      </c>
      <c r="J22" s="27" t="str">
        <f aca="false">IF($A22="","",SUMIFS(入金明細!$E$5:$E$1004,入金明細!$G$5:$G$1004,$A22,入金明細!$B$5:$B$1004,"&gt;="&amp;I$3,入金明細!$B$5:$B$1004,"&lt;"&amp;DATE(YEAR(I$3),MONTH(I$3)+1,1)))</f>
        <v/>
      </c>
      <c r="K22" s="27" t="str">
        <f aca="false">IF($A22="","",SUMIFS(請求台帳!$F$5:$F$504,請求台帳!$C$5:$C$504,$A22,請求台帳!$B$5:$B$504,"&gt;="&amp;K$3,請求台帳!$B$5:$B$504,"&lt;"&amp;DATE(YEAR(K$3),MONTH(K$3)+1,1),請求台帳!$Q$5:$Q$504,"&lt;&gt;取消"))</f>
        <v/>
      </c>
      <c r="L22" s="27" t="str">
        <f aca="false">IF($A22="","",SUMIFS(入金明細!$E$5:$E$1004,入金明細!$G$5:$G$1004,$A22,入金明細!$B$5:$B$1004,"&gt;="&amp;K$3,入金明細!$B$5:$B$1004,"&lt;"&amp;DATE(YEAR(K$3),MONTH(K$3)+1,1)))</f>
        <v/>
      </c>
      <c r="M22" s="27" t="str">
        <f aca="false">IF($A22="","",SUMIFS(請求台帳!$F$5:$F$504,請求台帳!$C$5:$C$504,$A22,請求台帳!$B$5:$B$504,"&gt;="&amp;M$3,請求台帳!$B$5:$B$504,"&lt;"&amp;DATE(YEAR(M$3),MONTH(M$3)+1,1),請求台帳!$Q$5:$Q$504,"&lt;&gt;取消"))</f>
        <v/>
      </c>
      <c r="N22" s="27" t="str">
        <f aca="false">IF($A22="","",SUMIFS(入金明細!$E$5:$E$1004,入金明細!$G$5:$G$1004,$A22,入金明細!$B$5:$B$1004,"&gt;="&amp;M$3,入金明細!$B$5:$B$1004,"&lt;"&amp;DATE(YEAR(M$3),MONTH(M$3)+1,1)))</f>
        <v/>
      </c>
      <c r="O22" s="27" t="str">
        <f aca="false">IF($A22="","",SUMIFS(請求台帳!$F$5:$F$504,請求台帳!$C$5:$C$504,$A22,請求台帳!$B$5:$B$504,"&gt;="&amp;O$3,請求台帳!$B$5:$B$504,"&lt;"&amp;DATE(YEAR(O$3),MONTH(O$3)+1,1),請求台帳!$Q$5:$Q$504,"&lt;&gt;取消"))</f>
        <v/>
      </c>
      <c r="P22" s="27" t="str">
        <f aca="false">IF($A22="","",SUMIFS(入金明細!$E$5:$E$1004,入金明細!$G$5:$G$1004,$A22,入金明細!$B$5:$B$1004,"&gt;="&amp;O$3,入金明細!$B$5:$B$1004,"&lt;"&amp;DATE(YEAR(O$3),MONTH(O$3)+1,1)))</f>
        <v/>
      </c>
      <c r="Q22" s="27" t="str">
        <f aca="false">IF($A22="","",SUMIFS(請求台帳!$F$5:$F$504,請求台帳!$C$5:$C$504,$A22,請求台帳!$B$5:$B$504,"&gt;="&amp;Q$3,請求台帳!$B$5:$B$504,"&lt;"&amp;DATE(YEAR(Q$3),MONTH(Q$3)+1,1),請求台帳!$Q$5:$Q$504,"&lt;&gt;取消"))</f>
        <v/>
      </c>
      <c r="R22" s="27" t="str">
        <f aca="false">IF($A22="","",SUMIFS(入金明細!$E$5:$E$1004,入金明細!$G$5:$G$1004,$A22,入金明細!$B$5:$B$1004,"&gt;="&amp;Q$3,入金明細!$B$5:$B$1004,"&lt;"&amp;DATE(YEAR(Q$3),MONTH(Q$3)+1,1)))</f>
        <v/>
      </c>
      <c r="S22" s="27" t="str">
        <f aca="false">IF($A22="","",SUMIFS(請求台帳!$F$5:$F$504,請求台帳!$C$5:$C$504,$A22,請求台帳!$B$5:$B$504,"&gt;="&amp;S$3,請求台帳!$B$5:$B$504,"&lt;"&amp;DATE(YEAR(S$3),MONTH(S$3)+1,1),請求台帳!$Q$5:$Q$504,"&lt;&gt;取消"))</f>
        <v/>
      </c>
      <c r="T22" s="27" t="str">
        <f aca="false">IF($A22="","",SUMIFS(入金明細!$E$5:$E$1004,入金明細!$G$5:$G$1004,$A22,入金明細!$B$5:$B$1004,"&gt;="&amp;S$3,入金明細!$B$5:$B$1004,"&lt;"&amp;DATE(YEAR(S$3),MONTH(S$3)+1,1)))</f>
        <v/>
      </c>
      <c r="U22" s="27" t="str">
        <f aca="false">IF($A22="","",SUMIFS(請求台帳!$F$5:$F$504,請求台帳!$C$5:$C$504,$A22,請求台帳!$B$5:$B$504,"&gt;="&amp;U$3,請求台帳!$B$5:$B$504,"&lt;"&amp;DATE(YEAR(U$3),MONTH(U$3)+1,1),請求台帳!$Q$5:$Q$504,"&lt;&gt;取消"))</f>
        <v/>
      </c>
      <c r="V22" s="27" t="str">
        <f aca="false">IF($A22="","",SUMIFS(入金明細!$E$5:$E$1004,入金明細!$G$5:$G$1004,$A22,入金明細!$B$5:$B$1004,"&gt;="&amp;U$3,入金明細!$B$5:$B$1004,"&lt;"&amp;DATE(YEAR(U$3),MONTH(U$3)+1,1)))</f>
        <v/>
      </c>
      <c r="W22" s="27" t="str">
        <f aca="false">IF($A22="","",SUMIFS(請求台帳!$F$5:$F$504,請求台帳!$C$5:$C$504,$A22,請求台帳!$B$5:$B$504,"&gt;="&amp;W$3,請求台帳!$B$5:$B$504,"&lt;"&amp;DATE(YEAR(W$3),MONTH(W$3)+1,1),請求台帳!$Q$5:$Q$504,"&lt;&gt;取消"))</f>
        <v/>
      </c>
      <c r="X22" s="27" t="str">
        <f aca="false">IF($A22="","",SUMIFS(入金明細!$E$5:$E$1004,入金明細!$G$5:$G$1004,$A22,入金明細!$B$5:$B$1004,"&gt;="&amp;W$3,入金明細!$B$5:$B$1004,"&lt;"&amp;DATE(YEAR(W$3),MONTH(W$3)+1,1)))</f>
        <v/>
      </c>
      <c r="Y22" s="27" t="str">
        <f aca="false">IF($A22="","",SUMIFS(請求台帳!$F$5:$F$504,請求台帳!$C$5:$C$504,$A22,請求台帳!$B$5:$B$504,"&gt;="&amp;Y$3,請求台帳!$B$5:$B$504,"&lt;"&amp;DATE(YEAR(Y$3),MONTH(Y$3)+1,1),請求台帳!$Q$5:$Q$504,"&lt;&gt;取消"))</f>
        <v/>
      </c>
      <c r="Z22" s="27" t="str">
        <f aca="false">IF($A22="","",SUMIFS(入金明細!$E$5:$E$1004,入金明細!$G$5:$G$1004,$A22,入金明細!$B$5:$B$1004,"&gt;="&amp;Y$3,入金明細!$B$5:$B$1004,"&lt;"&amp;DATE(YEAR(Y$3),MONTH(Y$3)+1,1)))</f>
        <v/>
      </c>
      <c r="AA22" s="37" t="n">
        <f aca="false">SUM(C22,E22,G22,I22,K22,M22,O22,Q22,S22,U22,W22,Y22)</f>
        <v>0</v>
      </c>
      <c r="AB22" s="37" t="n">
        <f aca="false">SUM(D22,F22,H22,J22,L22,N22,P22,R22,T22,V22,X22,Z22)</f>
        <v>0</v>
      </c>
    </row>
    <row r="23" customFormat="false" ht="15" hidden="false" customHeight="false" outlineLevel="0" collapsed="false">
      <c r="A23" s="31" t="str">
        <f aca="false">IF(取引先マスタ!A23="","",取引先マスタ!A23)</f>
        <v/>
      </c>
      <c r="B23" s="31" t="str">
        <f aca="false">IF(A23="","",取引先マスタ!B23)</f>
        <v/>
      </c>
      <c r="C23" s="27" t="str">
        <f aca="false">IF($A23="","",SUMIFS(請求台帳!$F$5:$F$504,請求台帳!$C$5:$C$504,$A23,請求台帳!$B$5:$B$504,"&gt;="&amp;C$3,請求台帳!$B$5:$B$504,"&lt;"&amp;DATE(YEAR(C$3),MONTH(C$3)+1,1),請求台帳!$Q$5:$Q$504,"&lt;&gt;取消"))</f>
        <v/>
      </c>
      <c r="D23" s="27" t="str">
        <f aca="false">IF($A23="","",SUMIFS(入金明細!$E$5:$E$1004,入金明細!$G$5:$G$1004,$A23,入金明細!$B$5:$B$1004,"&gt;="&amp;C$3,入金明細!$B$5:$B$1004,"&lt;"&amp;DATE(YEAR(C$3),MONTH(C$3)+1,1)))</f>
        <v/>
      </c>
      <c r="E23" s="27" t="str">
        <f aca="false">IF($A23="","",SUMIFS(請求台帳!$F$5:$F$504,請求台帳!$C$5:$C$504,$A23,請求台帳!$B$5:$B$504,"&gt;="&amp;E$3,請求台帳!$B$5:$B$504,"&lt;"&amp;DATE(YEAR(E$3),MONTH(E$3)+1,1),請求台帳!$Q$5:$Q$504,"&lt;&gt;取消"))</f>
        <v/>
      </c>
      <c r="F23" s="27" t="str">
        <f aca="false">IF($A23="","",SUMIFS(入金明細!$E$5:$E$1004,入金明細!$G$5:$G$1004,$A23,入金明細!$B$5:$B$1004,"&gt;="&amp;E$3,入金明細!$B$5:$B$1004,"&lt;"&amp;DATE(YEAR(E$3),MONTH(E$3)+1,1)))</f>
        <v/>
      </c>
      <c r="G23" s="27" t="str">
        <f aca="false">IF($A23="","",SUMIFS(請求台帳!$F$5:$F$504,請求台帳!$C$5:$C$504,$A23,請求台帳!$B$5:$B$504,"&gt;="&amp;G$3,請求台帳!$B$5:$B$504,"&lt;"&amp;DATE(YEAR(G$3),MONTH(G$3)+1,1),請求台帳!$Q$5:$Q$504,"&lt;&gt;取消"))</f>
        <v/>
      </c>
      <c r="H23" s="27" t="str">
        <f aca="false">IF($A23="","",SUMIFS(入金明細!$E$5:$E$1004,入金明細!$G$5:$G$1004,$A23,入金明細!$B$5:$B$1004,"&gt;="&amp;G$3,入金明細!$B$5:$B$1004,"&lt;"&amp;DATE(YEAR(G$3),MONTH(G$3)+1,1)))</f>
        <v/>
      </c>
      <c r="I23" s="27" t="str">
        <f aca="false">IF($A23="","",SUMIFS(請求台帳!$F$5:$F$504,請求台帳!$C$5:$C$504,$A23,請求台帳!$B$5:$B$504,"&gt;="&amp;I$3,請求台帳!$B$5:$B$504,"&lt;"&amp;DATE(YEAR(I$3),MONTH(I$3)+1,1),請求台帳!$Q$5:$Q$504,"&lt;&gt;取消"))</f>
        <v/>
      </c>
      <c r="J23" s="27" t="str">
        <f aca="false">IF($A23="","",SUMIFS(入金明細!$E$5:$E$1004,入金明細!$G$5:$G$1004,$A23,入金明細!$B$5:$B$1004,"&gt;="&amp;I$3,入金明細!$B$5:$B$1004,"&lt;"&amp;DATE(YEAR(I$3),MONTH(I$3)+1,1)))</f>
        <v/>
      </c>
      <c r="K23" s="27" t="str">
        <f aca="false">IF($A23="","",SUMIFS(請求台帳!$F$5:$F$504,請求台帳!$C$5:$C$504,$A23,請求台帳!$B$5:$B$504,"&gt;="&amp;K$3,請求台帳!$B$5:$B$504,"&lt;"&amp;DATE(YEAR(K$3),MONTH(K$3)+1,1),請求台帳!$Q$5:$Q$504,"&lt;&gt;取消"))</f>
        <v/>
      </c>
      <c r="L23" s="27" t="str">
        <f aca="false">IF($A23="","",SUMIFS(入金明細!$E$5:$E$1004,入金明細!$G$5:$G$1004,$A23,入金明細!$B$5:$B$1004,"&gt;="&amp;K$3,入金明細!$B$5:$B$1004,"&lt;"&amp;DATE(YEAR(K$3),MONTH(K$3)+1,1)))</f>
        <v/>
      </c>
      <c r="M23" s="27" t="str">
        <f aca="false">IF($A23="","",SUMIFS(請求台帳!$F$5:$F$504,請求台帳!$C$5:$C$504,$A23,請求台帳!$B$5:$B$504,"&gt;="&amp;M$3,請求台帳!$B$5:$B$504,"&lt;"&amp;DATE(YEAR(M$3),MONTH(M$3)+1,1),請求台帳!$Q$5:$Q$504,"&lt;&gt;取消"))</f>
        <v/>
      </c>
      <c r="N23" s="27" t="str">
        <f aca="false">IF($A23="","",SUMIFS(入金明細!$E$5:$E$1004,入金明細!$G$5:$G$1004,$A23,入金明細!$B$5:$B$1004,"&gt;="&amp;M$3,入金明細!$B$5:$B$1004,"&lt;"&amp;DATE(YEAR(M$3),MONTH(M$3)+1,1)))</f>
        <v/>
      </c>
      <c r="O23" s="27" t="str">
        <f aca="false">IF($A23="","",SUMIFS(請求台帳!$F$5:$F$504,請求台帳!$C$5:$C$504,$A23,請求台帳!$B$5:$B$504,"&gt;="&amp;O$3,請求台帳!$B$5:$B$504,"&lt;"&amp;DATE(YEAR(O$3),MONTH(O$3)+1,1),請求台帳!$Q$5:$Q$504,"&lt;&gt;取消"))</f>
        <v/>
      </c>
      <c r="P23" s="27" t="str">
        <f aca="false">IF($A23="","",SUMIFS(入金明細!$E$5:$E$1004,入金明細!$G$5:$G$1004,$A23,入金明細!$B$5:$B$1004,"&gt;="&amp;O$3,入金明細!$B$5:$B$1004,"&lt;"&amp;DATE(YEAR(O$3),MONTH(O$3)+1,1)))</f>
        <v/>
      </c>
      <c r="Q23" s="27" t="str">
        <f aca="false">IF($A23="","",SUMIFS(請求台帳!$F$5:$F$504,請求台帳!$C$5:$C$504,$A23,請求台帳!$B$5:$B$504,"&gt;="&amp;Q$3,請求台帳!$B$5:$B$504,"&lt;"&amp;DATE(YEAR(Q$3),MONTH(Q$3)+1,1),請求台帳!$Q$5:$Q$504,"&lt;&gt;取消"))</f>
        <v/>
      </c>
      <c r="R23" s="27" t="str">
        <f aca="false">IF($A23="","",SUMIFS(入金明細!$E$5:$E$1004,入金明細!$G$5:$G$1004,$A23,入金明細!$B$5:$B$1004,"&gt;="&amp;Q$3,入金明細!$B$5:$B$1004,"&lt;"&amp;DATE(YEAR(Q$3),MONTH(Q$3)+1,1)))</f>
        <v/>
      </c>
      <c r="S23" s="27" t="str">
        <f aca="false">IF($A23="","",SUMIFS(請求台帳!$F$5:$F$504,請求台帳!$C$5:$C$504,$A23,請求台帳!$B$5:$B$504,"&gt;="&amp;S$3,請求台帳!$B$5:$B$504,"&lt;"&amp;DATE(YEAR(S$3),MONTH(S$3)+1,1),請求台帳!$Q$5:$Q$504,"&lt;&gt;取消"))</f>
        <v/>
      </c>
      <c r="T23" s="27" t="str">
        <f aca="false">IF($A23="","",SUMIFS(入金明細!$E$5:$E$1004,入金明細!$G$5:$G$1004,$A23,入金明細!$B$5:$B$1004,"&gt;="&amp;S$3,入金明細!$B$5:$B$1004,"&lt;"&amp;DATE(YEAR(S$3),MONTH(S$3)+1,1)))</f>
        <v/>
      </c>
      <c r="U23" s="27" t="str">
        <f aca="false">IF($A23="","",SUMIFS(請求台帳!$F$5:$F$504,請求台帳!$C$5:$C$504,$A23,請求台帳!$B$5:$B$504,"&gt;="&amp;U$3,請求台帳!$B$5:$B$504,"&lt;"&amp;DATE(YEAR(U$3),MONTH(U$3)+1,1),請求台帳!$Q$5:$Q$504,"&lt;&gt;取消"))</f>
        <v/>
      </c>
      <c r="V23" s="27" t="str">
        <f aca="false">IF($A23="","",SUMIFS(入金明細!$E$5:$E$1004,入金明細!$G$5:$G$1004,$A23,入金明細!$B$5:$B$1004,"&gt;="&amp;U$3,入金明細!$B$5:$B$1004,"&lt;"&amp;DATE(YEAR(U$3),MONTH(U$3)+1,1)))</f>
        <v/>
      </c>
      <c r="W23" s="27" t="str">
        <f aca="false">IF($A23="","",SUMIFS(請求台帳!$F$5:$F$504,請求台帳!$C$5:$C$504,$A23,請求台帳!$B$5:$B$504,"&gt;="&amp;W$3,請求台帳!$B$5:$B$504,"&lt;"&amp;DATE(YEAR(W$3),MONTH(W$3)+1,1),請求台帳!$Q$5:$Q$504,"&lt;&gt;取消"))</f>
        <v/>
      </c>
      <c r="X23" s="27" t="str">
        <f aca="false">IF($A23="","",SUMIFS(入金明細!$E$5:$E$1004,入金明細!$G$5:$G$1004,$A23,入金明細!$B$5:$B$1004,"&gt;="&amp;W$3,入金明細!$B$5:$B$1004,"&lt;"&amp;DATE(YEAR(W$3),MONTH(W$3)+1,1)))</f>
        <v/>
      </c>
      <c r="Y23" s="27" t="str">
        <f aca="false">IF($A23="","",SUMIFS(請求台帳!$F$5:$F$504,請求台帳!$C$5:$C$504,$A23,請求台帳!$B$5:$B$504,"&gt;="&amp;Y$3,請求台帳!$B$5:$B$504,"&lt;"&amp;DATE(YEAR(Y$3),MONTH(Y$3)+1,1),請求台帳!$Q$5:$Q$504,"&lt;&gt;取消"))</f>
        <v/>
      </c>
      <c r="Z23" s="27" t="str">
        <f aca="false">IF($A23="","",SUMIFS(入金明細!$E$5:$E$1004,入金明細!$G$5:$G$1004,$A23,入金明細!$B$5:$B$1004,"&gt;="&amp;Y$3,入金明細!$B$5:$B$1004,"&lt;"&amp;DATE(YEAR(Y$3),MONTH(Y$3)+1,1)))</f>
        <v/>
      </c>
      <c r="AA23" s="37" t="n">
        <f aca="false">SUM(C23,E23,G23,I23,K23,M23,O23,Q23,S23,U23,W23,Y23)</f>
        <v>0</v>
      </c>
      <c r="AB23" s="37" t="n">
        <f aca="false">SUM(D23,F23,H23,J23,L23,N23,P23,R23,T23,V23,X23,Z23)</f>
        <v>0</v>
      </c>
    </row>
    <row r="24" customFormat="false" ht="15" hidden="false" customHeight="false" outlineLevel="0" collapsed="false">
      <c r="A24" s="31" t="str">
        <f aca="false">IF(取引先マスタ!A24="","",取引先マスタ!A24)</f>
        <v/>
      </c>
      <c r="B24" s="31" t="str">
        <f aca="false">IF(A24="","",取引先マスタ!B24)</f>
        <v/>
      </c>
      <c r="C24" s="27" t="str">
        <f aca="false">IF($A24="","",SUMIFS(請求台帳!$F$5:$F$504,請求台帳!$C$5:$C$504,$A24,請求台帳!$B$5:$B$504,"&gt;="&amp;C$3,請求台帳!$B$5:$B$504,"&lt;"&amp;DATE(YEAR(C$3),MONTH(C$3)+1,1),請求台帳!$Q$5:$Q$504,"&lt;&gt;取消"))</f>
        <v/>
      </c>
      <c r="D24" s="27" t="str">
        <f aca="false">IF($A24="","",SUMIFS(入金明細!$E$5:$E$1004,入金明細!$G$5:$G$1004,$A24,入金明細!$B$5:$B$1004,"&gt;="&amp;C$3,入金明細!$B$5:$B$1004,"&lt;"&amp;DATE(YEAR(C$3),MONTH(C$3)+1,1)))</f>
        <v/>
      </c>
      <c r="E24" s="27" t="str">
        <f aca="false">IF($A24="","",SUMIFS(請求台帳!$F$5:$F$504,請求台帳!$C$5:$C$504,$A24,請求台帳!$B$5:$B$504,"&gt;="&amp;E$3,請求台帳!$B$5:$B$504,"&lt;"&amp;DATE(YEAR(E$3),MONTH(E$3)+1,1),請求台帳!$Q$5:$Q$504,"&lt;&gt;取消"))</f>
        <v/>
      </c>
      <c r="F24" s="27" t="str">
        <f aca="false">IF($A24="","",SUMIFS(入金明細!$E$5:$E$1004,入金明細!$G$5:$G$1004,$A24,入金明細!$B$5:$B$1004,"&gt;="&amp;E$3,入金明細!$B$5:$B$1004,"&lt;"&amp;DATE(YEAR(E$3),MONTH(E$3)+1,1)))</f>
        <v/>
      </c>
      <c r="G24" s="27" t="str">
        <f aca="false">IF($A24="","",SUMIFS(請求台帳!$F$5:$F$504,請求台帳!$C$5:$C$504,$A24,請求台帳!$B$5:$B$504,"&gt;="&amp;G$3,請求台帳!$B$5:$B$504,"&lt;"&amp;DATE(YEAR(G$3),MONTH(G$3)+1,1),請求台帳!$Q$5:$Q$504,"&lt;&gt;取消"))</f>
        <v/>
      </c>
      <c r="H24" s="27" t="str">
        <f aca="false">IF($A24="","",SUMIFS(入金明細!$E$5:$E$1004,入金明細!$G$5:$G$1004,$A24,入金明細!$B$5:$B$1004,"&gt;="&amp;G$3,入金明細!$B$5:$B$1004,"&lt;"&amp;DATE(YEAR(G$3),MONTH(G$3)+1,1)))</f>
        <v/>
      </c>
      <c r="I24" s="27" t="str">
        <f aca="false">IF($A24="","",SUMIFS(請求台帳!$F$5:$F$504,請求台帳!$C$5:$C$504,$A24,請求台帳!$B$5:$B$504,"&gt;="&amp;I$3,請求台帳!$B$5:$B$504,"&lt;"&amp;DATE(YEAR(I$3),MONTH(I$3)+1,1),請求台帳!$Q$5:$Q$504,"&lt;&gt;取消"))</f>
        <v/>
      </c>
      <c r="J24" s="27" t="str">
        <f aca="false">IF($A24="","",SUMIFS(入金明細!$E$5:$E$1004,入金明細!$G$5:$G$1004,$A24,入金明細!$B$5:$B$1004,"&gt;="&amp;I$3,入金明細!$B$5:$B$1004,"&lt;"&amp;DATE(YEAR(I$3),MONTH(I$3)+1,1)))</f>
        <v/>
      </c>
      <c r="K24" s="27" t="str">
        <f aca="false">IF($A24="","",SUMIFS(請求台帳!$F$5:$F$504,請求台帳!$C$5:$C$504,$A24,請求台帳!$B$5:$B$504,"&gt;="&amp;K$3,請求台帳!$B$5:$B$504,"&lt;"&amp;DATE(YEAR(K$3),MONTH(K$3)+1,1),請求台帳!$Q$5:$Q$504,"&lt;&gt;取消"))</f>
        <v/>
      </c>
      <c r="L24" s="27" t="str">
        <f aca="false">IF($A24="","",SUMIFS(入金明細!$E$5:$E$1004,入金明細!$G$5:$G$1004,$A24,入金明細!$B$5:$B$1004,"&gt;="&amp;K$3,入金明細!$B$5:$B$1004,"&lt;"&amp;DATE(YEAR(K$3),MONTH(K$3)+1,1)))</f>
        <v/>
      </c>
      <c r="M24" s="27" t="str">
        <f aca="false">IF($A24="","",SUMIFS(請求台帳!$F$5:$F$504,請求台帳!$C$5:$C$504,$A24,請求台帳!$B$5:$B$504,"&gt;="&amp;M$3,請求台帳!$B$5:$B$504,"&lt;"&amp;DATE(YEAR(M$3),MONTH(M$3)+1,1),請求台帳!$Q$5:$Q$504,"&lt;&gt;取消"))</f>
        <v/>
      </c>
      <c r="N24" s="27" t="str">
        <f aca="false">IF($A24="","",SUMIFS(入金明細!$E$5:$E$1004,入金明細!$G$5:$G$1004,$A24,入金明細!$B$5:$B$1004,"&gt;="&amp;M$3,入金明細!$B$5:$B$1004,"&lt;"&amp;DATE(YEAR(M$3),MONTH(M$3)+1,1)))</f>
        <v/>
      </c>
      <c r="O24" s="27" t="str">
        <f aca="false">IF($A24="","",SUMIFS(請求台帳!$F$5:$F$504,請求台帳!$C$5:$C$504,$A24,請求台帳!$B$5:$B$504,"&gt;="&amp;O$3,請求台帳!$B$5:$B$504,"&lt;"&amp;DATE(YEAR(O$3),MONTH(O$3)+1,1),請求台帳!$Q$5:$Q$504,"&lt;&gt;取消"))</f>
        <v/>
      </c>
      <c r="P24" s="27" t="str">
        <f aca="false">IF($A24="","",SUMIFS(入金明細!$E$5:$E$1004,入金明細!$G$5:$G$1004,$A24,入金明細!$B$5:$B$1004,"&gt;="&amp;O$3,入金明細!$B$5:$B$1004,"&lt;"&amp;DATE(YEAR(O$3),MONTH(O$3)+1,1)))</f>
        <v/>
      </c>
      <c r="Q24" s="27" t="str">
        <f aca="false">IF($A24="","",SUMIFS(請求台帳!$F$5:$F$504,請求台帳!$C$5:$C$504,$A24,請求台帳!$B$5:$B$504,"&gt;="&amp;Q$3,請求台帳!$B$5:$B$504,"&lt;"&amp;DATE(YEAR(Q$3),MONTH(Q$3)+1,1),請求台帳!$Q$5:$Q$504,"&lt;&gt;取消"))</f>
        <v/>
      </c>
      <c r="R24" s="27" t="str">
        <f aca="false">IF($A24="","",SUMIFS(入金明細!$E$5:$E$1004,入金明細!$G$5:$G$1004,$A24,入金明細!$B$5:$B$1004,"&gt;="&amp;Q$3,入金明細!$B$5:$B$1004,"&lt;"&amp;DATE(YEAR(Q$3),MONTH(Q$3)+1,1)))</f>
        <v/>
      </c>
      <c r="S24" s="27" t="str">
        <f aca="false">IF($A24="","",SUMIFS(請求台帳!$F$5:$F$504,請求台帳!$C$5:$C$504,$A24,請求台帳!$B$5:$B$504,"&gt;="&amp;S$3,請求台帳!$B$5:$B$504,"&lt;"&amp;DATE(YEAR(S$3),MONTH(S$3)+1,1),請求台帳!$Q$5:$Q$504,"&lt;&gt;取消"))</f>
        <v/>
      </c>
      <c r="T24" s="27" t="str">
        <f aca="false">IF($A24="","",SUMIFS(入金明細!$E$5:$E$1004,入金明細!$G$5:$G$1004,$A24,入金明細!$B$5:$B$1004,"&gt;="&amp;S$3,入金明細!$B$5:$B$1004,"&lt;"&amp;DATE(YEAR(S$3),MONTH(S$3)+1,1)))</f>
        <v/>
      </c>
      <c r="U24" s="27" t="str">
        <f aca="false">IF($A24="","",SUMIFS(請求台帳!$F$5:$F$504,請求台帳!$C$5:$C$504,$A24,請求台帳!$B$5:$B$504,"&gt;="&amp;U$3,請求台帳!$B$5:$B$504,"&lt;"&amp;DATE(YEAR(U$3),MONTH(U$3)+1,1),請求台帳!$Q$5:$Q$504,"&lt;&gt;取消"))</f>
        <v/>
      </c>
      <c r="V24" s="27" t="str">
        <f aca="false">IF($A24="","",SUMIFS(入金明細!$E$5:$E$1004,入金明細!$G$5:$G$1004,$A24,入金明細!$B$5:$B$1004,"&gt;="&amp;U$3,入金明細!$B$5:$B$1004,"&lt;"&amp;DATE(YEAR(U$3),MONTH(U$3)+1,1)))</f>
        <v/>
      </c>
      <c r="W24" s="27" t="str">
        <f aca="false">IF($A24="","",SUMIFS(請求台帳!$F$5:$F$504,請求台帳!$C$5:$C$504,$A24,請求台帳!$B$5:$B$504,"&gt;="&amp;W$3,請求台帳!$B$5:$B$504,"&lt;"&amp;DATE(YEAR(W$3),MONTH(W$3)+1,1),請求台帳!$Q$5:$Q$504,"&lt;&gt;取消"))</f>
        <v/>
      </c>
      <c r="X24" s="27" t="str">
        <f aca="false">IF($A24="","",SUMIFS(入金明細!$E$5:$E$1004,入金明細!$G$5:$G$1004,$A24,入金明細!$B$5:$B$1004,"&gt;="&amp;W$3,入金明細!$B$5:$B$1004,"&lt;"&amp;DATE(YEAR(W$3),MONTH(W$3)+1,1)))</f>
        <v/>
      </c>
      <c r="Y24" s="27" t="str">
        <f aca="false">IF($A24="","",SUMIFS(請求台帳!$F$5:$F$504,請求台帳!$C$5:$C$504,$A24,請求台帳!$B$5:$B$504,"&gt;="&amp;Y$3,請求台帳!$B$5:$B$504,"&lt;"&amp;DATE(YEAR(Y$3),MONTH(Y$3)+1,1),請求台帳!$Q$5:$Q$504,"&lt;&gt;取消"))</f>
        <v/>
      </c>
      <c r="Z24" s="27" t="str">
        <f aca="false">IF($A24="","",SUMIFS(入金明細!$E$5:$E$1004,入金明細!$G$5:$G$1004,$A24,入金明細!$B$5:$B$1004,"&gt;="&amp;Y$3,入金明細!$B$5:$B$1004,"&lt;"&amp;DATE(YEAR(Y$3),MONTH(Y$3)+1,1)))</f>
        <v/>
      </c>
      <c r="AA24" s="37" t="n">
        <f aca="false">SUM(C24,E24,G24,I24,K24,M24,O24,Q24,S24,U24,W24,Y24)</f>
        <v>0</v>
      </c>
      <c r="AB24" s="37" t="n">
        <f aca="false">SUM(D24,F24,H24,J24,L24,N24,P24,R24,T24,V24,X24,Z24)</f>
        <v>0</v>
      </c>
    </row>
    <row r="25" customFormat="false" ht="15" hidden="false" customHeight="false" outlineLevel="0" collapsed="false">
      <c r="A25" s="31" t="str">
        <f aca="false">IF(取引先マスタ!A25="","",取引先マスタ!A25)</f>
        <v/>
      </c>
      <c r="B25" s="31" t="str">
        <f aca="false">IF(A25="","",取引先マスタ!B25)</f>
        <v/>
      </c>
      <c r="C25" s="27" t="str">
        <f aca="false">IF($A25="","",SUMIFS(請求台帳!$F$5:$F$504,請求台帳!$C$5:$C$504,$A25,請求台帳!$B$5:$B$504,"&gt;="&amp;C$3,請求台帳!$B$5:$B$504,"&lt;"&amp;DATE(YEAR(C$3),MONTH(C$3)+1,1),請求台帳!$Q$5:$Q$504,"&lt;&gt;取消"))</f>
        <v/>
      </c>
      <c r="D25" s="27" t="str">
        <f aca="false">IF($A25="","",SUMIFS(入金明細!$E$5:$E$1004,入金明細!$G$5:$G$1004,$A25,入金明細!$B$5:$B$1004,"&gt;="&amp;C$3,入金明細!$B$5:$B$1004,"&lt;"&amp;DATE(YEAR(C$3),MONTH(C$3)+1,1)))</f>
        <v/>
      </c>
      <c r="E25" s="27" t="str">
        <f aca="false">IF($A25="","",SUMIFS(請求台帳!$F$5:$F$504,請求台帳!$C$5:$C$504,$A25,請求台帳!$B$5:$B$504,"&gt;="&amp;E$3,請求台帳!$B$5:$B$504,"&lt;"&amp;DATE(YEAR(E$3),MONTH(E$3)+1,1),請求台帳!$Q$5:$Q$504,"&lt;&gt;取消"))</f>
        <v/>
      </c>
      <c r="F25" s="27" t="str">
        <f aca="false">IF($A25="","",SUMIFS(入金明細!$E$5:$E$1004,入金明細!$G$5:$G$1004,$A25,入金明細!$B$5:$B$1004,"&gt;="&amp;E$3,入金明細!$B$5:$B$1004,"&lt;"&amp;DATE(YEAR(E$3),MONTH(E$3)+1,1)))</f>
        <v/>
      </c>
      <c r="G25" s="27" t="str">
        <f aca="false">IF($A25="","",SUMIFS(請求台帳!$F$5:$F$504,請求台帳!$C$5:$C$504,$A25,請求台帳!$B$5:$B$504,"&gt;="&amp;G$3,請求台帳!$B$5:$B$504,"&lt;"&amp;DATE(YEAR(G$3),MONTH(G$3)+1,1),請求台帳!$Q$5:$Q$504,"&lt;&gt;取消"))</f>
        <v/>
      </c>
      <c r="H25" s="27" t="str">
        <f aca="false">IF($A25="","",SUMIFS(入金明細!$E$5:$E$1004,入金明細!$G$5:$G$1004,$A25,入金明細!$B$5:$B$1004,"&gt;="&amp;G$3,入金明細!$B$5:$B$1004,"&lt;"&amp;DATE(YEAR(G$3),MONTH(G$3)+1,1)))</f>
        <v/>
      </c>
      <c r="I25" s="27" t="str">
        <f aca="false">IF($A25="","",SUMIFS(請求台帳!$F$5:$F$504,請求台帳!$C$5:$C$504,$A25,請求台帳!$B$5:$B$504,"&gt;="&amp;I$3,請求台帳!$B$5:$B$504,"&lt;"&amp;DATE(YEAR(I$3),MONTH(I$3)+1,1),請求台帳!$Q$5:$Q$504,"&lt;&gt;取消"))</f>
        <v/>
      </c>
      <c r="J25" s="27" t="str">
        <f aca="false">IF($A25="","",SUMIFS(入金明細!$E$5:$E$1004,入金明細!$G$5:$G$1004,$A25,入金明細!$B$5:$B$1004,"&gt;="&amp;I$3,入金明細!$B$5:$B$1004,"&lt;"&amp;DATE(YEAR(I$3),MONTH(I$3)+1,1)))</f>
        <v/>
      </c>
      <c r="K25" s="27" t="str">
        <f aca="false">IF($A25="","",SUMIFS(請求台帳!$F$5:$F$504,請求台帳!$C$5:$C$504,$A25,請求台帳!$B$5:$B$504,"&gt;="&amp;K$3,請求台帳!$B$5:$B$504,"&lt;"&amp;DATE(YEAR(K$3),MONTH(K$3)+1,1),請求台帳!$Q$5:$Q$504,"&lt;&gt;取消"))</f>
        <v/>
      </c>
      <c r="L25" s="27" t="str">
        <f aca="false">IF($A25="","",SUMIFS(入金明細!$E$5:$E$1004,入金明細!$G$5:$G$1004,$A25,入金明細!$B$5:$B$1004,"&gt;="&amp;K$3,入金明細!$B$5:$B$1004,"&lt;"&amp;DATE(YEAR(K$3),MONTH(K$3)+1,1)))</f>
        <v/>
      </c>
      <c r="M25" s="27" t="str">
        <f aca="false">IF($A25="","",SUMIFS(請求台帳!$F$5:$F$504,請求台帳!$C$5:$C$504,$A25,請求台帳!$B$5:$B$504,"&gt;="&amp;M$3,請求台帳!$B$5:$B$504,"&lt;"&amp;DATE(YEAR(M$3),MONTH(M$3)+1,1),請求台帳!$Q$5:$Q$504,"&lt;&gt;取消"))</f>
        <v/>
      </c>
      <c r="N25" s="27" t="str">
        <f aca="false">IF($A25="","",SUMIFS(入金明細!$E$5:$E$1004,入金明細!$G$5:$G$1004,$A25,入金明細!$B$5:$B$1004,"&gt;="&amp;M$3,入金明細!$B$5:$B$1004,"&lt;"&amp;DATE(YEAR(M$3),MONTH(M$3)+1,1)))</f>
        <v/>
      </c>
      <c r="O25" s="27" t="str">
        <f aca="false">IF($A25="","",SUMIFS(請求台帳!$F$5:$F$504,請求台帳!$C$5:$C$504,$A25,請求台帳!$B$5:$B$504,"&gt;="&amp;O$3,請求台帳!$B$5:$B$504,"&lt;"&amp;DATE(YEAR(O$3),MONTH(O$3)+1,1),請求台帳!$Q$5:$Q$504,"&lt;&gt;取消"))</f>
        <v/>
      </c>
      <c r="P25" s="27" t="str">
        <f aca="false">IF($A25="","",SUMIFS(入金明細!$E$5:$E$1004,入金明細!$G$5:$G$1004,$A25,入金明細!$B$5:$B$1004,"&gt;="&amp;O$3,入金明細!$B$5:$B$1004,"&lt;"&amp;DATE(YEAR(O$3),MONTH(O$3)+1,1)))</f>
        <v/>
      </c>
      <c r="Q25" s="27" t="str">
        <f aca="false">IF($A25="","",SUMIFS(請求台帳!$F$5:$F$504,請求台帳!$C$5:$C$504,$A25,請求台帳!$B$5:$B$504,"&gt;="&amp;Q$3,請求台帳!$B$5:$B$504,"&lt;"&amp;DATE(YEAR(Q$3),MONTH(Q$3)+1,1),請求台帳!$Q$5:$Q$504,"&lt;&gt;取消"))</f>
        <v/>
      </c>
      <c r="R25" s="27" t="str">
        <f aca="false">IF($A25="","",SUMIFS(入金明細!$E$5:$E$1004,入金明細!$G$5:$G$1004,$A25,入金明細!$B$5:$B$1004,"&gt;="&amp;Q$3,入金明細!$B$5:$B$1004,"&lt;"&amp;DATE(YEAR(Q$3),MONTH(Q$3)+1,1)))</f>
        <v/>
      </c>
      <c r="S25" s="27" t="str">
        <f aca="false">IF($A25="","",SUMIFS(請求台帳!$F$5:$F$504,請求台帳!$C$5:$C$504,$A25,請求台帳!$B$5:$B$504,"&gt;="&amp;S$3,請求台帳!$B$5:$B$504,"&lt;"&amp;DATE(YEAR(S$3),MONTH(S$3)+1,1),請求台帳!$Q$5:$Q$504,"&lt;&gt;取消"))</f>
        <v/>
      </c>
      <c r="T25" s="27" t="str">
        <f aca="false">IF($A25="","",SUMIFS(入金明細!$E$5:$E$1004,入金明細!$G$5:$G$1004,$A25,入金明細!$B$5:$B$1004,"&gt;="&amp;S$3,入金明細!$B$5:$B$1004,"&lt;"&amp;DATE(YEAR(S$3),MONTH(S$3)+1,1)))</f>
        <v/>
      </c>
      <c r="U25" s="27" t="str">
        <f aca="false">IF($A25="","",SUMIFS(請求台帳!$F$5:$F$504,請求台帳!$C$5:$C$504,$A25,請求台帳!$B$5:$B$504,"&gt;="&amp;U$3,請求台帳!$B$5:$B$504,"&lt;"&amp;DATE(YEAR(U$3),MONTH(U$3)+1,1),請求台帳!$Q$5:$Q$504,"&lt;&gt;取消"))</f>
        <v/>
      </c>
      <c r="V25" s="27" t="str">
        <f aca="false">IF($A25="","",SUMIFS(入金明細!$E$5:$E$1004,入金明細!$G$5:$G$1004,$A25,入金明細!$B$5:$B$1004,"&gt;="&amp;U$3,入金明細!$B$5:$B$1004,"&lt;"&amp;DATE(YEAR(U$3),MONTH(U$3)+1,1)))</f>
        <v/>
      </c>
      <c r="W25" s="27" t="str">
        <f aca="false">IF($A25="","",SUMIFS(請求台帳!$F$5:$F$504,請求台帳!$C$5:$C$504,$A25,請求台帳!$B$5:$B$504,"&gt;="&amp;W$3,請求台帳!$B$5:$B$504,"&lt;"&amp;DATE(YEAR(W$3),MONTH(W$3)+1,1),請求台帳!$Q$5:$Q$504,"&lt;&gt;取消"))</f>
        <v/>
      </c>
      <c r="X25" s="27" t="str">
        <f aca="false">IF($A25="","",SUMIFS(入金明細!$E$5:$E$1004,入金明細!$G$5:$G$1004,$A25,入金明細!$B$5:$B$1004,"&gt;="&amp;W$3,入金明細!$B$5:$B$1004,"&lt;"&amp;DATE(YEAR(W$3),MONTH(W$3)+1,1)))</f>
        <v/>
      </c>
      <c r="Y25" s="27" t="str">
        <f aca="false">IF($A25="","",SUMIFS(請求台帳!$F$5:$F$504,請求台帳!$C$5:$C$504,$A25,請求台帳!$B$5:$B$504,"&gt;="&amp;Y$3,請求台帳!$B$5:$B$504,"&lt;"&amp;DATE(YEAR(Y$3),MONTH(Y$3)+1,1),請求台帳!$Q$5:$Q$504,"&lt;&gt;取消"))</f>
        <v/>
      </c>
      <c r="Z25" s="27" t="str">
        <f aca="false">IF($A25="","",SUMIFS(入金明細!$E$5:$E$1004,入金明細!$G$5:$G$1004,$A25,入金明細!$B$5:$B$1004,"&gt;="&amp;Y$3,入金明細!$B$5:$B$1004,"&lt;"&amp;DATE(YEAR(Y$3),MONTH(Y$3)+1,1)))</f>
        <v/>
      </c>
      <c r="AA25" s="37" t="n">
        <f aca="false">SUM(C25,E25,G25,I25,K25,M25,O25,Q25,S25,U25,W25,Y25)</f>
        <v>0</v>
      </c>
      <c r="AB25" s="37" t="n">
        <f aca="false">SUM(D25,F25,H25,J25,L25,N25,P25,R25,T25,V25,X25,Z25)</f>
        <v>0</v>
      </c>
    </row>
    <row r="26" customFormat="false" ht="15" hidden="false" customHeight="false" outlineLevel="0" collapsed="false">
      <c r="A26" s="31" t="str">
        <f aca="false">IF(取引先マスタ!A26="","",取引先マスタ!A26)</f>
        <v/>
      </c>
      <c r="B26" s="31" t="str">
        <f aca="false">IF(A26="","",取引先マスタ!B26)</f>
        <v/>
      </c>
      <c r="C26" s="27" t="str">
        <f aca="false">IF($A26="","",SUMIFS(請求台帳!$F$5:$F$504,請求台帳!$C$5:$C$504,$A26,請求台帳!$B$5:$B$504,"&gt;="&amp;C$3,請求台帳!$B$5:$B$504,"&lt;"&amp;DATE(YEAR(C$3),MONTH(C$3)+1,1),請求台帳!$Q$5:$Q$504,"&lt;&gt;取消"))</f>
        <v/>
      </c>
      <c r="D26" s="27" t="str">
        <f aca="false">IF($A26="","",SUMIFS(入金明細!$E$5:$E$1004,入金明細!$G$5:$G$1004,$A26,入金明細!$B$5:$B$1004,"&gt;="&amp;C$3,入金明細!$B$5:$B$1004,"&lt;"&amp;DATE(YEAR(C$3),MONTH(C$3)+1,1)))</f>
        <v/>
      </c>
      <c r="E26" s="27" t="str">
        <f aca="false">IF($A26="","",SUMIFS(請求台帳!$F$5:$F$504,請求台帳!$C$5:$C$504,$A26,請求台帳!$B$5:$B$504,"&gt;="&amp;E$3,請求台帳!$B$5:$B$504,"&lt;"&amp;DATE(YEAR(E$3),MONTH(E$3)+1,1),請求台帳!$Q$5:$Q$504,"&lt;&gt;取消"))</f>
        <v/>
      </c>
      <c r="F26" s="27" t="str">
        <f aca="false">IF($A26="","",SUMIFS(入金明細!$E$5:$E$1004,入金明細!$G$5:$G$1004,$A26,入金明細!$B$5:$B$1004,"&gt;="&amp;E$3,入金明細!$B$5:$B$1004,"&lt;"&amp;DATE(YEAR(E$3),MONTH(E$3)+1,1)))</f>
        <v/>
      </c>
      <c r="G26" s="27" t="str">
        <f aca="false">IF($A26="","",SUMIFS(請求台帳!$F$5:$F$504,請求台帳!$C$5:$C$504,$A26,請求台帳!$B$5:$B$504,"&gt;="&amp;G$3,請求台帳!$B$5:$B$504,"&lt;"&amp;DATE(YEAR(G$3),MONTH(G$3)+1,1),請求台帳!$Q$5:$Q$504,"&lt;&gt;取消"))</f>
        <v/>
      </c>
      <c r="H26" s="27" t="str">
        <f aca="false">IF($A26="","",SUMIFS(入金明細!$E$5:$E$1004,入金明細!$G$5:$G$1004,$A26,入金明細!$B$5:$B$1004,"&gt;="&amp;G$3,入金明細!$B$5:$B$1004,"&lt;"&amp;DATE(YEAR(G$3),MONTH(G$3)+1,1)))</f>
        <v/>
      </c>
      <c r="I26" s="27" t="str">
        <f aca="false">IF($A26="","",SUMIFS(請求台帳!$F$5:$F$504,請求台帳!$C$5:$C$504,$A26,請求台帳!$B$5:$B$504,"&gt;="&amp;I$3,請求台帳!$B$5:$B$504,"&lt;"&amp;DATE(YEAR(I$3),MONTH(I$3)+1,1),請求台帳!$Q$5:$Q$504,"&lt;&gt;取消"))</f>
        <v/>
      </c>
      <c r="J26" s="27" t="str">
        <f aca="false">IF($A26="","",SUMIFS(入金明細!$E$5:$E$1004,入金明細!$G$5:$G$1004,$A26,入金明細!$B$5:$B$1004,"&gt;="&amp;I$3,入金明細!$B$5:$B$1004,"&lt;"&amp;DATE(YEAR(I$3),MONTH(I$3)+1,1)))</f>
        <v/>
      </c>
      <c r="K26" s="27" t="str">
        <f aca="false">IF($A26="","",SUMIFS(請求台帳!$F$5:$F$504,請求台帳!$C$5:$C$504,$A26,請求台帳!$B$5:$B$504,"&gt;="&amp;K$3,請求台帳!$B$5:$B$504,"&lt;"&amp;DATE(YEAR(K$3),MONTH(K$3)+1,1),請求台帳!$Q$5:$Q$504,"&lt;&gt;取消"))</f>
        <v/>
      </c>
      <c r="L26" s="27" t="str">
        <f aca="false">IF($A26="","",SUMIFS(入金明細!$E$5:$E$1004,入金明細!$G$5:$G$1004,$A26,入金明細!$B$5:$B$1004,"&gt;="&amp;K$3,入金明細!$B$5:$B$1004,"&lt;"&amp;DATE(YEAR(K$3),MONTH(K$3)+1,1)))</f>
        <v/>
      </c>
      <c r="M26" s="27" t="str">
        <f aca="false">IF($A26="","",SUMIFS(請求台帳!$F$5:$F$504,請求台帳!$C$5:$C$504,$A26,請求台帳!$B$5:$B$504,"&gt;="&amp;M$3,請求台帳!$B$5:$B$504,"&lt;"&amp;DATE(YEAR(M$3),MONTH(M$3)+1,1),請求台帳!$Q$5:$Q$504,"&lt;&gt;取消"))</f>
        <v/>
      </c>
      <c r="N26" s="27" t="str">
        <f aca="false">IF($A26="","",SUMIFS(入金明細!$E$5:$E$1004,入金明細!$G$5:$G$1004,$A26,入金明細!$B$5:$B$1004,"&gt;="&amp;M$3,入金明細!$B$5:$B$1004,"&lt;"&amp;DATE(YEAR(M$3),MONTH(M$3)+1,1)))</f>
        <v/>
      </c>
      <c r="O26" s="27" t="str">
        <f aca="false">IF($A26="","",SUMIFS(請求台帳!$F$5:$F$504,請求台帳!$C$5:$C$504,$A26,請求台帳!$B$5:$B$504,"&gt;="&amp;O$3,請求台帳!$B$5:$B$504,"&lt;"&amp;DATE(YEAR(O$3),MONTH(O$3)+1,1),請求台帳!$Q$5:$Q$504,"&lt;&gt;取消"))</f>
        <v/>
      </c>
      <c r="P26" s="27" t="str">
        <f aca="false">IF($A26="","",SUMIFS(入金明細!$E$5:$E$1004,入金明細!$G$5:$G$1004,$A26,入金明細!$B$5:$B$1004,"&gt;="&amp;O$3,入金明細!$B$5:$B$1004,"&lt;"&amp;DATE(YEAR(O$3),MONTH(O$3)+1,1)))</f>
        <v/>
      </c>
      <c r="Q26" s="27" t="str">
        <f aca="false">IF($A26="","",SUMIFS(請求台帳!$F$5:$F$504,請求台帳!$C$5:$C$504,$A26,請求台帳!$B$5:$B$504,"&gt;="&amp;Q$3,請求台帳!$B$5:$B$504,"&lt;"&amp;DATE(YEAR(Q$3),MONTH(Q$3)+1,1),請求台帳!$Q$5:$Q$504,"&lt;&gt;取消"))</f>
        <v/>
      </c>
      <c r="R26" s="27" t="str">
        <f aca="false">IF($A26="","",SUMIFS(入金明細!$E$5:$E$1004,入金明細!$G$5:$G$1004,$A26,入金明細!$B$5:$B$1004,"&gt;="&amp;Q$3,入金明細!$B$5:$B$1004,"&lt;"&amp;DATE(YEAR(Q$3),MONTH(Q$3)+1,1)))</f>
        <v/>
      </c>
      <c r="S26" s="27" t="str">
        <f aca="false">IF($A26="","",SUMIFS(請求台帳!$F$5:$F$504,請求台帳!$C$5:$C$504,$A26,請求台帳!$B$5:$B$504,"&gt;="&amp;S$3,請求台帳!$B$5:$B$504,"&lt;"&amp;DATE(YEAR(S$3),MONTH(S$3)+1,1),請求台帳!$Q$5:$Q$504,"&lt;&gt;取消"))</f>
        <v/>
      </c>
      <c r="T26" s="27" t="str">
        <f aca="false">IF($A26="","",SUMIFS(入金明細!$E$5:$E$1004,入金明細!$G$5:$G$1004,$A26,入金明細!$B$5:$B$1004,"&gt;="&amp;S$3,入金明細!$B$5:$B$1004,"&lt;"&amp;DATE(YEAR(S$3),MONTH(S$3)+1,1)))</f>
        <v/>
      </c>
      <c r="U26" s="27" t="str">
        <f aca="false">IF($A26="","",SUMIFS(請求台帳!$F$5:$F$504,請求台帳!$C$5:$C$504,$A26,請求台帳!$B$5:$B$504,"&gt;="&amp;U$3,請求台帳!$B$5:$B$504,"&lt;"&amp;DATE(YEAR(U$3),MONTH(U$3)+1,1),請求台帳!$Q$5:$Q$504,"&lt;&gt;取消"))</f>
        <v/>
      </c>
      <c r="V26" s="27" t="str">
        <f aca="false">IF($A26="","",SUMIFS(入金明細!$E$5:$E$1004,入金明細!$G$5:$G$1004,$A26,入金明細!$B$5:$B$1004,"&gt;="&amp;U$3,入金明細!$B$5:$B$1004,"&lt;"&amp;DATE(YEAR(U$3),MONTH(U$3)+1,1)))</f>
        <v/>
      </c>
      <c r="W26" s="27" t="str">
        <f aca="false">IF($A26="","",SUMIFS(請求台帳!$F$5:$F$504,請求台帳!$C$5:$C$504,$A26,請求台帳!$B$5:$B$504,"&gt;="&amp;W$3,請求台帳!$B$5:$B$504,"&lt;"&amp;DATE(YEAR(W$3),MONTH(W$3)+1,1),請求台帳!$Q$5:$Q$504,"&lt;&gt;取消"))</f>
        <v/>
      </c>
      <c r="X26" s="27" t="str">
        <f aca="false">IF($A26="","",SUMIFS(入金明細!$E$5:$E$1004,入金明細!$G$5:$G$1004,$A26,入金明細!$B$5:$B$1004,"&gt;="&amp;W$3,入金明細!$B$5:$B$1004,"&lt;"&amp;DATE(YEAR(W$3),MONTH(W$3)+1,1)))</f>
        <v/>
      </c>
      <c r="Y26" s="27" t="str">
        <f aca="false">IF($A26="","",SUMIFS(請求台帳!$F$5:$F$504,請求台帳!$C$5:$C$504,$A26,請求台帳!$B$5:$B$504,"&gt;="&amp;Y$3,請求台帳!$B$5:$B$504,"&lt;"&amp;DATE(YEAR(Y$3),MONTH(Y$3)+1,1),請求台帳!$Q$5:$Q$504,"&lt;&gt;取消"))</f>
        <v/>
      </c>
      <c r="Z26" s="27" t="str">
        <f aca="false">IF($A26="","",SUMIFS(入金明細!$E$5:$E$1004,入金明細!$G$5:$G$1004,$A26,入金明細!$B$5:$B$1004,"&gt;="&amp;Y$3,入金明細!$B$5:$B$1004,"&lt;"&amp;DATE(YEAR(Y$3),MONTH(Y$3)+1,1)))</f>
        <v/>
      </c>
      <c r="AA26" s="37" t="n">
        <f aca="false">SUM(C26,E26,G26,I26,K26,M26,O26,Q26,S26,U26,W26,Y26)</f>
        <v>0</v>
      </c>
      <c r="AB26" s="37" t="n">
        <f aca="false">SUM(D26,F26,H26,J26,L26,N26,P26,R26,T26,V26,X26,Z26)</f>
        <v>0</v>
      </c>
    </row>
    <row r="27" customFormat="false" ht="15" hidden="false" customHeight="false" outlineLevel="0" collapsed="false">
      <c r="A27" s="31" t="str">
        <f aca="false">IF(取引先マスタ!A27="","",取引先マスタ!A27)</f>
        <v/>
      </c>
      <c r="B27" s="31" t="str">
        <f aca="false">IF(A27="","",取引先マスタ!B27)</f>
        <v/>
      </c>
      <c r="C27" s="27" t="str">
        <f aca="false">IF($A27="","",SUMIFS(請求台帳!$F$5:$F$504,請求台帳!$C$5:$C$504,$A27,請求台帳!$B$5:$B$504,"&gt;="&amp;C$3,請求台帳!$B$5:$B$504,"&lt;"&amp;DATE(YEAR(C$3),MONTH(C$3)+1,1),請求台帳!$Q$5:$Q$504,"&lt;&gt;取消"))</f>
        <v/>
      </c>
      <c r="D27" s="27" t="str">
        <f aca="false">IF($A27="","",SUMIFS(入金明細!$E$5:$E$1004,入金明細!$G$5:$G$1004,$A27,入金明細!$B$5:$B$1004,"&gt;="&amp;C$3,入金明細!$B$5:$B$1004,"&lt;"&amp;DATE(YEAR(C$3),MONTH(C$3)+1,1)))</f>
        <v/>
      </c>
      <c r="E27" s="27" t="str">
        <f aca="false">IF($A27="","",SUMIFS(請求台帳!$F$5:$F$504,請求台帳!$C$5:$C$504,$A27,請求台帳!$B$5:$B$504,"&gt;="&amp;E$3,請求台帳!$B$5:$B$504,"&lt;"&amp;DATE(YEAR(E$3),MONTH(E$3)+1,1),請求台帳!$Q$5:$Q$504,"&lt;&gt;取消"))</f>
        <v/>
      </c>
      <c r="F27" s="27" t="str">
        <f aca="false">IF($A27="","",SUMIFS(入金明細!$E$5:$E$1004,入金明細!$G$5:$G$1004,$A27,入金明細!$B$5:$B$1004,"&gt;="&amp;E$3,入金明細!$B$5:$B$1004,"&lt;"&amp;DATE(YEAR(E$3),MONTH(E$3)+1,1)))</f>
        <v/>
      </c>
      <c r="G27" s="27" t="str">
        <f aca="false">IF($A27="","",SUMIFS(請求台帳!$F$5:$F$504,請求台帳!$C$5:$C$504,$A27,請求台帳!$B$5:$B$504,"&gt;="&amp;G$3,請求台帳!$B$5:$B$504,"&lt;"&amp;DATE(YEAR(G$3),MONTH(G$3)+1,1),請求台帳!$Q$5:$Q$504,"&lt;&gt;取消"))</f>
        <v/>
      </c>
      <c r="H27" s="27" t="str">
        <f aca="false">IF($A27="","",SUMIFS(入金明細!$E$5:$E$1004,入金明細!$G$5:$G$1004,$A27,入金明細!$B$5:$B$1004,"&gt;="&amp;G$3,入金明細!$B$5:$B$1004,"&lt;"&amp;DATE(YEAR(G$3),MONTH(G$3)+1,1)))</f>
        <v/>
      </c>
      <c r="I27" s="27" t="str">
        <f aca="false">IF($A27="","",SUMIFS(請求台帳!$F$5:$F$504,請求台帳!$C$5:$C$504,$A27,請求台帳!$B$5:$B$504,"&gt;="&amp;I$3,請求台帳!$B$5:$B$504,"&lt;"&amp;DATE(YEAR(I$3),MONTH(I$3)+1,1),請求台帳!$Q$5:$Q$504,"&lt;&gt;取消"))</f>
        <v/>
      </c>
      <c r="J27" s="27" t="str">
        <f aca="false">IF($A27="","",SUMIFS(入金明細!$E$5:$E$1004,入金明細!$G$5:$G$1004,$A27,入金明細!$B$5:$B$1004,"&gt;="&amp;I$3,入金明細!$B$5:$B$1004,"&lt;"&amp;DATE(YEAR(I$3),MONTH(I$3)+1,1)))</f>
        <v/>
      </c>
      <c r="K27" s="27" t="str">
        <f aca="false">IF($A27="","",SUMIFS(請求台帳!$F$5:$F$504,請求台帳!$C$5:$C$504,$A27,請求台帳!$B$5:$B$504,"&gt;="&amp;K$3,請求台帳!$B$5:$B$504,"&lt;"&amp;DATE(YEAR(K$3),MONTH(K$3)+1,1),請求台帳!$Q$5:$Q$504,"&lt;&gt;取消"))</f>
        <v/>
      </c>
      <c r="L27" s="27" t="str">
        <f aca="false">IF($A27="","",SUMIFS(入金明細!$E$5:$E$1004,入金明細!$G$5:$G$1004,$A27,入金明細!$B$5:$B$1004,"&gt;="&amp;K$3,入金明細!$B$5:$B$1004,"&lt;"&amp;DATE(YEAR(K$3),MONTH(K$3)+1,1)))</f>
        <v/>
      </c>
      <c r="M27" s="27" t="str">
        <f aca="false">IF($A27="","",SUMIFS(請求台帳!$F$5:$F$504,請求台帳!$C$5:$C$504,$A27,請求台帳!$B$5:$B$504,"&gt;="&amp;M$3,請求台帳!$B$5:$B$504,"&lt;"&amp;DATE(YEAR(M$3),MONTH(M$3)+1,1),請求台帳!$Q$5:$Q$504,"&lt;&gt;取消"))</f>
        <v/>
      </c>
      <c r="N27" s="27" t="str">
        <f aca="false">IF($A27="","",SUMIFS(入金明細!$E$5:$E$1004,入金明細!$G$5:$G$1004,$A27,入金明細!$B$5:$B$1004,"&gt;="&amp;M$3,入金明細!$B$5:$B$1004,"&lt;"&amp;DATE(YEAR(M$3),MONTH(M$3)+1,1)))</f>
        <v/>
      </c>
      <c r="O27" s="27" t="str">
        <f aca="false">IF($A27="","",SUMIFS(請求台帳!$F$5:$F$504,請求台帳!$C$5:$C$504,$A27,請求台帳!$B$5:$B$504,"&gt;="&amp;O$3,請求台帳!$B$5:$B$504,"&lt;"&amp;DATE(YEAR(O$3),MONTH(O$3)+1,1),請求台帳!$Q$5:$Q$504,"&lt;&gt;取消"))</f>
        <v/>
      </c>
      <c r="P27" s="27" t="str">
        <f aca="false">IF($A27="","",SUMIFS(入金明細!$E$5:$E$1004,入金明細!$G$5:$G$1004,$A27,入金明細!$B$5:$B$1004,"&gt;="&amp;O$3,入金明細!$B$5:$B$1004,"&lt;"&amp;DATE(YEAR(O$3),MONTH(O$3)+1,1)))</f>
        <v/>
      </c>
      <c r="Q27" s="27" t="str">
        <f aca="false">IF($A27="","",SUMIFS(請求台帳!$F$5:$F$504,請求台帳!$C$5:$C$504,$A27,請求台帳!$B$5:$B$504,"&gt;="&amp;Q$3,請求台帳!$B$5:$B$504,"&lt;"&amp;DATE(YEAR(Q$3),MONTH(Q$3)+1,1),請求台帳!$Q$5:$Q$504,"&lt;&gt;取消"))</f>
        <v/>
      </c>
      <c r="R27" s="27" t="str">
        <f aca="false">IF($A27="","",SUMIFS(入金明細!$E$5:$E$1004,入金明細!$G$5:$G$1004,$A27,入金明細!$B$5:$B$1004,"&gt;="&amp;Q$3,入金明細!$B$5:$B$1004,"&lt;"&amp;DATE(YEAR(Q$3),MONTH(Q$3)+1,1)))</f>
        <v/>
      </c>
      <c r="S27" s="27" t="str">
        <f aca="false">IF($A27="","",SUMIFS(請求台帳!$F$5:$F$504,請求台帳!$C$5:$C$504,$A27,請求台帳!$B$5:$B$504,"&gt;="&amp;S$3,請求台帳!$B$5:$B$504,"&lt;"&amp;DATE(YEAR(S$3),MONTH(S$3)+1,1),請求台帳!$Q$5:$Q$504,"&lt;&gt;取消"))</f>
        <v/>
      </c>
      <c r="T27" s="27" t="str">
        <f aca="false">IF($A27="","",SUMIFS(入金明細!$E$5:$E$1004,入金明細!$G$5:$G$1004,$A27,入金明細!$B$5:$B$1004,"&gt;="&amp;S$3,入金明細!$B$5:$B$1004,"&lt;"&amp;DATE(YEAR(S$3),MONTH(S$3)+1,1)))</f>
        <v/>
      </c>
      <c r="U27" s="27" t="str">
        <f aca="false">IF($A27="","",SUMIFS(請求台帳!$F$5:$F$504,請求台帳!$C$5:$C$504,$A27,請求台帳!$B$5:$B$504,"&gt;="&amp;U$3,請求台帳!$B$5:$B$504,"&lt;"&amp;DATE(YEAR(U$3),MONTH(U$3)+1,1),請求台帳!$Q$5:$Q$504,"&lt;&gt;取消"))</f>
        <v/>
      </c>
      <c r="V27" s="27" t="str">
        <f aca="false">IF($A27="","",SUMIFS(入金明細!$E$5:$E$1004,入金明細!$G$5:$G$1004,$A27,入金明細!$B$5:$B$1004,"&gt;="&amp;U$3,入金明細!$B$5:$B$1004,"&lt;"&amp;DATE(YEAR(U$3),MONTH(U$3)+1,1)))</f>
        <v/>
      </c>
      <c r="W27" s="27" t="str">
        <f aca="false">IF($A27="","",SUMIFS(請求台帳!$F$5:$F$504,請求台帳!$C$5:$C$504,$A27,請求台帳!$B$5:$B$504,"&gt;="&amp;W$3,請求台帳!$B$5:$B$504,"&lt;"&amp;DATE(YEAR(W$3),MONTH(W$3)+1,1),請求台帳!$Q$5:$Q$504,"&lt;&gt;取消"))</f>
        <v/>
      </c>
      <c r="X27" s="27" t="str">
        <f aca="false">IF($A27="","",SUMIFS(入金明細!$E$5:$E$1004,入金明細!$G$5:$G$1004,$A27,入金明細!$B$5:$B$1004,"&gt;="&amp;W$3,入金明細!$B$5:$B$1004,"&lt;"&amp;DATE(YEAR(W$3),MONTH(W$3)+1,1)))</f>
        <v/>
      </c>
      <c r="Y27" s="27" t="str">
        <f aca="false">IF($A27="","",SUMIFS(請求台帳!$F$5:$F$504,請求台帳!$C$5:$C$504,$A27,請求台帳!$B$5:$B$504,"&gt;="&amp;Y$3,請求台帳!$B$5:$B$504,"&lt;"&amp;DATE(YEAR(Y$3),MONTH(Y$3)+1,1),請求台帳!$Q$5:$Q$504,"&lt;&gt;取消"))</f>
        <v/>
      </c>
      <c r="Z27" s="27" t="str">
        <f aca="false">IF($A27="","",SUMIFS(入金明細!$E$5:$E$1004,入金明細!$G$5:$G$1004,$A27,入金明細!$B$5:$B$1004,"&gt;="&amp;Y$3,入金明細!$B$5:$B$1004,"&lt;"&amp;DATE(YEAR(Y$3),MONTH(Y$3)+1,1)))</f>
        <v/>
      </c>
      <c r="AA27" s="37" t="n">
        <f aca="false">SUM(C27,E27,G27,I27,K27,M27,O27,Q27,S27,U27,W27,Y27)</f>
        <v>0</v>
      </c>
      <c r="AB27" s="37" t="n">
        <f aca="false">SUM(D27,F27,H27,J27,L27,N27,P27,R27,T27,V27,X27,Z27)</f>
        <v>0</v>
      </c>
    </row>
    <row r="28" customFormat="false" ht="15" hidden="false" customHeight="false" outlineLevel="0" collapsed="false">
      <c r="A28" s="31" t="str">
        <f aca="false">IF(取引先マスタ!A28="","",取引先マスタ!A28)</f>
        <v/>
      </c>
      <c r="B28" s="31" t="str">
        <f aca="false">IF(A28="","",取引先マスタ!B28)</f>
        <v/>
      </c>
      <c r="C28" s="27" t="str">
        <f aca="false">IF($A28="","",SUMIFS(請求台帳!$F$5:$F$504,請求台帳!$C$5:$C$504,$A28,請求台帳!$B$5:$B$504,"&gt;="&amp;C$3,請求台帳!$B$5:$B$504,"&lt;"&amp;DATE(YEAR(C$3),MONTH(C$3)+1,1),請求台帳!$Q$5:$Q$504,"&lt;&gt;取消"))</f>
        <v/>
      </c>
      <c r="D28" s="27" t="str">
        <f aca="false">IF($A28="","",SUMIFS(入金明細!$E$5:$E$1004,入金明細!$G$5:$G$1004,$A28,入金明細!$B$5:$B$1004,"&gt;="&amp;C$3,入金明細!$B$5:$B$1004,"&lt;"&amp;DATE(YEAR(C$3),MONTH(C$3)+1,1)))</f>
        <v/>
      </c>
      <c r="E28" s="27" t="str">
        <f aca="false">IF($A28="","",SUMIFS(請求台帳!$F$5:$F$504,請求台帳!$C$5:$C$504,$A28,請求台帳!$B$5:$B$504,"&gt;="&amp;E$3,請求台帳!$B$5:$B$504,"&lt;"&amp;DATE(YEAR(E$3),MONTH(E$3)+1,1),請求台帳!$Q$5:$Q$504,"&lt;&gt;取消"))</f>
        <v/>
      </c>
      <c r="F28" s="27" t="str">
        <f aca="false">IF($A28="","",SUMIFS(入金明細!$E$5:$E$1004,入金明細!$G$5:$G$1004,$A28,入金明細!$B$5:$B$1004,"&gt;="&amp;E$3,入金明細!$B$5:$B$1004,"&lt;"&amp;DATE(YEAR(E$3),MONTH(E$3)+1,1)))</f>
        <v/>
      </c>
      <c r="G28" s="27" t="str">
        <f aca="false">IF($A28="","",SUMIFS(請求台帳!$F$5:$F$504,請求台帳!$C$5:$C$504,$A28,請求台帳!$B$5:$B$504,"&gt;="&amp;G$3,請求台帳!$B$5:$B$504,"&lt;"&amp;DATE(YEAR(G$3),MONTH(G$3)+1,1),請求台帳!$Q$5:$Q$504,"&lt;&gt;取消"))</f>
        <v/>
      </c>
      <c r="H28" s="27" t="str">
        <f aca="false">IF($A28="","",SUMIFS(入金明細!$E$5:$E$1004,入金明細!$G$5:$G$1004,$A28,入金明細!$B$5:$B$1004,"&gt;="&amp;G$3,入金明細!$B$5:$B$1004,"&lt;"&amp;DATE(YEAR(G$3),MONTH(G$3)+1,1)))</f>
        <v/>
      </c>
      <c r="I28" s="27" t="str">
        <f aca="false">IF($A28="","",SUMIFS(請求台帳!$F$5:$F$504,請求台帳!$C$5:$C$504,$A28,請求台帳!$B$5:$B$504,"&gt;="&amp;I$3,請求台帳!$B$5:$B$504,"&lt;"&amp;DATE(YEAR(I$3),MONTH(I$3)+1,1),請求台帳!$Q$5:$Q$504,"&lt;&gt;取消"))</f>
        <v/>
      </c>
      <c r="J28" s="27" t="str">
        <f aca="false">IF($A28="","",SUMIFS(入金明細!$E$5:$E$1004,入金明細!$G$5:$G$1004,$A28,入金明細!$B$5:$B$1004,"&gt;="&amp;I$3,入金明細!$B$5:$B$1004,"&lt;"&amp;DATE(YEAR(I$3),MONTH(I$3)+1,1)))</f>
        <v/>
      </c>
      <c r="K28" s="27" t="str">
        <f aca="false">IF($A28="","",SUMIFS(請求台帳!$F$5:$F$504,請求台帳!$C$5:$C$504,$A28,請求台帳!$B$5:$B$504,"&gt;="&amp;K$3,請求台帳!$B$5:$B$504,"&lt;"&amp;DATE(YEAR(K$3),MONTH(K$3)+1,1),請求台帳!$Q$5:$Q$504,"&lt;&gt;取消"))</f>
        <v/>
      </c>
      <c r="L28" s="27" t="str">
        <f aca="false">IF($A28="","",SUMIFS(入金明細!$E$5:$E$1004,入金明細!$G$5:$G$1004,$A28,入金明細!$B$5:$B$1004,"&gt;="&amp;K$3,入金明細!$B$5:$B$1004,"&lt;"&amp;DATE(YEAR(K$3),MONTH(K$3)+1,1)))</f>
        <v/>
      </c>
      <c r="M28" s="27" t="str">
        <f aca="false">IF($A28="","",SUMIFS(請求台帳!$F$5:$F$504,請求台帳!$C$5:$C$504,$A28,請求台帳!$B$5:$B$504,"&gt;="&amp;M$3,請求台帳!$B$5:$B$504,"&lt;"&amp;DATE(YEAR(M$3),MONTH(M$3)+1,1),請求台帳!$Q$5:$Q$504,"&lt;&gt;取消"))</f>
        <v/>
      </c>
      <c r="N28" s="27" t="str">
        <f aca="false">IF($A28="","",SUMIFS(入金明細!$E$5:$E$1004,入金明細!$G$5:$G$1004,$A28,入金明細!$B$5:$B$1004,"&gt;="&amp;M$3,入金明細!$B$5:$B$1004,"&lt;"&amp;DATE(YEAR(M$3),MONTH(M$3)+1,1)))</f>
        <v/>
      </c>
      <c r="O28" s="27" t="str">
        <f aca="false">IF($A28="","",SUMIFS(請求台帳!$F$5:$F$504,請求台帳!$C$5:$C$504,$A28,請求台帳!$B$5:$B$504,"&gt;="&amp;O$3,請求台帳!$B$5:$B$504,"&lt;"&amp;DATE(YEAR(O$3),MONTH(O$3)+1,1),請求台帳!$Q$5:$Q$504,"&lt;&gt;取消"))</f>
        <v/>
      </c>
      <c r="P28" s="27" t="str">
        <f aca="false">IF($A28="","",SUMIFS(入金明細!$E$5:$E$1004,入金明細!$G$5:$G$1004,$A28,入金明細!$B$5:$B$1004,"&gt;="&amp;O$3,入金明細!$B$5:$B$1004,"&lt;"&amp;DATE(YEAR(O$3),MONTH(O$3)+1,1)))</f>
        <v/>
      </c>
      <c r="Q28" s="27" t="str">
        <f aca="false">IF($A28="","",SUMIFS(請求台帳!$F$5:$F$504,請求台帳!$C$5:$C$504,$A28,請求台帳!$B$5:$B$504,"&gt;="&amp;Q$3,請求台帳!$B$5:$B$504,"&lt;"&amp;DATE(YEAR(Q$3),MONTH(Q$3)+1,1),請求台帳!$Q$5:$Q$504,"&lt;&gt;取消"))</f>
        <v/>
      </c>
      <c r="R28" s="27" t="str">
        <f aca="false">IF($A28="","",SUMIFS(入金明細!$E$5:$E$1004,入金明細!$G$5:$G$1004,$A28,入金明細!$B$5:$B$1004,"&gt;="&amp;Q$3,入金明細!$B$5:$B$1004,"&lt;"&amp;DATE(YEAR(Q$3),MONTH(Q$3)+1,1)))</f>
        <v/>
      </c>
      <c r="S28" s="27" t="str">
        <f aca="false">IF($A28="","",SUMIFS(請求台帳!$F$5:$F$504,請求台帳!$C$5:$C$504,$A28,請求台帳!$B$5:$B$504,"&gt;="&amp;S$3,請求台帳!$B$5:$B$504,"&lt;"&amp;DATE(YEAR(S$3),MONTH(S$3)+1,1),請求台帳!$Q$5:$Q$504,"&lt;&gt;取消"))</f>
        <v/>
      </c>
      <c r="T28" s="27" t="str">
        <f aca="false">IF($A28="","",SUMIFS(入金明細!$E$5:$E$1004,入金明細!$G$5:$G$1004,$A28,入金明細!$B$5:$B$1004,"&gt;="&amp;S$3,入金明細!$B$5:$B$1004,"&lt;"&amp;DATE(YEAR(S$3),MONTH(S$3)+1,1)))</f>
        <v/>
      </c>
      <c r="U28" s="27" t="str">
        <f aca="false">IF($A28="","",SUMIFS(請求台帳!$F$5:$F$504,請求台帳!$C$5:$C$504,$A28,請求台帳!$B$5:$B$504,"&gt;="&amp;U$3,請求台帳!$B$5:$B$504,"&lt;"&amp;DATE(YEAR(U$3),MONTH(U$3)+1,1),請求台帳!$Q$5:$Q$504,"&lt;&gt;取消"))</f>
        <v/>
      </c>
      <c r="V28" s="27" t="str">
        <f aca="false">IF($A28="","",SUMIFS(入金明細!$E$5:$E$1004,入金明細!$G$5:$G$1004,$A28,入金明細!$B$5:$B$1004,"&gt;="&amp;U$3,入金明細!$B$5:$B$1004,"&lt;"&amp;DATE(YEAR(U$3),MONTH(U$3)+1,1)))</f>
        <v/>
      </c>
      <c r="W28" s="27" t="str">
        <f aca="false">IF($A28="","",SUMIFS(請求台帳!$F$5:$F$504,請求台帳!$C$5:$C$504,$A28,請求台帳!$B$5:$B$504,"&gt;="&amp;W$3,請求台帳!$B$5:$B$504,"&lt;"&amp;DATE(YEAR(W$3),MONTH(W$3)+1,1),請求台帳!$Q$5:$Q$504,"&lt;&gt;取消"))</f>
        <v/>
      </c>
      <c r="X28" s="27" t="str">
        <f aca="false">IF($A28="","",SUMIFS(入金明細!$E$5:$E$1004,入金明細!$G$5:$G$1004,$A28,入金明細!$B$5:$B$1004,"&gt;="&amp;W$3,入金明細!$B$5:$B$1004,"&lt;"&amp;DATE(YEAR(W$3),MONTH(W$3)+1,1)))</f>
        <v/>
      </c>
      <c r="Y28" s="27" t="str">
        <f aca="false">IF($A28="","",SUMIFS(請求台帳!$F$5:$F$504,請求台帳!$C$5:$C$504,$A28,請求台帳!$B$5:$B$504,"&gt;="&amp;Y$3,請求台帳!$B$5:$B$504,"&lt;"&amp;DATE(YEAR(Y$3),MONTH(Y$3)+1,1),請求台帳!$Q$5:$Q$504,"&lt;&gt;取消"))</f>
        <v/>
      </c>
      <c r="Z28" s="27" t="str">
        <f aca="false">IF($A28="","",SUMIFS(入金明細!$E$5:$E$1004,入金明細!$G$5:$G$1004,$A28,入金明細!$B$5:$B$1004,"&gt;="&amp;Y$3,入金明細!$B$5:$B$1004,"&lt;"&amp;DATE(YEAR(Y$3),MONTH(Y$3)+1,1)))</f>
        <v/>
      </c>
      <c r="AA28" s="37" t="n">
        <f aca="false">SUM(C28,E28,G28,I28,K28,M28,O28,Q28,S28,U28,W28,Y28)</f>
        <v>0</v>
      </c>
      <c r="AB28" s="37" t="n">
        <f aca="false">SUM(D28,F28,H28,J28,L28,N28,P28,R28,T28,V28,X28,Z28)</f>
        <v>0</v>
      </c>
    </row>
    <row r="29" customFormat="false" ht="15" hidden="false" customHeight="false" outlineLevel="0" collapsed="false">
      <c r="A29" s="31" t="str">
        <f aca="false">IF(取引先マスタ!A29="","",取引先マスタ!A29)</f>
        <v/>
      </c>
      <c r="B29" s="31" t="str">
        <f aca="false">IF(A29="","",取引先マスタ!B29)</f>
        <v/>
      </c>
      <c r="C29" s="27" t="str">
        <f aca="false">IF($A29="","",SUMIFS(請求台帳!$F$5:$F$504,請求台帳!$C$5:$C$504,$A29,請求台帳!$B$5:$B$504,"&gt;="&amp;C$3,請求台帳!$B$5:$B$504,"&lt;"&amp;DATE(YEAR(C$3),MONTH(C$3)+1,1),請求台帳!$Q$5:$Q$504,"&lt;&gt;取消"))</f>
        <v/>
      </c>
      <c r="D29" s="27" t="str">
        <f aca="false">IF($A29="","",SUMIFS(入金明細!$E$5:$E$1004,入金明細!$G$5:$G$1004,$A29,入金明細!$B$5:$B$1004,"&gt;="&amp;C$3,入金明細!$B$5:$B$1004,"&lt;"&amp;DATE(YEAR(C$3),MONTH(C$3)+1,1)))</f>
        <v/>
      </c>
      <c r="E29" s="27" t="str">
        <f aca="false">IF($A29="","",SUMIFS(請求台帳!$F$5:$F$504,請求台帳!$C$5:$C$504,$A29,請求台帳!$B$5:$B$504,"&gt;="&amp;E$3,請求台帳!$B$5:$B$504,"&lt;"&amp;DATE(YEAR(E$3),MONTH(E$3)+1,1),請求台帳!$Q$5:$Q$504,"&lt;&gt;取消"))</f>
        <v/>
      </c>
      <c r="F29" s="27" t="str">
        <f aca="false">IF($A29="","",SUMIFS(入金明細!$E$5:$E$1004,入金明細!$G$5:$G$1004,$A29,入金明細!$B$5:$B$1004,"&gt;="&amp;E$3,入金明細!$B$5:$B$1004,"&lt;"&amp;DATE(YEAR(E$3),MONTH(E$3)+1,1)))</f>
        <v/>
      </c>
      <c r="G29" s="27" t="str">
        <f aca="false">IF($A29="","",SUMIFS(請求台帳!$F$5:$F$504,請求台帳!$C$5:$C$504,$A29,請求台帳!$B$5:$B$504,"&gt;="&amp;G$3,請求台帳!$B$5:$B$504,"&lt;"&amp;DATE(YEAR(G$3),MONTH(G$3)+1,1),請求台帳!$Q$5:$Q$504,"&lt;&gt;取消"))</f>
        <v/>
      </c>
      <c r="H29" s="27" t="str">
        <f aca="false">IF($A29="","",SUMIFS(入金明細!$E$5:$E$1004,入金明細!$G$5:$G$1004,$A29,入金明細!$B$5:$B$1004,"&gt;="&amp;G$3,入金明細!$B$5:$B$1004,"&lt;"&amp;DATE(YEAR(G$3),MONTH(G$3)+1,1)))</f>
        <v/>
      </c>
      <c r="I29" s="27" t="str">
        <f aca="false">IF($A29="","",SUMIFS(請求台帳!$F$5:$F$504,請求台帳!$C$5:$C$504,$A29,請求台帳!$B$5:$B$504,"&gt;="&amp;I$3,請求台帳!$B$5:$B$504,"&lt;"&amp;DATE(YEAR(I$3),MONTH(I$3)+1,1),請求台帳!$Q$5:$Q$504,"&lt;&gt;取消"))</f>
        <v/>
      </c>
      <c r="J29" s="27" t="str">
        <f aca="false">IF($A29="","",SUMIFS(入金明細!$E$5:$E$1004,入金明細!$G$5:$G$1004,$A29,入金明細!$B$5:$B$1004,"&gt;="&amp;I$3,入金明細!$B$5:$B$1004,"&lt;"&amp;DATE(YEAR(I$3),MONTH(I$3)+1,1)))</f>
        <v/>
      </c>
      <c r="K29" s="27" t="str">
        <f aca="false">IF($A29="","",SUMIFS(請求台帳!$F$5:$F$504,請求台帳!$C$5:$C$504,$A29,請求台帳!$B$5:$B$504,"&gt;="&amp;K$3,請求台帳!$B$5:$B$504,"&lt;"&amp;DATE(YEAR(K$3),MONTH(K$3)+1,1),請求台帳!$Q$5:$Q$504,"&lt;&gt;取消"))</f>
        <v/>
      </c>
      <c r="L29" s="27" t="str">
        <f aca="false">IF($A29="","",SUMIFS(入金明細!$E$5:$E$1004,入金明細!$G$5:$G$1004,$A29,入金明細!$B$5:$B$1004,"&gt;="&amp;K$3,入金明細!$B$5:$B$1004,"&lt;"&amp;DATE(YEAR(K$3),MONTH(K$3)+1,1)))</f>
        <v/>
      </c>
      <c r="M29" s="27" t="str">
        <f aca="false">IF($A29="","",SUMIFS(請求台帳!$F$5:$F$504,請求台帳!$C$5:$C$504,$A29,請求台帳!$B$5:$B$504,"&gt;="&amp;M$3,請求台帳!$B$5:$B$504,"&lt;"&amp;DATE(YEAR(M$3),MONTH(M$3)+1,1),請求台帳!$Q$5:$Q$504,"&lt;&gt;取消"))</f>
        <v/>
      </c>
      <c r="N29" s="27" t="str">
        <f aca="false">IF($A29="","",SUMIFS(入金明細!$E$5:$E$1004,入金明細!$G$5:$G$1004,$A29,入金明細!$B$5:$B$1004,"&gt;="&amp;M$3,入金明細!$B$5:$B$1004,"&lt;"&amp;DATE(YEAR(M$3),MONTH(M$3)+1,1)))</f>
        <v/>
      </c>
      <c r="O29" s="27" t="str">
        <f aca="false">IF($A29="","",SUMIFS(請求台帳!$F$5:$F$504,請求台帳!$C$5:$C$504,$A29,請求台帳!$B$5:$B$504,"&gt;="&amp;O$3,請求台帳!$B$5:$B$504,"&lt;"&amp;DATE(YEAR(O$3),MONTH(O$3)+1,1),請求台帳!$Q$5:$Q$504,"&lt;&gt;取消"))</f>
        <v/>
      </c>
      <c r="P29" s="27" t="str">
        <f aca="false">IF($A29="","",SUMIFS(入金明細!$E$5:$E$1004,入金明細!$G$5:$G$1004,$A29,入金明細!$B$5:$B$1004,"&gt;="&amp;O$3,入金明細!$B$5:$B$1004,"&lt;"&amp;DATE(YEAR(O$3),MONTH(O$3)+1,1)))</f>
        <v/>
      </c>
      <c r="Q29" s="27" t="str">
        <f aca="false">IF($A29="","",SUMIFS(請求台帳!$F$5:$F$504,請求台帳!$C$5:$C$504,$A29,請求台帳!$B$5:$B$504,"&gt;="&amp;Q$3,請求台帳!$B$5:$B$504,"&lt;"&amp;DATE(YEAR(Q$3),MONTH(Q$3)+1,1),請求台帳!$Q$5:$Q$504,"&lt;&gt;取消"))</f>
        <v/>
      </c>
      <c r="R29" s="27" t="str">
        <f aca="false">IF($A29="","",SUMIFS(入金明細!$E$5:$E$1004,入金明細!$G$5:$G$1004,$A29,入金明細!$B$5:$B$1004,"&gt;="&amp;Q$3,入金明細!$B$5:$B$1004,"&lt;"&amp;DATE(YEAR(Q$3),MONTH(Q$3)+1,1)))</f>
        <v/>
      </c>
      <c r="S29" s="27" t="str">
        <f aca="false">IF($A29="","",SUMIFS(請求台帳!$F$5:$F$504,請求台帳!$C$5:$C$504,$A29,請求台帳!$B$5:$B$504,"&gt;="&amp;S$3,請求台帳!$B$5:$B$504,"&lt;"&amp;DATE(YEAR(S$3),MONTH(S$3)+1,1),請求台帳!$Q$5:$Q$504,"&lt;&gt;取消"))</f>
        <v/>
      </c>
      <c r="T29" s="27" t="str">
        <f aca="false">IF($A29="","",SUMIFS(入金明細!$E$5:$E$1004,入金明細!$G$5:$G$1004,$A29,入金明細!$B$5:$B$1004,"&gt;="&amp;S$3,入金明細!$B$5:$B$1004,"&lt;"&amp;DATE(YEAR(S$3),MONTH(S$3)+1,1)))</f>
        <v/>
      </c>
      <c r="U29" s="27" t="str">
        <f aca="false">IF($A29="","",SUMIFS(請求台帳!$F$5:$F$504,請求台帳!$C$5:$C$504,$A29,請求台帳!$B$5:$B$504,"&gt;="&amp;U$3,請求台帳!$B$5:$B$504,"&lt;"&amp;DATE(YEAR(U$3),MONTH(U$3)+1,1),請求台帳!$Q$5:$Q$504,"&lt;&gt;取消"))</f>
        <v/>
      </c>
      <c r="V29" s="27" t="str">
        <f aca="false">IF($A29="","",SUMIFS(入金明細!$E$5:$E$1004,入金明細!$G$5:$G$1004,$A29,入金明細!$B$5:$B$1004,"&gt;="&amp;U$3,入金明細!$B$5:$B$1004,"&lt;"&amp;DATE(YEAR(U$3),MONTH(U$3)+1,1)))</f>
        <v/>
      </c>
      <c r="W29" s="27" t="str">
        <f aca="false">IF($A29="","",SUMIFS(請求台帳!$F$5:$F$504,請求台帳!$C$5:$C$504,$A29,請求台帳!$B$5:$B$504,"&gt;="&amp;W$3,請求台帳!$B$5:$B$504,"&lt;"&amp;DATE(YEAR(W$3),MONTH(W$3)+1,1),請求台帳!$Q$5:$Q$504,"&lt;&gt;取消"))</f>
        <v/>
      </c>
      <c r="X29" s="27" t="str">
        <f aca="false">IF($A29="","",SUMIFS(入金明細!$E$5:$E$1004,入金明細!$G$5:$G$1004,$A29,入金明細!$B$5:$B$1004,"&gt;="&amp;W$3,入金明細!$B$5:$B$1004,"&lt;"&amp;DATE(YEAR(W$3),MONTH(W$3)+1,1)))</f>
        <v/>
      </c>
      <c r="Y29" s="27" t="str">
        <f aca="false">IF($A29="","",SUMIFS(請求台帳!$F$5:$F$504,請求台帳!$C$5:$C$504,$A29,請求台帳!$B$5:$B$504,"&gt;="&amp;Y$3,請求台帳!$B$5:$B$504,"&lt;"&amp;DATE(YEAR(Y$3),MONTH(Y$3)+1,1),請求台帳!$Q$5:$Q$504,"&lt;&gt;取消"))</f>
        <v/>
      </c>
      <c r="Z29" s="27" t="str">
        <f aca="false">IF($A29="","",SUMIFS(入金明細!$E$5:$E$1004,入金明細!$G$5:$G$1004,$A29,入金明細!$B$5:$B$1004,"&gt;="&amp;Y$3,入金明細!$B$5:$B$1004,"&lt;"&amp;DATE(YEAR(Y$3),MONTH(Y$3)+1,1)))</f>
        <v/>
      </c>
      <c r="AA29" s="37" t="n">
        <f aca="false">SUM(C29,E29,G29,I29,K29,M29,O29,Q29,S29,U29,W29,Y29)</f>
        <v>0</v>
      </c>
      <c r="AB29" s="37" t="n">
        <f aca="false">SUM(D29,F29,H29,J29,L29,N29,P29,R29,T29,V29,X29,Z29)</f>
        <v>0</v>
      </c>
    </row>
    <row r="30" customFormat="false" ht="15" hidden="false" customHeight="false" outlineLevel="0" collapsed="false">
      <c r="A30" s="31" t="str">
        <f aca="false">IF(取引先マスタ!A30="","",取引先マスタ!A30)</f>
        <v/>
      </c>
      <c r="B30" s="31" t="str">
        <f aca="false">IF(A30="","",取引先マスタ!B30)</f>
        <v/>
      </c>
      <c r="C30" s="27" t="str">
        <f aca="false">IF($A30="","",SUMIFS(請求台帳!$F$5:$F$504,請求台帳!$C$5:$C$504,$A30,請求台帳!$B$5:$B$504,"&gt;="&amp;C$3,請求台帳!$B$5:$B$504,"&lt;"&amp;DATE(YEAR(C$3),MONTH(C$3)+1,1),請求台帳!$Q$5:$Q$504,"&lt;&gt;取消"))</f>
        <v/>
      </c>
      <c r="D30" s="27" t="str">
        <f aca="false">IF($A30="","",SUMIFS(入金明細!$E$5:$E$1004,入金明細!$G$5:$G$1004,$A30,入金明細!$B$5:$B$1004,"&gt;="&amp;C$3,入金明細!$B$5:$B$1004,"&lt;"&amp;DATE(YEAR(C$3),MONTH(C$3)+1,1)))</f>
        <v/>
      </c>
      <c r="E30" s="27" t="str">
        <f aca="false">IF($A30="","",SUMIFS(請求台帳!$F$5:$F$504,請求台帳!$C$5:$C$504,$A30,請求台帳!$B$5:$B$504,"&gt;="&amp;E$3,請求台帳!$B$5:$B$504,"&lt;"&amp;DATE(YEAR(E$3),MONTH(E$3)+1,1),請求台帳!$Q$5:$Q$504,"&lt;&gt;取消"))</f>
        <v/>
      </c>
      <c r="F30" s="27" t="str">
        <f aca="false">IF($A30="","",SUMIFS(入金明細!$E$5:$E$1004,入金明細!$G$5:$G$1004,$A30,入金明細!$B$5:$B$1004,"&gt;="&amp;E$3,入金明細!$B$5:$B$1004,"&lt;"&amp;DATE(YEAR(E$3),MONTH(E$3)+1,1)))</f>
        <v/>
      </c>
      <c r="G30" s="27" t="str">
        <f aca="false">IF($A30="","",SUMIFS(請求台帳!$F$5:$F$504,請求台帳!$C$5:$C$504,$A30,請求台帳!$B$5:$B$504,"&gt;="&amp;G$3,請求台帳!$B$5:$B$504,"&lt;"&amp;DATE(YEAR(G$3),MONTH(G$3)+1,1),請求台帳!$Q$5:$Q$504,"&lt;&gt;取消"))</f>
        <v/>
      </c>
      <c r="H30" s="27" t="str">
        <f aca="false">IF($A30="","",SUMIFS(入金明細!$E$5:$E$1004,入金明細!$G$5:$G$1004,$A30,入金明細!$B$5:$B$1004,"&gt;="&amp;G$3,入金明細!$B$5:$B$1004,"&lt;"&amp;DATE(YEAR(G$3),MONTH(G$3)+1,1)))</f>
        <v/>
      </c>
      <c r="I30" s="27" t="str">
        <f aca="false">IF($A30="","",SUMIFS(請求台帳!$F$5:$F$504,請求台帳!$C$5:$C$504,$A30,請求台帳!$B$5:$B$504,"&gt;="&amp;I$3,請求台帳!$B$5:$B$504,"&lt;"&amp;DATE(YEAR(I$3),MONTH(I$3)+1,1),請求台帳!$Q$5:$Q$504,"&lt;&gt;取消"))</f>
        <v/>
      </c>
      <c r="J30" s="27" t="str">
        <f aca="false">IF($A30="","",SUMIFS(入金明細!$E$5:$E$1004,入金明細!$G$5:$G$1004,$A30,入金明細!$B$5:$B$1004,"&gt;="&amp;I$3,入金明細!$B$5:$B$1004,"&lt;"&amp;DATE(YEAR(I$3),MONTH(I$3)+1,1)))</f>
        <v/>
      </c>
      <c r="K30" s="27" t="str">
        <f aca="false">IF($A30="","",SUMIFS(請求台帳!$F$5:$F$504,請求台帳!$C$5:$C$504,$A30,請求台帳!$B$5:$B$504,"&gt;="&amp;K$3,請求台帳!$B$5:$B$504,"&lt;"&amp;DATE(YEAR(K$3),MONTH(K$3)+1,1),請求台帳!$Q$5:$Q$504,"&lt;&gt;取消"))</f>
        <v/>
      </c>
      <c r="L30" s="27" t="str">
        <f aca="false">IF($A30="","",SUMIFS(入金明細!$E$5:$E$1004,入金明細!$G$5:$G$1004,$A30,入金明細!$B$5:$B$1004,"&gt;="&amp;K$3,入金明細!$B$5:$B$1004,"&lt;"&amp;DATE(YEAR(K$3),MONTH(K$3)+1,1)))</f>
        <v/>
      </c>
      <c r="M30" s="27" t="str">
        <f aca="false">IF($A30="","",SUMIFS(請求台帳!$F$5:$F$504,請求台帳!$C$5:$C$504,$A30,請求台帳!$B$5:$B$504,"&gt;="&amp;M$3,請求台帳!$B$5:$B$504,"&lt;"&amp;DATE(YEAR(M$3),MONTH(M$3)+1,1),請求台帳!$Q$5:$Q$504,"&lt;&gt;取消"))</f>
        <v/>
      </c>
      <c r="N30" s="27" t="str">
        <f aca="false">IF($A30="","",SUMIFS(入金明細!$E$5:$E$1004,入金明細!$G$5:$G$1004,$A30,入金明細!$B$5:$B$1004,"&gt;="&amp;M$3,入金明細!$B$5:$B$1004,"&lt;"&amp;DATE(YEAR(M$3),MONTH(M$3)+1,1)))</f>
        <v/>
      </c>
      <c r="O30" s="27" t="str">
        <f aca="false">IF($A30="","",SUMIFS(請求台帳!$F$5:$F$504,請求台帳!$C$5:$C$504,$A30,請求台帳!$B$5:$B$504,"&gt;="&amp;O$3,請求台帳!$B$5:$B$504,"&lt;"&amp;DATE(YEAR(O$3),MONTH(O$3)+1,1),請求台帳!$Q$5:$Q$504,"&lt;&gt;取消"))</f>
        <v/>
      </c>
      <c r="P30" s="27" t="str">
        <f aca="false">IF($A30="","",SUMIFS(入金明細!$E$5:$E$1004,入金明細!$G$5:$G$1004,$A30,入金明細!$B$5:$B$1004,"&gt;="&amp;O$3,入金明細!$B$5:$B$1004,"&lt;"&amp;DATE(YEAR(O$3),MONTH(O$3)+1,1)))</f>
        <v/>
      </c>
      <c r="Q30" s="27" t="str">
        <f aca="false">IF($A30="","",SUMIFS(請求台帳!$F$5:$F$504,請求台帳!$C$5:$C$504,$A30,請求台帳!$B$5:$B$504,"&gt;="&amp;Q$3,請求台帳!$B$5:$B$504,"&lt;"&amp;DATE(YEAR(Q$3),MONTH(Q$3)+1,1),請求台帳!$Q$5:$Q$504,"&lt;&gt;取消"))</f>
        <v/>
      </c>
      <c r="R30" s="27" t="str">
        <f aca="false">IF($A30="","",SUMIFS(入金明細!$E$5:$E$1004,入金明細!$G$5:$G$1004,$A30,入金明細!$B$5:$B$1004,"&gt;="&amp;Q$3,入金明細!$B$5:$B$1004,"&lt;"&amp;DATE(YEAR(Q$3),MONTH(Q$3)+1,1)))</f>
        <v/>
      </c>
      <c r="S30" s="27" t="str">
        <f aca="false">IF($A30="","",SUMIFS(請求台帳!$F$5:$F$504,請求台帳!$C$5:$C$504,$A30,請求台帳!$B$5:$B$504,"&gt;="&amp;S$3,請求台帳!$B$5:$B$504,"&lt;"&amp;DATE(YEAR(S$3),MONTH(S$3)+1,1),請求台帳!$Q$5:$Q$504,"&lt;&gt;取消"))</f>
        <v/>
      </c>
      <c r="T30" s="27" t="str">
        <f aca="false">IF($A30="","",SUMIFS(入金明細!$E$5:$E$1004,入金明細!$G$5:$G$1004,$A30,入金明細!$B$5:$B$1004,"&gt;="&amp;S$3,入金明細!$B$5:$B$1004,"&lt;"&amp;DATE(YEAR(S$3),MONTH(S$3)+1,1)))</f>
        <v/>
      </c>
      <c r="U30" s="27" t="str">
        <f aca="false">IF($A30="","",SUMIFS(請求台帳!$F$5:$F$504,請求台帳!$C$5:$C$504,$A30,請求台帳!$B$5:$B$504,"&gt;="&amp;U$3,請求台帳!$B$5:$B$504,"&lt;"&amp;DATE(YEAR(U$3),MONTH(U$3)+1,1),請求台帳!$Q$5:$Q$504,"&lt;&gt;取消"))</f>
        <v/>
      </c>
      <c r="V30" s="27" t="str">
        <f aca="false">IF($A30="","",SUMIFS(入金明細!$E$5:$E$1004,入金明細!$G$5:$G$1004,$A30,入金明細!$B$5:$B$1004,"&gt;="&amp;U$3,入金明細!$B$5:$B$1004,"&lt;"&amp;DATE(YEAR(U$3),MONTH(U$3)+1,1)))</f>
        <v/>
      </c>
      <c r="W30" s="27" t="str">
        <f aca="false">IF($A30="","",SUMIFS(請求台帳!$F$5:$F$504,請求台帳!$C$5:$C$504,$A30,請求台帳!$B$5:$B$504,"&gt;="&amp;W$3,請求台帳!$B$5:$B$504,"&lt;"&amp;DATE(YEAR(W$3),MONTH(W$3)+1,1),請求台帳!$Q$5:$Q$504,"&lt;&gt;取消"))</f>
        <v/>
      </c>
      <c r="X30" s="27" t="str">
        <f aca="false">IF($A30="","",SUMIFS(入金明細!$E$5:$E$1004,入金明細!$G$5:$G$1004,$A30,入金明細!$B$5:$B$1004,"&gt;="&amp;W$3,入金明細!$B$5:$B$1004,"&lt;"&amp;DATE(YEAR(W$3),MONTH(W$3)+1,1)))</f>
        <v/>
      </c>
      <c r="Y30" s="27" t="str">
        <f aca="false">IF($A30="","",SUMIFS(請求台帳!$F$5:$F$504,請求台帳!$C$5:$C$504,$A30,請求台帳!$B$5:$B$504,"&gt;="&amp;Y$3,請求台帳!$B$5:$B$504,"&lt;"&amp;DATE(YEAR(Y$3),MONTH(Y$3)+1,1),請求台帳!$Q$5:$Q$504,"&lt;&gt;取消"))</f>
        <v/>
      </c>
      <c r="Z30" s="27" t="str">
        <f aca="false">IF($A30="","",SUMIFS(入金明細!$E$5:$E$1004,入金明細!$G$5:$G$1004,$A30,入金明細!$B$5:$B$1004,"&gt;="&amp;Y$3,入金明細!$B$5:$B$1004,"&lt;"&amp;DATE(YEAR(Y$3),MONTH(Y$3)+1,1)))</f>
        <v/>
      </c>
      <c r="AA30" s="37" t="n">
        <f aca="false">SUM(C30,E30,G30,I30,K30,M30,O30,Q30,S30,U30,W30,Y30)</f>
        <v>0</v>
      </c>
      <c r="AB30" s="37" t="n">
        <f aca="false">SUM(D30,F30,H30,J30,L30,N30,P30,R30,T30,V30,X30,Z30)</f>
        <v>0</v>
      </c>
    </row>
    <row r="31" customFormat="false" ht="15" hidden="false" customHeight="false" outlineLevel="0" collapsed="false">
      <c r="A31" s="31" t="str">
        <f aca="false">IF(取引先マスタ!A31="","",取引先マスタ!A31)</f>
        <v/>
      </c>
      <c r="B31" s="31" t="str">
        <f aca="false">IF(A31="","",取引先マスタ!B31)</f>
        <v/>
      </c>
      <c r="C31" s="27" t="str">
        <f aca="false">IF($A31="","",SUMIFS(請求台帳!$F$5:$F$504,請求台帳!$C$5:$C$504,$A31,請求台帳!$B$5:$B$504,"&gt;="&amp;C$3,請求台帳!$B$5:$B$504,"&lt;"&amp;DATE(YEAR(C$3),MONTH(C$3)+1,1),請求台帳!$Q$5:$Q$504,"&lt;&gt;取消"))</f>
        <v/>
      </c>
      <c r="D31" s="27" t="str">
        <f aca="false">IF($A31="","",SUMIFS(入金明細!$E$5:$E$1004,入金明細!$G$5:$G$1004,$A31,入金明細!$B$5:$B$1004,"&gt;="&amp;C$3,入金明細!$B$5:$B$1004,"&lt;"&amp;DATE(YEAR(C$3),MONTH(C$3)+1,1)))</f>
        <v/>
      </c>
      <c r="E31" s="27" t="str">
        <f aca="false">IF($A31="","",SUMIFS(請求台帳!$F$5:$F$504,請求台帳!$C$5:$C$504,$A31,請求台帳!$B$5:$B$504,"&gt;="&amp;E$3,請求台帳!$B$5:$B$504,"&lt;"&amp;DATE(YEAR(E$3),MONTH(E$3)+1,1),請求台帳!$Q$5:$Q$504,"&lt;&gt;取消"))</f>
        <v/>
      </c>
      <c r="F31" s="27" t="str">
        <f aca="false">IF($A31="","",SUMIFS(入金明細!$E$5:$E$1004,入金明細!$G$5:$G$1004,$A31,入金明細!$B$5:$B$1004,"&gt;="&amp;E$3,入金明細!$B$5:$B$1004,"&lt;"&amp;DATE(YEAR(E$3),MONTH(E$3)+1,1)))</f>
        <v/>
      </c>
      <c r="G31" s="27" t="str">
        <f aca="false">IF($A31="","",SUMIFS(請求台帳!$F$5:$F$504,請求台帳!$C$5:$C$504,$A31,請求台帳!$B$5:$B$504,"&gt;="&amp;G$3,請求台帳!$B$5:$B$504,"&lt;"&amp;DATE(YEAR(G$3),MONTH(G$3)+1,1),請求台帳!$Q$5:$Q$504,"&lt;&gt;取消"))</f>
        <v/>
      </c>
      <c r="H31" s="27" t="str">
        <f aca="false">IF($A31="","",SUMIFS(入金明細!$E$5:$E$1004,入金明細!$G$5:$G$1004,$A31,入金明細!$B$5:$B$1004,"&gt;="&amp;G$3,入金明細!$B$5:$B$1004,"&lt;"&amp;DATE(YEAR(G$3),MONTH(G$3)+1,1)))</f>
        <v/>
      </c>
      <c r="I31" s="27" t="str">
        <f aca="false">IF($A31="","",SUMIFS(請求台帳!$F$5:$F$504,請求台帳!$C$5:$C$504,$A31,請求台帳!$B$5:$B$504,"&gt;="&amp;I$3,請求台帳!$B$5:$B$504,"&lt;"&amp;DATE(YEAR(I$3),MONTH(I$3)+1,1),請求台帳!$Q$5:$Q$504,"&lt;&gt;取消"))</f>
        <v/>
      </c>
      <c r="J31" s="27" t="str">
        <f aca="false">IF($A31="","",SUMIFS(入金明細!$E$5:$E$1004,入金明細!$G$5:$G$1004,$A31,入金明細!$B$5:$B$1004,"&gt;="&amp;I$3,入金明細!$B$5:$B$1004,"&lt;"&amp;DATE(YEAR(I$3),MONTH(I$3)+1,1)))</f>
        <v/>
      </c>
      <c r="K31" s="27" t="str">
        <f aca="false">IF($A31="","",SUMIFS(請求台帳!$F$5:$F$504,請求台帳!$C$5:$C$504,$A31,請求台帳!$B$5:$B$504,"&gt;="&amp;K$3,請求台帳!$B$5:$B$504,"&lt;"&amp;DATE(YEAR(K$3),MONTH(K$3)+1,1),請求台帳!$Q$5:$Q$504,"&lt;&gt;取消"))</f>
        <v/>
      </c>
      <c r="L31" s="27" t="str">
        <f aca="false">IF($A31="","",SUMIFS(入金明細!$E$5:$E$1004,入金明細!$G$5:$G$1004,$A31,入金明細!$B$5:$B$1004,"&gt;="&amp;K$3,入金明細!$B$5:$B$1004,"&lt;"&amp;DATE(YEAR(K$3),MONTH(K$3)+1,1)))</f>
        <v/>
      </c>
      <c r="M31" s="27" t="str">
        <f aca="false">IF($A31="","",SUMIFS(請求台帳!$F$5:$F$504,請求台帳!$C$5:$C$504,$A31,請求台帳!$B$5:$B$504,"&gt;="&amp;M$3,請求台帳!$B$5:$B$504,"&lt;"&amp;DATE(YEAR(M$3),MONTH(M$3)+1,1),請求台帳!$Q$5:$Q$504,"&lt;&gt;取消"))</f>
        <v/>
      </c>
      <c r="N31" s="27" t="str">
        <f aca="false">IF($A31="","",SUMIFS(入金明細!$E$5:$E$1004,入金明細!$G$5:$G$1004,$A31,入金明細!$B$5:$B$1004,"&gt;="&amp;M$3,入金明細!$B$5:$B$1004,"&lt;"&amp;DATE(YEAR(M$3),MONTH(M$3)+1,1)))</f>
        <v/>
      </c>
      <c r="O31" s="27" t="str">
        <f aca="false">IF($A31="","",SUMIFS(請求台帳!$F$5:$F$504,請求台帳!$C$5:$C$504,$A31,請求台帳!$B$5:$B$504,"&gt;="&amp;O$3,請求台帳!$B$5:$B$504,"&lt;"&amp;DATE(YEAR(O$3),MONTH(O$3)+1,1),請求台帳!$Q$5:$Q$504,"&lt;&gt;取消"))</f>
        <v/>
      </c>
      <c r="P31" s="27" t="str">
        <f aca="false">IF($A31="","",SUMIFS(入金明細!$E$5:$E$1004,入金明細!$G$5:$G$1004,$A31,入金明細!$B$5:$B$1004,"&gt;="&amp;O$3,入金明細!$B$5:$B$1004,"&lt;"&amp;DATE(YEAR(O$3),MONTH(O$3)+1,1)))</f>
        <v/>
      </c>
      <c r="Q31" s="27" t="str">
        <f aca="false">IF($A31="","",SUMIFS(請求台帳!$F$5:$F$504,請求台帳!$C$5:$C$504,$A31,請求台帳!$B$5:$B$504,"&gt;="&amp;Q$3,請求台帳!$B$5:$B$504,"&lt;"&amp;DATE(YEAR(Q$3),MONTH(Q$3)+1,1),請求台帳!$Q$5:$Q$504,"&lt;&gt;取消"))</f>
        <v/>
      </c>
      <c r="R31" s="27" t="str">
        <f aca="false">IF($A31="","",SUMIFS(入金明細!$E$5:$E$1004,入金明細!$G$5:$G$1004,$A31,入金明細!$B$5:$B$1004,"&gt;="&amp;Q$3,入金明細!$B$5:$B$1004,"&lt;"&amp;DATE(YEAR(Q$3),MONTH(Q$3)+1,1)))</f>
        <v/>
      </c>
      <c r="S31" s="27" t="str">
        <f aca="false">IF($A31="","",SUMIFS(請求台帳!$F$5:$F$504,請求台帳!$C$5:$C$504,$A31,請求台帳!$B$5:$B$504,"&gt;="&amp;S$3,請求台帳!$B$5:$B$504,"&lt;"&amp;DATE(YEAR(S$3),MONTH(S$3)+1,1),請求台帳!$Q$5:$Q$504,"&lt;&gt;取消"))</f>
        <v/>
      </c>
      <c r="T31" s="27" t="str">
        <f aca="false">IF($A31="","",SUMIFS(入金明細!$E$5:$E$1004,入金明細!$G$5:$G$1004,$A31,入金明細!$B$5:$B$1004,"&gt;="&amp;S$3,入金明細!$B$5:$B$1004,"&lt;"&amp;DATE(YEAR(S$3),MONTH(S$3)+1,1)))</f>
        <v/>
      </c>
      <c r="U31" s="27" t="str">
        <f aca="false">IF($A31="","",SUMIFS(請求台帳!$F$5:$F$504,請求台帳!$C$5:$C$504,$A31,請求台帳!$B$5:$B$504,"&gt;="&amp;U$3,請求台帳!$B$5:$B$504,"&lt;"&amp;DATE(YEAR(U$3),MONTH(U$3)+1,1),請求台帳!$Q$5:$Q$504,"&lt;&gt;取消"))</f>
        <v/>
      </c>
      <c r="V31" s="27" t="str">
        <f aca="false">IF($A31="","",SUMIFS(入金明細!$E$5:$E$1004,入金明細!$G$5:$G$1004,$A31,入金明細!$B$5:$B$1004,"&gt;="&amp;U$3,入金明細!$B$5:$B$1004,"&lt;"&amp;DATE(YEAR(U$3),MONTH(U$3)+1,1)))</f>
        <v/>
      </c>
      <c r="W31" s="27" t="str">
        <f aca="false">IF($A31="","",SUMIFS(請求台帳!$F$5:$F$504,請求台帳!$C$5:$C$504,$A31,請求台帳!$B$5:$B$504,"&gt;="&amp;W$3,請求台帳!$B$5:$B$504,"&lt;"&amp;DATE(YEAR(W$3),MONTH(W$3)+1,1),請求台帳!$Q$5:$Q$504,"&lt;&gt;取消"))</f>
        <v/>
      </c>
      <c r="X31" s="27" t="str">
        <f aca="false">IF($A31="","",SUMIFS(入金明細!$E$5:$E$1004,入金明細!$G$5:$G$1004,$A31,入金明細!$B$5:$B$1004,"&gt;="&amp;W$3,入金明細!$B$5:$B$1004,"&lt;"&amp;DATE(YEAR(W$3),MONTH(W$3)+1,1)))</f>
        <v/>
      </c>
      <c r="Y31" s="27" t="str">
        <f aca="false">IF($A31="","",SUMIFS(請求台帳!$F$5:$F$504,請求台帳!$C$5:$C$504,$A31,請求台帳!$B$5:$B$504,"&gt;="&amp;Y$3,請求台帳!$B$5:$B$504,"&lt;"&amp;DATE(YEAR(Y$3),MONTH(Y$3)+1,1),請求台帳!$Q$5:$Q$504,"&lt;&gt;取消"))</f>
        <v/>
      </c>
      <c r="Z31" s="27" t="str">
        <f aca="false">IF($A31="","",SUMIFS(入金明細!$E$5:$E$1004,入金明細!$G$5:$G$1004,$A31,入金明細!$B$5:$B$1004,"&gt;="&amp;Y$3,入金明細!$B$5:$B$1004,"&lt;"&amp;DATE(YEAR(Y$3),MONTH(Y$3)+1,1)))</f>
        <v/>
      </c>
      <c r="AA31" s="37" t="n">
        <f aca="false">SUM(C31,E31,G31,I31,K31,M31,O31,Q31,S31,U31,W31,Y31)</f>
        <v>0</v>
      </c>
      <c r="AB31" s="37" t="n">
        <f aca="false">SUM(D31,F31,H31,J31,L31,N31,P31,R31,T31,V31,X31,Z31)</f>
        <v>0</v>
      </c>
    </row>
    <row r="32" customFormat="false" ht="15" hidden="false" customHeight="false" outlineLevel="0" collapsed="false">
      <c r="A32" s="31" t="str">
        <f aca="false">IF(取引先マスタ!A32="","",取引先マスタ!A32)</f>
        <v/>
      </c>
      <c r="B32" s="31" t="str">
        <f aca="false">IF(A32="","",取引先マスタ!B32)</f>
        <v/>
      </c>
      <c r="C32" s="27" t="str">
        <f aca="false">IF($A32="","",SUMIFS(請求台帳!$F$5:$F$504,請求台帳!$C$5:$C$504,$A32,請求台帳!$B$5:$B$504,"&gt;="&amp;C$3,請求台帳!$B$5:$B$504,"&lt;"&amp;DATE(YEAR(C$3),MONTH(C$3)+1,1),請求台帳!$Q$5:$Q$504,"&lt;&gt;取消"))</f>
        <v/>
      </c>
      <c r="D32" s="27" t="str">
        <f aca="false">IF($A32="","",SUMIFS(入金明細!$E$5:$E$1004,入金明細!$G$5:$G$1004,$A32,入金明細!$B$5:$B$1004,"&gt;="&amp;C$3,入金明細!$B$5:$B$1004,"&lt;"&amp;DATE(YEAR(C$3),MONTH(C$3)+1,1)))</f>
        <v/>
      </c>
      <c r="E32" s="27" t="str">
        <f aca="false">IF($A32="","",SUMIFS(請求台帳!$F$5:$F$504,請求台帳!$C$5:$C$504,$A32,請求台帳!$B$5:$B$504,"&gt;="&amp;E$3,請求台帳!$B$5:$B$504,"&lt;"&amp;DATE(YEAR(E$3),MONTH(E$3)+1,1),請求台帳!$Q$5:$Q$504,"&lt;&gt;取消"))</f>
        <v/>
      </c>
      <c r="F32" s="27" t="str">
        <f aca="false">IF($A32="","",SUMIFS(入金明細!$E$5:$E$1004,入金明細!$G$5:$G$1004,$A32,入金明細!$B$5:$B$1004,"&gt;="&amp;E$3,入金明細!$B$5:$B$1004,"&lt;"&amp;DATE(YEAR(E$3),MONTH(E$3)+1,1)))</f>
        <v/>
      </c>
      <c r="G32" s="27" t="str">
        <f aca="false">IF($A32="","",SUMIFS(請求台帳!$F$5:$F$504,請求台帳!$C$5:$C$504,$A32,請求台帳!$B$5:$B$504,"&gt;="&amp;G$3,請求台帳!$B$5:$B$504,"&lt;"&amp;DATE(YEAR(G$3),MONTH(G$3)+1,1),請求台帳!$Q$5:$Q$504,"&lt;&gt;取消"))</f>
        <v/>
      </c>
      <c r="H32" s="27" t="str">
        <f aca="false">IF($A32="","",SUMIFS(入金明細!$E$5:$E$1004,入金明細!$G$5:$G$1004,$A32,入金明細!$B$5:$B$1004,"&gt;="&amp;G$3,入金明細!$B$5:$B$1004,"&lt;"&amp;DATE(YEAR(G$3),MONTH(G$3)+1,1)))</f>
        <v/>
      </c>
      <c r="I32" s="27" t="str">
        <f aca="false">IF($A32="","",SUMIFS(請求台帳!$F$5:$F$504,請求台帳!$C$5:$C$504,$A32,請求台帳!$B$5:$B$504,"&gt;="&amp;I$3,請求台帳!$B$5:$B$504,"&lt;"&amp;DATE(YEAR(I$3),MONTH(I$3)+1,1),請求台帳!$Q$5:$Q$504,"&lt;&gt;取消"))</f>
        <v/>
      </c>
      <c r="J32" s="27" t="str">
        <f aca="false">IF($A32="","",SUMIFS(入金明細!$E$5:$E$1004,入金明細!$G$5:$G$1004,$A32,入金明細!$B$5:$B$1004,"&gt;="&amp;I$3,入金明細!$B$5:$B$1004,"&lt;"&amp;DATE(YEAR(I$3),MONTH(I$3)+1,1)))</f>
        <v/>
      </c>
      <c r="K32" s="27" t="str">
        <f aca="false">IF($A32="","",SUMIFS(請求台帳!$F$5:$F$504,請求台帳!$C$5:$C$504,$A32,請求台帳!$B$5:$B$504,"&gt;="&amp;K$3,請求台帳!$B$5:$B$504,"&lt;"&amp;DATE(YEAR(K$3),MONTH(K$3)+1,1),請求台帳!$Q$5:$Q$504,"&lt;&gt;取消"))</f>
        <v/>
      </c>
      <c r="L32" s="27" t="str">
        <f aca="false">IF($A32="","",SUMIFS(入金明細!$E$5:$E$1004,入金明細!$G$5:$G$1004,$A32,入金明細!$B$5:$B$1004,"&gt;="&amp;K$3,入金明細!$B$5:$B$1004,"&lt;"&amp;DATE(YEAR(K$3),MONTH(K$3)+1,1)))</f>
        <v/>
      </c>
      <c r="M32" s="27" t="str">
        <f aca="false">IF($A32="","",SUMIFS(請求台帳!$F$5:$F$504,請求台帳!$C$5:$C$504,$A32,請求台帳!$B$5:$B$504,"&gt;="&amp;M$3,請求台帳!$B$5:$B$504,"&lt;"&amp;DATE(YEAR(M$3),MONTH(M$3)+1,1),請求台帳!$Q$5:$Q$504,"&lt;&gt;取消"))</f>
        <v/>
      </c>
      <c r="N32" s="27" t="str">
        <f aca="false">IF($A32="","",SUMIFS(入金明細!$E$5:$E$1004,入金明細!$G$5:$G$1004,$A32,入金明細!$B$5:$B$1004,"&gt;="&amp;M$3,入金明細!$B$5:$B$1004,"&lt;"&amp;DATE(YEAR(M$3),MONTH(M$3)+1,1)))</f>
        <v/>
      </c>
      <c r="O32" s="27" t="str">
        <f aca="false">IF($A32="","",SUMIFS(請求台帳!$F$5:$F$504,請求台帳!$C$5:$C$504,$A32,請求台帳!$B$5:$B$504,"&gt;="&amp;O$3,請求台帳!$B$5:$B$504,"&lt;"&amp;DATE(YEAR(O$3),MONTH(O$3)+1,1),請求台帳!$Q$5:$Q$504,"&lt;&gt;取消"))</f>
        <v/>
      </c>
      <c r="P32" s="27" t="str">
        <f aca="false">IF($A32="","",SUMIFS(入金明細!$E$5:$E$1004,入金明細!$G$5:$G$1004,$A32,入金明細!$B$5:$B$1004,"&gt;="&amp;O$3,入金明細!$B$5:$B$1004,"&lt;"&amp;DATE(YEAR(O$3),MONTH(O$3)+1,1)))</f>
        <v/>
      </c>
      <c r="Q32" s="27" t="str">
        <f aca="false">IF($A32="","",SUMIFS(請求台帳!$F$5:$F$504,請求台帳!$C$5:$C$504,$A32,請求台帳!$B$5:$B$504,"&gt;="&amp;Q$3,請求台帳!$B$5:$B$504,"&lt;"&amp;DATE(YEAR(Q$3),MONTH(Q$3)+1,1),請求台帳!$Q$5:$Q$504,"&lt;&gt;取消"))</f>
        <v/>
      </c>
      <c r="R32" s="27" t="str">
        <f aca="false">IF($A32="","",SUMIFS(入金明細!$E$5:$E$1004,入金明細!$G$5:$G$1004,$A32,入金明細!$B$5:$B$1004,"&gt;="&amp;Q$3,入金明細!$B$5:$B$1004,"&lt;"&amp;DATE(YEAR(Q$3),MONTH(Q$3)+1,1)))</f>
        <v/>
      </c>
      <c r="S32" s="27" t="str">
        <f aca="false">IF($A32="","",SUMIFS(請求台帳!$F$5:$F$504,請求台帳!$C$5:$C$504,$A32,請求台帳!$B$5:$B$504,"&gt;="&amp;S$3,請求台帳!$B$5:$B$504,"&lt;"&amp;DATE(YEAR(S$3),MONTH(S$3)+1,1),請求台帳!$Q$5:$Q$504,"&lt;&gt;取消"))</f>
        <v/>
      </c>
      <c r="T32" s="27" t="str">
        <f aca="false">IF($A32="","",SUMIFS(入金明細!$E$5:$E$1004,入金明細!$G$5:$G$1004,$A32,入金明細!$B$5:$B$1004,"&gt;="&amp;S$3,入金明細!$B$5:$B$1004,"&lt;"&amp;DATE(YEAR(S$3),MONTH(S$3)+1,1)))</f>
        <v/>
      </c>
      <c r="U32" s="27" t="str">
        <f aca="false">IF($A32="","",SUMIFS(請求台帳!$F$5:$F$504,請求台帳!$C$5:$C$504,$A32,請求台帳!$B$5:$B$504,"&gt;="&amp;U$3,請求台帳!$B$5:$B$504,"&lt;"&amp;DATE(YEAR(U$3),MONTH(U$3)+1,1),請求台帳!$Q$5:$Q$504,"&lt;&gt;取消"))</f>
        <v/>
      </c>
      <c r="V32" s="27" t="str">
        <f aca="false">IF($A32="","",SUMIFS(入金明細!$E$5:$E$1004,入金明細!$G$5:$G$1004,$A32,入金明細!$B$5:$B$1004,"&gt;="&amp;U$3,入金明細!$B$5:$B$1004,"&lt;"&amp;DATE(YEAR(U$3),MONTH(U$3)+1,1)))</f>
        <v/>
      </c>
      <c r="W32" s="27" t="str">
        <f aca="false">IF($A32="","",SUMIFS(請求台帳!$F$5:$F$504,請求台帳!$C$5:$C$504,$A32,請求台帳!$B$5:$B$504,"&gt;="&amp;W$3,請求台帳!$B$5:$B$504,"&lt;"&amp;DATE(YEAR(W$3),MONTH(W$3)+1,1),請求台帳!$Q$5:$Q$504,"&lt;&gt;取消"))</f>
        <v/>
      </c>
      <c r="X32" s="27" t="str">
        <f aca="false">IF($A32="","",SUMIFS(入金明細!$E$5:$E$1004,入金明細!$G$5:$G$1004,$A32,入金明細!$B$5:$B$1004,"&gt;="&amp;W$3,入金明細!$B$5:$B$1004,"&lt;"&amp;DATE(YEAR(W$3),MONTH(W$3)+1,1)))</f>
        <v/>
      </c>
      <c r="Y32" s="27" t="str">
        <f aca="false">IF($A32="","",SUMIFS(請求台帳!$F$5:$F$504,請求台帳!$C$5:$C$504,$A32,請求台帳!$B$5:$B$504,"&gt;="&amp;Y$3,請求台帳!$B$5:$B$504,"&lt;"&amp;DATE(YEAR(Y$3),MONTH(Y$3)+1,1),請求台帳!$Q$5:$Q$504,"&lt;&gt;取消"))</f>
        <v/>
      </c>
      <c r="Z32" s="27" t="str">
        <f aca="false">IF($A32="","",SUMIFS(入金明細!$E$5:$E$1004,入金明細!$G$5:$G$1004,$A32,入金明細!$B$5:$B$1004,"&gt;="&amp;Y$3,入金明細!$B$5:$B$1004,"&lt;"&amp;DATE(YEAR(Y$3),MONTH(Y$3)+1,1)))</f>
        <v/>
      </c>
      <c r="AA32" s="37" t="n">
        <f aca="false">SUM(C32,E32,G32,I32,K32,M32,O32,Q32,S32,U32,W32,Y32)</f>
        <v>0</v>
      </c>
      <c r="AB32" s="37" t="n">
        <f aca="false">SUM(D32,F32,H32,J32,L32,N32,P32,R32,T32,V32,X32,Z32)</f>
        <v>0</v>
      </c>
    </row>
    <row r="33" customFormat="false" ht="15" hidden="false" customHeight="false" outlineLevel="0" collapsed="false">
      <c r="A33" s="31" t="str">
        <f aca="false">IF(取引先マスタ!A33="","",取引先マスタ!A33)</f>
        <v/>
      </c>
      <c r="B33" s="31" t="str">
        <f aca="false">IF(A33="","",取引先マスタ!B33)</f>
        <v/>
      </c>
      <c r="C33" s="27" t="str">
        <f aca="false">IF($A33="","",SUMIFS(請求台帳!$F$5:$F$504,請求台帳!$C$5:$C$504,$A33,請求台帳!$B$5:$B$504,"&gt;="&amp;C$3,請求台帳!$B$5:$B$504,"&lt;"&amp;DATE(YEAR(C$3),MONTH(C$3)+1,1),請求台帳!$Q$5:$Q$504,"&lt;&gt;取消"))</f>
        <v/>
      </c>
      <c r="D33" s="27" t="str">
        <f aca="false">IF($A33="","",SUMIFS(入金明細!$E$5:$E$1004,入金明細!$G$5:$G$1004,$A33,入金明細!$B$5:$B$1004,"&gt;="&amp;C$3,入金明細!$B$5:$B$1004,"&lt;"&amp;DATE(YEAR(C$3),MONTH(C$3)+1,1)))</f>
        <v/>
      </c>
      <c r="E33" s="27" t="str">
        <f aca="false">IF($A33="","",SUMIFS(請求台帳!$F$5:$F$504,請求台帳!$C$5:$C$504,$A33,請求台帳!$B$5:$B$504,"&gt;="&amp;E$3,請求台帳!$B$5:$B$504,"&lt;"&amp;DATE(YEAR(E$3),MONTH(E$3)+1,1),請求台帳!$Q$5:$Q$504,"&lt;&gt;取消"))</f>
        <v/>
      </c>
      <c r="F33" s="27" t="str">
        <f aca="false">IF($A33="","",SUMIFS(入金明細!$E$5:$E$1004,入金明細!$G$5:$G$1004,$A33,入金明細!$B$5:$B$1004,"&gt;="&amp;E$3,入金明細!$B$5:$B$1004,"&lt;"&amp;DATE(YEAR(E$3),MONTH(E$3)+1,1)))</f>
        <v/>
      </c>
      <c r="G33" s="27" t="str">
        <f aca="false">IF($A33="","",SUMIFS(請求台帳!$F$5:$F$504,請求台帳!$C$5:$C$504,$A33,請求台帳!$B$5:$B$504,"&gt;="&amp;G$3,請求台帳!$B$5:$B$504,"&lt;"&amp;DATE(YEAR(G$3),MONTH(G$3)+1,1),請求台帳!$Q$5:$Q$504,"&lt;&gt;取消"))</f>
        <v/>
      </c>
      <c r="H33" s="27" t="str">
        <f aca="false">IF($A33="","",SUMIFS(入金明細!$E$5:$E$1004,入金明細!$G$5:$G$1004,$A33,入金明細!$B$5:$B$1004,"&gt;="&amp;G$3,入金明細!$B$5:$B$1004,"&lt;"&amp;DATE(YEAR(G$3),MONTH(G$3)+1,1)))</f>
        <v/>
      </c>
      <c r="I33" s="27" t="str">
        <f aca="false">IF($A33="","",SUMIFS(請求台帳!$F$5:$F$504,請求台帳!$C$5:$C$504,$A33,請求台帳!$B$5:$B$504,"&gt;="&amp;I$3,請求台帳!$B$5:$B$504,"&lt;"&amp;DATE(YEAR(I$3),MONTH(I$3)+1,1),請求台帳!$Q$5:$Q$504,"&lt;&gt;取消"))</f>
        <v/>
      </c>
      <c r="J33" s="27" t="str">
        <f aca="false">IF($A33="","",SUMIFS(入金明細!$E$5:$E$1004,入金明細!$G$5:$G$1004,$A33,入金明細!$B$5:$B$1004,"&gt;="&amp;I$3,入金明細!$B$5:$B$1004,"&lt;"&amp;DATE(YEAR(I$3),MONTH(I$3)+1,1)))</f>
        <v/>
      </c>
      <c r="K33" s="27" t="str">
        <f aca="false">IF($A33="","",SUMIFS(請求台帳!$F$5:$F$504,請求台帳!$C$5:$C$504,$A33,請求台帳!$B$5:$B$504,"&gt;="&amp;K$3,請求台帳!$B$5:$B$504,"&lt;"&amp;DATE(YEAR(K$3),MONTH(K$3)+1,1),請求台帳!$Q$5:$Q$504,"&lt;&gt;取消"))</f>
        <v/>
      </c>
      <c r="L33" s="27" t="str">
        <f aca="false">IF($A33="","",SUMIFS(入金明細!$E$5:$E$1004,入金明細!$G$5:$G$1004,$A33,入金明細!$B$5:$B$1004,"&gt;="&amp;K$3,入金明細!$B$5:$B$1004,"&lt;"&amp;DATE(YEAR(K$3),MONTH(K$3)+1,1)))</f>
        <v/>
      </c>
      <c r="M33" s="27" t="str">
        <f aca="false">IF($A33="","",SUMIFS(請求台帳!$F$5:$F$504,請求台帳!$C$5:$C$504,$A33,請求台帳!$B$5:$B$504,"&gt;="&amp;M$3,請求台帳!$B$5:$B$504,"&lt;"&amp;DATE(YEAR(M$3),MONTH(M$3)+1,1),請求台帳!$Q$5:$Q$504,"&lt;&gt;取消"))</f>
        <v/>
      </c>
      <c r="N33" s="27" t="str">
        <f aca="false">IF($A33="","",SUMIFS(入金明細!$E$5:$E$1004,入金明細!$G$5:$G$1004,$A33,入金明細!$B$5:$B$1004,"&gt;="&amp;M$3,入金明細!$B$5:$B$1004,"&lt;"&amp;DATE(YEAR(M$3),MONTH(M$3)+1,1)))</f>
        <v/>
      </c>
      <c r="O33" s="27" t="str">
        <f aca="false">IF($A33="","",SUMIFS(請求台帳!$F$5:$F$504,請求台帳!$C$5:$C$504,$A33,請求台帳!$B$5:$B$504,"&gt;="&amp;O$3,請求台帳!$B$5:$B$504,"&lt;"&amp;DATE(YEAR(O$3),MONTH(O$3)+1,1),請求台帳!$Q$5:$Q$504,"&lt;&gt;取消"))</f>
        <v/>
      </c>
      <c r="P33" s="27" t="str">
        <f aca="false">IF($A33="","",SUMIFS(入金明細!$E$5:$E$1004,入金明細!$G$5:$G$1004,$A33,入金明細!$B$5:$B$1004,"&gt;="&amp;O$3,入金明細!$B$5:$B$1004,"&lt;"&amp;DATE(YEAR(O$3),MONTH(O$3)+1,1)))</f>
        <v/>
      </c>
      <c r="Q33" s="27" t="str">
        <f aca="false">IF($A33="","",SUMIFS(請求台帳!$F$5:$F$504,請求台帳!$C$5:$C$504,$A33,請求台帳!$B$5:$B$504,"&gt;="&amp;Q$3,請求台帳!$B$5:$B$504,"&lt;"&amp;DATE(YEAR(Q$3),MONTH(Q$3)+1,1),請求台帳!$Q$5:$Q$504,"&lt;&gt;取消"))</f>
        <v/>
      </c>
      <c r="R33" s="27" t="str">
        <f aca="false">IF($A33="","",SUMIFS(入金明細!$E$5:$E$1004,入金明細!$G$5:$G$1004,$A33,入金明細!$B$5:$B$1004,"&gt;="&amp;Q$3,入金明細!$B$5:$B$1004,"&lt;"&amp;DATE(YEAR(Q$3),MONTH(Q$3)+1,1)))</f>
        <v/>
      </c>
      <c r="S33" s="27" t="str">
        <f aca="false">IF($A33="","",SUMIFS(請求台帳!$F$5:$F$504,請求台帳!$C$5:$C$504,$A33,請求台帳!$B$5:$B$504,"&gt;="&amp;S$3,請求台帳!$B$5:$B$504,"&lt;"&amp;DATE(YEAR(S$3),MONTH(S$3)+1,1),請求台帳!$Q$5:$Q$504,"&lt;&gt;取消"))</f>
        <v/>
      </c>
      <c r="T33" s="27" t="str">
        <f aca="false">IF($A33="","",SUMIFS(入金明細!$E$5:$E$1004,入金明細!$G$5:$G$1004,$A33,入金明細!$B$5:$B$1004,"&gt;="&amp;S$3,入金明細!$B$5:$B$1004,"&lt;"&amp;DATE(YEAR(S$3),MONTH(S$3)+1,1)))</f>
        <v/>
      </c>
      <c r="U33" s="27" t="str">
        <f aca="false">IF($A33="","",SUMIFS(請求台帳!$F$5:$F$504,請求台帳!$C$5:$C$504,$A33,請求台帳!$B$5:$B$504,"&gt;="&amp;U$3,請求台帳!$B$5:$B$504,"&lt;"&amp;DATE(YEAR(U$3),MONTH(U$3)+1,1),請求台帳!$Q$5:$Q$504,"&lt;&gt;取消"))</f>
        <v/>
      </c>
      <c r="V33" s="27" t="str">
        <f aca="false">IF($A33="","",SUMIFS(入金明細!$E$5:$E$1004,入金明細!$G$5:$G$1004,$A33,入金明細!$B$5:$B$1004,"&gt;="&amp;U$3,入金明細!$B$5:$B$1004,"&lt;"&amp;DATE(YEAR(U$3),MONTH(U$3)+1,1)))</f>
        <v/>
      </c>
      <c r="W33" s="27" t="str">
        <f aca="false">IF($A33="","",SUMIFS(請求台帳!$F$5:$F$504,請求台帳!$C$5:$C$504,$A33,請求台帳!$B$5:$B$504,"&gt;="&amp;W$3,請求台帳!$B$5:$B$504,"&lt;"&amp;DATE(YEAR(W$3),MONTH(W$3)+1,1),請求台帳!$Q$5:$Q$504,"&lt;&gt;取消"))</f>
        <v/>
      </c>
      <c r="X33" s="27" t="str">
        <f aca="false">IF($A33="","",SUMIFS(入金明細!$E$5:$E$1004,入金明細!$G$5:$G$1004,$A33,入金明細!$B$5:$B$1004,"&gt;="&amp;W$3,入金明細!$B$5:$B$1004,"&lt;"&amp;DATE(YEAR(W$3),MONTH(W$3)+1,1)))</f>
        <v/>
      </c>
      <c r="Y33" s="27" t="str">
        <f aca="false">IF($A33="","",SUMIFS(請求台帳!$F$5:$F$504,請求台帳!$C$5:$C$504,$A33,請求台帳!$B$5:$B$504,"&gt;="&amp;Y$3,請求台帳!$B$5:$B$504,"&lt;"&amp;DATE(YEAR(Y$3),MONTH(Y$3)+1,1),請求台帳!$Q$5:$Q$504,"&lt;&gt;取消"))</f>
        <v/>
      </c>
      <c r="Z33" s="27" t="str">
        <f aca="false">IF($A33="","",SUMIFS(入金明細!$E$5:$E$1004,入金明細!$G$5:$G$1004,$A33,入金明細!$B$5:$B$1004,"&gt;="&amp;Y$3,入金明細!$B$5:$B$1004,"&lt;"&amp;DATE(YEAR(Y$3),MONTH(Y$3)+1,1)))</f>
        <v/>
      </c>
      <c r="AA33" s="37" t="n">
        <f aca="false">SUM(C33,E33,G33,I33,K33,M33,O33,Q33,S33,U33,W33,Y33)</f>
        <v>0</v>
      </c>
      <c r="AB33" s="37" t="n">
        <f aca="false">SUM(D33,F33,H33,J33,L33,N33,P33,R33,T33,V33,X33,Z33)</f>
        <v>0</v>
      </c>
    </row>
    <row r="34" customFormat="false" ht="15" hidden="false" customHeight="false" outlineLevel="0" collapsed="false">
      <c r="A34" s="31" t="str">
        <f aca="false">IF(取引先マスタ!A34="","",取引先マスタ!A34)</f>
        <v/>
      </c>
      <c r="B34" s="31" t="str">
        <f aca="false">IF(A34="","",取引先マスタ!B34)</f>
        <v/>
      </c>
      <c r="C34" s="27" t="str">
        <f aca="false">IF($A34="","",SUMIFS(請求台帳!$F$5:$F$504,請求台帳!$C$5:$C$504,$A34,請求台帳!$B$5:$B$504,"&gt;="&amp;C$3,請求台帳!$B$5:$B$504,"&lt;"&amp;DATE(YEAR(C$3),MONTH(C$3)+1,1),請求台帳!$Q$5:$Q$504,"&lt;&gt;取消"))</f>
        <v/>
      </c>
      <c r="D34" s="27" t="str">
        <f aca="false">IF($A34="","",SUMIFS(入金明細!$E$5:$E$1004,入金明細!$G$5:$G$1004,$A34,入金明細!$B$5:$B$1004,"&gt;="&amp;C$3,入金明細!$B$5:$B$1004,"&lt;"&amp;DATE(YEAR(C$3),MONTH(C$3)+1,1)))</f>
        <v/>
      </c>
      <c r="E34" s="27" t="str">
        <f aca="false">IF($A34="","",SUMIFS(請求台帳!$F$5:$F$504,請求台帳!$C$5:$C$504,$A34,請求台帳!$B$5:$B$504,"&gt;="&amp;E$3,請求台帳!$B$5:$B$504,"&lt;"&amp;DATE(YEAR(E$3),MONTH(E$3)+1,1),請求台帳!$Q$5:$Q$504,"&lt;&gt;取消"))</f>
        <v/>
      </c>
      <c r="F34" s="27" t="str">
        <f aca="false">IF($A34="","",SUMIFS(入金明細!$E$5:$E$1004,入金明細!$G$5:$G$1004,$A34,入金明細!$B$5:$B$1004,"&gt;="&amp;E$3,入金明細!$B$5:$B$1004,"&lt;"&amp;DATE(YEAR(E$3),MONTH(E$3)+1,1)))</f>
        <v/>
      </c>
      <c r="G34" s="27" t="str">
        <f aca="false">IF($A34="","",SUMIFS(請求台帳!$F$5:$F$504,請求台帳!$C$5:$C$504,$A34,請求台帳!$B$5:$B$504,"&gt;="&amp;G$3,請求台帳!$B$5:$B$504,"&lt;"&amp;DATE(YEAR(G$3),MONTH(G$3)+1,1),請求台帳!$Q$5:$Q$504,"&lt;&gt;取消"))</f>
        <v/>
      </c>
      <c r="H34" s="27" t="str">
        <f aca="false">IF($A34="","",SUMIFS(入金明細!$E$5:$E$1004,入金明細!$G$5:$G$1004,$A34,入金明細!$B$5:$B$1004,"&gt;="&amp;G$3,入金明細!$B$5:$B$1004,"&lt;"&amp;DATE(YEAR(G$3),MONTH(G$3)+1,1)))</f>
        <v/>
      </c>
      <c r="I34" s="27" t="str">
        <f aca="false">IF($A34="","",SUMIFS(請求台帳!$F$5:$F$504,請求台帳!$C$5:$C$504,$A34,請求台帳!$B$5:$B$504,"&gt;="&amp;I$3,請求台帳!$B$5:$B$504,"&lt;"&amp;DATE(YEAR(I$3),MONTH(I$3)+1,1),請求台帳!$Q$5:$Q$504,"&lt;&gt;取消"))</f>
        <v/>
      </c>
      <c r="J34" s="27" t="str">
        <f aca="false">IF($A34="","",SUMIFS(入金明細!$E$5:$E$1004,入金明細!$G$5:$G$1004,$A34,入金明細!$B$5:$B$1004,"&gt;="&amp;I$3,入金明細!$B$5:$B$1004,"&lt;"&amp;DATE(YEAR(I$3),MONTH(I$3)+1,1)))</f>
        <v/>
      </c>
      <c r="K34" s="27" t="str">
        <f aca="false">IF($A34="","",SUMIFS(請求台帳!$F$5:$F$504,請求台帳!$C$5:$C$504,$A34,請求台帳!$B$5:$B$504,"&gt;="&amp;K$3,請求台帳!$B$5:$B$504,"&lt;"&amp;DATE(YEAR(K$3),MONTH(K$3)+1,1),請求台帳!$Q$5:$Q$504,"&lt;&gt;取消"))</f>
        <v/>
      </c>
      <c r="L34" s="27" t="str">
        <f aca="false">IF($A34="","",SUMIFS(入金明細!$E$5:$E$1004,入金明細!$G$5:$G$1004,$A34,入金明細!$B$5:$B$1004,"&gt;="&amp;K$3,入金明細!$B$5:$B$1004,"&lt;"&amp;DATE(YEAR(K$3),MONTH(K$3)+1,1)))</f>
        <v/>
      </c>
      <c r="M34" s="27" t="str">
        <f aca="false">IF($A34="","",SUMIFS(請求台帳!$F$5:$F$504,請求台帳!$C$5:$C$504,$A34,請求台帳!$B$5:$B$504,"&gt;="&amp;M$3,請求台帳!$B$5:$B$504,"&lt;"&amp;DATE(YEAR(M$3),MONTH(M$3)+1,1),請求台帳!$Q$5:$Q$504,"&lt;&gt;取消"))</f>
        <v/>
      </c>
      <c r="N34" s="27" t="str">
        <f aca="false">IF($A34="","",SUMIFS(入金明細!$E$5:$E$1004,入金明細!$G$5:$G$1004,$A34,入金明細!$B$5:$B$1004,"&gt;="&amp;M$3,入金明細!$B$5:$B$1004,"&lt;"&amp;DATE(YEAR(M$3),MONTH(M$3)+1,1)))</f>
        <v/>
      </c>
      <c r="O34" s="27" t="str">
        <f aca="false">IF($A34="","",SUMIFS(請求台帳!$F$5:$F$504,請求台帳!$C$5:$C$504,$A34,請求台帳!$B$5:$B$504,"&gt;="&amp;O$3,請求台帳!$B$5:$B$504,"&lt;"&amp;DATE(YEAR(O$3),MONTH(O$3)+1,1),請求台帳!$Q$5:$Q$504,"&lt;&gt;取消"))</f>
        <v/>
      </c>
      <c r="P34" s="27" t="str">
        <f aca="false">IF($A34="","",SUMIFS(入金明細!$E$5:$E$1004,入金明細!$G$5:$G$1004,$A34,入金明細!$B$5:$B$1004,"&gt;="&amp;O$3,入金明細!$B$5:$B$1004,"&lt;"&amp;DATE(YEAR(O$3),MONTH(O$3)+1,1)))</f>
        <v/>
      </c>
      <c r="Q34" s="27" t="str">
        <f aca="false">IF($A34="","",SUMIFS(請求台帳!$F$5:$F$504,請求台帳!$C$5:$C$504,$A34,請求台帳!$B$5:$B$504,"&gt;="&amp;Q$3,請求台帳!$B$5:$B$504,"&lt;"&amp;DATE(YEAR(Q$3),MONTH(Q$3)+1,1),請求台帳!$Q$5:$Q$504,"&lt;&gt;取消"))</f>
        <v/>
      </c>
      <c r="R34" s="27" t="str">
        <f aca="false">IF($A34="","",SUMIFS(入金明細!$E$5:$E$1004,入金明細!$G$5:$G$1004,$A34,入金明細!$B$5:$B$1004,"&gt;="&amp;Q$3,入金明細!$B$5:$B$1004,"&lt;"&amp;DATE(YEAR(Q$3),MONTH(Q$3)+1,1)))</f>
        <v/>
      </c>
      <c r="S34" s="27" t="str">
        <f aca="false">IF($A34="","",SUMIFS(請求台帳!$F$5:$F$504,請求台帳!$C$5:$C$504,$A34,請求台帳!$B$5:$B$504,"&gt;="&amp;S$3,請求台帳!$B$5:$B$504,"&lt;"&amp;DATE(YEAR(S$3),MONTH(S$3)+1,1),請求台帳!$Q$5:$Q$504,"&lt;&gt;取消"))</f>
        <v/>
      </c>
      <c r="T34" s="27" t="str">
        <f aca="false">IF($A34="","",SUMIFS(入金明細!$E$5:$E$1004,入金明細!$G$5:$G$1004,$A34,入金明細!$B$5:$B$1004,"&gt;="&amp;S$3,入金明細!$B$5:$B$1004,"&lt;"&amp;DATE(YEAR(S$3),MONTH(S$3)+1,1)))</f>
        <v/>
      </c>
      <c r="U34" s="27" t="str">
        <f aca="false">IF($A34="","",SUMIFS(請求台帳!$F$5:$F$504,請求台帳!$C$5:$C$504,$A34,請求台帳!$B$5:$B$504,"&gt;="&amp;U$3,請求台帳!$B$5:$B$504,"&lt;"&amp;DATE(YEAR(U$3),MONTH(U$3)+1,1),請求台帳!$Q$5:$Q$504,"&lt;&gt;取消"))</f>
        <v/>
      </c>
      <c r="V34" s="27" t="str">
        <f aca="false">IF($A34="","",SUMIFS(入金明細!$E$5:$E$1004,入金明細!$G$5:$G$1004,$A34,入金明細!$B$5:$B$1004,"&gt;="&amp;U$3,入金明細!$B$5:$B$1004,"&lt;"&amp;DATE(YEAR(U$3),MONTH(U$3)+1,1)))</f>
        <v/>
      </c>
      <c r="W34" s="27" t="str">
        <f aca="false">IF($A34="","",SUMIFS(請求台帳!$F$5:$F$504,請求台帳!$C$5:$C$504,$A34,請求台帳!$B$5:$B$504,"&gt;="&amp;W$3,請求台帳!$B$5:$B$504,"&lt;"&amp;DATE(YEAR(W$3),MONTH(W$3)+1,1),請求台帳!$Q$5:$Q$504,"&lt;&gt;取消"))</f>
        <v/>
      </c>
      <c r="X34" s="27" t="str">
        <f aca="false">IF($A34="","",SUMIFS(入金明細!$E$5:$E$1004,入金明細!$G$5:$G$1004,$A34,入金明細!$B$5:$B$1004,"&gt;="&amp;W$3,入金明細!$B$5:$B$1004,"&lt;"&amp;DATE(YEAR(W$3),MONTH(W$3)+1,1)))</f>
        <v/>
      </c>
      <c r="Y34" s="27" t="str">
        <f aca="false">IF($A34="","",SUMIFS(請求台帳!$F$5:$F$504,請求台帳!$C$5:$C$504,$A34,請求台帳!$B$5:$B$504,"&gt;="&amp;Y$3,請求台帳!$B$5:$B$504,"&lt;"&amp;DATE(YEAR(Y$3),MONTH(Y$3)+1,1),請求台帳!$Q$5:$Q$504,"&lt;&gt;取消"))</f>
        <v/>
      </c>
      <c r="Z34" s="27" t="str">
        <f aca="false">IF($A34="","",SUMIFS(入金明細!$E$5:$E$1004,入金明細!$G$5:$G$1004,$A34,入金明細!$B$5:$B$1004,"&gt;="&amp;Y$3,入金明細!$B$5:$B$1004,"&lt;"&amp;DATE(YEAR(Y$3),MONTH(Y$3)+1,1)))</f>
        <v/>
      </c>
      <c r="AA34" s="37" t="n">
        <f aca="false">SUM(C34,E34,G34,I34,K34,M34,O34,Q34,S34,U34,W34,Y34)</f>
        <v>0</v>
      </c>
      <c r="AB34" s="37" t="n">
        <f aca="false">SUM(D34,F34,H34,J34,L34,N34,P34,R34,T34,V34,X34,Z34)</f>
        <v>0</v>
      </c>
    </row>
    <row r="35" customFormat="false" ht="15" hidden="false" customHeight="false" outlineLevel="0" collapsed="false">
      <c r="A35" s="31" t="str">
        <f aca="false">IF(取引先マスタ!A35="","",取引先マスタ!A35)</f>
        <v/>
      </c>
      <c r="B35" s="31" t="str">
        <f aca="false">IF(A35="","",取引先マスタ!B35)</f>
        <v/>
      </c>
      <c r="C35" s="27" t="str">
        <f aca="false">IF($A35="","",SUMIFS(請求台帳!$F$5:$F$504,請求台帳!$C$5:$C$504,$A35,請求台帳!$B$5:$B$504,"&gt;="&amp;C$3,請求台帳!$B$5:$B$504,"&lt;"&amp;DATE(YEAR(C$3),MONTH(C$3)+1,1),請求台帳!$Q$5:$Q$504,"&lt;&gt;取消"))</f>
        <v/>
      </c>
      <c r="D35" s="27" t="str">
        <f aca="false">IF($A35="","",SUMIFS(入金明細!$E$5:$E$1004,入金明細!$G$5:$G$1004,$A35,入金明細!$B$5:$B$1004,"&gt;="&amp;C$3,入金明細!$B$5:$B$1004,"&lt;"&amp;DATE(YEAR(C$3),MONTH(C$3)+1,1)))</f>
        <v/>
      </c>
      <c r="E35" s="27" t="str">
        <f aca="false">IF($A35="","",SUMIFS(請求台帳!$F$5:$F$504,請求台帳!$C$5:$C$504,$A35,請求台帳!$B$5:$B$504,"&gt;="&amp;E$3,請求台帳!$B$5:$B$504,"&lt;"&amp;DATE(YEAR(E$3),MONTH(E$3)+1,1),請求台帳!$Q$5:$Q$504,"&lt;&gt;取消"))</f>
        <v/>
      </c>
      <c r="F35" s="27" t="str">
        <f aca="false">IF($A35="","",SUMIFS(入金明細!$E$5:$E$1004,入金明細!$G$5:$G$1004,$A35,入金明細!$B$5:$B$1004,"&gt;="&amp;E$3,入金明細!$B$5:$B$1004,"&lt;"&amp;DATE(YEAR(E$3),MONTH(E$3)+1,1)))</f>
        <v/>
      </c>
      <c r="G35" s="27" t="str">
        <f aca="false">IF($A35="","",SUMIFS(請求台帳!$F$5:$F$504,請求台帳!$C$5:$C$504,$A35,請求台帳!$B$5:$B$504,"&gt;="&amp;G$3,請求台帳!$B$5:$B$504,"&lt;"&amp;DATE(YEAR(G$3),MONTH(G$3)+1,1),請求台帳!$Q$5:$Q$504,"&lt;&gt;取消"))</f>
        <v/>
      </c>
      <c r="H35" s="27" t="str">
        <f aca="false">IF($A35="","",SUMIFS(入金明細!$E$5:$E$1004,入金明細!$G$5:$G$1004,$A35,入金明細!$B$5:$B$1004,"&gt;="&amp;G$3,入金明細!$B$5:$B$1004,"&lt;"&amp;DATE(YEAR(G$3),MONTH(G$3)+1,1)))</f>
        <v/>
      </c>
      <c r="I35" s="27" t="str">
        <f aca="false">IF($A35="","",SUMIFS(請求台帳!$F$5:$F$504,請求台帳!$C$5:$C$504,$A35,請求台帳!$B$5:$B$504,"&gt;="&amp;I$3,請求台帳!$B$5:$B$504,"&lt;"&amp;DATE(YEAR(I$3),MONTH(I$3)+1,1),請求台帳!$Q$5:$Q$504,"&lt;&gt;取消"))</f>
        <v/>
      </c>
      <c r="J35" s="27" t="str">
        <f aca="false">IF($A35="","",SUMIFS(入金明細!$E$5:$E$1004,入金明細!$G$5:$G$1004,$A35,入金明細!$B$5:$B$1004,"&gt;="&amp;I$3,入金明細!$B$5:$B$1004,"&lt;"&amp;DATE(YEAR(I$3),MONTH(I$3)+1,1)))</f>
        <v/>
      </c>
      <c r="K35" s="27" t="str">
        <f aca="false">IF($A35="","",SUMIFS(請求台帳!$F$5:$F$504,請求台帳!$C$5:$C$504,$A35,請求台帳!$B$5:$B$504,"&gt;="&amp;K$3,請求台帳!$B$5:$B$504,"&lt;"&amp;DATE(YEAR(K$3),MONTH(K$3)+1,1),請求台帳!$Q$5:$Q$504,"&lt;&gt;取消"))</f>
        <v/>
      </c>
      <c r="L35" s="27" t="str">
        <f aca="false">IF($A35="","",SUMIFS(入金明細!$E$5:$E$1004,入金明細!$G$5:$G$1004,$A35,入金明細!$B$5:$B$1004,"&gt;="&amp;K$3,入金明細!$B$5:$B$1004,"&lt;"&amp;DATE(YEAR(K$3),MONTH(K$3)+1,1)))</f>
        <v/>
      </c>
      <c r="M35" s="27" t="str">
        <f aca="false">IF($A35="","",SUMIFS(請求台帳!$F$5:$F$504,請求台帳!$C$5:$C$504,$A35,請求台帳!$B$5:$B$504,"&gt;="&amp;M$3,請求台帳!$B$5:$B$504,"&lt;"&amp;DATE(YEAR(M$3),MONTH(M$3)+1,1),請求台帳!$Q$5:$Q$504,"&lt;&gt;取消"))</f>
        <v/>
      </c>
      <c r="N35" s="27" t="str">
        <f aca="false">IF($A35="","",SUMIFS(入金明細!$E$5:$E$1004,入金明細!$G$5:$G$1004,$A35,入金明細!$B$5:$B$1004,"&gt;="&amp;M$3,入金明細!$B$5:$B$1004,"&lt;"&amp;DATE(YEAR(M$3),MONTH(M$3)+1,1)))</f>
        <v/>
      </c>
      <c r="O35" s="27" t="str">
        <f aca="false">IF($A35="","",SUMIFS(請求台帳!$F$5:$F$504,請求台帳!$C$5:$C$504,$A35,請求台帳!$B$5:$B$504,"&gt;="&amp;O$3,請求台帳!$B$5:$B$504,"&lt;"&amp;DATE(YEAR(O$3),MONTH(O$3)+1,1),請求台帳!$Q$5:$Q$504,"&lt;&gt;取消"))</f>
        <v/>
      </c>
      <c r="P35" s="27" t="str">
        <f aca="false">IF($A35="","",SUMIFS(入金明細!$E$5:$E$1004,入金明細!$G$5:$G$1004,$A35,入金明細!$B$5:$B$1004,"&gt;="&amp;O$3,入金明細!$B$5:$B$1004,"&lt;"&amp;DATE(YEAR(O$3),MONTH(O$3)+1,1)))</f>
        <v/>
      </c>
      <c r="Q35" s="27" t="str">
        <f aca="false">IF($A35="","",SUMIFS(請求台帳!$F$5:$F$504,請求台帳!$C$5:$C$504,$A35,請求台帳!$B$5:$B$504,"&gt;="&amp;Q$3,請求台帳!$B$5:$B$504,"&lt;"&amp;DATE(YEAR(Q$3),MONTH(Q$3)+1,1),請求台帳!$Q$5:$Q$504,"&lt;&gt;取消"))</f>
        <v/>
      </c>
      <c r="R35" s="27" t="str">
        <f aca="false">IF($A35="","",SUMIFS(入金明細!$E$5:$E$1004,入金明細!$G$5:$G$1004,$A35,入金明細!$B$5:$B$1004,"&gt;="&amp;Q$3,入金明細!$B$5:$B$1004,"&lt;"&amp;DATE(YEAR(Q$3),MONTH(Q$3)+1,1)))</f>
        <v/>
      </c>
      <c r="S35" s="27" t="str">
        <f aca="false">IF($A35="","",SUMIFS(請求台帳!$F$5:$F$504,請求台帳!$C$5:$C$504,$A35,請求台帳!$B$5:$B$504,"&gt;="&amp;S$3,請求台帳!$B$5:$B$504,"&lt;"&amp;DATE(YEAR(S$3),MONTH(S$3)+1,1),請求台帳!$Q$5:$Q$504,"&lt;&gt;取消"))</f>
        <v/>
      </c>
      <c r="T35" s="27" t="str">
        <f aca="false">IF($A35="","",SUMIFS(入金明細!$E$5:$E$1004,入金明細!$G$5:$G$1004,$A35,入金明細!$B$5:$B$1004,"&gt;="&amp;S$3,入金明細!$B$5:$B$1004,"&lt;"&amp;DATE(YEAR(S$3),MONTH(S$3)+1,1)))</f>
        <v/>
      </c>
      <c r="U35" s="27" t="str">
        <f aca="false">IF($A35="","",SUMIFS(請求台帳!$F$5:$F$504,請求台帳!$C$5:$C$504,$A35,請求台帳!$B$5:$B$504,"&gt;="&amp;U$3,請求台帳!$B$5:$B$504,"&lt;"&amp;DATE(YEAR(U$3),MONTH(U$3)+1,1),請求台帳!$Q$5:$Q$504,"&lt;&gt;取消"))</f>
        <v/>
      </c>
      <c r="V35" s="27" t="str">
        <f aca="false">IF($A35="","",SUMIFS(入金明細!$E$5:$E$1004,入金明細!$G$5:$G$1004,$A35,入金明細!$B$5:$B$1004,"&gt;="&amp;U$3,入金明細!$B$5:$B$1004,"&lt;"&amp;DATE(YEAR(U$3),MONTH(U$3)+1,1)))</f>
        <v/>
      </c>
      <c r="W35" s="27" t="str">
        <f aca="false">IF($A35="","",SUMIFS(請求台帳!$F$5:$F$504,請求台帳!$C$5:$C$504,$A35,請求台帳!$B$5:$B$504,"&gt;="&amp;W$3,請求台帳!$B$5:$B$504,"&lt;"&amp;DATE(YEAR(W$3),MONTH(W$3)+1,1),請求台帳!$Q$5:$Q$504,"&lt;&gt;取消"))</f>
        <v/>
      </c>
      <c r="X35" s="27" t="str">
        <f aca="false">IF($A35="","",SUMIFS(入金明細!$E$5:$E$1004,入金明細!$G$5:$G$1004,$A35,入金明細!$B$5:$B$1004,"&gt;="&amp;W$3,入金明細!$B$5:$B$1004,"&lt;"&amp;DATE(YEAR(W$3),MONTH(W$3)+1,1)))</f>
        <v/>
      </c>
      <c r="Y35" s="27" t="str">
        <f aca="false">IF($A35="","",SUMIFS(請求台帳!$F$5:$F$504,請求台帳!$C$5:$C$504,$A35,請求台帳!$B$5:$B$504,"&gt;="&amp;Y$3,請求台帳!$B$5:$B$504,"&lt;"&amp;DATE(YEAR(Y$3),MONTH(Y$3)+1,1),請求台帳!$Q$5:$Q$504,"&lt;&gt;取消"))</f>
        <v/>
      </c>
      <c r="Z35" s="27" t="str">
        <f aca="false">IF($A35="","",SUMIFS(入金明細!$E$5:$E$1004,入金明細!$G$5:$G$1004,$A35,入金明細!$B$5:$B$1004,"&gt;="&amp;Y$3,入金明細!$B$5:$B$1004,"&lt;"&amp;DATE(YEAR(Y$3),MONTH(Y$3)+1,1)))</f>
        <v/>
      </c>
      <c r="AA35" s="37" t="n">
        <f aca="false">SUM(C35,E35,G35,I35,K35,M35,O35,Q35,S35,U35,W35,Y35)</f>
        <v>0</v>
      </c>
      <c r="AB35" s="37" t="n">
        <f aca="false">SUM(D35,F35,H35,J35,L35,N35,P35,R35,T35,V35,X35,Z35)</f>
        <v>0</v>
      </c>
    </row>
    <row r="36" customFormat="false" ht="15" hidden="false" customHeight="false" outlineLevel="0" collapsed="false">
      <c r="A36" s="31" t="str">
        <f aca="false">IF(取引先マスタ!A36="","",取引先マスタ!A36)</f>
        <v/>
      </c>
      <c r="B36" s="31" t="str">
        <f aca="false">IF(A36="","",取引先マスタ!B36)</f>
        <v/>
      </c>
      <c r="C36" s="27" t="str">
        <f aca="false">IF($A36="","",SUMIFS(請求台帳!$F$5:$F$504,請求台帳!$C$5:$C$504,$A36,請求台帳!$B$5:$B$504,"&gt;="&amp;C$3,請求台帳!$B$5:$B$504,"&lt;"&amp;DATE(YEAR(C$3),MONTH(C$3)+1,1),請求台帳!$Q$5:$Q$504,"&lt;&gt;取消"))</f>
        <v/>
      </c>
      <c r="D36" s="27" t="str">
        <f aca="false">IF($A36="","",SUMIFS(入金明細!$E$5:$E$1004,入金明細!$G$5:$G$1004,$A36,入金明細!$B$5:$B$1004,"&gt;="&amp;C$3,入金明細!$B$5:$B$1004,"&lt;"&amp;DATE(YEAR(C$3),MONTH(C$3)+1,1)))</f>
        <v/>
      </c>
      <c r="E36" s="27" t="str">
        <f aca="false">IF($A36="","",SUMIFS(請求台帳!$F$5:$F$504,請求台帳!$C$5:$C$504,$A36,請求台帳!$B$5:$B$504,"&gt;="&amp;E$3,請求台帳!$B$5:$B$504,"&lt;"&amp;DATE(YEAR(E$3),MONTH(E$3)+1,1),請求台帳!$Q$5:$Q$504,"&lt;&gt;取消"))</f>
        <v/>
      </c>
      <c r="F36" s="27" t="str">
        <f aca="false">IF($A36="","",SUMIFS(入金明細!$E$5:$E$1004,入金明細!$G$5:$G$1004,$A36,入金明細!$B$5:$B$1004,"&gt;="&amp;E$3,入金明細!$B$5:$B$1004,"&lt;"&amp;DATE(YEAR(E$3),MONTH(E$3)+1,1)))</f>
        <v/>
      </c>
      <c r="G36" s="27" t="str">
        <f aca="false">IF($A36="","",SUMIFS(請求台帳!$F$5:$F$504,請求台帳!$C$5:$C$504,$A36,請求台帳!$B$5:$B$504,"&gt;="&amp;G$3,請求台帳!$B$5:$B$504,"&lt;"&amp;DATE(YEAR(G$3),MONTH(G$3)+1,1),請求台帳!$Q$5:$Q$504,"&lt;&gt;取消"))</f>
        <v/>
      </c>
      <c r="H36" s="27" t="str">
        <f aca="false">IF($A36="","",SUMIFS(入金明細!$E$5:$E$1004,入金明細!$G$5:$G$1004,$A36,入金明細!$B$5:$B$1004,"&gt;="&amp;G$3,入金明細!$B$5:$B$1004,"&lt;"&amp;DATE(YEAR(G$3),MONTH(G$3)+1,1)))</f>
        <v/>
      </c>
      <c r="I36" s="27" t="str">
        <f aca="false">IF($A36="","",SUMIFS(請求台帳!$F$5:$F$504,請求台帳!$C$5:$C$504,$A36,請求台帳!$B$5:$B$504,"&gt;="&amp;I$3,請求台帳!$B$5:$B$504,"&lt;"&amp;DATE(YEAR(I$3),MONTH(I$3)+1,1),請求台帳!$Q$5:$Q$504,"&lt;&gt;取消"))</f>
        <v/>
      </c>
      <c r="J36" s="27" t="str">
        <f aca="false">IF($A36="","",SUMIFS(入金明細!$E$5:$E$1004,入金明細!$G$5:$G$1004,$A36,入金明細!$B$5:$B$1004,"&gt;="&amp;I$3,入金明細!$B$5:$B$1004,"&lt;"&amp;DATE(YEAR(I$3),MONTH(I$3)+1,1)))</f>
        <v/>
      </c>
      <c r="K36" s="27" t="str">
        <f aca="false">IF($A36="","",SUMIFS(請求台帳!$F$5:$F$504,請求台帳!$C$5:$C$504,$A36,請求台帳!$B$5:$B$504,"&gt;="&amp;K$3,請求台帳!$B$5:$B$504,"&lt;"&amp;DATE(YEAR(K$3),MONTH(K$3)+1,1),請求台帳!$Q$5:$Q$504,"&lt;&gt;取消"))</f>
        <v/>
      </c>
      <c r="L36" s="27" t="str">
        <f aca="false">IF($A36="","",SUMIFS(入金明細!$E$5:$E$1004,入金明細!$G$5:$G$1004,$A36,入金明細!$B$5:$B$1004,"&gt;="&amp;K$3,入金明細!$B$5:$B$1004,"&lt;"&amp;DATE(YEAR(K$3),MONTH(K$3)+1,1)))</f>
        <v/>
      </c>
      <c r="M36" s="27" t="str">
        <f aca="false">IF($A36="","",SUMIFS(請求台帳!$F$5:$F$504,請求台帳!$C$5:$C$504,$A36,請求台帳!$B$5:$B$504,"&gt;="&amp;M$3,請求台帳!$B$5:$B$504,"&lt;"&amp;DATE(YEAR(M$3),MONTH(M$3)+1,1),請求台帳!$Q$5:$Q$504,"&lt;&gt;取消"))</f>
        <v/>
      </c>
      <c r="N36" s="27" t="str">
        <f aca="false">IF($A36="","",SUMIFS(入金明細!$E$5:$E$1004,入金明細!$G$5:$G$1004,$A36,入金明細!$B$5:$B$1004,"&gt;="&amp;M$3,入金明細!$B$5:$B$1004,"&lt;"&amp;DATE(YEAR(M$3),MONTH(M$3)+1,1)))</f>
        <v/>
      </c>
      <c r="O36" s="27" t="str">
        <f aca="false">IF($A36="","",SUMIFS(請求台帳!$F$5:$F$504,請求台帳!$C$5:$C$504,$A36,請求台帳!$B$5:$B$504,"&gt;="&amp;O$3,請求台帳!$B$5:$B$504,"&lt;"&amp;DATE(YEAR(O$3),MONTH(O$3)+1,1),請求台帳!$Q$5:$Q$504,"&lt;&gt;取消"))</f>
        <v/>
      </c>
      <c r="P36" s="27" t="str">
        <f aca="false">IF($A36="","",SUMIFS(入金明細!$E$5:$E$1004,入金明細!$G$5:$G$1004,$A36,入金明細!$B$5:$B$1004,"&gt;="&amp;O$3,入金明細!$B$5:$B$1004,"&lt;"&amp;DATE(YEAR(O$3),MONTH(O$3)+1,1)))</f>
        <v/>
      </c>
      <c r="Q36" s="27" t="str">
        <f aca="false">IF($A36="","",SUMIFS(請求台帳!$F$5:$F$504,請求台帳!$C$5:$C$504,$A36,請求台帳!$B$5:$B$504,"&gt;="&amp;Q$3,請求台帳!$B$5:$B$504,"&lt;"&amp;DATE(YEAR(Q$3),MONTH(Q$3)+1,1),請求台帳!$Q$5:$Q$504,"&lt;&gt;取消"))</f>
        <v/>
      </c>
      <c r="R36" s="27" t="str">
        <f aca="false">IF($A36="","",SUMIFS(入金明細!$E$5:$E$1004,入金明細!$G$5:$G$1004,$A36,入金明細!$B$5:$B$1004,"&gt;="&amp;Q$3,入金明細!$B$5:$B$1004,"&lt;"&amp;DATE(YEAR(Q$3),MONTH(Q$3)+1,1)))</f>
        <v/>
      </c>
      <c r="S36" s="27" t="str">
        <f aca="false">IF($A36="","",SUMIFS(請求台帳!$F$5:$F$504,請求台帳!$C$5:$C$504,$A36,請求台帳!$B$5:$B$504,"&gt;="&amp;S$3,請求台帳!$B$5:$B$504,"&lt;"&amp;DATE(YEAR(S$3),MONTH(S$3)+1,1),請求台帳!$Q$5:$Q$504,"&lt;&gt;取消"))</f>
        <v/>
      </c>
      <c r="T36" s="27" t="str">
        <f aca="false">IF($A36="","",SUMIFS(入金明細!$E$5:$E$1004,入金明細!$G$5:$G$1004,$A36,入金明細!$B$5:$B$1004,"&gt;="&amp;S$3,入金明細!$B$5:$B$1004,"&lt;"&amp;DATE(YEAR(S$3),MONTH(S$3)+1,1)))</f>
        <v/>
      </c>
      <c r="U36" s="27" t="str">
        <f aca="false">IF($A36="","",SUMIFS(請求台帳!$F$5:$F$504,請求台帳!$C$5:$C$504,$A36,請求台帳!$B$5:$B$504,"&gt;="&amp;U$3,請求台帳!$B$5:$B$504,"&lt;"&amp;DATE(YEAR(U$3),MONTH(U$3)+1,1),請求台帳!$Q$5:$Q$504,"&lt;&gt;取消"))</f>
        <v/>
      </c>
      <c r="V36" s="27" t="str">
        <f aca="false">IF($A36="","",SUMIFS(入金明細!$E$5:$E$1004,入金明細!$G$5:$G$1004,$A36,入金明細!$B$5:$B$1004,"&gt;="&amp;U$3,入金明細!$B$5:$B$1004,"&lt;"&amp;DATE(YEAR(U$3),MONTH(U$3)+1,1)))</f>
        <v/>
      </c>
      <c r="W36" s="27" t="str">
        <f aca="false">IF($A36="","",SUMIFS(請求台帳!$F$5:$F$504,請求台帳!$C$5:$C$504,$A36,請求台帳!$B$5:$B$504,"&gt;="&amp;W$3,請求台帳!$B$5:$B$504,"&lt;"&amp;DATE(YEAR(W$3),MONTH(W$3)+1,1),請求台帳!$Q$5:$Q$504,"&lt;&gt;取消"))</f>
        <v/>
      </c>
      <c r="X36" s="27" t="str">
        <f aca="false">IF($A36="","",SUMIFS(入金明細!$E$5:$E$1004,入金明細!$G$5:$G$1004,$A36,入金明細!$B$5:$B$1004,"&gt;="&amp;W$3,入金明細!$B$5:$B$1004,"&lt;"&amp;DATE(YEAR(W$3),MONTH(W$3)+1,1)))</f>
        <v/>
      </c>
      <c r="Y36" s="27" t="str">
        <f aca="false">IF($A36="","",SUMIFS(請求台帳!$F$5:$F$504,請求台帳!$C$5:$C$504,$A36,請求台帳!$B$5:$B$504,"&gt;="&amp;Y$3,請求台帳!$B$5:$B$504,"&lt;"&amp;DATE(YEAR(Y$3),MONTH(Y$3)+1,1),請求台帳!$Q$5:$Q$504,"&lt;&gt;取消"))</f>
        <v/>
      </c>
      <c r="Z36" s="27" t="str">
        <f aca="false">IF($A36="","",SUMIFS(入金明細!$E$5:$E$1004,入金明細!$G$5:$G$1004,$A36,入金明細!$B$5:$B$1004,"&gt;="&amp;Y$3,入金明細!$B$5:$B$1004,"&lt;"&amp;DATE(YEAR(Y$3),MONTH(Y$3)+1,1)))</f>
        <v/>
      </c>
      <c r="AA36" s="37" t="n">
        <f aca="false">SUM(C36,E36,G36,I36,K36,M36,O36,Q36,S36,U36,W36,Y36)</f>
        <v>0</v>
      </c>
      <c r="AB36" s="37" t="n">
        <f aca="false">SUM(D36,F36,H36,J36,L36,N36,P36,R36,T36,V36,X36,Z36)</f>
        <v>0</v>
      </c>
    </row>
    <row r="37" customFormat="false" ht="15" hidden="false" customHeight="false" outlineLevel="0" collapsed="false">
      <c r="A37" s="31" t="str">
        <f aca="false">IF(取引先マスタ!A37="","",取引先マスタ!A37)</f>
        <v/>
      </c>
      <c r="B37" s="31" t="str">
        <f aca="false">IF(A37="","",取引先マスタ!B37)</f>
        <v/>
      </c>
      <c r="C37" s="27" t="str">
        <f aca="false">IF($A37="","",SUMIFS(請求台帳!$F$5:$F$504,請求台帳!$C$5:$C$504,$A37,請求台帳!$B$5:$B$504,"&gt;="&amp;C$3,請求台帳!$B$5:$B$504,"&lt;"&amp;DATE(YEAR(C$3),MONTH(C$3)+1,1),請求台帳!$Q$5:$Q$504,"&lt;&gt;取消"))</f>
        <v/>
      </c>
      <c r="D37" s="27" t="str">
        <f aca="false">IF($A37="","",SUMIFS(入金明細!$E$5:$E$1004,入金明細!$G$5:$G$1004,$A37,入金明細!$B$5:$B$1004,"&gt;="&amp;C$3,入金明細!$B$5:$B$1004,"&lt;"&amp;DATE(YEAR(C$3),MONTH(C$3)+1,1)))</f>
        <v/>
      </c>
      <c r="E37" s="27" t="str">
        <f aca="false">IF($A37="","",SUMIFS(請求台帳!$F$5:$F$504,請求台帳!$C$5:$C$504,$A37,請求台帳!$B$5:$B$504,"&gt;="&amp;E$3,請求台帳!$B$5:$B$504,"&lt;"&amp;DATE(YEAR(E$3),MONTH(E$3)+1,1),請求台帳!$Q$5:$Q$504,"&lt;&gt;取消"))</f>
        <v/>
      </c>
      <c r="F37" s="27" t="str">
        <f aca="false">IF($A37="","",SUMIFS(入金明細!$E$5:$E$1004,入金明細!$G$5:$G$1004,$A37,入金明細!$B$5:$B$1004,"&gt;="&amp;E$3,入金明細!$B$5:$B$1004,"&lt;"&amp;DATE(YEAR(E$3),MONTH(E$3)+1,1)))</f>
        <v/>
      </c>
      <c r="G37" s="27" t="str">
        <f aca="false">IF($A37="","",SUMIFS(請求台帳!$F$5:$F$504,請求台帳!$C$5:$C$504,$A37,請求台帳!$B$5:$B$504,"&gt;="&amp;G$3,請求台帳!$B$5:$B$504,"&lt;"&amp;DATE(YEAR(G$3),MONTH(G$3)+1,1),請求台帳!$Q$5:$Q$504,"&lt;&gt;取消"))</f>
        <v/>
      </c>
      <c r="H37" s="27" t="str">
        <f aca="false">IF($A37="","",SUMIFS(入金明細!$E$5:$E$1004,入金明細!$G$5:$G$1004,$A37,入金明細!$B$5:$B$1004,"&gt;="&amp;G$3,入金明細!$B$5:$B$1004,"&lt;"&amp;DATE(YEAR(G$3),MONTH(G$3)+1,1)))</f>
        <v/>
      </c>
      <c r="I37" s="27" t="str">
        <f aca="false">IF($A37="","",SUMIFS(請求台帳!$F$5:$F$504,請求台帳!$C$5:$C$504,$A37,請求台帳!$B$5:$B$504,"&gt;="&amp;I$3,請求台帳!$B$5:$B$504,"&lt;"&amp;DATE(YEAR(I$3),MONTH(I$3)+1,1),請求台帳!$Q$5:$Q$504,"&lt;&gt;取消"))</f>
        <v/>
      </c>
      <c r="J37" s="27" t="str">
        <f aca="false">IF($A37="","",SUMIFS(入金明細!$E$5:$E$1004,入金明細!$G$5:$G$1004,$A37,入金明細!$B$5:$B$1004,"&gt;="&amp;I$3,入金明細!$B$5:$B$1004,"&lt;"&amp;DATE(YEAR(I$3),MONTH(I$3)+1,1)))</f>
        <v/>
      </c>
      <c r="K37" s="27" t="str">
        <f aca="false">IF($A37="","",SUMIFS(請求台帳!$F$5:$F$504,請求台帳!$C$5:$C$504,$A37,請求台帳!$B$5:$B$504,"&gt;="&amp;K$3,請求台帳!$B$5:$B$504,"&lt;"&amp;DATE(YEAR(K$3),MONTH(K$3)+1,1),請求台帳!$Q$5:$Q$504,"&lt;&gt;取消"))</f>
        <v/>
      </c>
      <c r="L37" s="27" t="str">
        <f aca="false">IF($A37="","",SUMIFS(入金明細!$E$5:$E$1004,入金明細!$G$5:$G$1004,$A37,入金明細!$B$5:$B$1004,"&gt;="&amp;K$3,入金明細!$B$5:$B$1004,"&lt;"&amp;DATE(YEAR(K$3),MONTH(K$3)+1,1)))</f>
        <v/>
      </c>
      <c r="M37" s="27" t="str">
        <f aca="false">IF($A37="","",SUMIFS(請求台帳!$F$5:$F$504,請求台帳!$C$5:$C$504,$A37,請求台帳!$B$5:$B$504,"&gt;="&amp;M$3,請求台帳!$B$5:$B$504,"&lt;"&amp;DATE(YEAR(M$3),MONTH(M$3)+1,1),請求台帳!$Q$5:$Q$504,"&lt;&gt;取消"))</f>
        <v/>
      </c>
      <c r="N37" s="27" t="str">
        <f aca="false">IF($A37="","",SUMIFS(入金明細!$E$5:$E$1004,入金明細!$G$5:$G$1004,$A37,入金明細!$B$5:$B$1004,"&gt;="&amp;M$3,入金明細!$B$5:$B$1004,"&lt;"&amp;DATE(YEAR(M$3),MONTH(M$3)+1,1)))</f>
        <v/>
      </c>
      <c r="O37" s="27" t="str">
        <f aca="false">IF($A37="","",SUMIFS(請求台帳!$F$5:$F$504,請求台帳!$C$5:$C$504,$A37,請求台帳!$B$5:$B$504,"&gt;="&amp;O$3,請求台帳!$B$5:$B$504,"&lt;"&amp;DATE(YEAR(O$3),MONTH(O$3)+1,1),請求台帳!$Q$5:$Q$504,"&lt;&gt;取消"))</f>
        <v/>
      </c>
      <c r="P37" s="27" t="str">
        <f aca="false">IF($A37="","",SUMIFS(入金明細!$E$5:$E$1004,入金明細!$G$5:$G$1004,$A37,入金明細!$B$5:$B$1004,"&gt;="&amp;O$3,入金明細!$B$5:$B$1004,"&lt;"&amp;DATE(YEAR(O$3),MONTH(O$3)+1,1)))</f>
        <v/>
      </c>
      <c r="Q37" s="27" t="str">
        <f aca="false">IF($A37="","",SUMIFS(請求台帳!$F$5:$F$504,請求台帳!$C$5:$C$504,$A37,請求台帳!$B$5:$B$504,"&gt;="&amp;Q$3,請求台帳!$B$5:$B$504,"&lt;"&amp;DATE(YEAR(Q$3),MONTH(Q$3)+1,1),請求台帳!$Q$5:$Q$504,"&lt;&gt;取消"))</f>
        <v/>
      </c>
      <c r="R37" s="27" t="str">
        <f aca="false">IF($A37="","",SUMIFS(入金明細!$E$5:$E$1004,入金明細!$G$5:$G$1004,$A37,入金明細!$B$5:$B$1004,"&gt;="&amp;Q$3,入金明細!$B$5:$B$1004,"&lt;"&amp;DATE(YEAR(Q$3),MONTH(Q$3)+1,1)))</f>
        <v/>
      </c>
      <c r="S37" s="27" t="str">
        <f aca="false">IF($A37="","",SUMIFS(請求台帳!$F$5:$F$504,請求台帳!$C$5:$C$504,$A37,請求台帳!$B$5:$B$504,"&gt;="&amp;S$3,請求台帳!$B$5:$B$504,"&lt;"&amp;DATE(YEAR(S$3),MONTH(S$3)+1,1),請求台帳!$Q$5:$Q$504,"&lt;&gt;取消"))</f>
        <v/>
      </c>
      <c r="T37" s="27" t="str">
        <f aca="false">IF($A37="","",SUMIFS(入金明細!$E$5:$E$1004,入金明細!$G$5:$G$1004,$A37,入金明細!$B$5:$B$1004,"&gt;="&amp;S$3,入金明細!$B$5:$B$1004,"&lt;"&amp;DATE(YEAR(S$3),MONTH(S$3)+1,1)))</f>
        <v/>
      </c>
      <c r="U37" s="27" t="str">
        <f aca="false">IF($A37="","",SUMIFS(請求台帳!$F$5:$F$504,請求台帳!$C$5:$C$504,$A37,請求台帳!$B$5:$B$504,"&gt;="&amp;U$3,請求台帳!$B$5:$B$504,"&lt;"&amp;DATE(YEAR(U$3),MONTH(U$3)+1,1),請求台帳!$Q$5:$Q$504,"&lt;&gt;取消"))</f>
        <v/>
      </c>
      <c r="V37" s="27" t="str">
        <f aca="false">IF($A37="","",SUMIFS(入金明細!$E$5:$E$1004,入金明細!$G$5:$G$1004,$A37,入金明細!$B$5:$B$1004,"&gt;="&amp;U$3,入金明細!$B$5:$B$1004,"&lt;"&amp;DATE(YEAR(U$3),MONTH(U$3)+1,1)))</f>
        <v/>
      </c>
      <c r="W37" s="27" t="str">
        <f aca="false">IF($A37="","",SUMIFS(請求台帳!$F$5:$F$504,請求台帳!$C$5:$C$504,$A37,請求台帳!$B$5:$B$504,"&gt;="&amp;W$3,請求台帳!$B$5:$B$504,"&lt;"&amp;DATE(YEAR(W$3),MONTH(W$3)+1,1),請求台帳!$Q$5:$Q$504,"&lt;&gt;取消"))</f>
        <v/>
      </c>
      <c r="X37" s="27" t="str">
        <f aca="false">IF($A37="","",SUMIFS(入金明細!$E$5:$E$1004,入金明細!$G$5:$G$1004,$A37,入金明細!$B$5:$B$1004,"&gt;="&amp;W$3,入金明細!$B$5:$B$1004,"&lt;"&amp;DATE(YEAR(W$3),MONTH(W$3)+1,1)))</f>
        <v/>
      </c>
      <c r="Y37" s="27" t="str">
        <f aca="false">IF($A37="","",SUMIFS(請求台帳!$F$5:$F$504,請求台帳!$C$5:$C$504,$A37,請求台帳!$B$5:$B$504,"&gt;="&amp;Y$3,請求台帳!$B$5:$B$504,"&lt;"&amp;DATE(YEAR(Y$3),MONTH(Y$3)+1,1),請求台帳!$Q$5:$Q$504,"&lt;&gt;取消"))</f>
        <v/>
      </c>
      <c r="Z37" s="27" t="str">
        <f aca="false">IF($A37="","",SUMIFS(入金明細!$E$5:$E$1004,入金明細!$G$5:$G$1004,$A37,入金明細!$B$5:$B$1004,"&gt;="&amp;Y$3,入金明細!$B$5:$B$1004,"&lt;"&amp;DATE(YEAR(Y$3),MONTH(Y$3)+1,1)))</f>
        <v/>
      </c>
      <c r="AA37" s="37" t="n">
        <f aca="false">SUM(C37,E37,G37,I37,K37,M37,O37,Q37,S37,U37,W37,Y37)</f>
        <v>0</v>
      </c>
      <c r="AB37" s="37" t="n">
        <f aca="false">SUM(D37,F37,H37,J37,L37,N37,P37,R37,T37,V37,X37,Z37)</f>
        <v>0</v>
      </c>
    </row>
    <row r="38" customFormat="false" ht="15" hidden="false" customHeight="false" outlineLevel="0" collapsed="false">
      <c r="A38" s="31" t="str">
        <f aca="false">IF(取引先マスタ!A38="","",取引先マスタ!A38)</f>
        <v/>
      </c>
      <c r="B38" s="31" t="str">
        <f aca="false">IF(A38="","",取引先マスタ!B38)</f>
        <v/>
      </c>
      <c r="C38" s="27" t="str">
        <f aca="false">IF($A38="","",SUMIFS(請求台帳!$F$5:$F$504,請求台帳!$C$5:$C$504,$A38,請求台帳!$B$5:$B$504,"&gt;="&amp;C$3,請求台帳!$B$5:$B$504,"&lt;"&amp;DATE(YEAR(C$3),MONTH(C$3)+1,1),請求台帳!$Q$5:$Q$504,"&lt;&gt;取消"))</f>
        <v/>
      </c>
      <c r="D38" s="27" t="str">
        <f aca="false">IF($A38="","",SUMIFS(入金明細!$E$5:$E$1004,入金明細!$G$5:$G$1004,$A38,入金明細!$B$5:$B$1004,"&gt;="&amp;C$3,入金明細!$B$5:$B$1004,"&lt;"&amp;DATE(YEAR(C$3),MONTH(C$3)+1,1)))</f>
        <v/>
      </c>
      <c r="E38" s="27" t="str">
        <f aca="false">IF($A38="","",SUMIFS(請求台帳!$F$5:$F$504,請求台帳!$C$5:$C$504,$A38,請求台帳!$B$5:$B$504,"&gt;="&amp;E$3,請求台帳!$B$5:$B$504,"&lt;"&amp;DATE(YEAR(E$3),MONTH(E$3)+1,1),請求台帳!$Q$5:$Q$504,"&lt;&gt;取消"))</f>
        <v/>
      </c>
      <c r="F38" s="27" t="str">
        <f aca="false">IF($A38="","",SUMIFS(入金明細!$E$5:$E$1004,入金明細!$G$5:$G$1004,$A38,入金明細!$B$5:$B$1004,"&gt;="&amp;E$3,入金明細!$B$5:$B$1004,"&lt;"&amp;DATE(YEAR(E$3),MONTH(E$3)+1,1)))</f>
        <v/>
      </c>
      <c r="G38" s="27" t="str">
        <f aca="false">IF($A38="","",SUMIFS(請求台帳!$F$5:$F$504,請求台帳!$C$5:$C$504,$A38,請求台帳!$B$5:$B$504,"&gt;="&amp;G$3,請求台帳!$B$5:$B$504,"&lt;"&amp;DATE(YEAR(G$3),MONTH(G$3)+1,1),請求台帳!$Q$5:$Q$504,"&lt;&gt;取消"))</f>
        <v/>
      </c>
      <c r="H38" s="27" t="str">
        <f aca="false">IF($A38="","",SUMIFS(入金明細!$E$5:$E$1004,入金明細!$G$5:$G$1004,$A38,入金明細!$B$5:$B$1004,"&gt;="&amp;G$3,入金明細!$B$5:$B$1004,"&lt;"&amp;DATE(YEAR(G$3),MONTH(G$3)+1,1)))</f>
        <v/>
      </c>
      <c r="I38" s="27" t="str">
        <f aca="false">IF($A38="","",SUMIFS(請求台帳!$F$5:$F$504,請求台帳!$C$5:$C$504,$A38,請求台帳!$B$5:$B$504,"&gt;="&amp;I$3,請求台帳!$B$5:$B$504,"&lt;"&amp;DATE(YEAR(I$3),MONTH(I$3)+1,1),請求台帳!$Q$5:$Q$504,"&lt;&gt;取消"))</f>
        <v/>
      </c>
      <c r="J38" s="27" t="str">
        <f aca="false">IF($A38="","",SUMIFS(入金明細!$E$5:$E$1004,入金明細!$G$5:$G$1004,$A38,入金明細!$B$5:$B$1004,"&gt;="&amp;I$3,入金明細!$B$5:$B$1004,"&lt;"&amp;DATE(YEAR(I$3),MONTH(I$3)+1,1)))</f>
        <v/>
      </c>
      <c r="K38" s="27" t="str">
        <f aca="false">IF($A38="","",SUMIFS(請求台帳!$F$5:$F$504,請求台帳!$C$5:$C$504,$A38,請求台帳!$B$5:$B$504,"&gt;="&amp;K$3,請求台帳!$B$5:$B$504,"&lt;"&amp;DATE(YEAR(K$3),MONTH(K$3)+1,1),請求台帳!$Q$5:$Q$504,"&lt;&gt;取消"))</f>
        <v/>
      </c>
      <c r="L38" s="27" t="str">
        <f aca="false">IF($A38="","",SUMIFS(入金明細!$E$5:$E$1004,入金明細!$G$5:$G$1004,$A38,入金明細!$B$5:$B$1004,"&gt;="&amp;K$3,入金明細!$B$5:$B$1004,"&lt;"&amp;DATE(YEAR(K$3),MONTH(K$3)+1,1)))</f>
        <v/>
      </c>
      <c r="M38" s="27" t="str">
        <f aca="false">IF($A38="","",SUMIFS(請求台帳!$F$5:$F$504,請求台帳!$C$5:$C$504,$A38,請求台帳!$B$5:$B$504,"&gt;="&amp;M$3,請求台帳!$B$5:$B$504,"&lt;"&amp;DATE(YEAR(M$3),MONTH(M$3)+1,1),請求台帳!$Q$5:$Q$504,"&lt;&gt;取消"))</f>
        <v/>
      </c>
      <c r="N38" s="27" t="str">
        <f aca="false">IF($A38="","",SUMIFS(入金明細!$E$5:$E$1004,入金明細!$G$5:$G$1004,$A38,入金明細!$B$5:$B$1004,"&gt;="&amp;M$3,入金明細!$B$5:$B$1004,"&lt;"&amp;DATE(YEAR(M$3),MONTH(M$3)+1,1)))</f>
        <v/>
      </c>
      <c r="O38" s="27" t="str">
        <f aca="false">IF($A38="","",SUMIFS(請求台帳!$F$5:$F$504,請求台帳!$C$5:$C$504,$A38,請求台帳!$B$5:$B$504,"&gt;="&amp;O$3,請求台帳!$B$5:$B$504,"&lt;"&amp;DATE(YEAR(O$3),MONTH(O$3)+1,1),請求台帳!$Q$5:$Q$504,"&lt;&gt;取消"))</f>
        <v/>
      </c>
      <c r="P38" s="27" t="str">
        <f aca="false">IF($A38="","",SUMIFS(入金明細!$E$5:$E$1004,入金明細!$G$5:$G$1004,$A38,入金明細!$B$5:$B$1004,"&gt;="&amp;O$3,入金明細!$B$5:$B$1004,"&lt;"&amp;DATE(YEAR(O$3),MONTH(O$3)+1,1)))</f>
        <v/>
      </c>
      <c r="Q38" s="27" t="str">
        <f aca="false">IF($A38="","",SUMIFS(請求台帳!$F$5:$F$504,請求台帳!$C$5:$C$504,$A38,請求台帳!$B$5:$B$504,"&gt;="&amp;Q$3,請求台帳!$B$5:$B$504,"&lt;"&amp;DATE(YEAR(Q$3),MONTH(Q$3)+1,1),請求台帳!$Q$5:$Q$504,"&lt;&gt;取消"))</f>
        <v/>
      </c>
      <c r="R38" s="27" t="str">
        <f aca="false">IF($A38="","",SUMIFS(入金明細!$E$5:$E$1004,入金明細!$G$5:$G$1004,$A38,入金明細!$B$5:$B$1004,"&gt;="&amp;Q$3,入金明細!$B$5:$B$1004,"&lt;"&amp;DATE(YEAR(Q$3),MONTH(Q$3)+1,1)))</f>
        <v/>
      </c>
      <c r="S38" s="27" t="str">
        <f aca="false">IF($A38="","",SUMIFS(請求台帳!$F$5:$F$504,請求台帳!$C$5:$C$504,$A38,請求台帳!$B$5:$B$504,"&gt;="&amp;S$3,請求台帳!$B$5:$B$504,"&lt;"&amp;DATE(YEAR(S$3),MONTH(S$3)+1,1),請求台帳!$Q$5:$Q$504,"&lt;&gt;取消"))</f>
        <v/>
      </c>
      <c r="T38" s="27" t="str">
        <f aca="false">IF($A38="","",SUMIFS(入金明細!$E$5:$E$1004,入金明細!$G$5:$G$1004,$A38,入金明細!$B$5:$B$1004,"&gt;="&amp;S$3,入金明細!$B$5:$B$1004,"&lt;"&amp;DATE(YEAR(S$3),MONTH(S$3)+1,1)))</f>
        <v/>
      </c>
      <c r="U38" s="27" t="str">
        <f aca="false">IF($A38="","",SUMIFS(請求台帳!$F$5:$F$504,請求台帳!$C$5:$C$504,$A38,請求台帳!$B$5:$B$504,"&gt;="&amp;U$3,請求台帳!$B$5:$B$504,"&lt;"&amp;DATE(YEAR(U$3),MONTH(U$3)+1,1),請求台帳!$Q$5:$Q$504,"&lt;&gt;取消"))</f>
        <v/>
      </c>
      <c r="V38" s="27" t="str">
        <f aca="false">IF($A38="","",SUMIFS(入金明細!$E$5:$E$1004,入金明細!$G$5:$G$1004,$A38,入金明細!$B$5:$B$1004,"&gt;="&amp;U$3,入金明細!$B$5:$B$1004,"&lt;"&amp;DATE(YEAR(U$3),MONTH(U$3)+1,1)))</f>
        <v/>
      </c>
      <c r="W38" s="27" t="str">
        <f aca="false">IF($A38="","",SUMIFS(請求台帳!$F$5:$F$504,請求台帳!$C$5:$C$504,$A38,請求台帳!$B$5:$B$504,"&gt;="&amp;W$3,請求台帳!$B$5:$B$504,"&lt;"&amp;DATE(YEAR(W$3),MONTH(W$3)+1,1),請求台帳!$Q$5:$Q$504,"&lt;&gt;取消"))</f>
        <v/>
      </c>
      <c r="X38" s="27" t="str">
        <f aca="false">IF($A38="","",SUMIFS(入金明細!$E$5:$E$1004,入金明細!$G$5:$G$1004,$A38,入金明細!$B$5:$B$1004,"&gt;="&amp;W$3,入金明細!$B$5:$B$1004,"&lt;"&amp;DATE(YEAR(W$3),MONTH(W$3)+1,1)))</f>
        <v/>
      </c>
      <c r="Y38" s="27" t="str">
        <f aca="false">IF($A38="","",SUMIFS(請求台帳!$F$5:$F$504,請求台帳!$C$5:$C$504,$A38,請求台帳!$B$5:$B$504,"&gt;="&amp;Y$3,請求台帳!$B$5:$B$504,"&lt;"&amp;DATE(YEAR(Y$3),MONTH(Y$3)+1,1),請求台帳!$Q$5:$Q$504,"&lt;&gt;取消"))</f>
        <v/>
      </c>
      <c r="Z38" s="27" t="str">
        <f aca="false">IF($A38="","",SUMIFS(入金明細!$E$5:$E$1004,入金明細!$G$5:$G$1004,$A38,入金明細!$B$5:$B$1004,"&gt;="&amp;Y$3,入金明細!$B$5:$B$1004,"&lt;"&amp;DATE(YEAR(Y$3),MONTH(Y$3)+1,1)))</f>
        <v/>
      </c>
      <c r="AA38" s="37" t="n">
        <f aca="false">SUM(C38,E38,G38,I38,K38,M38,O38,Q38,S38,U38,W38,Y38)</f>
        <v>0</v>
      </c>
      <c r="AB38" s="37" t="n">
        <f aca="false">SUM(D38,F38,H38,J38,L38,N38,P38,R38,T38,V38,X38,Z38)</f>
        <v>0</v>
      </c>
    </row>
    <row r="39" customFormat="false" ht="15" hidden="false" customHeight="false" outlineLevel="0" collapsed="false">
      <c r="A39" s="31" t="str">
        <f aca="false">IF(取引先マスタ!A39="","",取引先マスタ!A39)</f>
        <v/>
      </c>
      <c r="B39" s="31" t="str">
        <f aca="false">IF(A39="","",取引先マスタ!B39)</f>
        <v/>
      </c>
      <c r="C39" s="27" t="str">
        <f aca="false">IF($A39="","",SUMIFS(請求台帳!$F$5:$F$504,請求台帳!$C$5:$C$504,$A39,請求台帳!$B$5:$B$504,"&gt;="&amp;C$3,請求台帳!$B$5:$B$504,"&lt;"&amp;DATE(YEAR(C$3),MONTH(C$3)+1,1),請求台帳!$Q$5:$Q$504,"&lt;&gt;取消"))</f>
        <v/>
      </c>
      <c r="D39" s="27" t="str">
        <f aca="false">IF($A39="","",SUMIFS(入金明細!$E$5:$E$1004,入金明細!$G$5:$G$1004,$A39,入金明細!$B$5:$B$1004,"&gt;="&amp;C$3,入金明細!$B$5:$B$1004,"&lt;"&amp;DATE(YEAR(C$3),MONTH(C$3)+1,1)))</f>
        <v/>
      </c>
      <c r="E39" s="27" t="str">
        <f aca="false">IF($A39="","",SUMIFS(請求台帳!$F$5:$F$504,請求台帳!$C$5:$C$504,$A39,請求台帳!$B$5:$B$504,"&gt;="&amp;E$3,請求台帳!$B$5:$B$504,"&lt;"&amp;DATE(YEAR(E$3),MONTH(E$3)+1,1),請求台帳!$Q$5:$Q$504,"&lt;&gt;取消"))</f>
        <v/>
      </c>
      <c r="F39" s="27" t="str">
        <f aca="false">IF($A39="","",SUMIFS(入金明細!$E$5:$E$1004,入金明細!$G$5:$G$1004,$A39,入金明細!$B$5:$B$1004,"&gt;="&amp;E$3,入金明細!$B$5:$B$1004,"&lt;"&amp;DATE(YEAR(E$3),MONTH(E$3)+1,1)))</f>
        <v/>
      </c>
      <c r="G39" s="27" t="str">
        <f aca="false">IF($A39="","",SUMIFS(請求台帳!$F$5:$F$504,請求台帳!$C$5:$C$504,$A39,請求台帳!$B$5:$B$504,"&gt;="&amp;G$3,請求台帳!$B$5:$B$504,"&lt;"&amp;DATE(YEAR(G$3),MONTH(G$3)+1,1),請求台帳!$Q$5:$Q$504,"&lt;&gt;取消"))</f>
        <v/>
      </c>
      <c r="H39" s="27" t="str">
        <f aca="false">IF($A39="","",SUMIFS(入金明細!$E$5:$E$1004,入金明細!$G$5:$G$1004,$A39,入金明細!$B$5:$B$1004,"&gt;="&amp;G$3,入金明細!$B$5:$B$1004,"&lt;"&amp;DATE(YEAR(G$3),MONTH(G$3)+1,1)))</f>
        <v/>
      </c>
      <c r="I39" s="27" t="str">
        <f aca="false">IF($A39="","",SUMIFS(請求台帳!$F$5:$F$504,請求台帳!$C$5:$C$504,$A39,請求台帳!$B$5:$B$504,"&gt;="&amp;I$3,請求台帳!$B$5:$B$504,"&lt;"&amp;DATE(YEAR(I$3),MONTH(I$3)+1,1),請求台帳!$Q$5:$Q$504,"&lt;&gt;取消"))</f>
        <v/>
      </c>
      <c r="J39" s="27" t="str">
        <f aca="false">IF($A39="","",SUMIFS(入金明細!$E$5:$E$1004,入金明細!$G$5:$G$1004,$A39,入金明細!$B$5:$B$1004,"&gt;="&amp;I$3,入金明細!$B$5:$B$1004,"&lt;"&amp;DATE(YEAR(I$3),MONTH(I$3)+1,1)))</f>
        <v/>
      </c>
      <c r="K39" s="27" t="str">
        <f aca="false">IF($A39="","",SUMIFS(請求台帳!$F$5:$F$504,請求台帳!$C$5:$C$504,$A39,請求台帳!$B$5:$B$504,"&gt;="&amp;K$3,請求台帳!$B$5:$B$504,"&lt;"&amp;DATE(YEAR(K$3),MONTH(K$3)+1,1),請求台帳!$Q$5:$Q$504,"&lt;&gt;取消"))</f>
        <v/>
      </c>
      <c r="L39" s="27" t="str">
        <f aca="false">IF($A39="","",SUMIFS(入金明細!$E$5:$E$1004,入金明細!$G$5:$G$1004,$A39,入金明細!$B$5:$B$1004,"&gt;="&amp;K$3,入金明細!$B$5:$B$1004,"&lt;"&amp;DATE(YEAR(K$3),MONTH(K$3)+1,1)))</f>
        <v/>
      </c>
      <c r="M39" s="27" t="str">
        <f aca="false">IF($A39="","",SUMIFS(請求台帳!$F$5:$F$504,請求台帳!$C$5:$C$504,$A39,請求台帳!$B$5:$B$504,"&gt;="&amp;M$3,請求台帳!$B$5:$B$504,"&lt;"&amp;DATE(YEAR(M$3),MONTH(M$3)+1,1),請求台帳!$Q$5:$Q$504,"&lt;&gt;取消"))</f>
        <v/>
      </c>
      <c r="N39" s="27" t="str">
        <f aca="false">IF($A39="","",SUMIFS(入金明細!$E$5:$E$1004,入金明細!$G$5:$G$1004,$A39,入金明細!$B$5:$B$1004,"&gt;="&amp;M$3,入金明細!$B$5:$B$1004,"&lt;"&amp;DATE(YEAR(M$3),MONTH(M$3)+1,1)))</f>
        <v/>
      </c>
      <c r="O39" s="27" t="str">
        <f aca="false">IF($A39="","",SUMIFS(請求台帳!$F$5:$F$504,請求台帳!$C$5:$C$504,$A39,請求台帳!$B$5:$B$504,"&gt;="&amp;O$3,請求台帳!$B$5:$B$504,"&lt;"&amp;DATE(YEAR(O$3),MONTH(O$3)+1,1),請求台帳!$Q$5:$Q$504,"&lt;&gt;取消"))</f>
        <v/>
      </c>
      <c r="P39" s="27" t="str">
        <f aca="false">IF($A39="","",SUMIFS(入金明細!$E$5:$E$1004,入金明細!$G$5:$G$1004,$A39,入金明細!$B$5:$B$1004,"&gt;="&amp;O$3,入金明細!$B$5:$B$1004,"&lt;"&amp;DATE(YEAR(O$3),MONTH(O$3)+1,1)))</f>
        <v/>
      </c>
      <c r="Q39" s="27" t="str">
        <f aca="false">IF($A39="","",SUMIFS(請求台帳!$F$5:$F$504,請求台帳!$C$5:$C$504,$A39,請求台帳!$B$5:$B$504,"&gt;="&amp;Q$3,請求台帳!$B$5:$B$504,"&lt;"&amp;DATE(YEAR(Q$3),MONTH(Q$3)+1,1),請求台帳!$Q$5:$Q$504,"&lt;&gt;取消"))</f>
        <v/>
      </c>
      <c r="R39" s="27" t="str">
        <f aca="false">IF($A39="","",SUMIFS(入金明細!$E$5:$E$1004,入金明細!$G$5:$G$1004,$A39,入金明細!$B$5:$B$1004,"&gt;="&amp;Q$3,入金明細!$B$5:$B$1004,"&lt;"&amp;DATE(YEAR(Q$3),MONTH(Q$3)+1,1)))</f>
        <v/>
      </c>
      <c r="S39" s="27" t="str">
        <f aca="false">IF($A39="","",SUMIFS(請求台帳!$F$5:$F$504,請求台帳!$C$5:$C$504,$A39,請求台帳!$B$5:$B$504,"&gt;="&amp;S$3,請求台帳!$B$5:$B$504,"&lt;"&amp;DATE(YEAR(S$3),MONTH(S$3)+1,1),請求台帳!$Q$5:$Q$504,"&lt;&gt;取消"))</f>
        <v/>
      </c>
      <c r="T39" s="27" t="str">
        <f aca="false">IF($A39="","",SUMIFS(入金明細!$E$5:$E$1004,入金明細!$G$5:$G$1004,$A39,入金明細!$B$5:$B$1004,"&gt;="&amp;S$3,入金明細!$B$5:$B$1004,"&lt;"&amp;DATE(YEAR(S$3),MONTH(S$3)+1,1)))</f>
        <v/>
      </c>
      <c r="U39" s="27" t="str">
        <f aca="false">IF($A39="","",SUMIFS(請求台帳!$F$5:$F$504,請求台帳!$C$5:$C$504,$A39,請求台帳!$B$5:$B$504,"&gt;="&amp;U$3,請求台帳!$B$5:$B$504,"&lt;"&amp;DATE(YEAR(U$3),MONTH(U$3)+1,1),請求台帳!$Q$5:$Q$504,"&lt;&gt;取消"))</f>
        <v/>
      </c>
      <c r="V39" s="27" t="str">
        <f aca="false">IF($A39="","",SUMIFS(入金明細!$E$5:$E$1004,入金明細!$G$5:$G$1004,$A39,入金明細!$B$5:$B$1004,"&gt;="&amp;U$3,入金明細!$B$5:$B$1004,"&lt;"&amp;DATE(YEAR(U$3),MONTH(U$3)+1,1)))</f>
        <v/>
      </c>
      <c r="W39" s="27" t="str">
        <f aca="false">IF($A39="","",SUMIFS(請求台帳!$F$5:$F$504,請求台帳!$C$5:$C$504,$A39,請求台帳!$B$5:$B$504,"&gt;="&amp;W$3,請求台帳!$B$5:$B$504,"&lt;"&amp;DATE(YEAR(W$3),MONTH(W$3)+1,1),請求台帳!$Q$5:$Q$504,"&lt;&gt;取消"))</f>
        <v/>
      </c>
      <c r="X39" s="27" t="str">
        <f aca="false">IF($A39="","",SUMIFS(入金明細!$E$5:$E$1004,入金明細!$G$5:$G$1004,$A39,入金明細!$B$5:$B$1004,"&gt;="&amp;W$3,入金明細!$B$5:$B$1004,"&lt;"&amp;DATE(YEAR(W$3),MONTH(W$3)+1,1)))</f>
        <v/>
      </c>
      <c r="Y39" s="27" t="str">
        <f aca="false">IF($A39="","",SUMIFS(請求台帳!$F$5:$F$504,請求台帳!$C$5:$C$504,$A39,請求台帳!$B$5:$B$504,"&gt;="&amp;Y$3,請求台帳!$B$5:$B$504,"&lt;"&amp;DATE(YEAR(Y$3),MONTH(Y$3)+1,1),請求台帳!$Q$5:$Q$504,"&lt;&gt;取消"))</f>
        <v/>
      </c>
      <c r="Z39" s="27" t="str">
        <f aca="false">IF($A39="","",SUMIFS(入金明細!$E$5:$E$1004,入金明細!$G$5:$G$1004,$A39,入金明細!$B$5:$B$1004,"&gt;="&amp;Y$3,入金明細!$B$5:$B$1004,"&lt;"&amp;DATE(YEAR(Y$3),MONTH(Y$3)+1,1)))</f>
        <v/>
      </c>
      <c r="AA39" s="37" t="n">
        <f aca="false">SUM(C39,E39,G39,I39,K39,M39,O39,Q39,S39,U39,W39,Y39)</f>
        <v>0</v>
      </c>
      <c r="AB39" s="37" t="n">
        <f aca="false">SUM(D39,F39,H39,J39,L39,N39,P39,R39,T39,V39,X39,Z39)</f>
        <v>0</v>
      </c>
    </row>
    <row r="40" customFormat="false" ht="15" hidden="false" customHeight="false" outlineLevel="0" collapsed="false">
      <c r="A40" s="31" t="str">
        <f aca="false">IF(取引先マスタ!A40="","",取引先マスタ!A40)</f>
        <v/>
      </c>
      <c r="B40" s="31" t="str">
        <f aca="false">IF(A40="","",取引先マスタ!B40)</f>
        <v/>
      </c>
      <c r="C40" s="27" t="str">
        <f aca="false">IF($A40="","",SUMIFS(請求台帳!$F$5:$F$504,請求台帳!$C$5:$C$504,$A40,請求台帳!$B$5:$B$504,"&gt;="&amp;C$3,請求台帳!$B$5:$B$504,"&lt;"&amp;DATE(YEAR(C$3),MONTH(C$3)+1,1),請求台帳!$Q$5:$Q$504,"&lt;&gt;取消"))</f>
        <v/>
      </c>
      <c r="D40" s="27" t="str">
        <f aca="false">IF($A40="","",SUMIFS(入金明細!$E$5:$E$1004,入金明細!$G$5:$G$1004,$A40,入金明細!$B$5:$B$1004,"&gt;="&amp;C$3,入金明細!$B$5:$B$1004,"&lt;"&amp;DATE(YEAR(C$3),MONTH(C$3)+1,1)))</f>
        <v/>
      </c>
      <c r="E40" s="27" t="str">
        <f aca="false">IF($A40="","",SUMIFS(請求台帳!$F$5:$F$504,請求台帳!$C$5:$C$504,$A40,請求台帳!$B$5:$B$504,"&gt;="&amp;E$3,請求台帳!$B$5:$B$504,"&lt;"&amp;DATE(YEAR(E$3),MONTH(E$3)+1,1),請求台帳!$Q$5:$Q$504,"&lt;&gt;取消"))</f>
        <v/>
      </c>
      <c r="F40" s="27" t="str">
        <f aca="false">IF($A40="","",SUMIFS(入金明細!$E$5:$E$1004,入金明細!$G$5:$G$1004,$A40,入金明細!$B$5:$B$1004,"&gt;="&amp;E$3,入金明細!$B$5:$B$1004,"&lt;"&amp;DATE(YEAR(E$3),MONTH(E$3)+1,1)))</f>
        <v/>
      </c>
      <c r="G40" s="27" t="str">
        <f aca="false">IF($A40="","",SUMIFS(請求台帳!$F$5:$F$504,請求台帳!$C$5:$C$504,$A40,請求台帳!$B$5:$B$504,"&gt;="&amp;G$3,請求台帳!$B$5:$B$504,"&lt;"&amp;DATE(YEAR(G$3),MONTH(G$3)+1,1),請求台帳!$Q$5:$Q$504,"&lt;&gt;取消"))</f>
        <v/>
      </c>
      <c r="H40" s="27" t="str">
        <f aca="false">IF($A40="","",SUMIFS(入金明細!$E$5:$E$1004,入金明細!$G$5:$G$1004,$A40,入金明細!$B$5:$B$1004,"&gt;="&amp;G$3,入金明細!$B$5:$B$1004,"&lt;"&amp;DATE(YEAR(G$3),MONTH(G$3)+1,1)))</f>
        <v/>
      </c>
      <c r="I40" s="27" t="str">
        <f aca="false">IF($A40="","",SUMIFS(請求台帳!$F$5:$F$504,請求台帳!$C$5:$C$504,$A40,請求台帳!$B$5:$B$504,"&gt;="&amp;I$3,請求台帳!$B$5:$B$504,"&lt;"&amp;DATE(YEAR(I$3),MONTH(I$3)+1,1),請求台帳!$Q$5:$Q$504,"&lt;&gt;取消"))</f>
        <v/>
      </c>
      <c r="J40" s="27" t="str">
        <f aca="false">IF($A40="","",SUMIFS(入金明細!$E$5:$E$1004,入金明細!$G$5:$G$1004,$A40,入金明細!$B$5:$B$1004,"&gt;="&amp;I$3,入金明細!$B$5:$B$1004,"&lt;"&amp;DATE(YEAR(I$3),MONTH(I$3)+1,1)))</f>
        <v/>
      </c>
      <c r="K40" s="27" t="str">
        <f aca="false">IF($A40="","",SUMIFS(請求台帳!$F$5:$F$504,請求台帳!$C$5:$C$504,$A40,請求台帳!$B$5:$B$504,"&gt;="&amp;K$3,請求台帳!$B$5:$B$504,"&lt;"&amp;DATE(YEAR(K$3),MONTH(K$3)+1,1),請求台帳!$Q$5:$Q$504,"&lt;&gt;取消"))</f>
        <v/>
      </c>
      <c r="L40" s="27" t="str">
        <f aca="false">IF($A40="","",SUMIFS(入金明細!$E$5:$E$1004,入金明細!$G$5:$G$1004,$A40,入金明細!$B$5:$B$1004,"&gt;="&amp;K$3,入金明細!$B$5:$B$1004,"&lt;"&amp;DATE(YEAR(K$3),MONTH(K$3)+1,1)))</f>
        <v/>
      </c>
      <c r="M40" s="27" t="str">
        <f aca="false">IF($A40="","",SUMIFS(請求台帳!$F$5:$F$504,請求台帳!$C$5:$C$504,$A40,請求台帳!$B$5:$B$504,"&gt;="&amp;M$3,請求台帳!$B$5:$B$504,"&lt;"&amp;DATE(YEAR(M$3),MONTH(M$3)+1,1),請求台帳!$Q$5:$Q$504,"&lt;&gt;取消"))</f>
        <v/>
      </c>
      <c r="N40" s="27" t="str">
        <f aca="false">IF($A40="","",SUMIFS(入金明細!$E$5:$E$1004,入金明細!$G$5:$G$1004,$A40,入金明細!$B$5:$B$1004,"&gt;="&amp;M$3,入金明細!$B$5:$B$1004,"&lt;"&amp;DATE(YEAR(M$3),MONTH(M$3)+1,1)))</f>
        <v/>
      </c>
      <c r="O40" s="27" t="str">
        <f aca="false">IF($A40="","",SUMIFS(請求台帳!$F$5:$F$504,請求台帳!$C$5:$C$504,$A40,請求台帳!$B$5:$B$504,"&gt;="&amp;O$3,請求台帳!$B$5:$B$504,"&lt;"&amp;DATE(YEAR(O$3),MONTH(O$3)+1,1),請求台帳!$Q$5:$Q$504,"&lt;&gt;取消"))</f>
        <v/>
      </c>
      <c r="P40" s="27" t="str">
        <f aca="false">IF($A40="","",SUMIFS(入金明細!$E$5:$E$1004,入金明細!$G$5:$G$1004,$A40,入金明細!$B$5:$B$1004,"&gt;="&amp;O$3,入金明細!$B$5:$B$1004,"&lt;"&amp;DATE(YEAR(O$3),MONTH(O$3)+1,1)))</f>
        <v/>
      </c>
      <c r="Q40" s="27" t="str">
        <f aca="false">IF($A40="","",SUMIFS(請求台帳!$F$5:$F$504,請求台帳!$C$5:$C$504,$A40,請求台帳!$B$5:$B$504,"&gt;="&amp;Q$3,請求台帳!$B$5:$B$504,"&lt;"&amp;DATE(YEAR(Q$3),MONTH(Q$3)+1,1),請求台帳!$Q$5:$Q$504,"&lt;&gt;取消"))</f>
        <v/>
      </c>
      <c r="R40" s="27" t="str">
        <f aca="false">IF($A40="","",SUMIFS(入金明細!$E$5:$E$1004,入金明細!$G$5:$G$1004,$A40,入金明細!$B$5:$B$1004,"&gt;="&amp;Q$3,入金明細!$B$5:$B$1004,"&lt;"&amp;DATE(YEAR(Q$3),MONTH(Q$3)+1,1)))</f>
        <v/>
      </c>
      <c r="S40" s="27" t="str">
        <f aca="false">IF($A40="","",SUMIFS(請求台帳!$F$5:$F$504,請求台帳!$C$5:$C$504,$A40,請求台帳!$B$5:$B$504,"&gt;="&amp;S$3,請求台帳!$B$5:$B$504,"&lt;"&amp;DATE(YEAR(S$3),MONTH(S$3)+1,1),請求台帳!$Q$5:$Q$504,"&lt;&gt;取消"))</f>
        <v/>
      </c>
      <c r="T40" s="27" t="str">
        <f aca="false">IF($A40="","",SUMIFS(入金明細!$E$5:$E$1004,入金明細!$G$5:$G$1004,$A40,入金明細!$B$5:$B$1004,"&gt;="&amp;S$3,入金明細!$B$5:$B$1004,"&lt;"&amp;DATE(YEAR(S$3),MONTH(S$3)+1,1)))</f>
        <v/>
      </c>
      <c r="U40" s="27" t="str">
        <f aca="false">IF($A40="","",SUMIFS(請求台帳!$F$5:$F$504,請求台帳!$C$5:$C$504,$A40,請求台帳!$B$5:$B$504,"&gt;="&amp;U$3,請求台帳!$B$5:$B$504,"&lt;"&amp;DATE(YEAR(U$3),MONTH(U$3)+1,1),請求台帳!$Q$5:$Q$504,"&lt;&gt;取消"))</f>
        <v/>
      </c>
      <c r="V40" s="27" t="str">
        <f aca="false">IF($A40="","",SUMIFS(入金明細!$E$5:$E$1004,入金明細!$G$5:$G$1004,$A40,入金明細!$B$5:$B$1004,"&gt;="&amp;U$3,入金明細!$B$5:$B$1004,"&lt;"&amp;DATE(YEAR(U$3),MONTH(U$3)+1,1)))</f>
        <v/>
      </c>
      <c r="W40" s="27" t="str">
        <f aca="false">IF($A40="","",SUMIFS(請求台帳!$F$5:$F$504,請求台帳!$C$5:$C$504,$A40,請求台帳!$B$5:$B$504,"&gt;="&amp;W$3,請求台帳!$B$5:$B$504,"&lt;"&amp;DATE(YEAR(W$3),MONTH(W$3)+1,1),請求台帳!$Q$5:$Q$504,"&lt;&gt;取消"))</f>
        <v/>
      </c>
      <c r="X40" s="27" t="str">
        <f aca="false">IF($A40="","",SUMIFS(入金明細!$E$5:$E$1004,入金明細!$G$5:$G$1004,$A40,入金明細!$B$5:$B$1004,"&gt;="&amp;W$3,入金明細!$B$5:$B$1004,"&lt;"&amp;DATE(YEAR(W$3),MONTH(W$3)+1,1)))</f>
        <v/>
      </c>
      <c r="Y40" s="27" t="str">
        <f aca="false">IF($A40="","",SUMIFS(請求台帳!$F$5:$F$504,請求台帳!$C$5:$C$504,$A40,請求台帳!$B$5:$B$504,"&gt;="&amp;Y$3,請求台帳!$B$5:$B$504,"&lt;"&amp;DATE(YEAR(Y$3),MONTH(Y$3)+1,1),請求台帳!$Q$5:$Q$504,"&lt;&gt;取消"))</f>
        <v/>
      </c>
      <c r="Z40" s="27" t="str">
        <f aca="false">IF($A40="","",SUMIFS(入金明細!$E$5:$E$1004,入金明細!$G$5:$G$1004,$A40,入金明細!$B$5:$B$1004,"&gt;="&amp;Y$3,入金明細!$B$5:$B$1004,"&lt;"&amp;DATE(YEAR(Y$3),MONTH(Y$3)+1,1)))</f>
        <v/>
      </c>
      <c r="AA40" s="37" t="n">
        <f aca="false">SUM(C40,E40,G40,I40,K40,M40,O40,Q40,S40,U40,W40,Y40)</f>
        <v>0</v>
      </c>
      <c r="AB40" s="37" t="n">
        <f aca="false">SUM(D40,F40,H40,J40,L40,N40,P40,R40,T40,V40,X40,Z40)</f>
        <v>0</v>
      </c>
    </row>
    <row r="41" customFormat="false" ht="15" hidden="false" customHeight="false" outlineLevel="0" collapsed="false">
      <c r="A41" s="31" t="str">
        <f aca="false">IF(取引先マスタ!A41="","",取引先マスタ!A41)</f>
        <v/>
      </c>
      <c r="B41" s="31" t="str">
        <f aca="false">IF(A41="","",取引先マスタ!B41)</f>
        <v/>
      </c>
      <c r="C41" s="27" t="str">
        <f aca="false">IF($A41="","",SUMIFS(請求台帳!$F$5:$F$504,請求台帳!$C$5:$C$504,$A41,請求台帳!$B$5:$B$504,"&gt;="&amp;C$3,請求台帳!$B$5:$B$504,"&lt;"&amp;DATE(YEAR(C$3),MONTH(C$3)+1,1),請求台帳!$Q$5:$Q$504,"&lt;&gt;取消"))</f>
        <v/>
      </c>
      <c r="D41" s="27" t="str">
        <f aca="false">IF($A41="","",SUMIFS(入金明細!$E$5:$E$1004,入金明細!$G$5:$G$1004,$A41,入金明細!$B$5:$B$1004,"&gt;="&amp;C$3,入金明細!$B$5:$B$1004,"&lt;"&amp;DATE(YEAR(C$3),MONTH(C$3)+1,1)))</f>
        <v/>
      </c>
      <c r="E41" s="27" t="str">
        <f aca="false">IF($A41="","",SUMIFS(請求台帳!$F$5:$F$504,請求台帳!$C$5:$C$504,$A41,請求台帳!$B$5:$B$504,"&gt;="&amp;E$3,請求台帳!$B$5:$B$504,"&lt;"&amp;DATE(YEAR(E$3),MONTH(E$3)+1,1),請求台帳!$Q$5:$Q$504,"&lt;&gt;取消"))</f>
        <v/>
      </c>
      <c r="F41" s="27" t="str">
        <f aca="false">IF($A41="","",SUMIFS(入金明細!$E$5:$E$1004,入金明細!$G$5:$G$1004,$A41,入金明細!$B$5:$B$1004,"&gt;="&amp;E$3,入金明細!$B$5:$B$1004,"&lt;"&amp;DATE(YEAR(E$3),MONTH(E$3)+1,1)))</f>
        <v/>
      </c>
      <c r="G41" s="27" t="str">
        <f aca="false">IF($A41="","",SUMIFS(請求台帳!$F$5:$F$504,請求台帳!$C$5:$C$504,$A41,請求台帳!$B$5:$B$504,"&gt;="&amp;G$3,請求台帳!$B$5:$B$504,"&lt;"&amp;DATE(YEAR(G$3),MONTH(G$3)+1,1),請求台帳!$Q$5:$Q$504,"&lt;&gt;取消"))</f>
        <v/>
      </c>
      <c r="H41" s="27" t="str">
        <f aca="false">IF($A41="","",SUMIFS(入金明細!$E$5:$E$1004,入金明細!$G$5:$G$1004,$A41,入金明細!$B$5:$B$1004,"&gt;="&amp;G$3,入金明細!$B$5:$B$1004,"&lt;"&amp;DATE(YEAR(G$3),MONTH(G$3)+1,1)))</f>
        <v/>
      </c>
      <c r="I41" s="27" t="str">
        <f aca="false">IF($A41="","",SUMIFS(請求台帳!$F$5:$F$504,請求台帳!$C$5:$C$504,$A41,請求台帳!$B$5:$B$504,"&gt;="&amp;I$3,請求台帳!$B$5:$B$504,"&lt;"&amp;DATE(YEAR(I$3),MONTH(I$3)+1,1),請求台帳!$Q$5:$Q$504,"&lt;&gt;取消"))</f>
        <v/>
      </c>
      <c r="J41" s="27" t="str">
        <f aca="false">IF($A41="","",SUMIFS(入金明細!$E$5:$E$1004,入金明細!$G$5:$G$1004,$A41,入金明細!$B$5:$B$1004,"&gt;="&amp;I$3,入金明細!$B$5:$B$1004,"&lt;"&amp;DATE(YEAR(I$3),MONTH(I$3)+1,1)))</f>
        <v/>
      </c>
      <c r="K41" s="27" t="str">
        <f aca="false">IF($A41="","",SUMIFS(請求台帳!$F$5:$F$504,請求台帳!$C$5:$C$504,$A41,請求台帳!$B$5:$B$504,"&gt;="&amp;K$3,請求台帳!$B$5:$B$504,"&lt;"&amp;DATE(YEAR(K$3),MONTH(K$3)+1,1),請求台帳!$Q$5:$Q$504,"&lt;&gt;取消"))</f>
        <v/>
      </c>
      <c r="L41" s="27" t="str">
        <f aca="false">IF($A41="","",SUMIFS(入金明細!$E$5:$E$1004,入金明細!$G$5:$G$1004,$A41,入金明細!$B$5:$B$1004,"&gt;="&amp;K$3,入金明細!$B$5:$B$1004,"&lt;"&amp;DATE(YEAR(K$3),MONTH(K$3)+1,1)))</f>
        <v/>
      </c>
      <c r="M41" s="27" t="str">
        <f aca="false">IF($A41="","",SUMIFS(請求台帳!$F$5:$F$504,請求台帳!$C$5:$C$504,$A41,請求台帳!$B$5:$B$504,"&gt;="&amp;M$3,請求台帳!$B$5:$B$504,"&lt;"&amp;DATE(YEAR(M$3),MONTH(M$3)+1,1),請求台帳!$Q$5:$Q$504,"&lt;&gt;取消"))</f>
        <v/>
      </c>
      <c r="N41" s="27" t="str">
        <f aca="false">IF($A41="","",SUMIFS(入金明細!$E$5:$E$1004,入金明細!$G$5:$G$1004,$A41,入金明細!$B$5:$B$1004,"&gt;="&amp;M$3,入金明細!$B$5:$B$1004,"&lt;"&amp;DATE(YEAR(M$3),MONTH(M$3)+1,1)))</f>
        <v/>
      </c>
      <c r="O41" s="27" t="str">
        <f aca="false">IF($A41="","",SUMIFS(請求台帳!$F$5:$F$504,請求台帳!$C$5:$C$504,$A41,請求台帳!$B$5:$B$504,"&gt;="&amp;O$3,請求台帳!$B$5:$B$504,"&lt;"&amp;DATE(YEAR(O$3),MONTH(O$3)+1,1),請求台帳!$Q$5:$Q$504,"&lt;&gt;取消"))</f>
        <v/>
      </c>
      <c r="P41" s="27" t="str">
        <f aca="false">IF($A41="","",SUMIFS(入金明細!$E$5:$E$1004,入金明細!$G$5:$G$1004,$A41,入金明細!$B$5:$B$1004,"&gt;="&amp;O$3,入金明細!$B$5:$B$1004,"&lt;"&amp;DATE(YEAR(O$3),MONTH(O$3)+1,1)))</f>
        <v/>
      </c>
      <c r="Q41" s="27" t="str">
        <f aca="false">IF($A41="","",SUMIFS(請求台帳!$F$5:$F$504,請求台帳!$C$5:$C$504,$A41,請求台帳!$B$5:$B$504,"&gt;="&amp;Q$3,請求台帳!$B$5:$B$504,"&lt;"&amp;DATE(YEAR(Q$3),MONTH(Q$3)+1,1),請求台帳!$Q$5:$Q$504,"&lt;&gt;取消"))</f>
        <v/>
      </c>
      <c r="R41" s="27" t="str">
        <f aca="false">IF($A41="","",SUMIFS(入金明細!$E$5:$E$1004,入金明細!$G$5:$G$1004,$A41,入金明細!$B$5:$B$1004,"&gt;="&amp;Q$3,入金明細!$B$5:$B$1004,"&lt;"&amp;DATE(YEAR(Q$3),MONTH(Q$3)+1,1)))</f>
        <v/>
      </c>
      <c r="S41" s="27" t="str">
        <f aca="false">IF($A41="","",SUMIFS(請求台帳!$F$5:$F$504,請求台帳!$C$5:$C$504,$A41,請求台帳!$B$5:$B$504,"&gt;="&amp;S$3,請求台帳!$B$5:$B$504,"&lt;"&amp;DATE(YEAR(S$3),MONTH(S$3)+1,1),請求台帳!$Q$5:$Q$504,"&lt;&gt;取消"))</f>
        <v/>
      </c>
      <c r="T41" s="27" t="str">
        <f aca="false">IF($A41="","",SUMIFS(入金明細!$E$5:$E$1004,入金明細!$G$5:$G$1004,$A41,入金明細!$B$5:$B$1004,"&gt;="&amp;S$3,入金明細!$B$5:$B$1004,"&lt;"&amp;DATE(YEAR(S$3),MONTH(S$3)+1,1)))</f>
        <v/>
      </c>
      <c r="U41" s="27" t="str">
        <f aca="false">IF($A41="","",SUMIFS(請求台帳!$F$5:$F$504,請求台帳!$C$5:$C$504,$A41,請求台帳!$B$5:$B$504,"&gt;="&amp;U$3,請求台帳!$B$5:$B$504,"&lt;"&amp;DATE(YEAR(U$3),MONTH(U$3)+1,1),請求台帳!$Q$5:$Q$504,"&lt;&gt;取消"))</f>
        <v/>
      </c>
      <c r="V41" s="27" t="str">
        <f aca="false">IF($A41="","",SUMIFS(入金明細!$E$5:$E$1004,入金明細!$G$5:$G$1004,$A41,入金明細!$B$5:$B$1004,"&gt;="&amp;U$3,入金明細!$B$5:$B$1004,"&lt;"&amp;DATE(YEAR(U$3),MONTH(U$3)+1,1)))</f>
        <v/>
      </c>
      <c r="W41" s="27" t="str">
        <f aca="false">IF($A41="","",SUMIFS(請求台帳!$F$5:$F$504,請求台帳!$C$5:$C$504,$A41,請求台帳!$B$5:$B$504,"&gt;="&amp;W$3,請求台帳!$B$5:$B$504,"&lt;"&amp;DATE(YEAR(W$3),MONTH(W$3)+1,1),請求台帳!$Q$5:$Q$504,"&lt;&gt;取消"))</f>
        <v/>
      </c>
      <c r="X41" s="27" t="str">
        <f aca="false">IF($A41="","",SUMIFS(入金明細!$E$5:$E$1004,入金明細!$G$5:$G$1004,$A41,入金明細!$B$5:$B$1004,"&gt;="&amp;W$3,入金明細!$B$5:$B$1004,"&lt;"&amp;DATE(YEAR(W$3),MONTH(W$3)+1,1)))</f>
        <v/>
      </c>
      <c r="Y41" s="27" t="str">
        <f aca="false">IF($A41="","",SUMIFS(請求台帳!$F$5:$F$504,請求台帳!$C$5:$C$504,$A41,請求台帳!$B$5:$B$504,"&gt;="&amp;Y$3,請求台帳!$B$5:$B$504,"&lt;"&amp;DATE(YEAR(Y$3),MONTH(Y$3)+1,1),請求台帳!$Q$5:$Q$504,"&lt;&gt;取消"))</f>
        <v/>
      </c>
      <c r="Z41" s="27" t="str">
        <f aca="false">IF($A41="","",SUMIFS(入金明細!$E$5:$E$1004,入金明細!$G$5:$G$1004,$A41,入金明細!$B$5:$B$1004,"&gt;="&amp;Y$3,入金明細!$B$5:$B$1004,"&lt;"&amp;DATE(YEAR(Y$3),MONTH(Y$3)+1,1)))</f>
        <v/>
      </c>
      <c r="AA41" s="37" t="n">
        <f aca="false">SUM(C41,E41,G41,I41,K41,M41,O41,Q41,S41,U41,W41,Y41)</f>
        <v>0</v>
      </c>
      <c r="AB41" s="37" t="n">
        <f aca="false">SUM(D41,F41,H41,J41,L41,N41,P41,R41,T41,V41,X41,Z41)</f>
        <v>0</v>
      </c>
    </row>
    <row r="42" customFormat="false" ht="15" hidden="false" customHeight="false" outlineLevel="0" collapsed="false">
      <c r="A42" s="31" t="str">
        <f aca="false">IF(取引先マスタ!A42="","",取引先マスタ!A42)</f>
        <v/>
      </c>
      <c r="B42" s="31" t="str">
        <f aca="false">IF(A42="","",取引先マスタ!B42)</f>
        <v/>
      </c>
      <c r="C42" s="27" t="str">
        <f aca="false">IF($A42="","",SUMIFS(請求台帳!$F$5:$F$504,請求台帳!$C$5:$C$504,$A42,請求台帳!$B$5:$B$504,"&gt;="&amp;C$3,請求台帳!$B$5:$B$504,"&lt;"&amp;DATE(YEAR(C$3),MONTH(C$3)+1,1),請求台帳!$Q$5:$Q$504,"&lt;&gt;取消"))</f>
        <v/>
      </c>
      <c r="D42" s="27" t="str">
        <f aca="false">IF($A42="","",SUMIFS(入金明細!$E$5:$E$1004,入金明細!$G$5:$G$1004,$A42,入金明細!$B$5:$B$1004,"&gt;="&amp;C$3,入金明細!$B$5:$B$1004,"&lt;"&amp;DATE(YEAR(C$3),MONTH(C$3)+1,1)))</f>
        <v/>
      </c>
      <c r="E42" s="27" t="str">
        <f aca="false">IF($A42="","",SUMIFS(請求台帳!$F$5:$F$504,請求台帳!$C$5:$C$504,$A42,請求台帳!$B$5:$B$504,"&gt;="&amp;E$3,請求台帳!$B$5:$B$504,"&lt;"&amp;DATE(YEAR(E$3),MONTH(E$3)+1,1),請求台帳!$Q$5:$Q$504,"&lt;&gt;取消"))</f>
        <v/>
      </c>
      <c r="F42" s="27" t="str">
        <f aca="false">IF($A42="","",SUMIFS(入金明細!$E$5:$E$1004,入金明細!$G$5:$G$1004,$A42,入金明細!$B$5:$B$1004,"&gt;="&amp;E$3,入金明細!$B$5:$B$1004,"&lt;"&amp;DATE(YEAR(E$3),MONTH(E$3)+1,1)))</f>
        <v/>
      </c>
      <c r="G42" s="27" t="str">
        <f aca="false">IF($A42="","",SUMIFS(請求台帳!$F$5:$F$504,請求台帳!$C$5:$C$504,$A42,請求台帳!$B$5:$B$504,"&gt;="&amp;G$3,請求台帳!$B$5:$B$504,"&lt;"&amp;DATE(YEAR(G$3),MONTH(G$3)+1,1),請求台帳!$Q$5:$Q$504,"&lt;&gt;取消"))</f>
        <v/>
      </c>
      <c r="H42" s="27" t="str">
        <f aca="false">IF($A42="","",SUMIFS(入金明細!$E$5:$E$1004,入金明細!$G$5:$G$1004,$A42,入金明細!$B$5:$B$1004,"&gt;="&amp;G$3,入金明細!$B$5:$B$1004,"&lt;"&amp;DATE(YEAR(G$3),MONTH(G$3)+1,1)))</f>
        <v/>
      </c>
      <c r="I42" s="27" t="str">
        <f aca="false">IF($A42="","",SUMIFS(請求台帳!$F$5:$F$504,請求台帳!$C$5:$C$504,$A42,請求台帳!$B$5:$B$504,"&gt;="&amp;I$3,請求台帳!$B$5:$B$504,"&lt;"&amp;DATE(YEAR(I$3),MONTH(I$3)+1,1),請求台帳!$Q$5:$Q$504,"&lt;&gt;取消"))</f>
        <v/>
      </c>
      <c r="J42" s="27" t="str">
        <f aca="false">IF($A42="","",SUMIFS(入金明細!$E$5:$E$1004,入金明細!$G$5:$G$1004,$A42,入金明細!$B$5:$B$1004,"&gt;="&amp;I$3,入金明細!$B$5:$B$1004,"&lt;"&amp;DATE(YEAR(I$3),MONTH(I$3)+1,1)))</f>
        <v/>
      </c>
      <c r="K42" s="27" t="str">
        <f aca="false">IF($A42="","",SUMIFS(請求台帳!$F$5:$F$504,請求台帳!$C$5:$C$504,$A42,請求台帳!$B$5:$B$504,"&gt;="&amp;K$3,請求台帳!$B$5:$B$504,"&lt;"&amp;DATE(YEAR(K$3),MONTH(K$3)+1,1),請求台帳!$Q$5:$Q$504,"&lt;&gt;取消"))</f>
        <v/>
      </c>
      <c r="L42" s="27" t="str">
        <f aca="false">IF($A42="","",SUMIFS(入金明細!$E$5:$E$1004,入金明細!$G$5:$G$1004,$A42,入金明細!$B$5:$B$1004,"&gt;="&amp;K$3,入金明細!$B$5:$B$1004,"&lt;"&amp;DATE(YEAR(K$3),MONTH(K$3)+1,1)))</f>
        <v/>
      </c>
      <c r="M42" s="27" t="str">
        <f aca="false">IF($A42="","",SUMIFS(請求台帳!$F$5:$F$504,請求台帳!$C$5:$C$504,$A42,請求台帳!$B$5:$B$504,"&gt;="&amp;M$3,請求台帳!$B$5:$B$504,"&lt;"&amp;DATE(YEAR(M$3),MONTH(M$3)+1,1),請求台帳!$Q$5:$Q$504,"&lt;&gt;取消"))</f>
        <v/>
      </c>
      <c r="N42" s="27" t="str">
        <f aca="false">IF($A42="","",SUMIFS(入金明細!$E$5:$E$1004,入金明細!$G$5:$G$1004,$A42,入金明細!$B$5:$B$1004,"&gt;="&amp;M$3,入金明細!$B$5:$B$1004,"&lt;"&amp;DATE(YEAR(M$3),MONTH(M$3)+1,1)))</f>
        <v/>
      </c>
      <c r="O42" s="27" t="str">
        <f aca="false">IF($A42="","",SUMIFS(請求台帳!$F$5:$F$504,請求台帳!$C$5:$C$504,$A42,請求台帳!$B$5:$B$504,"&gt;="&amp;O$3,請求台帳!$B$5:$B$504,"&lt;"&amp;DATE(YEAR(O$3),MONTH(O$3)+1,1),請求台帳!$Q$5:$Q$504,"&lt;&gt;取消"))</f>
        <v/>
      </c>
      <c r="P42" s="27" t="str">
        <f aca="false">IF($A42="","",SUMIFS(入金明細!$E$5:$E$1004,入金明細!$G$5:$G$1004,$A42,入金明細!$B$5:$B$1004,"&gt;="&amp;O$3,入金明細!$B$5:$B$1004,"&lt;"&amp;DATE(YEAR(O$3),MONTH(O$3)+1,1)))</f>
        <v/>
      </c>
      <c r="Q42" s="27" t="str">
        <f aca="false">IF($A42="","",SUMIFS(請求台帳!$F$5:$F$504,請求台帳!$C$5:$C$504,$A42,請求台帳!$B$5:$B$504,"&gt;="&amp;Q$3,請求台帳!$B$5:$B$504,"&lt;"&amp;DATE(YEAR(Q$3),MONTH(Q$3)+1,1),請求台帳!$Q$5:$Q$504,"&lt;&gt;取消"))</f>
        <v/>
      </c>
      <c r="R42" s="27" t="str">
        <f aca="false">IF($A42="","",SUMIFS(入金明細!$E$5:$E$1004,入金明細!$G$5:$G$1004,$A42,入金明細!$B$5:$B$1004,"&gt;="&amp;Q$3,入金明細!$B$5:$B$1004,"&lt;"&amp;DATE(YEAR(Q$3),MONTH(Q$3)+1,1)))</f>
        <v/>
      </c>
      <c r="S42" s="27" t="str">
        <f aca="false">IF($A42="","",SUMIFS(請求台帳!$F$5:$F$504,請求台帳!$C$5:$C$504,$A42,請求台帳!$B$5:$B$504,"&gt;="&amp;S$3,請求台帳!$B$5:$B$504,"&lt;"&amp;DATE(YEAR(S$3),MONTH(S$3)+1,1),請求台帳!$Q$5:$Q$504,"&lt;&gt;取消"))</f>
        <v/>
      </c>
      <c r="T42" s="27" t="str">
        <f aca="false">IF($A42="","",SUMIFS(入金明細!$E$5:$E$1004,入金明細!$G$5:$G$1004,$A42,入金明細!$B$5:$B$1004,"&gt;="&amp;S$3,入金明細!$B$5:$B$1004,"&lt;"&amp;DATE(YEAR(S$3),MONTH(S$3)+1,1)))</f>
        <v/>
      </c>
      <c r="U42" s="27" t="str">
        <f aca="false">IF($A42="","",SUMIFS(請求台帳!$F$5:$F$504,請求台帳!$C$5:$C$504,$A42,請求台帳!$B$5:$B$504,"&gt;="&amp;U$3,請求台帳!$B$5:$B$504,"&lt;"&amp;DATE(YEAR(U$3),MONTH(U$3)+1,1),請求台帳!$Q$5:$Q$504,"&lt;&gt;取消"))</f>
        <v/>
      </c>
      <c r="V42" s="27" t="str">
        <f aca="false">IF($A42="","",SUMIFS(入金明細!$E$5:$E$1004,入金明細!$G$5:$G$1004,$A42,入金明細!$B$5:$B$1004,"&gt;="&amp;U$3,入金明細!$B$5:$B$1004,"&lt;"&amp;DATE(YEAR(U$3),MONTH(U$3)+1,1)))</f>
        <v/>
      </c>
      <c r="W42" s="27" t="str">
        <f aca="false">IF($A42="","",SUMIFS(請求台帳!$F$5:$F$504,請求台帳!$C$5:$C$504,$A42,請求台帳!$B$5:$B$504,"&gt;="&amp;W$3,請求台帳!$B$5:$B$504,"&lt;"&amp;DATE(YEAR(W$3),MONTH(W$3)+1,1),請求台帳!$Q$5:$Q$504,"&lt;&gt;取消"))</f>
        <v/>
      </c>
      <c r="X42" s="27" t="str">
        <f aca="false">IF($A42="","",SUMIFS(入金明細!$E$5:$E$1004,入金明細!$G$5:$G$1004,$A42,入金明細!$B$5:$B$1004,"&gt;="&amp;W$3,入金明細!$B$5:$B$1004,"&lt;"&amp;DATE(YEAR(W$3),MONTH(W$3)+1,1)))</f>
        <v/>
      </c>
      <c r="Y42" s="27" t="str">
        <f aca="false">IF($A42="","",SUMIFS(請求台帳!$F$5:$F$504,請求台帳!$C$5:$C$504,$A42,請求台帳!$B$5:$B$504,"&gt;="&amp;Y$3,請求台帳!$B$5:$B$504,"&lt;"&amp;DATE(YEAR(Y$3),MONTH(Y$3)+1,1),請求台帳!$Q$5:$Q$504,"&lt;&gt;取消"))</f>
        <v/>
      </c>
      <c r="Z42" s="27" t="str">
        <f aca="false">IF($A42="","",SUMIFS(入金明細!$E$5:$E$1004,入金明細!$G$5:$G$1004,$A42,入金明細!$B$5:$B$1004,"&gt;="&amp;Y$3,入金明細!$B$5:$B$1004,"&lt;"&amp;DATE(YEAR(Y$3),MONTH(Y$3)+1,1)))</f>
        <v/>
      </c>
      <c r="AA42" s="37" t="n">
        <f aca="false">SUM(C42,E42,G42,I42,K42,M42,O42,Q42,S42,U42,W42,Y42)</f>
        <v>0</v>
      </c>
      <c r="AB42" s="37" t="n">
        <f aca="false">SUM(D42,F42,H42,J42,L42,N42,P42,R42,T42,V42,X42,Z42)</f>
        <v>0</v>
      </c>
    </row>
    <row r="43" customFormat="false" ht="15" hidden="false" customHeight="false" outlineLevel="0" collapsed="false">
      <c r="A43" s="31" t="str">
        <f aca="false">IF(取引先マスタ!A43="","",取引先マスタ!A43)</f>
        <v/>
      </c>
      <c r="B43" s="31" t="str">
        <f aca="false">IF(A43="","",取引先マスタ!B43)</f>
        <v/>
      </c>
      <c r="C43" s="27" t="str">
        <f aca="false">IF($A43="","",SUMIFS(請求台帳!$F$5:$F$504,請求台帳!$C$5:$C$504,$A43,請求台帳!$B$5:$B$504,"&gt;="&amp;C$3,請求台帳!$B$5:$B$504,"&lt;"&amp;DATE(YEAR(C$3),MONTH(C$3)+1,1),請求台帳!$Q$5:$Q$504,"&lt;&gt;取消"))</f>
        <v/>
      </c>
      <c r="D43" s="27" t="str">
        <f aca="false">IF($A43="","",SUMIFS(入金明細!$E$5:$E$1004,入金明細!$G$5:$G$1004,$A43,入金明細!$B$5:$B$1004,"&gt;="&amp;C$3,入金明細!$B$5:$B$1004,"&lt;"&amp;DATE(YEAR(C$3),MONTH(C$3)+1,1)))</f>
        <v/>
      </c>
      <c r="E43" s="27" t="str">
        <f aca="false">IF($A43="","",SUMIFS(請求台帳!$F$5:$F$504,請求台帳!$C$5:$C$504,$A43,請求台帳!$B$5:$B$504,"&gt;="&amp;E$3,請求台帳!$B$5:$B$504,"&lt;"&amp;DATE(YEAR(E$3),MONTH(E$3)+1,1),請求台帳!$Q$5:$Q$504,"&lt;&gt;取消"))</f>
        <v/>
      </c>
      <c r="F43" s="27" t="str">
        <f aca="false">IF($A43="","",SUMIFS(入金明細!$E$5:$E$1004,入金明細!$G$5:$G$1004,$A43,入金明細!$B$5:$B$1004,"&gt;="&amp;E$3,入金明細!$B$5:$B$1004,"&lt;"&amp;DATE(YEAR(E$3),MONTH(E$3)+1,1)))</f>
        <v/>
      </c>
      <c r="G43" s="27" t="str">
        <f aca="false">IF($A43="","",SUMIFS(請求台帳!$F$5:$F$504,請求台帳!$C$5:$C$504,$A43,請求台帳!$B$5:$B$504,"&gt;="&amp;G$3,請求台帳!$B$5:$B$504,"&lt;"&amp;DATE(YEAR(G$3),MONTH(G$3)+1,1),請求台帳!$Q$5:$Q$504,"&lt;&gt;取消"))</f>
        <v/>
      </c>
      <c r="H43" s="27" t="str">
        <f aca="false">IF($A43="","",SUMIFS(入金明細!$E$5:$E$1004,入金明細!$G$5:$G$1004,$A43,入金明細!$B$5:$B$1004,"&gt;="&amp;G$3,入金明細!$B$5:$B$1004,"&lt;"&amp;DATE(YEAR(G$3),MONTH(G$3)+1,1)))</f>
        <v/>
      </c>
      <c r="I43" s="27" t="str">
        <f aca="false">IF($A43="","",SUMIFS(請求台帳!$F$5:$F$504,請求台帳!$C$5:$C$504,$A43,請求台帳!$B$5:$B$504,"&gt;="&amp;I$3,請求台帳!$B$5:$B$504,"&lt;"&amp;DATE(YEAR(I$3),MONTH(I$3)+1,1),請求台帳!$Q$5:$Q$504,"&lt;&gt;取消"))</f>
        <v/>
      </c>
      <c r="J43" s="27" t="str">
        <f aca="false">IF($A43="","",SUMIFS(入金明細!$E$5:$E$1004,入金明細!$G$5:$G$1004,$A43,入金明細!$B$5:$B$1004,"&gt;="&amp;I$3,入金明細!$B$5:$B$1004,"&lt;"&amp;DATE(YEAR(I$3),MONTH(I$3)+1,1)))</f>
        <v/>
      </c>
      <c r="K43" s="27" t="str">
        <f aca="false">IF($A43="","",SUMIFS(請求台帳!$F$5:$F$504,請求台帳!$C$5:$C$504,$A43,請求台帳!$B$5:$B$504,"&gt;="&amp;K$3,請求台帳!$B$5:$B$504,"&lt;"&amp;DATE(YEAR(K$3),MONTH(K$3)+1,1),請求台帳!$Q$5:$Q$504,"&lt;&gt;取消"))</f>
        <v/>
      </c>
      <c r="L43" s="27" t="str">
        <f aca="false">IF($A43="","",SUMIFS(入金明細!$E$5:$E$1004,入金明細!$G$5:$G$1004,$A43,入金明細!$B$5:$B$1004,"&gt;="&amp;K$3,入金明細!$B$5:$B$1004,"&lt;"&amp;DATE(YEAR(K$3),MONTH(K$3)+1,1)))</f>
        <v/>
      </c>
      <c r="M43" s="27" t="str">
        <f aca="false">IF($A43="","",SUMIFS(請求台帳!$F$5:$F$504,請求台帳!$C$5:$C$504,$A43,請求台帳!$B$5:$B$504,"&gt;="&amp;M$3,請求台帳!$B$5:$B$504,"&lt;"&amp;DATE(YEAR(M$3),MONTH(M$3)+1,1),請求台帳!$Q$5:$Q$504,"&lt;&gt;取消"))</f>
        <v/>
      </c>
      <c r="N43" s="27" t="str">
        <f aca="false">IF($A43="","",SUMIFS(入金明細!$E$5:$E$1004,入金明細!$G$5:$G$1004,$A43,入金明細!$B$5:$B$1004,"&gt;="&amp;M$3,入金明細!$B$5:$B$1004,"&lt;"&amp;DATE(YEAR(M$3),MONTH(M$3)+1,1)))</f>
        <v/>
      </c>
      <c r="O43" s="27" t="str">
        <f aca="false">IF($A43="","",SUMIFS(請求台帳!$F$5:$F$504,請求台帳!$C$5:$C$504,$A43,請求台帳!$B$5:$B$504,"&gt;="&amp;O$3,請求台帳!$B$5:$B$504,"&lt;"&amp;DATE(YEAR(O$3),MONTH(O$3)+1,1),請求台帳!$Q$5:$Q$504,"&lt;&gt;取消"))</f>
        <v/>
      </c>
      <c r="P43" s="27" t="str">
        <f aca="false">IF($A43="","",SUMIFS(入金明細!$E$5:$E$1004,入金明細!$G$5:$G$1004,$A43,入金明細!$B$5:$B$1004,"&gt;="&amp;O$3,入金明細!$B$5:$B$1004,"&lt;"&amp;DATE(YEAR(O$3),MONTH(O$3)+1,1)))</f>
        <v/>
      </c>
      <c r="Q43" s="27" t="str">
        <f aca="false">IF($A43="","",SUMIFS(請求台帳!$F$5:$F$504,請求台帳!$C$5:$C$504,$A43,請求台帳!$B$5:$B$504,"&gt;="&amp;Q$3,請求台帳!$B$5:$B$504,"&lt;"&amp;DATE(YEAR(Q$3),MONTH(Q$3)+1,1),請求台帳!$Q$5:$Q$504,"&lt;&gt;取消"))</f>
        <v/>
      </c>
      <c r="R43" s="27" t="str">
        <f aca="false">IF($A43="","",SUMIFS(入金明細!$E$5:$E$1004,入金明細!$G$5:$G$1004,$A43,入金明細!$B$5:$B$1004,"&gt;="&amp;Q$3,入金明細!$B$5:$B$1004,"&lt;"&amp;DATE(YEAR(Q$3),MONTH(Q$3)+1,1)))</f>
        <v/>
      </c>
      <c r="S43" s="27" t="str">
        <f aca="false">IF($A43="","",SUMIFS(請求台帳!$F$5:$F$504,請求台帳!$C$5:$C$504,$A43,請求台帳!$B$5:$B$504,"&gt;="&amp;S$3,請求台帳!$B$5:$B$504,"&lt;"&amp;DATE(YEAR(S$3),MONTH(S$3)+1,1),請求台帳!$Q$5:$Q$504,"&lt;&gt;取消"))</f>
        <v/>
      </c>
      <c r="T43" s="27" t="str">
        <f aca="false">IF($A43="","",SUMIFS(入金明細!$E$5:$E$1004,入金明細!$G$5:$G$1004,$A43,入金明細!$B$5:$B$1004,"&gt;="&amp;S$3,入金明細!$B$5:$B$1004,"&lt;"&amp;DATE(YEAR(S$3),MONTH(S$3)+1,1)))</f>
        <v/>
      </c>
      <c r="U43" s="27" t="str">
        <f aca="false">IF($A43="","",SUMIFS(請求台帳!$F$5:$F$504,請求台帳!$C$5:$C$504,$A43,請求台帳!$B$5:$B$504,"&gt;="&amp;U$3,請求台帳!$B$5:$B$504,"&lt;"&amp;DATE(YEAR(U$3),MONTH(U$3)+1,1),請求台帳!$Q$5:$Q$504,"&lt;&gt;取消"))</f>
        <v/>
      </c>
      <c r="V43" s="27" t="str">
        <f aca="false">IF($A43="","",SUMIFS(入金明細!$E$5:$E$1004,入金明細!$G$5:$G$1004,$A43,入金明細!$B$5:$B$1004,"&gt;="&amp;U$3,入金明細!$B$5:$B$1004,"&lt;"&amp;DATE(YEAR(U$3),MONTH(U$3)+1,1)))</f>
        <v/>
      </c>
      <c r="W43" s="27" t="str">
        <f aca="false">IF($A43="","",SUMIFS(請求台帳!$F$5:$F$504,請求台帳!$C$5:$C$504,$A43,請求台帳!$B$5:$B$504,"&gt;="&amp;W$3,請求台帳!$B$5:$B$504,"&lt;"&amp;DATE(YEAR(W$3),MONTH(W$3)+1,1),請求台帳!$Q$5:$Q$504,"&lt;&gt;取消"))</f>
        <v/>
      </c>
      <c r="X43" s="27" t="str">
        <f aca="false">IF($A43="","",SUMIFS(入金明細!$E$5:$E$1004,入金明細!$G$5:$G$1004,$A43,入金明細!$B$5:$B$1004,"&gt;="&amp;W$3,入金明細!$B$5:$B$1004,"&lt;"&amp;DATE(YEAR(W$3),MONTH(W$3)+1,1)))</f>
        <v/>
      </c>
      <c r="Y43" s="27" t="str">
        <f aca="false">IF($A43="","",SUMIFS(請求台帳!$F$5:$F$504,請求台帳!$C$5:$C$504,$A43,請求台帳!$B$5:$B$504,"&gt;="&amp;Y$3,請求台帳!$B$5:$B$504,"&lt;"&amp;DATE(YEAR(Y$3),MONTH(Y$3)+1,1),請求台帳!$Q$5:$Q$504,"&lt;&gt;取消"))</f>
        <v/>
      </c>
      <c r="Z43" s="27" t="str">
        <f aca="false">IF($A43="","",SUMIFS(入金明細!$E$5:$E$1004,入金明細!$G$5:$G$1004,$A43,入金明細!$B$5:$B$1004,"&gt;="&amp;Y$3,入金明細!$B$5:$B$1004,"&lt;"&amp;DATE(YEAR(Y$3),MONTH(Y$3)+1,1)))</f>
        <v/>
      </c>
      <c r="AA43" s="37" t="n">
        <f aca="false">SUM(C43,E43,G43,I43,K43,M43,O43,Q43,S43,U43,W43,Y43)</f>
        <v>0</v>
      </c>
      <c r="AB43" s="37" t="n">
        <f aca="false">SUM(D43,F43,H43,J43,L43,N43,P43,R43,T43,V43,X43,Z43)</f>
        <v>0</v>
      </c>
    </row>
    <row r="44" customFormat="false" ht="15" hidden="false" customHeight="false" outlineLevel="0" collapsed="false">
      <c r="A44" s="31" t="str">
        <f aca="false">IF(取引先マスタ!A44="","",取引先マスタ!A44)</f>
        <v/>
      </c>
      <c r="B44" s="31" t="str">
        <f aca="false">IF(A44="","",取引先マスタ!B44)</f>
        <v/>
      </c>
      <c r="C44" s="27" t="str">
        <f aca="false">IF($A44="","",SUMIFS(請求台帳!$F$5:$F$504,請求台帳!$C$5:$C$504,$A44,請求台帳!$B$5:$B$504,"&gt;="&amp;C$3,請求台帳!$B$5:$B$504,"&lt;"&amp;DATE(YEAR(C$3),MONTH(C$3)+1,1),請求台帳!$Q$5:$Q$504,"&lt;&gt;取消"))</f>
        <v/>
      </c>
      <c r="D44" s="27" t="str">
        <f aca="false">IF($A44="","",SUMIFS(入金明細!$E$5:$E$1004,入金明細!$G$5:$G$1004,$A44,入金明細!$B$5:$B$1004,"&gt;="&amp;C$3,入金明細!$B$5:$B$1004,"&lt;"&amp;DATE(YEAR(C$3),MONTH(C$3)+1,1)))</f>
        <v/>
      </c>
      <c r="E44" s="27" t="str">
        <f aca="false">IF($A44="","",SUMIFS(請求台帳!$F$5:$F$504,請求台帳!$C$5:$C$504,$A44,請求台帳!$B$5:$B$504,"&gt;="&amp;E$3,請求台帳!$B$5:$B$504,"&lt;"&amp;DATE(YEAR(E$3),MONTH(E$3)+1,1),請求台帳!$Q$5:$Q$504,"&lt;&gt;取消"))</f>
        <v/>
      </c>
      <c r="F44" s="27" t="str">
        <f aca="false">IF($A44="","",SUMIFS(入金明細!$E$5:$E$1004,入金明細!$G$5:$G$1004,$A44,入金明細!$B$5:$B$1004,"&gt;="&amp;E$3,入金明細!$B$5:$B$1004,"&lt;"&amp;DATE(YEAR(E$3),MONTH(E$3)+1,1)))</f>
        <v/>
      </c>
      <c r="G44" s="27" t="str">
        <f aca="false">IF($A44="","",SUMIFS(請求台帳!$F$5:$F$504,請求台帳!$C$5:$C$504,$A44,請求台帳!$B$5:$B$504,"&gt;="&amp;G$3,請求台帳!$B$5:$B$504,"&lt;"&amp;DATE(YEAR(G$3),MONTH(G$3)+1,1),請求台帳!$Q$5:$Q$504,"&lt;&gt;取消"))</f>
        <v/>
      </c>
      <c r="H44" s="27" t="str">
        <f aca="false">IF($A44="","",SUMIFS(入金明細!$E$5:$E$1004,入金明細!$G$5:$G$1004,$A44,入金明細!$B$5:$B$1004,"&gt;="&amp;G$3,入金明細!$B$5:$B$1004,"&lt;"&amp;DATE(YEAR(G$3),MONTH(G$3)+1,1)))</f>
        <v/>
      </c>
      <c r="I44" s="27" t="str">
        <f aca="false">IF($A44="","",SUMIFS(請求台帳!$F$5:$F$504,請求台帳!$C$5:$C$504,$A44,請求台帳!$B$5:$B$504,"&gt;="&amp;I$3,請求台帳!$B$5:$B$504,"&lt;"&amp;DATE(YEAR(I$3),MONTH(I$3)+1,1),請求台帳!$Q$5:$Q$504,"&lt;&gt;取消"))</f>
        <v/>
      </c>
      <c r="J44" s="27" t="str">
        <f aca="false">IF($A44="","",SUMIFS(入金明細!$E$5:$E$1004,入金明細!$G$5:$G$1004,$A44,入金明細!$B$5:$B$1004,"&gt;="&amp;I$3,入金明細!$B$5:$B$1004,"&lt;"&amp;DATE(YEAR(I$3),MONTH(I$3)+1,1)))</f>
        <v/>
      </c>
      <c r="K44" s="27" t="str">
        <f aca="false">IF($A44="","",SUMIFS(請求台帳!$F$5:$F$504,請求台帳!$C$5:$C$504,$A44,請求台帳!$B$5:$B$504,"&gt;="&amp;K$3,請求台帳!$B$5:$B$504,"&lt;"&amp;DATE(YEAR(K$3),MONTH(K$3)+1,1),請求台帳!$Q$5:$Q$504,"&lt;&gt;取消"))</f>
        <v/>
      </c>
      <c r="L44" s="27" t="str">
        <f aca="false">IF($A44="","",SUMIFS(入金明細!$E$5:$E$1004,入金明細!$G$5:$G$1004,$A44,入金明細!$B$5:$B$1004,"&gt;="&amp;K$3,入金明細!$B$5:$B$1004,"&lt;"&amp;DATE(YEAR(K$3),MONTH(K$3)+1,1)))</f>
        <v/>
      </c>
      <c r="M44" s="27" t="str">
        <f aca="false">IF($A44="","",SUMIFS(請求台帳!$F$5:$F$504,請求台帳!$C$5:$C$504,$A44,請求台帳!$B$5:$B$504,"&gt;="&amp;M$3,請求台帳!$B$5:$B$504,"&lt;"&amp;DATE(YEAR(M$3),MONTH(M$3)+1,1),請求台帳!$Q$5:$Q$504,"&lt;&gt;取消"))</f>
        <v/>
      </c>
      <c r="N44" s="27" t="str">
        <f aca="false">IF($A44="","",SUMIFS(入金明細!$E$5:$E$1004,入金明細!$G$5:$G$1004,$A44,入金明細!$B$5:$B$1004,"&gt;="&amp;M$3,入金明細!$B$5:$B$1004,"&lt;"&amp;DATE(YEAR(M$3),MONTH(M$3)+1,1)))</f>
        <v/>
      </c>
      <c r="O44" s="27" t="str">
        <f aca="false">IF($A44="","",SUMIFS(請求台帳!$F$5:$F$504,請求台帳!$C$5:$C$504,$A44,請求台帳!$B$5:$B$504,"&gt;="&amp;O$3,請求台帳!$B$5:$B$504,"&lt;"&amp;DATE(YEAR(O$3),MONTH(O$3)+1,1),請求台帳!$Q$5:$Q$504,"&lt;&gt;取消"))</f>
        <v/>
      </c>
      <c r="P44" s="27" t="str">
        <f aca="false">IF($A44="","",SUMIFS(入金明細!$E$5:$E$1004,入金明細!$G$5:$G$1004,$A44,入金明細!$B$5:$B$1004,"&gt;="&amp;O$3,入金明細!$B$5:$B$1004,"&lt;"&amp;DATE(YEAR(O$3),MONTH(O$3)+1,1)))</f>
        <v/>
      </c>
      <c r="Q44" s="27" t="str">
        <f aca="false">IF($A44="","",SUMIFS(請求台帳!$F$5:$F$504,請求台帳!$C$5:$C$504,$A44,請求台帳!$B$5:$B$504,"&gt;="&amp;Q$3,請求台帳!$B$5:$B$504,"&lt;"&amp;DATE(YEAR(Q$3),MONTH(Q$3)+1,1),請求台帳!$Q$5:$Q$504,"&lt;&gt;取消"))</f>
        <v/>
      </c>
      <c r="R44" s="27" t="str">
        <f aca="false">IF($A44="","",SUMIFS(入金明細!$E$5:$E$1004,入金明細!$G$5:$G$1004,$A44,入金明細!$B$5:$B$1004,"&gt;="&amp;Q$3,入金明細!$B$5:$B$1004,"&lt;"&amp;DATE(YEAR(Q$3),MONTH(Q$3)+1,1)))</f>
        <v/>
      </c>
      <c r="S44" s="27" t="str">
        <f aca="false">IF($A44="","",SUMIFS(請求台帳!$F$5:$F$504,請求台帳!$C$5:$C$504,$A44,請求台帳!$B$5:$B$504,"&gt;="&amp;S$3,請求台帳!$B$5:$B$504,"&lt;"&amp;DATE(YEAR(S$3),MONTH(S$3)+1,1),請求台帳!$Q$5:$Q$504,"&lt;&gt;取消"))</f>
        <v/>
      </c>
      <c r="T44" s="27" t="str">
        <f aca="false">IF($A44="","",SUMIFS(入金明細!$E$5:$E$1004,入金明細!$G$5:$G$1004,$A44,入金明細!$B$5:$B$1004,"&gt;="&amp;S$3,入金明細!$B$5:$B$1004,"&lt;"&amp;DATE(YEAR(S$3),MONTH(S$3)+1,1)))</f>
        <v/>
      </c>
      <c r="U44" s="27" t="str">
        <f aca="false">IF($A44="","",SUMIFS(請求台帳!$F$5:$F$504,請求台帳!$C$5:$C$504,$A44,請求台帳!$B$5:$B$504,"&gt;="&amp;U$3,請求台帳!$B$5:$B$504,"&lt;"&amp;DATE(YEAR(U$3),MONTH(U$3)+1,1),請求台帳!$Q$5:$Q$504,"&lt;&gt;取消"))</f>
        <v/>
      </c>
      <c r="V44" s="27" t="str">
        <f aca="false">IF($A44="","",SUMIFS(入金明細!$E$5:$E$1004,入金明細!$G$5:$G$1004,$A44,入金明細!$B$5:$B$1004,"&gt;="&amp;U$3,入金明細!$B$5:$B$1004,"&lt;"&amp;DATE(YEAR(U$3),MONTH(U$3)+1,1)))</f>
        <v/>
      </c>
      <c r="W44" s="27" t="str">
        <f aca="false">IF($A44="","",SUMIFS(請求台帳!$F$5:$F$504,請求台帳!$C$5:$C$504,$A44,請求台帳!$B$5:$B$504,"&gt;="&amp;W$3,請求台帳!$B$5:$B$504,"&lt;"&amp;DATE(YEAR(W$3),MONTH(W$3)+1,1),請求台帳!$Q$5:$Q$504,"&lt;&gt;取消"))</f>
        <v/>
      </c>
      <c r="X44" s="27" t="str">
        <f aca="false">IF($A44="","",SUMIFS(入金明細!$E$5:$E$1004,入金明細!$G$5:$G$1004,$A44,入金明細!$B$5:$B$1004,"&gt;="&amp;W$3,入金明細!$B$5:$B$1004,"&lt;"&amp;DATE(YEAR(W$3),MONTH(W$3)+1,1)))</f>
        <v/>
      </c>
      <c r="Y44" s="27" t="str">
        <f aca="false">IF($A44="","",SUMIFS(請求台帳!$F$5:$F$504,請求台帳!$C$5:$C$504,$A44,請求台帳!$B$5:$B$504,"&gt;="&amp;Y$3,請求台帳!$B$5:$B$504,"&lt;"&amp;DATE(YEAR(Y$3),MONTH(Y$3)+1,1),請求台帳!$Q$5:$Q$504,"&lt;&gt;取消"))</f>
        <v/>
      </c>
      <c r="Z44" s="27" t="str">
        <f aca="false">IF($A44="","",SUMIFS(入金明細!$E$5:$E$1004,入金明細!$G$5:$G$1004,$A44,入金明細!$B$5:$B$1004,"&gt;="&amp;Y$3,入金明細!$B$5:$B$1004,"&lt;"&amp;DATE(YEAR(Y$3),MONTH(Y$3)+1,1)))</f>
        <v/>
      </c>
      <c r="AA44" s="37" t="n">
        <f aca="false">SUM(C44,E44,G44,I44,K44,M44,O44,Q44,S44,U44,W44,Y44)</f>
        <v>0</v>
      </c>
      <c r="AB44" s="37" t="n">
        <f aca="false">SUM(D44,F44,H44,J44,L44,N44,P44,R44,T44,V44,X44,Z44)</f>
        <v>0</v>
      </c>
    </row>
    <row r="45" customFormat="false" ht="15" hidden="false" customHeight="false" outlineLevel="0" collapsed="false">
      <c r="A45" s="31" t="str">
        <f aca="false">IF(取引先マスタ!A45="","",取引先マスタ!A45)</f>
        <v/>
      </c>
      <c r="B45" s="31" t="str">
        <f aca="false">IF(A45="","",取引先マスタ!B45)</f>
        <v/>
      </c>
      <c r="C45" s="27" t="str">
        <f aca="false">IF($A45="","",SUMIFS(請求台帳!$F$5:$F$504,請求台帳!$C$5:$C$504,$A45,請求台帳!$B$5:$B$504,"&gt;="&amp;C$3,請求台帳!$B$5:$B$504,"&lt;"&amp;DATE(YEAR(C$3),MONTH(C$3)+1,1),請求台帳!$Q$5:$Q$504,"&lt;&gt;取消"))</f>
        <v/>
      </c>
      <c r="D45" s="27" t="str">
        <f aca="false">IF($A45="","",SUMIFS(入金明細!$E$5:$E$1004,入金明細!$G$5:$G$1004,$A45,入金明細!$B$5:$B$1004,"&gt;="&amp;C$3,入金明細!$B$5:$B$1004,"&lt;"&amp;DATE(YEAR(C$3),MONTH(C$3)+1,1)))</f>
        <v/>
      </c>
      <c r="E45" s="27" t="str">
        <f aca="false">IF($A45="","",SUMIFS(請求台帳!$F$5:$F$504,請求台帳!$C$5:$C$504,$A45,請求台帳!$B$5:$B$504,"&gt;="&amp;E$3,請求台帳!$B$5:$B$504,"&lt;"&amp;DATE(YEAR(E$3),MONTH(E$3)+1,1),請求台帳!$Q$5:$Q$504,"&lt;&gt;取消"))</f>
        <v/>
      </c>
      <c r="F45" s="27" t="str">
        <f aca="false">IF($A45="","",SUMIFS(入金明細!$E$5:$E$1004,入金明細!$G$5:$G$1004,$A45,入金明細!$B$5:$B$1004,"&gt;="&amp;E$3,入金明細!$B$5:$B$1004,"&lt;"&amp;DATE(YEAR(E$3),MONTH(E$3)+1,1)))</f>
        <v/>
      </c>
      <c r="G45" s="27" t="str">
        <f aca="false">IF($A45="","",SUMIFS(請求台帳!$F$5:$F$504,請求台帳!$C$5:$C$504,$A45,請求台帳!$B$5:$B$504,"&gt;="&amp;G$3,請求台帳!$B$5:$B$504,"&lt;"&amp;DATE(YEAR(G$3),MONTH(G$3)+1,1),請求台帳!$Q$5:$Q$504,"&lt;&gt;取消"))</f>
        <v/>
      </c>
      <c r="H45" s="27" t="str">
        <f aca="false">IF($A45="","",SUMIFS(入金明細!$E$5:$E$1004,入金明細!$G$5:$G$1004,$A45,入金明細!$B$5:$B$1004,"&gt;="&amp;G$3,入金明細!$B$5:$B$1004,"&lt;"&amp;DATE(YEAR(G$3),MONTH(G$3)+1,1)))</f>
        <v/>
      </c>
      <c r="I45" s="27" t="str">
        <f aca="false">IF($A45="","",SUMIFS(請求台帳!$F$5:$F$504,請求台帳!$C$5:$C$504,$A45,請求台帳!$B$5:$B$504,"&gt;="&amp;I$3,請求台帳!$B$5:$B$504,"&lt;"&amp;DATE(YEAR(I$3),MONTH(I$3)+1,1),請求台帳!$Q$5:$Q$504,"&lt;&gt;取消"))</f>
        <v/>
      </c>
      <c r="J45" s="27" t="str">
        <f aca="false">IF($A45="","",SUMIFS(入金明細!$E$5:$E$1004,入金明細!$G$5:$G$1004,$A45,入金明細!$B$5:$B$1004,"&gt;="&amp;I$3,入金明細!$B$5:$B$1004,"&lt;"&amp;DATE(YEAR(I$3),MONTH(I$3)+1,1)))</f>
        <v/>
      </c>
      <c r="K45" s="27" t="str">
        <f aca="false">IF($A45="","",SUMIFS(請求台帳!$F$5:$F$504,請求台帳!$C$5:$C$504,$A45,請求台帳!$B$5:$B$504,"&gt;="&amp;K$3,請求台帳!$B$5:$B$504,"&lt;"&amp;DATE(YEAR(K$3),MONTH(K$3)+1,1),請求台帳!$Q$5:$Q$504,"&lt;&gt;取消"))</f>
        <v/>
      </c>
      <c r="L45" s="27" t="str">
        <f aca="false">IF($A45="","",SUMIFS(入金明細!$E$5:$E$1004,入金明細!$G$5:$G$1004,$A45,入金明細!$B$5:$B$1004,"&gt;="&amp;K$3,入金明細!$B$5:$B$1004,"&lt;"&amp;DATE(YEAR(K$3),MONTH(K$3)+1,1)))</f>
        <v/>
      </c>
      <c r="M45" s="27" t="str">
        <f aca="false">IF($A45="","",SUMIFS(請求台帳!$F$5:$F$504,請求台帳!$C$5:$C$504,$A45,請求台帳!$B$5:$B$504,"&gt;="&amp;M$3,請求台帳!$B$5:$B$504,"&lt;"&amp;DATE(YEAR(M$3),MONTH(M$3)+1,1),請求台帳!$Q$5:$Q$504,"&lt;&gt;取消"))</f>
        <v/>
      </c>
      <c r="N45" s="27" t="str">
        <f aca="false">IF($A45="","",SUMIFS(入金明細!$E$5:$E$1004,入金明細!$G$5:$G$1004,$A45,入金明細!$B$5:$B$1004,"&gt;="&amp;M$3,入金明細!$B$5:$B$1004,"&lt;"&amp;DATE(YEAR(M$3),MONTH(M$3)+1,1)))</f>
        <v/>
      </c>
      <c r="O45" s="27" t="str">
        <f aca="false">IF($A45="","",SUMIFS(請求台帳!$F$5:$F$504,請求台帳!$C$5:$C$504,$A45,請求台帳!$B$5:$B$504,"&gt;="&amp;O$3,請求台帳!$B$5:$B$504,"&lt;"&amp;DATE(YEAR(O$3),MONTH(O$3)+1,1),請求台帳!$Q$5:$Q$504,"&lt;&gt;取消"))</f>
        <v/>
      </c>
      <c r="P45" s="27" t="str">
        <f aca="false">IF($A45="","",SUMIFS(入金明細!$E$5:$E$1004,入金明細!$G$5:$G$1004,$A45,入金明細!$B$5:$B$1004,"&gt;="&amp;O$3,入金明細!$B$5:$B$1004,"&lt;"&amp;DATE(YEAR(O$3),MONTH(O$3)+1,1)))</f>
        <v/>
      </c>
      <c r="Q45" s="27" t="str">
        <f aca="false">IF($A45="","",SUMIFS(請求台帳!$F$5:$F$504,請求台帳!$C$5:$C$504,$A45,請求台帳!$B$5:$B$504,"&gt;="&amp;Q$3,請求台帳!$B$5:$B$504,"&lt;"&amp;DATE(YEAR(Q$3),MONTH(Q$3)+1,1),請求台帳!$Q$5:$Q$504,"&lt;&gt;取消"))</f>
        <v/>
      </c>
      <c r="R45" s="27" t="str">
        <f aca="false">IF($A45="","",SUMIFS(入金明細!$E$5:$E$1004,入金明細!$G$5:$G$1004,$A45,入金明細!$B$5:$B$1004,"&gt;="&amp;Q$3,入金明細!$B$5:$B$1004,"&lt;"&amp;DATE(YEAR(Q$3),MONTH(Q$3)+1,1)))</f>
        <v/>
      </c>
      <c r="S45" s="27" t="str">
        <f aca="false">IF($A45="","",SUMIFS(請求台帳!$F$5:$F$504,請求台帳!$C$5:$C$504,$A45,請求台帳!$B$5:$B$504,"&gt;="&amp;S$3,請求台帳!$B$5:$B$504,"&lt;"&amp;DATE(YEAR(S$3),MONTH(S$3)+1,1),請求台帳!$Q$5:$Q$504,"&lt;&gt;取消"))</f>
        <v/>
      </c>
      <c r="T45" s="27" t="str">
        <f aca="false">IF($A45="","",SUMIFS(入金明細!$E$5:$E$1004,入金明細!$G$5:$G$1004,$A45,入金明細!$B$5:$B$1004,"&gt;="&amp;S$3,入金明細!$B$5:$B$1004,"&lt;"&amp;DATE(YEAR(S$3),MONTH(S$3)+1,1)))</f>
        <v/>
      </c>
      <c r="U45" s="27" t="str">
        <f aca="false">IF($A45="","",SUMIFS(請求台帳!$F$5:$F$504,請求台帳!$C$5:$C$504,$A45,請求台帳!$B$5:$B$504,"&gt;="&amp;U$3,請求台帳!$B$5:$B$504,"&lt;"&amp;DATE(YEAR(U$3),MONTH(U$3)+1,1),請求台帳!$Q$5:$Q$504,"&lt;&gt;取消"))</f>
        <v/>
      </c>
      <c r="V45" s="27" t="str">
        <f aca="false">IF($A45="","",SUMIFS(入金明細!$E$5:$E$1004,入金明細!$G$5:$G$1004,$A45,入金明細!$B$5:$B$1004,"&gt;="&amp;U$3,入金明細!$B$5:$B$1004,"&lt;"&amp;DATE(YEAR(U$3),MONTH(U$3)+1,1)))</f>
        <v/>
      </c>
      <c r="W45" s="27" t="str">
        <f aca="false">IF($A45="","",SUMIFS(請求台帳!$F$5:$F$504,請求台帳!$C$5:$C$504,$A45,請求台帳!$B$5:$B$504,"&gt;="&amp;W$3,請求台帳!$B$5:$B$504,"&lt;"&amp;DATE(YEAR(W$3),MONTH(W$3)+1,1),請求台帳!$Q$5:$Q$504,"&lt;&gt;取消"))</f>
        <v/>
      </c>
      <c r="X45" s="27" t="str">
        <f aca="false">IF($A45="","",SUMIFS(入金明細!$E$5:$E$1004,入金明細!$G$5:$G$1004,$A45,入金明細!$B$5:$B$1004,"&gt;="&amp;W$3,入金明細!$B$5:$B$1004,"&lt;"&amp;DATE(YEAR(W$3),MONTH(W$3)+1,1)))</f>
        <v/>
      </c>
      <c r="Y45" s="27" t="str">
        <f aca="false">IF($A45="","",SUMIFS(請求台帳!$F$5:$F$504,請求台帳!$C$5:$C$504,$A45,請求台帳!$B$5:$B$504,"&gt;="&amp;Y$3,請求台帳!$B$5:$B$504,"&lt;"&amp;DATE(YEAR(Y$3),MONTH(Y$3)+1,1),請求台帳!$Q$5:$Q$504,"&lt;&gt;取消"))</f>
        <v/>
      </c>
      <c r="Z45" s="27" t="str">
        <f aca="false">IF($A45="","",SUMIFS(入金明細!$E$5:$E$1004,入金明細!$G$5:$G$1004,$A45,入金明細!$B$5:$B$1004,"&gt;="&amp;Y$3,入金明細!$B$5:$B$1004,"&lt;"&amp;DATE(YEAR(Y$3),MONTH(Y$3)+1,1)))</f>
        <v/>
      </c>
      <c r="AA45" s="37" t="n">
        <f aca="false">SUM(C45,E45,G45,I45,K45,M45,O45,Q45,S45,U45,W45,Y45)</f>
        <v>0</v>
      </c>
      <c r="AB45" s="37" t="n">
        <f aca="false">SUM(D45,F45,H45,J45,L45,N45,P45,R45,T45,V45,X45,Z45)</f>
        <v>0</v>
      </c>
    </row>
    <row r="46" customFormat="false" ht="15" hidden="false" customHeight="false" outlineLevel="0" collapsed="false">
      <c r="A46" s="31" t="str">
        <f aca="false">IF(取引先マスタ!A46="","",取引先マスタ!A46)</f>
        <v/>
      </c>
      <c r="B46" s="31" t="str">
        <f aca="false">IF(A46="","",取引先マスタ!B46)</f>
        <v/>
      </c>
      <c r="C46" s="27" t="str">
        <f aca="false">IF($A46="","",SUMIFS(請求台帳!$F$5:$F$504,請求台帳!$C$5:$C$504,$A46,請求台帳!$B$5:$B$504,"&gt;="&amp;C$3,請求台帳!$B$5:$B$504,"&lt;"&amp;DATE(YEAR(C$3),MONTH(C$3)+1,1),請求台帳!$Q$5:$Q$504,"&lt;&gt;取消"))</f>
        <v/>
      </c>
      <c r="D46" s="27" t="str">
        <f aca="false">IF($A46="","",SUMIFS(入金明細!$E$5:$E$1004,入金明細!$G$5:$G$1004,$A46,入金明細!$B$5:$B$1004,"&gt;="&amp;C$3,入金明細!$B$5:$B$1004,"&lt;"&amp;DATE(YEAR(C$3),MONTH(C$3)+1,1)))</f>
        <v/>
      </c>
      <c r="E46" s="27" t="str">
        <f aca="false">IF($A46="","",SUMIFS(請求台帳!$F$5:$F$504,請求台帳!$C$5:$C$504,$A46,請求台帳!$B$5:$B$504,"&gt;="&amp;E$3,請求台帳!$B$5:$B$504,"&lt;"&amp;DATE(YEAR(E$3),MONTH(E$3)+1,1),請求台帳!$Q$5:$Q$504,"&lt;&gt;取消"))</f>
        <v/>
      </c>
      <c r="F46" s="27" t="str">
        <f aca="false">IF($A46="","",SUMIFS(入金明細!$E$5:$E$1004,入金明細!$G$5:$G$1004,$A46,入金明細!$B$5:$B$1004,"&gt;="&amp;E$3,入金明細!$B$5:$B$1004,"&lt;"&amp;DATE(YEAR(E$3),MONTH(E$3)+1,1)))</f>
        <v/>
      </c>
      <c r="G46" s="27" t="str">
        <f aca="false">IF($A46="","",SUMIFS(請求台帳!$F$5:$F$504,請求台帳!$C$5:$C$504,$A46,請求台帳!$B$5:$B$504,"&gt;="&amp;G$3,請求台帳!$B$5:$B$504,"&lt;"&amp;DATE(YEAR(G$3),MONTH(G$3)+1,1),請求台帳!$Q$5:$Q$504,"&lt;&gt;取消"))</f>
        <v/>
      </c>
      <c r="H46" s="27" t="str">
        <f aca="false">IF($A46="","",SUMIFS(入金明細!$E$5:$E$1004,入金明細!$G$5:$G$1004,$A46,入金明細!$B$5:$B$1004,"&gt;="&amp;G$3,入金明細!$B$5:$B$1004,"&lt;"&amp;DATE(YEAR(G$3),MONTH(G$3)+1,1)))</f>
        <v/>
      </c>
      <c r="I46" s="27" t="str">
        <f aca="false">IF($A46="","",SUMIFS(請求台帳!$F$5:$F$504,請求台帳!$C$5:$C$504,$A46,請求台帳!$B$5:$B$504,"&gt;="&amp;I$3,請求台帳!$B$5:$B$504,"&lt;"&amp;DATE(YEAR(I$3),MONTH(I$3)+1,1),請求台帳!$Q$5:$Q$504,"&lt;&gt;取消"))</f>
        <v/>
      </c>
      <c r="J46" s="27" t="str">
        <f aca="false">IF($A46="","",SUMIFS(入金明細!$E$5:$E$1004,入金明細!$G$5:$G$1004,$A46,入金明細!$B$5:$B$1004,"&gt;="&amp;I$3,入金明細!$B$5:$B$1004,"&lt;"&amp;DATE(YEAR(I$3),MONTH(I$3)+1,1)))</f>
        <v/>
      </c>
      <c r="K46" s="27" t="str">
        <f aca="false">IF($A46="","",SUMIFS(請求台帳!$F$5:$F$504,請求台帳!$C$5:$C$504,$A46,請求台帳!$B$5:$B$504,"&gt;="&amp;K$3,請求台帳!$B$5:$B$504,"&lt;"&amp;DATE(YEAR(K$3),MONTH(K$3)+1,1),請求台帳!$Q$5:$Q$504,"&lt;&gt;取消"))</f>
        <v/>
      </c>
      <c r="L46" s="27" t="str">
        <f aca="false">IF($A46="","",SUMIFS(入金明細!$E$5:$E$1004,入金明細!$G$5:$G$1004,$A46,入金明細!$B$5:$B$1004,"&gt;="&amp;K$3,入金明細!$B$5:$B$1004,"&lt;"&amp;DATE(YEAR(K$3),MONTH(K$3)+1,1)))</f>
        <v/>
      </c>
      <c r="M46" s="27" t="str">
        <f aca="false">IF($A46="","",SUMIFS(請求台帳!$F$5:$F$504,請求台帳!$C$5:$C$504,$A46,請求台帳!$B$5:$B$504,"&gt;="&amp;M$3,請求台帳!$B$5:$B$504,"&lt;"&amp;DATE(YEAR(M$3),MONTH(M$3)+1,1),請求台帳!$Q$5:$Q$504,"&lt;&gt;取消"))</f>
        <v/>
      </c>
      <c r="N46" s="27" t="str">
        <f aca="false">IF($A46="","",SUMIFS(入金明細!$E$5:$E$1004,入金明細!$G$5:$G$1004,$A46,入金明細!$B$5:$B$1004,"&gt;="&amp;M$3,入金明細!$B$5:$B$1004,"&lt;"&amp;DATE(YEAR(M$3),MONTH(M$3)+1,1)))</f>
        <v/>
      </c>
      <c r="O46" s="27" t="str">
        <f aca="false">IF($A46="","",SUMIFS(請求台帳!$F$5:$F$504,請求台帳!$C$5:$C$504,$A46,請求台帳!$B$5:$B$504,"&gt;="&amp;O$3,請求台帳!$B$5:$B$504,"&lt;"&amp;DATE(YEAR(O$3),MONTH(O$3)+1,1),請求台帳!$Q$5:$Q$504,"&lt;&gt;取消"))</f>
        <v/>
      </c>
      <c r="P46" s="27" t="str">
        <f aca="false">IF($A46="","",SUMIFS(入金明細!$E$5:$E$1004,入金明細!$G$5:$G$1004,$A46,入金明細!$B$5:$B$1004,"&gt;="&amp;O$3,入金明細!$B$5:$B$1004,"&lt;"&amp;DATE(YEAR(O$3),MONTH(O$3)+1,1)))</f>
        <v/>
      </c>
      <c r="Q46" s="27" t="str">
        <f aca="false">IF($A46="","",SUMIFS(請求台帳!$F$5:$F$504,請求台帳!$C$5:$C$504,$A46,請求台帳!$B$5:$B$504,"&gt;="&amp;Q$3,請求台帳!$B$5:$B$504,"&lt;"&amp;DATE(YEAR(Q$3),MONTH(Q$3)+1,1),請求台帳!$Q$5:$Q$504,"&lt;&gt;取消"))</f>
        <v/>
      </c>
      <c r="R46" s="27" t="str">
        <f aca="false">IF($A46="","",SUMIFS(入金明細!$E$5:$E$1004,入金明細!$G$5:$G$1004,$A46,入金明細!$B$5:$B$1004,"&gt;="&amp;Q$3,入金明細!$B$5:$B$1004,"&lt;"&amp;DATE(YEAR(Q$3),MONTH(Q$3)+1,1)))</f>
        <v/>
      </c>
      <c r="S46" s="27" t="str">
        <f aca="false">IF($A46="","",SUMIFS(請求台帳!$F$5:$F$504,請求台帳!$C$5:$C$504,$A46,請求台帳!$B$5:$B$504,"&gt;="&amp;S$3,請求台帳!$B$5:$B$504,"&lt;"&amp;DATE(YEAR(S$3),MONTH(S$3)+1,1),請求台帳!$Q$5:$Q$504,"&lt;&gt;取消"))</f>
        <v/>
      </c>
      <c r="T46" s="27" t="str">
        <f aca="false">IF($A46="","",SUMIFS(入金明細!$E$5:$E$1004,入金明細!$G$5:$G$1004,$A46,入金明細!$B$5:$B$1004,"&gt;="&amp;S$3,入金明細!$B$5:$B$1004,"&lt;"&amp;DATE(YEAR(S$3),MONTH(S$3)+1,1)))</f>
        <v/>
      </c>
      <c r="U46" s="27" t="str">
        <f aca="false">IF($A46="","",SUMIFS(請求台帳!$F$5:$F$504,請求台帳!$C$5:$C$504,$A46,請求台帳!$B$5:$B$504,"&gt;="&amp;U$3,請求台帳!$B$5:$B$504,"&lt;"&amp;DATE(YEAR(U$3),MONTH(U$3)+1,1),請求台帳!$Q$5:$Q$504,"&lt;&gt;取消"))</f>
        <v/>
      </c>
      <c r="V46" s="27" t="str">
        <f aca="false">IF($A46="","",SUMIFS(入金明細!$E$5:$E$1004,入金明細!$G$5:$G$1004,$A46,入金明細!$B$5:$B$1004,"&gt;="&amp;U$3,入金明細!$B$5:$B$1004,"&lt;"&amp;DATE(YEAR(U$3),MONTH(U$3)+1,1)))</f>
        <v/>
      </c>
      <c r="W46" s="27" t="str">
        <f aca="false">IF($A46="","",SUMIFS(請求台帳!$F$5:$F$504,請求台帳!$C$5:$C$504,$A46,請求台帳!$B$5:$B$504,"&gt;="&amp;W$3,請求台帳!$B$5:$B$504,"&lt;"&amp;DATE(YEAR(W$3),MONTH(W$3)+1,1),請求台帳!$Q$5:$Q$504,"&lt;&gt;取消"))</f>
        <v/>
      </c>
      <c r="X46" s="27" t="str">
        <f aca="false">IF($A46="","",SUMIFS(入金明細!$E$5:$E$1004,入金明細!$G$5:$G$1004,$A46,入金明細!$B$5:$B$1004,"&gt;="&amp;W$3,入金明細!$B$5:$B$1004,"&lt;"&amp;DATE(YEAR(W$3),MONTH(W$3)+1,1)))</f>
        <v/>
      </c>
      <c r="Y46" s="27" t="str">
        <f aca="false">IF($A46="","",SUMIFS(請求台帳!$F$5:$F$504,請求台帳!$C$5:$C$504,$A46,請求台帳!$B$5:$B$504,"&gt;="&amp;Y$3,請求台帳!$B$5:$B$504,"&lt;"&amp;DATE(YEAR(Y$3),MONTH(Y$3)+1,1),請求台帳!$Q$5:$Q$504,"&lt;&gt;取消"))</f>
        <v/>
      </c>
      <c r="Z46" s="27" t="str">
        <f aca="false">IF($A46="","",SUMIFS(入金明細!$E$5:$E$1004,入金明細!$G$5:$G$1004,$A46,入金明細!$B$5:$B$1004,"&gt;="&amp;Y$3,入金明細!$B$5:$B$1004,"&lt;"&amp;DATE(YEAR(Y$3),MONTH(Y$3)+1,1)))</f>
        <v/>
      </c>
      <c r="AA46" s="37" t="n">
        <f aca="false">SUM(C46,E46,G46,I46,K46,M46,O46,Q46,S46,U46,W46,Y46)</f>
        <v>0</v>
      </c>
      <c r="AB46" s="37" t="n">
        <f aca="false">SUM(D46,F46,H46,J46,L46,N46,P46,R46,T46,V46,X46,Z46)</f>
        <v>0</v>
      </c>
    </row>
    <row r="47" customFormat="false" ht="15" hidden="false" customHeight="false" outlineLevel="0" collapsed="false">
      <c r="A47" s="31" t="str">
        <f aca="false">IF(取引先マスタ!A47="","",取引先マスタ!A47)</f>
        <v/>
      </c>
      <c r="B47" s="31" t="str">
        <f aca="false">IF(A47="","",取引先マスタ!B47)</f>
        <v/>
      </c>
      <c r="C47" s="27" t="str">
        <f aca="false">IF($A47="","",SUMIFS(請求台帳!$F$5:$F$504,請求台帳!$C$5:$C$504,$A47,請求台帳!$B$5:$B$504,"&gt;="&amp;C$3,請求台帳!$B$5:$B$504,"&lt;"&amp;DATE(YEAR(C$3),MONTH(C$3)+1,1),請求台帳!$Q$5:$Q$504,"&lt;&gt;取消"))</f>
        <v/>
      </c>
      <c r="D47" s="27" t="str">
        <f aca="false">IF($A47="","",SUMIFS(入金明細!$E$5:$E$1004,入金明細!$G$5:$G$1004,$A47,入金明細!$B$5:$B$1004,"&gt;="&amp;C$3,入金明細!$B$5:$B$1004,"&lt;"&amp;DATE(YEAR(C$3),MONTH(C$3)+1,1)))</f>
        <v/>
      </c>
      <c r="E47" s="27" t="str">
        <f aca="false">IF($A47="","",SUMIFS(請求台帳!$F$5:$F$504,請求台帳!$C$5:$C$504,$A47,請求台帳!$B$5:$B$504,"&gt;="&amp;E$3,請求台帳!$B$5:$B$504,"&lt;"&amp;DATE(YEAR(E$3),MONTH(E$3)+1,1),請求台帳!$Q$5:$Q$504,"&lt;&gt;取消"))</f>
        <v/>
      </c>
      <c r="F47" s="27" t="str">
        <f aca="false">IF($A47="","",SUMIFS(入金明細!$E$5:$E$1004,入金明細!$G$5:$G$1004,$A47,入金明細!$B$5:$B$1004,"&gt;="&amp;E$3,入金明細!$B$5:$B$1004,"&lt;"&amp;DATE(YEAR(E$3),MONTH(E$3)+1,1)))</f>
        <v/>
      </c>
      <c r="G47" s="27" t="str">
        <f aca="false">IF($A47="","",SUMIFS(請求台帳!$F$5:$F$504,請求台帳!$C$5:$C$504,$A47,請求台帳!$B$5:$B$504,"&gt;="&amp;G$3,請求台帳!$B$5:$B$504,"&lt;"&amp;DATE(YEAR(G$3),MONTH(G$3)+1,1),請求台帳!$Q$5:$Q$504,"&lt;&gt;取消"))</f>
        <v/>
      </c>
      <c r="H47" s="27" t="str">
        <f aca="false">IF($A47="","",SUMIFS(入金明細!$E$5:$E$1004,入金明細!$G$5:$G$1004,$A47,入金明細!$B$5:$B$1004,"&gt;="&amp;G$3,入金明細!$B$5:$B$1004,"&lt;"&amp;DATE(YEAR(G$3),MONTH(G$3)+1,1)))</f>
        <v/>
      </c>
      <c r="I47" s="27" t="str">
        <f aca="false">IF($A47="","",SUMIFS(請求台帳!$F$5:$F$504,請求台帳!$C$5:$C$504,$A47,請求台帳!$B$5:$B$504,"&gt;="&amp;I$3,請求台帳!$B$5:$B$504,"&lt;"&amp;DATE(YEAR(I$3),MONTH(I$3)+1,1),請求台帳!$Q$5:$Q$504,"&lt;&gt;取消"))</f>
        <v/>
      </c>
      <c r="J47" s="27" t="str">
        <f aca="false">IF($A47="","",SUMIFS(入金明細!$E$5:$E$1004,入金明細!$G$5:$G$1004,$A47,入金明細!$B$5:$B$1004,"&gt;="&amp;I$3,入金明細!$B$5:$B$1004,"&lt;"&amp;DATE(YEAR(I$3),MONTH(I$3)+1,1)))</f>
        <v/>
      </c>
      <c r="K47" s="27" t="str">
        <f aca="false">IF($A47="","",SUMIFS(請求台帳!$F$5:$F$504,請求台帳!$C$5:$C$504,$A47,請求台帳!$B$5:$B$504,"&gt;="&amp;K$3,請求台帳!$B$5:$B$504,"&lt;"&amp;DATE(YEAR(K$3),MONTH(K$3)+1,1),請求台帳!$Q$5:$Q$504,"&lt;&gt;取消"))</f>
        <v/>
      </c>
      <c r="L47" s="27" t="str">
        <f aca="false">IF($A47="","",SUMIFS(入金明細!$E$5:$E$1004,入金明細!$G$5:$G$1004,$A47,入金明細!$B$5:$B$1004,"&gt;="&amp;K$3,入金明細!$B$5:$B$1004,"&lt;"&amp;DATE(YEAR(K$3),MONTH(K$3)+1,1)))</f>
        <v/>
      </c>
      <c r="M47" s="27" t="str">
        <f aca="false">IF($A47="","",SUMIFS(請求台帳!$F$5:$F$504,請求台帳!$C$5:$C$504,$A47,請求台帳!$B$5:$B$504,"&gt;="&amp;M$3,請求台帳!$B$5:$B$504,"&lt;"&amp;DATE(YEAR(M$3),MONTH(M$3)+1,1),請求台帳!$Q$5:$Q$504,"&lt;&gt;取消"))</f>
        <v/>
      </c>
      <c r="N47" s="27" t="str">
        <f aca="false">IF($A47="","",SUMIFS(入金明細!$E$5:$E$1004,入金明細!$G$5:$G$1004,$A47,入金明細!$B$5:$B$1004,"&gt;="&amp;M$3,入金明細!$B$5:$B$1004,"&lt;"&amp;DATE(YEAR(M$3),MONTH(M$3)+1,1)))</f>
        <v/>
      </c>
      <c r="O47" s="27" t="str">
        <f aca="false">IF($A47="","",SUMIFS(請求台帳!$F$5:$F$504,請求台帳!$C$5:$C$504,$A47,請求台帳!$B$5:$B$504,"&gt;="&amp;O$3,請求台帳!$B$5:$B$504,"&lt;"&amp;DATE(YEAR(O$3),MONTH(O$3)+1,1),請求台帳!$Q$5:$Q$504,"&lt;&gt;取消"))</f>
        <v/>
      </c>
      <c r="P47" s="27" t="str">
        <f aca="false">IF($A47="","",SUMIFS(入金明細!$E$5:$E$1004,入金明細!$G$5:$G$1004,$A47,入金明細!$B$5:$B$1004,"&gt;="&amp;O$3,入金明細!$B$5:$B$1004,"&lt;"&amp;DATE(YEAR(O$3),MONTH(O$3)+1,1)))</f>
        <v/>
      </c>
      <c r="Q47" s="27" t="str">
        <f aca="false">IF($A47="","",SUMIFS(請求台帳!$F$5:$F$504,請求台帳!$C$5:$C$504,$A47,請求台帳!$B$5:$B$504,"&gt;="&amp;Q$3,請求台帳!$B$5:$B$504,"&lt;"&amp;DATE(YEAR(Q$3),MONTH(Q$3)+1,1),請求台帳!$Q$5:$Q$504,"&lt;&gt;取消"))</f>
        <v/>
      </c>
      <c r="R47" s="27" t="str">
        <f aca="false">IF($A47="","",SUMIFS(入金明細!$E$5:$E$1004,入金明細!$G$5:$G$1004,$A47,入金明細!$B$5:$B$1004,"&gt;="&amp;Q$3,入金明細!$B$5:$B$1004,"&lt;"&amp;DATE(YEAR(Q$3),MONTH(Q$3)+1,1)))</f>
        <v/>
      </c>
      <c r="S47" s="27" t="str">
        <f aca="false">IF($A47="","",SUMIFS(請求台帳!$F$5:$F$504,請求台帳!$C$5:$C$504,$A47,請求台帳!$B$5:$B$504,"&gt;="&amp;S$3,請求台帳!$B$5:$B$504,"&lt;"&amp;DATE(YEAR(S$3),MONTH(S$3)+1,1),請求台帳!$Q$5:$Q$504,"&lt;&gt;取消"))</f>
        <v/>
      </c>
      <c r="T47" s="27" t="str">
        <f aca="false">IF($A47="","",SUMIFS(入金明細!$E$5:$E$1004,入金明細!$G$5:$G$1004,$A47,入金明細!$B$5:$B$1004,"&gt;="&amp;S$3,入金明細!$B$5:$B$1004,"&lt;"&amp;DATE(YEAR(S$3),MONTH(S$3)+1,1)))</f>
        <v/>
      </c>
      <c r="U47" s="27" t="str">
        <f aca="false">IF($A47="","",SUMIFS(請求台帳!$F$5:$F$504,請求台帳!$C$5:$C$504,$A47,請求台帳!$B$5:$B$504,"&gt;="&amp;U$3,請求台帳!$B$5:$B$504,"&lt;"&amp;DATE(YEAR(U$3),MONTH(U$3)+1,1),請求台帳!$Q$5:$Q$504,"&lt;&gt;取消"))</f>
        <v/>
      </c>
      <c r="V47" s="27" t="str">
        <f aca="false">IF($A47="","",SUMIFS(入金明細!$E$5:$E$1004,入金明細!$G$5:$G$1004,$A47,入金明細!$B$5:$B$1004,"&gt;="&amp;U$3,入金明細!$B$5:$B$1004,"&lt;"&amp;DATE(YEAR(U$3),MONTH(U$3)+1,1)))</f>
        <v/>
      </c>
      <c r="W47" s="27" t="str">
        <f aca="false">IF($A47="","",SUMIFS(請求台帳!$F$5:$F$504,請求台帳!$C$5:$C$504,$A47,請求台帳!$B$5:$B$504,"&gt;="&amp;W$3,請求台帳!$B$5:$B$504,"&lt;"&amp;DATE(YEAR(W$3),MONTH(W$3)+1,1),請求台帳!$Q$5:$Q$504,"&lt;&gt;取消"))</f>
        <v/>
      </c>
      <c r="X47" s="27" t="str">
        <f aca="false">IF($A47="","",SUMIFS(入金明細!$E$5:$E$1004,入金明細!$G$5:$G$1004,$A47,入金明細!$B$5:$B$1004,"&gt;="&amp;W$3,入金明細!$B$5:$B$1004,"&lt;"&amp;DATE(YEAR(W$3),MONTH(W$3)+1,1)))</f>
        <v/>
      </c>
      <c r="Y47" s="27" t="str">
        <f aca="false">IF($A47="","",SUMIFS(請求台帳!$F$5:$F$504,請求台帳!$C$5:$C$504,$A47,請求台帳!$B$5:$B$504,"&gt;="&amp;Y$3,請求台帳!$B$5:$B$504,"&lt;"&amp;DATE(YEAR(Y$3),MONTH(Y$3)+1,1),請求台帳!$Q$5:$Q$504,"&lt;&gt;取消"))</f>
        <v/>
      </c>
      <c r="Z47" s="27" t="str">
        <f aca="false">IF($A47="","",SUMIFS(入金明細!$E$5:$E$1004,入金明細!$G$5:$G$1004,$A47,入金明細!$B$5:$B$1004,"&gt;="&amp;Y$3,入金明細!$B$5:$B$1004,"&lt;"&amp;DATE(YEAR(Y$3),MONTH(Y$3)+1,1)))</f>
        <v/>
      </c>
      <c r="AA47" s="37" t="n">
        <f aca="false">SUM(C47,E47,G47,I47,K47,M47,O47,Q47,S47,U47,W47,Y47)</f>
        <v>0</v>
      </c>
      <c r="AB47" s="37" t="n">
        <f aca="false">SUM(D47,F47,H47,J47,L47,N47,P47,R47,T47,V47,X47,Z47)</f>
        <v>0</v>
      </c>
    </row>
    <row r="48" customFormat="false" ht="15" hidden="false" customHeight="false" outlineLevel="0" collapsed="false">
      <c r="A48" s="31" t="str">
        <f aca="false">IF(取引先マスタ!A48="","",取引先マスタ!A48)</f>
        <v/>
      </c>
      <c r="B48" s="31" t="str">
        <f aca="false">IF(A48="","",取引先マスタ!B48)</f>
        <v/>
      </c>
      <c r="C48" s="27" t="str">
        <f aca="false">IF($A48="","",SUMIFS(請求台帳!$F$5:$F$504,請求台帳!$C$5:$C$504,$A48,請求台帳!$B$5:$B$504,"&gt;="&amp;C$3,請求台帳!$B$5:$B$504,"&lt;"&amp;DATE(YEAR(C$3),MONTH(C$3)+1,1),請求台帳!$Q$5:$Q$504,"&lt;&gt;取消"))</f>
        <v/>
      </c>
      <c r="D48" s="27" t="str">
        <f aca="false">IF($A48="","",SUMIFS(入金明細!$E$5:$E$1004,入金明細!$G$5:$G$1004,$A48,入金明細!$B$5:$B$1004,"&gt;="&amp;C$3,入金明細!$B$5:$B$1004,"&lt;"&amp;DATE(YEAR(C$3),MONTH(C$3)+1,1)))</f>
        <v/>
      </c>
      <c r="E48" s="27" t="str">
        <f aca="false">IF($A48="","",SUMIFS(請求台帳!$F$5:$F$504,請求台帳!$C$5:$C$504,$A48,請求台帳!$B$5:$B$504,"&gt;="&amp;E$3,請求台帳!$B$5:$B$504,"&lt;"&amp;DATE(YEAR(E$3),MONTH(E$3)+1,1),請求台帳!$Q$5:$Q$504,"&lt;&gt;取消"))</f>
        <v/>
      </c>
      <c r="F48" s="27" t="str">
        <f aca="false">IF($A48="","",SUMIFS(入金明細!$E$5:$E$1004,入金明細!$G$5:$G$1004,$A48,入金明細!$B$5:$B$1004,"&gt;="&amp;E$3,入金明細!$B$5:$B$1004,"&lt;"&amp;DATE(YEAR(E$3),MONTH(E$3)+1,1)))</f>
        <v/>
      </c>
      <c r="G48" s="27" t="str">
        <f aca="false">IF($A48="","",SUMIFS(請求台帳!$F$5:$F$504,請求台帳!$C$5:$C$504,$A48,請求台帳!$B$5:$B$504,"&gt;="&amp;G$3,請求台帳!$B$5:$B$504,"&lt;"&amp;DATE(YEAR(G$3),MONTH(G$3)+1,1),請求台帳!$Q$5:$Q$504,"&lt;&gt;取消"))</f>
        <v/>
      </c>
      <c r="H48" s="27" t="str">
        <f aca="false">IF($A48="","",SUMIFS(入金明細!$E$5:$E$1004,入金明細!$G$5:$G$1004,$A48,入金明細!$B$5:$B$1004,"&gt;="&amp;G$3,入金明細!$B$5:$B$1004,"&lt;"&amp;DATE(YEAR(G$3),MONTH(G$3)+1,1)))</f>
        <v/>
      </c>
      <c r="I48" s="27" t="str">
        <f aca="false">IF($A48="","",SUMIFS(請求台帳!$F$5:$F$504,請求台帳!$C$5:$C$504,$A48,請求台帳!$B$5:$B$504,"&gt;="&amp;I$3,請求台帳!$B$5:$B$504,"&lt;"&amp;DATE(YEAR(I$3),MONTH(I$3)+1,1),請求台帳!$Q$5:$Q$504,"&lt;&gt;取消"))</f>
        <v/>
      </c>
      <c r="J48" s="27" t="str">
        <f aca="false">IF($A48="","",SUMIFS(入金明細!$E$5:$E$1004,入金明細!$G$5:$G$1004,$A48,入金明細!$B$5:$B$1004,"&gt;="&amp;I$3,入金明細!$B$5:$B$1004,"&lt;"&amp;DATE(YEAR(I$3),MONTH(I$3)+1,1)))</f>
        <v/>
      </c>
      <c r="K48" s="27" t="str">
        <f aca="false">IF($A48="","",SUMIFS(請求台帳!$F$5:$F$504,請求台帳!$C$5:$C$504,$A48,請求台帳!$B$5:$B$504,"&gt;="&amp;K$3,請求台帳!$B$5:$B$504,"&lt;"&amp;DATE(YEAR(K$3),MONTH(K$3)+1,1),請求台帳!$Q$5:$Q$504,"&lt;&gt;取消"))</f>
        <v/>
      </c>
      <c r="L48" s="27" t="str">
        <f aca="false">IF($A48="","",SUMIFS(入金明細!$E$5:$E$1004,入金明細!$G$5:$G$1004,$A48,入金明細!$B$5:$B$1004,"&gt;="&amp;K$3,入金明細!$B$5:$B$1004,"&lt;"&amp;DATE(YEAR(K$3),MONTH(K$3)+1,1)))</f>
        <v/>
      </c>
      <c r="M48" s="27" t="str">
        <f aca="false">IF($A48="","",SUMIFS(請求台帳!$F$5:$F$504,請求台帳!$C$5:$C$504,$A48,請求台帳!$B$5:$B$504,"&gt;="&amp;M$3,請求台帳!$B$5:$B$504,"&lt;"&amp;DATE(YEAR(M$3),MONTH(M$3)+1,1),請求台帳!$Q$5:$Q$504,"&lt;&gt;取消"))</f>
        <v/>
      </c>
      <c r="N48" s="27" t="str">
        <f aca="false">IF($A48="","",SUMIFS(入金明細!$E$5:$E$1004,入金明細!$G$5:$G$1004,$A48,入金明細!$B$5:$B$1004,"&gt;="&amp;M$3,入金明細!$B$5:$B$1004,"&lt;"&amp;DATE(YEAR(M$3),MONTH(M$3)+1,1)))</f>
        <v/>
      </c>
      <c r="O48" s="27" t="str">
        <f aca="false">IF($A48="","",SUMIFS(請求台帳!$F$5:$F$504,請求台帳!$C$5:$C$504,$A48,請求台帳!$B$5:$B$504,"&gt;="&amp;O$3,請求台帳!$B$5:$B$504,"&lt;"&amp;DATE(YEAR(O$3),MONTH(O$3)+1,1),請求台帳!$Q$5:$Q$504,"&lt;&gt;取消"))</f>
        <v/>
      </c>
      <c r="P48" s="27" t="str">
        <f aca="false">IF($A48="","",SUMIFS(入金明細!$E$5:$E$1004,入金明細!$G$5:$G$1004,$A48,入金明細!$B$5:$B$1004,"&gt;="&amp;O$3,入金明細!$B$5:$B$1004,"&lt;"&amp;DATE(YEAR(O$3),MONTH(O$3)+1,1)))</f>
        <v/>
      </c>
      <c r="Q48" s="27" t="str">
        <f aca="false">IF($A48="","",SUMIFS(請求台帳!$F$5:$F$504,請求台帳!$C$5:$C$504,$A48,請求台帳!$B$5:$B$504,"&gt;="&amp;Q$3,請求台帳!$B$5:$B$504,"&lt;"&amp;DATE(YEAR(Q$3),MONTH(Q$3)+1,1),請求台帳!$Q$5:$Q$504,"&lt;&gt;取消"))</f>
        <v/>
      </c>
      <c r="R48" s="27" t="str">
        <f aca="false">IF($A48="","",SUMIFS(入金明細!$E$5:$E$1004,入金明細!$G$5:$G$1004,$A48,入金明細!$B$5:$B$1004,"&gt;="&amp;Q$3,入金明細!$B$5:$B$1004,"&lt;"&amp;DATE(YEAR(Q$3),MONTH(Q$3)+1,1)))</f>
        <v/>
      </c>
      <c r="S48" s="27" t="str">
        <f aca="false">IF($A48="","",SUMIFS(請求台帳!$F$5:$F$504,請求台帳!$C$5:$C$504,$A48,請求台帳!$B$5:$B$504,"&gt;="&amp;S$3,請求台帳!$B$5:$B$504,"&lt;"&amp;DATE(YEAR(S$3),MONTH(S$3)+1,1),請求台帳!$Q$5:$Q$504,"&lt;&gt;取消"))</f>
        <v/>
      </c>
      <c r="T48" s="27" t="str">
        <f aca="false">IF($A48="","",SUMIFS(入金明細!$E$5:$E$1004,入金明細!$G$5:$G$1004,$A48,入金明細!$B$5:$B$1004,"&gt;="&amp;S$3,入金明細!$B$5:$B$1004,"&lt;"&amp;DATE(YEAR(S$3),MONTH(S$3)+1,1)))</f>
        <v/>
      </c>
      <c r="U48" s="27" t="str">
        <f aca="false">IF($A48="","",SUMIFS(請求台帳!$F$5:$F$504,請求台帳!$C$5:$C$504,$A48,請求台帳!$B$5:$B$504,"&gt;="&amp;U$3,請求台帳!$B$5:$B$504,"&lt;"&amp;DATE(YEAR(U$3),MONTH(U$3)+1,1),請求台帳!$Q$5:$Q$504,"&lt;&gt;取消"))</f>
        <v/>
      </c>
      <c r="V48" s="27" t="str">
        <f aca="false">IF($A48="","",SUMIFS(入金明細!$E$5:$E$1004,入金明細!$G$5:$G$1004,$A48,入金明細!$B$5:$B$1004,"&gt;="&amp;U$3,入金明細!$B$5:$B$1004,"&lt;"&amp;DATE(YEAR(U$3),MONTH(U$3)+1,1)))</f>
        <v/>
      </c>
      <c r="W48" s="27" t="str">
        <f aca="false">IF($A48="","",SUMIFS(請求台帳!$F$5:$F$504,請求台帳!$C$5:$C$504,$A48,請求台帳!$B$5:$B$504,"&gt;="&amp;W$3,請求台帳!$B$5:$B$504,"&lt;"&amp;DATE(YEAR(W$3),MONTH(W$3)+1,1),請求台帳!$Q$5:$Q$504,"&lt;&gt;取消"))</f>
        <v/>
      </c>
      <c r="X48" s="27" t="str">
        <f aca="false">IF($A48="","",SUMIFS(入金明細!$E$5:$E$1004,入金明細!$G$5:$G$1004,$A48,入金明細!$B$5:$B$1004,"&gt;="&amp;W$3,入金明細!$B$5:$B$1004,"&lt;"&amp;DATE(YEAR(W$3),MONTH(W$3)+1,1)))</f>
        <v/>
      </c>
      <c r="Y48" s="27" t="str">
        <f aca="false">IF($A48="","",SUMIFS(請求台帳!$F$5:$F$504,請求台帳!$C$5:$C$504,$A48,請求台帳!$B$5:$B$504,"&gt;="&amp;Y$3,請求台帳!$B$5:$B$504,"&lt;"&amp;DATE(YEAR(Y$3),MONTH(Y$3)+1,1),請求台帳!$Q$5:$Q$504,"&lt;&gt;取消"))</f>
        <v/>
      </c>
      <c r="Z48" s="27" t="str">
        <f aca="false">IF($A48="","",SUMIFS(入金明細!$E$5:$E$1004,入金明細!$G$5:$G$1004,$A48,入金明細!$B$5:$B$1004,"&gt;="&amp;Y$3,入金明細!$B$5:$B$1004,"&lt;"&amp;DATE(YEAR(Y$3),MONTH(Y$3)+1,1)))</f>
        <v/>
      </c>
      <c r="AA48" s="37" t="n">
        <f aca="false">SUM(C48,E48,G48,I48,K48,M48,O48,Q48,S48,U48,W48,Y48)</f>
        <v>0</v>
      </c>
      <c r="AB48" s="37" t="n">
        <f aca="false">SUM(D48,F48,H48,J48,L48,N48,P48,R48,T48,V48,X48,Z48)</f>
        <v>0</v>
      </c>
    </row>
    <row r="49" customFormat="false" ht="15" hidden="false" customHeight="false" outlineLevel="0" collapsed="false">
      <c r="A49" s="31" t="str">
        <f aca="false">IF(取引先マスタ!A49="","",取引先マスタ!A49)</f>
        <v/>
      </c>
      <c r="B49" s="31" t="str">
        <f aca="false">IF(A49="","",取引先マスタ!B49)</f>
        <v/>
      </c>
      <c r="C49" s="27" t="str">
        <f aca="false">IF($A49="","",SUMIFS(請求台帳!$F$5:$F$504,請求台帳!$C$5:$C$504,$A49,請求台帳!$B$5:$B$504,"&gt;="&amp;C$3,請求台帳!$B$5:$B$504,"&lt;"&amp;DATE(YEAR(C$3),MONTH(C$3)+1,1),請求台帳!$Q$5:$Q$504,"&lt;&gt;取消"))</f>
        <v/>
      </c>
      <c r="D49" s="27" t="str">
        <f aca="false">IF($A49="","",SUMIFS(入金明細!$E$5:$E$1004,入金明細!$G$5:$G$1004,$A49,入金明細!$B$5:$B$1004,"&gt;="&amp;C$3,入金明細!$B$5:$B$1004,"&lt;"&amp;DATE(YEAR(C$3),MONTH(C$3)+1,1)))</f>
        <v/>
      </c>
      <c r="E49" s="27" t="str">
        <f aca="false">IF($A49="","",SUMIFS(請求台帳!$F$5:$F$504,請求台帳!$C$5:$C$504,$A49,請求台帳!$B$5:$B$504,"&gt;="&amp;E$3,請求台帳!$B$5:$B$504,"&lt;"&amp;DATE(YEAR(E$3),MONTH(E$3)+1,1),請求台帳!$Q$5:$Q$504,"&lt;&gt;取消"))</f>
        <v/>
      </c>
      <c r="F49" s="27" t="str">
        <f aca="false">IF($A49="","",SUMIFS(入金明細!$E$5:$E$1004,入金明細!$G$5:$G$1004,$A49,入金明細!$B$5:$B$1004,"&gt;="&amp;E$3,入金明細!$B$5:$B$1004,"&lt;"&amp;DATE(YEAR(E$3),MONTH(E$3)+1,1)))</f>
        <v/>
      </c>
      <c r="G49" s="27" t="str">
        <f aca="false">IF($A49="","",SUMIFS(請求台帳!$F$5:$F$504,請求台帳!$C$5:$C$504,$A49,請求台帳!$B$5:$B$504,"&gt;="&amp;G$3,請求台帳!$B$5:$B$504,"&lt;"&amp;DATE(YEAR(G$3),MONTH(G$3)+1,1),請求台帳!$Q$5:$Q$504,"&lt;&gt;取消"))</f>
        <v/>
      </c>
      <c r="H49" s="27" t="str">
        <f aca="false">IF($A49="","",SUMIFS(入金明細!$E$5:$E$1004,入金明細!$G$5:$G$1004,$A49,入金明細!$B$5:$B$1004,"&gt;="&amp;G$3,入金明細!$B$5:$B$1004,"&lt;"&amp;DATE(YEAR(G$3),MONTH(G$3)+1,1)))</f>
        <v/>
      </c>
      <c r="I49" s="27" t="str">
        <f aca="false">IF($A49="","",SUMIFS(請求台帳!$F$5:$F$504,請求台帳!$C$5:$C$504,$A49,請求台帳!$B$5:$B$504,"&gt;="&amp;I$3,請求台帳!$B$5:$B$504,"&lt;"&amp;DATE(YEAR(I$3),MONTH(I$3)+1,1),請求台帳!$Q$5:$Q$504,"&lt;&gt;取消"))</f>
        <v/>
      </c>
      <c r="J49" s="27" t="str">
        <f aca="false">IF($A49="","",SUMIFS(入金明細!$E$5:$E$1004,入金明細!$G$5:$G$1004,$A49,入金明細!$B$5:$B$1004,"&gt;="&amp;I$3,入金明細!$B$5:$B$1004,"&lt;"&amp;DATE(YEAR(I$3),MONTH(I$3)+1,1)))</f>
        <v/>
      </c>
      <c r="K49" s="27" t="str">
        <f aca="false">IF($A49="","",SUMIFS(請求台帳!$F$5:$F$504,請求台帳!$C$5:$C$504,$A49,請求台帳!$B$5:$B$504,"&gt;="&amp;K$3,請求台帳!$B$5:$B$504,"&lt;"&amp;DATE(YEAR(K$3),MONTH(K$3)+1,1),請求台帳!$Q$5:$Q$504,"&lt;&gt;取消"))</f>
        <v/>
      </c>
      <c r="L49" s="27" t="str">
        <f aca="false">IF($A49="","",SUMIFS(入金明細!$E$5:$E$1004,入金明細!$G$5:$G$1004,$A49,入金明細!$B$5:$B$1004,"&gt;="&amp;K$3,入金明細!$B$5:$B$1004,"&lt;"&amp;DATE(YEAR(K$3),MONTH(K$3)+1,1)))</f>
        <v/>
      </c>
      <c r="M49" s="27" t="str">
        <f aca="false">IF($A49="","",SUMIFS(請求台帳!$F$5:$F$504,請求台帳!$C$5:$C$504,$A49,請求台帳!$B$5:$B$504,"&gt;="&amp;M$3,請求台帳!$B$5:$B$504,"&lt;"&amp;DATE(YEAR(M$3),MONTH(M$3)+1,1),請求台帳!$Q$5:$Q$504,"&lt;&gt;取消"))</f>
        <v/>
      </c>
      <c r="N49" s="27" t="str">
        <f aca="false">IF($A49="","",SUMIFS(入金明細!$E$5:$E$1004,入金明細!$G$5:$G$1004,$A49,入金明細!$B$5:$B$1004,"&gt;="&amp;M$3,入金明細!$B$5:$B$1004,"&lt;"&amp;DATE(YEAR(M$3),MONTH(M$3)+1,1)))</f>
        <v/>
      </c>
      <c r="O49" s="27" t="str">
        <f aca="false">IF($A49="","",SUMIFS(請求台帳!$F$5:$F$504,請求台帳!$C$5:$C$504,$A49,請求台帳!$B$5:$B$504,"&gt;="&amp;O$3,請求台帳!$B$5:$B$504,"&lt;"&amp;DATE(YEAR(O$3),MONTH(O$3)+1,1),請求台帳!$Q$5:$Q$504,"&lt;&gt;取消"))</f>
        <v/>
      </c>
      <c r="P49" s="27" t="str">
        <f aca="false">IF($A49="","",SUMIFS(入金明細!$E$5:$E$1004,入金明細!$G$5:$G$1004,$A49,入金明細!$B$5:$B$1004,"&gt;="&amp;O$3,入金明細!$B$5:$B$1004,"&lt;"&amp;DATE(YEAR(O$3),MONTH(O$3)+1,1)))</f>
        <v/>
      </c>
      <c r="Q49" s="27" t="str">
        <f aca="false">IF($A49="","",SUMIFS(請求台帳!$F$5:$F$504,請求台帳!$C$5:$C$504,$A49,請求台帳!$B$5:$B$504,"&gt;="&amp;Q$3,請求台帳!$B$5:$B$504,"&lt;"&amp;DATE(YEAR(Q$3),MONTH(Q$3)+1,1),請求台帳!$Q$5:$Q$504,"&lt;&gt;取消"))</f>
        <v/>
      </c>
      <c r="R49" s="27" t="str">
        <f aca="false">IF($A49="","",SUMIFS(入金明細!$E$5:$E$1004,入金明細!$G$5:$G$1004,$A49,入金明細!$B$5:$B$1004,"&gt;="&amp;Q$3,入金明細!$B$5:$B$1004,"&lt;"&amp;DATE(YEAR(Q$3),MONTH(Q$3)+1,1)))</f>
        <v/>
      </c>
      <c r="S49" s="27" t="str">
        <f aca="false">IF($A49="","",SUMIFS(請求台帳!$F$5:$F$504,請求台帳!$C$5:$C$504,$A49,請求台帳!$B$5:$B$504,"&gt;="&amp;S$3,請求台帳!$B$5:$B$504,"&lt;"&amp;DATE(YEAR(S$3),MONTH(S$3)+1,1),請求台帳!$Q$5:$Q$504,"&lt;&gt;取消"))</f>
        <v/>
      </c>
      <c r="T49" s="27" t="str">
        <f aca="false">IF($A49="","",SUMIFS(入金明細!$E$5:$E$1004,入金明細!$G$5:$G$1004,$A49,入金明細!$B$5:$B$1004,"&gt;="&amp;S$3,入金明細!$B$5:$B$1004,"&lt;"&amp;DATE(YEAR(S$3),MONTH(S$3)+1,1)))</f>
        <v/>
      </c>
      <c r="U49" s="27" t="str">
        <f aca="false">IF($A49="","",SUMIFS(請求台帳!$F$5:$F$504,請求台帳!$C$5:$C$504,$A49,請求台帳!$B$5:$B$504,"&gt;="&amp;U$3,請求台帳!$B$5:$B$504,"&lt;"&amp;DATE(YEAR(U$3),MONTH(U$3)+1,1),請求台帳!$Q$5:$Q$504,"&lt;&gt;取消"))</f>
        <v/>
      </c>
      <c r="V49" s="27" t="str">
        <f aca="false">IF($A49="","",SUMIFS(入金明細!$E$5:$E$1004,入金明細!$G$5:$G$1004,$A49,入金明細!$B$5:$B$1004,"&gt;="&amp;U$3,入金明細!$B$5:$B$1004,"&lt;"&amp;DATE(YEAR(U$3),MONTH(U$3)+1,1)))</f>
        <v/>
      </c>
      <c r="W49" s="27" t="str">
        <f aca="false">IF($A49="","",SUMIFS(請求台帳!$F$5:$F$504,請求台帳!$C$5:$C$504,$A49,請求台帳!$B$5:$B$504,"&gt;="&amp;W$3,請求台帳!$B$5:$B$504,"&lt;"&amp;DATE(YEAR(W$3),MONTH(W$3)+1,1),請求台帳!$Q$5:$Q$504,"&lt;&gt;取消"))</f>
        <v/>
      </c>
      <c r="X49" s="27" t="str">
        <f aca="false">IF($A49="","",SUMIFS(入金明細!$E$5:$E$1004,入金明細!$G$5:$G$1004,$A49,入金明細!$B$5:$B$1004,"&gt;="&amp;W$3,入金明細!$B$5:$B$1004,"&lt;"&amp;DATE(YEAR(W$3),MONTH(W$3)+1,1)))</f>
        <v/>
      </c>
      <c r="Y49" s="27" t="str">
        <f aca="false">IF($A49="","",SUMIFS(請求台帳!$F$5:$F$504,請求台帳!$C$5:$C$504,$A49,請求台帳!$B$5:$B$504,"&gt;="&amp;Y$3,請求台帳!$B$5:$B$504,"&lt;"&amp;DATE(YEAR(Y$3),MONTH(Y$3)+1,1),請求台帳!$Q$5:$Q$504,"&lt;&gt;取消"))</f>
        <v/>
      </c>
      <c r="Z49" s="27" t="str">
        <f aca="false">IF($A49="","",SUMIFS(入金明細!$E$5:$E$1004,入金明細!$G$5:$G$1004,$A49,入金明細!$B$5:$B$1004,"&gt;="&amp;Y$3,入金明細!$B$5:$B$1004,"&lt;"&amp;DATE(YEAR(Y$3),MONTH(Y$3)+1,1)))</f>
        <v/>
      </c>
      <c r="AA49" s="37" t="n">
        <f aca="false">SUM(C49,E49,G49,I49,K49,M49,O49,Q49,S49,U49,W49,Y49)</f>
        <v>0</v>
      </c>
      <c r="AB49" s="37" t="n">
        <f aca="false">SUM(D49,F49,H49,J49,L49,N49,P49,R49,T49,V49,X49,Z49)</f>
        <v>0</v>
      </c>
    </row>
    <row r="50" customFormat="false" ht="15" hidden="false" customHeight="false" outlineLevel="0" collapsed="false">
      <c r="A50" s="31" t="str">
        <f aca="false">IF(取引先マスタ!A50="","",取引先マスタ!A50)</f>
        <v/>
      </c>
      <c r="B50" s="31" t="str">
        <f aca="false">IF(A50="","",取引先マスタ!B50)</f>
        <v/>
      </c>
      <c r="C50" s="27" t="str">
        <f aca="false">IF($A50="","",SUMIFS(請求台帳!$F$5:$F$504,請求台帳!$C$5:$C$504,$A50,請求台帳!$B$5:$B$504,"&gt;="&amp;C$3,請求台帳!$B$5:$B$504,"&lt;"&amp;DATE(YEAR(C$3),MONTH(C$3)+1,1),請求台帳!$Q$5:$Q$504,"&lt;&gt;取消"))</f>
        <v/>
      </c>
      <c r="D50" s="27" t="str">
        <f aca="false">IF($A50="","",SUMIFS(入金明細!$E$5:$E$1004,入金明細!$G$5:$G$1004,$A50,入金明細!$B$5:$B$1004,"&gt;="&amp;C$3,入金明細!$B$5:$B$1004,"&lt;"&amp;DATE(YEAR(C$3),MONTH(C$3)+1,1)))</f>
        <v/>
      </c>
      <c r="E50" s="27" t="str">
        <f aca="false">IF($A50="","",SUMIFS(請求台帳!$F$5:$F$504,請求台帳!$C$5:$C$504,$A50,請求台帳!$B$5:$B$504,"&gt;="&amp;E$3,請求台帳!$B$5:$B$504,"&lt;"&amp;DATE(YEAR(E$3),MONTH(E$3)+1,1),請求台帳!$Q$5:$Q$504,"&lt;&gt;取消"))</f>
        <v/>
      </c>
      <c r="F50" s="27" t="str">
        <f aca="false">IF($A50="","",SUMIFS(入金明細!$E$5:$E$1004,入金明細!$G$5:$G$1004,$A50,入金明細!$B$5:$B$1004,"&gt;="&amp;E$3,入金明細!$B$5:$B$1004,"&lt;"&amp;DATE(YEAR(E$3),MONTH(E$3)+1,1)))</f>
        <v/>
      </c>
      <c r="G50" s="27" t="str">
        <f aca="false">IF($A50="","",SUMIFS(請求台帳!$F$5:$F$504,請求台帳!$C$5:$C$504,$A50,請求台帳!$B$5:$B$504,"&gt;="&amp;G$3,請求台帳!$B$5:$B$504,"&lt;"&amp;DATE(YEAR(G$3),MONTH(G$3)+1,1),請求台帳!$Q$5:$Q$504,"&lt;&gt;取消"))</f>
        <v/>
      </c>
      <c r="H50" s="27" t="str">
        <f aca="false">IF($A50="","",SUMIFS(入金明細!$E$5:$E$1004,入金明細!$G$5:$G$1004,$A50,入金明細!$B$5:$B$1004,"&gt;="&amp;G$3,入金明細!$B$5:$B$1004,"&lt;"&amp;DATE(YEAR(G$3),MONTH(G$3)+1,1)))</f>
        <v/>
      </c>
      <c r="I50" s="27" t="str">
        <f aca="false">IF($A50="","",SUMIFS(請求台帳!$F$5:$F$504,請求台帳!$C$5:$C$504,$A50,請求台帳!$B$5:$B$504,"&gt;="&amp;I$3,請求台帳!$B$5:$B$504,"&lt;"&amp;DATE(YEAR(I$3),MONTH(I$3)+1,1),請求台帳!$Q$5:$Q$504,"&lt;&gt;取消"))</f>
        <v/>
      </c>
      <c r="J50" s="27" t="str">
        <f aca="false">IF($A50="","",SUMIFS(入金明細!$E$5:$E$1004,入金明細!$G$5:$G$1004,$A50,入金明細!$B$5:$B$1004,"&gt;="&amp;I$3,入金明細!$B$5:$B$1004,"&lt;"&amp;DATE(YEAR(I$3),MONTH(I$3)+1,1)))</f>
        <v/>
      </c>
      <c r="K50" s="27" t="str">
        <f aca="false">IF($A50="","",SUMIFS(請求台帳!$F$5:$F$504,請求台帳!$C$5:$C$504,$A50,請求台帳!$B$5:$B$504,"&gt;="&amp;K$3,請求台帳!$B$5:$B$504,"&lt;"&amp;DATE(YEAR(K$3),MONTH(K$3)+1,1),請求台帳!$Q$5:$Q$504,"&lt;&gt;取消"))</f>
        <v/>
      </c>
      <c r="L50" s="27" t="str">
        <f aca="false">IF($A50="","",SUMIFS(入金明細!$E$5:$E$1004,入金明細!$G$5:$G$1004,$A50,入金明細!$B$5:$B$1004,"&gt;="&amp;K$3,入金明細!$B$5:$B$1004,"&lt;"&amp;DATE(YEAR(K$3),MONTH(K$3)+1,1)))</f>
        <v/>
      </c>
      <c r="M50" s="27" t="str">
        <f aca="false">IF($A50="","",SUMIFS(請求台帳!$F$5:$F$504,請求台帳!$C$5:$C$504,$A50,請求台帳!$B$5:$B$504,"&gt;="&amp;M$3,請求台帳!$B$5:$B$504,"&lt;"&amp;DATE(YEAR(M$3),MONTH(M$3)+1,1),請求台帳!$Q$5:$Q$504,"&lt;&gt;取消"))</f>
        <v/>
      </c>
      <c r="N50" s="27" t="str">
        <f aca="false">IF($A50="","",SUMIFS(入金明細!$E$5:$E$1004,入金明細!$G$5:$G$1004,$A50,入金明細!$B$5:$B$1004,"&gt;="&amp;M$3,入金明細!$B$5:$B$1004,"&lt;"&amp;DATE(YEAR(M$3),MONTH(M$3)+1,1)))</f>
        <v/>
      </c>
      <c r="O50" s="27" t="str">
        <f aca="false">IF($A50="","",SUMIFS(請求台帳!$F$5:$F$504,請求台帳!$C$5:$C$504,$A50,請求台帳!$B$5:$B$504,"&gt;="&amp;O$3,請求台帳!$B$5:$B$504,"&lt;"&amp;DATE(YEAR(O$3),MONTH(O$3)+1,1),請求台帳!$Q$5:$Q$504,"&lt;&gt;取消"))</f>
        <v/>
      </c>
      <c r="P50" s="27" t="str">
        <f aca="false">IF($A50="","",SUMIFS(入金明細!$E$5:$E$1004,入金明細!$G$5:$G$1004,$A50,入金明細!$B$5:$B$1004,"&gt;="&amp;O$3,入金明細!$B$5:$B$1004,"&lt;"&amp;DATE(YEAR(O$3),MONTH(O$3)+1,1)))</f>
        <v/>
      </c>
      <c r="Q50" s="27" t="str">
        <f aca="false">IF($A50="","",SUMIFS(請求台帳!$F$5:$F$504,請求台帳!$C$5:$C$504,$A50,請求台帳!$B$5:$B$504,"&gt;="&amp;Q$3,請求台帳!$B$5:$B$504,"&lt;"&amp;DATE(YEAR(Q$3),MONTH(Q$3)+1,1),請求台帳!$Q$5:$Q$504,"&lt;&gt;取消"))</f>
        <v/>
      </c>
      <c r="R50" s="27" t="str">
        <f aca="false">IF($A50="","",SUMIFS(入金明細!$E$5:$E$1004,入金明細!$G$5:$G$1004,$A50,入金明細!$B$5:$B$1004,"&gt;="&amp;Q$3,入金明細!$B$5:$B$1004,"&lt;"&amp;DATE(YEAR(Q$3),MONTH(Q$3)+1,1)))</f>
        <v/>
      </c>
      <c r="S50" s="27" t="str">
        <f aca="false">IF($A50="","",SUMIFS(請求台帳!$F$5:$F$504,請求台帳!$C$5:$C$504,$A50,請求台帳!$B$5:$B$504,"&gt;="&amp;S$3,請求台帳!$B$5:$B$504,"&lt;"&amp;DATE(YEAR(S$3),MONTH(S$3)+1,1),請求台帳!$Q$5:$Q$504,"&lt;&gt;取消"))</f>
        <v/>
      </c>
      <c r="T50" s="27" t="str">
        <f aca="false">IF($A50="","",SUMIFS(入金明細!$E$5:$E$1004,入金明細!$G$5:$G$1004,$A50,入金明細!$B$5:$B$1004,"&gt;="&amp;S$3,入金明細!$B$5:$B$1004,"&lt;"&amp;DATE(YEAR(S$3),MONTH(S$3)+1,1)))</f>
        <v/>
      </c>
      <c r="U50" s="27" t="str">
        <f aca="false">IF($A50="","",SUMIFS(請求台帳!$F$5:$F$504,請求台帳!$C$5:$C$504,$A50,請求台帳!$B$5:$B$504,"&gt;="&amp;U$3,請求台帳!$B$5:$B$504,"&lt;"&amp;DATE(YEAR(U$3),MONTH(U$3)+1,1),請求台帳!$Q$5:$Q$504,"&lt;&gt;取消"))</f>
        <v/>
      </c>
      <c r="V50" s="27" t="str">
        <f aca="false">IF($A50="","",SUMIFS(入金明細!$E$5:$E$1004,入金明細!$G$5:$G$1004,$A50,入金明細!$B$5:$B$1004,"&gt;="&amp;U$3,入金明細!$B$5:$B$1004,"&lt;"&amp;DATE(YEAR(U$3),MONTH(U$3)+1,1)))</f>
        <v/>
      </c>
      <c r="W50" s="27" t="str">
        <f aca="false">IF($A50="","",SUMIFS(請求台帳!$F$5:$F$504,請求台帳!$C$5:$C$504,$A50,請求台帳!$B$5:$B$504,"&gt;="&amp;W$3,請求台帳!$B$5:$B$504,"&lt;"&amp;DATE(YEAR(W$3),MONTH(W$3)+1,1),請求台帳!$Q$5:$Q$504,"&lt;&gt;取消"))</f>
        <v/>
      </c>
      <c r="X50" s="27" t="str">
        <f aca="false">IF($A50="","",SUMIFS(入金明細!$E$5:$E$1004,入金明細!$G$5:$G$1004,$A50,入金明細!$B$5:$B$1004,"&gt;="&amp;W$3,入金明細!$B$5:$B$1004,"&lt;"&amp;DATE(YEAR(W$3),MONTH(W$3)+1,1)))</f>
        <v/>
      </c>
      <c r="Y50" s="27" t="str">
        <f aca="false">IF($A50="","",SUMIFS(請求台帳!$F$5:$F$504,請求台帳!$C$5:$C$504,$A50,請求台帳!$B$5:$B$504,"&gt;="&amp;Y$3,請求台帳!$B$5:$B$504,"&lt;"&amp;DATE(YEAR(Y$3),MONTH(Y$3)+1,1),請求台帳!$Q$5:$Q$504,"&lt;&gt;取消"))</f>
        <v/>
      </c>
      <c r="Z50" s="27" t="str">
        <f aca="false">IF($A50="","",SUMIFS(入金明細!$E$5:$E$1004,入金明細!$G$5:$G$1004,$A50,入金明細!$B$5:$B$1004,"&gt;="&amp;Y$3,入金明細!$B$5:$B$1004,"&lt;"&amp;DATE(YEAR(Y$3),MONTH(Y$3)+1,1)))</f>
        <v/>
      </c>
      <c r="AA50" s="37" t="n">
        <f aca="false">SUM(C50,E50,G50,I50,K50,M50,O50,Q50,S50,U50,W50,Y50)</f>
        <v>0</v>
      </c>
      <c r="AB50" s="37" t="n">
        <f aca="false">SUM(D50,F50,H50,J50,L50,N50,P50,R50,T50,V50,X50,Z50)</f>
        <v>0</v>
      </c>
    </row>
    <row r="51" customFormat="false" ht="15" hidden="false" customHeight="false" outlineLevel="0" collapsed="false">
      <c r="A51" s="31" t="str">
        <f aca="false">IF(取引先マスタ!A51="","",取引先マスタ!A51)</f>
        <v/>
      </c>
      <c r="B51" s="31" t="str">
        <f aca="false">IF(A51="","",取引先マスタ!B51)</f>
        <v/>
      </c>
      <c r="C51" s="27" t="str">
        <f aca="false">IF($A51="","",SUMIFS(請求台帳!$F$5:$F$504,請求台帳!$C$5:$C$504,$A51,請求台帳!$B$5:$B$504,"&gt;="&amp;C$3,請求台帳!$B$5:$B$504,"&lt;"&amp;DATE(YEAR(C$3),MONTH(C$3)+1,1),請求台帳!$Q$5:$Q$504,"&lt;&gt;取消"))</f>
        <v/>
      </c>
      <c r="D51" s="27" t="str">
        <f aca="false">IF($A51="","",SUMIFS(入金明細!$E$5:$E$1004,入金明細!$G$5:$G$1004,$A51,入金明細!$B$5:$B$1004,"&gt;="&amp;C$3,入金明細!$B$5:$B$1004,"&lt;"&amp;DATE(YEAR(C$3),MONTH(C$3)+1,1)))</f>
        <v/>
      </c>
      <c r="E51" s="27" t="str">
        <f aca="false">IF($A51="","",SUMIFS(請求台帳!$F$5:$F$504,請求台帳!$C$5:$C$504,$A51,請求台帳!$B$5:$B$504,"&gt;="&amp;E$3,請求台帳!$B$5:$B$504,"&lt;"&amp;DATE(YEAR(E$3),MONTH(E$3)+1,1),請求台帳!$Q$5:$Q$504,"&lt;&gt;取消"))</f>
        <v/>
      </c>
      <c r="F51" s="27" t="str">
        <f aca="false">IF($A51="","",SUMIFS(入金明細!$E$5:$E$1004,入金明細!$G$5:$G$1004,$A51,入金明細!$B$5:$B$1004,"&gt;="&amp;E$3,入金明細!$B$5:$B$1004,"&lt;"&amp;DATE(YEAR(E$3),MONTH(E$3)+1,1)))</f>
        <v/>
      </c>
      <c r="G51" s="27" t="str">
        <f aca="false">IF($A51="","",SUMIFS(請求台帳!$F$5:$F$504,請求台帳!$C$5:$C$504,$A51,請求台帳!$B$5:$B$504,"&gt;="&amp;G$3,請求台帳!$B$5:$B$504,"&lt;"&amp;DATE(YEAR(G$3),MONTH(G$3)+1,1),請求台帳!$Q$5:$Q$504,"&lt;&gt;取消"))</f>
        <v/>
      </c>
      <c r="H51" s="27" t="str">
        <f aca="false">IF($A51="","",SUMIFS(入金明細!$E$5:$E$1004,入金明細!$G$5:$G$1004,$A51,入金明細!$B$5:$B$1004,"&gt;="&amp;G$3,入金明細!$B$5:$B$1004,"&lt;"&amp;DATE(YEAR(G$3),MONTH(G$3)+1,1)))</f>
        <v/>
      </c>
      <c r="I51" s="27" t="str">
        <f aca="false">IF($A51="","",SUMIFS(請求台帳!$F$5:$F$504,請求台帳!$C$5:$C$504,$A51,請求台帳!$B$5:$B$504,"&gt;="&amp;I$3,請求台帳!$B$5:$B$504,"&lt;"&amp;DATE(YEAR(I$3),MONTH(I$3)+1,1),請求台帳!$Q$5:$Q$504,"&lt;&gt;取消"))</f>
        <v/>
      </c>
      <c r="J51" s="27" t="str">
        <f aca="false">IF($A51="","",SUMIFS(入金明細!$E$5:$E$1004,入金明細!$G$5:$G$1004,$A51,入金明細!$B$5:$B$1004,"&gt;="&amp;I$3,入金明細!$B$5:$B$1004,"&lt;"&amp;DATE(YEAR(I$3),MONTH(I$3)+1,1)))</f>
        <v/>
      </c>
      <c r="K51" s="27" t="str">
        <f aca="false">IF($A51="","",SUMIFS(請求台帳!$F$5:$F$504,請求台帳!$C$5:$C$504,$A51,請求台帳!$B$5:$B$504,"&gt;="&amp;K$3,請求台帳!$B$5:$B$504,"&lt;"&amp;DATE(YEAR(K$3),MONTH(K$3)+1,1),請求台帳!$Q$5:$Q$504,"&lt;&gt;取消"))</f>
        <v/>
      </c>
      <c r="L51" s="27" t="str">
        <f aca="false">IF($A51="","",SUMIFS(入金明細!$E$5:$E$1004,入金明細!$G$5:$G$1004,$A51,入金明細!$B$5:$B$1004,"&gt;="&amp;K$3,入金明細!$B$5:$B$1004,"&lt;"&amp;DATE(YEAR(K$3),MONTH(K$3)+1,1)))</f>
        <v/>
      </c>
      <c r="M51" s="27" t="str">
        <f aca="false">IF($A51="","",SUMIFS(請求台帳!$F$5:$F$504,請求台帳!$C$5:$C$504,$A51,請求台帳!$B$5:$B$504,"&gt;="&amp;M$3,請求台帳!$B$5:$B$504,"&lt;"&amp;DATE(YEAR(M$3),MONTH(M$3)+1,1),請求台帳!$Q$5:$Q$504,"&lt;&gt;取消"))</f>
        <v/>
      </c>
      <c r="N51" s="27" t="str">
        <f aca="false">IF($A51="","",SUMIFS(入金明細!$E$5:$E$1004,入金明細!$G$5:$G$1004,$A51,入金明細!$B$5:$B$1004,"&gt;="&amp;M$3,入金明細!$B$5:$B$1004,"&lt;"&amp;DATE(YEAR(M$3),MONTH(M$3)+1,1)))</f>
        <v/>
      </c>
      <c r="O51" s="27" t="str">
        <f aca="false">IF($A51="","",SUMIFS(請求台帳!$F$5:$F$504,請求台帳!$C$5:$C$504,$A51,請求台帳!$B$5:$B$504,"&gt;="&amp;O$3,請求台帳!$B$5:$B$504,"&lt;"&amp;DATE(YEAR(O$3),MONTH(O$3)+1,1),請求台帳!$Q$5:$Q$504,"&lt;&gt;取消"))</f>
        <v/>
      </c>
      <c r="P51" s="27" t="str">
        <f aca="false">IF($A51="","",SUMIFS(入金明細!$E$5:$E$1004,入金明細!$G$5:$G$1004,$A51,入金明細!$B$5:$B$1004,"&gt;="&amp;O$3,入金明細!$B$5:$B$1004,"&lt;"&amp;DATE(YEAR(O$3),MONTH(O$3)+1,1)))</f>
        <v/>
      </c>
      <c r="Q51" s="27" t="str">
        <f aca="false">IF($A51="","",SUMIFS(請求台帳!$F$5:$F$504,請求台帳!$C$5:$C$504,$A51,請求台帳!$B$5:$B$504,"&gt;="&amp;Q$3,請求台帳!$B$5:$B$504,"&lt;"&amp;DATE(YEAR(Q$3),MONTH(Q$3)+1,1),請求台帳!$Q$5:$Q$504,"&lt;&gt;取消"))</f>
        <v/>
      </c>
      <c r="R51" s="27" t="str">
        <f aca="false">IF($A51="","",SUMIFS(入金明細!$E$5:$E$1004,入金明細!$G$5:$G$1004,$A51,入金明細!$B$5:$B$1004,"&gt;="&amp;Q$3,入金明細!$B$5:$B$1004,"&lt;"&amp;DATE(YEAR(Q$3),MONTH(Q$3)+1,1)))</f>
        <v/>
      </c>
      <c r="S51" s="27" t="str">
        <f aca="false">IF($A51="","",SUMIFS(請求台帳!$F$5:$F$504,請求台帳!$C$5:$C$504,$A51,請求台帳!$B$5:$B$504,"&gt;="&amp;S$3,請求台帳!$B$5:$B$504,"&lt;"&amp;DATE(YEAR(S$3),MONTH(S$3)+1,1),請求台帳!$Q$5:$Q$504,"&lt;&gt;取消"))</f>
        <v/>
      </c>
      <c r="T51" s="27" t="str">
        <f aca="false">IF($A51="","",SUMIFS(入金明細!$E$5:$E$1004,入金明細!$G$5:$G$1004,$A51,入金明細!$B$5:$B$1004,"&gt;="&amp;S$3,入金明細!$B$5:$B$1004,"&lt;"&amp;DATE(YEAR(S$3),MONTH(S$3)+1,1)))</f>
        <v/>
      </c>
      <c r="U51" s="27" t="str">
        <f aca="false">IF($A51="","",SUMIFS(請求台帳!$F$5:$F$504,請求台帳!$C$5:$C$504,$A51,請求台帳!$B$5:$B$504,"&gt;="&amp;U$3,請求台帳!$B$5:$B$504,"&lt;"&amp;DATE(YEAR(U$3),MONTH(U$3)+1,1),請求台帳!$Q$5:$Q$504,"&lt;&gt;取消"))</f>
        <v/>
      </c>
      <c r="V51" s="27" t="str">
        <f aca="false">IF($A51="","",SUMIFS(入金明細!$E$5:$E$1004,入金明細!$G$5:$G$1004,$A51,入金明細!$B$5:$B$1004,"&gt;="&amp;U$3,入金明細!$B$5:$B$1004,"&lt;"&amp;DATE(YEAR(U$3),MONTH(U$3)+1,1)))</f>
        <v/>
      </c>
      <c r="W51" s="27" t="str">
        <f aca="false">IF($A51="","",SUMIFS(請求台帳!$F$5:$F$504,請求台帳!$C$5:$C$504,$A51,請求台帳!$B$5:$B$504,"&gt;="&amp;W$3,請求台帳!$B$5:$B$504,"&lt;"&amp;DATE(YEAR(W$3),MONTH(W$3)+1,1),請求台帳!$Q$5:$Q$504,"&lt;&gt;取消"))</f>
        <v/>
      </c>
      <c r="X51" s="27" t="str">
        <f aca="false">IF($A51="","",SUMIFS(入金明細!$E$5:$E$1004,入金明細!$G$5:$G$1004,$A51,入金明細!$B$5:$B$1004,"&gt;="&amp;W$3,入金明細!$B$5:$B$1004,"&lt;"&amp;DATE(YEAR(W$3),MONTH(W$3)+1,1)))</f>
        <v/>
      </c>
      <c r="Y51" s="27" t="str">
        <f aca="false">IF($A51="","",SUMIFS(請求台帳!$F$5:$F$504,請求台帳!$C$5:$C$504,$A51,請求台帳!$B$5:$B$504,"&gt;="&amp;Y$3,請求台帳!$B$5:$B$504,"&lt;"&amp;DATE(YEAR(Y$3),MONTH(Y$3)+1,1),請求台帳!$Q$5:$Q$504,"&lt;&gt;取消"))</f>
        <v/>
      </c>
      <c r="Z51" s="27" t="str">
        <f aca="false">IF($A51="","",SUMIFS(入金明細!$E$5:$E$1004,入金明細!$G$5:$G$1004,$A51,入金明細!$B$5:$B$1004,"&gt;="&amp;Y$3,入金明細!$B$5:$B$1004,"&lt;"&amp;DATE(YEAR(Y$3),MONTH(Y$3)+1,1)))</f>
        <v/>
      </c>
      <c r="AA51" s="37" t="n">
        <f aca="false">SUM(C51,E51,G51,I51,K51,M51,O51,Q51,S51,U51,W51,Y51)</f>
        <v>0</v>
      </c>
      <c r="AB51" s="37" t="n">
        <f aca="false">SUM(D51,F51,H51,J51,L51,N51,P51,R51,T51,V51,X51,Z51)</f>
        <v>0</v>
      </c>
    </row>
    <row r="52" customFormat="false" ht="15" hidden="false" customHeight="false" outlineLevel="0" collapsed="false">
      <c r="A52" s="31" t="str">
        <f aca="false">IF(取引先マスタ!A52="","",取引先マスタ!A52)</f>
        <v/>
      </c>
      <c r="B52" s="31" t="str">
        <f aca="false">IF(A52="","",取引先マスタ!B52)</f>
        <v/>
      </c>
      <c r="C52" s="27" t="str">
        <f aca="false">IF($A52="","",SUMIFS(請求台帳!$F$5:$F$504,請求台帳!$C$5:$C$504,$A52,請求台帳!$B$5:$B$504,"&gt;="&amp;C$3,請求台帳!$B$5:$B$504,"&lt;"&amp;DATE(YEAR(C$3),MONTH(C$3)+1,1),請求台帳!$Q$5:$Q$504,"&lt;&gt;取消"))</f>
        <v/>
      </c>
      <c r="D52" s="27" t="str">
        <f aca="false">IF($A52="","",SUMIFS(入金明細!$E$5:$E$1004,入金明細!$G$5:$G$1004,$A52,入金明細!$B$5:$B$1004,"&gt;="&amp;C$3,入金明細!$B$5:$B$1004,"&lt;"&amp;DATE(YEAR(C$3),MONTH(C$3)+1,1)))</f>
        <v/>
      </c>
      <c r="E52" s="27" t="str">
        <f aca="false">IF($A52="","",SUMIFS(請求台帳!$F$5:$F$504,請求台帳!$C$5:$C$504,$A52,請求台帳!$B$5:$B$504,"&gt;="&amp;E$3,請求台帳!$B$5:$B$504,"&lt;"&amp;DATE(YEAR(E$3),MONTH(E$3)+1,1),請求台帳!$Q$5:$Q$504,"&lt;&gt;取消"))</f>
        <v/>
      </c>
      <c r="F52" s="27" t="str">
        <f aca="false">IF($A52="","",SUMIFS(入金明細!$E$5:$E$1004,入金明細!$G$5:$G$1004,$A52,入金明細!$B$5:$B$1004,"&gt;="&amp;E$3,入金明細!$B$5:$B$1004,"&lt;"&amp;DATE(YEAR(E$3),MONTH(E$3)+1,1)))</f>
        <v/>
      </c>
      <c r="G52" s="27" t="str">
        <f aca="false">IF($A52="","",SUMIFS(請求台帳!$F$5:$F$504,請求台帳!$C$5:$C$504,$A52,請求台帳!$B$5:$B$504,"&gt;="&amp;G$3,請求台帳!$B$5:$B$504,"&lt;"&amp;DATE(YEAR(G$3),MONTH(G$3)+1,1),請求台帳!$Q$5:$Q$504,"&lt;&gt;取消"))</f>
        <v/>
      </c>
      <c r="H52" s="27" t="str">
        <f aca="false">IF($A52="","",SUMIFS(入金明細!$E$5:$E$1004,入金明細!$G$5:$G$1004,$A52,入金明細!$B$5:$B$1004,"&gt;="&amp;G$3,入金明細!$B$5:$B$1004,"&lt;"&amp;DATE(YEAR(G$3),MONTH(G$3)+1,1)))</f>
        <v/>
      </c>
      <c r="I52" s="27" t="str">
        <f aca="false">IF($A52="","",SUMIFS(請求台帳!$F$5:$F$504,請求台帳!$C$5:$C$504,$A52,請求台帳!$B$5:$B$504,"&gt;="&amp;I$3,請求台帳!$B$5:$B$504,"&lt;"&amp;DATE(YEAR(I$3),MONTH(I$3)+1,1),請求台帳!$Q$5:$Q$504,"&lt;&gt;取消"))</f>
        <v/>
      </c>
      <c r="J52" s="27" t="str">
        <f aca="false">IF($A52="","",SUMIFS(入金明細!$E$5:$E$1004,入金明細!$G$5:$G$1004,$A52,入金明細!$B$5:$B$1004,"&gt;="&amp;I$3,入金明細!$B$5:$B$1004,"&lt;"&amp;DATE(YEAR(I$3),MONTH(I$3)+1,1)))</f>
        <v/>
      </c>
      <c r="K52" s="27" t="str">
        <f aca="false">IF($A52="","",SUMIFS(請求台帳!$F$5:$F$504,請求台帳!$C$5:$C$504,$A52,請求台帳!$B$5:$B$504,"&gt;="&amp;K$3,請求台帳!$B$5:$B$504,"&lt;"&amp;DATE(YEAR(K$3),MONTH(K$3)+1,1),請求台帳!$Q$5:$Q$504,"&lt;&gt;取消"))</f>
        <v/>
      </c>
      <c r="L52" s="27" t="str">
        <f aca="false">IF($A52="","",SUMIFS(入金明細!$E$5:$E$1004,入金明細!$G$5:$G$1004,$A52,入金明細!$B$5:$B$1004,"&gt;="&amp;K$3,入金明細!$B$5:$B$1004,"&lt;"&amp;DATE(YEAR(K$3),MONTH(K$3)+1,1)))</f>
        <v/>
      </c>
      <c r="M52" s="27" t="str">
        <f aca="false">IF($A52="","",SUMIFS(請求台帳!$F$5:$F$504,請求台帳!$C$5:$C$504,$A52,請求台帳!$B$5:$B$504,"&gt;="&amp;M$3,請求台帳!$B$5:$B$504,"&lt;"&amp;DATE(YEAR(M$3),MONTH(M$3)+1,1),請求台帳!$Q$5:$Q$504,"&lt;&gt;取消"))</f>
        <v/>
      </c>
      <c r="N52" s="27" t="str">
        <f aca="false">IF($A52="","",SUMIFS(入金明細!$E$5:$E$1004,入金明細!$G$5:$G$1004,$A52,入金明細!$B$5:$B$1004,"&gt;="&amp;M$3,入金明細!$B$5:$B$1004,"&lt;"&amp;DATE(YEAR(M$3),MONTH(M$3)+1,1)))</f>
        <v/>
      </c>
      <c r="O52" s="27" t="str">
        <f aca="false">IF($A52="","",SUMIFS(請求台帳!$F$5:$F$504,請求台帳!$C$5:$C$504,$A52,請求台帳!$B$5:$B$504,"&gt;="&amp;O$3,請求台帳!$B$5:$B$504,"&lt;"&amp;DATE(YEAR(O$3),MONTH(O$3)+1,1),請求台帳!$Q$5:$Q$504,"&lt;&gt;取消"))</f>
        <v/>
      </c>
      <c r="P52" s="27" t="str">
        <f aca="false">IF($A52="","",SUMIFS(入金明細!$E$5:$E$1004,入金明細!$G$5:$G$1004,$A52,入金明細!$B$5:$B$1004,"&gt;="&amp;O$3,入金明細!$B$5:$B$1004,"&lt;"&amp;DATE(YEAR(O$3),MONTH(O$3)+1,1)))</f>
        <v/>
      </c>
      <c r="Q52" s="27" t="str">
        <f aca="false">IF($A52="","",SUMIFS(請求台帳!$F$5:$F$504,請求台帳!$C$5:$C$504,$A52,請求台帳!$B$5:$B$504,"&gt;="&amp;Q$3,請求台帳!$B$5:$B$504,"&lt;"&amp;DATE(YEAR(Q$3),MONTH(Q$3)+1,1),請求台帳!$Q$5:$Q$504,"&lt;&gt;取消"))</f>
        <v/>
      </c>
      <c r="R52" s="27" t="str">
        <f aca="false">IF($A52="","",SUMIFS(入金明細!$E$5:$E$1004,入金明細!$G$5:$G$1004,$A52,入金明細!$B$5:$B$1004,"&gt;="&amp;Q$3,入金明細!$B$5:$B$1004,"&lt;"&amp;DATE(YEAR(Q$3),MONTH(Q$3)+1,1)))</f>
        <v/>
      </c>
      <c r="S52" s="27" t="str">
        <f aca="false">IF($A52="","",SUMIFS(請求台帳!$F$5:$F$504,請求台帳!$C$5:$C$504,$A52,請求台帳!$B$5:$B$504,"&gt;="&amp;S$3,請求台帳!$B$5:$B$504,"&lt;"&amp;DATE(YEAR(S$3),MONTH(S$3)+1,1),請求台帳!$Q$5:$Q$504,"&lt;&gt;取消"))</f>
        <v/>
      </c>
      <c r="T52" s="27" t="str">
        <f aca="false">IF($A52="","",SUMIFS(入金明細!$E$5:$E$1004,入金明細!$G$5:$G$1004,$A52,入金明細!$B$5:$B$1004,"&gt;="&amp;S$3,入金明細!$B$5:$B$1004,"&lt;"&amp;DATE(YEAR(S$3),MONTH(S$3)+1,1)))</f>
        <v/>
      </c>
      <c r="U52" s="27" t="str">
        <f aca="false">IF($A52="","",SUMIFS(請求台帳!$F$5:$F$504,請求台帳!$C$5:$C$504,$A52,請求台帳!$B$5:$B$504,"&gt;="&amp;U$3,請求台帳!$B$5:$B$504,"&lt;"&amp;DATE(YEAR(U$3),MONTH(U$3)+1,1),請求台帳!$Q$5:$Q$504,"&lt;&gt;取消"))</f>
        <v/>
      </c>
      <c r="V52" s="27" t="str">
        <f aca="false">IF($A52="","",SUMIFS(入金明細!$E$5:$E$1004,入金明細!$G$5:$G$1004,$A52,入金明細!$B$5:$B$1004,"&gt;="&amp;U$3,入金明細!$B$5:$B$1004,"&lt;"&amp;DATE(YEAR(U$3),MONTH(U$3)+1,1)))</f>
        <v/>
      </c>
      <c r="W52" s="27" t="str">
        <f aca="false">IF($A52="","",SUMIFS(請求台帳!$F$5:$F$504,請求台帳!$C$5:$C$504,$A52,請求台帳!$B$5:$B$504,"&gt;="&amp;W$3,請求台帳!$B$5:$B$504,"&lt;"&amp;DATE(YEAR(W$3),MONTH(W$3)+1,1),請求台帳!$Q$5:$Q$504,"&lt;&gt;取消"))</f>
        <v/>
      </c>
      <c r="X52" s="27" t="str">
        <f aca="false">IF($A52="","",SUMIFS(入金明細!$E$5:$E$1004,入金明細!$G$5:$G$1004,$A52,入金明細!$B$5:$B$1004,"&gt;="&amp;W$3,入金明細!$B$5:$B$1004,"&lt;"&amp;DATE(YEAR(W$3),MONTH(W$3)+1,1)))</f>
        <v/>
      </c>
      <c r="Y52" s="27" t="str">
        <f aca="false">IF($A52="","",SUMIFS(請求台帳!$F$5:$F$504,請求台帳!$C$5:$C$504,$A52,請求台帳!$B$5:$B$504,"&gt;="&amp;Y$3,請求台帳!$B$5:$B$504,"&lt;"&amp;DATE(YEAR(Y$3),MONTH(Y$3)+1,1),請求台帳!$Q$5:$Q$504,"&lt;&gt;取消"))</f>
        <v/>
      </c>
      <c r="Z52" s="27" t="str">
        <f aca="false">IF($A52="","",SUMIFS(入金明細!$E$5:$E$1004,入金明細!$G$5:$G$1004,$A52,入金明細!$B$5:$B$1004,"&gt;="&amp;Y$3,入金明細!$B$5:$B$1004,"&lt;"&amp;DATE(YEAR(Y$3),MONTH(Y$3)+1,1)))</f>
        <v/>
      </c>
      <c r="AA52" s="37" t="n">
        <f aca="false">SUM(C52,E52,G52,I52,K52,M52,O52,Q52,S52,U52,W52,Y52)</f>
        <v>0</v>
      </c>
      <c r="AB52" s="37" t="n">
        <f aca="false">SUM(D52,F52,H52,J52,L52,N52,P52,R52,T52,V52,X52,Z52)</f>
        <v>0</v>
      </c>
    </row>
    <row r="53" customFormat="false" ht="15" hidden="false" customHeight="false" outlineLevel="0" collapsed="false">
      <c r="A53" s="31" t="str">
        <f aca="false">IF(取引先マスタ!A53="","",取引先マスタ!A53)</f>
        <v/>
      </c>
      <c r="B53" s="31" t="str">
        <f aca="false">IF(A53="","",取引先マスタ!B53)</f>
        <v/>
      </c>
      <c r="C53" s="27" t="str">
        <f aca="false">IF($A53="","",SUMIFS(請求台帳!$F$5:$F$504,請求台帳!$C$5:$C$504,$A53,請求台帳!$B$5:$B$504,"&gt;="&amp;C$3,請求台帳!$B$5:$B$504,"&lt;"&amp;DATE(YEAR(C$3),MONTH(C$3)+1,1),請求台帳!$Q$5:$Q$504,"&lt;&gt;取消"))</f>
        <v/>
      </c>
      <c r="D53" s="27" t="str">
        <f aca="false">IF($A53="","",SUMIFS(入金明細!$E$5:$E$1004,入金明細!$G$5:$G$1004,$A53,入金明細!$B$5:$B$1004,"&gt;="&amp;C$3,入金明細!$B$5:$B$1004,"&lt;"&amp;DATE(YEAR(C$3),MONTH(C$3)+1,1)))</f>
        <v/>
      </c>
      <c r="E53" s="27" t="str">
        <f aca="false">IF($A53="","",SUMIFS(請求台帳!$F$5:$F$504,請求台帳!$C$5:$C$504,$A53,請求台帳!$B$5:$B$504,"&gt;="&amp;E$3,請求台帳!$B$5:$B$504,"&lt;"&amp;DATE(YEAR(E$3),MONTH(E$3)+1,1),請求台帳!$Q$5:$Q$504,"&lt;&gt;取消"))</f>
        <v/>
      </c>
      <c r="F53" s="27" t="str">
        <f aca="false">IF($A53="","",SUMIFS(入金明細!$E$5:$E$1004,入金明細!$G$5:$G$1004,$A53,入金明細!$B$5:$B$1004,"&gt;="&amp;E$3,入金明細!$B$5:$B$1004,"&lt;"&amp;DATE(YEAR(E$3),MONTH(E$3)+1,1)))</f>
        <v/>
      </c>
      <c r="G53" s="27" t="str">
        <f aca="false">IF($A53="","",SUMIFS(請求台帳!$F$5:$F$504,請求台帳!$C$5:$C$504,$A53,請求台帳!$B$5:$B$504,"&gt;="&amp;G$3,請求台帳!$B$5:$B$504,"&lt;"&amp;DATE(YEAR(G$3),MONTH(G$3)+1,1),請求台帳!$Q$5:$Q$504,"&lt;&gt;取消"))</f>
        <v/>
      </c>
      <c r="H53" s="27" t="str">
        <f aca="false">IF($A53="","",SUMIFS(入金明細!$E$5:$E$1004,入金明細!$G$5:$G$1004,$A53,入金明細!$B$5:$B$1004,"&gt;="&amp;G$3,入金明細!$B$5:$B$1004,"&lt;"&amp;DATE(YEAR(G$3),MONTH(G$3)+1,1)))</f>
        <v/>
      </c>
      <c r="I53" s="27" t="str">
        <f aca="false">IF($A53="","",SUMIFS(請求台帳!$F$5:$F$504,請求台帳!$C$5:$C$504,$A53,請求台帳!$B$5:$B$504,"&gt;="&amp;I$3,請求台帳!$B$5:$B$504,"&lt;"&amp;DATE(YEAR(I$3),MONTH(I$3)+1,1),請求台帳!$Q$5:$Q$504,"&lt;&gt;取消"))</f>
        <v/>
      </c>
      <c r="J53" s="27" t="str">
        <f aca="false">IF($A53="","",SUMIFS(入金明細!$E$5:$E$1004,入金明細!$G$5:$G$1004,$A53,入金明細!$B$5:$B$1004,"&gt;="&amp;I$3,入金明細!$B$5:$B$1004,"&lt;"&amp;DATE(YEAR(I$3),MONTH(I$3)+1,1)))</f>
        <v/>
      </c>
      <c r="K53" s="27" t="str">
        <f aca="false">IF($A53="","",SUMIFS(請求台帳!$F$5:$F$504,請求台帳!$C$5:$C$504,$A53,請求台帳!$B$5:$B$504,"&gt;="&amp;K$3,請求台帳!$B$5:$B$504,"&lt;"&amp;DATE(YEAR(K$3),MONTH(K$3)+1,1),請求台帳!$Q$5:$Q$504,"&lt;&gt;取消"))</f>
        <v/>
      </c>
      <c r="L53" s="27" t="str">
        <f aca="false">IF($A53="","",SUMIFS(入金明細!$E$5:$E$1004,入金明細!$G$5:$G$1004,$A53,入金明細!$B$5:$B$1004,"&gt;="&amp;K$3,入金明細!$B$5:$B$1004,"&lt;"&amp;DATE(YEAR(K$3),MONTH(K$3)+1,1)))</f>
        <v/>
      </c>
      <c r="M53" s="27" t="str">
        <f aca="false">IF($A53="","",SUMIFS(請求台帳!$F$5:$F$504,請求台帳!$C$5:$C$504,$A53,請求台帳!$B$5:$B$504,"&gt;="&amp;M$3,請求台帳!$B$5:$B$504,"&lt;"&amp;DATE(YEAR(M$3),MONTH(M$3)+1,1),請求台帳!$Q$5:$Q$504,"&lt;&gt;取消"))</f>
        <v/>
      </c>
      <c r="N53" s="27" t="str">
        <f aca="false">IF($A53="","",SUMIFS(入金明細!$E$5:$E$1004,入金明細!$G$5:$G$1004,$A53,入金明細!$B$5:$B$1004,"&gt;="&amp;M$3,入金明細!$B$5:$B$1004,"&lt;"&amp;DATE(YEAR(M$3),MONTH(M$3)+1,1)))</f>
        <v/>
      </c>
      <c r="O53" s="27" t="str">
        <f aca="false">IF($A53="","",SUMIFS(請求台帳!$F$5:$F$504,請求台帳!$C$5:$C$504,$A53,請求台帳!$B$5:$B$504,"&gt;="&amp;O$3,請求台帳!$B$5:$B$504,"&lt;"&amp;DATE(YEAR(O$3),MONTH(O$3)+1,1),請求台帳!$Q$5:$Q$504,"&lt;&gt;取消"))</f>
        <v/>
      </c>
      <c r="P53" s="27" t="str">
        <f aca="false">IF($A53="","",SUMIFS(入金明細!$E$5:$E$1004,入金明細!$G$5:$G$1004,$A53,入金明細!$B$5:$B$1004,"&gt;="&amp;O$3,入金明細!$B$5:$B$1004,"&lt;"&amp;DATE(YEAR(O$3),MONTH(O$3)+1,1)))</f>
        <v/>
      </c>
      <c r="Q53" s="27" t="str">
        <f aca="false">IF($A53="","",SUMIFS(請求台帳!$F$5:$F$504,請求台帳!$C$5:$C$504,$A53,請求台帳!$B$5:$B$504,"&gt;="&amp;Q$3,請求台帳!$B$5:$B$504,"&lt;"&amp;DATE(YEAR(Q$3),MONTH(Q$3)+1,1),請求台帳!$Q$5:$Q$504,"&lt;&gt;取消"))</f>
        <v/>
      </c>
      <c r="R53" s="27" t="str">
        <f aca="false">IF($A53="","",SUMIFS(入金明細!$E$5:$E$1004,入金明細!$G$5:$G$1004,$A53,入金明細!$B$5:$B$1004,"&gt;="&amp;Q$3,入金明細!$B$5:$B$1004,"&lt;"&amp;DATE(YEAR(Q$3),MONTH(Q$3)+1,1)))</f>
        <v/>
      </c>
      <c r="S53" s="27" t="str">
        <f aca="false">IF($A53="","",SUMIFS(請求台帳!$F$5:$F$504,請求台帳!$C$5:$C$504,$A53,請求台帳!$B$5:$B$504,"&gt;="&amp;S$3,請求台帳!$B$5:$B$504,"&lt;"&amp;DATE(YEAR(S$3),MONTH(S$3)+1,1),請求台帳!$Q$5:$Q$504,"&lt;&gt;取消"))</f>
        <v/>
      </c>
      <c r="T53" s="27" t="str">
        <f aca="false">IF($A53="","",SUMIFS(入金明細!$E$5:$E$1004,入金明細!$G$5:$G$1004,$A53,入金明細!$B$5:$B$1004,"&gt;="&amp;S$3,入金明細!$B$5:$B$1004,"&lt;"&amp;DATE(YEAR(S$3),MONTH(S$3)+1,1)))</f>
        <v/>
      </c>
      <c r="U53" s="27" t="str">
        <f aca="false">IF($A53="","",SUMIFS(請求台帳!$F$5:$F$504,請求台帳!$C$5:$C$504,$A53,請求台帳!$B$5:$B$504,"&gt;="&amp;U$3,請求台帳!$B$5:$B$504,"&lt;"&amp;DATE(YEAR(U$3),MONTH(U$3)+1,1),請求台帳!$Q$5:$Q$504,"&lt;&gt;取消"))</f>
        <v/>
      </c>
      <c r="V53" s="27" t="str">
        <f aca="false">IF($A53="","",SUMIFS(入金明細!$E$5:$E$1004,入金明細!$G$5:$G$1004,$A53,入金明細!$B$5:$B$1004,"&gt;="&amp;U$3,入金明細!$B$5:$B$1004,"&lt;"&amp;DATE(YEAR(U$3),MONTH(U$3)+1,1)))</f>
        <v/>
      </c>
      <c r="W53" s="27" t="str">
        <f aca="false">IF($A53="","",SUMIFS(請求台帳!$F$5:$F$504,請求台帳!$C$5:$C$504,$A53,請求台帳!$B$5:$B$504,"&gt;="&amp;W$3,請求台帳!$B$5:$B$504,"&lt;"&amp;DATE(YEAR(W$3),MONTH(W$3)+1,1),請求台帳!$Q$5:$Q$504,"&lt;&gt;取消"))</f>
        <v/>
      </c>
      <c r="X53" s="27" t="str">
        <f aca="false">IF($A53="","",SUMIFS(入金明細!$E$5:$E$1004,入金明細!$G$5:$G$1004,$A53,入金明細!$B$5:$B$1004,"&gt;="&amp;W$3,入金明細!$B$5:$B$1004,"&lt;"&amp;DATE(YEAR(W$3),MONTH(W$3)+1,1)))</f>
        <v/>
      </c>
      <c r="Y53" s="27" t="str">
        <f aca="false">IF($A53="","",SUMIFS(請求台帳!$F$5:$F$504,請求台帳!$C$5:$C$504,$A53,請求台帳!$B$5:$B$504,"&gt;="&amp;Y$3,請求台帳!$B$5:$B$504,"&lt;"&amp;DATE(YEAR(Y$3),MONTH(Y$3)+1,1),請求台帳!$Q$5:$Q$504,"&lt;&gt;取消"))</f>
        <v/>
      </c>
      <c r="Z53" s="27" t="str">
        <f aca="false">IF($A53="","",SUMIFS(入金明細!$E$5:$E$1004,入金明細!$G$5:$G$1004,$A53,入金明細!$B$5:$B$1004,"&gt;="&amp;Y$3,入金明細!$B$5:$B$1004,"&lt;"&amp;DATE(YEAR(Y$3),MONTH(Y$3)+1,1)))</f>
        <v/>
      </c>
      <c r="AA53" s="37" t="n">
        <f aca="false">SUM(C53,E53,G53,I53,K53,M53,O53,Q53,S53,U53,W53,Y53)</f>
        <v>0</v>
      </c>
      <c r="AB53" s="37" t="n">
        <f aca="false">SUM(D53,F53,H53,J53,L53,N53,P53,R53,T53,V53,X53,Z53)</f>
        <v>0</v>
      </c>
    </row>
    <row r="54" customFormat="false" ht="15" hidden="false" customHeight="false" outlineLevel="0" collapsed="false">
      <c r="A54" s="31" t="str">
        <f aca="false">IF(取引先マスタ!A54="","",取引先マスタ!A54)</f>
        <v/>
      </c>
      <c r="B54" s="31" t="str">
        <f aca="false">IF(A54="","",取引先マスタ!B54)</f>
        <v/>
      </c>
      <c r="C54" s="27" t="str">
        <f aca="false">IF($A54="","",SUMIFS(請求台帳!$F$5:$F$504,請求台帳!$C$5:$C$504,$A54,請求台帳!$B$5:$B$504,"&gt;="&amp;C$3,請求台帳!$B$5:$B$504,"&lt;"&amp;DATE(YEAR(C$3),MONTH(C$3)+1,1),請求台帳!$Q$5:$Q$504,"&lt;&gt;取消"))</f>
        <v/>
      </c>
      <c r="D54" s="27" t="str">
        <f aca="false">IF($A54="","",SUMIFS(入金明細!$E$5:$E$1004,入金明細!$G$5:$G$1004,$A54,入金明細!$B$5:$B$1004,"&gt;="&amp;C$3,入金明細!$B$5:$B$1004,"&lt;"&amp;DATE(YEAR(C$3),MONTH(C$3)+1,1)))</f>
        <v/>
      </c>
      <c r="E54" s="27" t="str">
        <f aca="false">IF($A54="","",SUMIFS(請求台帳!$F$5:$F$504,請求台帳!$C$5:$C$504,$A54,請求台帳!$B$5:$B$504,"&gt;="&amp;E$3,請求台帳!$B$5:$B$504,"&lt;"&amp;DATE(YEAR(E$3),MONTH(E$3)+1,1),請求台帳!$Q$5:$Q$504,"&lt;&gt;取消"))</f>
        <v/>
      </c>
      <c r="F54" s="27" t="str">
        <f aca="false">IF($A54="","",SUMIFS(入金明細!$E$5:$E$1004,入金明細!$G$5:$G$1004,$A54,入金明細!$B$5:$B$1004,"&gt;="&amp;E$3,入金明細!$B$5:$B$1004,"&lt;"&amp;DATE(YEAR(E$3),MONTH(E$3)+1,1)))</f>
        <v/>
      </c>
      <c r="G54" s="27" t="str">
        <f aca="false">IF($A54="","",SUMIFS(請求台帳!$F$5:$F$504,請求台帳!$C$5:$C$504,$A54,請求台帳!$B$5:$B$504,"&gt;="&amp;G$3,請求台帳!$B$5:$B$504,"&lt;"&amp;DATE(YEAR(G$3),MONTH(G$3)+1,1),請求台帳!$Q$5:$Q$504,"&lt;&gt;取消"))</f>
        <v/>
      </c>
      <c r="H54" s="27" t="str">
        <f aca="false">IF($A54="","",SUMIFS(入金明細!$E$5:$E$1004,入金明細!$G$5:$G$1004,$A54,入金明細!$B$5:$B$1004,"&gt;="&amp;G$3,入金明細!$B$5:$B$1004,"&lt;"&amp;DATE(YEAR(G$3),MONTH(G$3)+1,1)))</f>
        <v/>
      </c>
      <c r="I54" s="27" t="str">
        <f aca="false">IF($A54="","",SUMIFS(請求台帳!$F$5:$F$504,請求台帳!$C$5:$C$504,$A54,請求台帳!$B$5:$B$504,"&gt;="&amp;I$3,請求台帳!$B$5:$B$504,"&lt;"&amp;DATE(YEAR(I$3),MONTH(I$3)+1,1),請求台帳!$Q$5:$Q$504,"&lt;&gt;取消"))</f>
        <v/>
      </c>
      <c r="J54" s="27" t="str">
        <f aca="false">IF($A54="","",SUMIFS(入金明細!$E$5:$E$1004,入金明細!$G$5:$G$1004,$A54,入金明細!$B$5:$B$1004,"&gt;="&amp;I$3,入金明細!$B$5:$B$1004,"&lt;"&amp;DATE(YEAR(I$3),MONTH(I$3)+1,1)))</f>
        <v/>
      </c>
      <c r="K54" s="27" t="str">
        <f aca="false">IF($A54="","",SUMIFS(請求台帳!$F$5:$F$504,請求台帳!$C$5:$C$504,$A54,請求台帳!$B$5:$B$504,"&gt;="&amp;K$3,請求台帳!$B$5:$B$504,"&lt;"&amp;DATE(YEAR(K$3),MONTH(K$3)+1,1),請求台帳!$Q$5:$Q$504,"&lt;&gt;取消"))</f>
        <v/>
      </c>
      <c r="L54" s="27" t="str">
        <f aca="false">IF($A54="","",SUMIFS(入金明細!$E$5:$E$1004,入金明細!$G$5:$G$1004,$A54,入金明細!$B$5:$B$1004,"&gt;="&amp;K$3,入金明細!$B$5:$B$1004,"&lt;"&amp;DATE(YEAR(K$3),MONTH(K$3)+1,1)))</f>
        <v/>
      </c>
      <c r="M54" s="27" t="str">
        <f aca="false">IF($A54="","",SUMIFS(請求台帳!$F$5:$F$504,請求台帳!$C$5:$C$504,$A54,請求台帳!$B$5:$B$504,"&gt;="&amp;M$3,請求台帳!$B$5:$B$504,"&lt;"&amp;DATE(YEAR(M$3),MONTH(M$3)+1,1),請求台帳!$Q$5:$Q$504,"&lt;&gt;取消"))</f>
        <v/>
      </c>
      <c r="N54" s="27" t="str">
        <f aca="false">IF($A54="","",SUMIFS(入金明細!$E$5:$E$1004,入金明細!$G$5:$G$1004,$A54,入金明細!$B$5:$B$1004,"&gt;="&amp;M$3,入金明細!$B$5:$B$1004,"&lt;"&amp;DATE(YEAR(M$3),MONTH(M$3)+1,1)))</f>
        <v/>
      </c>
      <c r="O54" s="27" t="str">
        <f aca="false">IF($A54="","",SUMIFS(請求台帳!$F$5:$F$504,請求台帳!$C$5:$C$504,$A54,請求台帳!$B$5:$B$504,"&gt;="&amp;O$3,請求台帳!$B$5:$B$504,"&lt;"&amp;DATE(YEAR(O$3),MONTH(O$3)+1,1),請求台帳!$Q$5:$Q$504,"&lt;&gt;取消"))</f>
        <v/>
      </c>
      <c r="P54" s="27" t="str">
        <f aca="false">IF($A54="","",SUMIFS(入金明細!$E$5:$E$1004,入金明細!$G$5:$G$1004,$A54,入金明細!$B$5:$B$1004,"&gt;="&amp;O$3,入金明細!$B$5:$B$1004,"&lt;"&amp;DATE(YEAR(O$3),MONTH(O$3)+1,1)))</f>
        <v/>
      </c>
      <c r="Q54" s="27" t="str">
        <f aca="false">IF($A54="","",SUMIFS(請求台帳!$F$5:$F$504,請求台帳!$C$5:$C$504,$A54,請求台帳!$B$5:$B$504,"&gt;="&amp;Q$3,請求台帳!$B$5:$B$504,"&lt;"&amp;DATE(YEAR(Q$3),MONTH(Q$3)+1,1),請求台帳!$Q$5:$Q$504,"&lt;&gt;取消"))</f>
        <v/>
      </c>
      <c r="R54" s="27" t="str">
        <f aca="false">IF($A54="","",SUMIFS(入金明細!$E$5:$E$1004,入金明細!$G$5:$G$1004,$A54,入金明細!$B$5:$B$1004,"&gt;="&amp;Q$3,入金明細!$B$5:$B$1004,"&lt;"&amp;DATE(YEAR(Q$3),MONTH(Q$3)+1,1)))</f>
        <v/>
      </c>
      <c r="S54" s="27" t="str">
        <f aca="false">IF($A54="","",SUMIFS(請求台帳!$F$5:$F$504,請求台帳!$C$5:$C$504,$A54,請求台帳!$B$5:$B$504,"&gt;="&amp;S$3,請求台帳!$B$5:$B$504,"&lt;"&amp;DATE(YEAR(S$3),MONTH(S$3)+1,1),請求台帳!$Q$5:$Q$504,"&lt;&gt;取消"))</f>
        <v/>
      </c>
      <c r="T54" s="27" t="str">
        <f aca="false">IF($A54="","",SUMIFS(入金明細!$E$5:$E$1004,入金明細!$G$5:$G$1004,$A54,入金明細!$B$5:$B$1004,"&gt;="&amp;S$3,入金明細!$B$5:$B$1004,"&lt;"&amp;DATE(YEAR(S$3),MONTH(S$3)+1,1)))</f>
        <v/>
      </c>
      <c r="U54" s="27" t="str">
        <f aca="false">IF($A54="","",SUMIFS(請求台帳!$F$5:$F$504,請求台帳!$C$5:$C$504,$A54,請求台帳!$B$5:$B$504,"&gt;="&amp;U$3,請求台帳!$B$5:$B$504,"&lt;"&amp;DATE(YEAR(U$3),MONTH(U$3)+1,1),請求台帳!$Q$5:$Q$504,"&lt;&gt;取消"))</f>
        <v/>
      </c>
      <c r="V54" s="27" t="str">
        <f aca="false">IF($A54="","",SUMIFS(入金明細!$E$5:$E$1004,入金明細!$G$5:$G$1004,$A54,入金明細!$B$5:$B$1004,"&gt;="&amp;U$3,入金明細!$B$5:$B$1004,"&lt;"&amp;DATE(YEAR(U$3),MONTH(U$3)+1,1)))</f>
        <v/>
      </c>
      <c r="W54" s="27" t="str">
        <f aca="false">IF($A54="","",SUMIFS(請求台帳!$F$5:$F$504,請求台帳!$C$5:$C$504,$A54,請求台帳!$B$5:$B$504,"&gt;="&amp;W$3,請求台帳!$B$5:$B$504,"&lt;"&amp;DATE(YEAR(W$3),MONTH(W$3)+1,1),請求台帳!$Q$5:$Q$504,"&lt;&gt;取消"))</f>
        <v/>
      </c>
      <c r="X54" s="27" t="str">
        <f aca="false">IF($A54="","",SUMIFS(入金明細!$E$5:$E$1004,入金明細!$G$5:$G$1004,$A54,入金明細!$B$5:$B$1004,"&gt;="&amp;W$3,入金明細!$B$5:$B$1004,"&lt;"&amp;DATE(YEAR(W$3),MONTH(W$3)+1,1)))</f>
        <v/>
      </c>
      <c r="Y54" s="27" t="str">
        <f aca="false">IF($A54="","",SUMIFS(請求台帳!$F$5:$F$504,請求台帳!$C$5:$C$504,$A54,請求台帳!$B$5:$B$504,"&gt;="&amp;Y$3,請求台帳!$B$5:$B$504,"&lt;"&amp;DATE(YEAR(Y$3),MONTH(Y$3)+1,1),請求台帳!$Q$5:$Q$504,"&lt;&gt;取消"))</f>
        <v/>
      </c>
      <c r="Z54" s="27" t="str">
        <f aca="false">IF($A54="","",SUMIFS(入金明細!$E$5:$E$1004,入金明細!$G$5:$G$1004,$A54,入金明細!$B$5:$B$1004,"&gt;="&amp;Y$3,入金明細!$B$5:$B$1004,"&lt;"&amp;DATE(YEAR(Y$3),MONTH(Y$3)+1,1)))</f>
        <v/>
      </c>
      <c r="AA54" s="37" t="n">
        <f aca="false">SUM(C54,E54,G54,I54,K54,M54,O54,Q54,S54,U54,W54,Y54)</f>
        <v>0</v>
      </c>
      <c r="AB54" s="37" t="n">
        <f aca="false">SUM(D54,F54,H54,J54,L54,N54,P54,R54,T54,V54,X54,Z54)</f>
        <v>0</v>
      </c>
    </row>
    <row r="55" customFormat="false" ht="15" hidden="false" customHeight="false" outlineLevel="0" collapsed="false">
      <c r="A55" s="31" t="str">
        <f aca="false">IF(取引先マスタ!A55="","",取引先マスタ!A55)</f>
        <v/>
      </c>
      <c r="B55" s="31" t="str">
        <f aca="false">IF(A55="","",取引先マスタ!B55)</f>
        <v/>
      </c>
      <c r="C55" s="27" t="str">
        <f aca="false">IF($A55="","",SUMIFS(請求台帳!$F$5:$F$504,請求台帳!$C$5:$C$504,$A55,請求台帳!$B$5:$B$504,"&gt;="&amp;C$3,請求台帳!$B$5:$B$504,"&lt;"&amp;DATE(YEAR(C$3),MONTH(C$3)+1,1),請求台帳!$Q$5:$Q$504,"&lt;&gt;取消"))</f>
        <v/>
      </c>
      <c r="D55" s="27" t="str">
        <f aca="false">IF($A55="","",SUMIFS(入金明細!$E$5:$E$1004,入金明細!$G$5:$G$1004,$A55,入金明細!$B$5:$B$1004,"&gt;="&amp;C$3,入金明細!$B$5:$B$1004,"&lt;"&amp;DATE(YEAR(C$3),MONTH(C$3)+1,1)))</f>
        <v/>
      </c>
      <c r="E55" s="27" t="str">
        <f aca="false">IF($A55="","",SUMIFS(請求台帳!$F$5:$F$504,請求台帳!$C$5:$C$504,$A55,請求台帳!$B$5:$B$504,"&gt;="&amp;E$3,請求台帳!$B$5:$B$504,"&lt;"&amp;DATE(YEAR(E$3),MONTH(E$3)+1,1),請求台帳!$Q$5:$Q$504,"&lt;&gt;取消"))</f>
        <v/>
      </c>
      <c r="F55" s="27" t="str">
        <f aca="false">IF($A55="","",SUMIFS(入金明細!$E$5:$E$1004,入金明細!$G$5:$G$1004,$A55,入金明細!$B$5:$B$1004,"&gt;="&amp;E$3,入金明細!$B$5:$B$1004,"&lt;"&amp;DATE(YEAR(E$3),MONTH(E$3)+1,1)))</f>
        <v/>
      </c>
      <c r="G55" s="27" t="str">
        <f aca="false">IF($A55="","",SUMIFS(請求台帳!$F$5:$F$504,請求台帳!$C$5:$C$504,$A55,請求台帳!$B$5:$B$504,"&gt;="&amp;G$3,請求台帳!$B$5:$B$504,"&lt;"&amp;DATE(YEAR(G$3),MONTH(G$3)+1,1),請求台帳!$Q$5:$Q$504,"&lt;&gt;取消"))</f>
        <v/>
      </c>
      <c r="H55" s="27" t="str">
        <f aca="false">IF($A55="","",SUMIFS(入金明細!$E$5:$E$1004,入金明細!$G$5:$G$1004,$A55,入金明細!$B$5:$B$1004,"&gt;="&amp;G$3,入金明細!$B$5:$B$1004,"&lt;"&amp;DATE(YEAR(G$3),MONTH(G$3)+1,1)))</f>
        <v/>
      </c>
      <c r="I55" s="27" t="str">
        <f aca="false">IF($A55="","",SUMIFS(請求台帳!$F$5:$F$504,請求台帳!$C$5:$C$504,$A55,請求台帳!$B$5:$B$504,"&gt;="&amp;I$3,請求台帳!$B$5:$B$504,"&lt;"&amp;DATE(YEAR(I$3),MONTH(I$3)+1,1),請求台帳!$Q$5:$Q$504,"&lt;&gt;取消"))</f>
        <v/>
      </c>
      <c r="J55" s="27" t="str">
        <f aca="false">IF($A55="","",SUMIFS(入金明細!$E$5:$E$1004,入金明細!$G$5:$G$1004,$A55,入金明細!$B$5:$B$1004,"&gt;="&amp;I$3,入金明細!$B$5:$B$1004,"&lt;"&amp;DATE(YEAR(I$3),MONTH(I$3)+1,1)))</f>
        <v/>
      </c>
      <c r="K55" s="27" t="str">
        <f aca="false">IF($A55="","",SUMIFS(請求台帳!$F$5:$F$504,請求台帳!$C$5:$C$504,$A55,請求台帳!$B$5:$B$504,"&gt;="&amp;K$3,請求台帳!$B$5:$B$504,"&lt;"&amp;DATE(YEAR(K$3),MONTH(K$3)+1,1),請求台帳!$Q$5:$Q$504,"&lt;&gt;取消"))</f>
        <v/>
      </c>
      <c r="L55" s="27" t="str">
        <f aca="false">IF($A55="","",SUMIFS(入金明細!$E$5:$E$1004,入金明細!$G$5:$G$1004,$A55,入金明細!$B$5:$B$1004,"&gt;="&amp;K$3,入金明細!$B$5:$B$1004,"&lt;"&amp;DATE(YEAR(K$3),MONTH(K$3)+1,1)))</f>
        <v/>
      </c>
      <c r="M55" s="27" t="str">
        <f aca="false">IF($A55="","",SUMIFS(請求台帳!$F$5:$F$504,請求台帳!$C$5:$C$504,$A55,請求台帳!$B$5:$B$504,"&gt;="&amp;M$3,請求台帳!$B$5:$B$504,"&lt;"&amp;DATE(YEAR(M$3),MONTH(M$3)+1,1),請求台帳!$Q$5:$Q$504,"&lt;&gt;取消"))</f>
        <v/>
      </c>
      <c r="N55" s="27" t="str">
        <f aca="false">IF($A55="","",SUMIFS(入金明細!$E$5:$E$1004,入金明細!$G$5:$G$1004,$A55,入金明細!$B$5:$B$1004,"&gt;="&amp;M$3,入金明細!$B$5:$B$1004,"&lt;"&amp;DATE(YEAR(M$3),MONTH(M$3)+1,1)))</f>
        <v/>
      </c>
      <c r="O55" s="27" t="str">
        <f aca="false">IF($A55="","",SUMIFS(請求台帳!$F$5:$F$504,請求台帳!$C$5:$C$504,$A55,請求台帳!$B$5:$B$504,"&gt;="&amp;O$3,請求台帳!$B$5:$B$504,"&lt;"&amp;DATE(YEAR(O$3),MONTH(O$3)+1,1),請求台帳!$Q$5:$Q$504,"&lt;&gt;取消"))</f>
        <v/>
      </c>
      <c r="P55" s="27" t="str">
        <f aca="false">IF($A55="","",SUMIFS(入金明細!$E$5:$E$1004,入金明細!$G$5:$G$1004,$A55,入金明細!$B$5:$B$1004,"&gt;="&amp;O$3,入金明細!$B$5:$B$1004,"&lt;"&amp;DATE(YEAR(O$3),MONTH(O$3)+1,1)))</f>
        <v/>
      </c>
      <c r="Q55" s="27" t="str">
        <f aca="false">IF($A55="","",SUMIFS(請求台帳!$F$5:$F$504,請求台帳!$C$5:$C$504,$A55,請求台帳!$B$5:$B$504,"&gt;="&amp;Q$3,請求台帳!$B$5:$B$504,"&lt;"&amp;DATE(YEAR(Q$3),MONTH(Q$3)+1,1),請求台帳!$Q$5:$Q$504,"&lt;&gt;取消"))</f>
        <v/>
      </c>
      <c r="R55" s="27" t="str">
        <f aca="false">IF($A55="","",SUMIFS(入金明細!$E$5:$E$1004,入金明細!$G$5:$G$1004,$A55,入金明細!$B$5:$B$1004,"&gt;="&amp;Q$3,入金明細!$B$5:$B$1004,"&lt;"&amp;DATE(YEAR(Q$3),MONTH(Q$3)+1,1)))</f>
        <v/>
      </c>
      <c r="S55" s="27" t="str">
        <f aca="false">IF($A55="","",SUMIFS(請求台帳!$F$5:$F$504,請求台帳!$C$5:$C$504,$A55,請求台帳!$B$5:$B$504,"&gt;="&amp;S$3,請求台帳!$B$5:$B$504,"&lt;"&amp;DATE(YEAR(S$3),MONTH(S$3)+1,1),請求台帳!$Q$5:$Q$504,"&lt;&gt;取消"))</f>
        <v/>
      </c>
      <c r="T55" s="27" t="str">
        <f aca="false">IF($A55="","",SUMIFS(入金明細!$E$5:$E$1004,入金明細!$G$5:$G$1004,$A55,入金明細!$B$5:$B$1004,"&gt;="&amp;S$3,入金明細!$B$5:$B$1004,"&lt;"&amp;DATE(YEAR(S$3),MONTH(S$3)+1,1)))</f>
        <v/>
      </c>
      <c r="U55" s="27" t="str">
        <f aca="false">IF($A55="","",SUMIFS(請求台帳!$F$5:$F$504,請求台帳!$C$5:$C$504,$A55,請求台帳!$B$5:$B$504,"&gt;="&amp;U$3,請求台帳!$B$5:$B$504,"&lt;"&amp;DATE(YEAR(U$3),MONTH(U$3)+1,1),請求台帳!$Q$5:$Q$504,"&lt;&gt;取消"))</f>
        <v/>
      </c>
      <c r="V55" s="27" t="str">
        <f aca="false">IF($A55="","",SUMIFS(入金明細!$E$5:$E$1004,入金明細!$G$5:$G$1004,$A55,入金明細!$B$5:$B$1004,"&gt;="&amp;U$3,入金明細!$B$5:$B$1004,"&lt;"&amp;DATE(YEAR(U$3),MONTH(U$3)+1,1)))</f>
        <v/>
      </c>
      <c r="W55" s="27" t="str">
        <f aca="false">IF($A55="","",SUMIFS(請求台帳!$F$5:$F$504,請求台帳!$C$5:$C$504,$A55,請求台帳!$B$5:$B$504,"&gt;="&amp;W$3,請求台帳!$B$5:$B$504,"&lt;"&amp;DATE(YEAR(W$3),MONTH(W$3)+1,1),請求台帳!$Q$5:$Q$504,"&lt;&gt;取消"))</f>
        <v/>
      </c>
      <c r="X55" s="27" t="str">
        <f aca="false">IF($A55="","",SUMIFS(入金明細!$E$5:$E$1004,入金明細!$G$5:$G$1004,$A55,入金明細!$B$5:$B$1004,"&gt;="&amp;W$3,入金明細!$B$5:$B$1004,"&lt;"&amp;DATE(YEAR(W$3),MONTH(W$3)+1,1)))</f>
        <v/>
      </c>
      <c r="Y55" s="27" t="str">
        <f aca="false">IF($A55="","",SUMIFS(請求台帳!$F$5:$F$504,請求台帳!$C$5:$C$504,$A55,請求台帳!$B$5:$B$504,"&gt;="&amp;Y$3,請求台帳!$B$5:$B$504,"&lt;"&amp;DATE(YEAR(Y$3),MONTH(Y$3)+1,1),請求台帳!$Q$5:$Q$504,"&lt;&gt;取消"))</f>
        <v/>
      </c>
      <c r="Z55" s="27" t="str">
        <f aca="false">IF($A55="","",SUMIFS(入金明細!$E$5:$E$1004,入金明細!$G$5:$G$1004,$A55,入金明細!$B$5:$B$1004,"&gt;="&amp;Y$3,入金明細!$B$5:$B$1004,"&lt;"&amp;DATE(YEAR(Y$3),MONTH(Y$3)+1,1)))</f>
        <v/>
      </c>
      <c r="AA55" s="37" t="n">
        <f aca="false">SUM(C55,E55,G55,I55,K55,M55,O55,Q55,S55,U55,W55,Y55)</f>
        <v>0</v>
      </c>
      <c r="AB55" s="37" t="n">
        <f aca="false">SUM(D55,F55,H55,J55,L55,N55,P55,R55,T55,V55,X55,Z55)</f>
        <v>0</v>
      </c>
    </row>
    <row r="56" customFormat="false" ht="15" hidden="false" customHeight="false" outlineLevel="0" collapsed="false">
      <c r="A56" s="31" t="str">
        <f aca="false">IF(取引先マスタ!A56="","",取引先マスタ!A56)</f>
        <v/>
      </c>
      <c r="B56" s="31" t="str">
        <f aca="false">IF(A56="","",取引先マスタ!B56)</f>
        <v/>
      </c>
      <c r="C56" s="27" t="str">
        <f aca="false">IF($A56="","",SUMIFS(請求台帳!$F$5:$F$504,請求台帳!$C$5:$C$504,$A56,請求台帳!$B$5:$B$504,"&gt;="&amp;C$3,請求台帳!$B$5:$B$504,"&lt;"&amp;DATE(YEAR(C$3),MONTH(C$3)+1,1),請求台帳!$Q$5:$Q$504,"&lt;&gt;取消"))</f>
        <v/>
      </c>
      <c r="D56" s="27" t="str">
        <f aca="false">IF($A56="","",SUMIFS(入金明細!$E$5:$E$1004,入金明細!$G$5:$G$1004,$A56,入金明細!$B$5:$B$1004,"&gt;="&amp;C$3,入金明細!$B$5:$B$1004,"&lt;"&amp;DATE(YEAR(C$3),MONTH(C$3)+1,1)))</f>
        <v/>
      </c>
      <c r="E56" s="27" t="str">
        <f aca="false">IF($A56="","",SUMIFS(請求台帳!$F$5:$F$504,請求台帳!$C$5:$C$504,$A56,請求台帳!$B$5:$B$504,"&gt;="&amp;E$3,請求台帳!$B$5:$B$504,"&lt;"&amp;DATE(YEAR(E$3),MONTH(E$3)+1,1),請求台帳!$Q$5:$Q$504,"&lt;&gt;取消"))</f>
        <v/>
      </c>
      <c r="F56" s="27" t="str">
        <f aca="false">IF($A56="","",SUMIFS(入金明細!$E$5:$E$1004,入金明細!$G$5:$G$1004,$A56,入金明細!$B$5:$B$1004,"&gt;="&amp;E$3,入金明細!$B$5:$B$1004,"&lt;"&amp;DATE(YEAR(E$3),MONTH(E$3)+1,1)))</f>
        <v/>
      </c>
      <c r="G56" s="27" t="str">
        <f aca="false">IF($A56="","",SUMIFS(請求台帳!$F$5:$F$504,請求台帳!$C$5:$C$504,$A56,請求台帳!$B$5:$B$504,"&gt;="&amp;G$3,請求台帳!$B$5:$B$504,"&lt;"&amp;DATE(YEAR(G$3),MONTH(G$3)+1,1),請求台帳!$Q$5:$Q$504,"&lt;&gt;取消"))</f>
        <v/>
      </c>
      <c r="H56" s="27" t="str">
        <f aca="false">IF($A56="","",SUMIFS(入金明細!$E$5:$E$1004,入金明細!$G$5:$G$1004,$A56,入金明細!$B$5:$B$1004,"&gt;="&amp;G$3,入金明細!$B$5:$B$1004,"&lt;"&amp;DATE(YEAR(G$3),MONTH(G$3)+1,1)))</f>
        <v/>
      </c>
      <c r="I56" s="27" t="str">
        <f aca="false">IF($A56="","",SUMIFS(請求台帳!$F$5:$F$504,請求台帳!$C$5:$C$504,$A56,請求台帳!$B$5:$B$504,"&gt;="&amp;I$3,請求台帳!$B$5:$B$504,"&lt;"&amp;DATE(YEAR(I$3),MONTH(I$3)+1,1),請求台帳!$Q$5:$Q$504,"&lt;&gt;取消"))</f>
        <v/>
      </c>
      <c r="J56" s="27" t="str">
        <f aca="false">IF($A56="","",SUMIFS(入金明細!$E$5:$E$1004,入金明細!$G$5:$G$1004,$A56,入金明細!$B$5:$B$1004,"&gt;="&amp;I$3,入金明細!$B$5:$B$1004,"&lt;"&amp;DATE(YEAR(I$3),MONTH(I$3)+1,1)))</f>
        <v/>
      </c>
      <c r="K56" s="27" t="str">
        <f aca="false">IF($A56="","",SUMIFS(請求台帳!$F$5:$F$504,請求台帳!$C$5:$C$504,$A56,請求台帳!$B$5:$B$504,"&gt;="&amp;K$3,請求台帳!$B$5:$B$504,"&lt;"&amp;DATE(YEAR(K$3),MONTH(K$3)+1,1),請求台帳!$Q$5:$Q$504,"&lt;&gt;取消"))</f>
        <v/>
      </c>
      <c r="L56" s="27" t="str">
        <f aca="false">IF($A56="","",SUMIFS(入金明細!$E$5:$E$1004,入金明細!$G$5:$G$1004,$A56,入金明細!$B$5:$B$1004,"&gt;="&amp;K$3,入金明細!$B$5:$B$1004,"&lt;"&amp;DATE(YEAR(K$3),MONTH(K$3)+1,1)))</f>
        <v/>
      </c>
      <c r="M56" s="27" t="str">
        <f aca="false">IF($A56="","",SUMIFS(請求台帳!$F$5:$F$504,請求台帳!$C$5:$C$504,$A56,請求台帳!$B$5:$B$504,"&gt;="&amp;M$3,請求台帳!$B$5:$B$504,"&lt;"&amp;DATE(YEAR(M$3),MONTH(M$3)+1,1),請求台帳!$Q$5:$Q$504,"&lt;&gt;取消"))</f>
        <v/>
      </c>
      <c r="N56" s="27" t="str">
        <f aca="false">IF($A56="","",SUMIFS(入金明細!$E$5:$E$1004,入金明細!$G$5:$G$1004,$A56,入金明細!$B$5:$B$1004,"&gt;="&amp;M$3,入金明細!$B$5:$B$1004,"&lt;"&amp;DATE(YEAR(M$3),MONTH(M$3)+1,1)))</f>
        <v/>
      </c>
      <c r="O56" s="27" t="str">
        <f aca="false">IF($A56="","",SUMIFS(請求台帳!$F$5:$F$504,請求台帳!$C$5:$C$504,$A56,請求台帳!$B$5:$B$504,"&gt;="&amp;O$3,請求台帳!$B$5:$B$504,"&lt;"&amp;DATE(YEAR(O$3),MONTH(O$3)+1,1),請求台帳!$Q$5:$Q$504,"&lt;&gt;取消"))</f>
        <v/>
      </c>
      <c r="P56" s="27" t="str">
        <f aca="false">IF($A56="","",SUMIFS(入金明細!$E$5:$E$1004,入金明細!$G$5:$G$1004,$A56,入金明細!$B$5:$B$1004,"&gt;="&amp;O$3,入金明細!$B$5:$B$1004,"&lt;"&amp;DATE(YEAR(O$3),MONTH(O$3)+1,1)))</f>
        <v/>
      </c>
      <c r="Q56" s="27" t="str">
        <f aca="false">IF($A56="","",SUMIFS(請求台帳!$F$5:$F$504,請求台帳!$C$5:$C$504,$A56,請求台帳!$B$5:$B$504,"&gt;="&amp;Q$3,請求台帳!$B$5:$B$504,"&lt;"&amp;DATE(YEAR(Q$3),MONTH(Q$3)+1,1),請求台帳!$Q$5:$Q$504,"&lt;&gt;取消"))</f>
        <v/>
      </c>
      <c r="R56" s="27" t="str">
        <f aca="false">IF($A56="","",SUMIFS(入金明細!$E$5:$E$1004,入金明細!$G$5:$G$1004,$A56,入金明細!$B$5:$B$1004,"&gt;="&amp;Q$3,入金明細!$B$5:$B$1004,"&lt;"&amp;DATE(YEAR(Q$3),MONTH(Q$3)+1,1)))</f>
        <v/>
      </c>
      <c r="S56" s="27" t="str">
        <f aca="false">IF($A56="","",SUMIFS(請求台帳!$F$5:$F$504,請求台帳!$C$5:$C$504,$A56,請求台帳!$B$5:$B$504,"&gt;="&amp;S$3,請求台帳!$B$5:$B$504,"&lt;"&amp;DATE(YEAR(S$3),MONTH(S$3)+1,1),請求台帳!$Q$5:$Q$504,"&lt;&gt;取消"))</f>
        <v/>
      </c>
      <c r="T56" s="27" t="str">
        <f aca="false">IF($A56="","",SUMIFS(入金明細!$E$5:$E$1004,入金明細!$G$5:$G$1004,$A56,入金明細!$B$5:$B$1004,"&gt;="&amp;S$3,入金明細!$B$5:$B$1004,"&lt;"&amp;DATE(YEAR(S$3),MONTH(S$3)+1,1)))</f>
        <v/>
      </c>
      <c r="U56" s="27" t="str">
        <f aca="false">IF($A56="","",SUMIFS(請求台帳!$F$5:$F$504,請求台帳!$C$5:$C$504,$A56,請求台帳!$B$5:$B$504,"&gt;="&amp;U$3,請求台帳!$B$5:$B$504,"&lt;"&amp;DATE(YEAR(U$3),MONTH(U$3)+1,1),請求台帳!$Q$5:$Q$504,"&lt;&gt;取消"))</f>
        <v/>
      </c>
      <c r="V56" s="27" t="str">
        <f aca="false">IF($A56="","",SUMIFS(入金明細!$E$5:$E$1004,入金明細!$G$5:$G$1004,$A56,入金明細!$B$5:$B$1004,"&gt;="&amp;U$3,入金明細!$B$5:$B$1004,"&lt;"&amp;DATE(YEAR(U$3),MONTH(U$3)+1,1)))</f>
        <v/>
      </c>
      <c r="W56" s="27" t="str">
        <f aca="false">IF($A56="","",SUMIFS(請求台帳!$F$5:$F$504,請求台帳!$C$5:$C$504,$A56,請求台帳!$B$5:$B$504,"&gt;="&amp;W$3,請求台帳!$B$5:$B$504,"&lt;"&amp;DATE(YEAR(W$3),MONTH(W$3)+1,1),請求台帳!$Q$5:$Q$504,"&lt;&gt;取消"))</f>
        <v/>
      </c>
      <c r="X56" s="27" t="str">
        <f aca="false">IF($A56="","",SUMIFS(入金明細!$E$5:$E$1004,入金明細!$G$5:$G$1004,$A56,入金明細!$B$5:$B$1004,"&gt;="&amp;W$3,入金明細!$B$5:$B$1004,"&lt;"&amp;DATE(YEAR(W$3),MONTH(W$3)+1,1)))</f>
        <v/>
      </c>
      <c r="Y56" s="27" t="str">
        <f aca="false">IF($A56="","",SUMIFS(請求台帳!$F$5:$F$504,請求台帳!$C$5:$C$504,$A56,請求台帳!$B$5:$B$504,"&gt;="&amp;Y$3,請求台帳!$B$5:$B$504,"&lt;"&amp;DATE(YEAR(Y$3),MONTH(Y$3)+1,1),請求台帳!$Q$5:$Q$504,"&lt;&gt;取消"))</f>
        <v/>
      </c>
      <c r="Z56" s="27" t="str">
        <f aca="false">IF($A56="","",SUMIFS(入金明細!$E$5:$E$1004,入金明細!$G$5:$G$1004,$A56,入金明細!$B$5:$B$1004,"&gt;="&amp;Y$3,入金明細!$B$5:$B$1004,"&lt;"&amp;DATE(YEAR(Y$3),MONTH(Y$3)+1,1)))</f>
        <v/>
      </c>
      <c r="AA56" s="37" t="n">
        <f aca="false">SUM(C56,E56,G56,I56,K56,M56,O56,Q56,S56,U56,W56,Y56)</f>
        <v>0</v>
      </c>
      <c r="AB56" s="37" t="n">
        <f aca="false">SUM(D56,F56,H56,J56,L56,N56,P56,R56,T56,V56,X56,Z56)</f>
        <v>0</v>
      </c>
    </row>
    <row r="57" customFormat="false" ht="15" hidden="false" customHeight="false" outlineLevel="0" collapsed="false">
      <c r="A57" s="31" t="str">
        <f aca="false">IF(取引先マスタ!A57="","",取引先マスタ!A57)</f>
        <v/>
      </c>
      <c r="B57" s="31" t="str">
        <f aca="false">IF(A57="","",取引先マスタ!B57)</f>
        <v/>
      </c>
      <c r="C57" s="27" t="str">
        <f aca="false">IF($A57="","",SUMIFS(請求台帳!$F$5:$F$504,請求台帳!$C$5:$C$504,$A57,請求台帳!$B$5:$B$504,"&gt;="&amp;C$3,請求台帳!$B$5:$B$504,"&lt;"&amp;DATE(YEAR(C$3),MONTH(C$3)+1,1),請求台帳!$Q$5:$Q$504,"&lt;&gt;取消"))</f>
        <v/>
      </c>
      <c r="D57" s="27" t="str">
        <f aca="false">IF($A57="","",SUMIFS(入金明細!$E$5:$E$1004,入金明細!$G$5:$G$1004,$A57,入金明細!$B$5:$B$1004,"&gt;="&amp;C$3,入金明細!$B$5:$B$1004,"&lt;"&amp;DATE(YEAR(C$3),MONTH(C$3)+1,1)))</f>
        <v/>
      </c>
      <c r="E57" s="27" t="str">
        <f aca="false">IF($A57="","",SUMIFS(請求台帳!$F$5:$F$504,請求台帳!$C$5:$C$504,$A57,請求台帳!$B$5:$B$504,"&gt;="&amp;E$3,請求台帳!$B$5:$B$504,"&lt;"&amp;DATE(YEAR(E$3),MONTH(E$3)+1,1),請求台帳!$Q$5:$Q$504,"&lt;&gt;取消"))</f>
        <v/>
      </c>
      <c r="F57" s="27" t="str">
        <f aca="false">IF($A57="","",SUMIFS(入金明細!$E$5:$E$1004,入金明細!$G$5:$G$1004,$A57,入金明細!$B$5:$B$1004,"&gt;="&amp;E$3,入金明細!$B$5:$B$1004,"&lt;"&amp;DATE(YEAR(E$3),MONTH(E$3)+1,1)))</f>
        <v/>
      </c>
      <c r="G57" s="27" t="str">
        <f aca="false">IF($A57="","",SUMIFS(請求台帳!$F$5:$F$504,請求台帳!$C$5:$C$504,$A57,請求台帳!$B$5:$B$504,"&gt;="&amp;G$3,請求台帳!$B$5:$B$504,"&lt;"&amp;DATE(YEAR(G$3),MONTH(G$3)+1,1),請求台帳!$Q$5:$Q$504,"&lt;&gt;取消"))</f>
        <v/>
      </c>
      <c r="H57" s="27" t="str">
        <f aca="false">IF($A57="","",SUMIFS(入金明細!$E$5:$E$1004,入金明細!$G$5:$G$1004,$A57,入金明細!$B$5:$B$1004,"&gt;="&amp;G$3,入金明細!$B$5:$B$1004,"&lt;"&amp;DATE(YEAR(G$3),MONTH(G$3)+1,1)))</f>
        <v/>
      </c>
      <c r="I57" s="27" t="str">
        <f aca="false">IF($A57="","",SUMIFS(請求台帳!$F$5:$F$504,請求台帳!$C$5:$C$504,$A57,請求台帳!$B$5:$B$504,"&gt;="&amp;I$3,請求台帳!$B$5:$B$504,"&lt;"&amp;DATE(YEAR(I$3),MONTH(I$3)+1,1),請求台帳!$Q$5:$Q$504,"&lt;&gt;取消"))</f>
        <v/>
      </c>
      <c r="J57" s="27" t="str">
        <f aca="false">IF($A57="","",SUMIFS(入金明細!$E$5:$E$1004,入金明細!$G$5:$G$1004,$A57,入金明細!$B$5:$B$1004,"&gt;="&amp;I$3,入金明細!$B$5:$B$1004,"&lt;"&amp;DATE(YEAR(I$3),MONTH(I$3)+1,1)))</f>
        <v/>
      </c>
      <c r="K57" s="27" t="str">
        <f aca="false">IF($A57="","",SUMIFS(請求台帳!$F$5:$F$504,請求台帳!$C$5:$C$504,$A57,請求台帳!$B$5:$B$504,"&gt;="&amp;K$3,請求台帳!$B$5:$B$504,"&lt;"&amp;DATE(YEAR(K$3),MONTH(K$3)+1,1),請求台帳!$Q$5:$Q$504,"&lt;&gt;取消"))</f>
        <v/>
      </c>
      <c r="L57" s="27" t="str">
        <f aca="false">IF($A57="","",SUMIFS(入金明細!$E$5:$E$1004,入金明細!$G$5:$G$1004,$A57,入金明細!$B$5:$B$1004,"&gt;="&amp;K$3,入金明細!$B$5:$B$1004,"&lt;"&amp;DATE(YEAR(K$3),MONTH(K$3)+1,1)))</f>
        <v/>
      </c>
      <c r="M57" s="27" t="str">
        <f aca="false">IF($A57="","",SUMIFS(請求台帳!$F$5:$F$504,請求台帳!$C$5:$C$504,$A57,請求台帳!$B$5:$B$504,"&gt;="&amp;M$3,請求台帳!$B$5:$B$504,"&lt;"&amp;DATE(YEAR(M$3),MONTH(M$3)+1,1),請求台帳!$Q$5:$Q$504,"&lt;&gt;取消"))</f>
        <v/>
      </c>
      <c r="N57" s="27" t="str">
        <f aca="false">IF($A57="","",SUMIFS(入金明細!$E$5:$E$1004,入金明細!$G$5:$G$1004,$A57,入金明細!$B$5:$B$1004,"&gt;="&amp;M$3,入金明細!$B$5:$B$1004,"&lt;"&amp;DATE(YEAR(M$3),MONTH(M$3)+1,1)))</f>
        <v/>
      </c>
      <c r="O57" s="27" t="str">
        <f aca="false">IF($A57="","",SUMIFS(請求台帳!$F$5:$F$504,請求台帳!$C$5:$C$504,$A57,請求台帳!$B$5:$B$504,"&gt;="&amp;O$3,請求台帳!$B$5:$B$504,"&lt;"&amp;DATE(YEAR(O$3),MONTH(O$3)+1,1),請求台帳!$Q$5:$Q$504,"&lt;&gt;取消"))</f>
        <v/>
      </c>
      <c r="P57" s="27" t="str">
        <f aca="false">IF($A57="","",SUMIFS(入金明細!$E$5:$E$1004,入金明細!$G$5:$G$1004,$A57,入金明細!$B$5:$B$1004,"&gt;="&amp;O$3,入金明細!$B$5:$B$1004,"&lt;"&amp;DATE(YEAR(O$3),MONTH(O$3)+1,1)))</f>
        <v/>
      </c>
      <c r="Q57" s="27" t="str">
        <f aca="false">IF($A57="","",SUMIFS(請求台帳!$F$5:$F$504,請求台帳!$C$5:$C$504,$A57,請求台帳!$B$5:$B$504,"&gt;="&amp;Q$3,請求台帳!$B$5:$B$504,"&lt;"&amp;DATE(YEAR(Q$3),MONTH(Q$3)+1,1),請求台帳!$Q$5:$Q$504,"&lt;&gt;取消"))</f>
        <v/>
      </c>
      <c r="R57" s="27" t="str">
        <f aca="false">IF($A57="","",SUMIFS(入金明細!$E$5:$E$1004,入金明細!$G$5:$G$1004,$A57,入金明細!$B$5:$B$1004,"&gt;="&amp;Q$3,入金明細!$B$5:$B$1004,"&lt;"&amp;DATE(YEAR(Q$3),MONTH(Q$3)+1,1)))</f>
        <v/>
      </c>
      <c r="S57" s="27" t="str">
        <f aca="false">IF($A57="","",SUMIFS(請求台帳!$F$5:$F$504,請求台帳!$C$5:$C$504,$A57,請求台帳!$B$5:$B$504,"&gt;="&amp;S$3,請求台帳!$B$5:$B$504,"&lt;"&amp;DATE(YEAR(S$3),MONTH(S$3)+1,1),請求台帳!$Q$5:$Q$504,"&lt;&gt;取消"))</f>
        <v/>
      </c>
      <c r="T57" s="27" t="str">
        <f aca="false">IF($A57="","",SUMIFS(入金明細!$E$5:$E$1004,入金明細!$G$5:$G$1004,$A57,入金明細!$B$5:$B$1004,"&gt;="&amp;S$3,入金明細!$B$5:$B$1004,"&lt;"&amp;DATE(YEAR(S$3),MONTH(S$3)+1,1)))</f>
        <v/>
      </c>
      <c r="U57" s="27" t="str">
        <f aca="false">IF($A57="","",SUMIFS(請求台帳!$F$5:$F$504,請求台帳!$C$5:$C$504,$A57,請求台帳!$B$5:$B$504,"&gt;="&amp;U$3,請求台帳!$B$5:$B$504,"&lt;"&amp;DATE(YEAR(U$3),MONTH(U$3)+1,1),請求台帳!$Q$5:$Q$504,"&lt;&gt;取消"))</f>
        <v/>
      </c>
      <c r="V57" s="27" t="str">
        <f aca="false">IF($A57="","",SUMIFS(入金明細!$E$5:$E$1004,入金明細!$G$5:$G$1004,$A57,入金明細!$B$5:$B$1004,"&gt;="&amp;U$3,入金明細!$B$5:$B$1004,"&lt;"&amp;DATE(YEAR(U$3),MONTH(U$3)+1,1)))</f>
        <v/>
      </c>
      <c r="W57" s="27" t="str">
        <f aca="false">IF($A57="","",SUMIFS(請求台帳!$F$5:$F$504,請求台帳!$C$5:$C$504,$A57,請求台帳!$B$5:$B$504,"&gt;="&amp;W$3,請求台帳!$B$5:$B$504,"&lt;"&amp;DATE(YEAR(W$3),MONTH(W$3)+1,1),請求台帳!$Q$5:$Q$504,"&lt;&gt;取消"))</f>
        <v/>
      </c>
      <c r="X57" s="27" t="str">
        <f aca="false">IF($A57="","",SUMIFS(入金明細!$E$5:$E$1004,入金明細!$G$5:$G$1004,$A57,入金明細!$B$5:$B$1004,"&gt;="&amp;W$3,入金明細!$B$5:$B$1004,"&lt;"&amp;DATE(YEAR(W$3),MONTH(W$3)+1,1)))</f>
        <v/>
      </c>
      <c r="Y57" s="27" t="str">
        <f aca="false">IF($A57="","",SUMIFS(請求台帳!$F$5:$F$504,請求台帳!$C$5:$C$504,$A57,請求台帳!$B$5:$B$504,"&gt;="&amp;Y$3,請求台帳!$B$5:$B$504,"&lt;"&amp;DATE(YEAR(Y$3),MONTH(Y$3)+1,1),請求台帳!$Q$5:$Q$504,"&lt;&gt;取消"))</f>
        <v/>
      </c>
      <c r="Z57" s="27" t="str">
        <f aca="false">IF($A57="","",SUMIFS(入金明細!$E$5:$E$1004,入金明細!$G$5:$G$1004,$A57,入金明細!$B$5:$B$1004,"&gt;="&amp;Y$3,入金明細!$B$5:$B$1004,"&lt;"&amp;DATE(YEAR(Y$3),MONTH(Y$3)+1,1)))</f>
        <v/>
      </c>
      <c r="AA57" s="37" t="n">
        <f aca="false">SUM(C57,E57,G57,I57,K57,M57,O57,Q57,S57,U57,W57,Y57)</f>
        <v>0</v>
      </c>
      <c r="AB57" s="37" t="n">
        <f aca="false">SUM(D57,F57,H57,J57,L57,N57,P57,R57,T57,V57,X57,Z57)</f>
        <v>0</v>
      </c>
    </row>
    <row r="58" customFormat="false" ht="15" hidden="false" customHeight="false" outlineLevel="0" collapsed="false">
      <c r="A58" s="31" t="str">
        <f aca="false">IF(取引先マスタ!A58="","",取引先マスタ!A58)</f>
        <v/>
      </c>
      <c r="B58" s="31" t="str">
        <f aca="false">IF(A58="","",取引先マスタ!B58)</f>
        <v/>
      </c>
      <c r="C58" s="27" t="str">
        <f aca="false">IF($A58="","",SUMIFS(請求台帳!$F$5:$F$504,請求台帳!$C$5:$C$504,$A58,請求台帳!$B$5:$B$504,"&gt;="&amp;C$3,請求台帳!$B$5:$B$504,"&lt;"&amp;DATE(YEAR(C$3),MONTH(C$3)+1,1),請求台帳!$Q$5:$Q$504,"&lt;&gt;取消"))</f>
        <v/>
      </c>
      <c r="D58" s="27" t="str">
        <f aca="false">IF($A58="","",SUMIFS(入金明細!$E$5:$E$1004,入金明細!$G$5:$G$1004,$A58,入金明細!$B$5:$B$1004,"&gt;="&amp;C$3,入金明細!$B$5:$B$1004,"&lt;"&amp;DATE(YEAR(C$3),MONTH(C$3)+1,1)))</f>
        <v/>
      </c>
      <c r="E58" s="27" t="str">
        <f aca="false">IF($A58="","",SUMIFS(請求台帳!$F$5:$F$504,請求台帳!$C$5:$C$504,$A58,請求台帳!$B$5:$B$504,"&gt;="&amp;E$3,請求台帳!$B$5:$B$504,"&lt;"&amp;DATE(YEAR(E$3),MONTH(E$3)+1,1),請求台帳!$Q$5:$Q$504,"&lt;&gt;取消"))</f>
        <v/>
      </c>
      <c r="F58" s="27" t="str">
        <f aca="false">IF($A58="","",SUMIFS(入金明細!$E$5:$E$1004,入金明細!$G$5:$G$1004,$A58,入金明細!$B$5:$B$1004,"&gt;="&amp;E$3,入金明細!$B$5:$B$1004,"&lt;"&amp;DATE(YEAR(E$3),MONTH(E$3)+1,1)))</f>
        <v/>
      </c>
      <c r="G58" s="27" t="str">
        <f aca="false">IF($A58="","",SUMIFS(請求台帳!$F$5:$F$504,請求台帳!$C$5:$C$504,$A58,請求台帳!$B$5:$B$504,"&gt;="&amp;G$3,請求台帳!$B$5:$B$504,"&lt;"&amp;DATE(YEAR(G$3),MONTH(G$3)+1,1),請求台帳!$Q$5:$Q$504,"&lt;&gt;取消"))</f>
        <v/>
      </c>
      <c r="H58" s="27" t="str">
        <f aca="false">IF($A58="","",SUMIFS(入金明細!$E$5:$E$1004,入金明細!$G$5:$G$1004,$A58,入金明細!$B$5:$B$1004,"&gt;="&amp;G$3,入金明細!$B$5:$B$1004,"&lt;"&amp;DATE(YEAR(G$3),MONTH(G$3)+1,1)))</f>
        <v/>
      </c>
      <c r="I58" s="27" t="str">
        <f aca="false">IF($A58="","",SUMIFS(請求台帳!$F$5:$F$504,請求台帳!$C$5:$C$504,$A58,請求台帳!$B$5:$B$504,"&gt;="&amp;I$3,請求台帳!$B$5:$B$504,"&lt;"&amp;DATE(YEAR(I$3),MONTH(I$3)+1,1),請求台帳!$Q$5:$Q$504,"&lt;&gt;取消"))</f>
        <v/>
      </c>
      <c r="J58" s="27" t="str">
        <f aca="false">IF($A58="","",SUMIFS(入金明細!$E$5:$E$1004,入金明細!$G$5:$G$1004,$A58,入金明細!$B$5:$B$1004,"&gt;="&amp;I$3,入金明細!$B$5:$B$1004,"&lt;"&amp;DATE(YEAR(I$3),MONTH(I$3)+1,1)))</f>
        <v/>
      </c>
      <c r="K58" s="27" t="str">
        <f aca="false">IF($A58="","",SUMIFS(請求台帳!$F$5:$F$504,請求台帳!$C$5:$C$504,$A58,請求台帳!$B$5:$B$504,"&gt;="&amp;K$3,請求台帳!$B$5:$B$504,"&lt;"&amp;DATE(YEAR(K$3),MONTH(K$3)+1,1),請求台帳!$Q$5:$Q$504,"&lt;&gt;取消"))</f>
        <v/>
      </c>
      <c r="L58" s="27" t="str">
        <f aca="false">IF($A58="","",SUMIFS(入金明細!$E$5:$E$1004,入金明細!$G$5:$G$1004,$A58,入金明細!$B$5:$B$1004,"&gt;="&amp;K$3,入金明細!$B$5:$B$1004,"&lt;"&amp;DATE(YEAR(K$3),MONTH(K$3)+1,1)))</f>
        <v/>
      </c>
      <c r="M58" s="27" t="str">
        <f aca="false">IF($A58="","",SUMIFS(請求台帳!$F$5:$F$504,請求台帳!$C$5:$C$504,$A58,請求台帳!$B$5:$B$504,"&gt;="&amp;M$3,請求台帳!$B$5:$B$504,"&lt;"&amp;DATE(YEAR(M$3),MONTH(M$3)+1,1),請求台帳!$Q$5:$Q$504,"&lt;&gt;取消"))</f>
        <v/>
      </c>
      <c r="N58" s="27" t="str">
        <f aca="false">IF($A58="","",SUMIFS(入金明細!$E$5:$E$1004,入金明細!$G$5:$G$1004,$A58,入金明細!$B$5:$B$1004,"&gt;="&amp;M$3,入金明細!$B$5:$B$1004,"&lt;"&amp;DATE(YEAR(M$3),MONTH(M$3)+1,1)))</f>
        <v/>
      </c>
      <c r="O58" s="27" t="str">
        <f aca="false">IF($A58="","",SUMIFS(請求台帳!$F$5:$F$504,請求台帳!$C$5:$C$504,$A58,請求台帳!$B$5:$B$504,"&gt;="&amp;O$3,請求台帳!$B$5:$B$504,"&lt;"&amp;DATE(YEAR(O$3),MONTH(O$3)+1,1),請求台帳!$Q$5:$Q$504,"&lt;&gt;取消"))</f>
        <v/>
      </c>
      <c r="P58" s="27" t="str">
        <f aca="false">IF($A58="","",SUMIFS(入金明細!$E$5:$E$1004,入金明細!$G$5:$G$1004,$A58,入金明細!$B$5:$B$1004,"&gt;="&amp;O$3,入金明細!$B$5:$B$1004,"&lt;"&amp;DATE(YEAR(O$3),MONTH(O$3)+1,1)))</f>
        <v/>
      </c>
      <c r="Q58" s="27" t="str">
        <f aca="false">IF($A58="","",SUMIFS(請求台帳!$F$5:$F$504,請求台帳!$C$5:$C$504,$A58,請求台帳!$B$5:$B$504,"&gt;="&amp;Q$3,請求台帳!$B$5:$B$504,"&lt;"&amp;DATE(YEAR(Q$3),MONTH(Q$3)+1,1),請求台帳!$Q$5:$Q$504,"&lt;&gt;取消"))</f>
        <v/>
      </c>
      <c r="R58" s="27" t="str">
        <f aca="false">IF($A58="","",SUMIFS(入金明細!$E$5:$E$1004,入金明細!$G$5:$G$1004,$A58,入金明細!$B$5:$B$1004,"&gt;="&amp;Q$3,入金明細!$B$5:$B$1004,"&lt;"&amp;DATE(YEAR(Q$3),MONTH(Q$3)+1,1)))</f>
        <v/>
      </c>
      <c r="S58" s="27" t="str">
        <f aca="false">IF($A58="","",SUMIFS(請求台帳!$F$5:$F$504,請求台帳!$C$5:$C$504,$A58,請求台帳!$B$5:$B$504,"&gt;="&amp;S$3,請求台帳!$B$5:$B$504,"&lt;"&amp;DATE(YEAR(S$3),MONTH(S$3)+1,1),請求台帳!$Q$5:$Q$504,"&lt;&gt;取消"))</f>
        <v/>
      </c>
      <c r="T58" s="27" t="str">
        <f aca="false">IF($A58="","",SUMIFS(入金明細!$E$5:$E$1004,入金明細!$G$5:$G$1004,$A58,入金明細!$B$5:$B$1004,"&gt;="&amp;S$3,入金明細!$B$5:$B$1004,"&lt;"&amp;DATE(YEAR(S$3),MONTH(S$3)+1,1)))</f>
        <v/>
      </c>
      <c r="U58" s="27" t="str">
        <f aca="false">IF($A58="","",SUMIFS(請求台帳!$F$5:$F$504,請求台帳!$C$5:$C$504,$A58,請求台帳!$B$5:$B$504,"&gt;="&amp;U$3,請求台帳!$B$5:$B$504,"&lt;"&amp;DATE(YEAR(U$3),MONTH(U$3)+1,1),請求台帳!$Q$5:$Q$504,"&lt;&gt;取消"))</f>
        <v/>
      </c>
      <c r="V58" s="27" t="str">
        <f aca="false">IF($A58="","",SUMIFS(入金明細!$E$5:$E$1004,入金明細!$G$5:$G$1004,$A58,入金明細!$B$5:$B$1004,"&gt;="&amp;U$3,入金明細!$B$5:$B$1004,"&lt;"&amp;DATE(YEAR(U$3),MONTH(U$3)+1,1)))</f>
        <v/>
      </c>
      <c r="W58" s="27" t="str">
        <f aca="false">IF($A58="","",SUMIFS(請求台帳!$F$5:$F$504,請求台帳!$C$5:$C$504,$A58,請求台帳!$B$5:$B$504,"&gt;="&amp;W$3,請求台帳!$B$5:$B$504,"&lt;"&amp;DATE(YEAR(W$3),MONTH(W$3)+1,1),請求台帳!$Q$5:$Q$504,"&lt;&gt;取消"))</f>
        <v/>
      </c>
      <c r="X58" s="27" t="str">
        <f aca="false">IF($A58="","",SUMIFS(入金明細!$E$5:$E$1004,入金明細!$G$5:$G$1004,$A58,入金明細!$B$5:$B$1004,"&gt;="&amp;W$3,入金明細!$B$5:$B$1004,"&lt;"&amp;DATE(YEAR(W$3),MONTH(W$3)+1,1)))</f>
        <v/>
      </c>
      <c r="Y58" s="27" t="str">
        <f aca="false">IF($A58="","",SUMIFS(請求台帳!$F$5:$F$504,請求台帳!$C$5:$C$504,$A58,請求台帳!$B$5:$B$504,"&gt;="&amp;Y$3,請求台帳!$B$5:$B$504,"&lt;"&amp;DATE(YEAR(Y$3),MONTH(Y$3)+1,1),請求台帳!$Q$5:$Q$504,"&lt;&gt;取消"))</f>
        <v/>
      </c>
      <c r="Z58" s="27" t="str">
        <f aca="false">IF($A58="","",SUMIFS(入金明細!$E$5:$E$1004,入金明細!$G$5:$G$1004,$A58,入金明細!$B$5:$B$1004,"&gt;="&amp;Y$3,入金明細!$B$5:$B$1004,"&lt;"&amp;DATE(YEAR(Y$3),MONTH(Y$3)+1,1)))</f>
        <v/>
      </c>
      <c r="AA58" s="37" t="n">
        <f aca="false">SUM(C58,E58,G58,I58,K58,M58,O58,Q58,S58,U58,W58,Y58)</f>
        <v>0</v>
      </c>
      <c r="AB58" s="37" t="n">
        <f aca="false">SUM(D58,F58,H58,J58,L58,N58,P58,R58,T58,V58,X58,Z58)</f>
        <v>0</v>
      </c>
    </row>
    <row r="59" customFormat="false" ht="15" hidden="false" customHeight="false" outlineLevel="0" collapsed="false">
      <c r="A59" s="31" t="str">
        <f aca="false">IF(取引先マスタ!A59="","",取引先マスタ!A59)</f>
        <v/>
      </c>
      <c r="B59" s="31" t="str">
        <f aca="false">IF(A59="","",取引先マスタ!B59)</f>
        <v/>
      </c>
      <c r="C59" s="27" t="str">
        <f aca="false">IF($A59="","",SUMIFS(請求台帳!$F$5:$F$504,請求台帳!$C$5:$C$504,$A59,請求台帳!$B$5:$B$504,"&gt;="&amp;C$3,請求台帳!$B$5:$B$504,"&lt;"&amp;DATE(YEAR(C$3),MONTH(C$3)+1,1),請求台帳!$Q$5:$Q$504,"&lt;&gt;取消"))</f>
        <v/>
      </c>
      <c r="D59" s="27" t="str">
        <f aca="false">IF($A59="","",SUMIFS(入金明細!$E$5:$E$1004,入金明細!$G$5:$G$1004,$A59,入金明細!$B$5:$B$1004,"&gt;="&amp;C$3,入金明細!$B$5:$B$1004,"&lt;"&amp;DATE(YEAR(C$3),MONTH(C$3)+1,1)))</f>
        <v/>
      </c>
      <c r="E59" s="27" t="str">
        <f aca="false">IF($A59="","",SUMIFS(請求台帳!$F$5:$F$504,請求台帳!$C$5:$C$504,$A59,請求台帳!$B$5:$B$504,"&gt;="&amp;E$3,請求台帳!$B$5:$B$504,"&lt;"&amp;DATE(YEAR(E$3),MONTH(E$3)+1,1),請求台帳!$Q$5:$Q$504,"&lt;&gt;取消"))</f>
        <v/>
      </c>
      <c r="F59" s="27" t="str">
        <f aca="false">IF($A59="","",SUMIFS(入金明細!$E$5:$E$1004,入金明細!$G$5:$G$1004,$A59,入金明細!$B$5:$B$1004,"&gt;="&amp;E$3,入金明細!$B$5:$B$1004,"&lt;"&amp;DATE(YEAR(E$3),MONTH(E$3)+1,1)))</f>
        <v/>
      </c>
      <c r="G59" s="27" t="str">
        <f aca="false">IF($A59="","",SUMIFS(請求台帳!$F$5:$F$504,請求台帳!$C$5:$C$504,$A59,請求台帳!$B$5:$B$504,"&gt;="&amp;G$3,請求台帳!$B$5:$B$504,"&lt;"&amp;DATE(YEAR(G$3),MONTH(G$3)+1,1),請求台帳!$Q$5:$Q$504,"&lt;&gt;取消"))</f>
        <v/>
      </c>
      <c r="H59" s="27" t="str">
        <f aca="false">IF($A59="","",SUMIFS(入金明細!$E$5:$E$1004,入金明細!$G$5:$G$1004,$A59,入金明細!$B$5:$B$1004,"&gt;="&amp;G$3,入金明細!$B$5:$B$1004,"&lt;"&amp;DATE(YEAR(G$3),MONTH(G$3)+1,1)))</f>
        <v/>
      </c>
      <c r="I59" s="27" t="str">
        <f aca="false">IF($A59="","",SUMIFS(請求台帳!$F$5:$F$504,請求台帳!$C$5:$C$504,$A59,請求台帳!$B$5:$B$504,"&gt;="&amp;I$3,請求台帳!$B$5:$B$504,"&lt;"&amp;DATE(YEAR(I$3),MONTH(I$3)+1,1),請求台帳!$Q$5:$Q$504,"&lt;&gt;取消"))</f>
        <v/>
      </c>
      <c r="J59" s="27" t="str">
        <f aca="false">IF($A59="","",SUMIFS(入金明細!$E$5:$E$1004,入金明細!$G$5:$G$1004,$A59,入金明細!$B$5:$B$1004,"&gt;="&amp;I$3,入金明細!$B$5:$B$1004,"&lt;"&amp;DATE(YEAR(I$3),MONTH(I$3)+1,1)))</f>
        <v/>
      </c>
      <c r="K59" s="27" t="str">
        <f aca="false">IF($A59="","",SUMIFS(請求台帳!$F$5:$F$504,請求台帳!$C$5:$C$504,$A59,請求台帳!$B$5:$B$504,"&gt;="&amp;K$3,請求台帳!$B$5:$B$504,"&lt;"&amp;DATE(YEAR(K$3),MONTH(K$3)+1,1),請求台帳!$Q$5:$Q$504,"&lt;&gt;取消"))</f>
        <v/>
      </c>
      <c r="L59" s="27" t="str">
        <f aca="false">IF($A59="","",SUMIFS(入金明細!$E$5:$E$1004,入金明細!$G$5:$G$1004,$A59,入金明細!$B$5:$B$1004,"&gt;="&amp;K$3,入金明細!$B$5:$B$1004,"&lt;"&amp;DATE(YEAR(K$3),MONTH(K$3)+1,1)))</f>
        <v/>
      </c>
      <c r="M59" s="27" t="str">
        <f aca="false">IF($A59="","",SUMIFS(請求台帳!$F$5:$F$504,請求台帳!$C$5:$C$504,$A59,請求台帳!$B$5:$B$504,"&gt;="&amp;M$3,請求台帳!$B$5:$B$504,"&lt;"&amp;DATE(YEAR(M$3),MONTH(M$3)+1,1),請求台帳!$Q$5:$Q$504,"&lt;&gt;取消"))</f>
        <v/>
      </c>
      <c r="N59" s="27" t="str">
        <f aca="false">IF($A59="","",SUMIFS(入金明細!$E$5:$E$1004,入金明細!$G$5:$G$1004,$A59,入金明細!$B$5:$B$1004,"&gt;="&amp;M$3,入金明細!$B$5:$B$1004,"&lt;"&amp;DATE(YEAR(M$3),MONTH(M$3)+1,1)))</f>
        <v/>
      </c>
      <c r="O59" s="27" t="str">
        <f aca="false">IF($A59="","",SUMIFS(請求台帳!$F$5:$F$504,請求台帳!$C$5:$C$504,$A59,請求台帳!$B$5:$B$504,"&gt;="&amp;O$3,請求台帳!$B$5:$B$504,"&lt;"&amp;DATE(YEAR(O$3),MONTH(O$3)+1,1),請求台帳!$Q$5:$Q$504,"&lt;&gt;取消"))</f>
        <v/>
      </c>
      <c r="P59" s="27" t="str">
        <f aca="false">IF($A59="","",SUMIFS(入金明細!$E$5:$E$1004,入金明細!$G$5:$G$1004,$A59,入金明細!$B$5:$B$1004,"&gt;="&amp;O$3,入金明細!$B$5:$B$1004,"&lt;"&amp;DATE(YEAR(O$3),MONTH(O$3)+1,1)))</f>
        <v/>
      </c>
      <c r="Q59" s="27" t="str">
        <f aca="false">IF($A59="","",SUMIFS(請求台帳!$F$5:$F$504,請求台帳!$C$5:$C$504,$A59,請求台帳!$B$5:$B$504,"&gt;="&amp;Q$3,請求台帳!$B$5:$B$504,"&lt;"&amp;DATE(YEAR(Q$3),MONTH(Q$3)+1,1),請求台帳!$Q$5:$Q$504,"&lt;&gt;取消"))</f>
        <v/>
      </c>
      <c r="R59" s="27" t="str">
        <f aca="false">IF($A59="","",SUMIFS(入金明細!$E$5:$E$1004,入金明細!$G$5:$G$1004,$A59,入金明細!$B$5:$B$1004,"&gt;="&amp;Q$3,入金明細!$B$5:$B$1004,"&lt;"&amp;DATE(YEAR(Q$3),MONTH(Q$3)+1,1)))</f>
        <v/>
      </c>
      <c r="S59" s="27" t="str">
        <f aca="false">IF($A59="","",SUMIFS(請求台帳!$F$5:$F$504,請求台帳!$C$5:$C$504,$A59,請求台帳!$B$5:$B$504,"&gt;="&amp;S$3,請求台帳!$B$5:$B$504,"&lt;"&amp;DATE(YEAR(S$3),MONTH(S$3)+1,1),請求台帳!$Q$5:$Q$504,"&lt;&gt;取消"))</f>
        <v/>
      </c>
      <c r="T59" s="27" t="str">
        <f aca="false">IF($A59="","",SUMIFS(入金明細!$E$5:$E$1004,入金明細!$G$5:$G$1004,$A59,入金明細!$B$5:$B$1004,"&gt;="&amp;S$3,入金明細!$B$5:$B$1004,"&lt;"&amp;DATE(YEAR(S$3),MONTH(S$3)+1,1)))</f>
        <v/>
      </c>
      <c r="U59" s="27" t="str">
        <f aca="false">IF($A59="","",SUMIFS(請求台帳!$F$5:$F$504,請求台帳!$C$5:$C$504,$A59,請求台帳!$B$5:$B$504,"&gt;="&amp;U$3,請求台帳!$B$5:$B$504,"&lt;"&amp;DATE(YEAR(U$3),MONTH(U$3)+1,1),請求台帳!$Q$5:$Q$504,"&lt;&gt;取消"))</f>
        <v/>
      </c>
      <c r="V59" s="27" t="str">
        <f aca="false">IF($A59="","",SUMIFS(入金明細!$E$5:$E$1004,入金明細!$G$5:$G$1004,$A59,入金明細!$B$5:$B$1004,"&gt;="&amp;U$3,入金明細!$B$5:$B$1004,"&lt;"&amp;DATE(YEAR(U$3),MONTH(U$3)+1,1)))</f>
        <v/>
      </c>
      <c r="W59" s="27" t="str">
        <f aca="false">IF($A59="","",SUMIFS(請求台帳!$F$5:$F$504,請求台帳!$C$5:$C$504,$A59,請求台帳!$B$5:$B$504,"&gt;="&amp;W$3,請求台帳!$B$5:$B$504,"&lt;"&amp;DATE(YEAR(W$3),MONTH(W$3)+1,1),請求台帳!$Q$5:$Q$504,"&lt;&gt;取消"))</f>
        <v/>
      </c>
      <c r="X59" s="27" t="str">
        <f aca="false">IF($A59="","",SUMIFS(入金明細!$E$5:$E$1004,入金明細!$G$5:$G$1004,$A59,入金明細!$B$5:$B$1004,"&gt;="&amp;W$3,入金明細!$B$5:$B$1004,"&lt;"&amp;DATE(YEAR(W$3),MONTH(W$3)+1,1)))</f>
        <v/>
      </c>
      <c r="Y59" s="27" t="str">
        <f aca="false">IF($A59="","",SUMIFS(請求台帳!$F$5:$F$504,請求台帳!$C$5:$C$504,$A59,請求台帳!$B$5:$B$504,"&gt;="&amp;Y$3,請求台帳!$B$5:$B$504,"&lt;"&amp;DATE(YEAR(Y$3),MONTH(Y$3)+1,1),請求台帳!$Q$5:$Q$504,"&lt;&gt;取消"))</f>
        <v/>
      </c>
      <c r="Z59" s="27" t="str">
        <f aca="false">IF($A59="","",SUMIFS(入金明細!$E$5:$E$1004,入金明細!$G$5:$G$1004,$A59,入金明細!$B$5:$B$1004,"&gt;="&amp;Y$3,入金明細!$B$5:$B$1004,"&lt;"&amp;DATE(YEAR(Y$3),MONTH(Y$3)+1,1)))</f>
        <v/>
      </c>
      <c r="AA59" s="37" t="n">
        <f aca="false">SUM(C59,E59,G59,I59,K59,M59,O59,Q59,S59,U59,W59,Y59)</f>
        <v>0</v>
      </c>
      <c r="AB59" s="37" t="n">
        <f aca="false">SUM(D59,F59,H59,J59,L59,N59,P59,R59,T59,V59,X59,Z59)</f>
        <v>0</v>
      </c>
    </row>
    <row r="60" customFormat="false" ht="15" hidden="false" customHeight="false" outlineLevel="0" collapsed="false">
      <c r="A60" s="31" t="str">
        <f aca="false">IF(取引先マスタ!A60="","",取引先マスタ!A60)</f>
        <v/>
      </c>
      <c r="B60" s="31" t="str">
        <f aca="false">IF(A60="","",取引先マスタ!B60)</f>
        <v/>
      </c>
      <c r="C60" s="27" t="str">
        <f aca="false">IF($A60="","",SUMIFS(請求台帳!$F$5:$F$504,請求台帳!$C$5:$C$504,$A60,請求台帳!$B$5:$B$504,"&gt;="&amp;C$3,請求台帳!$B$5:$B$504,"&lt;"&amp;DATE(YEAR(C$3),MONTH(C$3)+1,1),請求台帳!$Q$5:$Q$504,"&lt;&gt;取消"))</f>
        <v/>
      </c>
      <c r="D60" s="27" t="str">
        <f aca="false">IF($A60="","",SUMIFS(入金明細!$E$5:$E$1004,入金明細!$G$5:$G$1004,$A60,入金明細!$B$5:$B$1004,"&gt;="&amp;C$3,入金明細!$B$5:$B$1004,"&lt;"&amp;DATE(YEAR(C$3),MONTH(C$3)+1,1)))</f>
        <v/>
      </c>
      <c r="E60" s="27" t="str">
        <f aca="false">IF($A60="","",SUMIFS(請求台帳!$F$5:$F$504,請求台帳!$C$5:$C$504,$A60,請求台帳!$B$5:$B$504,"&gt;="&amp;E$3,請求台帳!$B$5:$B$504,"&lt;"&amp;DATE(YEAR(E$3),MONTH(E$3)+1,1),請求台帳!$Q$5:$Q$504,"&lt;&gt;取消"))</f>
        <v/>
      </c>
      <c r="F60" s="27" t="str">
        <f aca="false">IF($A60="","",SUMIFS(入金明細!$E$5:$E$1004,入金明細!$G$5:$G$1004,$A60,入金明細!$B$5:$B$1004,"&gt;="&amp;E$3,入金明細!$B$5:$B$1004,"&lt;"&amp;DATE(YEAR(E$3),MONTH(E$3)+1,1)))</f>
        <v/>
      </c>
      <c r="G60" s="27" t="str">
        <f aca="false">IF($A60="","",SUMIFS(請求台帳!$F$5:$F$504,請求台帳!$C$5:$C$504,$A60,請求台帳!$B$5:$B$504,"&gt;="&amp;G$3,請求台帳!$B$5:$B$504,"&lt;"&amp;DATE(YEAR(G$3),MONTH(G$3)+1,1),請求台帳!$Q$5:$Q$504,"&lt;&gt;取消"))</f>
        <v/>
      </c>
      <c r="H60" s="27" t="str">
        <f aca="false">IF($A60="","",SUMIFS(入金明細!$E$5:$E$1004,入金明細!$G$5:$G$1004,$A60,入金明細!$B$5:$B$1004,"&gt;="&amp;G$3,入金明細!$B$5:$B$1004,"&lt;"&amp;DATE(YEAR(G$3),MONTH(G$3)+1,1)))</f>
        <v/>
      </c>
      <c r="I60" s="27" t="str">
        <f aca="false">IF($A60="","",SUMIFS(請求台帳!$F$5:$F$504,請求台帳!$C$5:$C$504,$A60,請求台帳!$B$5:$B$504,"&gt;="&amp;I$3,請求台帳!$B$5:$B$504,"&lt;"&amp;DATE(YEAR(I$3),MONTH(I$3)+1,1),請求台帳!$Q$5:$Q$504,"&lt;&gt;取消"))</f>
        <v/>
      </c>
      <c r="J60" s="27" t="str">
        <f aca="false">IF($A60="","",SUMIFS(入金明細!$E$5:$E$1004,入金明細!$G$5:$G$1004,$A60,入金明細!$B$5:$B$1004,"&gt;="&amp;I$3,入金明細!$B$5:$B$1004,"&lt;"&amp;DATE(YEAR(I$3),MONTH(I$3)+1,1)))</f>
        <v/>
      </c>
      <c r="K60" s="27" t="str">
        <f aca="false">IF($A60="","",SUMIFS(請求台帳!$F$5:$F$504,請求台帳!$C$5:$C$504,$A60,請求台帳!$B$5:$B$504,"&gt;="&amp;K$3,請求台帳!$B$5:$B$504,"&lt;"&amp;DATE(YEAR(K$3),MONTH(K$3)+1,1),請求台帳!$Q$5:$Q$504,"&lt;&gt;取消"))</f>
        <v/>
      </c>
      <c r="L60" s="27" t="str">
        <f aca="false">IF($A60="","",SUMIFS(入金明細!$E$5:$E$1004,入金明細!$G$5:$G$1004,$A60,入金明細!$B$5:$B$1004,"&gt;="&amp;K$3,入金明細!$B$5:$B$1004,"&lt;"&amp;DATE(YEAR(K$3),MONTH(K$3)+1,1)))</f>
        <v/>
      </c>
      <c r="M60" s="27" t="str">
        <f aca="false">IF($A60="","",SUMIFS(請求台帳!$F$5:$F$504,請求台帳!$C$5:$C$504,$A60,請求台帳!$B$5:$B$504,"&gt;="&amp;M$3,請求台帳!$B$5:$B$504,"&lt;"&amp;DATE(YEAR(M$3),MONTH(M$3)+1,1),請求台帳!$Q$5:$Q$504,"&lt;&gt;取消"))</f>
        <v/>
      </c>
      <c r="N60" s="27" t="str">
        <f aca="false">IF($A60="","",SUMIFS(入金明細!$E$5:$E$1004,入金明細!$G$5:$G$1004,$A60,入金明細!$B$5:$B$1004,"&gt;="&amp;M$3,入金明細!$B$5:$B$1004,"&lt;"&amp;DATE(YEAR(M$3),MONTH(M$3)+1,1)))</f>
        <v/>
      </c>
      <c r="O60" s="27" t="str">
        <f aca="false">IF($A60="","",SUMIFS(請求台帳!$F$5:$F$504,請求台帳!$C$5:$C$504,$A60,請求台帳!$B$5:$B$504,"&gt;="&amp;O$3,請求台帳!$B$5:$B$504,"&lt;"&amp;DATE(YEAR(O$3),MONTH(O$3)+1,1),請求台帳!$Q$5:$Q$504,"&lt;&gt;取消"))</f>
        <v/>
      </c>
      <c r="P60" s="27" t="str">
        <f aca="false">IF($A60="","",SUMIFS(入金明細!$E$5:$E$1004,入金明細!$G$5:$G$1004,$A60,入金明細!$B$5:$B$1004,"&gt;="&amp;O$3,入金明細!$B$5:$B$1004,"&lt;"&amp;DATE(YEAR(O$3),MONTH(O$3)+1,1)))</f>
        <v/>
      </c>
      <c r="Q60" s="27" t="str">
        <f aca="false">IF($A60="","",SUMIFS(請求台帳!$F$5:$F$504,請求台帳!$C$5:$C$504,$A60,請求台帳!$B$5:$B$504,"&gt;="&amp;Q$3,請求台帳!$B$5:$B$504,"&lt;"&amp;DATE(YEAR(Q$3),MONTH(Q$3)+1,1),請求台帳!$Q$5:$Q$504,"&lt;&gt;取消"))</f>
        <v/>
      </c>
      <c r="R60" s="27" t="str">
        <f aca="false">IF($A60="","",SUMIFS(入金明細!$E$5:$E$1004,入金明細!$G$5:$G$1004,$A60,入金明細!$B$5:$B$1004,"&gt;="&amp;Q$3,入金明細!$B$5:$B$1004,"&lt;"&amp;DATE(YEAR(Q$3),MONTH(Q$3)+1,1)))</f>
        <v/>
      </c>
      <c r="S60" s="27" t="str">
        <f aca="false">IF($A60="","",SUMIFS(請求台帳!$F$5:$F$504,請求台帳!$C$5:$C$504,$A60,請求台帳!$B$5:$B$504,"&gt;="&amp;S$3,請求台帳!$B$5:$B$504,"&lt;"&amp;DATE(YEAR(S$3),MONTH(S$3)+1,1),請求台帳!$Q$5:$Q$504,"&lt;&gt;取消"))</f>
        <v/>
      </c>
      <c r="T60" s="27" t="str">
        <f aca="false">IF($A60="","",SUMIFS(入金明細!$E$5:$E$1004,入金明細!$G$5:$G$1004,$A60,入金明細!$B$5:$B$1004,"&gt;="&amp;S$3,入金明細!$B$5:$B$1004,"&lt;"&amp;DATE(YEAR(S$3),MONTH(S$3)+1,1)))</f>
        <v/>
      </c>
      <c r="U60" s="27" t="str">
        <f aca="false">IF($A60="","",SUMIFS(請求台帳!$F$5:$F$504,請求台帳!$C$5:$C$504,$A60,請求台帳!$B$5:$B$504,"&gt;="&amp;U$3,請求台帳!$B$5:$B$504,"&lt;"&amp;DATE(YEAR(U$3),MONTH(U$3)+1,1),請求台帳!$Q$5:$Q$504,"&lt;&gt;取消"))</f>
        <v/>
      </c>
      <c r="V60" s="27" t="str">
        <f aca="false">IF($A60="","",SUMIFS(入金明細!$E$5:$E$1004,入金明細!$G$5:$G$1004,$A60,入金明細!$B$5:$B$1004,"&gt;="&amp;U$3,入金明細!$B$5:$B$1004,"&lt;"&amp;DATE(YEAR(U$3),MONTH(U$3)+1,1)))</f>
        <v/>
      </c>
      <c r="W60" s="27" t="str">
        <f aca="false">IF($A60="","",SUMIFS(請求台帳!$F$5:$F$504,請求台帳!$C$5:$C$504,$A60,請求台帳!$B$5:$B$504,"&gt;="&amp;W$3,請求台帳!$B$5:$B$504,"&lt;"&amp;DATE(YEAR(W$3),MONTH(W$3)+1,1),請求台帳!$Q$5:$Q$504,"&lt;&gt;取消"))</f>
        <v/>
      </c>
      <c r="X60" s="27" t="str">
        <f aca="false">IF($A60="","",SUMIFS(入金明細!$E$5:$E$1004,入金明細!$G$5:$G$1004,$A60,入金明細!$B$5:$B$1004,"&gt;="&amp;W$3,入金明細!$B$5:$B$1004,"&lt;"&amp;DATE(YEAR(W$3),MONTH(W$3)+1,1)))</f>
        <v/>
      </c>
      <c r="Y60" s="27" t="str">
        <f aca="false">IF($A60="","",SUMIFS(請求台帳!$F$5:$F$504,請求台帳!$C$5:$C$504,$A60,請求台帳!$B$5:$B$504,"&gt;="&amp;Y$3,請求台帳!$B$5:$B$504,"&lt;"&amp;DATE(YEAR(Y$3),MONTH(Y$3)+1,1),請求台帳!$Q$5:$Q$504,"&lt;&gt;取消"))</f>
        <v/>
      </c>
      <c r="Z60" s="27" t="str">
        <f aca="false">IF($A60="","",SUMIFS(入金明細!$E$5:$E$1004,入金明細!$G$5:$G$1004,$A60,入金明細!$B$5:$B$1004,"&gt;="&amp;Y$3,入金明細!$B$5:$B$1004,"&lt;"&amp;DATE(YEAR(Y$3),MONTH(Y$3)+1,1)))</f>
        <v/>
      </c>
      <c r="AA60" s="37" t="n">
        <f aca="false">SUM(C60,E60,G60,I60,K60,M60,O60,Q60,S60,U60,W60,Y60)</f>
        <v>0</v>
      </c>
      <c r="AB60" s="37" t="n">
        <f aca="false">SUM(D60,F60,H60,J60,L60,N60,P60,R60,T60,V60,X60,Z60)</f>
        <v>0</v>
      </c>
    </row>
    <row r="61" customFormat="false" ht="15" hidden="false" customHeight="false" outlineLevel="0" collapsed="false">
      <c r="A61" s="31" t="str">
        <f aca="false">IF(取引先マスタ!A61="","",取引先マスタ!A61)</f>
        <v/>
      </c>
      <c r="B61" s="31" t="str">
        <f aca="false">IF(A61="","",取引先マスタ!B61)</f>
        <v/>
      </c>
      <c r="C61" s="27" t="str">
        <f aca="false">IF($A61="","",SUMIFS(請求台帳!$F$5:$F$504,請求台帳!$C$5:$C$504,$A61,請求台帳!$B$5:$B$504,"&gt;="&amp;C$3,請求台帳!$B$5:$B$504,"&lt;"&amp;DATE(YEAR(C$3),MONTH(C$3)+1,1),請求台帳!$Q$5:$Q$504,"&lt;&gt;取消"))</f>
        <v/>
      </c>
      <c r="D61" s="27" t="str">
        <f aca="false">IF($A61="","",SUMIFS(入金明細!$E$5:$E$1004,入金明細!$G$5:$G$1004,$A61,入金明細!$B$5:$B$1004,"&gt;="&amp;C$3,入金明細!$B$5:$B$1004,"&lt;"&amp;DATE(YEAR(C$3),MONTH(C$3)+1,1)))</f>
        <v/>
      </c>
      <c r="E61" s="27" t="str">
        <f aca="false">IF($A61="","",SUMIFS(請求台帳!$F$5:$F$504,請求台帳!$C$5:$C$504,$A61,請求台帳!$B$5:$B$504,"&gt;="&amp;E$3,請求台帳!$B$5:$B$504,"&lt;"&amp;DATE(YEAR(E$3),MONTH(E$3)+1,1),請求台帳!$Q$5:$Q$504,"&lt;&gt;取消"))</f>
        <v/>
      </c>
      <c r="F61" s="27" t="str">
        <f aca="false">IF($A61="","",SUMIFS(入金明細!$E$5:$E$1004,入金明細!$G$5:$G$1004,$A61,入金明細!$B$5:$B$1004,"&gt;="&amp;E$3,入金明細!$B$5:$B$1004,"&lt;"&amp;DATE(YEAR(E$3),MONTH(E$3)+1,1)))</f>
        <v/>
      </c>
      <c r="G61" s="27" t="str">
        <f aca="false">IF($A61="","",SUMIFS(請求台帳!$F$5:$F$504,請求台帳!$C$5:$C$504,$A61,請求台帳!$B$5:$B$504,"&gt;="&amp;G$3,請求台帳!$B$5:$B$504,"&lt;"&amp;DATE(YEAR(G$3),MONTH(G$3)+1,1),請求台帳!$Q$5:$Q$504,"&lt;&gt;取消"))</f>
        <v/>
      </c>
      <c r="H61" s="27" t="str">
        <f aca="false">IF($A61="","",SUMIFS(入金明細!$E$5:$E$1004,入金明細!$G$5:$G$1004,$A61,入金明細!$B$5:$B$1004,"&gt;="&amp;G$3,入金明細!$B$5:$B$1004,"&lt;"&amp;DATE(YEAR(G$3),MONTH(G$3)+1,1)))</f>
        <v/>
      </c>
      <c r="I61" s="27" t="str">
        <f aca="false">IF($A61="","",SUMIFS(請求台帳!$F$5:$F$504,請求台帳!$C$5:$C$504,$A61,請求台帳!$B$5:$B$504,"&gt;="&amp;I$3,請求台帳!$B$5:$B$504,"&lt;"&amp;DATE(YEAR(I$3),MONTH(I$3)+1,1),請求台帳!$Q$5:$Q$504,"&lt;&gt;取消"))</f>
        <v/>
      </c>
      <c r="J61" s="27" t="str">
        <f aca="false">IF($A61="","",SUMIFS(入金明細!$E$5:$E$1004,入金明細!$G$5:$G$1004,$A61,入金明細!$B$5:$B$1004,"&gt;="&amp;I$3,入金明細!$B$5:$B$1004,"&lt;"&amp;DATE(YEAR(I$3),MONTH(I$3)+1,1)))</f>
        <v/>
      </c>
      <c r="K61" s="27" t="str">
        <f aca="false">IF($A61="","",SUMIFS(請求台帳!$F$5:$F$504,請求台帳!$C$5:$C$504,$A61,請求台帳!$B$5:$B$504,"&gt;="&amp;K$3,請求台帳!$B$5:$B$504,"&lt;"&amp;DATE(YEAR(K$3),MONTH(K$3)+1,1),請求台帳!$Q$5:$Q$504,"&lt;&gt;取消"))</f>
        <v/>
      </c>
      <c r="L61" s="27" t="str">
        <f aca="false">IF($A61="","",SUMIFS(入金明細!$E$5:$E$1004,入金明細!$G$5:$G$1004,$A61,入金明細!$B$5:$B$1004,"&gt;="&amp;K$3,入金明細!$B$5:$B$1004,"&lt;"&amp;DATE(YEAR(K$3),MONTH(K$3)+1,1)))</f>
        <v/>
      </c>
      <c r="M61" s="27" t="str">
        <f aca="false">IF($A61="","",SUMIFS(請求台帳!$F$5:$F$504,請求台帳!$C$5:$C$504,$A61,請求台帳!$B$5:$B$504,"&gt;="&amp;M$3,請求台帳!$B$5:$B$504,"&lt;"&amp;DATE(YEAR(M$3),MONTH(M$3)+1,1),請求台帳!$Q$5:$Q$504,"&lt;&gt;取消"))</f>
        <v/>
      </c>
      <c r="N61" s="27" t="str">
        <f aca="false">IF($A61="","",SUMIFS(入金明細!$E$5:$E$1004,入金明細!$G$5:$G$1004,$A61,入金明細!$B$5:$B$1004,"&gt;="&amp;M$3,入金明細!$B$5:$B$1004,"&lt;"&amp;DATE(YEAR(M$3),MONTH(M$3)+1,1)))</f>
        <v/>
      </c>
      <c r="O61" s="27" t="str">
        <f aca="false">IF($A61="","",SUMIFS(請求台帳!$F$5:$F$504,請求台帳!$C$5:$C$504,$A61,請求台帳!$B$5:$B$504,"&gt;="&amp;O$3,請求台帳!$B$5:$B$504,"&lt;"&amp;DATE(YEAR(O$3),MONTH(O$3)+1,1),請求台帳!$Q$5:$Q$504,"&lt;&gt;取消"))</f>
        <v/>
      </c>
      <c r="P61" s="27" t="str">
        <f aca="false">IF($A61="","",SUMIFS(入金明細!$E$5:$E$1004,入金明細!$G$5:$G$1004,$A61,入金明細!$B$5:$B$1004,"&gt;="&amp;O$3,入金明細!$B$5:$B$1004,"&lt;"&amp;DATE(YEAR(O$3),MONTH(O$3)+1,1)))</f>
        <v/>
      </c>
      <c r="Q61" s="27" t="str">
        <f aca="false">IF($A61="","",SUMIFS(請求台帳!$F$5:$F$504,請求台帳!$C$5:$C$504,$A61,請求台帳!$B$5:$B$504,"&gt;="&amp;Q$3,請求台帳!$B$5:$B$504,"&lt;"&amp;DATE(YEAR(Q$3),MONTH(Q$3)+1,1),請求台帳!$Q$5:$Q$504,"&lt;&gt;取消"))</f>
        <v/>
      </c>
      <c r="R61" s="27" t="str">
        <f aca="false">IF($A61="","",SUMIFS(入金明細!$E$5:$E$1004,入金明細!$G$5:$G$1004,$A61,入金明細!$B$5:$B$1004,"&gt;="&amp;Q$3,入金明細!$B$5:$B$1004,"&lt;"&amp;DATE(YEAR(Q$3),MONTH(Q$3)+1,1)))</f>
        <v/>
      </c>
      <c r="S61" s="27" t="str">
        <f aca="false">IF($A61="","",SUMIFS(請求台帳!$F$5:$F$504,請求台帳!$C$5:$C$504,$A61,請求台帳!$B$5:$B$504,"&gt;="&amp;S$3,請求台帳!$B$5:$B$504,"&lt;"&amp;DATE(YEAR(S$3),MONTH(S$3)+1,1),請求台帳!$Q$5:$Q$504,"&lt;&gt;取消"))</f>
        <v/>
      </c>
      <c r="T61" s="27" t="str">
        <f aca="false">IF($A61="","",SUMIFS(入金明細!$E$5:$E$1004,入金明細!$G$5:$G$1004,$A61,入金明細!$B$5:$B$1004,"&gt;="&amp;S$3,入金明細!$B$5:$B$1004,"&lt;"&amp;DATE(YEAR(S$3),MONTH(S$3)+1,1)))</f>
        <v/>
      </c>
      <c r="U61" s="27" t="str">
        <f aca="false">IF($A61="","",SUMIFS(請求台帳!$F$5:$F$504,請求台帳!$C$5:$C$504,$A61,請求台帳!$B$5:$B$504,"&gt;="&amp;U$3,請求台帳!$B$5:$B$504,"&lt;"&amp;DATE(YEAR(U$3),MONTH(U$3)+1,1),請求台帳!$Q$5:$Q$504,"&lt;&gt;取消"))</f>
        <v/>
      </c>
      <c r="V61" s="27" t="str">
        <f aca="false">IF($A61="","",SUMIFS(入金明細!$E$5:$E$1004,入金明細!$G$5:$G$1004,$A61,入金明細!$B$5:$B$1004,"&gt;="&amp;U$3,入金明細!$B$5:$B$1004,"&lt;"&amp;DATE(YEAR(U$3),MONTH(U$3)+1,1)))</f>
        <v/>
      </c>
      <c r="W61" s="27" t="str">
        <f aca="false">IF($A61="","",SUMIFS(請求台帳!$F$5:$F$504,請求台帳!$C$5:$C$504,$A61,請求台帳!$B$5:$B$504,"&gt;="&amp;W$3,請求台帳!$B$5:$B$504,"&lt;"&amp;DATE(YEAR(W$3),MONTH(W$3)+1,1),請求台帳!$Q$5:$Q$504,"&lt;&gt;取消"))</f>
        <v/>
      </c>
      <c r="X61" s="27" t="str">
        <f aca="false">IF($A61="","",SUMIFS(入金明細!$E$5:$E$1004,入金明細!$G$5:$G$1004,$A61,入金明細!$B$5:$B$1004,"&gt;="&amp;W$3,入金明細!$B$5:$B$1004,"&lt;"&amp;DATE(YEAR(W$3),MONTH(W$3)+1,1)))</f>
        <v/>
      </c>
      <c r="Y61" s="27" t="str">
        <f aca="false">IF($A61="","",SUMIFS(請求台帳!$F$5:$F$504,請求台帳!$C$5:$C$504,$A61,請求台帳!$B$5:$B$504,"&gt;="&amp;Y$3,請求台帳!$B$5:$B$504,"&lt;"&amp;DATE(YEAR(Y$3),MONTH(Y$3)+1,1),請求台帳!$Q$5:$Q$504,"&lt;&gt;取消"))</f>
        <v/>
      </c>
      <c r="Z61" s="27" t="str">
        <f aca="false">IF($A61="","",SUMIFS(入金明細!$E$5:$E$1004,入金明細!$G$5:$G$1004,$A61,入金明細!$B$5:$B$1004,"&gt;="&amp;Y$3,入金明細!$B$5:$B$1004,"&lt;"&amp;DATE(YEAR(Y$3),MONTH(Y$3)+1,1)))</f>
        <v/>
      </c>
      <c r="AA61" s="37" t="n">
        <f aca="false">SUM(C61,E61,G61,I61,K61,M61,O61,Q61,S61,U61,W61,Y61)</f>
        <v>0</v>
      </c>
      <c r="AB61" s="37" t="n">
        <f aca="false">SUM(D61,F61,H61,J61,L61,N61,P61,R61,T61,V61,X61,Z61)</f>
        <v>0</v>
      </c>
    </row>
    <row r="62" customFormat="false" ht="15" hidden="false" customHeight="false" outlineLevel="0" collapsed="false">
      <c r="A62" s="31" t="str">
        <f aca="false">IF(取引先マスタ!A62="","",取引先マスタ!A62)</f>
        <v/>
      </c>
      <c r="B62" s="31" t="str">
        <f aca="false">IF(A62="","",取引先マスタ!B62)</f>
        <v/>
      </c>
      <c r="C62" s="27" t="str">
        <f aca="false">IF($A62="","",SUMIFS(請求台帳!$F$5:$F$504,請求台帳!$C$5:$C$504,$A62,請求台帳!$B$5:$B$504,"&gt;="&amp;C$3,請求台帳!$B$5:$B$504,"&lt;"&amp;DATE(YEAR(C$3),MONTH(C$3)+1,1),請求台帳!$Q$5:$Q$504,"&lt;&gt;取消"))</f>
        <v/>
      </c>
      <c r="D62" s="27" t="str">
        <f aca="false">IF($A62="","",SUMIFS(入金明細!$E$5:$E$1004,入金明細!$G$5:$G$1004,$A62,入金明細!$B$5:$B$1004,"&gt;="&amp;C$3,入金明細!$B$5:$B$1004,"&lt;"&amp;DATE(YEAR(C$3),MONTH(C$3)+1,1)))</f>
        <v/>
      </c>
      <c r="E62" s="27" t="str">
        <f aca="false">IF($A62="","",SUMIFS(請求台帳!$F$5:$F$504,請求台帳!$C$5:$C$504,$A62,請求台帳!$B$5:$B$504,"&gt;="&amp;E$3,請求台帳!$B$5:$B$504,"&lt;"&amp;DATE(YEAR(E$3),MONTH(E$3)+1,1),請求台帳!$Q$5:$Q$504,"&lt;&gt;取消"))</f>
        <v/>
      </c>
      <c r="F62" s="27" t="str">
        <f aca="false">IF($A62="","",SUMIFS(入金明細!$E$5:$E$1004,入金明細!$G$5:$G$1004,$A62,入金明細!$B$5:$B$1004,"&gt;="&amp;E$3,入金明細!$B$5:$B$1004,"&lt;"&amp;DATE(YEAR(E$3),MONTH(E$3)+1,1)))</f>
        <v/>
      </c>
      <c r="G62" s="27" t="str">
        <f aca="false">IF($A62="","",SUMIFS(請求台帳!$F$5:$F$504,請求台帳!$C$5:$C$504,$A62,請求台帳!$B$5:$B$504,"&gt;="&amp;G$3,請求台帳!$B$5:$B$504,"&lt;"&amp;DATE(YEAR(G$3),MONTH(G$3)+1,1),請求台帳!$Q$5:$Q$504,"&lt;&gt;取消"))</f>
        <v/>
      </c>
      <c r="H62" s="27" t="str">
        <f aca="false">IF($A62="","",SUMIFS(入金明細!$E$5:$E$1004,入金明細!$G$5:$G$1004,$A62,入金明細!$B$5:$B$1004,"&gt;="&amp;G$3,入金明細!$B$5:$B$1004,"&lt;"&amp;DATE(YEAR(G$3),MONTH(G$3)+1,1)))</f>
        <v/>
      </c>
      <c r="I62" s="27" t="str">
        <f aca="false">IF($A62="","",SUMIFS(請求台帳!$F$5:$F$504,請求台帳!$C$5:$C$504,$A62,請求台帳!$B$5:$B$504,"&gt;="&amp;I$3,請求台帳!$B$5:$B$504,"&lt;"&amp;DATE(YEAR(I$3),MONTH(I$3)+1,1),請求台帳!$Q$5:$Q$504,"&lt;&gt;取消"))</f>
        <v/>
      </c>
      <c r="J62" s="27" t="str">
        <f aca="false">IF($A62="","",SUMIFS(入金明細!$E$5:$E$1004,入金明細!$G$5:$G$1004,$A62,入金明細!$B$5:$B$1004,"&gt;="&amp;I$3,入金明細!$B$5:$B$1004,"&lt;"&amp;DATE(YEAR(I$3),MONTH(I$3)+1,1)))</f>
        <v/>
      </c>
      <c r="K62" s="27" t="str">
        <f aca="false">IF($A62="","",SUMIFS(請求台帳!$F$5:$F$504,請求台帳!$C$5:$C$504,$A62,請求台帳!$B$5:$B$504,"&gt;="&amp;K$3,請求台帳!$B$5:$B$504,"&lt;"&amp;DATE(YEAR(K$3),MONTH(K$3)+1,1),請求台帳!$Q$5:$Q$504,"&lt;&gt;取消"))</f>
        <v/>
      </c>
      <c r="L62" s="27" t="str">
        <f aca="false">IF($A62="","",SUMIFS(入金明細!$E$5:$E$1004,入金明細!$G$5:$G$1004,$A62,入金明細!$B$5:$B$1004,"&gt;="&amp;K$3,入金明細!$B$5:$B$1004,"&lt;"&amp;DATE(YEAR(K$3),MONTH(K$3)+1,1)))</f>
        <v/>
      </c>
      <c r="M62" s="27" t="str">
        <f aca="false">IF($A62="","",SUMIFS(請求台帳!$F$5:$F$504,請求台帳!$C$5:$C$504,$A62,請求台帳!$B$5:$B$504,"&gt;="&amp;M$3,請求台帳!$B$5:$B$504,"&lt;"&amp;DATE(YEAR(M$3),MONTH(M$3)+1,1),請求台帳!$Q$5:$Q$504,"&lt;&gt;取消"))</f>
        <v/>
      </c>
      <c r="N62" s="27" t="str">
        <f aca="false">IF($A62="","",SUMIFS(入金明細!$E$5:$E$1004,入金明細!$G$5:$G$1004,$A62,入金明細!$B$5:$B$1004,"&gt;="&amp;M$3,入金明細!$B$5:$B$1004,"&lt;"&amp;DATE(YEAR(M$3),MONTH(M$3)+1,1)))</f>
        <v/>
      </c>
      <c r="O62" s="27" t="str">
        <f aca="false">IF($A62="","",SUMIFS(請求台帳!$F$5:$F$504,請求台帳!$C$5:$C$504,$A62,請求台帳!$B$5:$B$504,"&gt;="&amp;O$3,請求台帳!$B$5:$B$504,"&lt;"&amp;DATE(YEAR(O$3),MONTH(O$3)+1,1),請求台帳!$Q$5:$Q$504,"&lt;&gt;取消"))</f>
        <v/>
      </c>
      <c r="P62" s="27" t="str">
        <f aca="false">IF($A62="","",SUMIFS(入金明細!$E$5:$E$1004,入金明細!$G$5:$G$1004,$A62,入金明細!$B$5:$B$1004,"&gt;="&amp;O$3,入金明細!$B$5:$B$1004,"&lt;"&amp;DATE(YEAR(O$3),MONTH(O$3)+1,1)))</f>
        <v/>
      </c>
      <c r="Q62" s="27" t="str">
        <f aca="false">IF($A62="","",SUMIFS(請求台帳!$F$5:$F$504,請求台帳!$C$5:$C$504,$A62,請求台帳!$B$5:$B$504,"&gt;="&amp;Q$3,請求台帳!$B$5:$B$504,"&lt;"&amp;DATE(YEAR(Q$3),MONTH(Q$3)+1,1),請求台帳!$Q$5:$Q$504,"&lt;&gt;取消"))</f>
        <v/>
      </c>
      <c r="R62" s="27" t="str">
        <f aca="false">IF($A62="","",SUMIFS(入金明細!$E$5:$E$1004,入金明細!$G$5:$G$1004,$A62,入金明細!$B$5:$B$1004,"&gt;="&amp;Q$3,入金明細!$B$5:$B$1004,"&lt;"&amp;DATE(YEAR(Q$3),MONTH(Q$3)+1,1)))</f>
        <v/>
      </c>
      <c r="S62" s="27" t="str">
        <f aca="false">IF($A62="","",SUMIFS(請求台帳!$F$5:$F$504,請求台帳!$C$5:$C$504,$A62,請求台帳!$B$5:$B$504,"&gt;="&amp;S$3,請求台帳!$B$5:$B$504,"&lt;"&amp;DATE(YEAR(S$3),MONTH(S$3)+1,1),請求台帳!$Q$5:$Q$504,"&lt;&gt;取消"))</f>
        <v/>
      </c>
      <c r="T62" s="27" t="str">
        <f aca="false">IF($A62="","",SUMIFS(入金明細!$E$5:$E$1004,入金明細!$G$5:$G$1004,$A62,入金明細!$B$5:$B$1004,"&gt;="&amp;S$3,入金明細!$B$5:$B$1004,"&lt;"&amp;DATE(YEAR(S$3),MONTH(S$3)+1,1)))</f>
        <v/>
      </c>
      <c r="U62" s="27" t="str">
        <f aca="false">IF($A62="","",SUMIFS(請求台帳!$F$5:$F$504,請求台帳!$C$5:$C$504,$A62,請求台帳!$B$5:$B$504,"&gt;="&amp;U$3,請求台帳!$B$5:$B$504,"&lt;"&amp;DATE(YEAR(U$3),MONTH(U$3)+1,1),請求台帳!$Q$5:$Q$504,"&lt;&gt;取消"))</f>
        <v/>
      </c>
      <c r="V62" s="27" t="str">
        <f aca="false">IF($A62="","",SUMIFS(入金明細!$E$5:$E$1004,入金明細!$G$5:$G$1004,$A62,入金明細!$B$5:$B$1004,"&gt;="&amp;U$3,入金明細!$B$5:$B$1004,"&lt;"&amp;DATE(YEAR(U$3),MONTH(U$3)+1,1)))</f>
        <v/>
      </c>
      <c r="W62" s="27" t="str">
        <f aca="false">IF($A62="","",SUMIFS(請求台帳!$F$5:$F$504,請求台帳!$C$5:$C$504,$A62,請求台帳!$B$5:$B$504,"&gt;="&amp;W$3,請求台帳!$B$5:$B$504,"&lt;"&amp;DATE(YEAR(W$3),MONTH(W$3)+1,1),請求台帳!$Q$5:$Q$504,"&lt;&gt;取消"))</f>
        <v/>
      </c>
      <c r="X62" s="27" t="str">
        <f aca="false">IF($A62="","",SUMIFS(入金明細!$E$5:$E$1004,入金明細!$G$5:$G$1004,$A62,入金明細!$B$5:$B$1004,"&gt;="&amp;W$3,入金明細!$B$5:$B$1004,"&lt;"&amp;DATE(YEAR(W$3),MONTH(W$3)+1,1)))</f>
        <v/>
      </c>
      <c r="Y62" s="27" t="str">
        <f aca="false">IF($A62="","",SUMIFS(請求台帳!$F$5:$F$504,請求台帳!$C$5:$C$504,$A62,請求台帳!$B$5:$B$504,"&gt;="&amp;Y$3,請求台帳!$B$5:$B$504,"&lt;"&amp;DATE(YEAR(Y$3),MONTH(Y$3)+1,1),請求台帳!$Q$5:$Q$504,"&lt;&gt;取消"))</f>
        <v/>
      </c>
      <c r="Z62" s="27" t="str">
        <f aca="false">IF($A62="","",SUMIFS(入金明細!$E$5:$E$1004,入金明細!$G$5:$G$1004,$A62,入金明細!$B$5:$B$1004,"&gt;="&amp;Y$3,入金明細!$B$5:$B$1004,"&lt;"&amp;DATE(YEAR(Y$3),MONTH(Y$3)+1,1)))</f>
        <v/>
      </c>
      <c r="AA62" s="37" t="n">
        <f aca="false">SUM(C62,E62,G62,I62,K62,M62,O62,Q62,S62,U62,W62,Y62)</f>
        <v>0</v>
      </c>
      <c r="AB62" s="37" t="n">
        <f aca="false">SUM(D62,F62,H62,J62,L62,N62,P62,R62,T62,V62,X62,Z62)</f>
        <v>0</v>
      </c>
    </row>
    <row r="63" customFormat="false" ht="15" hidden="false" customHeight="false" outlineLevel="0" collapsed="false">
      <c r="A63" s="31" t="str">
        <f aca="false">IF(取引先マスタ!A63="","",取引先マスタ!A63)</f>
        <v/>
      </c>
      <c r="B63" s="31" t="str">
        <f aca="false">IF(A63="","",取引先マスタ!B63)</f>
        <v/>
      </c>
      <c r="C63" s="27" t="str">
        <f aca="false">IF($A63="","",SUMIFS(請求台帳!$F$5:$F$504,請求台帳!$C$5:$C$504,$A63,請求台帳!$B$5:$B$504,"&gt;="&amp;C$3,請求台帳!$B$5:$B$504,"&lt;"&amp;DATE(YEAR(C$3),MONTH(C$3)+1,1),請求台帳!$Q$5:$Q$504,"&lt;&gt;取消"))</f>
        <v/>
      </c>
      <c r="D63" s="27" t="str">
        <f aca="false">IF($A63="","",SUMIFS(入金明細!$E$5:$E$1004,入金明細!$G$5:$G$1004,$A63,入金明細!$B$5:$B$1004,"&gt;="&amp;C$3,入金明細!$B$5:$B$1004,"&lt;"&amp;DATE(YEAR(C$3),MONTH(C$3)+1,1)))</f>
        <v/>
      </c>
      <c r="E63" s="27" t="str">
        <f aca="false">IF($A63="","",SUMIFS(請求台帳!$F$5:$F$504,請求台帳!$C$5:$C$504,$A63,請求台帳!$B$5:$B$504,"&gt;="&amp;E$3,請求台帳!$B$5:$B$504,"&lt;"&amp;DATE(YEAR(E$3),MONTH(E$3)+1,1),請求台帳!$Q$5:$Q$504,"&lt;&gt;取消"))</f>
        <v/>
      </c>
      <c r="F63" s="27" t="str">
        <f aca="false">IF($A63="","",SUMIFS(入金明細!$E$5:$E$1004,入金明細!$G$5:$G$1004,$A63,入金明細!$B$5:$B$1004,"&gt;="&amp;E$3,入金明細!$B$5:$B$1004,"&lt;"&amp;DATE(YEAR(E$3),MONTH(E$3)+1,1)))</f>
        <v/>
      </c>
      <c r="G63" s="27" t="str">
        <f aca="false">IF($A63="","",SUMIFS(請求台帳!$F$5:$F$504,請求台帳!$C$5:$C$504,$A63,請求台帳!$B$5:$B$504,"&gt;="&amp;G$3,請求台帳!$B$5:$B$504,"&lt;"&amp;DATE(YEAR(G$3),MONTH(G$3)+1,1),請求台帳!$Q$5:$Q$504,"&lt;&gt;取消"))</f>
        <v/>
      </c>
      <c r="H63" s="27" t="str">
        <f aca="false">IF($A63="","",SUMIFS(入金明細!$E$5:$E$1004,入金明細!$G$5:$G$1004,$A63,入金明細!$B$5:$B$1004,"&gt;="&amp;G$3,入金明細!$B$5:$B$1004,"&lt;"&amp;DATE(YEAR(G$3),MONTH(G$3)+1,1)))</f>
        <v/>
      </c>
      <c r="I63" s="27" t="str">
        <f aca="false">IF($A63="","",SUMIFS(請求台帳!$F$5:$F$504,請求台帳!$C$5:$C$504,$A63,請求台帳!$B$5:$B$504,"&gt;="&amp;I$3,請求台帳!$B$5:$B$504,"&lt;"&amp;DATE(YEAR(I$3),MONTH(I$3)+1,1),請求台帳!$Q$5:$Q$504,"&lt;&gt;取消"))</f>
        <v/>
      </c>
      <c r="J63" s="27" t="str">
        <f aca="false">IF($A63="","",SUMIFS(入金明細!$E$5:$E$1004,入金明細!$G$5:$G$1004,$A63,入金明細!$B$5:$B$1004,"&gt;="&amp;I$3,入金明細!$B$5:$B$1004,"&lt;"&amp;DATE(YEAR(I$3),MONTH(I$3)+1,1)))</f>
        <v/>
      </c>
      <c r="K63" s="27" t="str">
        <f aca="false">IF($A63="","",SUMIFS(請求台帳!$F$5:$F$504,請求台帳!$C$5:$C$504,$A63,請求台帳!$B$5:$B$504,"&gt;="&amp;K$3,請求台帳!$B$5:$B$504,"&lt;"&amp;DATE(YEAR(K$3),MONTH(K$3)+1,1),請求台帳!$Q$5:$Q$504,"&lt;&gt;取消"))</f>
        <v/>
      </c>
      <c r="L63" s="27" t="str">
        <f aca="false">IF($A63="","",SUMIFS(入金明細!$E$5:$E$1004,入金明細!$G$5:$G$1004,$A63,入金明細!$B$5:$B$1004,"&gt;="&amp;K$3,入金明細!$B$5:$B$1004,"&lt;"&amp;DATE(YEAR(K$3),MONTH(K$3)+1,1)))</f>
        <v/>
      </c>
      <c r="M63" s="27" t="str">
        <f aca="false">IF($A63="","",SUMIFS(請求台帳!$F$5:$F$504,請求台帳!$C$5:$C$504,$A63,請求台帳!$B$5:$B$504,"&gt;="&amp;M$3,請求台帳!$B$5:$B$504,"&lt;"&amp;DATE(YEAR(M$3),MONTH(M$3)+1,1),請求台帳!$Q$5:$Q$504,"&lt;&gt;取消"))</f>
        <v/>
      </c>
      <c r="N63" s="27" t="str">
        <f aca="false">IF($A63="","",SUMIFS(入金明細!$E$5:$E$1004,入金明細!$G$5:$G$1004,$A63,入金明細!$B$5:$B$1004,"&gt;="&amp;M$3,入金明細!$B$5:$B$1004,"&lt;"&amp;DATE(YEAR(M$3),MONTH(M$3)+1,1)))</f>
        <v/>
      </c>
      <c r="O63" s="27" t="str">
        <f aca="false">IF($A63="","",SUMIFS(請求台帳!$F$5:$F$504,請求台帳!$C$5:$C$504,$A63,請求台帳!$B$5:$B$504,"&gt;="&amp;O$3,請求台帳!$B$5:$B$504,"&lt;"&amp;DATE(YEAR(O$3),MONTH(O$3)+1,1),請求台帳!$Q$5:$Q$504,"&lt;&gt;取消"))</f>
        <v/>
      </c>
      <c r="P63" s="27" t="str">
        <f aca="false">IF($A63="","",SUMIFS(入金明細!$E$5:$E$1004,入金明細!$G$5:$G$1004,$A63,入金明細!$B$5:$B$1004,"&gt;="&amp;O$3,入金明細!$B$5:$B$1004,"&lt;"&amp;DATE(YEAR(O$3),MONTH(O$3)+1,1)))</f>
        <v/>
      </c>
      <c r="Q63" s="27" t="str">
        <f aca="false">IF($A63="","",SUMIFS(請求台帳!$F$5:$F$504,請求台帳!$C$5:$C$504,$A63,請求台帳!$B$5:$B$504,"&gt;="&amp;Q$3,請求台帳!$B$5:$B$504,"&lt;"&amp;DATE(YEAR(Q$3),MONTH(Q$3)+1,1),請求台帳!$Q$5:$Q$504,"&lt;&gt;取消"))</f>
        <v/>
      </c>
      <c r="R63" s="27" t="str">
        <f aca="false">IF($A63="","",SUMIFS(入金明細!$E$5:$E$1004,入金明細!$G$5:$G$1004,$A63,入金明細!$B$5:$B$1004,"&gt;="&amp;Q$3,入金明細!$B$5:$B$1004,"&lt;"&amp;DATE(YEAR(Q$3),MONTH(Q$3)+1,1)))</f>
        <v/>
      </c>
      <c r="S63" s="27" t="str">
        <f aca="false">IF($A63="","",SUMIFS(請求台帳!$F$5:$F$504,請求台帳!$C$5:$C$504,$A63,請求台帳!$B$5:$B$504,"&gt;="&amp;S$3,請求台帳!$B$5:$B$504,"&lt;"&amp;DATE(YEAR(S$3),MONTH(S$3)+1,1),請求台帳!$Q$5:$Q$504,"&lt;&gt;取消"))</f>
        <v/>
      </c>
      <c r="T63" s="27" t="str">
        <f aca="false">IF($A63="","",SUMIFS(入金明細!$E$5:$E$1004,入金明細!$G$5:$G$1004,$A63,入金明細!$B$5:$B$1004,"&gt;="&amp;S$3,入金明細!$B$5:$B$1004,"&lt;"&amp;DATE(YEAR(S$3),MONTH(S$3)+1,1)))</f>
        <v/>
      </c>
      <c r="U63" s="27" t="str">
        <f aca="false">IF($A63="","",SUMIFS(請求台帳!$F$5:$F$504,請求台帳!$C$5:$C$504,$A63,請求台帳!$B$5:$B$504,"&gt;="&amp;U$3,請求台帳!$B$5:$B$504,"&lt;"&amp;DATE(YEAR(U$3),MONTH(U$3)+1,1),請求台帳!$Q$5:$Q$504,"&lt;&gt;取消"))</f>
        <v/>
      </c>
      <c r="V63" s="27" t="str">
        <f aca="false">IF($A63="","",SUMIFS(入金明細!$E$5:$E$1004,入金明細!$G$5:$G$1004,$A63,入金明細!$B$5:$B$1004,"&gt;="&amp;U$3,入金明細!$B$5:$B$1004,"&lt;"&amp;DATE(YEAR(U$3),MONTH(U$3)+1,1)))</f>
        <v/>
      </c>
      <c r="W63" s="27" t="str">
        <f aca="false">IF($A63="","",SUMIFS(請求台帳!$F$5:$F$504,請求台帳!$C$5:$C$504,$A63,請求台帳!$B$5:$B$504,"&gt;="&amp;W$3,請求台帳!$B$5:$B$504,"&lt;"&amp;DATE(YEAR(W$3),MONTH(W$3)+1,1),請求台帳!$Q$5:$Q$504,"&lt;&gt;取消"))</f>
        <v/>
      </c>
      <c r="X63" s="27" t="str">
        <f aca="false">IF($A63="","",SUMIFS(入金明細!$E$5:$E$1004,入金明細!$G$5:$G$1004,$A63,入金明細!$B$5:$B$1004,"&gt;="&amp;W$3,入金明細!$B$5:$B$1004,"&lt;"&amp;DATE(YEAR(W$3),MONTH(W$3)+1,1)))</f>
        <v/>
      </c>
      <c r="Y63" s="27" t="str">
        <f aca="false">IF($A63="","",SUMIFS(請求台帳!$F$5:$F$504,請求台帳!$C$5:$C$504,$A63,請求台帳!$B$5:$B$504,"&gt;="&amp;Y$3,請求台帳!$B$5:$B$504,"&lt;"&amp;DATE(YEAR(Y$3),MONTH(Y$3)+1,1),請求台帳!$Q$5:$Q$504,"&lt;&gt;取消"))</f>
        <v/>
      </c>
      <c r="Z63" s="27" t="str">
        <f aca="false">IF($A63="","",SUMIFS(入金明細!$E$5:$E$1004,入金明細!$G$5:$G$1004,$A63,入金明細!$B$5:$B$1004,"&gt;="&amp;Y$3,入金明細!$B$5:$B$1004,"&lt;"&amp;DATE(YEAR(Y$3),MONTH(Y$3)+1,1)))</f>
        <v/>
      </c>
      <c r="AA63" s="37" t="n">
        <f aca="false">SUM(C63,E63,G63,I63,K63,M63,O63,Q63,S63,U63,W63,Y63)</f>
        <v>0</v>
      </c>
      <c r="AB63" s="37" t="n">
        <f aca="false">SUM(D63,F63,H63,J63,L63,N63,P63,R63,T63,V63,X63,Z63)</f>
        <v>0</v>
      </c>
    </row>
    <row r="64" customFormat="false" ht="15" hidden="false" customHeight="false" outlineLevel="0" collapsed="false">
      <c r="A64" s="31" t="str">
        <f aca="false">IF(取引先マスタ!A64="","",取引先マスタ!A64)</f>
        <v/>
      </c>
      <c r="B64" s="31" t="str">
        <f aca="false">IF(A64="","",取引先マスタ!B64)</f>
        <v/>
      </c>
      <c r="C64" s="27" t="str">
        <f aca="false">IF($A64="","",SUMIFS(請求台帳!$F$5:$F$504,請求台帳!$C$5:$C$504,$A64,請求台帳!$B$5:$B$504,"&gt;="&amp;C$3,請求台帳!$B$5:$B$504,"&lt;"&amp;DATE(YEAR(C$3),MONTH(C$3)+1,1),請求台帳!$Q$5:$Q$504,"&lt;&gt;取消"))</f>
        <v/>
      </c>
      <c r="D64" s="27" t="str">
        <f aca="false">IF($A64="","",SUMIFS(入金明細!$E$5:$E$1004,入金明細!$G$5:$G$1004,$A64,入金明細!$B$5:$B$1004,"&gt;="&amp;C$3,入金明細!$B$5:$B$1004,"&lt;"&amp;DATE(YEAR(C$3),MONTH(C$3)+1,1)))</f>
        <v/>
      </c>
      <c r="E64" s="27" t="str">
        <f aca="false">IF($A64="","",SUMIFS(請求台帳!$F$5:$F$504,請求台帳!$C$5:$C$504,$A64,請求台帳!$B$5:$B$504,"&gt;="&amp;E$3,請求台帳!$B$5:$B$504,"&lt;"&amp;DATE(YEAR(E$3),MONTH(E$3)+1,1),請求台帳!$Q$5:$Q$504,"&lt;&gt;取消"))</f>
        <v/>
      </c>
      <c r="F64" s="27" t="str">
        <f aca="false">IF($A64="","",SUMIFS(入金明細!$E$5:$E$1004,入金明細!$G$5:$G$1004,$A64,入金明細!$B$5:$B$1004,"&gt;="&amp;E$3,入金明細!$B$5:$B$1004,"&lt;"&amp;DATE(YEAR(E$3),MONTH(E$3)+1,1)))</f>
        <v/>
      </c>
      <c r="G64" s="27" t="str">
        <f aca="false">IF($A64="","",SUMIFS(請求台帳!$F$5:$F$504,請求台帳!$C$5:$C$504,$A64,請求台帳!$B$5:$B$504,"&gt;="&amp;G$3,請求台帳!$B$5:$B$504,"&lt;"&amp;DATE(YEAR(G$3),MONTH(G$3)+1,1),請求台帳!$Q$5:$Q$504,"&lt;&gt;取消"))</f>
        <v/>
      </c>
      <c r="H64" s="27" t="str">
        <f aca="false">IF($A64="","",SUMIFS(入金明細!$E$5:$E$1004,入金明細!$G$5:$G$1004,$A64,入金明細!$B$5:$B$1004,"&gt;="&amp;G$3,入金明細!$B$5:$B$1004,"&lt;"&amp;DATE(YEAR(G$3),MONTH(G$3)+1,1)))</f>
        <v/>
      </c>
      <c r="I64" s="27" t="str">
        <f aca="false">IF($A64="","",SUMIFS(請求台帳!$F$5:$F$504,請求台帳!$C$5:$C$504,$A64,請求台帳!$B$5:$B$504,"&gt;="&amp;I$3,請求台帳!$B$5:$B$504,"&lt;"&amp;DATE(YEAR(I$3),MONTH(I$3)+1,1),請求台帳!$Q$5:$Q$504,"&lt;&gt;取消"))</f>
        <v/>
      </c>
      <c r="J64" s="27" t="str">
        <f aca="false">IF($A64="","",SUMIFS(入金明細!$E$5:$E$1004,入金明細!$G$5:$G$1004,$A64,入金明細!$B$5:$B$1004,"&gt;="&amp;I$3,入金明細!$B$5:$B$1004,"&lt;"&amp;DATE(YEAR(I$3),MONTH(I$3)+1,1)))</f>
        <v/>
      </c>
      <c r="K64" s="27" t="str">
        <f aca="false">IF($A64="","",SUMIFS(請求台帳!$F$5:$F$504,請求台帳!$C$5:$C$504,$A64,請求台帳!$B$5:$B$504,"&gt;="&amp;K$3,請求台帳!$B$5:$B$504,"&lt;"&amp;DATE(YEAR(K$3),MONTH(K$3)+1,1),請求台帳!$Q$5:$Q$504,"&lt;&gt;取消"))</f>
        <v/>
      </c>
      <c r="L64" s="27" t="str">
        <f aca="false">IF($A64="","",SUMIFS(入金明細!$E$5:$E$1004,入金明細!$G$5:$G$1004,$A64,入金明細!$B$5:$B$1004,"&gt;="&amp;K$3,入金明細!$B$5:$B$1004,"&lt;"&amp;DATE(YEAR(K$3),MONTH(K$3)+1,1)))</f>
        <v/>
      </c>
      <c r="M64" s="27" t="str">
        <f aca="false">IF($A64="","",SUMIFS(請求台帳!$F$5:$F$504,請求台帳!$C$5:$C$504,$A64,請求台帳!$B$5:$B$504,"&gt;="&amp;M$3,請求台帳!$B$5:$B$504,"&lt;"&amp;DATE(YEAR(M$3),MONTH(M$3)+1,1),請求台帳!$Q$5:$Q$504,"&lt;&gt;取消"))</f>
        <v/>
      </c>
      <c r="N64" s="27" t="str">
        <f aca="false">IF($A64="","",SUMIFS(入金明細!$E$5:$E$1004,入金明細!$G$5:$G$1004,$A64,入金明細!$B$5:$B$1004,"&gt;="&amp;M$3,入金明細!$B$5:$B$1004,"&lt;"&amp;DATE(YEAR(M$3),MONTH(M$3)+1,1)))</f>
        <v/>
      </c>
      <c r="O64" s="27" t="str">
        <f aca="false">IF($A64="","",SUMIFS(請求台帳!$F$5:$F$504,請求台帳!$C$5:$C$504,$A64,請求台帳!$B$5:$B$504,"&gt;="&amp;O$3,請求台帳!$B$5:$B$504,"&lt;"&amp;DATE(YEAR(O$3),MONTH(O$3)+1,1),請求台帳!$Q$5:$Q$504,"&lt;&gt;取消"))</f>
        <v/>
      </c>
      <c r="P64" s="27" t="str">
        <f aca="false">IF($A64="","",SUMIFS(入金明細!$E$5:$E$1004,入金明細!$G$5:$G$1004,$A64,入金明細!$B$5:$B$1004,"&gt;="&amp;O$3,入金明細!$B$5:$B$1004,"&lt;"&amp;DATE(YEAR(O$3),MONTH(O$3)+1,1)))</f>
        <v/>
      </c>
      <c r="Q64" s="27" t="str">
        <f aca="false">IF($A64="","",SUMIFS(請求台帳!$F$5:$F$504,請求台帳!$C$5:$C$504,$A64,請求台帳!$B$5:$B$504,"&gt;="&amp;Q$3,請求台帳!$B$5:$B$504,"&lt;"&amp;DATE(YEAR(Q$3),MONTH(Q$3)+1,1),請求台帳!$Q$5:$Q$504,"&lt;&gt;取消"))</f>
        <v/>
      </c>
      <c r="R64" s="27" t="str">
        <f aca="false">IF($A64="","",SUMIFS(入金明細!$E$5:$E$1004,入金明細!$G$5:$G$1004,$A64,入金明細!$B$5:$B$1004,"&gt;="&amp;Q$3,入金明細!$B$5:$B$1004,"&lt;"&amp;DATE(YEAR(Q$3),MONTH(Q$3)+1,1)))</f>
        <v/>
      </c>
      <c r="S64" s="27" t="str">
        <f aca="false">IF($A64="","",SUMIFS(請求台帳!$F$5:$F$504,請求台帳!$C$5:$C$504,$A64,請求台帳!$B$5:$B$504,"&gt;="&amp;S$3,請求台帳!$B$5:$B$504,"&lt;"&amp;DATE(YEAR(S$3),MONTH(S$3)+1,1),請求台帳!$Q$5:$Q$504,"&lt;&gt;取消"))</f>
        <v/>
      </c>
      <c r="T64" s="27" t="str">
        <f aca="false">IF($A64="","",SUMIFS(入金明細!$E$5:$E$1004,入金明細!$G$5:$G$1004,$A64,入金明細!$B$5:$B$1004,"&gt;="&amp;S$3,入金明細!$B$5:$B$1004,"&lt;"&amp;DATE(YEAR(S$3),MONTH(S$3)+1,1)))</f>
        <v/>
      </c>
      <c r="U64" s="27" t="str">
        <f aca="false">IF($A64="","",SUMIFS(請求台帳!$F$5:$F$504,請求台帳!$C$5:$C$504,$A64,請求台帳!$B$5:$B$504,"&gt;="&amp;U$3,請求台帳!$B$5:$B$504,"&lt;"&amp;DATE(YEAR(U$3),MONTH(U$3)+1,1),請求台帳!$Q$5:$Q$504,"&lt;&gt;取消"))</f>
        <v/>
      </c>
      <c r="V64" s="27" t="str">
        <f aca="false">IF($A64="","",SUMIFS(入金明細!$E$5:$E$1004,入金明細!$G$5:$G$1004,$A64,入金明細!$B$5:$B$1004,"&gt;="&amp;U$3,入金明細!$B$5:$B$1004,"&lt;"&amp;DATE(YEAR(U$3),MONTH(U$3)+1,1)))</f>
        <v/>
      </c>
      <c r="W64" s="27" t="str">
        <f aca="false">IF($A64="","",SUMIFS(請求台帳!$F$5:$F$504,請求台帳!$C$5:$C$504,$A64,請求台帳!$B$5:$B$504,"&gt;="&amp;W$3,請求台帳!$B$5:$B$504,"&lt;"&amp;DATE(YEAR(W$3),MONTH(W$3)+1,1),請求台帳!$Q$5:$Q$504,"&lt;&gt;取消"))</f>
        <v/>
      </c>
      <c r="X64" s="27" t="str">
        <f aca="false">IF($A64="","",SUMIFS(入金明細!$E$5:$E$1004,入金明細!$G$5:$G$1004,$A64,入金明細!$B$5:$B$1004,"&gt;="&amp;W$3,入金明細!$B$5:$B$1004,"&lt;"&amp;DATE(YEAR(W$3),MONTH(W$3)+1,1)))</f>
        <v/>
      </c>
      <c r="Y64" s="27" t="str">
        <f aca="false">IF($A64="","",SUMIFS(請求台帳!$F$5:$F$504,請求台帳!$C$5:$C$504,$A64,請求台帳!$B$5:$B$504,"&gt;="&amp;Y$3,請求台帳!$B$5:$B$504,"&lt;"&amp;DATE(YEAR(Y$3),MONTH(Y$3)+1,1),請求台帳!$Q$5:$Q$504,"&lt;&gt;取消"))</f>
        <v/>
      </c>
      <c r="Z64" s="27" t="str">
        <f aca="false">IF($A64="","",SUMIFS(入金明細!$E$5:$E$1004,入金明細!$G$5:$G$1004,$A64,入金明細!$B$5:$B$1004,"&gt;="&amp;Y$3,入金明細!$B$5:$B$1004,"&lt;"&amp;DATE(YEAR(Y$3),MONTH(Y$3)+1,1)))</f>
        <v/>
      </c>
      <c r="AA64" s="37" t="n">
        <f aca="false">SUM(C64,E64,G64,I64,K64,M64,O64,Q64,S64,U64,W64,Y64)</f>
        <v>0</v>
      </c>
      <c r="AB64" s="37" t="n">
        <f aca="false">SUM(D64,F64,H64,J64,L64,N64,P64,R64,T64,V64,X64,Z64)</f>
        <v>0</v>
      </c>
    </row>
    <row r="65" customFormat="false" ht="15" hidden="false" customHeight="false" outlineLevel="0" collapsed="false">
      <c r="A65" s="31" t="str">
        <f aca="false">IF(取引先マスタ!A65="","",取引先マスタ!A65)</f>
        <v/>
      </c>
      <c r="B65" s="31" t="str">
        <f aca="false">IF(A65="","",取引先マスタ!B65)</f>
        <v/>
      </c>
      <c r="C65" s="27" t="str">
        <f aca="false">IF($A65="","",SUMIFS(請求台帳!$F$5:$F$504,請求台帳!$C$5:$C$504,$A65,請求台帳!$B$5:$B$504,"&gt;="&amp;C$3,請求台帳!$B$5:$B$504,"&lt;"&amp;DATE(YEAR(C$3),MONTH(C$3)+1,1),請求台帳!$Q$5:$Q$504,"&lt;&gt;取消"))</f>
        <v/>
      </c>
      <c r="D65" s="27" t="str">
        <f aca="false">IF($A65="","",SUMIFS(入金明細!$E$5:$E$1004,入金明細!$G$5:$G$1004,$A65,入金明細!$B$5:$B$1004,"&gt;="&amp;C$3,入金明細!$B$5:$B$1004,"&lt;"&amp;DATE(YEAR(C$3),MONTH(C$3)+1,1)))</f>
        <v/>
      </c>
      <c r="E65" s="27" t="str">
        <f aca="false">IF($A65="","",SUMIFS(請求台帳!$F$5:$F$504,請求台帳!$C$5:$C$504,$A65,請求台帳!$B$5:$B$504,"&gt;="&amp;E$3,請求台帳!$B$5:$B$504,"&lt;"&amp;DATE(YEAR(E$3),MONTH(E$3)+1,1),請求台帳!$Q$5:$Q$504,"&lt;&gt;取消"))</f>
        <v/>
      </c>
      <c r="F65" s="27" t="str">
        <f aca="false">IF($A65="","",SUMIFS(入金明細!$E$5:$E$1004,入金明細!$G$5:$G$1004,$A65,入金明細!$B$5:$B$1004,"&gt;="&amp;E$3,入金明細!$B$5:$B$1004,"&lt;"&amp;DATE(YEAR(E$3),MONTH(E$3)+1,1)))</f>
        <v/>
      </c>
      <c r="G65" s="27" t="str">
        <f aca="false">IF($A65="","",SUMIFS(請求台帳!$F$5:$F$504,請求台帳!$C$5:$C$504,$A65,請求台帳!$B$5:$B$504,"&gt;="&amp;G$3,請求台帳!$B$5:$B$504,"&lt;"&amp;DATE(YEAR(G$3),MONTH(G$3)+1,1),請求台帳!$Q$5:$Q$504,"&lt;&gt;取消"))</f>
        <v/>
      </c>
      <c r="H65" s="27" t="str">
        <f aca="false">IF($A65="","",SUMIFS(入金明細!$E$5:$E$1004,入金明細!$G$5:$G$1004,$A65,入金明細!$B$5:$B$1004,"&gt;="&amp;G$3,入金明細!$B$5:$B$1004,"&lt;"&amp;DATE(YEAR(G$3),MONTH(G$3)+1,1)))</f>
        <v/>
      </c>
      <c r="I65" s="27" t="str">
        <f aca="false">IF($A65="","",SUMIFS(請求台帳!$F$5:$F$504,請求台帳!$C$5:$C$504,$A65,請求台帳!$B$5:$B$504,"&gt;="&amp;I$3,請求台帳!$B$5:$B$504,"&lt;"&amp;DATE(YEAR(I$3),MONTH(I$3)+1,1),請求台帳!$Q$5:$Q$504,"&lt;&gt;取消"))</f>
        <v/>
      </c>
      <c r="J65" s="27" t="str">
        <f aca="false">IF($A65="","",SUMIFS(入金明細!$E$5:$E$1004,入金明細!$G$5:$G$1004,$A65,入金明細!$B$5:$B$1004,"&gt;="&amp;I$3,入金明細!$B$5:$B$1004,"&lt;"&amp;DATE(YEAR(I$3),MONTH(I$3)+1,1)))</f>
        <v/>
      </c>
      <c r="K65" s="27" t="str">
        <f aca="false">IF($A65="","",SUMIFS(請求台帳!$F$5:$F$504,請求台帳!$C$5:$C$504,$A65,請求台帳!$B$5:$B$504,"&gt;="&amp;K$3,請求台帳!$B$5:$B$504,"&lt;"&amp;DATE(YEAR(K$3),MONTH(K$3)+1,1),請求台帳!$Q$5:$Q$504,"&lt;&gt;取消"))</f>
        <v/>
      </c>
      <c r="L65" s="27" t="str">
        <f aca="false">IF($A65="","",SUMIFS(入金明細!$E$5:$E$1004,入金明細!$G$5:$G$1004,$A65,入金明細!$B$5:$B$1004,"&gt;="&amp;K$3,入金明細!$B$5:$B$1004,"&lt;"&amp;DATE(YEAR(K$3),MONTH(K$3)+1,1)))</f>
        <v/>
      </c>
      <c r="M65" s="27" t="str">
        <f aca="false">IF($A65="","",SUMIFS(請求台帳!$F$5:$F$504,請求台帳!$C$5:$C$504,$A65,請求台帳!$B$5:$B$504,"&gt;="&amp;M$3,請求台帳!$B$5:$B$504,"&lt;"&amp;DATE(YEAR(M$3),MONTH(M$3)+1,1),請求台帳!$Q$5:$Q$504,"&lt;&gt;取消"))</f>
        <v/>
      </c>
      <c r="N65" s="27" t="str">
        <f aca="false">IF($A65="","",SUMIFS(入金明細!$E$5:$E$1004,入金明細!$G$5:$G$1004,$A65,入金明細!$B$5:$B$1004,"&gt;="&amp;M$3,入金明細!$B$5:$B$1004,"&lt;"&amp;DATE(YEAR(M$3),MONTH(M$3)+1,1)))</f>
        <v/>
      </c>
      <c r="O65" s="27" t="str">
        <f aca="false">IF($A65="","",SUMIFS(請求台帳!$F$5:$F$504,請求台帳!$C$5:$C$504,$A65,請求台帳!$B$5:$B$504,"&gt;="&amp;O$3,請求台帳!$B$5:$B$504,"&lt;"&amp;DATE(YEAR(O$3),MONTH(O$3)+1,1),請求台帳!$Q$5:$Q$504,"&lt;&gt;取消"))</f>
        <v/>
      </c>
      <c r="P65" s="27" t="str">
        <f aca="false">IF($A65="","",SUMIFS(入金明細!$E$5:$E$1004,入金明細!$G$5:$G$1004,$A65,入金明細!$B$5:$B$1004,"&gt;="&amp;O$3,入金明細!$B$5:$B$1004,"&lt;"&amp;DATE(YEAR(O$3),MONTH(O$3)+1,1)))</f>
        <v/>
      </c>
      <c r="Q65" s="27" t="str">
        <f aca="false">IF($A65="","",SUMIFS(請求台帳!$F$5:$F$504,請求台帳!$C$5:$C$504,$A65,請求台帳!$B$5:$B$504,"&gt;="&amp;Q$3,請求台帳!$B$5:$B$504,"&lt;"&amp;DATE(YEAR(Q$3),MONTH(Q$3)+1,1),請求台帳!$Q$5:$Q$504,"&lt;&gt;取消"))</f>
        <v/>
      </c>
      <c r="R65" s="27" t="str">
        <f aca="false">IF($A65="","",SUMIFS(入金明細!$E$5:$E$1004,入金明細!$G$5:$G$1004,$A65,入金明細!$B$5:$B$1004,"&gt;="&amp;Q$3,入金明細!$B$5:$B$1004,"&lt;"&amp;DATE(YEAR(Q$3),MONTH(Q$3)+1,1)))</f>
        <v/>
      </c>
      <c r="S65" s="27" t="str">
        <f aca="false">IF($A65="","",SUMIFS(請求台帳!$F$5:$F$504,請求台帳!$C$5:$C$504,$A65,請求台帳!$B$5:$B$504,"&gt;="&amp;S$3,請求台帳!$B$5:$B$504,"&lt;"&amp;DATE(YEAR(S$3),MONTH(S$3)+1,1),請求台帳!$Q$5:$Q$504,"&lt;&gt;取消"))</f>
        <v/>
      </c>
      <c r="T65" s="27" t="str">
        <f aca="false">IF($A65="","",SUMIFS(入金明細!$E$5:$E$1004,入金明細!$G$5:$G$1004,$A65,入金明細!$B$5:$B$1004,"&gt;="&amp;S$3,入金明細!$B$5:$B$1004,"&lt;"&amp;DATE(YEAR(S$3),MONTH(S$3)+1,1)))</f>
        <v/>
      </c>
      <c r="U65" s="27" t="str">
        <f aca="false">IF($A65="","",SUMIFS(請求台帳!$F$5:$F$504,請求台帳!$C$5:$C$504,$A65,請求台帳!$B$5:$B$504,"&gt;="&amp;U$3,請求台帳!$B$5:$B$504,"&lt;"&amp;DATE(YEAR(U$3),MONTH(U$3)+1,1),請求台帳!$Q$5:$Q$504,"&lt;&gt;取消"))</f>
        <v/>
      </c>
      <c r="V65" s="27" t="str">
        <f aca="false">IF($A65="","",SUMIFS(入金明細!$E$5:$E$1004,入金明細!$G$5:$G$1004,$A65,入金明細!$B$5:$B$1004,"&gt;="&amp;U$3,入金明細!$B$5:$B$1004,"&lt;"&amp;DATE(YEAR(U$3),MONTH(U$3)+1,1)))</f>
        <v/>
      </c>
      <c r="W65" s="27" t="str">
        <f aca="false">IF($A65="","",SUMIFS(請求台帳!$F$5:$F$504,請求台帳!$C$5:$C$504,$A65,請求台帳!$B$5:$B$504,"&gt;="&amp;W$3,請求台帳!$B$5:$B$504,"&lt;"&amp;DATE(YEAR(W$3),MONTH(W$3)+1,1),請求台帳!$Q$5:$Q$504,"&lt;&gt;取消"))</f>
        <v/>
      </c>
      <c r="X65" s="27" t="str">
        <f aca="false">IF($A65="","",SUMIFS(入金明細!$E$5:$E$1004,入金明細!$G$5:$G$1004,$A65,入金明細!$B$5:$B$1004,"&gt;="&amp;W$3,入金明細!$B$5:$B$1004,"&lt;"&amp;DATE(YEAR(W$3),MONTH(W$3)+1,1)))</f>
        <v/>
      </c>
      <c r="Y65" s="27" t="str">
        <f aca="false">IF($A65="","",SUMIFS(請求台帳!$F$5:$F$504,請求台帳!$C$5:$C$504,$A65,請求台帳!$B$5:$B$504,"&gt;="&amp;Y$3,請求台帳!$B$5:$B$504,"&lt;"&amp;DATE(YEAR(Y$3),MONTH(Y$3)+1,1),請求台帳!$Q$5:$Q$504,"&lt;&gt;取消"))</f>
        <v/>
      </c>
      <c r="Z65" s="27" t="str">
        <f aca="false">IF($A65="","",SUMIFS(入金明細!$E$5:$E$1004,入金明細!$G$5:$G$1004,$A65,入金明細!$B$5:$B$1004,"&gt;="&amp;Y$3,入金明細!$B$5:$B$1004,"&lt;"&amp;DATE(YEAR(Y$3),MONTH(Y$3)+1,1)))</f>
        <v/>
      </c>
      <c r="AA65" s="37" t="n">
        <f aca="false">SUM(C65,E65,G65,I65,K65,M65,O65,Q65,S65,U65,W65,Y65)</f>
        <v>0</v>
      </c>
      <c r="AB65" s="37" t="n">
        <f aca="false">SUM(D65,F65,H65,J65,L65,N65,P65,R65,T65,V65,X65,Z65)</f>
        <v>0</v>
      </c>
    </row>
    <row r="66" customFormat="false" ht="15" hidden="false" customHeight="false" outlineLevel="0" collapsed="false">
      <c r="A66" s="31" t="str">
        <f aca="false">IF(取引先マスタ!A66="","",取引先マスタ!A66)</f>
        <v/>
      </c>
      <c r="B66" s="31" t="str">
        <f aca="false">IF(A66="","",取引先マスタ!B66)</f>
        <v/>
      </c>
      <c r="C66" s="27" t="str">
        <f aca="false">IF($A66="","",SUMIFS(請求台帳!$F$5:$F$504,請求台帳!$C$5:$C$504,$A66,請求台帳!$B$5:$B$504,"&gt;="&amp;C$3,請求台帳!$B$5:$B$504,"&lt;"&amp;DATE(YEAR(C$3),MONTH(C$3)+1,1),請求台帳!$Q$5:$Q$504,"&lt;&gt;取消"))</f>
        <v/>
      </c>
      <c r="D66" s="27" t="str">
        <f aca="false">IF($A66="","",SUMIFS(入金明細!$E$5:$E$1004,入金明細!$G$5:$G$1004,$A66,入金明細!$B$5:$B$1004,"&gt;="&amp;C$3,入金明細!$B$5:$B$1004,"&lt;"&amp;DATE(YEAR(C$3),MONTH(C$3)+1,1)))</f>
        <v/>
      </c>
      <c r="E66" s="27" t="str">
        <f aca="false">IF($A66="","",SUMIFS(請求台帳!$F$5:$F$504,請求台帳!$C$5:$C$504,$A66,請求台帳!$B$5:$B$504,"&gt;="&amp;E$3,請求台帳!$B$5:$B$504,"&lt;"&amp;DATE(YEAR(E$3),MONTH(E$3)+1,1),請求台帳!$Q$5:$Q$504,"&lt;&gt;取消"))</f>
        <v/>
      </c>
      <c r="F66" s="27" t="str">
        <f aca="false">IF($A66="","",SUMIFS(入金明細!$E$5:$E$1004,入金明細!$G$5:$G$1004,$A66,入金明細!$B$5:$B$1004,"&gt;="&amp;E$3,入金明細!$B$5:$B$1004,"&lt;"&amp;DATE(YEAR(E$3),MONTH(E$3)+1,1)))</f>
        <v/>
      </c>
      <c r="G66" s="27" t="str">
        <f aca="false">IF($A66="","",SUMIFS(請求台帳!$F$5:$F$504,請求台帳!$C$5:$C$504,$A66,請求台帳!$B$5:$B$504,"&gt;="&amp;G$3,請求台帳!$B$5:$B$504,"&lt;"&amp;DATE(YEAR(G$3),MONTH(G$3)+1,1),請求台帳!$Q$5:$Q$504,"&lt;&gt;取消"))</f>
        <v/>
      </c>
      <c r="H66" s="27" t="str">
        <f aca="false">IF($A66="","",SUMIFS(入金明細!$E$5:$E$1004,入金明細!$G$5:$G$1004,$A66,入金明細!$B$5:$B$1004,"&gt;="&amp;G$3,入金明細!$B$5:$B$1004,"&lt;"&amp;DATE(YEAR(G$3),MONTH(G$3)+1,1)))</f>
        <v/>
      </c>
      <c r="I66" s="27" t="str">
        <f aca="false">IF($A66="","",SUMIFS(請求台帳!$F$5:$F$504,請求台帳!$C$5:$C$504,$A66,請求台帳!$B$5:$B$504,"&gt;="&amp;I$3,請求台帳!$B$5:$B$504,"&lt;"&amp;DATE(YEAR(I$3),MONTH(I$3)+1,1),請求台帳!$Q$5:$Q$504,"&lt;&gt;取消"))</f>
        <v/>
      </c>
      <c r="J66" s="27" t="str">
        <f aca="false">IF($A66="","",SUMIFS(入金明細!$E$5:$E$1004,入金明細!$G$5:$G$1004,$A66,入金明細!$B$5:$B$1004,"&gt;="&amp;I$3,入金明細!$B$5:$B$1004,"&lt;"&amp;DATE(YEAR(I$3),MONTH(I$3)+1,1)))</f>
        <v/>
      </c>
      <c r="K66" s="27" t="str">
        <f aca="false">IF($A66="","",SUMIFS(請求台帳!$F$5:$F$504,請求台帳!$C$5:$C$504,$A66,請求台帳!$B$5:$B$504,"&gt;="&amp;K$3,請求台帳!$B$5:$B$504,"&lt;"&amp;DATE(YEAR(K$3),MONTH(K$3)+1,1),請求台帳!$Q$5:$Q$504,"&lt;&gt;取消"))</f>
        <v/>
      </c>
      <c r="L66" s="27" t="str">
        <f aca="false">IF($A66="","",SUMIFS(入金明細!$E$5:$E$1004,入金明細!$G$5:$G$1004,$A66,入金明細!$B$5:$B$1004,"&gt;="&amp;K$3,入金明細!$B$5:$B$1004,"&lt;"&amp;DATE(YEAR(K$3),MONTH(K$3)+1,1)))</f>
        <v/>
      </c>
      <c r="M66" s="27" t="str">
        <f aca="false">IF($A66="","",SUMIFS(請求台帳!$F$5:$F$504,請求台帳!$C$5:$C$504,$A66,請求台帳!$B$5:$B$504,"&gt;="&amp;M$3,請求台帳!$B$5:$B$504,"&lt;"&amp;DATE(YEAR(M$3),MONTH(M$3)+1,1),請求台帳!$Q$5:$Q$504,"&lt;&gt;取消"))</f>
        <v/>
      </c>
      <c r="N66" s="27" t="str">
        <f aca="false">IF($A66="","",SUMIFS(入金明細!$E$5:$E$1004,入金明細!$G$5:$G$1004,$A66,入金明細!$B$5:$B$1004,"&gt;="&amp;M$3,入金明細!$B$5:$B$1004,"&lt;"&amp;DATE(YEAR(M$3),MONTH(M$3)+1,1)))</f>
        <v/>
      </c>
      <c r="O66" s="27" t="str">
        <f aca="false">IF($A66="","",SUMIFS(請求台帳!$F$5:$F$504,請求台帳!$C$5:$C$504,$A66,請求台帳!$B$5:$B$504,"&gt;="&amp;O$3,請求台帳!$B$5:$B$504,"&lt;"&amp;DATE(YEAR(O$3),MONTH(O$3)+1,1),請求台帳!$Q$5:$Q$504,"&lt;&gt;取消"))</f>
        <v/>
      </c>
      <c r="P66" s="27" t="str">
        <f aca="false">IF($A66="","",SUMIFS(入金明細!$E$5:$E$1004,入金明細!$G$5:$G$1004,$A66,入金明細!$B$5:$B$1004,"&gt;="&amp;O$3,入金明細!$B$5:$B$1004,"&lt;"&amp;DATE(YEAR(O$3),MONTH(O$3)+1,1)))</f>
        <v/>
      </c>
      <c r="Q66" s="27" t="str">
        <f aca="false">IF($A66="","",SUMIFS(請求台帳!$F$5:$F$504,請求台帳!$C$5:$C$504,$A66,請求台帳!$B$5:$B$504,"&gt;="&amp;Q$3,請求台帳!$B$5:$B$504,"&lt;"&amp;DATE(YEAR(Q$3),MONTH(Q$3)+1,1),請求台帳!$Q$5:$Q$504,"&lt;&gt;取消"))</f>
        <v/>
      </c>
      <c r="R66" s="27" t="str">
        <f aca="false">IF($A66="","",SUMIFS(入金明細!$E$5:$E$1004,入金明細!$G$5:$G$1004,$A66,入金明細!$B$5:$B$1004,"&gt;="&amp;Q$3,入金明細!$B$5:$B$1004,"&lt;"&amp;DATE(YEAR(Q$3),MONTH(Q$3)+1,1)))</f>
        <v/>
      </c>
      <c r="S66" s="27" t="str">
        <f aca="false">IF($A66="","",SUMIFS(請求台帳!$F$5:$F$504,請求台帳!$C$5:$C$504,$A66,請求台帳!$B$5:$B$504,"&gt;="&amp;S$3,請求台帳!$B$5:$B$504,"&lt;"&amp;DATE(YEAR(S$3),MONTH(S$3)+1,1),請求台帳!$Q$5:$Q$504,"&lt;&gt;取消"))</f>
        <v/>
      </c>
      <c r="T66" s="27" t="str">
        <f aca="false">IF($A66="","",SUMIFS(入金明細!$E$5:$E$1004,入金明細!$G$5:$G$1004,$A66,入金明細!$B$5:$B$1004,"&gt;="&amp;S$3,入金明細!$B$5:$B$1004,"&lt;"&amp;DATE(YEAR(S$3),MONTH(S$3)+1,1)))</f>
        <v/>
      </c>
      <c r="U66" s="27" t="str">
        <f aca="false">IF($A66="","",SUMIFS(請求台帳!$F$5:$F$504,請求台帳!$C$5:$C$504,$A66,請求台帳!$B$5:$B$504,"&gt;="&amp;U$3,請求台帳!$B$5:$B$504,"&lt;"&amp;DATE(YEAR(U$3),MONTH(U$3)+1,1),請求台帳!$Q$5:$Q$504,"&lt;&gt;取消"))</f>
        <v/>
      </c>
      <c r="V66" s="27" t="str">
        <f aca="false">IF($A66="","",SUMIFS(入金明細!$E$5:$E$1004,入金明細!$G$5:$G$1004,$A66,入金明細!$B$5:$B$1004,"&gt;="&amp;U$3,入金明細!$B$5:$B$1004,"&lt;"&amp;DATE(YEAR(U$3),MONTH(U$3)+1,1)))</f>
        <v/>
      </c>
      <c r="W66" s="27" t="str">
        <f aca="false">IF($A66="","",SUMIFS(請求台帳!$F$5:$F$504,請求台帳!$C$5:$C$504,$A66,請求台帳!$B$5:$B$504,"&gt;="&amp;W$3,請求台帳!$B$5:$B$504,"&lt;"&amp;DATE(YEAR(W$3),MONTH(W$3)+1,1),請求台帳!$Q$5:$Q$504,"&lt;&gt;取消"))</f>
        <v/>
      </c>
      <c r="X66" s="27" t="str">
        <f aca="false">IF($A66="","",SUMIFS(入金明細!$E$5:$E$1004,入金明細!$G$5:$G$1004,$A66,入金明細!$B$5:$B$1004,"&gt;="&amp;W$3,入金明細!$B$5:$B$1004,"&lt;"&amp;DATE(YEAR(W$3),MONTH(W$3)+1,1)))</f>
        <v/>
      </c>
      <c r="Y66" s="27" t="str">
        <f aca="false">IF($A66="","",SUMIFS(請求台帳!$F$5:$F$504,請求台帳!$C$5:$C$504,$A66,請求台帳!$B$5:$B$504,"&gt;="&amp;Y$3,請求台帳!$B$5:$B$504,"&lt;"&amp;DATE(YEAR(Y$3),MONTH(Y$3)+1,1),請求台帳!$Q$5:$Q$504,"&lt;&gt;取消"))</f>
        <v/>
      </c>
      <c r="Z66" s="27" t="str">
        <f aca="false">IF($A66="","",SUMIFS(入金明細!$E$5:$E$1004,入金明細!$G$5:$G$1004,$A66,入金明細!$B$5:$B$1004,"&gt;="&amp;Y$3,入金明細!$B$5:$B$1004,"&lt;"&amp;DATE(YEAR(Y$3),MONTH(Y$3)+1,1)))</f>
        <v/>
      </c>
      <c r="AA66" s="37" t="n">
        <f aca="false">SUM(C66,E66,G66,I66,K66,M66,O66,Q66,S66,U66,W66,Y66)</f>
        <v>0</v>
      </c>
      <c r="AB66" s="37" t="n">
        <f aca="false">SUM(D66,F66,H66,J66,L66,N66,P66,R66,T66,V66,X66,Z66)</f>
        <v>0</v>
      </c>
    </row>
    <row r="67" customFormat="false" ht="15" hidden="false" customHeight="false" outlineLevel="0" collapsed="false">
      <c r="A67" s="31" t="str">
        <f aca="false">IF(取引先マスタ!A67="","",取引先マスタ!A67)</f>
        <v/>
      </c>
      <c r="B67" s="31" t="str">
        <f aca="false">IF(A67="","",取引先マスタ!B67)</f>
        <v/>
      </c>
      <c r="C67" s="27" t="str">
        <f aca="false">IF($A67="","",SUMIFS(請求台帳!$F$5:$F$504,請求台帳!$C$5:$C$504,$A67,請求台帳!$B$5:$B$504,"&gt;="&amp;C$3,請求台帳!$B$5:$B$504,"&lt;"&amp;DATE(YEAR(C$3),MONTH(C$3)+1,1),請求台帳!$Q$5:$Q$504,"&lt;&gt;取消"))</f>
        <v/>
      </c>
      <c r="D67" s="27" t="str">
        <f aca="false">IF($A67="","",SUMIFS(入金明細!$E$5:$E$1004,入金明細!$G$5:$G$1004,$A67,入金明細!$B$5:$B$1004,"&gt;="&amp;C$3,入金明細!$B$5:$B$1004,"&lt;"&amp;DATE(YEAR(C$3),MONTH(C$3)+1,1)))</f>
        <v/>
      </c>
      <c r="E67" s="27" t="str">
        <f aca="false">IF($A67="","",SUMIFS(請求台帳!$F$5:$F$504,請求台帳!$C$5:$C$504,$A67,請求台帳!$B$5:$B$504,"&gt;="&amp;E$3,請求台帳!$B$5:$B$504,"&lt;"&amp;DATE(YEAR(E$3),MONTH(E$3)+1,1),請求台帳!$Q$5:$Q$504,"&lt;&gt;取消"))</f>
        <v/>
      </c>
      <c r="F67" s="27" t="str">
        <f aca="false">IF($A67="","",SUMIFS(入金明細!$E$5:$E$1004,入金明細!$G$5:$G$1004,$A67,入金明細!$B$5:$B$1004,"&gt;="&amp;E$3,入金明細!$B$5:$B$1004,"&lt;"&amp;DATE(YEAR(E$3),MONTH(E$3)+1,1)))</f>
        <v/>
      </c>
      <c r="G67" s="27" t="str">
        <f aca="false">IF($A67="","",SUMIFS(請求台帳!$F$5:$F$504,請求台帳!$C$5:$C$504,$A67,請求台帳!$B$5:$B$504,"&gt;="&amp;G$3,請求台帳!$B$5:$B$504,"&lt;"&amp;DATE(YEAR(G$3),MONTH(G$3)+1,1),請求台帳!$Q$5:$Q$504,"&lt;&gt;取消"))</f>
        <v/>
      </c>
      <c r="H67" s="27" t="str">
        <f aca="false">IF($A67="","",SUMIFS(入金明細!$E$5:$E$1004,入金明細!$G$5:$G$1004,$A67,入金明細!$B$5:$B$1004,"&gt;="&amp;G$3,入金明細!$B$5:$B$1004,"&lt;"&amp;DATE(YEAR(G$3),MONTH(G$3)+1,1)))</f>
        <v/>
      </c>
      <c r="I67" s="27" t="str">
        <f aca="false">IF($A67="","",SUMIFS(請求台帳!$F$5:$F$504,請求台帳!$C$5:$C$504,$A67,請求台帳!$B$5:$B$504,"&gt;="&amp;I$3,請求台帳!$B$5:$B$504,"&lt;"&amp;DATE(YEAR(I$3),MONTH(I$3)+1,1),請求台帳!$Q$5:$Q$504,"&lt;&gt;取消"))</f>
        <v/>
      </c>
      <c r="J67" s="27" t="str">
        <f aca="false">IF($A67="","",SUMIFS(入金明細!$E$5:$E$1004,入金明細!$G$5:$G$1004,$A67,入金明細!$B$5:$B$1004,"&gt;="&amp;I$3,入金明細!$B$5:$B$1004,"&lt;"&amp;DATE(YEAR(I$3),MONTH(I$3)+1,1)))</f>
        <v/>
      </c>
      <c r="K67" s="27" t="str">
        <f aca="false">IF($A67="","",SUMIFS(請求台帳!$F$5:$F$504,請求台帳!$C$5:$C$504,$A67,請求台帳!$B$5:$B$504,"&gt;="&amp;K$3,請求台帳!$B$5:$B$504,"&lt;"&amp;DATE(YEAR(K$3),MONTH(K$3)+1,1),請求台帳!$Q$5:$Q$504,"&lt;&gt;取消"))</f>
        <v/>
      </c>
      <c r="L67" s="27" t="str">
        <f aca="false">IF($A67="","",SUMIFS(入金明細!$E$5:$E$1004,入金明細!$G$5:$G$1004,$A67,入金明細!$B$5:$B$1004,"&gt;="&amp;K$3,入金明細!$B$5:$B$1004,"&lt;"&amp;DATE(YEAR(K$3),MONTH(K$3)+1,1)))</f>
        <v/>
      </c>
      <c r="M67" s="27" t="str">
        <f aca="false">IF($A67="","",SUMIFS(請求台帳!$F$5:$F$504,請求台帳!$C$5:$C$504,$A67,請求台帳!$B$5:$B$504,"&gt;="&amp;M$3,請求台帳!$B$5:$B$504,"&lt;"&amp;DATE(YEAR(M$3),MONTH(M$3)+1,1),請求台帳!$Q$5:$Q$504,"&lt;&gt;取消"))</f>
        <v/>
      </c>
      <c r="N67" s="27" t="str">
        <f aca="false">IF($A67="","",SUMIFS(入金明細!$E$5:$E$1004,入金明細!$G$5:$G$1004,$A67,入金明細!$B$5:$B$1004,"&gt;="&amp;M$3,入金明細!$B$5:$B$1004,"&lt;"&amp;DATE(YEAR(M$3),MONTH(M$3)+1,1)))</f>
        <v/>
      </c>
      <c r="O67" s="27" t="str">
        <f aca="false">IF($A67="","",SUMIFS(請求台帳!$F$5:$F$504,請求台帳!$C$5:$C$504,$A67,請求台帳!$B$5:$B$504,"&gt;="&amp;O$3,請求台帳!$B$5:$B$504,"&lt;"&amp;DATE(YEAR(O$3),MONTH(O$3)+1,1),請求台帳!$Q$5:$Q$504,"&lt;&gt;取消"))</f>
        <v/>
      </c>
      <c r="P67" s="27" t="str">
        <f aca="false">IF($A67="","",SUMIFS(入金明細!$E$5:$E$1004,入金明細!$G$5:$G$1004,$A67,入金明細!$B$5:$B$1004,"&gt;="&amp;O$3,入金明細!$B$5:$B$1004,"&lt;"&amp;DATE(YEAR(O$3),MONTH(O$3)+1,1)))</f>
        <v/>
      </c>
      <c r="Q67" s="27" t="str">
        <f aca="false">IF($A67="","",SUMIFS(請求台帳!$F$5:$F$504,請求台帳!$C$5:$C$504,$A67,請求台帳!$B$5:$B$504,"&gt;="&amp;Q$3,請求台帳!$B$5:$B$504,"&lt;"&amp;DATE(YEAR(Q$3),MONTH(Q$3)+1,1),請求台帳!$Q$5:$Q$504,"&lt;&gt;取消"))</f>
        <v/>
      </c>
      <c r="R67" s="27" t="str">
        <f aca="false">IF($A67="","",SUMIFS(入金明細!$E$5:$E$1004,入金明細!$G$5:$G$1004,$A67,入金明細!$B$5:$B$1004,"&gt;="&amp;Q$3,入金明細!$B$5:$B$1004,"&lt;"&amp;DATE(YEAR(Q$3),MONTH(Q$3)+1,1)))</f>
        <v/>
      </c>
      <c r="S67" s="27" t="str">
        <f aca="false">IF($A67="","",SUMIFS(請求台帳!$F$5:$F$504,請求台帳!$C$5:$C$504,$A67,請求台帳!$B$5:$B$504,"&gt;="&amp;S$3,請求台帳!$B$5:$B$504,"&lt;"&amp;DATE(YEAR(S$3),MONTH(S$3)+1,1),請求台帳!$Q$5:$Q$504,"&lt;&gt;取消"))</f>
        <v/>
      </c>
      <c r="T67" s="27" t="str">
        <f aca="false">IF($A67="","",SUMIFS(入金明細!$E$5:$E$1004,入金明細!$G$5:$G$1004,$A67,入金明細!$B$5:$B$1004,"&gt;="&amp;S$3,入金明細!$B$5:$B$1004,"&lt;"&amp;DATE(YEAR(S$3),MONTH(S$3)+1,1)))</f>
        <v/>
      </c>
      <c r="U67" s="27" t="str">
        <f aca="false">IF($A67="","",SUMIFS(請求台帳!$F$5:$F$504,請求台帳!$C$5:$C$504,$A67,請求台帳!$B$5:$B$504,"&gt;="&amp;U$3,請求台帳!$B$5:$B$504,"&lt;"&amp;DATE(YEAR(U$3),MONTH(U$3)+1,1),請求台帳!$Q$5:$Q$504,"&lt;&gt;取消"))</f>
        <v/>
      </c>
      <c r="V67" s="27" t="str">
        <f aca="false">IF($A67="","",SUMIFS(入金明細!$E$5:$E$1004,入金明細!$G$5:$G$1004,$A67,入金明細!$B$5:$B$1004,"&gt;="&amp;U$3,入金明細!$B$5:$B$1004,"&lt;"&amp;DATE(YEAR(U$3),MONTH(U$3)+1,1)))</f>
        <v/>
      </c>
      <c r="W67" s="27" t="str">
        <f aca="false">IF($A67="","",SUMIFS(請求台帳!$F$5:$F$504,請求台帳!$C$5:$C$504,$A67,請求台帳!$B$5:$B$504,"&gt;="&amp;W$3,請求台帳!$B$5:$B$504,"&lt;"&amp;DATE(YEAR(W$3),MONTH(W$3)+1,1),請求台帳!$Q$5:$Q$504,"&lt;&gt;取消"))</f>
        <v/>
      </c>
      <c r="X67" s="27" t="str">
        <f aca="false">IF($A67="","",SUMIFS(入金明細!$E$5:$E$1004,入金明細!$G$5:$G$1004,$A67,入金明細!$B$5:$B$1004,"&gt;="&amp;W$3,入金明細!$B$5:$B$1004,"&lt;"&amp;DATE(YEAR(W$3),MONTH(W$3)+1,1)))</f>
        <v/>
      </c>
      <c r="Y67" s="27" t="str">
        <f aca="false">IF($A67="","",SUMIFS(請求台帳!$F$5:$F$504,請求台帳!$C$5:$C$504,$A67,請求台帳!$B$5:$B$504,"&gt;="&amp;Y$3,請求台帳!$B$5:$B$504,"&lt;"&amp;DATE(YEAR(Y$3),MONTH(Y$3)+1,1),請求台帳!$Q$5:$Q$504,"&lt;&gt;取消"))</f>
        <v/>
      </c>
      <c r="Z67" s="27" t="str">
        <f aca="false">IF($A67="","",SUMIFS(入金明細!$E$5:$E$1004,入金明細!$G$5:$G$1004,$A67,入金明細!$B$5:$B$1004,"&gt;="&amp;Y$3,入金明細!$B$5:$B$1004,"&lt;"&amp;DATE(YEAR(Y$3),MONTH(Y$3)+1,1)))</f>
        <v/>
      </c>
      <c r="AA67" s="37" t="n">
        <f aca="false">SUM(C67,E67,G67,I67,K67,M67,O67,Q67,S67,U67,W67,Y67)</f>
        <v>0</v>
      </c>
      <c r="AB67" s="37" t="n">
        <f aca="false">SUM(D67,F67,H67,J67,L67,N67,P67,R67,T67,V67,X67,Z67)</f>
        <v>0</v>
      </c>
    </row>
    <row r="68" customFormat="false" ht="15" hidden="false" customHeight="false" outlineLevel="0" collapsed="false">
      <c r="A68" s="31" t="str">
        <f aca="false">IF(取引先マスタ!A68="","",取引先マスタ!A68)</f>
        <v/>
      </c>
      <c r="B68" s="31" t="str">
        <f aca="false">IF(A68="","",取引先マスタ!B68)</f>
        <v/>
      </c>
      <c r="C68" s="27" t="str">
        <f aca="false">IF($A68="","",SUMIFS(請求台帳!$F$5:$F$504,請求台帳!$C$5:$C$504,$A68,請求台帳!$B$5:$B$504,"&gt;="&amp;C$3,請求台帳!$B$5:$B$504,"&lt;"&amp;DATE(YEAR(C$3),MONTH(C$3)+1,1),請求台帳!$Q$5:$Q$504,"&lt;&gt;取消"))</f>
        <v/>
      </c>
      <c r="D68" s="27" t="str">
        <f aca="false">IF($A68="","",SUMIFS(入金明細!$E$5:$E$1004,入金明細!$G$5:$G$1004,$A68,入金明細!$B$5:$B$1004,"&gt;="&amp;C$3,入金明細!$B$5:$B$1004,"&lt;"&amp;DATE(YEAR(C$3),MONTH(C$3)+1,1)))</f>
        <v/>
      </c>
      <c r="E68" s="27" t="str">
        <f aca="false">IF($A68="","",SUMIFS(請求台帳!$F$5:$F$504,請求台帳!$C$5:$C$504,$A68,請求台帳!$B$5:$B$504,"&gt;="&amp;E$3,請求台帳!$B$5:$B$504,"&lt;"&amp;DATE(YEAR(E$3),MONTH(E$3)+1,1),請求台帳!$Q$5:$Q$504,"&lt;&gt;取消"))</f>
        <v/>
      </c>
      <c r="F68" s="27" t="str">
        <f aca="false">IF($A68="","",SUMIFS(入金明細!$E$5:$E$1004,入金明細!$G$5:$G$1004,$A68,入金明細!$B$5:$B$1004,"&gt;="&amp;E$3,入金明細!$B$5:$B$1004,"&lt;"&amp;DATE(YEAR(E$3),MONTH(E$3)+1,1)))</f>
        <v/>
      </c>
      <c r="G68" s="27" t="str">
        <f aca="false">IF($A68="","",SUMIFS(請求台帳!$F$5:$F$504,請求台帳!$C$5:$C$504,$A68,請求台帳!$B$5:$B$504,"&gt;="&amp;G$3,請求台帳!$B$5:$B$504,"&lt;"&amp;DATE(YEAR(G$3),MONTH(G$3)+1,1),請求台帳!$Q$5:$Q$504,"&lt;&gt;取消"))</f>
        <v/>
      </c>
      <c r="H68" s="27" t="str">
        <f aca="false">IF($A68="","",SUMIFS(入金明細!$E$5:$E$1004,入金明細!$G$5:$G$1004,$A68,入金明細!$B$5:$B$1004,"&gt;="&amp;G$3,入金明細!$B$5:$B$1004,"&lt;"&amp;DATE(YEAR(G$3),MONTH(G$3)+1,1)))</f>
        <v/>
      </c>
      <c r="I68" s="27" t="str">
        <f aca="false">IF($A68="","",SUMIFS(請求台帳!$F$5:$F$504,請求台帳!$C$5:$C$504,$A68,請求台帳!$B$5:$B$504,"&gt;="&amp;I$3,請求台帳!$B$5:$B$504,"&lt;"&amp;DATE(YEAR(I$3),MONTH(I$3)+1,1),請求台帳!$Q$5:$Q$504,"&lt;&gt;取消"))</f>
        <v/>
      </c>
      <c r="J68" s="27" t="str">
        <f aca="false">IF($A68="","",SUMIFS(入金明細!$E$5:$E$1004,入金明細!$G$5:$G$1004,$A68,入金明細!$B$5:$B$1004,"&gt;="&amp;I$3,入金明細!$B$5:$B$1004,"&lt;"&amp;DATE(YEAR(I$3),MONTH(I$3)+1,1)))</f>
        <v/>
      </c>
      <c r="K68" s="27" t="str">
        <f aca="false">IF($A68="","",SUMIFS(請求台帳!$F$5:$F$504,請求台帳!$C$5:$C$504,$A68,請求台帳!$B$5:$B$504,"&gt;="&amp;K$3,請求台帳!$B$5:$B$504,"&lt;"&amp;DATE(YEAR(K$3),MONTH(K$3)+1,1),請求台帳!$Q$5:$Q$504,"&lt;&gt;取消"))</f>
        <v/>
      </c>
      <c r="L68" s="27" t="str">
        <f aca="false">IF($A68="","",SUMIFS(入金明細!$E$5:$E$1004,入金明細!$G$5:$G$1004,$A68,入金明細!$B$5:$B$1004,"&gt;="&amp;K$3,入金明細!$B$5:$B$1004,"&lt;"&amp;DATE(YEAR(K$3),MONTH(K$3)+1,1)))</f>
        <v/>
      </c>
      <c r="M68" s="27" t="str">
        <f aca="false">IF($A68="","",SUMIFS(請求台帳!$F$5:$F$504,請求台帳!$C$5:$C$504,$A68,請求台帳!$B$5:$B$504,"&gt;="&amp;M$3,請求台帳!$B$5:$B$504,"&lt;"&amp;DATE(YEAR(M$3),MONTH(M$3)+1,1),請求台帳!$Q$5:$Q$504,"&lt;&gt;取消"))</f>
        <v/>
      </c>
      <c r="N68" s="27" t="str">
        <f aca="false">IF($A68="","",SUMIFS(入金明細!$E$5:$E$1004,入金明細!$G$5:$G$1004,$A68,入金明細!$B$5:$B$1004,"&gt;="&amp;M$3,入金明細!$B$5:$B$1004,"&lt;"&amp;DATE(YEAR(M$3),MONTH(M$3)+1,1)))</f>
        <v/>
      </c>
      <c r="O68" s="27" t="str">
        <f aca="false">IF($A68="","",SUMIFS(請求台帳!$F$5:$F$504,請求台帳!$C$5:$C$504,$A68,請求台帳!$B$5:$B$504,"&gt;="&amp;O$3,請求台帳!$B$5:$B$504,"&lt;"&amp;DATE(YEAR(O$3),MONTH(O$3)+1,1),請求台帳!$Q$5:$Q$504,"&lt;&gt;取消"))</f>
        <v/>
      </c>
      <c r="P68" s="27" t="str">
        <f aca="false">IF($A68="","",SUMIFS(入金明細!$E$5:$E$1004,入金明細!$G$5:$G$1004,$A68,入金明細!$B$5:$B$1004,"&gt;="&amp;O$3,入金明細!$B$5:$B$1004,"&lt;"&amp;DATE(YEAR(O$3),MONTH(O$3)+1,1)))</f>
        <v/>
      </c>
      <c r="Q68" s="27" t="str">
        <f aca="false">IF($A68="","",SUMIFS(請求台帳!$F$5:$F$504,請求台帳!$C$5:$C$504,$A68,請求台帳!$B$5:$B$504,"&gt;="&amp;Q$3,請求台帳!$B$5:$B$504,"&lt;"&amp;DATE(YEAR(Q$3),MONTH(Q$3)+1,1),請求台帳!$Q$5:$Q$504,"&lt;&gt;取消"))</f>
        <v/>
      </c>
      <c r="R68" s="27" t="str">
        <f aca="false">IF($A68="","",SUMIFS(入金明細!$E$5:$E$1004,入金明細!$G$5:$G$1004,$A68,入金明細!$B$5:$B$1004,"&gt;="&amp;Q$3,入金明細!$B$5:$B$1004,"&lt;"&amp;DATE(YEAR(Q$3),MONTH(Q$3)+1,1)))</f>
        <v/>
      </c>
      <c r="S68" s="27" t="str">
        <f aca="false">IF($A68="","",SUMIFS(請求台帳!$F$5:$F$504,請求台帳!$C$5:$C$504,$A68,請求台帳!$B$5:$B$504,"&gt;="&amp;S$3,請求台帳!$B$5:$B$504,"&lt;"&amp;DATE(YEAR(S$3),MONTH(S$3)+1,1),請求台帳!$Q$5:$Q$504,"&lt;&gt;取消"))</f>
        <v/>
      </c>
      <c r="T68" s="27" t="str">
        <f aca="false">IF($A68="","",SUMIFS(入金明細!$E$5:$E$1004,入金明細!$G$5:$G$1004,$A68,入金明細!$B$5:$B$1004,"&gt;="&amp;S$3,入金明細!$B$5:$B$1004,"&lt;"&amp;DATE(YEAR(S$3),MONTH(S$3)+1,1)))</f>
        <v/>
      </c>
      <c r="U68" s="27" t="str">
        <f aca="false">IF($A68="","",SUMIFS(請求台帳!$F$5:$F$504,請求台帳!$C$5:$C$504,$A68,請求台帳!$B$5:$B$504,"&gt;="&amp;U$3,請求台帳!$B$5:$B$504,"&lt;"&amp;DATE(YEAR(U$3),MONTH(U$3)+1,1),請求台帳!$Q$5:$Q$504,"&lt;&gt;取消"))</f>
        <v/>
      </c>
      <c r="V68" s="27" t="str">
        <f aca="false">IF($A68="","",SUMIFS(入金明細!$E$5:$E$1004,入金明細!$G$5:$G$1004,$A68,入金明細!$B$5:$B$1004,"&gt;="&amp;U$3,入金明細!$B$5:$B$1004,"&lt;"&amp;DATE(YEAR(U$3),MONTH(U$3)+1,1)))</f>
        <v/>
      </c>
      <c r="W68" s="27" t="str">
        <f aca="false">IF($A68="","",SUMIFS(請求台帳!$F$5:$F$504,請求台帳!$C$5:$C$504,$A68,請求台帳!$B$5:$B$504,"&gt;="&amp;W$3,請求台帳!$B$5:$B$504,"&lt;"&amp;DATE(YEAR(W$3),MONTH(W$3)+1,1),請求台帳!$Q$5:$Q$504,"&lt;&gt;取消"))</f>
        <v/>
      </c>
      <c r="X68" s="27" t="str">
        <f aca="false">IF($A68="","",SUMIFS(入金明細!$E$5:$E$1004,入金明細!$G$5:$G$1004,$A68,入金明細!$B$5:$B$1004,"&gt;="&amp;W$3,入金明細!$B$5:$B$1004,"&lt;"&amp;DATE(YEAR(W$3),MONTH(W$3)+1,1)))</f>
        <v/>
      </c>
      <c r="Y68" s="27" t="str">
        <f aca="false">IF($A68="","",SUMIFS(請求台帳!$F$5:$F$504,請求台帳!$C$5:$C$504,$A68,請求台帳!$B$5:$B$504,"&gt;="&amp;Y$3,請求台帳!$B$5:$B$504,"&lt;"&amp;DATE(YEAR(Y$3),MONTH(Y$3)+1,1),請求台帳!$Q$5:$Q$504,"&lt;&gt;取消"))</f>
        <v/>
      </c>
      <c r="Z68" s="27" t="str">
        <f aca="false">IF($A68="","",SUMIFS(入金明細!$E$5:$E$1004,入金明細!$G$5:$G$1004,$A68,入金明細!$B$5:$B$1004,"&gt;="&amp;Y$3,入金明細!$B$5:$B$1004,"&lt;"&amp;DATE(YEAR(Y$3),MONTH(Y$3)+1,1)))</f>
        <v/>
      </c>
      <c r="AA68" s="37" t="n">
        <f aca="false">SUM(C68,E68,G68,I68,K68,M68,O68,Q68,S68,U68,W68,Y68)</f>
        <v>0</v>
      </c>
      <c r="AB68" s="37" t="n">
        <f aca="false">SUM(D68,F68,H68,J68,L68,N68,P68,R68,T68,V68,X68,Z68)</f>
        <v>0</v>
      </c>
    </row>
    <row r="69" customFormat="false" ht="15" hidden="false" customHeight="false" outlineLevel="0" collapsed="false">
      <c r="A69" s="31" t="str">
        <f aca="false">IF(取引先マスタ!A69="","",取引先マスタ!A69)</f>
        <v/>
      </c>
      <c r="B69" s="31" t="str">
        <f aca="false">IF(A69="","",取引先マスタ!B69)</f>
        <v/>
      </c>
      <c r="C69" s="27" t="str">
        <f aca="false">IF($A69="","",SUMIFS(請求台帳!$F$5:$F$504,請求台帳!$C$5:$C$504,$A69,請求台帳!$B$5:$B$504,"&gt;="&amp;C$3,請求台帳!$B$5:$B$504,"&lt;"&amp;DATE(YEAR(C$3),MONTH(C$3)+1,1),請求台帳!$Q$5:$Q$504,"&lt;&gt;取消"))</f>
        <v/>
      </c>
      <c r="D69" s="27" t="str">
        <f aca="false">IF($A69="","",SUMIFS(入金明細!$E$5:$E$1004,入金明細!$G$5:$G$1004,$A69,入金明細!$B$5:$B$1004,"&gt;="&amp;C$3,入金明細!$B$5:$B$1004,"&lt;"&amp;DATE(YEAR(C$3),MONTH(C$3)+1,1)))</f>
        <v/>
      </c>
      <c r="E69" s="27" t="str">
        <f aca="false">IF($A69="","",SUMIFS(請求台帳!$F$5:$F$504,請求台帳!$C$5:$C$504,$A69,請求台帳!$B$5:$B$504,"&gt;="&amp;E$3,請求台帳!$B$5:$B$504,"&lt;"&amp;DATE(YEAR(E$3),MONTH(E$3)+1,1),請求台帳!$Q$5:$Q$504,"&lt;&gt;取消"))</f>
        <v/>
      </c>
      <c r="F69" s="27" t="str">
        <f aca="false">IF($A69="","",SUMIFS(入金明細!$E$5:$E$1004,入金明細!$G$5:$G$1004,$A69,入金明細!$B$5:$B$1004,"&gt;="&amp;E$3,入金明細!$B$5:$B$1004,"&lt;"&amp;DATE(YEAR(E$3),MONTH(E$3)+1,1)))</f>
        <v/>
      </c>
      <c r="G69" s="27" t="str">
        <f aca="false">IF($A69="","",SUMIFS(請求台帳!$F$5:$F$504,請求台帳!$C$5:$C$504,$A69,請求台帳!$B$5:$B$504,"&gt;="&amp;G$3,請求台帳!$B$5:$B$504,"&lt;"&amp;DATE(YEAR(G$3),MONTH(G$3)+1,1),請求台帳!$Q$5:$Q$504,"&lt;&gt;取消"))</f>
        <v/>
      </c>
      <c r="H69" s="27" t="str">
        <f aca="false">IF($A69="","",SUMIFS(入金明細!$E$5:$E$1004,入金明細!$G$5:$G$1004,$A69,入金明細!$B$5:$B$1004,"&gt;="&amp;G$3,入金明細!$B$5:$B$1004,"&lt;"&amp;DATE(YEAR(G$3),MONTH(G$3)+1,1)))</f>
        <v/>
      </c>
      <c r="I69" s="27" t="str">
        <f aca="false">IF($A69="","",SUMIFS(請求台帳!$F$5:$F$504,請求台帳!$C$5:$C$504,$A69,請求台帳!$B$5:$B$504,"&gt;="&amp;I$3,請求台帳!$B$5:$B$504,"&lt;"&amp;DATE(YEAR(I$3),MONTH(I$3)+1,1),請求台帳!$Q$5:$Q$504,"&lt;&gt;取消"))</f>
        <v/>
      </c>
      <c r="J69" s="27" t="str">
        <f aca="false">IF($A69="","",SUMIFS(入金明細!$E$5:$E$1004,入金明細!$G$5:$G$1004,$A69,入金明細!$B$5:$B$1004,"&gt;="&amp;I$3,入金明細!$B$5:$B$1004,"&lt;"&amp;DATE(YEAR(I$3),MONTH(I$3)+1,1)))</f>
        <v/>
      </c>
      <c r="K69" s="27" t="str">
        <f aca="false">IF($A69="","",SUMIFS(請求台帳!$F$5:$F$504,請求台帳!$C$5:$C$504,$A69,請求台帳!$B$5:$B$504,"&gt;="&amp;K$3,請求台帳!$B$5:$B$504,"&lt;"&amp;DATE(YEAR(K$3),MONTH(K$3)+1,1),請求台帳!$Q$5:$Q$504,"&lt;&gt;取消"))</f>
        <v/>
      </c>
      <c r="L69" s="27" t="str">
        <f aca="false">IF($A69="","",SUMIFS(入金明細!$E$5:$E$1004,入金明細!$G$5:$G$1004,$A69,入金明細!$B$5:$B$1004,"&gt;="&amp;K$3,入金明細!$B$5:$B$1004,"&lt;"&amp;DATE(YEAR(K$3),MONTH(K$3)+1,1)))</f>
        <v/>
      </c>
      <c r="M69" s="27" t="str">
        <f aca="false">IF($A69="","",SUMIFS(請求台帳!$F$5:$F$504,請求台帳!$C$5:$C$504,$A69,請求台帳!$B$5:$B$504,"&gt;="&amp;M$3,請求台帳!$B$5:$B$504,"&lt;"&amp;DATE(YEAR(M$3),MONTH(M$3)+1,1),請求台帳!$Q$5:$Q$504,"&lt;&gt;取消"))</f>
        <v/>
      </c>
      <c r="N69" s="27" t="str">
        <f aca="false">IF($A69="","",SUMIFS(入金明細!$E$5:$E$1004,入金明細!$G$5:$G$1004,$A69,入金明細!$B$5:$B$1004,"&gt;="&amp;M$3,入金明細!$B$5:$B$1004,"&lt;"&amp;DATE(YEAR(M$3),MONTH(M$3)+1,1)))</f>
        <v/>
      </c>
      <c r="O69" s="27" t="str">
        <f aca="false">IF($A69="","",SUMIFS(請求台帳!$F$5:$F$504,請求台帳!$C$5:$C$504,$A69,請求台帳!$B$5:$B$504,"&gt;="&amp;O$3,請求台帳!$B$5:$B$504,"&lt;"&amp;DATE(YEAR(O$3),MONTH(O$3)+1,1),請求台帳!$Q$5:$Q$504,"&lt;&gt;取消"))</f>
        <v/>
      </c>
      <c r="P69" s="27" t="str">
        <f aca="false">IF($A69="","",SUMIFS(入金明細!$E$5:$E$1004,入金明細!$G$5:$G$1004,$A69,入金明細!$B$5:$B$1004,"&gt;="&amp;O$3,入金明細!$B$5:$B$1004,"&lt;"&amp;DATE(YEAR(O$3),MONTH(O$3)+1,1)))</f>
        <v/>
      </c>
      <c r="Q69" s="27" t="str">
        <f aca="false">IF($A69="","",SUMIFS(請求台帳!$F$5:$F$504,請求台帳!$C$5:$C$504,$A69,請求台帳!$B$5:$B$504,"&gt;="&amp;Q$3,請求台帳!$B$5:$B$504,"&lt;"&amp;DATE(YEAR(Q$3),MONTH(Q$3)+1,1),請求台帳!$Q$5:$Q$504,"&lt;&gt;取消"))</f>
        <v/>
      </c>
      <c r="R69" s="27" t="str">
        <f aca="false">IF($A69="","",SUMIFS(入金明細!$E$5:$E$1004,入金明細!$G$5:$G$1004,$A69,入金明細!$B$5:$B$1004,"&gt;="&amp;Q$3,入金明細!$B$5:$B$1004,"&lt;"&amp;DATE(YEAR(Q$3),MONTH(Q$3)+1,1)))</f>
        <v/>
      </c>
      <c r="S69" s="27" t="str">
        <f aca="false">IF($A69="","",SUMIFS(請求台帳!$F$5:$F$504,請求台帳!$C$5:$C$504,$A69,請求台帳!$B$5:$B$504,"&gt;="&amp;S$3,請求台帳!$B$5:$B$504,"&lt;"&amp;DATE(YEAR(S$3),MONTH(S$3)+1,1),請求台帳!$Q$5:$Q$504,"&lt;&gt;取消"))</f>
        <v/>
      </c>
      <c r="T69" s="27" t="str">
        <f aca="false">IF($A69="","",SUMIFS(入金明細!$E$5:$E$1004,入金明細!$G$5:$G$1004,$A69,入金明細!$B$5:$B$1004,"&gt;="&amp;S$3,入金明細!$B$5:$B$1004,"&lt;"&amp;DATE(YEAR(S$3),MONTH(S$3)+1,1)))</f>
        <v/>
      </c>
      <c r="U69" s="27" t="str">
        <f aca="false">IF($A69="","",SUMIFS(請求台帳!$F$5:$F$504,請求台帳!$C$5:$C$504,$A69,請求台帳!$B$5:$B$504,"&gt;="&amp;U$3,請求台帳!$B$5:$B$504,"&lt;"&amp;DATE(YEAR(U$3),MONTH(U$3)+1,1),請求台帳!$Q$5:$Q$504,"&lt;&gt;取消"))</f>
        <v/>
      </c>
      <c r="V69" s="27" t="str">
        <f aca="false">IF($A69="","",SUMIFS(入金明細!$E$5:$E$1004,入金明細!$G$5:$G$1004,$A69,入金明細!$B$5:$B$1004,"&gt;="&amp;U$3,入金明細!$B$5:$B$1004,"&lt;"&amp;DATE(YEAR(U$3),MONTH(U$3)+1,1)))</f>
        <v/>
      </c>
      <c r="W69" s="27" t="str">
        <f aca="false">IF($A69="","",SUMIFS(請求台帳!$F$5:$F$504,請求台帳!$C$5:$C$504,$A69,請求台帳!$B$5:$B$504,"&gt;="&amp;W$3,請求台帳!$B$5:$B$504,"&lt;"&amp;DATE(YEAR(W$3),MONTH(W$3)+1,1),請求台帳!$Q$5:$Q$504,"&lt;&gt;取消"))</f>
        <v/>
      </c>
      <c r="X69" s="27" t="str">
        <f aca="false">IF($A69="","",SUMIFS(入金明細!$E$5:$E$1004,入金明細!$G$5:$G$1004,$A69,入金明細!$B$5:$B$1004,"&gt;="&amp;W$3,入金明細!$B$5:$B$1004,"&lt;"&amp;DATE(YEAR(W$3),MONTH(W$3)+1,1)))</f>
        <v/>
      </c>
      <c r="Y69" s="27" t="str">
        <f aca="false">IF($A69="","",SUMIFS(請求台帳!$F$5:$F$504,請求台帳!$C$5:$C$504,$A69,請求台帳!$B$5:$B$504,"&gt;="&amp;Y$3,請求台帳!$B$5:$B$504,"&lt;"&amp;DATE(YEAR(Y$3),MONTH(Y$3)+1,1),請求台帳!$Q$5:$Q$504,"&lt;&gt;取消"))</f>
        <v/>
      </c>
      <c r="Z69" s="27" t="str">
        <f aca="false">IF($A69="","",SUMIFS(入金明細!$E$5:$E$1004,入金明細!$G$5:$G$1004,$A69,入金明細!$B$5:$B$1004,"&gt;="&amp;Y$3,入金明細!$B$5:$B$1004,"&lt;"&amp;DATE(YEAR(Y$3),MONTH(Y$3)+1,1)))</f>
        <v/>
      </c>
      <c r="AA69" s="37" t="n">
        <f aca="false">SUM(C69,E69,G69,I69,K69,M69,O69,Q69,S69,U69,W69,Y69)</f>
        <v>0</v>
      </c>
      <c r="AB69" s="37" t="n">
        <f aca="false">SUM(D69,F69,H69,J69,L69,N69,P69,R69,T69,V69,X69,Z69)</f>
        <v>0</v>
      </c>
    </row>
    <row r="70" customFormat="false" ht="15" hidden="false" customHeight="false" outlineLevel="0" collapsed="false">
      <c r="A70" s="31" t="str">
        <f aca="false">IF(取引先マスタ!A70="","",取引先マスタ!A70)</f>
        <v/>
      </c>
      <c r="B70" s="31" t="str">
        <f aca="false">IF(A70="","",取引先マスタ!B70)</f>
        <v/>
      </c>
      <c r="C70" s="27" t="str">
        <f aca="false">IF($A70="","",SUMIFS(請求台帳!$F$5:$F$504,請求台帳!$C$5:$C$504,$A70,請求台帳!$B$5:$B$504,"&gt;="&amp;C$3,請求台帳!$B$5:$B$504,"&lt;"&amp;DATE(YEAR(C$3),MONTH(C$3)+1,1),請求台帳!$Q$5:$Q$504,"&lt;&gt;取消"))</f>
        <v/>
      </c>
      <c r="D70" s="27" t="str">
        <f aca="false">IF($A70="","",SUMIFS(入金明細!$E$5:$E$1004,入金明細!$G$5:$G$1004,$A70,入金明細!$B$5:$B$1004,"&gt;="&amp;C$3,入金明細!$B$5:$B$1004,"&lt;"&amp;DATE(YEAR(C$3),MONTH(C$3)+1,1)))</f>
        <v/>
      </c>
      <c r="E70" s="27" t="str">
        <f aca="false">IF($A70="","",SUMIFS(請求台帳!$F$5:$F$504,請求台帳!$C$5:$C$504,$A70,請求台帳!$B$5:$B$504,"&gt;="&amp;E$3,請求台帳!$B$5:$B$504,"&lt;"&amp;DATE(YEAR(E$3),MONTH(E$3)+1,1),請求台帳!$Q$5:$Q$504,"&lt;&gt;取消"))</f>
        <v/>
      </c>
      <c r="F70" s="27" t="str">
        <f aca="false">IF($A70="","",SUMIFS(入金明細!$E$5:$E$1004,入金明細!$G$5:$G$1004,$A70,入金明細!$B$5:$B$1004,"&gt;="&amp;E$3,入金明細!$B$5:$B$1004,"&lt;"&amp;DATE(YEAR(E$3),MONTH(E$3)+1,1)))</f>
        <v/>
      </c>
      <c r="G70" s="27" t="str">
        <f aca="false">IF($A70="","",SUMIFS(請求台帳!$F$5:$F$504,請求台帳!$C$5:$C$504,$A70,請求台帳!$B$5:$B$504,"&gt;="&amp;G$3,請求台帳!$B$5:$B$504,"&lt;"&amp;DATE(YEAR(G$3),MONTH(G$3)+1,1),請求台帳!$Q$5:$Q$504,"&lt;&gt;取消"))</f>
        <v/>
      </c>
      <c r="H70" s="27" t="str">
        <f aca="false">IF($A70="","",SUMIFS(入金明細!$E$5:$E$1004,入金明細!$G$5:$G$1004,$A70,入金明細!$B$5:$B$1004,"&gt;="&amp;G$3,入金明細!$B$5:$B$1004,"&lt;"&amp;DATE(YEAR(G$3),MONTH(G$3)+1,1)))</f>
        <v/>
      </c>
      <c r="I70" s="27" t="str">
        <f aca="false">IF($A70="","",SUMIFS(請求台帳!$F$5:$F$504,請求台帳!$C$5:$C$504,$A70,請求台帳!$B$5:$B$504,"&gt;="&amp;I$3,請求台帳!$B$5:$B$504,"&lt;"&amp;DATE(YEAR(I$3),MONTH(I$3)+1,1),請求台帳!$Q$5:$Q$504,"&lt;&gt;取消"))</f>
        <v/>
      </c>
      <c r="J70" s="27" t="str">
        <f aca="false">IF($A70="","",SUMIFS(入金明細!$E$5:$E$1004,入金明細!$G$5:$G$1004,$A70,入金明細!$B$5:$B$1004,"&gt;="&amp;I$3,入金明細!$B$5:$B$1004,"&lt;"&amp;DATE(YEAR(I$3),MONTH(I$3)+1,1)))</f>
        <v/>
      </c>
      <c r="K70" s="27" t="str">
        <f aca="false">IF($A70="","",SUMIFS(請求台帳!$F$5:$F$504,請求台帳!$C$5:$C$504,$A70,請求台帳!$B$5:$B$504,"&gt;="&amp;K$3,請求台帳!$B$5:$B$504,"&lt;"&amp;DATE(YEAR(K$3),MONTH(K$3)+1,1),請求台帳!$Q$5:$Q$504,"&lt;&gt;取消"))</f>
        <v/>
      </c>
      <c r="L70" s="27" t="str">
        <f aca="false">IF($A70="","",SUMIFS(入金明細!$E$5:$E$1004,入金明細!$G$5:$G$1004,$A70,入金明細!$B$5:$B$1004,"&gt;="&amp;K$3,入金明細!$B$5:$B$1004,"&lt;"&amp;DATE(YEAR(K$3),MONTH(K$3)+1,1)))</f>
        <v/>
      </c>
      <c r="M70" s="27" t="str">
        <f aca="false">IF($A70="","",SUMIFS(請求台帳!$F$5:$F$504,請求台帳!$C$5:$C$504,$A70,請求台帳!$B$5:$B$504,"&gt;="&amp;M$3,請求台帳!$B$5:$B$504,"&lt;"&amp;DATE(YEAR(M$3),MONTH(M$3)+1,1),請求台帳!$Q$5:$Q$504,"&lt;&gt;取消"))</f>
        <v/>
      </c>
      <c r="N70" s="27" t="str">
        <f aca="false">IF($A70="","",SUMIFS(入金明細!$E$5:$E$1004,入金明細!$G$5:$G$1004,$A70,入金明細!$B$5:$B$1004,"&gt;="&amp;M$3,入金明細!$B$5:$B$1004,"&lt;"&amp;DATE(YEAR(M$3),MONTH(M$3)+1,1)))</f>
        <v/>
      </c>
      <c r="O70" s="27" t="str">
        <f aca="false">IF($A70="","",SUMIFS(請求台帳!$F$5:$F$504,請求台帳!$C$5:$C$504,$A70,請求台帳!$B$5:$B$504,"&gt;="&amp;O$3,請求台帳!$B$5:$B$504,"&lt;"&amp;DATE(YEAR(O$3),MONTH(O$3)+1,1),請求台帳!$Q$5:$Q$504,"&lt;&gt;取消"))</f>
        <v/>
      </c>
      <c r="P70" s="27" t="str">
        <f aca="false">IF($A70="","",SUMIFS(入金明細!$E$5:$E$1004,入金明細!$G$5:$G$1004,$A70,入金明細!$B$5:$B$1004,"&gt;="&amp;O$3,入金明細!$B$5:$B$1004,"&lt;"&amp;DATE(YEAR(O$3),MONTH(O$3)+1,1)))</f>
        <v/>
      </c>
      <c r="Q70" s="27" t="str">
        <f aca="false">IF($A70="","",SUMIFS(請求台帳!$F$5:$F$504,請求台帳!$C$5:$C$504,$A70,請求台帳!$B$5:$B$504,"&gt;="&amp;Q$3,請求台帳!$B$5:$B$504,"&lt;"&amp;DATE(YEAR(Q$3),MONTH(Q$3)+1,1),請求台帳!$Q$5:$Q$504,"&lt;&gt;取消"))</f>
        <v/>
      </c>
      <c r="R70" s="27" t="str">
        <f aca="false">IF($A70="","",SUMIFS(入金明細!$E$5:$E$1004,入金明細!$G$5:$G$1004,$A70,入金明細!$B$5:$B$1004,"&gt;="&amp;Q$3,入金明細!$B$5:$B$1004,"&lt;"&amp;DATE(YEAR(Q$3),MONTH(Q$3)+1,1)))</f>
        <v/>
      </c>
      <c r="S70" s="27" t="str">
        <f aca="false">IF($A70="","",SUMIFS(請求台帳!$F$5:$F$504,請求台帳!$C$5:$C$504,$A70,請求台帳!$B$5:$B$504,"&gt;="&amp;S$3,請求台帳!$B$5:$B$504,"&lt;"&amp;DATE(YEAR(S$3),MONTH(S$3)+1,1),請求台帳!$Q$5:$Q$504,"&lt;&gt;取消"))</f>
        <v/>
      </c>
      <c r="T70" s="27" t="str">
        <f aca="false">IF($A70="","",SUMIFS(入金明細!$E$5:$E$1004,入金明細!$G$5:$G$1004,$A70,入金明細!$B$5:$B$1004,"&gt;="&amp;S$3,入金明細!$B$5:$B$1004,"&lt;"&amp;DATE(YEAR(S$3),MONTH(S$3)+1,1)))</f>
        <v/>
      </c>
      <c r="U70" s="27" t="str">
        <f aca="false">IF($A70="","",SUMIFS(請求台帳!$F$5:$F$504,請求台帳!$C$5:$C$504,$A70,請求台帳!$B$5:$B$504,"&gt;="&amp;U$3,請求台帳!$B$5:$B$504,"&lt;"&amp;DATE(YEAR(U$3),MONTH(U$3)+1,1),請求台帳!$Q$5:$Q$504,"&lt;&gt;取消"))</f>
        <v/>
      </c>
      <c r="V70" s="27" t="str">
        <f aca="false">IF($A70="","",SUMIFS(入金明細!$E$5:$E$1004,入金明細!$G$5:$G$1004,$A70,入金明細!$B$5:$B$1004,"&gt;="&amp;U$3,入金明細!$B$5:$B$1004,"&lt;"&amp;DATE(YEAR(U$3),MONTH(U$3)+1,1)))</f>
        <v/>
      </c>
      <c r="W70" s="27" t="str">
        <f aca="false">IF($A70="","",SUMIFS(請求台帳!$F$5:$F$504,請求台帳!$C$5:$C$504,$A70,請求台帳!$B$5:$B$504,"&gt;="&amp;W$3,請求台帳!$B$5:$B$504,"&lt;"&amp;DATE(YEAR(W$3),MONTH(W$3)+1,1),請求台帳!$Q$5:$Q$504,"&lt;&gt;取消"))</f>
        <v/>
      </c>
      <c r="X70" s="27" t="str">
        <f aca="false">IF($A70="","",SUMIFS(入金明細!$E$5:$E$1004,入金明細!$G$5:$G$1004,$A70,入金明細!$B$5:$B$1004,"&gt;="&amp;W$3,入金明細!$B$5:$B$1004,"&lt;"&amp;DATE(YEAR(W$3),MONTH(W$3)+1,1)))</f>
        <v/>
      </c>
      <c r="Y70" s="27" t="str">
        <f aca="false">IF($A70="","",SUMIFS(請求台帳!$F$5:$F$504,請求台帳!$C$5:$C$504,$A70,請求台帳!$B$5:$B$504,"&gt;="&amp;Y$3,請求台帳!$B$5:$B$504,"&lt;"&amp;DATE(YEAR(Y$3),MONTH(Y$3)+1,1),請求台帳!$Q$5:$Q$504,"&lt;&gt;取消"))</f>
        <v/>
      </c>
      <c r="Z70" s="27" t="str">
        <f aca="false">IF($A70="","",SUMIFS(入金明細!$E$5:$E$1004,入金明細!$G$5:$G$1004,$A70,入金明細!$B$5:$B$1004,"&gt;="&amp;Y$3,入金明細!$B$5:$B$1004,"&lt;"&amp;DATE(YEAR(Y$3),MONTH(Y$3)+1,1)))</f>
        <v/>
      </c>
      <c r="AA70" s="37" t="n">
        <f aca="false">SUM(C70,E70,G70,I70,K70,M70,O70,Q70,S70,U70,W70,Y70)</f>
        <v>0</v>
      </c>
      <c r="AB70" s="37" t="n">
        <f aca="false">SUM(D70,F70,H70,J70,L70,N70,P70,R70,T70,V70,X70,Z70)</f>
        <v>0</v>
      </c>
    </row>
    <row r="71" customFormat="false" ht="15" hidden="false" customHeight="false" outlineLevel="0" collapsed="false">
      <c r="A71" s="31" t="str">
        <f aca="false">IF(取引先マスタ!A71="","",取引先マスタ!A71)</f>
        <v/>
      </c>
      <c r="B71" s="31" t="str">
        <f aca="false">IF(A71="","",取引先マスタ!B71)</f>
        <v/>
      </c>
      <c r="C71" s="27" t="str">
        <f aca="false">IF($A71="","",SUMIFS(請求台帳!$F$5:$F$504,請求台帳!$C$5:$C$504,$A71,請求台帳!$B$5:$B$504,"&gt;="&amp;C$3,請求台帳!$B$5:$B$504,"&lt;"&amp;DATE(YEAR(C$3),MONTH(C$3)+1,1),請求台帳!$Q$5:$Q$504,"&lt;&gt;取消"))</f>
        <v/>
      </c>
      <c r="D71" s="27" t="str">
        <f aca="false">IF($A71="","",SUMIFS(入金明細!$E$5:$E$1004,入金明細!$G$5:$G$1004,$A71,入金明細!$B$5:$B$1004,"&gt;="&amp;C$3,入金明細!$B$5:$B$1004,"&lt;"&amp;DATE(YEAR(C$3),MONTH(C$3)+1,1)))</f>
        <v/>
      </c>
      <c r="E71" s="27" t="str">
        <f aca="false">IF($A71="","",SUMIFS(請求台帳!$F$5:$F$504,請求台帳!$C$5:$C$504,$A71,請求台帳!$B$5:$B$504,"&gt;="&amp;E$3,請求台帳!$B$5:$B$504,"&lt;"&amp;DATE(YEAR(E$3),MONTH(E$3)+1,1),請求台帳!$Q$5:$Q$504,"&lt;&gt;取消"))</f>
        <v/>
      </c>
      <c r="F71" s="27" t="str">
        <f aca="false">IF($A71="","",SUMIFS(入金明細!$E$5:$E$1004,入金明細!$G$5:$G$1004,$A71,入金明細!$B$5:$B$1004,"&gt;="&amp;E$3,入金明細!$B$5:$B$1004,"&lt;"&amp;DATE(YEAR(E$3),MONTH(E$3)+1,1)))</f>
        <v/>
      </c>
      <c r="G71" s="27" t="str">
        <f aca="false">IF($A71="","",SUMIFS(請求台帳!$F$5:$F$504,請求台帳!$C$5:$C$504,$A71,請求台帳!$B$5:$B$504,"&gt;="&amp;G$3,請求台帳!$B$5:$B$504,"&lt;"&amp;DATE(YEAR(G$3),MONTH(G$3)+1,1),請求台帳!$Q$5:$Q$504,"&lt;&gt;取消"))</f>
        <v/>
      </c>
      <c r="H71" s="27" t="str">
        <f aca="false">IF($A71="","",SUMIFS(入金明細!$E$5:$E$1004,入金明細!$G$5:$G$1004,$A71,入金明細!$B$5:$B$1004,"&gt;="&amp;G$3,入金明細!$B$5:$B$1004,"&lt;"&amp;DATE(YEAR(G$3),MONTH(G$3)+1,1)))</f>
        <v/>
      </c>
      <c r="I71" s="27" t="str">
        <f aca="false">IF($A71="","",SUMIFS(請求台帳!$F$5:$F$504,請求台帳!$C$5:$C$504,$A71,請求台帳!$B$5:$B$504,"&gt;="&amp;I$3,請求台帳!$B$5:$B$504,"&lt;"&amp;DATE(YEAR(I$3),MONTH(I$3)+1,1),請求台帳!$Q$5:$Q$504,"&lt;&gt;取消"))</f>
        <v/>
      </c>
      <c r="J71" s="27" t="str">
        <f aca="false">IF($A71="","",SUMIFS(入金明細!$E$5:$E$1004,入金明細!$G$5:$G$1004,$A71,入金明細!$B$5:$B$1004,"&gt;="&amp;I$3,入金明細!$B$5:$B$1004,"&lt;"&amp;DATE(YEAR(I$3),MONTH(I$3)+1,1)))</f>
        <v/>
      </c>
      <c r="K71" s="27" t="str">
        <f aca="false">IF($A71="","",SUMIFS(請求台帳!$F$5:$F$504,請求台帳!$C$5:$C$504,$A71,請求台帳!$B$5:$B$504,"&gt;="&amp;K$3,請求台帳!$B$5:$B$504,"&lt;"&amp;DATE(YEAR(K$3),MONTH(K$3)+1,1),請求台帳!$Q$5:$Q$504,"&lt;&gt;取消"))</f>
        <v/>
      </c>
      <c r="L71" s="27" t="str">
        <f aca="false">IF($A71="","",SUMIFS(入金明細!$E$5:$E$1004,入金明細!$G$5:$G$1004,$A71,入金明細!$B$5:$B$1004,"&gt;="&amp;K$3,入金明細!$B$5:$B$1004,"&lt;"&amp;DATE(YEAR(K$3),MONTH(K$3)+1,1)))</f>
        <v/>
      </c>
      <c r="M71" s="27" t="str">
        <f aca="false">IF($A71="","",SUMIFS(請求台帳!$F$5:$F$504,請求台帳!$C$5:$C$504,$A71,請求台帳!$B$5:$B$504,"&gt;="&amp;M$3,請求台帳!$B$5:$B$504,"&lt;"&amp;DATE(YEAR(M$3),MONTH(M$3)+1,1),請求台帳!$Q$5:$Q$504,"&lt;&gt;取消"))</f>
        <v/>
      </c>
      <c r="N71" s="27" t="str">
        <f aca="false">IF($A71="","",SUMIFS(入金明細!$E$5:$E$1004,入金明細!$G$5:$G$1004,$A71,入金明細!$B$5:$B$1004,"&gt;="&amp;M$3,入金明細!$B$5:$B$1004,"&lt;"&amp;DATE(YEAR(M$3),MONTH(M$3)+1,1)))</f>
        <v/>
      </c>
      <c r="O71" s="27" t="str">
        <f aca="false">IF($A71="","",SUMIFS(請求台帳!$F$5:$F$504,請求台帳!$C$5:$C$504,$A71,請求台帳!$B$5:$B$504,"&gt;="&amp;O$3,請求台帳!$B$5:$B$504,"&lt;"&amp;DATE(YEAR(O$3),MONTH(O$3)+1,1),請求台帳!$Q$5:$Q$504,"&lt;&gt;取消"))</f>
        <v/>
      </c>
      <c r="P71" s="27" t="str">
        <f aca="false">IF($A71="","",SUMIFS(入金明細!$E$5:$E$1004,入金明細!$G$5:$G$1004,$A71,入金明細!$B$5:$B$1004,"&gt;="&amp;O$3,入金明細!$B$5:$B$1004,"&lt;"&amp;DATE(YEAR(O$3),MONTH(O$3)+1,1)))</f>
        <v/>
      </c>
      <c r="Q71" s="27" t="str">
        <f aca="false">IF($A71="","",SUMIFS(請求台帳!$F$5:$F$504,請求台帳!$C$5:$C$504,$A71,請求台帳!$B$5:$B$504,"&gt;="&amp;Q$3,請求台帳!$B$5:$B$504,"&lt;"&amp;DATE(YEAR(Q$3),MONTH(Q$3)+1,1),請求台帳!$Q$5:$Q$504,"&lt;&gt;取消"))</f>
        <v/>
      </c>
      <c r="R71" s="27" t="str">
        <f aca="false">IF($A71="","",SUMIFS(入金明細!$E$5:$E$1004,入金明細!$G$5:$G$1004,$A71,入金明細!$B$5:$B$1004,"&gt;="&amp;Q$3,入金明細!$B$5:$B$1004,"&lt;"&amp;DATE(YEAR(Q$3),MONTH(Q$3)+1,1)))</f>
        <v/>
      </c>
      <c r="S71" s="27" t="str">
        <f aca="false">IF($A71="","",SUMIFS(請求台帳!$F$5:$F$504,請求台帳!$C$5:$C$504,$A71,請求台帳!$B$5:$B$504,"&gt;="&amp;S$3,請求台帳!$B$5:$B$504,"&lt;"&amp;DATE(YEAR(S$3),MONTH(S$3)+1,1),請求台帳!$Q$5:$Q$504,"&lt;&gt;取消"))</f>
        <v/>
      </c>
      <c r="T71" s="27" t="str">
        <f aca="false">IF($A71="","",SUMIFS(入金明細!$E$5:$E$1004,入金明細!$G$5:$G$1004,$A71,入金明細!$B$5:$B$1004,"&gt;="&amp;S$3,入金明細!$B$5:$B$1004,"&lt;"&amp;DATE(YEAR(S$3),MONTH(S$3)+1,1)))</f>
        <v/>
      </c>
      <c r="U71" s="27" t="str">
        <f aca="false">IF($A71="","",SUMIFS(請求台帳!$F$5:$F$504,請求台帳!$C$5:$C$504,$A71,請求台帳!$B$5:$B$504,"&gt;="&amp;U$3,請求台帳!$B$5:$B$504,"&lt;"&amp;DATE(YEAR(U$3),MONTH(U$3)+1,1),請求台帳!$Q$5:$Q$504,"&lt;&gt;取消"))</f>
        <v/>
      </c>
      <c r="V71" s="27" t="str">
        <f aca="false">IF($A71="","",SUMIFS(入金明細!$E$5:$E$1004,入金明細!$G$5:$G$1004,$A71,入金明細!$B$5:$B$1004,"&gt;="&amp;U$3,入金明細!$B$5:$B$1004,"&lt;"&amp;DATE(YEAR(U$3),MONTH(U$3)+1,1)))</f>
        <v/>
      </c>
      <c r="W71" s="27" t="str">
        <f aca="false">IF($A71="","",SUMIFS(請求台帳!$F$5:$F$504,請求台帳!$C$5:$C$504,$A71,請求台帳!$B$5:$B$504,"&gt;="&amp;W$3,請求台帳!$B$5:$B$504,"&lt;"&amp;DATE(YEAR(W$3),MONTH(W$3)+1,1),請求台帳!$Q$5:$Q$504,"&lt;&gt;取消"))</f>
        <v/>
      </c>
      <c r="X71" s="27" t="str">
        <f aca="false">IF($A71="","",SUMIFS(入金明細!$E$5:$E$1004,入金明細!$G$5:$G$1004,$A71,入金明細!$B$5:$B$1004,"&gt;="&amp;W$3,入金明細!$B$5:$B$1004,"&lt;"&amp;DATE(YEAR(W$3),MONTH(W$3)+1,1)))</f>
        <v/>
      </c>
      <c r="Y71" s="27" t="str">
        <f aca="false">IF($A71="","",SUMIFS(請求台帳!$F$5:$F$504,請求台帳!$C$5:$C$504,$A71,請求台帳!$B$5:$B$504,"&gt;="&amp;Y$3,請求台帳!$B$5:$B$504,"&lt;"&amp;DATE(YEAR(Y$3),MONTH(Y$3)+1,1),請求台帳!$Q$5:$Q$504,"&lt;&gt;取消"))</f>
        <v/>
      </c>
      <c r="Z71" s="27" t="str">
        <f aca="false">IF($A71="","",SUMIFS(入金明細!$E$5:$E$1004,入金明細!$G$5:$G$1004,$A71,入金明細!$B$5:$B$1004,"&gt;="&amp;Y$3,入金明細!$B$5:$B$1004,"&lt;"&amp;DATE(YEAR(Y$3),MONTH(Y$3)+1,1)))</f>
        <v/>
      </c>
      <c r="AA71" s="37" t="n">
        <f aca="false">SUM(C71,E71,G71,I71,K71,M71,O71,Q71,S71,U71,W71,Y71)</f>
        <v>0</v>
      </c>
      <c r="AB71" s="37" t="n">
        <f aca="false">SUM(D71,F71,H71,J71,L71,N71,P71,R71,T71,V71,X71,Z71)</f>
        <v>0</v>
      </c>
    </row>
    <row r="72" customFormat="false" ht="15" hidden="false" customHeight="false" outlineLevel="0" collapsed="false">
      <c r="A72" s="31" t="str">
        <f aca="false">IF(取引先マスタ!A72="","",取引先マスタ!A72)</f>
        <v/>
      </c>
      <c r="B72" s="31" t="str">
        <f aca="false">IF(A72="","",取引先マスタ!B72)</f>
        <v/>
      </c>
      <c r="C72" s="27" t="str">
        <f aca="false">IF($A72="","",SUMIFS(請求台帳!$F$5:$F$504,請求台帳!$C$5:$C$504,$A72,請求台帳!$B$5:$B$504,"&gt;="&amp;C$3,請求台帳!$B$5:$B$504,"&lt;"&amp;DATE(YEAR(C$3),MONTH(C$3)+1,1),請求台帳!$Q$5:$Q$504,"&lt;&gt;取消"))</f>
        <v/>
      </c>
      <c r="D72" s="27" t="str">
        <f aca="false">IF($A72="","",SUMIFS(入金明細!$E$5:$E$1004,入金明細!$G$5:$G$1004,$A72,入金明細!$B$5:$B$1004,"&gt;="&amp;C$3,入金明細!$B$5:$B$1004,"&lt;"&amp;DATE(YEAR(C$3),MONTH(C$3)+1,1)))</f>
        <v/>
      </c>
      <c r="E72" s="27" t="str">
        <f aca="false">IF($A72="","",SUMIFS(請求台帳!$F$5:$F$504,請求台帳!$C$5:$C$504,$A72,請求台帳!$B$5:$B$504,"&gt;="&amp;E$3,請求台帳!$B$5:$B$504,"&lt;"&amp;DATE(YEAR(E$3),MONTH(E$3)+1,1),請求台帳!$Q$5:$Q$504,"&lt;&gt;取消"))</f>
        <v/>
      </c>
      <c r="F72" s="27" t="str">
        <f aca="false">IF($A72="","",SUMIFS(入金明細!$E$5:$E$1004,入金明細!$G$5:$G$1004,$A72,入金明細!$B$5:$B$1004,"&gt;="&amp;E$3,入金明細!$B$5:$B$1004,"&lt;"&amp;DATE(YEAR(E$3),MONTH(E$3)+1,1)))</f>
        <v/>
      </c>
      <c r="G72" s="27" t="str">
        <f aca="false">IF($A72="","",SUMIFS(請求台帳!$F$5:$F$504,請求台帳!$C$5:$C$504,$A72,請求台帳!$B$5:$B$504,"&gt;="&amp;G$3,請求台帳!$B$5:$B$504,"&lt;"&amp;DATE(YEAR(G$3),MONTH(G$3)+1,1),請求台帳!$Q$5:$Q$504,"&lt;&gt;取消"))</f>
        <v/>
      </c>
      <c r="H72" s="27" t="str">
        <f aca="false">IF($A72="","",SUMIFS(入金明細!$E$5:$E$1004,入金明細!$G$5:$G$1004,$A72,入金明細!$B$5:$B$1004,"&gt;="&amp;G$3,入金明細!$B$5:$B$1004,"&lt;"&amp;DATE(YEAR(G$3),MONTH(G$3)+1,1)))</f>
        <v/>
      </c>
      <c r="I72" s="27" t="str">
        <f aca="false">IF($A72="","",SUMIFS(請求台帳!$F$5:$F$504,請求台帳!$C$5:$C$504,$A72,請求台帳!$B$5:$B$504,"&gt;="&amp;I$3,請求台帳!$B$5:$B$504,"&lt;"&amp;DATE(YEAR(I$3),MONTH(I$3)+1,1),請求台帳!$Q$5:$Q$504,"&lt;&gt;取消"))</f>
        <v/>
      </c>
      <c r="J72" s="27" t="str">
        <f aca="false">IF($A72="","",SUMIFS(入金明細!$E$5:$E$1004,入金明細!$G$5:$G$1004,$A72,入金明細!$B$5:$B$1004,"&gt;="&amp;I$3,入金明細!$B$5:$B$1004,"&lt;"&amp;DATE(YEAR(I$3),MONTH(I$3)+1,1)))</f>
        <v/>
      </c>
      <c r="K72" s="27" t="str">
        <f aca="false">IF($A72="","",SUMIFS(請求台帳!$F$5:$F$504,請求台帳!$C$5:$C$504,$A72,請求台帳!$B$5:$B$504,"&gt;="&amp;K$3,請求台帳!$B$5:$B$504,"&lt;"&amp;DATE(YEAR(K$3),MONTH(K$3)+1,1),請求台帳!$Q$5:$Q$504,"&lt;&gt;取消"))</f>
        <v/>
      </c>
      <c r="L72" s="27" t="str">
        <f aca="false">IF($A72="","",SUMIFS(入金明細!$E$5:$E$1004,入金明細!$G$5:$G$1004,$A72,入金明細!$B$5:$B$1004,"&gt;="&amp;K$3,入金明細!$B$5:$B$1004,"&lt;"&amp;DATE(YEAR(K$3),MONTH(K$3)+1,1)))</f>
        <v/>
      </c>
      <c r="M72" s="27" t="str">
        <f aca="false">IF($A72="","",SUMIFS(請求台帳!$F$5:$F$504,請求台帳!$C$5:$C$504,$A72,請求台帳!$B$5:$B$504,"&gt;="&amp;M$3,請求台帳!$B$5:$B$504,"&lt;"&amp;DATE(YEAR(M$3),MONTH(M$3)+1,1),請求台帳!$Q$5:$Q$504,"&lt;&gt;取消"))</f>
        <v/>
      </c>
      <c r="N72" s="27" t="str">
        <f aca="false">IF($A72="","",SUMIFS(入金明細!$E$5:$E$1004,入金明細!$G$5:$G$1004,$A72,入金明細!$B$5:$B$1004,"&gt;="&amp;M$3,入金明細!$B$5:$B$1004,"&lt;"&amp;DATE(YEAR(M$3),MONTH(M$3)+1,1)))</f>
        <v/>
      </c>
      <c r="O72" s="27" t="str">
        <f aca="false">IF($A72="","",SUMIFS(請求台帳!$F$5:$F$504,請求台帳!$C$5:$C$504,$A72,請求台帳!$B$5:$B$504,"&gt;="&amp;O$3,請求台帳!$B$5:$B$504,"&lt;"&amp;DATE(YEAR(O$3),MONTH(O$3)+1,1),請求台帳!$Q$5:$Q$504,"&lt;&gt;取消"))</f>
        <v/>
      </c>
      <c r="P72" s="27" t="str">
        <f aca="false">IF($A72="","",SUMIFS(入金明細!$E$5:$E$1004,入金明細!$G$5:$G$1004,$A72,入金明細!$B$5:$B$1004,"&gt;="&amp;O$3,入金明細!$B$5:$B$1004,"&lt;"&amp;DATE(YEAR(O$3),MONTH(O$3)+1,1)))</f>
        <v/>
      </c>
      <c r="Q72" s="27" t="str">
        <f aca="false">IF($A72="","",SUMIFS(請求台帳!$F$5:$F$504,請求台帳!$C$5:$C$504,$A72,請求台帳!$B$5:$B$504,"&gt;="&amp;Q$3,請求台帳!$B$5:$B$504,"&lt;"&amp;DATE(YEAR(Q$3),MONTH(Q$3)+1,1),請求台帳!$Q$5:$Q$504,"&lt;&gt;取消"))</f>
        <v/>
      </c>
      <c r="R72" s="27" t="str">
        <f aca="false">IF($A72="","",SUMIFS(入金明細!$E$5:$E$1004,入金明細!$G$5:$G$1004,$A72,入金明細!$B$5:$B$1004,"&gt;="&amp;Q$3,入金明細!$B$5:$B$1004,"&lt;"&amp;DATE(YEAR(Q$3),MONTH(Q$3)+1,1)))</f>
        <v/>
      </c>
      <c r="S72" s="27" t="str">
        <f aca="false">IF($A72="","",SUMIFS(請求台帳!$F$5:$F$504,請求台帳!$C$5:$C$504,$A72,請求台帳!$B$5:$B$504,"&gt;="&amp;S$3,請求台帳!$B$5:$B$504,"&lt;"&amp;DATE(YEAR(S$3),MONTH(S$3)+1,1),請求台帳!$Q$5:$Q$504,"&lt;&gt;取消"))</f>
        <v/>
      </c>
      <c r="T72" s="27" t="str">
        <f aca="false">IF($A72="","",SUMIFS(入金明細!$E$5:$E$1004,入金明細!$G$5:$G$1004,$A72,入金明細!$B$5:$B$1004,"&gt;="&amp;S$3,入金明細!$B$5:$B$1004,"&lt;"&amp;DATE(YEAR(S$3),MONTH(S$3)+1,1)))</f>
        <v/>
      </c>
      <c r="U72" s="27" t="str">
        <f aca="false">IF($A72="","",SUMIFS(請求台帳!$F$5:$F$504,請求台帳!$C$5:$C$504,$A72,請求台帳!$B$5:$B$504,"&gt;="&amp;U$3,請求台帳!$B$5:$B$504,"&lt;"&amp;DATE(YEAR(U$3),MONTH(U$3)+1,1),請求台帳!$Q$5:$Q$504,"&lt;&gt;取消"))</f>
        <v/>
      </c>
      <c r="V72" s="27" t="str">
        <f aca="false">IF($A72="","",SUMIFS(入金明細!$E$5:$E$1004,入金明細!$G$5:$G$1004,$A72,入金明細!$B$5:$B$1004,"&gt;="&amp;U$3,入金明細!$B$5:$B$1004,"&lt;"&amp;DATE(YEAR(U$3),MONTH(U$3)+1,1)))</f>
        <v/>
      </c>
      <c r="W72" s="27" t="str">
        <f aca="false">IF($A72="","",SUMIFS(請求台帳!$F$5:$F$504,請求台帳!$C$5:$C$504,$A72,請求台帳!$B$5:$B$504,"&gt;="&amp;W$3,請求台帳!$B$5:$B$504,"&lt;"&amp;DATE(YEAR(W$3),MONTH(W$3)+1,1),請求台帳!$Q$5:$Q$504,"&lt;&gt;取消"))</f>
        <v/>
      </c>
      <c r="X72" s="27" t="str">
        <f aca="false">IF($A72="","",SUMIFS(入金明細!$E$5:$E$1004,入金明細!$G$5:$G$1004,$A72,入金明細!$B$5:$B$1004,"&gt;="&amp;W$3,入金明細!$B$5:$B$1004,"&lt;"&amp;DATE(YEAR(W$3),MONTH(W$3)+1,1)))</f>
        <v/>
      </c>
      <c r="Y72" s="27" t="str">
        <f aca="false">IF($A72="","",SUMIFS(請求台帳!$F$5:$F$504,請求台帳!$C$5:$C$504,$A72,請求台帳!$B$5:$B$504,"&gt;="&amp;Y$3,請求台帳!$B$5:$B$504,"&lt;"&amp;DATE(YEAR(Y$3),MONTH(Y$3)+1,1),請求台帳!$Q$5:$Q$504,"&lt;&gt;取消"))</f>
        <v/>
      </c>
      <c r="Z72" s="27" t="str">
        <f aca="false">IF($A72="","",SUMIFS(入金明細!$E$5:$E$1004,入金明細!$G$5:$G$1004,$A72,入金明細!$B$5:$B$1004,"&gt;="&amp;Y$3,入金明細!$B$5:$B$1004,"&lt;"&amp;DATE(YEAR(Y$3),MONTH(Y$3)+1,1)))</f>
        <v/>
      </c>
      <c r="AA72" s="37" t="n">
        <f aca="false">SUM(C72,E72,G72,I72,K72,M72,O72,Q72,S72,U72,W72,Y72)</f>
        <v>0</v>
      </c>
      <c r="AB72" s="37" t="n">
        <f aca="false">SUM(D72,F72,H72,J72,L72,N72,P72,R72,T72,V72,X72,Z72)</f>
        <v>0</v>
      </c>
    </row>
    <row r="73" customFormat="false" ht="15" hidden="false" customHeight="false" outlineLevel="0" collapsed="false">
      <c r="A73" s="31" t="str">
        <f aca="false">IF(取引先マスタ!A73="","",取引先マスタ!A73)</f>
        <v/>
      </c>
      <c r="B73" s="31" t="str">
        <f aca="false">IF(A73="","",取引先マスタ!B73)</f>
        <v/>
      </c>
      <c r="C73" s="27" t="str">
        <f aca="false">IF($A73="","",SUMIFS(請求台帳!$F$5:$F$504,請求台帳!$C$5:$C$504,$A73,請求台帳!$B$5:$B$504,"&gt;="&amp;C$3,請求台帳!$B$5:$B$504,"&lt;"&amp;DATE(YEAR(C$3),MONTH(C$3)+1,1),請求台帳!$Q$5:$Q$504,"&lt;&gt;取消"))</f>
        <v/>
      </c>
      <c r="D73" s="27" t="str">
        <f aca="false">IF($A73="","",SUMIFS(入金明細!$E$5:$E$1004,入金明細!$G$5:$G$1004,$A73,入金明細!$B$5:$B$1004,"&gt;="&amp;C$3,入金明細!$B$5:$B$1004,"&lt;"&amp;DATE(YEAR(C$3),MONTH(C$3)+1,1)))</f>
        <v/>
      </c>
      <c r="E73" s="27" t="str">
        <f aca="false">IF($A73="","",SUMIFS(請求台帳!$F$5:$F$504,請求台帳!$C$5:$C$504,$A73,請求台帳!$B$5:$B$504,"&gt;="&amp;E$3,請求台帳!$B$5:$B$504,"&lt;"&amp;DATE(YEAR(E$3),MONTH(E$3)+1,1),請求台帳!$Q$5:$Q$504,"&lt;&gt;取消"))</f>
        <v/>
      </c>
      <c r="F73" s="27" t="str">
        <f aca="false">IF($A73="","",SUMIFS(入金明細!$E$5:$E$1004,入金明細!$G$5:$G$1004,$A73,入金明細!$B$5:$B$1004,"&gt;="&amp;E$3,入金明細!$B$5:$B$1004,"&lt;"&amp;DATE(YEAR(E$3),MONTH(E$3)+1,1)))</f>
        <v/>
      </c>
      <c r="G73" s="27" t="str">
        <f aca="false">IF($A73="","",SUMIFS(請求台帳!$F$5:$F$504,請求台帳!$C$5:$C$504,$A73,請求台帳!$B$5:$B$504,"&gt;="&amp;G$3,請求台帳!$B$5:$B$504,"&lt;"&amp;DATE(YEAR(G$3),MONTH(G$3)+1,1),請求台帳!$Q$5:$Q$504,"&lt;&gt;取消"))</f>
        <v/>
      </c>
      <c r="H73" s="27" t="str">
        <f aca="false">IF($A73="","",SUMIFS(入金明細!$E$5:$E$1004,入金明細!$G$5:$G$1004,$A73,入金明細!$B$5:$B$1004,"&gt;="&amp;G$3,入金明細!$B$5:$B$1004,"&lt;"&amp;DATE(YEAR(G$3),MONTH(G$3)+1,1)))</f>
        <v/>
      </c>
      <c r="I73" s="27" t="str">
        <f aca="false">IF($A73="","",SUMIFS(請求台帳!$F$5:$F$504,請求台帳!$C$5:$C$504,$A73,請求台帳!$B$5:$B$504,"&gt;="&amp;I$3,請求台帳!$B$5:$B$504,"&lt;"&amp;DATE(YEAR(I$3),MONTH(I$3)+1,1),請求台帳!$Q$5:$Q$504,"&lt;&gt;取消"))</f>
        <v/>
      </c>
      <c r="J73" s="27" t="str">
        <f aca="false">IF($A73="","",SUMIFS(入金明細!$E$5:$E$1004,入金明細!$G$5:$G$1004,$A73,入金明細!$B$5:$B$1004,"&gt;="&amp;I$3,入金明細!$B$5:$B$1004,"&lt;"&amp;DATE(YEAR(I$3),MONTH(I$3)+1,1)))</f>
        <v/>
      </c>
      <c r="K73" s="27" t="str">
        <f aca="false">IF($A73="","",SUMIFS(請求台帳!$F$5:$F$504,請求台帳!$C$5:$C$504,$A73,請求台帳!$B$5:$B$504,"&gt;="&amp;K$3,請求台帳!$B$5:$B$504,"&lt;"&amp;DATE(YEAR(K$3),MONTH(K$3)+1,1),請求台帳!$Q$5:$Q$504,"&lt;&gt;取消"))</f>
        <v/>
      </c>
      <c r="L73" s="27" t="str">
        <f aca="false">IF($A73="","",SUMIFS(入金明細!$E$5:$E$1004,入金明細!$G$5:$G$1004,$A73,入金明細!$B$5:$B$1004,"&gt;="&amp;K$3,入金明細!$B$5:$B$1004,"&lt;"&amp;DATE(YEAR(K$3),MONTH(K$3)+1,1)))</f>
        <v/>
      </c>
      <c r="M73" s="27" t="str">
        <f aca="false">IF($A73="","",SUMIFS(請求台帳!$F$5:$F$504,請求台帳!$C$5:$C$504,$A73,請求台帳!$B$5:$B$504,"&gt;="&amp;M$3,請求台帳!$B$5:$B$504,"&lt;"&amp;DATE(YEAR(M$3),MONTH(M$3)+1,1),請求台帳!$Q$5:$Q$504,"&lt;&gt;取消"))</f>
        <v/>
      </c>
      <c r="N73" s="27" t="str">
        <f aca="false">IF($A73="","",SUMIFS(入金明細!$E$5:$E$1004,入金明細!$G$5:$G$1004,$A73,入金明細!$B$5:$B$1004,"&gt;="&amp;M$3,入金明細!$B$5:$B$1004,"&lt;"&amp;DATE(YEAR(M$3),MONTH(M$3)+1,1)))</f>
        <v/>
      </c>
      <c r="O73" s="27" t="str">
        <f aca="false">IF($A73="","",SUMIFS(請求台帳!$F$5:$F$504,請求台帳!$C$5:$C$504,$A73,請求台帳!$B$5:$B$504,"&gt;="&amp;O$3,請求台帳!$B$5:$B$504,"&lt;"&amp;DATE(YEAR(O$3),MONTH(O$3)+1,1),請求台帳!$Q$5:$Q$504,"&lt;&gt;取消"))</f>
        <v/>
      </c>
      <c r="P73" s="27" t="str">
        <f aca="false">IF($A73="","",SUMIFS(入金明細!$E$5:$E$1004,入金明細!$G$5:$G$1004,$A73,入金明細!$B$5:$B$1004,"&gt;="&amp;O$3,入金明細!$B$5:$B$1004,"&lt;"&amp;DATE(YEAR(O$3),MONTH(O$3)+1,1)))</f>
        <v/>
      </c>
      <c r="Q73" s="27" t="str">
        <f aca="false">IF($A73="","",SUMIFS(請求台帳!$F$5:$F$504,請求台帳!$C$5:$C$504,$A73,請求台帳!$B$5:$B$504,"&gt;="&amp;Q$3,請求台帳!$B$5:$B$504,"&lt;"&amp;DATE(YEAR(Q$3),MONTH(Q$3)+1,1),請求台帳!$Q$5:$Q$504,"&lt;&gt;取消"))</f>
        <v/>
      </c>
      <c r="R73" s="27" t="str">
        <f aca="false">IF($A73="","",SUMIFS(入金明細!$E$5:$E$1004,入金明細!$G$5:$G$1004,$A73,入金明細!$B$5:$B$1004,"&gt;="&amp;Q$3,入金明細!$B$5:$B$1004,"&lt;"&amp;DATE(YEAR(Q$3),MONTH(Q$3)+1,1)))</f>
        <v/>
      </c>
      <c r="S73" s="27" t="str">
        <f aca="false">IF($A73="","",SUMIFS(請求台帳!$F$5:$F$504,請求台帳!$C$5:$C$504,$A73,請求台帳!$B$5:$B$504,"&gt;="&amp;S$3,請求台帳!$B$5:$B$504,"&lt;"&amp;DATE(YEAR(S$3),MONTH(S$3)+1,1),請求台帳!$Q$5:$Q$504,"&lt;&gt;取消"))</f>
        <v/>
      </c>
      <c r="T73" s="27" t="str">
        <f aca="false">IF($A73="","",SUMIFS(入金明細!$E$5:$E$1004,入金明細!$G$5:$G$1004,$A73,入金明細!$B$5:$B$1004,"&gt;="&amp;S$3,入金明細!$B$5:$B$1004,"&lt;"&amp;DATE(YEAR(S$3),MONTH(S$3)+1,1)))</f>
        <v/>
      </c>
      <c r="U73" s="27" t="str">
        <f aca="false">IF($A73="","",SUMIFS(請求台帳!$F$5:$F$504,請求台帳!$C$5:$C$504,$A73,請求台帳!$B$5:$B$504,"&gt;="&amp;U$3,請求台帳!$B$5:$B$504,"&lt;"&amp;DATE(YEAR(U$3),MONTH(U$3)+1,1),請求台帳!$Q$5:$Q$504,"&lt;&gt;取消"))</f>
        <v/>
      </c>
      <c r="V73" s="27" t="str">
        <f aca="false">IF($A73="","",SUMIFS(入金明細!$E$5:$E$1004,入金明細!$G$5:$G$1004,$A73,入金明細!$B$5:$B$1004,"&gt;="&amp;U$3,入金明細!$B$5:$B$1004,"&lt;"&amp;DATE(YEAR(U$3),MONTH(U$3)+1,1)))</f>
        <v/>
      </c>
      <c r="W73" s="27" t="str">
        <f aca="false">IF($A73="","",SUMIFS(請求台帳!$F$5:$F$504,請求台帳!$C$5:$C$504,$A73,請求台帳!$B$5:$B$504,"&gt;="&amp;W$3,請求台帳!$B$5:$B$504,"&lt;"&amp;DATE(YEAR(W$3),MONTH(W$3)+1,1),請求台帳!$Q$5:$Q$504,"&lt;&gt;取消"))</f>
        <v/>
      </c>
      <c r="X73" s="27" t="str">
        <f aca="false">IF($A73="","",SUMIFS(入金明細!$E$5:$E$1004,入金明細!$G$5:$G$1004,$A73,入金明細!$B$5:$B$1004,"&gt;="&amp;W$3,入金明細!$B$5:$B$1004,"&lt;"&amp;DATE(YEAR(W$3),MONTH(W$3)+1,1)))</f>
        <v/>
      </c>
      <c r="Y73" s="27" t="str">
        <f aca="false">IF($A73="","",SUMIFS(請求台帳!$F$5:$F$504,請求台帳!$C$5:$C$504,$A73,請求台帳!$B$5:$B$504,"&gt;="&amp;Y$3,請求台帳!$B$5:$B$504,"&lt;"&amp;DATE(YEAR(Y$3),MONTH(Y$3)+1,1),請求台帳!$Q$5:$Q$504,"&lt;&gt;取消"))</f>
        <v/>
      </c>
      <c r="Z73" s="27" t="str">
        <f aca="false">IF($A73="","",SUMIFS(入金明細!$E$5:$E$1004,入金明細!$G$5:$G$1004,$A73,入金明細!$B$5:$B$1004,"&gt;="&amp;Y$3,入金明細!$B$5:$B$1004,"&lt;"&amp;DATE(YEAR(Y$3),MONTH(Y$3)+1,1)))</f>
        <v/>
      </c>
      <c r="AA73" s="37" t="n">
        <f aca="false">SUM(C73,E73,G73,I73,K73,M73,O73,Q73,S73,U73,W73,Y73)</f>
        <v>0</v>
      </c>
      <c r="AB73" s="37" t="n">
        <f aca="false">SUM(D73,F73,H73,J73,L73,N73,P73,R73,T73,V73,X73,Z73)</f>
        <v>0</v>
      </c>
    </row>
    <row r="74" customFormat="false" ht="15" hidden="false" customHeight="false" outlineLevel="0" collapsed="false">
      <c r="A74" s="31" t="str">
        <f aca="false">IF(取引先マスタ!A74="","",取引先マスタ!A74)</f>
        <v/>
      </c>
      <c r="B74" s="31" t="str">
        <f aca="false">IF(A74="","",取引先マスタ!B74)</f>
        <v/>
      </c>
      <c r="C74" s="27" t="str">
        <f aca="false">IF($A74="","",SUMIFS(請求台帳!$F$5:$F$504,請求台帳!$C$5:$C$504,$A74,請求台帳!$B$5:$B$504,"&gt;="&amp;C$3,請求台帳!$B$5:$B$504,"&lt;"&amp;DATE(YEAR(C$3),MONTH(C$3)+1,1),請求台帳!$Q$5:$Q$504,"&lt;&gt;取消"))</f>
        <v/>
      </c>
      <c r="D74" s="27" t="str">
        <f aca="false">IF($A74="","",SUMIFS(入金明細!$E$5:$E$1004,入金明細!$G$5:$G$1004,$A74,入金明細!$B$5:$B$1004,"&gt;="&amp;C$3,入金明細!$B$5:$B$1004,"&lt;"&amp;DATE(YEAR(C$3),MONTH(C$3)+1,1)))</f>
        <v/>
      </c>
      <c r="E74" s="27" t="str">
        <f aca="false">IF($A74="","",SUMIFS(請求台帳!$F$5:$F$504,請求台帳!$C$5:$C$504,$A74,請求台帳!$B$5:$B$504,"&gt;="&amp;E$3,請求台帳!$B$5:$B$504,"&lt;"&amp;DATE(YEAR(E$3),MONTH(E$3)+1,1),請求台帳!$Q$5:$Q$504,"&lt;&gt;取消"))</f>
        <v/>
      </c>
      <c r="F74" s="27" t="str">
        <f aca="false">IF($A74="","",SUMIFS(入金明細!$E$5:$E$1004,入金明細!$G$5:$G$1004,$A74,入金明細!$B$5:$B$1004,"&gt;="&amp;E$3,入金明細!$B$5:$B$1004,"&lt;"&amp;DATE(YEAR(E$3),MONTH(E$3)+1,1)))</f>
        <v/>
      </c>
      <c r="G74" s="27" t="str">
        <f aca="false">IF($A74="","",SUMIFS(請求台帳!$F$5:$F$504,請求台帳!$C$5:$C$504,$A74,請求台帳!$B$5:$B$504,"&gt;="&amp;G$3,請求台帳!$B$5:$B$504,"&lt;"&amp;DATE(YEAR(G$3),MONTH(G$3)+1,1),請求台帳!$Q$5:$Q$504,"&lt;&gt;取消"))</f>
        <v/>
      </c>
      <c r="H74" s="27" t="str">
        <f aca="false">IF($A74="","",SUMIFS(入金明細!$E$5:$E$1004,入金明細!$G$5:$G$1004,$A74,入金明細!$B$5:$B$1004,"&gt;="&amp;G$3,入金明細!$B$5:$B$1004,"&lt;"&amp;DATE(YEAR(G$3),MONTH(G$3)+1,1)))</f>
        <v/>
      </c>
      <c r="I74" s="27" t="str">
        <f aca="false">IF($A74="","",SUMIFS(請求台帳!$F$5:$F$504,請求台帳!$C$5:$C$504,$A74,請求台帳!$B$5:$B$504,"&gt;="&amp;I$3,請求台帳!$B$5:$B$504,"&lt;"&amp;DATE(YEAR(I$3),MONTH(I$3)+1,1),請求台帳!$Q$5:$Q$504,"&lt;&gt;取消"))</f>
        <v/>
      </c>
      <c r="J74" s="27" t="str">
        <f aca="false">IF($A74="","",SUMIFS(入金明細!$E$5:$E$1004,入金明細!$G$5:$G$1004,$A74,入金明細!$B$5:$B$1004,"&gt;="&amp;I$3,入金明細!$B$5:$B$1004,"&lt;"&amp;DATE(YEAR(I$3),MONTH(I$3)+1,1)))</f>
        <v/>
      </c>
      <c r="K74" s="27" t="str">
        <f aca="false">IF($A74="","",SUMIFS(請求台帳!$F$5:$F$504,請求台帳!$C$5:$C$504,$A74,請求台帳!$B$5:$B$504,"&gt;="&amp;K$3,請求台帳!$B$5:$B$504,"&lt;"&amp;DATE(YEAR(K$3),MONTH(K$3)+1,1),請求台帳!$Q$5:$Q$504,"&lt;&gt;取消"))</f>
        <v/>
      </c>
      <c r="L74" s="27" t="str">
        <f aca="false">IF($A74="","",SUMIFS(入金明細!$E$5:$E$1004,入金明細!$G$5:$G$1004,$A74,入金明細!$B$5:$B$1004,"&gt;="&amp;K$3,入金明細!$B$5:$B$1004,"&lt;"&amp;DATE(YEAR(K$3),MONTH(K$3)+1,1)))</f>
        <v/>
      </c>
      <c r="M74" s="27" t="str">
        <f aca="false">IF($A74="","",SUMIFS(請求台帳!$F$5:$F$504,請求台帳!$C$5:$C$504,$A74,請求台帳!$B$5:$B$504,"&gt;="&amp;M$3,請求台帳!$B$5:$B$504,"&lt;"&amp;DATE(YEAR(M$3),MONTH(M$3)+1,1),請求台帳!$Q$5:$Q$504,"&lt;&gt;取消"))</f>
        <v/>
      </c>
      <c r="N74" s="27" t="str">
        <f aca="false">IF($A74="","",SUMIFS(入金明細!$E$5:$E$1004,入金明細!$G$5:$G$1004,$A74,入金明細!$B$5:$B$1004,"&gt;="&amp;M$3,入金明細!$B$5:$B$1004,"&lt;"&amp;DATE(YEAR(M$3),MONTH(M$3)+1,1)))</f>
        <v/>
      </c>
      <c r="O74" s="27" t="str">
        <f aca="false">IF($A74="","",SUMIFS(請求台帳!$F$5:$F$504,請求台帳!$C$5:$C$504,$A74,請求台帳!$B$5:$B$504,"&gt;="&amp;O$3,請求台帳!$B$5:$B$504,"&lt;"&amp;DATE(YEAR(O$3),MONTH(O$3)+1,1),請求台帳!$Q$5:$Q$504,"&lt;&gt;取消"))</f>
        <v/>
      </c>
      <c r="P74" s="27" t="str">
        <f aca="false">IF($A74="","",SUMIFS(入金明細!$E$5:$E$1004,入金明細!$G$5:$G$1004,$A74,入金明細!$B$5:$B$1004,"&gt;="&amp;O$3,入金明細!$B$5:$B$1004,"&lt;"&amp;DATE(YEAR(O$3),MONTH(O$3)+1,1)))</f>
        <v/>
      </c>
      <c r="Q74" s="27" t="str">
        <f aca="false">IF($A74="","",SUMIFS(請求台帳!$F$5:$F$504,請求台帳!$C$5:$C$504,$A74,請求台帳!$B$5:$B$504,"&gt;="&amp;Q$3,請求台帳!$B$5:$B$504,"&lt;"&amp;DATE(YEAR(Q$3),MONTH(Q$3)+1,1),請求台帳!$Q$5:$Q$504,"&lt;&gt;取消"))</f>
        <v/>
      </c>
      <c r="R74" s="27" t="str">
        <f aca="false">IF($A74="","",SUMIFS(入金明細!$E$5:$E$1004,入金明細!$G$5:$G$1004,$A74,入金明細!$B$5:$B$1004,"&gt;="&amp;Q$3,入金明細!$B$5:$B$1004,"&lt;"&amp;DATE(YEAR(Q$3),MONTH(Q$3)+1,1)))</f>
        <v/>
      </c>
      <c r="S74" s="27" t="str">
        <f aca="false">IF($A74="","",SUMIFS(請求台帳!$F$5:$F$504,請求台帳!$C$5:$C$504,$A74,請求台帳!$B$5:$B$504,"&gt;="&amp;S$3,請求台帳!$B$5:$B$504,"&lt;"&amp;DATE(YEAR(S$3),MONTH(S$3)+1,1),請求台帳!$Q$5:$Q$504,"&lt;&gt;取消"))</f>
        <v/>
      </c>
      <c r="T74" s="27" t="str">
        <f aca="false">IF($A74="","",SUMIFS(入金明細!$E$5:$E$1004,入金明細!$G$5:$G$1004,$A74,入金明細!$B$5:$B$1004,"&gt;="&amp;S$3,入金明細!$B$5:$B$1004,"&lt;"&amp;DATE(YEAR(S$3),MONTH(S$3)+1,1)))</f>
        <v/>
      </c>
      <c r="U74" s="27" t="str">
        <f aca="false">IF($A74="","",SUMIFS(請求台帳!$F$5:$F$504,請求台帳!$C$5:$C$504,$A74,請求台帳!$B$5:$B$504,"&gt;="&amp;U$3,請求台帳!$B$5:$B$504,"&lt;"&amp;DATE(YEAR(U$3),MONTH(U$3)+1,1),請求台帳!$Q$5:$Q$504,"&lt;&gt;取消"))</f>
        <v/>
      </c>
      <c r="V74" s="27" t="str">
        <f aca="false">IF($A74="","",SUMIFS(入金明細!$E$5:$E$1004,入金明細!$G$5:$G$1004,$A74,入金明細!$B$5:$B$1004,"&gt;="&amp;U$3,入金明細!$B$5:$B$1004,"&lt;"&amp;DATE(YEAR(U$3),MONTH(U$3)+1,1)))</f>
        <v/>
      </c>
      <c r="W74" s="27" t="str">
        <f aca="false">IF($A74="","",SUMIFS(請求台帳!$F$5:$F$504,請求台帳!$C$5:$C$504,$A74,請求台帳!$B$5:$B$504,"&gt;="&amp;W$3,請求台帳!$B$5:$B$504,"&lt;"&amp;DATE(YEAR(W$3),MONTH(W$3)+1,1),請求台帳!$Q$5:$Q$504,"&lt;&gt;取消"))</f>
        <v/>
      </c>
      <c r="X74" s="27" t="str">
        <f aca="false">IF($A74="","",SUMIFS(入金明細!$E$5:$E$1004,入金明細!$G$5:$G$1004,$A74,入金明細!$B$5:$B$1004,"&gt;="&amp;W$3,入金明細!$B$5:$B$1004,"&lt;"&amp;DATE(YEAR(W$3),MONTH(W$3)+1,1)))</f>
        <v/>
      </c>
      <c r="Y74" s="27" t="str">
        <f aca="false">IF($A74="","",SUMIFS(請求台帳!$F$5:$F$504,請求台帳!$C$5:$C$504,$A74,請求台帳!$B$5:$B$504,"&gt;="&amp;Y$3,請求台帳!$B$5:$B$504,"&lt;"&amp;DATE(YEAR(Y$3),MONTH(Y$3)+1,1),請求台帳!$Q$5:$Q$504,"&lt;&gt;取消"))</f>
        <v/>
      </c>
      <c r="Z74" s="27" t="str">
        <f aca="false">IF($A74="","",SUMIFS(入金明細!$E$5:$E$1004,入金明細!$G$5:$G$1004,$A74,入金明細!$B$5:$B$1004,"&gt;="&amp;Y$3,入金明細!$B$5:$B$1004,"&lt;"&amp;DATE(YEAR(Y$3),MONTH(Y$3)+1,1)))</f>
        <v/>
      </c>
      <c r="AA74" s="37" t="n">
        <f aca="false">SUM(C74,E74,G74,I74,K74,M74,O74,Q74,S74,U74,W74,Y74)</f>
        <v>0</v>
      </c>
      <c r="AB74" s="37" t="n">
        <f aca="false">SUM(D74,F74,H74,J74,L74,N74,P74,R74,T74,V74,X74,Z74)</f>
        <v>0</v>
      </c>
    </row>
    <row r="75" customFormat="false" ht="15" hidden="false" customHeight="false" outlineLevel="0" collapsed="false">
      <c r="A75" s="31" t="str">
        <f aca="false">IF(取引先マスタ!A75="","",取引先マスタ!A75)</f>
        <v/>
      </c>
      <c r="B75" s="31" t="str">
        <f aca="false">IF(A75="","",取引先マスタ!B75)</f>
        <v/>
      </c>
      <c r="C75" s="27" t="str">
        <f aca="false">IF($A75="","",SUMIFS(請求台帳!$F$5:$F$504,請求台帳!$C$5:$C$504,$A75,請求台帳!$B$5:$B$504,"&gt;="&amp;C$3,請求台帳!$B$5:$B$504,"&lt;"&amp;DATE(YEAR(C$3),MONTH(C$3)+1,1),請求台帳!$Q$5:$Q$504,"&lt;&gt;取消"))</f>
        <v/>
      </c>
      <c r="D75" s="27" t="str">
        <f aca="false">IF($A75="","",SUMIFS(入金明細!$E$5:$E$1004,入金明細!$G$5:$G$1004,$A75,入金明細!$B$5:$B$1004,"&gt;="&amp;C$3,入金明細!$B$5:$B$1004,"&lt;"&amp;DATE(YEAR(C$3),MONTH(C$3)+1,1)))</f>
        <v/>
      </c>
      <c r="E75" s="27" t="str">
        <f aca="false">IF($A75="","",SUMIFS(請求台帳!$F$5:$F$504,請求台帳!$C$5:$C$504,$A75,請求台帳!$B$5:$B$504,"&gt;="&amp;E$3,請求台帳!$B$5:$B$504,"&lt;"&amp;DATE(YEAR(E$3),MONTH(E$3)+1,1),請求台帳!$Q$5:$Q$504,"&lt;&gt;取消"))</f>
        <v/>
      </c>
      <c r="F75" s="27" t="str">
        <f aca="false">IF($A75="","",SUMIFS(入金明細!$E$5:$E$1004,入金明細!$G$5:$G$1004,$A75,入金明細!$B$5:$B$1004,"&gt;="&amp;E$3,入金明細!$B$5:$B$1004,"&lt;"&amp;DATE(YEAR(E$3),MONTH(E$3)+1,1)))</f>
        <v/>
      </c>
      <c r="G75" s="27" t="str">
        <f aca="false">IF($A75="","",SUMIFS(請求台帳!$F$5:$F$504,請求台帳!$C$5:$C$504,$A75,請求台帳!$B$5:$B$504,"&gt;="&amp;G$3,請求台帳!$B$5:$B$504,"&lt;"&amp;DATE(YEAR(G$3),MONTH(G$3)+1,1),請求台帳!$Q$5:$Q$504,"&lt;&gt;取消"))</f>
        <v/>
      </c>
      <c r="H75" s="27" t="str">
        <f aca="false">IF($A75="","",SUMIFS(入金明細!$E$5:$E$1004,入金明細!$G$5:$G$1004,$A75,入金明細!$B$5:$B$1004,"&gt;="&amp;G$3,入金明細!$B$5:$B$1004,"&lt;"&amp;DATE(YEAR(G$3),MONTH(G$3)+1,1)))</f>
        <v/>
      </c>
      <c r="I75" s="27" t="str">
        <f aca="false">IF($A75="","",SUMIFS(請求台帳!$F$5:$F$504,請求台帳!$C$5:$C$504,$A75,請求台帳!$B$5:$B$504,"&gt;="&amp;I$3,請求台帳!$B$5:$B$504,"&lt;"&amp;DATE(YEAR(I$3),MONTH(I$3)+1,1),請求台帳!$Q$5:$Q$504,"&lt;&gt;取消"))</f>
        <v/>
      </c>
      <c r="J75" s="27" t="str">
        <f aca="false">IF($A75="","",SUMIFS(入金明細!$E$5:$E$1004,入金明細!$G$5:$G$1004,$A75,入金明細!$B$5:$B$1004,"&gt;="&amp;I$3,入金明細!$B$5:$B$1004,"&lt;"&amp;DATE(YEAR(I$3),MONTH(I$3)+1,1)))</f>
        <v/>
      </c>
      <c r="K75" s="27" t="str">
        <f aca="false">IF($A75="","",SUMIFS(請求台帳!$F$5:$F$504,請求台帳!$C$5:$C$504,$A75,請求台帳!$B$5:$B$504,"&gt;="&amp;K$3,請求台帳!$B$5:$B$504,"&lt;"&amp;DATE(YEAR(K$3),MONTH(K$3)+1,1),請求台帳!$Q$5:$Q$504,"&lt;&gt;取消"))</f>
        <v/>
      </c>
      <c r="L75" s="27" t="str">
        <f aca="false">IF($A75="","",SUMIFS(入金明細!$E$5:$E$1004,入金明細!$G$5:$G$1004,$A75,入金明細!$B$5:$B$1004,"&gt;="&amp;K$3,入金明細!$B$5:$B$1004,"&lt;"&amp;DATE(YEAR(K$3),MONTH(K$3)+1,1)))</f>
        <v/>
      </c>
      <c r="M75" s="27" t="str">
        <f aca="false">IF($A75="","",SUMIFS(請求台帳!$F$5:$F$504,請求台帳!$C$5:$C$504,$A75,請求台帳!$B$5:$B$504,"&gt;="&amp;M$3,請求台帳!$B$5:$B$504,"&lt;"&amp;DATE(YEAR(M$3),MONTH(M$3)+1,1),請求台帳!$Q$5:$Q$504,"&lt;&gt;取消"))</f>
        <v/>
      </c>
      <c r="N75" s="27" t="str">
        <f aca="false">IF($A75="","",SUMIFS(入金明細!$E$5:$E$1004,入金明細!$G$5:$G$1004,$A75,入金明細!$B$5:$B$1004,"&gt;="&amp;M$3,入金明細!$B$5:$B$1004,"&lt;"&amp;DATE(YEAR(M$3),MONTH(M$3)+1,1)))</f>
        <v/>
      </c>
      <c r="O75" s="27" t="str">
        <f aca="false">IF($A75="","",SUMIFS(請求台帳!$F$5:$F$504,請求台帳!$C$5:$C$504,$A75,請求台帳!$B$5:$B$504,"&gt;="&amp;O$3,請求台帳!$B$5:$B$504,"&lt;"&amp;DATE(YEAR(O$3),MONTH(O$3)+1,1),請求台帳!$Q$5:$Q$504,"&lt;&gt;取消"))</f>
        <v/>
      </c>
      <c r="P75" s="27" t="str">
        <f aca="false">IF($A75="","",SUMIFS(入金明細!$E$5:$E$1004,入金明細!$G$5:$G$1004,$A75,入金明細!$B$5:$B$1004,"&gt;="&amp;O$3,入金明細!$B$5:$B$1004,"&lt;"&amp;DATE(YEAR(O$3),MONTH(O$3)+1,1)))</f>
        <v/>
      </c>
      <c r="Q75" s="27" t="str">
        <f aca="false">IF($A75="","",SUMIFS(請求台帳!$F$5:$F$504,請求台帳!$C$5:$C$504,$A75,請求台帳!$B$5:$B$504,"&gt;="&amp;Q$3,請求台帳!$B$5:$B$504,"&lt;"&amp;DATE(YEAR(Q$3),MONTH(Q$3)+1,1),請求台帳!$Q$5:$Q$504,"&lt;&gt;取消"))</f>
        <v/>
      </c>
      <c r="R75" s="27" t="str">
        <f aca="false">IF($A75="","",SUMIFS(入金明細!$E$5:$E$1004,入金明細!$G$5:$G$1004,$A75,入金明細!$B$5:$B$1004,"&gt;="&amp;Q$3,入金明細!$B$5:$B$1004,"&lt;"&amp;DATE(YEAR(Q$3),MONTH(Q$3)+1,1)))</f>
        <v/>
      </c>
      <c r="S75" s="27" t="str">
        <f aca="false">IF($A75="","",SUMIFS(請求台帳!$F$5:$F$504,請求台帳!$C$5:$C$504,$A75,請求台帳!$B$5:$B$504,"&gt;="&amp;S$3,請求台帳!$B$5:$B$504,"&lt;"&amp;DATE(YEAR(S$3),MONTH(S$3)+1,1),請求台帳!$Q$5:$Q$504,"&lt;&gt;取消"))</f>
        <v/>
      </c>
      <c r="T75" s="27" t="str">
        <f aca="false">IF($A75="","",SUMIFS(入金明細!$E$5:$E$1004,入金明細!$G$5:$G$1004,$A75,入金明細!$B$5:$B$1004,"&gt;="&amp;S$3,入金明細!$B$5:$B$1004,"&lt;"&amp;DATE(YEAR(S$3),MONTH(S$3)+1,1)))</f>
        <v/>
      </c>
      <c r="U75" s="27" t="str">
        <f aca="false">IF($A75="","",SUMIFS(請求台帳!$F$5:$F$504,請求台帳!$C$5:$C$504,$A75,請求台帳!$B$5:$B$504,"&gt;="&amp;U$3,請求台帳!$B$5:$B$504,"&lt;"&amp;DATE(YEAR(U$3),MONTH(U$3)+1,1),請求台帳!$Q$5:$Q$504,"&lt;&gt;取消"))</f>
        <v/>
      </c>
      <c r="V75" s="27" t="str">
        <f aca="false">IF($A75="","",SUMIFS(入金明細!$E$5:$E$1004,入金明細!$G$5:$G$1004,$A75,入金明細!$B$5:$B$1004,"&gt;="&amp;U$3,入金明細!$B$5:$B$1004,"&lt;"&amp;DATE(YEAR(U$3),MONTH(U$3)+1,1)))</f>
        <v/>
      </c>
      <c r="W75" s="27" t="str">
        <f aca="false">IF($A75="","",SUMIFS(請求台帳!$F$5:$F$504,請求台帳!$C$5:$C$504,$A75,請求台帳!$B$5:$B$504,"&gt;="&amp;W$3,請求台帳!$B$5:$B$504,"&lt;"&amp;DATE(YEAR(W$3),MONTH(W$3)+1,1),請求台帳!$Q$5:$Q$504,"&lt;&gt;取消"))</f>
        <v/>
      </c>
      <c r="X75" s="27" t="str">
        <f aca="false">IF($A75="","",SUMIFS(入金明細!$E$5:$E$1004,入金明細!$G$5:$G$1004,$A75,入金明細!$B$5:$B$1004,"&gt;="&amp;W$3,入金明細!$B$5:$B$1004,"&lt;"&amp;DATE(YEAR(W$3),MONTH(W$3)+1,1)))</f>
        <v/>
      </c>
      <c r="Y75" s="27" t="str">
        <f aca="false">IF($A75="","",SUMIFS(請求台帳!$F$5:$F$504,請求台帳!$C$5:$C$504,$A75,請求台帳!$B$5:$B$504,"&gt;="&amp;Y$3,請求台帳!$B$5:$B$504,"&lt;"&amp;DATE(YEAR(Y$3),MONTH(Y$3)+1,1),請求台帳!$Q$5:$Q$504,"&lt;&gt;取消"))</f>
        <v/>
      </c>
      <c r="Z75" s="27" t="str">
        <f aca="false">IF($A75="","",SUMIFS(入金明細!$E$5:$E$1004,入金明細!$G$5:$G$1004,$A75,入金明細!$B$5:$B$1004,"&gt;="&amp;Y$3,入金明細!$B$5:$B$1004,"&lt;"&amp;DATE(YEAR(Y$3),MONTH(Y$3)+1,1)))</f>
        <v/>
      </c>
      <c r="AA75" s="37" t="n">
        <f aca="false">SUM(C75,E75,G75,I75,K75,M75,O75,Q75,S75,U75,W75,Y75)</f>
        <v>0</v>
      </c>
      <c r="AB75" s="37" t="n">
        <f aca="false">SUM(D75,F75,H75,J75,L75,N75,P75,R75,T75,V75,X75,Z75)</f>
        <v>0</v>
      </c>
    </row>
    <row r="76" customFormat="false" ht="15" hidden="false" customHeight="false" outlineLevel="0" collapsed="false">
      <c r="A76" s="31" t="str">
        <f aca="false">IF(取引先マスタ!A76="","",取引先マスタ!A76)</f>
        <v/>
      </c>
      <c r="B76" s="31" t="str">
        <f aca="false">IF(A76="","",取引先マスタ!B76)</f>
        <v/>
      </c>
      <c r="C76" s="27" t="str">
        <f aca="false">IF($A76="","",SUMIFS(請求台帳!$F$5:$F$504,請求台帳!$C$5:$C$504,$A76,請求台帳!$B$5:$B$504,"&gt;="&amp;C$3,請求台帳!$B$5:$B$504,"&lt;"&amp;DATE(YEAR(C$3),MONTH(C$3)+1,1),請求台帳!$Q$5:$Q$504,"&lt;&gt;取消"))</f>
        <v/>
      </c>
      <c r="D76" s="27" t="str">
        <f aca="false">IF($A76="","",SUMIFS(入金明細!$E$5:$E$1004,入金明細!$G$5:$G$1004,$A76,入金明細!$B$5:$B$1004,"&gt;="&amp;C$3,入金明細!$B$5:$B$1004,"&lt;"&amp;DATE(YEAR(C$3),MONTH(C$3)+1,1)))</f>
        <v/>
      </c>
      <c r="E76" s="27" t="str">
        <f aca="false">IF($A76="","",SUMIFS(請求台帳!$F$5:$F$504,請求台帳!$C$5:$C$504,$A76,請求台帳!$B$5:$B$504,"&gt;="&amp;E$3,請求台帳!$B$5:$B$504,"&lt;"&amp;DATE(YEAR(E$3),MONTH(E$3)+1,1),請求台帳!$Q$5:$Q$504,"&lt;&gt;取消"))</f>
        <v/>
      </c>
      <c r="F76" s="27" t="str">
        <f aca="false">IF($A76="","",SUMIFS(入金明細!$E$5:$E$1004,入金明細!$G$5:$G$1004,$A76,入金明細!$B$5:$B$1004,"&gt;="&amp;E$3,入金明細!$B$5:$B$1004,"&lt;"&amp;DATE(YEAR(E$3),MONTH(E$3)+1,1)))</f>
        <v/>
      </c>
      <c r="G76" s="27" t="str">
        <f aca="false">IF($A76="","",SUMIFS(請求台帳!$F$5:$F$504,請求台帳!$C$5:$C$504,$A76,請求台帳!$B$5:$B$504,"&gt;="&amp;G$3,請求台帳!$B$5:$B$504,"&lt;"&amp;DATE(YEAR(G$3),MONTH(G$3)+1,1),請求台帳!$Q$5:$Q$504,"&lt;&gt;取消"))</f>
        <v/>
      </c>
      <c r="H76" s="27" t="str">
        <f aca="false">IF($A76="","",SUMIFS(入金明細!$E$5:$E$1004,入金明細!$G$5:$G$1004,$A76,入金明細!$B$5:$B$1004,"&gt;="&amp;G$3,入金明細!$B$5:$B$1004,"&lt;"&amp;DATE(YEAR(G$3),MONTH(G$3)+1,1)))</f>
        <v/>
      </c>
      <c r="I76" s="27" t="str">
        <f aca="false">IF($A76="","",SUMIFS(請求台帳!$F$5:$F$504,請求台帳!$C$5:$C$504,$A76,請求台帳!$B$5:$B$504,"&gt;="&amp;I$3,請求台帳!$B$5:$B$504,"&lt;"&amp;DATE(YEAR(I$3),MONTH(I$3)+1,1),請求台帳!$Q$5:$Q$504,"&lt;&gt;取消"))</f>
        <v/>
      </c>
      <c r="J76" s="27" t="str">
        <f aca="false">IF($A76="","",SUMIFS(入金明細!$E$5:$E$1004,入金明細!$G$5:$G$1004,$A76,入金明細!$B$5:$B$1004,"&gt;="&amp;I$3,入金明細!$B$5:$B$1004,"&lt;"&amp;DATE(YEAR(I$3),MONTH(I$3)+1,1)))</f>
        <v/>
      </c>
      <c r="K76" s="27" t="str">
        <f aca="false">IF($A76="","",SUMIFS(請求台帳!$F$5:$F$504,請求台帳!$C$5:$C$504,$A76,請求台帳!$B$5:$B$504,"&gt;="&amp;K$3,請求台帳!$B$5:$B$504,"&lt;"&amp;DATE(YEAR(K$3),MONTH(K$3)+1,1),請求台帳!$Q$5:$Q$504,"&lt;&gt;取消"))</f>
        <v/>
      </c>
      <c r="L76" s="27" t="str">
        <f aca="false">IF($A76="","",SUMIFS(入金明細!$E$5:$E$1004,入金明細!$G$5:$G$1004,$A76,入金明細!$B$5:$B$1004,"&gt;="&amp;K$3,入金明細!$B$5:$B$1004,"&lt;"&amp;DATE(YEAR(K$3),MONTH(K$3)+1,1)))</f>
        <v/>
      </c>
      <c r="M76" s="27" t="str">
        <f aca="false">IF($A76="","",SUMIFS(請求台帳!$F$5:$F$504,請求台帳!$C$5:$C$504,$A76,請求台帳!$B$5:$B$504,"&gt;="&amp;M$3,請求台帳!$B$5:$B$504,"&lt;"&amp;DATE(YEAR(M$3),MONTH(M$3)+1,1),請求台帳!$Q$5:$Q$504,"&lt;&gt;取消"))</f>
        <v/>
      </c>
      <c r="N76" s="27" t="str">
        <f aca="false">IF($A76="","",SUMIFS(入金明細!$E$5:$E$1004,入金明細!$G$5:$G$1004,$A76,入金明細!$B$5:$B$1004,"&gt;="&amp;M$3,入金明細!$B$5:$B$1004,"&lt;"&amp;DATE(YEAR(M$3),MONTH(M$3)+1,1)))</f>
        <v/>
      </c>
      <c r="O76" s="27" t="str">
        <f aca="false">IF($A76="","",SUMIFS(請求台帳!$F$5:$F$504,請求台帳!$C$5:$C$504,$A76,請求台帳!$B$5:$B$504,"&gt;="&amp;O$3,請求台帳!$B$5:$B$504,"&lt;"&amp;DATE(YEAR(O$3),MONTH(O$3)+1,1),請求台帳!$Q$5:$Q$504,"&lt;&gt;取消"))</f>
        <v/>
      </c>
      <c r="P76" s="27" t="str">
        <f aca="false">IF($A76="","",SUMIFS(入金明細!$E$5:$E$1004,入金明細!$G$5:$G$1004,$A76,入金明細!$B$5:$B$1004,"&gt;="&amp;O$3,入金明細!$B$5:$B$1004,"&lt;"&amp;DATE(YEAR(O$3),MONTH(O$3)+1,1)))</f>
        <v/>
      </c>
      <c r="Q76" s="27" t="str">
        <f aca="false">IF($A76="","",SUMIFS(請求台帳!$F$5:$F$504,請求台帳!$C$5:$C$504,$A76,請求台帳!$B$5:$B$504,"&gt;="&amp;Q$3,請求台帳!$B$5:$B$504,"&lt;"&amp;DATE(YEAR(Q$3),MONTH(Q$3)+1,1),請求台帳!$Q$5:$Q$504,"&lt;&gt;取消"))</f>
        <v/>
      </c>
      <c r="R76" s="27" t="str">
        <f aca="false">IF($A76="","",SUMIFS(入金明細!$E$5:$E$1004,入金明細!$G$5:$G$1004,$A76,入金明細!$B$5:$B$1004,"&gt;="&amp;Q$3,入金明細!$B$5:$B$1004,"&lt;"&amp;DATE(YEAR(Q$3),MONTH(Q$3)+1,1)))</f>
        <v/>
      </c>
      <c r="S76" s="27" t="str">
        <f aca="false">IF($A76="","",SUMIFS(請求台帳!$F$5:$F$504,請求台帳!$C$5:$C$504,$A76,請求台帳!$B$5:$B$504,"&gt;="&amp;S$3,請求台帳!$B$5:$B$504,"&lt;"&amp;DATE(YEAR(S$3),MONTH(S$3)+1,1),請求台帳!$Q$5:$Q$504,"&lt;&gt;取消"))</f>
        <v/>
      </c>
      <c r="T76" s="27" t="str">
        <f aca="false">IF($A76="","",SUMIFS(入金明細!$E$5:$E$1004,入金明細!$G$5:$G$1004,$A76,入金明細!$B$5:$B$1004,"&gt;="&amp;S$3,入金明細!$B$5:$B$1004,"&lt;"&amp;DATE(YEAR(S$3),MONTH(S$3)+1,1)))</f>
        <v/>
      </c>
      <c r="U76" s="27" t="str">
        <f aca="false">IF($A76="","",SUMIFS(請求台帳!$F$5:$F$504,請求台帳!$C$5:$C$504,$A76,請求台帳!$B$5:$B$504,"&gt;="&amp;U$3,請求台帳!$B$5:$B$504,"&lt;"&amp;DATE(YEAR(U$3),MONTH(U$3)+1,1),請求台帳!$Q$5:$Q$504,"&lt;&gt;取消"))</f>
        <v/>
      </c>
      <c r="V76" s="27" t="str">
        <f aca="false">IF($A76="","",SUMIFS(入金明細!$E$5:$E$1004,入金明細!$G$5:$G$1004,$A76,入金明細!$B$5:$B$1004,"&gt;="&amp;U$3,入金明細!$B$5:$B$1004,"&lt;"&amp;DATE(YEAR(U$3),MONTH(U$3)+1,1)))</f>
        <v/>
      </c>
      <c r="W76" s="27" t="str">
        <f aca="false">IF($A76="","",SUMIFS(請求台帳!$F$5:$F$504,請求台帳!$C$5:$C$504,$A76,請求台帳!$B$5:$B$504,"&gt;="&amp;W$3,請求台帳!$B$5:$B$504,"&lt;"&amp;DATE(YEAR(W$3),MONTH(W$3)+1,1),請求台帳!$Q$5:$Q$504,"&lt;&gt;取消"))</f>
        <v/>
      </c>
      <c r="X76" s="27" t="str">
        <f aca="false">IF($A76="","",SUMIFS(入金明細!$E$5:$E$1004,入金明細!$G$5:$G$1004,$A76,入金明細!$B$5:$B$1004,"&gt;="&amp;W$3,入金明細!$B$5:$B$1004,"&lt;"&amp;DATE(YEAR(W$3),MONTH(W$3)+1,1)))</f>
        <v/>
      </c>
      <c r="Y76" s="27" t="str">
        <f aca="false">IF($A76="","",SUMIFS(請求台帳!$F$5:$F$504,請求台帳!$C$5:$C$504,$A76,請求台帳!$B$5:$B$504,"&gt;="&amp;Y$3,請求台帳!$B$5:$B$504,"&lt;"&amp;DATE(YEAR(Y$3),MONTH(Y$3)+1,1),請求台帳!$Q$5:$Q$504,"&lt;&gt;取消"))</f>
        <v/>
      </c>
      <c r="Z76" s="27" t="str">
        <f aca="false">IF($A76="","",SUMIFS(入金明細!$E$5:$E$1004,入金明細!$G$5:$G$1004,$A76,入金明細!$B$5:$B$1004,"&gt;="&amp;Y$3,入金明細!$B$5:$B$1004,"&lt;"&amp;DATE(YEAR(Y$3),MONTH(Y$3)+1,1)))</f>
        <v/>
      </c>
      <c r="AA76" s="37" t="n">
        <f aca="false">SUM(C76,E76,G76,I76,K76,M76,O76,Q76,S76,U76,W76,Y76)</f>
        <v>0</v>
      </c>
      <c r="AB76" s="37" t="n">
        <f aca="false">SUM(D76,F76,H76,J76,L76,N76,P76,R76,T76,V76,X76,Z76)</f>
        <v>0</v>
      </c>
    </row>
    <row r="77" customFormat="false" ht="15" hidden="false" customHeight="false" outlineLevel="0" collapsed="false">
      <c r="A77" s="31" t="str">
        <f aca="false">IF(取引先マスタ!A77="","",取引先マスタ!A77)</f>
        <v/>
      </c>
      <c r="B77" s="31" t="str">
        <f aca="false">IF(A77="","",取引先マスタ!B77)</f>
        <v/>
      </c>
      <c r="C77" s="27" t="str">
        <f aca="false">IF($A77="","",SUMIFS(請求台帳!$F$5:$F$504,請求台帳!$C$5:$C$504,$A77,請求台帳!$B$5:$B$504,"&gt;="&amp;C$3,請求台帳!$B$5:$B$504,"&lt;"&amp;DATE(YEAR(C$3),MONTH(C$3)+1,1),請求台帳!$Q$5:$Q$504,"&lt;&gt;取消"))</f>
        <v/>
      </c>
      <c r="D77" s="27" t="str">
        <f aca="false">IF($A77="","",SUMIFS(入金明細!$E$5:$E$1004,入金明細!$G$5:$G$1004,$A77,入金明細!$B$5:$B$1004,"&gt;="&amp;C$3,入金明細!$B$5:$B$1004,"&lt;"&amp;DATE(YEAR(C$3),MONTH(C$3)+1,1)))</f>
        <v/>
      </c>
      <c r="E77" s="27" t="str">
        <f aca="false">IF($A77="","",SUMIFS(請求台帳!$F$5:$F$504,請求台帳!$C$5:$C$504,$A77,請求台帳!$B$5:$B$504,"&gt;="&amp;E$3,請求台帳!$B$5:$B$504,"&lt;"&amp;DATE(YEAR(E$3),MONTH(E$3)+1,1),請求台帳!$Q$5:$Q$504,"&lt;&gt;取消"))</f>
        <v/>
      </c>
      <c r="F77" s="27" t="str">
        <f aca="false">IF($A77="","",SUMIFS(入金明細!$E$5:$E$1004,入金明細!$G$5:$G$1004,$A77,入金明細!$B$5:$B$1004,"&gt;="&amp;E$3,入金明細!$B$5:$B$1004,"&lt;"&amp;DATE(YEAR(E$3),MONTH(E$3)+1,1)))</f>
        <v/>
      </c>
      <c r="G77" s="27" t="str">
        <f aca="false">IF($A77="","",SUMIFS(請求台帳!$F$5:$F$504,請求台帳!$C$5:$C$504,$A77,請求台帳!$B$5:$B$504,"&gt;="&amp;G$3,請求台帳!$B$5:$B$504,"&lt;"&amp;DATE(YEAR(G$3),MONTH(G$3)+1,1),請求台帳!$Q$5:$Q$504,"&lt;&gt;取消"))</f>
        <v/>
      </c>
      <c r="H77" s="27" t="str">
        <f aca="false">IF($A77="","",SUMIFS(入金明細!$E$5:$E$1004,入金明細!$G$5:$G$1004,$A77,入金明細!$B$5:$B$1004,"&gt;="&amp;G$3,入金明細!$B$5:$B$1004,"&lt;"&amp;DATE(YEAR(G$3),MONTH(G$3)+1,1)))</f>
        <v/>
      </c>
      <c r="I77" s="27" t="str">
        <f aca="false">IF($A77="","",SUMIFS(請求台帳!$F$5:$F$504,請求台帳!$C$5:$C$504,$A77,請求台帳!$B$5:$B$504,"&gt;="&amp;I$3,請求台帳!$B$5:$B$504,"&lt;"&amp;DATE(YEAR(I$3),MONTH(I$3)+1,1),請求台帳!$Q$5:$Q$504,"&lt;&gt;取消"))</f>
        <v/>
      </c>
      <c r="J77" s="27" t="str">
        <f aca="false">IF($A77="","",SUMIFS(入金明細!$E$5:$E$1004,入金明細!$G$5:$G$1004,$A77,入金明細!$B$5:$B$1004,"&gt;="&amp;I$3,入金明細!$B$5:$B$1004,"&lt;"&amp;DATE(YEAR(I$3),MONTH(I$3)+1,1)))</f>
        <v/>
      </c>
      <c r="K77" s="27" t="str">
        <f aca="false">IF($A77="","",SUMIFS(請求台帳!$F$5:$F$504,請求台帳!$C$5:$C$504,$A77,請求台帳!$B$5:$B$504,"&gt;="&amp;K$3,請求台帳!$B$5:$B$504,"&lt;"&amp;DATE(YEAR(K$3),MONTH(K$3)+1,1),請求台帳!$Q$5:$Q$504,"&lt;&gt;取消"))</f>
        <v/>
      </c>
      <c r="L77" s="27" t="str">
        <f aca="false">IF($A77="","",SUMIFS(入金明細!$E$5:$E$1004,入金明細!$G$5:$G$1004,$A77,入金明細!$B$5:$B$1004,"&gt;="&amp;K$3,入金明細!$B$5:$B$1004,"&lt;"&amp;DATE(YEAR(K$3),MONTH(K$3)+1,1)))</f>
        <v/>
      </c>
      <c r="M77" s="27" t="str">
        <f aca="false">IF($A77="","",SUMIFS(請求台帳!$F$5:$F$504,請求台帳!$C$5:$C$504,$A77,請求台帳!$B$5:$B$504,"&gt;="&amp;M$3,請求台帳!$B$5:$B$504,"&lt;"&amp;DATE(YEAR(M$3),MONTH(M$3)+1,1),請求台帳!$Q$5:$Q$504,"&lt;&gt;取消"))</f>
        <v/>
      </c>
      <c r="N77" s="27" t="str">
        <f aca="false">IF($A77="","",SUMIFS(入金明細!$E$5:$E$1004,入金明細!$G$5:$G$1004,$A77,入金明細!$B$5:$B$1004,"&gt;="&amp;M$3,入金明細!$B$5:$B$1004,"&lt;"&amp;DATE(YEAR(M$3),MONTH(M$3)+1,1)))</f>
        <v/>
      </c>
      <c r="O77" s="27" t="str">
        <f aca="false">IF($A77="","",SUMIFS(請求台帳!$F$5:$F$504,請求台帳!$C$5:$C$504,$A77,請求台帳!$B$5:$B$504,"&gt;="&amp;O$3,請求台帳!$B$5:$B$504,"&lt;"&amp;DATE(YEAR(O$3),MONTH(O$3)+1,1),請求台帳!$Q$5:$Q$504,"&lt;&gt;取消"))</f>
        <v/>
      </c>
      <c r="P77" s="27" t="str">
        <f aca="false">IF($A77="","",SUMIFS(入金明細!$E$5:$E$1004,入金明細!$G$5:$G$1004,$A77,入金明細!$B$5:$B$1004,"&gt;="&amp;O$3,入金明細!$B$5:$B$1004,"&lt;"&amp;DATE(YEAR(O$3),MONTH(O$3)+1,1)))</f>
        <v/>
      </c>
      <c r="Q77" s="27" t="str">
        <f aca="false">IF($A77="","",SUMIFS(請求台帳!$F$5:$F$504,請求台帳!$C$5:$C$504,$A77,請求台帳!$B$5:$B$504,"&gt;="&amp;Q$3,請求台帳!$B$5:$B$504,"&lt;"&amp;DATE(YEAR(Q$3),MONTH(Q$3)+1,1),請求台帳!$Q$5:$Q$504,"&lt;&gt;取消"))</f>
        <v/>
      </c>
      <c r="R77" s="27" t="str">
        <f aca="false">IF($A77="","",SUMIFS(入金明細!$E$5:$E$1004,入金明細!$G$5:$G$1004,$A77,入金明細!$B$5:$B$1004,"&gt;="&amp;Q$3,入金明細!$B$5:$B$1004,"&lt;"&amp;DATE(YEAR(Q$3),MONTH(Q$3)+1,1)))</f>
        <v/>
      </c>
      <c r="S77" s="27" t="str">
        <f aca="false">IF($A77="","",SUMIFS(請求台帳!$F$5:$F$504,請求台帳!$C$5:$C$504,$A77,請求台帳!$B$5:$B$504,"&gt;="&amp;S$3,請求台帳!$B$5:$B$504,"&lt;"&amp;DATE(YEAR(S$3),MONTH(S$3)+1,1),請求台帳!$Q$5:$Q$504,"&lt;&gt;取消"))</f>
        <v/>
      </c>
      <c r="T77" s="27" t="str">
        <f aca="false">IF($A77="","",SUMIFS(入金明細!$E$5:$E$1004,入金明細!$G$5:$G$1004,$A77,入金明細!$B$5:$B$1004,"&gt;="&amp;S$3,入金明細!$B$5:$B$1004,"&lt;"&amp;DATE(YEAR(S$3),MONTH(S$3)+1,1)))</f>
        <v/>
      </c>
      <c r="U77" s="27" t="str">
        <f aca="false">IF($A77="","",SUMIFS(請求台帳!$F$5:$F$504,請求台帳!$C$5:$C$504,$A77,請求台帳!$B$5:$B$504,"&gt;="&amp;U$3,請求台帳!$B$5:$B$504,"&lt;"&amp;DATE(YEAR(U$3),MONTH(U$3)+1,1),請求台帳!$Q$5:$Q$504,"&lt;&gt;取消"))</f>
        <v/>
      </c>
      <c r="V77" s="27" t="str">
        <f aca="false">IF($A77="","",SUMIFS(入金明細!$E$5:$E$1004,入金明細!$G$5:$G$1004,$A77,入金明細!$B$5:$B$1004,"&gt;="&amp;U$3,入金明細!$B$5:$B$1004,"&lt;"&amp;DATE(YEAR(U$3),MONTH(U$3)+1,1)))</f>
        <v/>
      </c>
      <c r="W77" s="27" t="str">
        <f aca="false">IF($A77="","",SUMIFS(請求台帳!$F$5:$F$504,請求台帳!$C$5:$C$504,$A77,請求台帳!$B$5:$B$504,"&gt;="&amp;W$3,請求台帳!$B$5:$B$504,"&lt;"&amp;DATE(YEAR(W$3),MONTH(W$3)+1,1),請求台帳!$Q$5:$Q$504,"&lt;&gt;取消"))</f>
        <v/>
      </c>
      <c r="X77" s="27" t="str">
        <f aca="false">IF($A77="","",SUMIFS(入金明細!$E$5:$E$1004,入金明細!$G$5:$G$1004,$A77,入金明細!$B$5:$B$1004,"&gt;="&amp;W$3,入金明細!$B$5:$B$1004,"&lt;"&amp;DATE(YEAR(W$3),MONTH(W$3)+1,1)))</f>
        <v/>
      </c>
      <c r="Y77" s="27" t="str">
        <f aca="false">IF($A77="","",SUMIFS(請求台帳!$F$5:$F$504,請求台帳!$C$5:$C$504,$A77,請求台帳!$B$5:$B$504,"&gt;="&amp;Y$3,請求台帳!$B$5:$B$504,"&lt;"&amp;DATE(YEAR(Y$3),MONTH(Y$3)+1,1),請求台帳!$Q$5:$Q$504,"&lt;&gt;取消"))</f>
        <v/>
      </c>
      <c r="Z77" s="27" t="str">
        <f aca="false">IF($A77="","",SUMIFS(入金明細!$E$5:$E$1004,入金明細!$G$5:$G$1004,$A77,入金明細!$B$5:$B$1004,"&gt;="&amp;Y$3,入金明細!$B$5:$B$1004,"&lt;"&amp;DATE(YEAR(Y$3),MONTH(Y$3)+1,1)))</f>
        <v/>
      </c>
      <c r="AA77" s="37" t="n">
        <f aca="false">SUM(C77,E77,G77,I77,K77,M77,O77,Q77,S77,U77,W77,Y77)</f>
        <v>0</v>
      </c>
      <c r="AB77" s="37" t="n">
        <f aca="false">SUM(D77,F77,H77,J77,L77,N77,P77,R77,T77,V77,X77,Z77)</f>
        <v>0</v>
      </c>
    </row>
    <row r="78" customFormat="false" ht="15" hidden="false" customHeight="false" outlineLevel="0" collapsed="false">
      <c r="A78" s="31" t="str">
        <f aca="false">IF(取引先マスタ!A78="","",取引先マスタ!A78)</f>
        <v/>
      </c>
      <c r="B78" s="31" t="str">
        <f aca="false">IF(A78="","",取引先マスタ!B78)</f>
        <v/>
      </c>
      <c r="C78" s="27" t="str">
        <f aca="false">IF($A78="","",SUMIFS(請求台帳!$F$5:$F$504,請求台帳!$C$5:$C$504,$A78,請求台帳!$B$5:$B$504,"&gt;="&amp;C$3,請求台帳!$B$5:$B$504,"&lt;"&amp;DATE(YEAR(C$3),MONTH(C$3)+1,1),請求台帳!$Q$5:$Q$504,"&lt;&gt;取消"))</f>
        <v/>
      </c>
      <c r="D78" s="27" t="str">
        <f aca="false">IF($A78="","",SUMIFS(入金明細!$E$5:$E$1004,入金明細!$G$5:$G$1004,$A78,入金明細!$B$5:$B$1004,"&gt;="&amp;C$3,入金明細!$B$5:$B$1004,"&lt;"&amp;DATE(YEAR(C$3),MONTH(C$3)+1,1)))</f>
        <v/>
      </c>
      <c r="E78" s="27" t="str">
        <f aca="false">IF($A78="","",SUMIFS(請求台帳!$F$5:$F$504,請求台帳!$C$5:$C$504,$A78,請求台帳!$B$5:$B$504,"&gt;="&amp;E$3,請求台帳!$B$5:$B$504,"&lt;"&amp;DATE(YEAR(E$3),MONTH(E$3)+1,1),請求台帳!$Q$5:$Q$504,"&lt;&gt;取消"))</f>
        <v/>
      </c>
      <c r="F78" s="27" t="str">
        <f aca="false">IF($A78="","",SUMIFS(入金明細!$E$5:$E$1004,入金明細!$G$5:$G$1004,$A78,入金明細!$B$5:$B$1004,"&gt;="&amp;E$3,入金明細!$B$5:$B$1004,"&lt;"&amp;DATE(YEAR(E$3),MONTH(E$3)+1,1)))</f>
        <v/>
      </c>
      <c r="G78" s="27" t="str">
        <f aca="false">IF($A78="","",SUMIFS(請求台帳!$F$5:$F$504,請求台帳!$C$5:$C$504,$A78,請求台帳!$B$5:$B$504,"&gt;="&amp;G$3,請求台帳!$B$5:$B$504,"&lt;"&amp;DATE(YEAR(G$3),MONTH(G$3)+1,1),請求台帳!$Q$5:$Q$504,"&lt;&gt;取消"))</f>
        <v/>
      </c>
      <c r="H78" s="27" t="str">
        <f aca="false">IF($A78="","",SUMIFS(入金明細!$E$5:$E$1004,入金明細!$G$5:$G$1004,$A78,入金明細!$B$5:$B$1004,"&gt;="&amp;G$3,入金明細!$B$5:$B$1004,"&lt;"&amp;DATE(YEAR(G$3),MONTH(G$3)+1,1)))</f>
        <v/>
      </c>
      <c r="I78" s="27" t="str">
        <f aca="false">IF($A78="","",SUMIFS(請求台帳!$F$5:$F$504,請求台帳!$C$5:$C$504,$A78,請求台帳!$B$5:$B$504,"&gt;="&amp;I$3,請求台帳!$B$5:$B$504,"&lt;"&amp;DATE(YEAR(I$3),MONTH(I$3)+1,1),請求台帳!$Q$5:$Q$504,"&lt;&gt;取消"))</f>
        <v/>
      </c>
      <c r="J78" s="27" t="str">
        <f aca="false">IF($A78="","",SUMIFS(入金明細!$E$5:$E$1004,入金明細!$G$5:$G$1004,$A78,入金明細!$B$5:$B$1004,"&gt;="&amp;I$3,入金明細!$B$5:$B$1004,"&lt;"&amp;DATE(YEAR(I$3),MONTH(I$3)+1,1)))</f>
        <v/>
      </c>
      <c r="K78" s="27" t="str">
        <f aca="false">IF($A78="","",SUMIFS(請求台帳!$F$5:$F$504,請求台帳!$C$5:$C$504,$A78,請求台帳!$B$5:$B$504,"&gt;="&amp;K$3,請求台帳!$B$5:$B$504,"&lt;"&amp;DATE(YEAR(K$3),MONTH(K$3)+1,1),請求台帳!$Q$5:$Q$504,"&lt;&gt;取消"))</f>
        <v/>
      </c>
      <c r="L78" s="27" t="str">
        <f aca="false">IF($A78="","",SUMIFS(入金明細!$E$5:$E$1004,入金明細!$G$5:$G$1004,$A78,入金明細!$B$5:$B$1004,"&gt;="&amp;K$3,入金明細!$B$5:$B$1004,"&lt;"&amp;DATE(YEAR(K$3),MONTH(K$3)+1,1)))</f>
        <v/>
      </c>
      <c r="M78" s="27" t="str">
        <f aca="false">IF($A78="","",SUMIFS(請求台帳!$F$5:$F$504,請求台帳!$C$5:$C$504,$A78,請求台帳!$B$5:$B$504,"&gt;="&amp;M$3,請求台帳!$B$5:$B$504,"&lt;"&amp;DATE(YEAR(M$3),MONTH(M$3)+1,1),請求台帳!$Q$5:$Q$504,"&lt;&gt;取消"))</f>
        <v/>
      </c>
      <c r="N78" s="27" t="str">
        <f aca="false">IF($A78="","",SUMIFS(入金明細!$E$5:$E$1004,入金明細!$G$5:$G$1004,$A78,入金明細!$B$5:$B$1004,"&gt;="&amp;M$3,入金明細!$B$5:$B$1004,"&lt;"&amp;DATE(YEAR(M$3),MONTH(M$3)+1,1)))</f>
        <v/>
      </c>
      <c r="O78" s="27" t="str">
        <f aca="false">IF($A78="","",SUMIFS(請求台帳!$F$5:$F$504,請求台帳!$C$5:$C$504,$A78,請求台帳!$B$5:$B$504,"&gt;="&amp;O$3,請求台帳!$B$5:$B$504,"&lt;"&amp;DATE(YEAR(O$3),MONTH(O$3)+1,1),請求台帳!$Q$5:$Q$504,"&lt;&gt;取消"))</f>
        <v/>
      </c>
      <c r="P78" s="27" t="str">
        <f aca="false">IF($A78="","",SUMIFS(入金明細!$E$5:$E$1004,入金明細!$G$5:$G$1004,$A78,入金明細!$B$5:$B$1004,"&gt;="&amp;O$3,入金明細!$B$5:$B$1004,"&lt;"&amp;DATE(YEAR(O$3),MONTH(O$3)+1,1)))</f>
        <v/>
      </c>
      <c r="Q78" s="27" t="str">
        <f aca="false">IF($A78="","",SUMIFS(請求台帳!$F$5:$F$504,請求台帳!$C$5:$C$504,$A78,請求台帳!$B$5:$B$504,"&gt;="&amp;Q$3,請求台帳!$B$5:$B$504,"&lt;"&amp;DATE(YEAR(Q$3),MONTH(Q$3)+1,1),請求台帳!$Q$5:$Q$504,"&lt;&gt;取消"))</f>
        <v/>
      </c>
      <c r="R78" s="27" t="str">
        <f aca="false">IF($A78="","",SUMIFS(入金明細!$E$5:$E$1004,入金明細!$G$5:$G$1004,$A78,入金明細!$B$5:$B$1004,"&gt;="&amp;Q$3,入金明細!$B$5:$B$1004,"&lt;"&amp;DATE(YEAR(Q$3),MONTH(Q$3)+1,1)))</f>
        <v/>
      </c>
      <c r="S78" s="27" t="str">
        <f aca="false">IF($A78="","",SUMIFS(請求台帳!$F$5:$F$504,請求台帳!$C$5:$C$504,$A78,請求台帳!$B$5:$B$504,"&gt;="&amp;S$3,請求台帳!$B$5:$B$504,"&lt;"&amp;DATE(YEAR(S$3),MONTH(S$3)+1,1),請求台帳!$Q$5:$Q$504,"&lt;&gt;取消"))</f>
        <v/>
      </c>
      <c r="T78" s="27" t="str">
        <f aca="false">IF($A78="","",SUMIFS(入金明細!$E$5:$E$1004,入金明細!$G$5:$G$1004,$A78,入金明細!$B$5:$B$1004,"&gt;="&amp;S$3,入金明細!$B$5:$B$1004,"&lt;"&amp;DATE(YEAR(S$3),MONTH(S$3)+1,1)))</f>
        <v/>
      </c>
      <c r="U78" s="27" t="str">
        <f aca="false">IF($A78="","",SUMIFS(請求台帳!$F$5:$F$504,請求台帳!$C$5:$C$504,$A78,請求台帳!$B$5:$B$504,"&gt;="&amp;U$3,請求台帳!$B$5:$B$504,"&lt;"&amp;DATE(YEAR(U$3),MONTH(U$3)+1,1),請求台帳!$Q$5:$Q$504,"&lt;&gt;取消"))</f>
        <v/>
      </c>
      <c r="V78" s="27" t="str">
        <f aca="false">IF($A78="","",SUMIFS(入金明細!$E$5:$E$1004,入金明細!$G$5:$G$1004,$A78,入金明細!$B$5:$B$1004,"&gt;="&amp;U$3,入金明細!$B$5:$B$1004,"&lt;"&amp;DATE(YEAR(U$3),MONTH(U$3)+1,1)))</f>
        <v/>
      </c>
      <c r="W78" s="27" t="str">
        <f aca="false">IF($A78="","",SUMIFS(請求台帳!$F$5:$F$504,請求台帳!$C$5:$C$504,$A78,請求台帳!$B$5:$B$504,"&gt;="&amp;W$3,請求台帳!$B$5:$B$504,"&lt;"&amp;DATE(YEAR(W$3),MONTH(W$3)+1,1),請求台帳!$Q$5:$Q$504,"&lt;&gt;取消"))</f>
        <v/>
      </c>
      <c r="X78" s="27" t="str">
        <f aca="false">IF($A78="","",SUMIFS(入金明細!$E$5:$E$1004,入金明細!$G$5:$G$1004,$A78,入金明細!$B$5:$B$1004,"&gt;="&amp;W$3,入金明細!$B$5:$B$1004,"&lt;"&amp;DATE(YEAR(W$3),MONTH(W$3)+1,1)))</f>
        <v/>
      </c>
      <c r="Y78" s="27" t="str">
        <f aca="false">IF($A78="","",SUMIFS(請求台帳!$F$5:$F$504,請求台帳!$C$5:$C$504,$A78,請求台帳!$B$5:$B$504,"&gt;="&amp;Y$3,請求台帳!$B$5:$B$504,"&lt;"&amp;DATE(YEAR(Y$3),MONTH(Y$3)+1,1),請求台帳!$Q$5:$Q$504,"&lt;&gt;取消"))</f>
        <v/>
      </c>
      <c r="Z78" s="27" t="str">
        <f aca="false">IF($A78="","",SUMIFS(入金明細!$E$5:$E$1004,入金明細!$G$5:$G$1004,$A78,入金明細!$B$5:$B$1004,"&gt;="&amp;Y$3,入金明細!$B$5:$B$1004,"&lt;"&amp;DATE(YEAR(Y$3),MONTH(Y$3)+1,1)))</f>
        <v/>
      </c>
      <c r="AA78" s="37" t="n">
        <f aca="false">SUM(C78,E78,G78,I78,K78,M78,O78,Q78,S78,U78,W78,Y78)</f>
        <v>0</v>
      </c>
      <c r="AB78" s="37" t="n">
        <f aca="false">SUM(D78,F78,H78,J78,L78,N78,P78,R78,T78,V78,X78,Z78)</f>
        <v>0</v>
      </c>
    </row>
    <row r="79" customFormat="false" ht="15" hidden="false" customHeight="false" outlineLevel="0" collapsed="false">
      <c r="A79" s="31" t="str">
        <f aca="false">IF(取引先マスタ!A79="","",取引先マスタ!A79)</f>
        <v/>
      </c>
      <c r="B79" s="31" t="str">
        <f aca="false">IF(A79="","",取引先マスタ!B79)</f>
        <v/>
      </c>
      <c r="C79" s="27" t="str">
        <f aca="false">IF($A79="","",SUMIFS(請求台帳!$F$5:$F$504,請求台帳!$C$5:$C$504,$A79,請求台帳!$B$5:$B$504,"&gt;="&amp;C$3,請求台帳!$B$5:$B$504,"&lt;"&amp;DATE(YEAR(C$3),MONTH(C$3)+1,1),請求台帳!$Q$5:$Q$504,"&lt;&gt;取消"))</f>
        <v/>
      </c>
      <c r="D79" s="27" t="str">
        <f aca="false">IF($A79="","",SUMIFS(入金明細!$E$5:$E$1004,入金明細!$G$5:$G$1004,$A79,入金明細!$B$5:$B$1004,"&gt;="&amp;C$3,入金明細!$B$5:$B$1004,"&lt;"&amp;DATE(YEAR(C$3),MONTH(C$3)+1,1)))</f>
        <v/>
      </c>
      <c r="E79" s="27" t="str">
        <f aca="false">IF($A79="","",SUMIFS(請求台帳!$F$5:$F$504,請求台帳!$C$5:$C$504,$A79,請求台帳!$B$5:$B$504,"&gt;="&amp;E$3,請求台帳!$B$5:$B$504,"&lt;"&amp;DATE(YEAR(E$3),MONTH(E$3)+1,1),請求台帳!$Q$5:$Q$504,"&lt;&gt;取消"))</f>
        <v/>
      </c>
      <c r="F79" s="27" t="str">
        <f aca="false">IF($A79="","",SUMIFS(入金明細!$E$5:$E$1004,入金明細!$G$5:$G$1004,$A79,入金明細!$B$5:$B$1004,"&gt;="&amp;E$3,入金明細!$B$5:$B$1004,"&lt;"&amp;DATE(YEAR(E$3),MONTH(E$3)+1,1)))</f>
        <v/>
      </c>
      <c r="G79" s="27" t="str">
        <f aca="false">IF($A79="","",SUMIFS(請求台帳!$F$5:$F$504,請求台帳!$C$5:$C$504,$A79,請求台帳!$B$5:$B$504,"&gt;="&amp;G$3,請求台帳!$B$5:$B$504,"&lt;"&amp;DATE(YEAR(G$3),MONTH(G$3)+1,1),請求台帳!$Q$5:$Q$504,"&lt;&gt;取消"))</f>
        <v/>
      </c>
      <c r="H79" s="27" t="str">
        <f aca="false">IF($A79="","",SUMIFS(入金明細!$E$5:$E$1004,入金明細!$G$5:$G$1004,$A79,入金明細!$B$5:$B$1004,"&gt;="&amp;G$3,入金明細!$B$5:$B$1004,"&lt;"&amp;DATE(YEAR(G$3),MONTH(G$3)+1,1)))</f>
        <v/>
      </c>
      <c r="I79" s="27" t="str">
        <f aca="false">IF($A79="","",SUMIFS(請求台帳!$F$5:$F$504,請求台帳!$C$5:$C$504,$A79,請求台帳!$B$5:$B$504,"&gt;="&amp;I$3,請求台帳!$B$5:$B$504,"&lt;"&amp;DATE(YEAR(I$3),MONTH(I$3)+1,1),請求台帳!$Q$5:$Q$504,"&lt;&gt;取消"))</f>
        <v/>
      </c>
      <c r="J79" s="27" t="str">
        <f aca="false">IF($A79="","",SUMIFS(入金明細!$E$5:$E$1004,入金明細!$G$5:$G$1004,$A79,入金明細!$B$5:$B$1004,"&gt;="&amp;I$3,入金明細!$B$5:$B$1004,"&lt;"&amp;DATE(YEAR(I$3),MONTH(I$3)+1,1)))</f>
        <v/>
      </c>
      <c r="K79" s="27" t="str">
        <f aca="false">IF($A79="","",SUMIFS(請求台帳!$F$5:$F$504,請求台帳!$C$5:$C$504,$A79,請求台帳!$B$5:$B$504,"&gt;="&amp;K$3,請求台帳!$B$5:$B$504,"&lt;"&amp;DATE(YEAR(K$3),MONTH(K$3)+1,1),請求台帳!$Q$5:$Q$504,"&lt;&gt;取消"))</f>
        <v/>
      </c>
      <c r="L79" s="27" t="str">
        <f aca="false">IF($A79="","",SUMIFS(入金明細!$E$5:$E$1004,入金明細!$G$5:$G$1004,$A79,入金明細!$B$5:$B$1004,"&gt;="&amp;K$3,入金明細!$B$5:$B$1004,"&lt;"&amp;DATE(YEAR(K$3),MONTH(K$3)+1,1)))</f>
        <v/>
      </c>
      <c r="M79" s="27" t="str">
        <f aca="false">IF($A79="","",SUMIFS(請求台帳!$F$5:$F$504,請求台帳!$C$5:$C$504,$A79,請求台帳!$B$5:$B$504,"&gt;="&amp;M$3,請求台帳!$B$5:$B$504,"&lt;"&amp;DATE(YEAR(M$3),MONTH(M$3)+1,1),請求台帳!$Q$5:$Q$504,"&lt;&gt;取消"))</f>
        <v/>
      </c>
      <c r="N79" s="27" t="str">
        <f aca="false">IF($A79="","",SUMIFS(入金明細!$E$5:$E$1004,入金明細!$G$5:$G$1004,$A79,入金明細!$B$5:$B$1004,"&gt;="&amp;M$3,入金明細!$B$5:$B$1004,"&lt;"&amp;DATE(YEAR(M$3),MONTH(M$3)+1,1)))</f>
        <v/>
      </c>
      <c r="O79" s="27" t="str">
        <f aca="false">IF($A79="","",SUMIFS(請求台帳!$F$5:$F$504,請求台帳!$C$5:$C$504,$A79,請求台帳!$B$5:$B$504,"&gt;="&amp;O$3,請求台帳!$B$5:$B$504,"&lt;"&amp;DATE(YEAR(O$3),MONTH(O$3)+1,1),請求台帳!$Q$5:$Q$504,"&lt;&gt;取消"))</f>
        <v/>
      </c>
      <c r="P79" s="27" t="str">
        <f aca="false">IF($A79="","",SUMIFS(入金明細!$E$5:$E$1004,入金明細!$G$5:$G$1004,$A79,入金明細!$B$5:$B$1004,"&gt;="&amp;O$3,入金明細!$B$5:$B$1004,"&lt;"&amp;DATE(YEAR(O$3),MONTH(O$3)+1,1)))</f>
        <v/>
      </c>
      <c r="Q79" s="27" t="str">
        <f aca="false">IF($A79="","",SUMIFS(請求台帳!$F$5:$F$504,請求台帳!$C$5:$C$504,$A79,請求台帳!$B$5:$B$504,"&gt;="&amp;Q$3,請求台帳!$B$5:$B$504,"&lt;"&amp;DATE(YEAR(Q$3),MONTH(Q$3)+1,1),請求台帳!$Q$5:$Q$504,"&lt;&gt;取消"))</f>
        <v/>
      </c>
      <c r="R79" s="27" t="str">
        <f aca="false">IF($A79="","",SUMIFS(入金明細!$E$5:$E$1004,入金明細!$G$5:$G$1004,$A79,入金明細!$B$5:$B$1004,"&gt;="&amp;Q$3,入金明細!$B$5:$B$1004,"&lt;"&amp;DATE(YEAR(Q$3),MONTH(Q$3)+1,1)))</f>
        <v/>
      </c>
      <c r="S79" s="27" t="str">
        <f aca="false">IF($A79="","",SUMIFS(請求台帳!$F$5:$F$504,請求台帳!$C$5:$C$504,$A79,請求台帳!$B$5:$B$504,"&gt;="&amp;S$3,請求台帳!$B$5:$B$504,"&lt;"&amp;DATE(YEAR(S$3),MONTH(S$3)+1,1),請求台帳!$Q$5:$Q$504,"&lt;&gt;取消"))</f>
        <v/>
      </c>
      <c r="T79" s="27" t="str">
        <f aca="false">IF($A79="","",SUMIFS(入金明細!$E$5:$E$1004,入金明細!$G$5:$G$1004,$A79,入金明細!$B$5:$B$1004,"&gt;="&amp;S$3,入金明細!$B$5:$B$1004,"&lt;"&amp;DATE(YEAR(S$3),MONTH(S$3)+1,1)))</f>
        <v/>
      </c>
      <c r="U79" s="27" t="str">
        <f aca="false">IF($A79="","",SUMIFS(請求台帳!$F$5:$F$504,請求台帳!$C$5:$C$504,$A79,請求台帳!$B$5:$B$504,"&gt;="&amp;U$3,請求台帳!$B$5:$B$504,"&lt;"&amp;DATE(YEAR(U$3),MONTH(U$3)+1,1),請求台帳!$Q$5:$Q$504,"&lt;&gt;取消"))</f>
        <v/>
      </c>
      <c r="V79" s="27" t="str">
        <f aca="false">IF($A79="","",SUMIFS(入金明細!$E$5:$E$1004,入金明細!$G$5:$G$1004,$A79,入金明細!$B$5:$B$1004,"&gt;="&amp;U$3,入金明細!$B$5:$B$1004,"&lt;"&amp;DATE(YEAR(U$3),MONTH(U$3)+1,1)))</f>
        <v/>
      </c>
      <c r="W79" s="27" t="str">
        <f aca="false">IF($A79="","",SUMIFS(請求台帳!$F$5:$F$504,請求台帳!$C$5:$C$504,$A79,請求台帳!$B$5:$B$504,"&gt;="&amp;W$3,請求台帳!$B$5:$B$504,"&lt;"&amp;DATE(YEAR(W$3),MONTH(W$3)+1,1),請求台帳!$Q$5:$Q$504,"&lt;&gt;取消"))</f>
        <v/>
      </c>
      <c r="X79" s="27" t="str">
        <f aca="false">IF($A79="","",SUMIFS(入金明細!$E$5:$E$1004,入金明細!$G$5:$G$1004,$A79,入金明細!$B$5:$B$1004,"&gt;="&amp;W$3,入金明細!$B$5:$B$1004,"&lt;"&amp;DATE(YEAR(W$3),MONTH(W$3)+1,1)))</f>
        <v/>
      </c>
      <c r="Y79" s="27" t="str">
        <f aca="false">IF($A79="","",SUMIFS(請求台帳!$F$5:$F$504,請求台帳!$C$5:$C$504,$A79,請求台帳!$B$5:$B$504,"&gt;="&amp;Y$3,請求台帳!$B$5:$B$504,"&lt;"&amp;DATE(YEAR(Y$3),MONTH(Y$3)+1,1),請求台帳!$Q$5:$Q$504,"&lt;&gt;取消"))</f>
        <v/>
      </c>
      <c r="Z79" s="27" t="str">
        <f aca="false">IF($A79="","",SUMIFS(入金明細!$E$5:$E$1004,入金明細!$G$5:$G$1004,$A79,入金明細!$B$5:$B$1004,"&gt;="&amp;Y$3,入金明細!$B$5:$B$1004,"&lt;"&amp;DATE(YEAR(Y$3),MONTH(Y$3)+1,1)))</f>
        <v/>
      </c>
      <c r="AA79" s="37" t="n">
        <f aca="false">SUM(C79,E79,G79,I79,K79,M79,O79,Q79,S79,U79,W79,Y79)</f>
        <v>0</v>
      </c>
      <c r="AB79" s="37" t="n">
        <f aca="false">SUM(D79,F79,H79,J79,L79,N79,P79,R79,T79,V79,X79,Z79)</f>
        <v>0</v>
      </c>
    </row>
    <row r="80" customFormat="false" ht="15" hidden="false" customHeight="false" outlineLevel="0" collapsed="false">
      <c r="A80" s="31" t="str">
        <f aca="false">IF(取引先マスタ!A80="","",取引先マスタ!A80)</f>
        <v/>
      </c>
      <c r="B80" s="31" t="str">
        <f aca="false">IF(A80="","",取引先マスタ!B80)</f>
        <v/>
      </c>
      <c r="C80" s="27" t="str">
        <f aca="false">IF($A80="","",SUMIFS(請求台帳!$F$5:$F$504,請求台帳!$C$5:$C$504,$A80,請求台帳!$B$5:$B$504,"&gt;="&amp;C$3,請求台帳!$B$5:$B$504,"&lt;"&amp;DATE(YEAR(C$3),MONTH(C$3)+1,1),請求台帳!$Q$5:$Q$504,"&lt;&gt;取消"))</f>
        <v/>
      </c>
      <c r="D80" s="27" t="str">
        <f aca="false">IF($A80="","",SUMIFS(入金明細!$E$5:$E$1004,入金明細!$G$5:$G$1004,$A80,入金明細!$B$5:$B$1004,"&gt;="&amp;C$3,入金明細!$B$5:$B$1004,"&lt;"&amp;DATE(YEAR(C$3),MONTH(C$3)+1,1)))</f>
        <v/>
      </c>
      <c r="E80" s="27" t="str">
        <f aca="false">IF($A80="","",SUMIFS(請求台帳!$F$5:$F$504,請求台帳!$C$5:$C$504,$A80,請求台帳!$B$5:$B$504,"&gt;="&amp;E$3,請求台帳!$B$5:$B$504,"&lt;"&amp;DATE(YEAR(E$3),MONTH(E$3)+1,1),請求台帳!$Q$5:$Q$504,"&lt;&gt;取消"))</f>
        <v/>
      </c>
      <c r="F80" s="27" t="str">
        <f aca="false">IF($A80="","",SUMIFS(入金明細!$E$5:$E$1004,入金明細!$G$5:$G$1004,$A80,入金明細!$B$5:$B$1004,"&gt;="&amp;E$3,入金明細!$B$5:$B$1004,"&lt;"&amp;DATE(YEAR(E$3),MONTH(E$3)+1,1)))</f>
        <v/>
      </c>
      <c r="G80" s="27" t="str">
        <f aca="false">IF($A80="","",SUMIFS(請求台帳!$F$5:$F$504,請求台帳!$C$5:$C$504,$A80,請求台帳!$B$5:$B$504,"&gt;="&amp;G$3,請求台帳!$B$5:$B$504,"&lt;"&amp;DATE(YEAR(G$3),MONTH(G$3)+1,1),請求台帳!$Q$5:$Q$504,"&lt;&gt;取消"))</f>
        <v/>
      </c>
      <c r="H80" s="27" t="str">
        <f aca="false">IF($A80="","",SUMIFS(入金明細!$E$5:$E$1004,入金明細!$G$5:$G$1004,$A80,入金明細!$B$5:$B$1004,"&gt;="&amp;G$3,入金明細!$B$5:$B$1004,"&lt;"&amp;DATE(YEAR(G$3),MONTH(G$3)+1,1)))</f>
        <v/>
      </c>
      <c r="I80" s="27" t="str">
        <f aca="false">IF($A80="","",SUMIFS(請求台帳!$F$5:$F$504,請求台帳!$C$5:$C$504,$A80,請求台帳!$B$5:$B$504,"&gt;="&amp;I$3,請求台帳!$B$5:$B$504,"&lt;"&amp;DATE(YEAR(I$3),MONTH(I$3)+1,1),請求台帳!$Q$5:$Q$504,"&lt;&gt;取消"))</f>
        <v/>
      </c>
      <c r="J80" s="27" t="str">
        <f aca="false">IF($A80="","",SUMIFS(入金明細!$E$5:$E$1004,入金明細!$G$5:$G$1004,$A80,入金明細!$B$5:$B$1004,"&gt;="&amp;I$3,入金明細!$B$5:$B$1004,"&lt;"&amp;DATE(YEAR(I$3),MONTH(I$3)+1,1)))</f>
        <v/>
      </c>
      <c r="K80" s="27" t="str">
        <f aca="false">IF($A80="","",SUMIFS(請求台帳!$F$5:$F$504,請求台帳!$C$5:$C$504,$A80,請求台帳!$B$5:$B$504,"&gt;="&amp;K$3,請求台帳!$B$5:$B$504,"&lt;"&amp;DATE(YEAR(K$3),MONTH(K$3)+1,1),請求台帳!$Q$5:$Q$504,"&lt;&gt;取消"))</f>
        <v/>
      </c>
      <c r="L80" s="27" t="str">
        <f aca="false">IF($A80="","",SUMIFS(入金明細!$E$5:$E$1004,入金明細!$G$5:$G$1004,$A80,入金明細!$B$5:$B$1004,"&gt;="&amp;K$3,入金明細!$B$5:$B$1004,"&lt;"&amp;DATE(YEAR(K$3),MONTH(K$3)+1,1)))</f>
        <v/>
      </c>
      <c r="M80" s="27" t="str">
        <f aca="false">IF($A80="","",SUMIFS(請求台帳!$F$5:$F$504,請求台帳!$C$5:$C$504,$A80,請求台帳!$B$5:$B$504,"&gt;="&amp;M$3,請求台帳!$B$5:$B$504,"&lt;"&amp;DATE(YEAR(M$3),MONTH(M$3)+1,1),請求台帳!$Q$5:$Q$504,"&lt;&gt;取消"))</f>
        <v/>
      </c>
      <c r="N80" s="27" t="str">
        <f aca="false">IF($A80="","",SUMIFS(入金明細!$E$5:$E$1004,入金明細!$G$5:$G$1004,$A80,入金明細!$B$5:$B$1004,"&gt;="&amp;M$3,入金明細!$B$5:$B$1004,"&lt;"&amp;DATE(YEAR(M$3),MONTH(M$3)+1,1)))</f>
        <v/>
      </c>
      <c r="O80" s="27" t="str">
        <f aca="false">IF($A80="","",SUMIFS(請求台帳!$F$5:$F$504,請求台帳!$C$5:$C$504,$A80,請求台帳!$B$5:$B$504,"&gt;="&amp;O$3,請求台帳!$B$5:$B$504,"&lt;"&amp;DATE(YEAR(O$3),MONTH(O$3)+1,1),請求台帳!$Q$5:$Q$504,"&lt;&gt;取消"))</f>
        <v/>
      </c>
      <c r="P80" s="27" t="str">
        <f aca="false">IF($A80="","",SUMIFS(入金明細!$E$5:$E$1004,入金明細!$G$5:$G$1004,$A80,入金明細!$B$5:$B$1004,"&gt;="&amp;O$3,入金明細!$B$5:$B$1004,"&lt;"&amp;DATE(YEAR(O$3),MONTH(O$3)+1,1)))</f>
        <v/>
      </c>
      <c r="Q80" s="27" t="str">
        <f aca="false">IF($A80="","",SUMIFS(請求台帳!$F$5:$F$504,請求台帳!$C$5:$C$504,$A80,請求台帳!$B$5:$B$504,"&gt;="&amp;Q$3,請求台帳!$B$5:$B$504,"&lt;"&amp;DATE(YEAR(Q$3),MONTH(Q$3)+1,1),請求台帳!$Q$5:$Q$504,"&lt;&gt;取消"))</f>
        <v/>
      </c>
      <c r="R80" s="27" t="str">
        <f aca="false">IF($A80="","",SUMIFS(入金明細!$E$5:$E$1004,入金明細!$G$5:$G$1004,$A80,入金明細!$B$5:$B$1004,"&gt;="&amp;Q$3,入金明細!$B$5:$B$1004,"&lt;"&amp;DATE(YEAR(Q$3),MONTH(Q$3)+1,1)))</f>
        <v/>
      </c>
      <c r="S80" s="27" t="str">
        <f aca="false">IF($A80="","",SUMIFS(請求台帳!$F$5:$F$504,請求台帳!$C$5:$C$504,$A80,請求台帳!$B$5:$B$504,"&gt;="&amp;S$3,請求台帳!$B$5:$B$504,"&lt;"&amp;DATE(YEAR(S$3),MONTH(S$3)+1,1),請求台帳!$Q$5:$Q$504,"&lt;&gt;取消"))</f>
        <v/>
      </c>
      <c r="T80" s="27" t="str">
        <f aca="false">IF($A80="","",SUMIFS(入金明細!$E$5:$E$1004,入金明細!$G$5:$G$1004,$A80,入金明細!$B$5:$B$1004,"&gt;="&amp;S$3,入金明細!$B$5:$B$1004,"&lt;"&amp;DATE(YEAR(S$3),MONTH(S$3)+1,1)))</f>
        <v/>
      </c>
      <c r="U80" s="27" t="str">
        <f aca="false">IF($A80="","",SUMIFS(請求台帳!$F$5:$F$504,請求台帳!$C$5:$C$504,$A80,請求台帳!$B$5:$B$504,"&gt;="&amp;U$3,請求台帳!$B$5:$B$504,"&lt;"&amp;DATE(YEAR(U$3),MONTH(U$3)+1,1),請求台帳!$Q$5:$Q$504,"&lt;&gt;取消"))</f>
        <v/>
      </c>
      <c r="V80" s="27" t="str">
        <f aca="false">IF($A80="","",SUMIFS(入金明細!$E$5:$E$1004,入金明細!$G$5:$G$1004,$A80,入金明細!$B$5:$B$1004,"&gt;="&amp;U$3,入金明細!$B$5:$B$1004,"&lt;"&amp;DATE(YEAR(U$3),MONTH(U$3)+1,1)))</f>
        <v/>
      </c>
      <c r="W80" s="27" t="str">
        <f aca="false">IF($A80="","",SUMIFS(請求台帳!$F$5:$F$504,請求台帳!$C$5:$C$504,$A80,請求台帳!$B$5:$B$504,"&gt;="&amp;W$3,請求台帳!$B$5:$B$504,"&lt;"&amp;DATE(YEAR(W$3),MONTH(W$3)+1,1),請求台帳!$Q$5:$Q$504,"&lt;&gt;取消"))</f>
        <v/>
      </c>
      <c r="X80" s="27" t="str">
        <f aca="false">IF($A80="","",SUMIFS(入金明細!$E$5:$E$1004,入金明細!$G$5:$G$1004,$A80,入金明細!$B$5:$B$1004,"&gt;="&amp;W$3,入金明細!$B$5:$B$1004,"&lt;"&amp;DATE(YEAR(W$3),MONTH(W$3)+1,1)))</f>
        <v/>
      </c>
      <c r="Y80" s="27" t="str">
        <f aca="false">IF($A80="","",SUMIFS(請求台帳!$F$5:$F$504,請求台帳!$C$5:$C$504,$A80,請求台帳!$B$5:$B$504,"&gt;="&amp;Y$3,請求台帳!$B$5:$B$504,"&lt;"&amp;DATE(YEAR(Y$3),MONTH(Y$3)+1,1),請求台帳!$Q$5:$Q$504,"&lt;&gt;取消"))</f>
        <v/>
      </c>
      <c r="Z80" s="27" t="str">
        <f aca="false">IF($A80="","",SUMIFS(入金明細!$E$5:$E$1004,入金明細!$G$5:$G$1004,$A80,入金明細!$B$5:$B$1004,"&gt;="&amp;Y$3,入金明細!$B$5:$B$1004,"&lt;"&amp;DATE(YEAR(Y$3),MONTH(Y$3)+1,1)))</f>
        <v/>
      </c>
      <c r="AA80" s="37" t="n">
        <f aca="false">SUM(C80,E80,G80,I80,K80,M80,O80,Q80,S80,U80,W80,Y80)</f>
        <v>0</v>
      </c>
      <c r="AB80" s="37" t="n">
        <f aca="false">SUM(D80,F80,H80,J80,L80,N80,P80,R80,T80,V80,X80,Z80)</f>
        <v>0</v>
      </c>
    </row>
    <row r="81" customFormat="false" ht="15" hidden="false" customHeight="false" outlineLevel="0" collapsed="false">
      <c r="A81" s="31" t="str">
        <f aca="false">IF(取引先マスタ!A81="","",取引先マスタ!A81)</f>
        <v/>
      </c>
      <c r="B81" s="31" t="str">
        <f aca="false">IF(A81="","",取引先マスタ!B81)</f>
        <v/>
      </c>
      <c r="C81" s="27" t="str">
        <f aca="false">IF($A81="","",SUMIFS(請求台帳!$F$5:$F$504,請求台帳!$C$5:$C$504,$A81,請求台帳!$B$5:$B$504,"&gt;="&amp;C$3,請求台帳!$B$5:$B$504,"&lt;"&amp;DATE(YEAR(C$3),MONTH(C$3)+1,1),請求台帳!$Q$5:$Q$504,"&lt;&gt;取消"))</f>
        <v/>
      </c>
      <c r="D81" s="27" t="str">
        <f aca="false">IF($A81="","",SUMIFS(入金明細!$E$5:$E$1004,入金明細!$G$5:$G$1004,$A81,入金明細!$B$5:$B$1004,"&gt;="&amp;C$3,入金明細!$B$5:$B$1004,"&lt;"&amp;DATE(YEAR(C$3),MONTH(C$3)+1,1)))</f>
        <v/>
      </c>
      <c r="E81" s="27" t="str">
        <f aca="false">IF($A81="","",SUMIFS(請求台帳!$F$5:$F$504,請求台帳!$C$5:$C$504,$A81,請求台帳!$B$5:$B$504,"&gt;="&amp;E$3,請求台帳!$B$5:$B$504,"&lt;"&amp;DATE(YEAR(E$3),MONTH(E$3)+1,1),請求台帳!$Q$5:$Q$504,"&lt;&gt;取消"))</f>
        <v/>
      </c>
      <c r="F81" s="27" t="str">
        <f aca="false">IF($A81="","",SUMIFS(入金明細!$E$5:$E$1004,入金明細!$G$5:$G$1004,$A81,入金明細!$B$5:$B$1004,"&gt;="&amp;E$3,入金明細!$B$5:$B$1004,"&lt;"&amp;DATE(YEAR(E$3),MONTH(E$3)+1,1)))</f>
        <v/>
      </c>
      <c r="G81" s="27" t="str">
        <f aca="false">IF($A81="","",SUMIFS(請求台帳!$F$5:$F$504,請求台帳!$C$5:$C$504,$A81,請求台帳!$B$5:$B$504,"&gt;="&amp;G$3,請求台帳!$B$5:$B$504,"&lt;"&amp;DATE(YEAR(G$3),MONTH(G$3)+1,1),請求台帳!$Q$5:$Q$504,"&lt;&gt;取消"))</f>
        <v/>
      </c>
      <c r="H81" s="27" t="str">
        <f aca="false">IF($A81="","",SUMIFS(入金明細!$E$5:$E$1004,入金明細!$G$5:$G$1004,$A81,入金明細!$B$5:$B$1004,"&gt;="&amp;G$3,入金明細!$B$5:$B$1004,"&lt;"&amp;DATE(YEAR(G$3),MONTH(G$3)+1,1)))</f>
        <v/>
      </c>
      <c r="I81" s="27" t="str">
        <f aca="false">IF($A81="","",SUMIFS(請求台帳!$F$5:$F$504,請求台帳!$C$5:$C$504,$A81,請求台帳!$B$5:$B$504,"&gt;="&amp;I$3,請求台帳!$B$5:$B$504,"&lt;"&amp;DATE(YEAR(I$3),MONTH(I$3)+1,1),請求台帳!$Q$5:$Q$504,"&lt;&gt;取消"))</f>
        <v/>
      </c>
      <c r="J81" s="27" t="str">
        <f aca="false">IF($A81="","",SUMIFS(入金明細!$E$5:$E$1004,入金明細!$G$5:$G$1004,$A81,入金明細!$B$5:$B$1004,"&gt;="&amp;I$3,入金明細!$B$5:$B$1004,"&lt;"&amp;DATE(YEAR(I$3),MONTH(I$3)+1,1)))</f>
        <v/>
      </c>
      <c r="K81" s="27" t="str">
        <f aca="false">IF($A81="","",SUMIFS(請求台帳!$F$5:$F$504,請求台帳!$C$5:$C$504,$A81,請求台帳!$B$5:$B$504,"&gt;="&amp;K$3,請求台帳!$B$5:$B$504,"&lt;"&amp;DATE(YEAR(K$3),MONTH(K$3)+1,1),請求台帳!$Q$5:$Q$504,"&lt;&gt;取消"))</f>
        <v/>
      </c>
      <c r="L81" s="27" t="str">
        <f aca="false">IF($A81="","",SUMIFS(入金明細!$E$5:$E$1004,入金明細!$G$5:$G$1004,$A81,入金明細!$B$5:$B$1004,"&gt;="&amp;K$3,入金明細!$B$5:$B$1004,"&lt;"&amp;DATE(YEAR(K$3),MONTH(K$3)+1,1)))</f>
        <v/>
      </c>
      <c r="M81" s="27" t="str">
        <f aca="false">IF($A81="","",SUMIFS(請求台帳!$F$5:$F$504,請求台帳!$C$5:$C$504,$A81,請求台帳!$B$5:$B$504,"&gt;="&amp;M$3,請求台帳!$B$5:$B$504,"&lt;"&amp;DATE(YEAR(M$3),MONTH(M$3)+1,1),請求台帳!$Q$5:$Q$504,"&lt;&gt;取消"))</f>
        <v/>
      </c>
      <c r="N81" s="27" t="str">
        <f aca="false">IF($A81="","",SUMIFS(入金明細!$E$5:$E$1004,入金明細!$G$5:$G$1004,$A81,入金明細!$B$5:$B$1004,"&gt;="&amp;M$3,入金明細!$B$5:$B$1004,"&lt;"&amp;DATE(YEAR(M$3),MONTH(M$3)+1,1)))</f>
        <v/>
      </c>
      <c r="O81" s="27" t="str">
        <f aca="false">IF($A81="","",SUMIFS(請求台帳!$F$5:$F$504,請求台帳!$C$5:$C$504,$A81,請求台帳!$B$5:$B$504,"&gt;="&amp;O$3,請求台帳!$B$5:$B$504,"&lt;"&amp;DATE(YEAR(O$3),MONTH(O$3)+1,1),請求台帳!$Q$5:$Q$504,"&lt;&gt;取消"))</f>
        <v/>
      </c>
      <c r="P81" s="27" t="str">
        <f aca="false">IF($A81="","",SUMIFS(入金明細!$E$5:$E$1004,入金明細!$G$5:$G$1004,$A81,入金明細!$B$5:$B$1004,"&gt;="&amp;O$3,入金明細!$B$5:$B$1004,"&lt;"&amp;DATE(YEAR(O$3),MONTH(O$3)+1,1)))</f>
        <v/>
      </c>
      <c r="Q81" s="27" t="str">
        <f aca="false">IF($A81="","",SUMIFS(請求台帳!$F$5:$F$504,請求台帳!$C$5:$C$504,$A81,請求台帳!$B$5:$B$504,"&gt;="&amp;Q$3,請求台帳!$B$5:$B$504,"&lt;"&amp;DATE(YEAR(Q$3),MONTH(Q$3)+1,1),請求台帳!$Q$5:$Q$504,"&lt;&gt;取消"))</f>
        <v/>
      </c>
      <c r="R81" s="27" t="str">
        <f aca="false">IF($A81="","",SUMIFS(入金明細!$E$5:$E$1004,入金明細!$G$5:$G$1004,$A81,入金明細!$B$5:$B$1004,"&gt;="&amp;Q$3,入金明細!$B$5:$B$1004,"&lt;"&amp;DATE(YEAR(Q$3),MONTH(Q$3)+1,1)))</f>
        <v/>
      </c>
      <c r="S81" s="27" t="str">
        <f aca="false">IF($A81="","",SUMIFS(請求台帳!$F$5:$F$504,請求台帳!$C$5:$C$504,$A81,請求台帳!$B$5:$B$504,"&gt;="&amp;S$3,請求台帳!$B$5:$B$504,"&lt;"&amp;DATE(YEAR(S$3),MONTH(S$3)+1,1),請求台帳!$Q$5:$Q$504,"&lt;&gt;取消"))</f>
        <v/>
      </c>
      <c r="T81" s="27" t="str">
        <f aca="false">IF($A81="","",SUMIFS(入金明細!$E$5:$E$1004,入金明細!$G$5:$G$1004,$A81,入金明細!$B$5:$B$1004,"&gt;="&amp;S$3,入金明細!$B$5:$B$1004,"&lt;"&amp;DATE(YEAR(S$3),MONTH(S$3)+1,1)))</f>
        <v/>
      </c>
      <c r="U81" s="27" t="str">
        <f aca="false">IF($A81="","",SUMIFS(請求台帳!$F$5:$F$504,請求台帳!$C$5:$C$504,$A81,請求台帳!$B$5:$B$504,"&gt;="&amp;U$3,請求台帳!$B$5:$B$504,"&lt;"&amp;DATE(YEAR(U$3),MONTH(U$3)+1,1),請求台帳!$Q$5:$Q$504,"&lt;&gt;取消"))</f>
        <v/>
      </c>
      <c r="V81" s="27" t="str">
        <f aca="false">IF($A81="","",SUMIFS(入金明細!$E$5:$E$1004,入金明細!$G$5:$G$1004,$A81,入金明細!$B$5:$B$1004,"&gt;="&amp;U$3,入金明細!$B$5:$B$1004,"&lt;"&amp;DATE(YEAR(U$3),MONTH(U$3)+1,1)))</f>
        <v/>
      </c>
      <c r="W81" s="27" t="str">
        <f aca="false">IF($A81="","",SUMIFS(請求台帳!$F$5:$F$504,請求台帳!$C$5:$C$504,$A81,請求台帳!$B$5:$B$504,"&gt;="&amp;W$3,請求台帳!$B$5:$B$504,"&lt;"&amp;DATE(YEAR(W$3),MONTH(W$3)+1,1),請求台帳!$Q$5:$Q$504,"&lt;&gt;取消"))</f>
        <v/>
      </c>
      <c r="X81" s="27" t="str">
        <f aca="false">IF($A81="","",SUMIFS(入金明細!$E$5:$E$1004,入金明細!$G$5:$G$1004,$A81,入金明細!$B$5:$B$1004,"&gt;="&amp;W$3,入金明細!$B$5:$B$1004,"&lt;"&amp;DATE(YEAR(W$3),MONTH(W$3)+1,1)))</f>
        <v/>
      </c>
      <c r="Y81" s="27" t="str">
        <f aca="false">IF($A81="","",SUMIFS(請求台帳!$F$5:$F$504,請求台帳!$C$5:$C$504,$A81,請求台帳!$B$5:$B$504,"&gt;="&amp;Y$3,請求台帳!$B$5:$B$504,"&lt;"&amp;DATE(YEAR(Y$3),MONTH(Y$3)+1,1),請求台帳!$Q$5:$Q$504,"&lt;&gt;取消"))</f>
        <v/>
      </c>
      <c r="Z81" s="27" t="str">
        <f aca="false">IF($A81="","",SUMIFS(入金明細!$E$5:$E$1004,入金明細!$G$5:$G$1004,$A81,入金明細!$B$5:$B$1004,"&gt;="&amp;Y$3,入金明細!$B$5:$B$1004,"&lt;"&amp;DATE(YEAR(Y$3),MONTH(Y$3)+1,1)))</f>
        <v/>
      </c>
      <c r="AA81" s="37" t="n">
        <f aca="false">SUM(C81,E81,G81,I81,K81,M81,O81,Q81,S81,U81,W81,Y81)</f>
        <v>0</v>
      </c>
      <c r="AB81" s="37" t="n">
        <f aca="false">SUM(D81,F81,H81,J81,L81,N81,P81,R81,T81,V81,X81,Z81)</f>
        <v>0</v>
      </c>
    </row>
    <row r="82" customFormat="false" ht="15" hidden="false" customHeight="false" outlineLevel="0" collapsed="false">
      <c r="A82" s="31" t="str">
        <f aca="false">IF(取引先マスタ!A82="","",取引先マスタ!A82)</f>
        <v/>
      </c>
      <c r="B82" s="31" t="str">
        <f aca="false">IF(A82="","",取引先マスタ!B82)</f>
        <v/>
      </c>
      <c r="C82" s="27" t="str">
        <f aca="false">IF($A82="","",SUMIFS(請求台帳!$F$5:$F$504,請求台帳!$C$5:$C$504,$A82,請求台帳!$B$5:$B$504,"&gt;="&amp;C$3,請求台帳!$B$5:$B$504,"&lt;"&amp;DATE(YEAR(C$3),MONTH(C$3)+1,1),請求台帳!$Q$5:$Q$504,"&lt;&gt;取消"))</f>
        <v/>
      </c>
      <c r="D82" s="27" t="str">
        <f aca="false">IF($A82="","",SUMIFS(入金明細!$E$5:$E$1004,入金明細!$G$5:$G$1004,$A82,入金明細!$B$5:$B$1004,"&gt;="&amp;C$3,入金明細!$B$5:$B$1004,"&lt;"&amp;DATE(YEAR(C$3),MONTH(C$3)+1,1)))</f>
        <v/>
      </c>
      <c r="E82" s="27" t="str">
        <f aca="false">IF($A82="","",SUMIFS(請求台帳!$F$5:$F$504,請求台帳!$C$5:$C$504,$A82,請求台帳!$B$5:$B$504,"&gt;="&amp;E$3,請求台帳!$B$5:$B$504,"&lt;"&amp;DATE(YEAR(E$3),MONTH(E$3)+1,1),請求台帳!$Q$5:$Q$504,"&lt;&gt;取消"))</f>
        <v/>
      </c>
      <c r="F82" s="27" t="str">
        <f aca="false">IF($A82="","",SUMIFS(入金明細!$E$5:$E$1004,入金明細!$G$5:$G$1004,$A82,入金明細!$B$5:$B$1004,"&gt;="&amp;E$3,入金明細!$B$5:$B$1004,"&lt;"&amp;DATE(YEAR(E$3),MONTH(E$3)+1,1)))</f>
        <v/>
      </c>
      <c r="G82" s="27" t="str">
        <f aca="false">IF($A82="","",SUMIFS(請求台帳!$F$5:$F$504,請求台帳!$C$5:$C$504,$A82,請求台帳!$B$5:$B$504,"&gt;="&amp;G$3,請求台帳!$B$5:$B$504,"&lt;"&amp;DATE(YEAR(G$3),MONTH(G$3)+1,1),請求台帳!$Q$5:$Q$504,"&lt;&gt;取消"))</f>
        <v/>
      </c>
      <c r="H82" s="27" t="str">
        <f aca="false">IF($A82="","",SUMIFS(入金明細!$E$5:$E$1004,入金明細!$G$5:$G$1004,$A82,入金明細!$B$5:$B$1004,"&gt;="&amp;G$3,入金明細!$B$5:$B$1004,"&lt;"&amp;DATE(YEAR(G$3),MONTH(G$3)+1,1)))</f>
        <v/>
      </c>
      <c r="I82" s="27" t="str">
        <f aca="false">IF($A82="","",SUMIFS(請求台帳!$F$5:$F$504,請求台帳!$C$5:$C$504,$A82,請求台帳!$B$5:$B$504,"&gt;="&amp;I$3,請求台帳!$B$5:$B$504,"&lt;"&amp;DATE(YEAR(I$3),MONTH(I$3)+1,1),請求台帳!$Q$5:$Q$504,"&lt;&gt;取消"))</f>
        <v/>
      </c>
      <c r="J82" s="27" t="str">
        <f aca="false">IF($A82="","",SUMIFS(入金明細!$E$5:$E$1004,入金明細!$G$5:$G$1004,$A82,入金明細!$B$5:$B$1004,"&gt;="&amp;I$3,入金明細!$B$5:$B$1004,"&lt;"&amp;DATE(YEAR(I$3),MONTH(I$3)+1,1)))</f>
        <v/>
      </c>
      <c r="K82" s="27" t="str">
        <f aca="false">IF($A82="","",SUMIFS(請求台帳!$F$5:$F$504,請求台帳!$C$5:$C$504,$A82,請求台帳!$B$5:$B$504,"&gt;="&amp;K$3,請求台帳!$B$5:$B$504,"&lt;"&amp;DATE(YEAR(K$3),MONTH(K$3)+1,1),請求台帳!$Q$5:$Q$504,"&lt;&gt;取消"))</f>
        <v/>
      </c>
      <c r="L82" s="27" t="str">
        <f aca="false">IF($A82="","",SUMIFS(入金明細!$E$5:$E$1004,入金明細!$G$5:$G$1004,$A82,入金明細!$B$5:$B$1004,"&gt;="&amp;K$3,入金明細!$B$5:$B$1004,"&lt;"&amp;DATE(YEAR(K$3),MONTH(K$3)+1,1)))</f>
        <v/>
      </c>
      <c r="M82" s="27" t="str">
        <f aca="false">IF($A82="","",SUMIFS(請求台帳!$F$5:$F$504,請求台帳!$C$5:$C$504,$A82,請求台帳!$B$5:$B$504,"&gt;="&amp;M$3,請求台帳!$B$5:$B$504,"&lt;"&amp;DATE(YEAR(M$3),MONTH(M$3)+1,1),請求台帳!$Q$5:$Q$504,"&lt;&gt;取消"))</f>
        <v/>
      </c>
      <c r="N82" s="27" t="str">
        <f aca="false">IF($A82="","",SUMIFS(入金明細!$E$5:$E$1004,入金明細!$G$5:$G$1004,$A82,入金明細!$B$5:$B$1004,"&gt;="&amp;M$3,入金明細!$B$5:$B$1004,"&lt;"&amp;DATE(YEAR(M$3),MONTH(M$3)+1,1)))</f>
        <v/>
      </c>
      <c r="O82" s="27" t="str">
        <f aca="false">IF($A82="","",SUMIFS(請求台帳!$F$5:$F$504,請求台帳!$C$5:$C$504,$A82,請求台帳!$B$5:$B$504,"&gt;="&amp;O$3,請求台帳!$B$5:$B$504,"&lt;"&amp;DATE(YEAR(O$3),MONTH(O$3)+1,1),請求台帳!$Q$5:$Q$504,"&lt;&gt;取消"))</f>
        <v/>
      </c>
      <c r="P82" s="27" t="str">
        <f aca="false">IF($A82="","",SUMIFS(入金明細!$E$5:$E$1004,入金明細!$G$5:$G$1004,$A82,入金明細!$B$5:$B$1004,"&gt;="&amp;O$3,入金明細!$B$5:$B$1004,"&lt;"&amp;DATE(YEAR(O$3),MONTH(O$3)+1,1)))</f>
        <v/>
      </c>
      <c r="Q82" s="27" t="str">
        <f aca="false">IF($A82="","",SUMIFS(請求台帳!$F$5:$F$504,請求台帳!$C$5:$C$504,$A82,請求台帳!$B$5:$B$504,"&gt;="&amp;Q$3,請求台帳!$B$5:$B$504,"&lt;"&amp;DATE(YEAR(Q$3),MONTH(Q$3)+1,1),請求台帳!$Q$5:$Q$504,"&lt;&gt;取消"))</f>
        <v/>
      </c>
      <c r="R82" s="27" t="str">
        <f aca="false">IF($A82="","",SUMIFS(入金明細!$E$5:$E$1004,入金明細!$G$5:$G$1004,$A82,入金明細!$B$5:$B$1004,"&gt;="&amp;Q$3,入金明細!$B$5:$B$1004,"&lt;"&amp;DATE(YEAR(Q$3),MONTH(Q$3)+1,1)))</f>
        <v/>
      </c>
      <c r="S82" s="27" t="str">
        <f aca="false">IF($A82="","",SUMIFS(請求台帳!$F$5:$F$504,請求台帳!$C$5:$C$504,$A82,請求台帳!$B$5:$B$504,"&gt;="&amp;S$3,請求台帳!$B$5:$B$504,"&lt;"&amp;DATE(YEAR(S$3),MONTH(S$3)+1,1),請求台帳!$Q$5:$Q$504,"&lt;&gt;取消"))</f>
        <v/>
      </c>
      <c r="T82" s="27" t="str">
        <f aca="false">IF($A82="","",SUMIFS(入金明細!$E$5:$E$1004,入金明細!$G$5:$G$1004,$A82,入金明細!$B$5:$B$1004,"&gt;="&amp;S$3,入金明細!$B$5:$B$1004,"&lt;"&amp;DATE(YEAR(S$3),MONTH(S$3)+1,1)))</f>
        <v/>
      </c>
      <c r="U82" s="27" t="str">
        <f aca="false">IF($A82="","",SUMIFS(請求台帳!$F$5:$F$504,請求台帳!$C$5:$C$504,$A82,請求台帳!$B$5:$B$504,"&gt;="&amp;U$3,請求台帳!$B$5:$B$504,"&lt;"&amp;DATE(YEAR(U$3),MONTH(U$3)+1,1),請求台帳!$Q$5:$Q$504,"&lt;&gt;取消"))</f>
        <v/>
      </c>
      <c r="V82" s="27" t="str">
        <f aca="false">IF($A82="","",SUMIFS(入金明細!$E$5:$E$1004,入金明細!$G$5:$G$1004,$A82,入金明細!$B$5:$B$1004,"&gt;="&amp;U$3,入金明細!$B$5:$B$1004,"&lt;"&amp;DATE(YEAR(U$3),MONTH(U$3)+1,1)))</f>
        <v/>
      </c>
      <c r="W82" s="27" t="str">
        <f aca="false">IF($A82="","",SUMIFS(請求台帳!$F$5:$F$504,請求台帳!$C$5:$C$504,$A82,請求台帳!$B$5:$B$504,"&gt;="&amp;W$3,請求台帳!$B$5:$B$504,"&lt;"&amp;DATE(YEAR(W$3),MONTH(W$3)+1,1),請求台帳!$Q$5:$Q$504,"&lt;&gt;取消"))</f>
        <v/>
      </c>
      <c r="X82" s="27" t="str">
        <f aca="false">IF($A82="","",SUMIFS(入金明細!$E$5:$E$1004,入金明細!$G$5:$G$1004,$A82,入金明細!$B$5:$B$1004,"&gt;="&amp;W$3,入金明細!$B$5:$B$1004,"&lt;"&amp;DATE(YEAR(W$3),MONTH(W$3)+1,1)))</f>
        <v/>
      </c>
      <c r="Y82" s="27" t="str">
        <f aca="false">IF($A82="","",SUMIFS(請求台帳!$F$5:$F$504,請求台帳!$C$5:$C$504,$A82,請求台帳!$B$5:$B$504,"&gt;="&amp;Y$3,請求台帳!$B$5:$B$504,"&lt;"&amp;DATE(YEAR(Y$3),MONTH(Y$3)+1,1),請求台帳!$Q$5:$Q$504,"&lt;&gt;取消"))</f>
        <v/>
      </c>
      <c r="Z82" s="27" t="str">
        <f aca="false">IF($A82="","",SUMIFS(入金明細!$E$5:$E$1004,入金明細!$G$5:$G$1004,$A82,入金明細!$B$5:$B$1004,"&gt;="&amp;Y$3,入金明細!$B$5:$B$1004,"&lt;"&amp;DATE(YEAR(Y$3),MONTH(Y$3)+1,1)))</f>
        <v/>
      </c>
      <c r="AA82" s="37" t="n">
        <f aca="false">SUM(C82,E82,G82,I82,K82,M82,O82,Q82,S82,U82,W82,Y82)</f>
        <v>0</v>
      </c>
      <c r="AB82" s="37" t="n">
        <f aca="false">SUM(D82,F82,H82,J82,L82,N82,P82,R82,T82,V82,X82,Z82)</f>
        <v>0</v>
      </c>
    </row>
    <row r="83" customFormat="false" ht="15" hidden="false" customHeight="false" outlineLevel="0" collapsed="false">
      <c r="A83" s="31" t="str">
        <f aca="false">IF(取引先マスタ!A83="","",取引先マスタ!A83)</f>
        <v/>
      </c>
      <c r="B83" s="31" t="str">
        <f aca="false">IF(A83="","",取引先マスタ!B83)</f>
        <v/>
      </c>
      <c r="C83" s="27" t="str">
        <f aca="false">IF($A83="","",SUMIFS(請求台帳!$F$5:$F$504,請求台帳!$C$5:$C$504,$A83,請求台帳!$B$5:$B$504,"&gt;="&amp;C$3,請求台帳!$B$5:$B$504,"&lt;"&amp;DATE(YEAR(C$3),MONTH(C$3)+1,1),請求台帳!$Q$5:$Q$504,"&lt;&gt;取消"))</f>
        <v/>
      </c>
      <c r="D83" s="27" t="str">
        <f aca="false">IF($A83="","",SUMIFS(入金明細!$E$5:$E$1004,入金明細!$G$5:$G$1004,$A83,入金明細!$B$5:$B$1004,"&gt;="&amp;C$3,入金明細!$B$5:$B$1004,"&lt;"&amp;DATE(YEAR(C$3),MONTH(C$3)+1,1)))</f>
        <v/>
      </c>
      <c r="E83" s="27" t="str">
        <f aca="false">IF($A83="","",SUMIFS(請求台帳!$F$5:$F$504,請求台帳!$C$5:$C$504,$A83,請求台帳!$B$5:$B$504,"&gt;="&amp;E$3,請求台帳!$B$5:$B$504,"&lt;"&amp;DATE(YEAR(E$3),MONTH(E$3)+1,1),請求台帳!$Q$5:$Q$504,"&lt;&gt;取消"))</f>
        <v/>
      </c>
      <c r="F83" s="27" t="str">
        <f aca="false">IF($A83="","",SUMIFS(入金明細!$E$5:$E$1004,入金明細!$G$5:$G$1004,$A83,入金明細!$B$5:$B$1004,"&gt;="&amp;E$3,入金明細!$B$5:$B$1004,"&lt;"&amp;DATE(YEAR(E$3),MONTH(E$3)+1,1)))</f>
        <v/>
      </c>
      <c r="G83" s="27" t="str">
        <f aca="false">IF($A83="","",SUMIFS(請求台帳!$F$5:$F$504,請求台帳!$C$5:$C$504,$A83,請求台帳!$B$5:$B$504,"&gt;="&amp;G$3,請求台帳!$B$5:$B$504,"&lt;"&amp;DATE(YEAR(G$3),MONTH(G$3)+1,1),請求台帳!$Q$5:$Q$504,"&lt;&gt;取消"))</f>
        <v/>
      </c>
      <c r="H83" s="27" t="str">
        <f aca="false">IF($A83="","",SUMIFS(入金明細!$E$5:$E$1004,入金明細!$G$5:$G$1004,$A83,入金明細!$B$5:$B$1004,"&gt;="&amp;G$3,入金明細!$B$5:$B$1004,"&lt;"&amp;DATE(YEAR(G$3),MONTH(G$3)+1,1)))</f>
        <v/>
      </c>
      <c r="I83" s="27" t="str">
        <f aca="false">IF($A83="","",SUMIFS(請求台帳!$F$5:$F$504,請求台帳!$C$5:$C$504,$A83,請求台帳!$B$5:$B$504,"&gt;="&amp;I$3,請求台帳!$B$5:$B$504,"&lt;"&amp;DATE(YEAR(I$3),MONTH(I$3)+1,1),請求台帳!$Q$5:$Q$504,"&lt;&gt;取消"))</f>
        <v/>
      </c>
      <c r="J83" s="27" t="str">
        <f aca="false">IF($A83="","",SUMIFS(入金明細!$E$5:$E$1004,入金明細!$G$5:$G$1004,$A83,入金明細!$B$5:$B$1004,"&gt;="&amp;I$3,入金明細!$B$5:$B$1004,"&lt;"&amp;DATE(YEAR(I$3),MONTH(I$3)+1,1)))</f>
        <v/>
      </c>
      <c r="K83" s="27" t="str">
        <f aca="false">IF($A83="","",SUMIFS(請求台帳!$F$5:$F$504,請求台帳!$C$5:$C$504,$A83,請求台帳!$B$5:$B$504,"&gt;="&amp;K$3,請求台帳!$B$5:$B$504,"&lt;"&amp;DATE(YEAR(K$3),MONTH(K$3)+1,1),請求台帳!$Q$5:$Q$504,"&lt;&gt;取消"))</f>
        <v/>
      </c>
      <c r="L83" s="27" t="str">
        <f aca="false">IF($A83="","",SUMIFS(入金明細!$E$5:$E$1004,入金明細!$G$5:$G$1004,$A83,入金明細!$B$5:$B$1004,"&gt;="&amp;K$3,入金明細!$B$5:$B$1004,"&lt;"&amp;DATE(YEAR(K$3),MONTH(K$3)+1,1)))</f>
        <v/>
      </c>
      <c r="M83" s="27" t="str">
        <f aca="false">IF($A83="","",SUMIFS(請求台帳!$F$5:$F$504,請求台帳!$C$5:$C$504,$A83,請求台帳!$B$5:$B$504,"&gt;="&amp;M$3,請求台帳!$B$5:$B$504,"&lt;"&amp;DATE(YEAR(M$3),MONTH(M$3)+1,1),請求台帳!$Q$5:$Q$504,"&lt;&gt;取消"))</f>
        <v/>
      </c>
      <c r="N83" s="27" t="str">
        <f aca="false">IF($A83="","",SUMIFS(入金明細!$E$5:$E$1004,入金明細!$G$5:$G$1004,$A83,入金明細!$B$5:$B$1004,"&gt;="&amp;M$3,入金明細!$B$5:$B$1004,"&lt;"&amp;DATE(YEAR(M$3),MONTH(M$3)+1,1)))</f>
        <v/>
      </c>
      <c r="O83" s="27" t="str">
        <f aca="false">IF($A83="","",SUMIFS(請求台帳!$F$5:$F$504,請求台帳!$C$5:$C$504,$A83,請求台帳!$B$5:$B$504,"&gt;="&amp;O$3,請求台帳!$B$5:$B$504,"&lt;"&amp;DATE(YEAR(O$3),MONTH(O$3)+1,1),請求台帳!$Q$5:$Q$504,"&lt;&gt;取消"))</f>
        <v/>
      </c>
      <c r="P83" s="27" t="str">
        <f aca="false">IF($A83="","",SUMIFS(入金明細!$E$5:$E$1004,入金明細!$G$5:$G$1004,$A83,入金明細!$B$5:$B$1004,"&gt;="&amp;O$3,入金明細!$B$5:$B$1004,"&lt;"&amp;DATE(YEAR(O$3),MONTH(O$3)+1,1)))</f>
        <v/>
      </c>
      <c r="Q83" s="27" t="str">
        <f aca="false">IF($A83="","",SUMIFS(請求台帳!$F$5:$F$504,請求台帳!$C$5:$C$504,$A83,請求台帳!$B$5:$B$504,"&gt;="&amp;Q$3,請求台帳!$B$5:$B$504,"&lt;"&amp;DATE(YEAR(Q$3),MONTH(Q$3)+1,1),請求台帳!$Q$5:$Q$504,"&lt;&gt;取消"))</f>
        <v/>
      </c>
      <c r="R83" s="27" t="str">
        <f aca="false">IF($A83="","",SUMIFS(入金明細!$E$5:$E$1004,入金明細!$G$5:$G$1004,$A83,入金明細!$B$5:$B$1004,"&gt;="&amp;Q$3,入金明細!$B$5:$B$1004,"&lt;"&amp;DATE(YEAR(Q$3),MONTH(Q$3)+1,1)))</f>
        <v/>
      </c>
      <c r="S83" s="27" t="str">
        <f aca="false">IF($A83="","",SUMIFS(請求台帳!$F$5:$F$504,請求台帳!$C$5:$C$504,$A83,請求台帳!$B$5:$B$504,"&gt;="&amp;S$3,請求台帳!$B$5:$B$504,"&lt;"&amp;DATE(YEAR(S$3),MONTH(S$3)+1,1),請求台帳!$Q$5:$Q$504,"&lt;&gt;取消"))</f>
        <v/>
      </c>
      <c r="T83" s="27" t="str">
        <f aca="false">IF($A83="","",SUMIFS(入金明細!$E$5:$E$1004,入金明細!$G$5:$G$1004,$A83,入金明細!$B$5:$B$1004,"&gt;="&amp;S$3,入金明細!$B$5:$B$1004,"&lt;"&amp;DATE(YEAR(S$3),MONTH(S$3)+1,1)))</f>
        <v/>
      </c>
      <c r="U83" s="27" t="str">
        <f aca="false">IF($A83="","",SUMIFS(請求台帳!$F$5:$F$504,請求台帳!$C$5:$C$504,$A83,請求台帳!$B$5:$B$504,"&gt;="&amp;U$3,請求台帳!$B$5:$B$504,"&lt;"&amp;DATE(YEAR(U$3),MONTH(U$3)+1,1),請求台帳!$Q$5:$Q$504,"&lt;&gt;取消"))</f>
        <v/>
      </c>
      <c r="V83" s="27" t="str">
        <f aca="false">IF($A83="","",SUMIFS(入金明細!$E$5:$E$1004,入金明細!$G$5:$G$1004,$A83,入金明細!$B$5:$B$1004,"&gt;="&amp;U$3,入金明細!$B$5:$B$1004,"&lt;"&amp;DATE(YEAR(U$3),MONTH(U$3)+1,1)))</f>
        <v/>
      </c>
      <c r="W83" s="27" t="str">
        <f aca="false">IF($A83="","",SUMIFS(請求台帳!$F$5:$F$504,請求台帳!$C$5:$C$504,$A83,請求台帳!$B$5:$B$504,"&gt;="&amp;W$3,請求台帳!$B$5:$B$504,"&lt;"&amp;DATE(YEAR(W$3),MONTH(W$3)+1,1),請求台帳!$Q$5:$Q$504,"&lt;&gt;取消"))</f>
        <v/>
      </c>
      <c r="X83" s="27" t="str">
        <f aca="false">IF($A83="","",SUMIFS(入金明細!$E$5:$E$1004,入金明細!$G$5:$G$1004,$A83,入金明細!$B$5:$B$1004,"&gt;="&amp;W$3,入金明細!$B$5:$B$1004,"&lt;"&amp;DATE(YEAR(W$3),MONTH(W$3)+1,1)))</f>
        <v/>
      </c>
      <c r="Y83" s="27" t="str">
        <f aca="false">IF($A83="","",SUMIFS(請求台帳!$F$5:$F$504,請求台帳!$C$5:$C$504,$A83,請求台帳!$B$5:$B$504,"&gt;="&amp;Y$3,請求台帳!$B$5:$B$504,"&lt;"&amp;DATE(YEAR(Y$3),MONTH(Y$3)+1,1),請求台帳!$Q$5:$Q$504,"&lt;&gt;取消"))</f>
        <v/>
      </c>
      <c r="Z83" s="27" t="str">
        <f aca="false">IF($A83="","",SUMIFS(入金明細!$E$5:$E$1004,入金明細!$G$5:$G$1004,$A83,入金明細!$B$5:$B$1004,"&gt;="&amp;Y$3,入金明細!$B$5:$B$1004,"&lt;"&amp;DATE(YEAR(Y$3),MONTH(Y$3)+1,1)))</f>
        <v/>
      </c>
      <c r="AA83" s="37" t="n">
        <f aca="false">SUM(C83,E83,G83,I83,K83,M83,O83,Q83,S83,U83,W83,Y83)</f>
        <v>0</v>
      </c>
      <c r="AB83" s="37" t="n">
        <f aca="false">SUM(D83,F83,H83,J83,L83,N83,P83,R83,T83,V83,X83,Z83)</f>
        <v>0</v>
      </c>
    </row>
    <row r="84" customFormat="false" ht="15" hidden="false" customHeight="false" outlineLevel="0" collapsed="false">
      <c r="A84" s="31" t="str">
        <f aca="false">IF(取引先マスタ!A84="","",取引先マスタ!A84)</f>
        <v/>
      </c>
      <c r="B84" s="31" t="str">
        <f aca="false">IF(A84="","",取引先マスタ!B84)</f>
        <v/>
      </c>
      <c r="C84" s="27" t="str">
        <f aca="false">IF($A84="","",SUMIFS(請求台帳!$F$5:$F$504,請求台帳!$C$5:$C$504,$A84,請求台帳!$B$5:$B$504,"&gt;="&amp;C$3,請求台帳!$B$5:$B$504,"&lt;"&amp;DATE(YEAR(C$3),MONTH(C$3)+1,1),請求台帳!$Q$5:$Q$504,"&lt;&gt;取消"))</f>
        <v/>
      </c>
      <c r="D84" s="27" t="str">
        <f aca="false">IF($A84="","",SUMIFS(入金明細!$E$5:$E$1004,入金明細!$G$5:$G$1004,$A84,入金明細!$B$5:$B$1004,"&gt;="&amp;C$3,入金明細!$B$5:$B$1004,"&lt;"&amp;DATE(YEAR(C$3),MONTH(C$3)+1,1)))</f>
        <v/>
      </c>
      <c r="E84" s="27" t="str">
        <f aca="false">IF($A84="","",SUMIFS(請求台帳!$F$5:$F$504,請求台帳!$C$5:$C$504,$A84,請求台帳!$B$5:$B$504,"&gt;="&amp;E$3,請求台帳!$B$5:$B$504,"&lt;"&amp;DATE(YEAR(E$3),MONTH(E$3)+1,1),請求台帳!$Q$5:$Q$504,"&lt;&gt;取消"))</f>
        <v/>
      </c>
      <c r="F84" s="27" t="str">
        <f aca="false">IF($A84="","",SUMIFS(入金明細!$E$5:$E$1004,入金明細!$G$5:$G$1004,$A84,入金明細!$B$5:$B$1004,"&gt;="&amp;E$3,入金明細!$B$5:$B$1004,"&lt;"&amp;DATE(YEAR(E$3),MONTH(E$3)+1,1)))</f>
        <v/>
      </c>
      <c r="G84" s="27" t="str">
        <f aca="false">IF($A84="","",SUMIFS(請求台帳!$F$5:$F$504,請求台帳!$C$5:$C$504,$A84,請求台帳!$B$5:$B$504,"&gt;="&amp;G$3,請求台帳!$B$5:$B$504,"&lt;"&amp;DATE(YEAR(G$3),MONTH(G$3)+1,1),請求台帳!$Q$5:$Q$504,"&lt;&gt;取消"))</f>
        <v/>
      </c>
      <c r="H84" s="27" t="str">
        <f aca="false">IF($A84="","",SUMIFS(入金明細!$E$5:$E$1004,入金明細!$G$5:$G$1004,$A84,入金明細!$B$5:$B$1004,"&gt;="&amp;G$3,入金明細!$B$5:$B$1004,"&lt;"&amp;DATE(YEAR(G$3),MONTH(G$3)+1,1)))</f>
        <v/>
      </c>
      <c r="I84" s="27" t="str">
        <f aca="false">IF($A84="","",SUMIFS(請求台帳!$F$5:$F$504,請求台帳!$C$5:$C$504,$A84,請求台帳!$B$5:$B$504,"&gt;="&amp;I$3,請求台帳!$B$5:$B$504,"&lt;"&amp;DATE(YEAR(I$3),MONTH(I$3)+1,1),請求台帳!$Q$5:$Q$504,"&lt;&gt;取消"))</f>
        <v/>
      </c>
      <c r="J84" s="27" t="str">
        <f aca="false">IF($A84="","",SUMIFS(入金明細!$E$5:$E$1004,入金明細!$G$5:$G$1004,$A84,入金明細!$B$5:$B$1004,"&gt;="&amp;I$3,入金明細!$B$5:$B$1004,"&lt;"&amp;DATE(YEAR(I$3),MONTH(I$3)+1,1)))</f>
        <v/>
      </c>
      <c r="K84" s="27" t="str">
        <f aca="false">IF($A84="","",SUMIFS(請求台帳!$F$5:$F$504,請求台帳!$C$5:$C$504,$A84,請求台帳!$B$5:$B$504,"&gt;="&amp;K$3,請求台帳!$B$5:$B$504,"&lt;"&amp;DATE(YEAR(K$3),MONTH(K$3)+1,1),請求台帳!$Q$5:$Q$504,"&lt;&gt;取消"))</f>
        <v/>
      </c>
      <c r="L84" s="27" t="str">
        <f aca="false">IF($A84="","",SUMIFS(入金明細!$E$5:$E$1004,入金明細!$G$5:$G$1004,$A84,入金明細!$B$5:$B$1004,"&gt;="&amp;K$3,入金明細!$B$5:$B$1004,"&lt;"&amp;DATE(YEAR(K$3),MONTH(K$3)+1,1)))</f>
        <v/>
      </c>
      <c r="M84" s="27" t="str">
        <f aca="false">IF($A84="","",SUMIFS(請求台帳!$F$5:$F$504,請求台帳!$C$5:$C$504,$A84,請求台帳!$B$5:$B$504,"&gt;="&amp;M$3,請求台帳!$B$5:$B$504,"&lt;"&amp;DATE(YEAR(M$3),MONTH(M$3)+1,1),請求台帳!$Q$5:$Q$504,"&lt;&gt;取消"))</f>
        <v/>
      </c>
      <c r="N84" s="27" t="str">
        <f aca="false">IF($A84="","",SUMIFS(入金明細!$E$5:$E$1004,入金明細!$G$5:$G$1004,$A84,入金明細!$B$5:$B$1004,"&gt;="&amp;M$3,入金明細!$B$5:$B$1004,"&lt;"&amp;DATE(YEAR(M$3),MONTH(M$3)+1,1)))</f>
        <v/>
      </c>
      <c r="O84" s="27" t="str">
        <f aca="false">IF($A84="","",SUMIFS(請求台帳!$F$5:$F$504,請求台帳!$C$5:$C$504,$A84,請求台帳!$B$5:$B$504,"&gt;="&amp;O$3,請求台帳!$B$5:$B$504,"&lt;"&amp;DATE(YEAR(O$3),MONTH(O$3)+1,1),請求台帳!$Q$5:$Q$504,"&lt;&gt;取消"))</f>
        <v/>
      </c>
      <c r="P84" s="27" t="str">
        <f aca="false">IF($A84="","",SUMIFS(入金明細!$E$5:$E$1004,入金明細!$G$5:$G$1004,$A84,入金明細!$B$5:$B$1004,"&gt;="&amp;O$3,入金明細!$B$5:$B$1004,"&lt;"&amp;DATE(YEAR(O$3),MONTH(O$3)+1,1)))</f>
        <v/>
      </c>
      <c r="Q84" s="27" t="str">
        <f aca="false">IF($A84="","",SUMIFS(請求台帳!$F$5:$F$504,請求台帳!$C$5:$C$504,$A84,請求台帳!$B$5:$B$504,"&gt;="&amp;Q$3,請求台帳!$B$5:$B$504,"&lt;"&amp;DATE(YEAR(Q$3),MONTH(Q$3)+1,1),請求台帳!$Q$5:$Q$504,"&lt;&gt;取消"))</f>
        <v/>
      </c>
      <c r="R84" s="27" t="str">
        <f aca="false">IF($A84="","",SUMIFS(入金明細!$E$5:$E$1004,入金明細!$G$5:$G$1004,$A84,入金明細!$B$5:$B$1004,"&gt;="&amp;Q$3,入金明細!$B$5:$B$1004,"&lt;"&amp;DATE(YEAR(Q$3),MONTH(Q$3)+1,1)))</f>
        <v/>
      </c>
      <c r="S84" s="27" t="str">
        <f aca="false">IF($A84="","",SUMIFS(請求台帳!$F$5:$F$504,請求台帳!$C$5:$C$504,$A84,請求台帳!$B$5:$B$504,"&gt;="&amp;S$3,請求台帳!$B$5:$B$504,"&lt;"&amp;DATE(YEAR(S$3),MONTH(S$3)+1,1),請求台帳!$Q$5:$Q$504,"&lt;&gt;取消"))</f>
        <v/>
      </c>
      <c r="T84" s="27" t="str">
        <f aca="false">IF($A84="","",SUMIFS(入金明細!$E$5:$E$1004,入金明細!$G$5:$G$1004,$A84,入金明細!$B$5:$B$1004,"&gt;="&amp;S$3,入金明細!$B$5:$B$1004,"&lt;"&amp;DATE(YEAR(S$3),MONTH(S$3)+1,1)))</f>
        <v/>
      </c>
      <c r="U84" s="27" t="str">
        <f aca="false">IF($A84="","",SUMIFS(請求台帳!$F$5:$F$504,請求台帳!$C$5:$C$504,$A84,請求台帳!$B$5:$B$504,"&gt;="&amp;U$3,請求台帳!$B$5:$B$504,"&lt;"&amp;DATE(YEAR(U$3),MONTH(U$3)+1,1),請求台帳!$Q$5:$Q$504,"&lt;&gt;取消"))</f>
        <v/>
      </c>
      <c r="V84" s="27" t="str">
        <f aca="false">IF($A84="","",SUMIFS(入金明細!$E$5:$E$1004,入金明細!$G$5:$G$1004,$A84,入金明細!$B$5:$B$1004,"&gt;="&amp;U$3,入金明細!$B$5:$B$1004,"&lt;"&amp;DATE(YEAR(U$3),MONTH(U$3)+1,1)))</f>
        <v/>
      </c>
      <c r="W84" s="27" t="str">
        <f aca="false">IF($A84="","",SUMIFS(請求台帳!$F$5:$F$504,請求台帳!$C$5:$C$504,$A84,請求台帳!$B$5:$B$504,"&gt;="&amp;W$3,請求台帳!$B$5:$B$504,"&lt;"&amp;DATE(YEAR(W$3),MONTH(W$3)+1,1),請求台帳!$Q$5:$Q$504,"&lt;&gt;取消"))</f>
        <v/>
      </c>
      <c r="X84" s="27" t="str">
        <f aca="false">IF($A84="","",SUMIFS(入金明細!$E$5:$E$1004,入金明細!$G$5:$G$1004,$A84,入金明細!$B$5:$B$1004,"&gt;="&amp;W$3,入金明細!$B$5:$B$1004,"&lt;"&amp;DATE(YEAR(W$3),MONTH(W$3)+1,1)))</f>
        <v/>
      </c>
      <c r="Y84" s="27" t="str">
        <f aca="false">IF($A84="","",SUMIFS(請求台帳!$F$5:$F$504,請求台帳!$C$5:$C$504,$A84,請求台帳!$B$5:$B$504,"&gt;="&amp;Y$3,請求台帳!$B$5:$B$504,"&lt;"&amp;DATE(YEAR(Y$3),MONTH(Y$3)+1,1),請求台帳!$Q$5:$Q$504,"&lt;&gt;取消"))</f>
        <v/>
      </c>
      <c r="Z84" s="27" t="str">
        <f aca="false">IF($A84="","",SUMIFS(入金明細!$E$5:$E$1004,入金明細!$G$5:$G$1004,$A84,入金明細!$B$5:$B$1004,"&gt;="&amp;Y$3,入金明細!$B$5:$B$1004,"&lt;"&amp;DATE(YEAR(Y$3),MONTH(Y$3)+1,1)))</f>
        <v/>
      </c>
      <c r="AA84" s="37" t="n">
        <f aca="false">SUM(C84,E84,G84,I84,K84,M84,O84,Q84,S84,U84,W84,Y84)</f>
        <v>0</v>
      </c>
      <c r="AB84" s="37" t="n">
        <f aca="false">SUM(D84,F84,H84,J84,L84,N84,P84,R84,T84,V84,X84,Z84)</f>
        <v>0</v>
      </c>
    </row>
    <row r="85" customFormat="false" ht="15" hidden="false" customHeight="false" outlineLevel="0" collapsed="false">
      <c r="A85" s="31" t="str">
        <f aca="false">IF(取引先マスタ!A85="","",取引先マスタ!A85)</f>
        <v/>
      </c>
      <c r="B85" s="31" t="str">
        <f aca="false">IF(A85="","",取引先マスタ!B85)</f>
        <v/>
      </c>
      <c r="C85" s="27" t="str">
        <f aca="false">IF($A85="","",SUMIFS(請求台帳!$F$5:$F$504,請求台帳!$C$5:$C$504,$A85,請求台帳!$B$5:$B$504,"&gt;="&amp;C$3,請求台帳!$B$5:$B$504,"&lt;"&amp;DATE(YEAR(C$3),MONTH(C$3)+1,1),請求台帳!$Q$5:$Q$504,"&lt;&gt;取消"))</f>
        <v/>
      </c>
      <c r="D85" s="27" t="str">
        <f aca="false">IF($A85="","",SUMIFS(入金明細!$E$5:$E$1004,入金明細!$G$5:$G$1004,$A85,入金明細!$B$5:$B$1004,"&gt;="&amp;C$3,入金明細!$B$5:$B$1004,"&lt;"&amp;DATE(YEAR(C$3),MONTH(C$3)+1,1)))</f>
        <v/>
      </c>
      <c r="E85" s="27" t="str">
        <f aca="false">IF($A85="","",SUMIFS(請求台帳!$F$5:$F$504,請求台帳!$C$5:$C$504,$A85,請求台帳!$B$5:$B$504,"&gt;="&amp;E$3,請求台帳!$B$5:$B$504,"&lt;"&amp;DATE(YEAR(E$3),MONTH(E$3)+1,1),請求台帳!$Q$5:$Q$504,"&lt;&gt;取消"))</f>
        <v/>
      </c>
      <c r="F85" s="27" t="str">
        <f aca="false">IF($A85="","",SUMIFS(入金明細!$E$5:$E$1004,入金明細!$G$5:$G$1004,$A85,入金明細!$B$5:$B$1004,"&gt;="&amp;E$3,入金明細!$B$5:$B$1004,"&lt;"&amp;DATE(YEAR(E$3),MONTH(E$3)+1,1)))</f>
        <v/>
      </c>
      <c r="G85" s="27" t="str">
        <f aca="false">IF($A85="","",SUMIFS(請求台帳!$F$5:$F$504,請求台帳!$C$5:$C$504,$A85,請求台帳!$B$5:$B$504,"&gt;="&amp;G$3,請求台帳!$B$5:$B$504,"&lt;"&amp;DATE(YEAR(G$3),MONTH(G$3)+1,1),請求台帳!$Q$5:$Q$504,"&lt;&gt;取消"))</f>
        <v/>
      </c>
      <c r="H85" s="27" t="str">
        <f aca="false">IF($A85="","",SUMIFS(入金明細!$E$5:$E$1004,入金明細!$G$5:$G$1004,$A85,入金明細!$B$5:$B$1004,"&gt;="&amp;G$3,入金明細!$B$5:$B$1004,"&lt;"&amp;DATE(YEAR(G$3),MONTH(G$3)+1,1)))</f>
        <v/>
      </c>
      <c r="I85" s="27" t="str">
        <f aca="false">IF($A85="","",SUMIFS(請求台帳!$F$5:$F$504,請求台帳!$C$5:$C$504,$A85,請求台帳!$B$5:$B$504,"&gt;="&amp;I$3,請求台帳!$B$5:$B$504,"&lt;"&amp;DATE(YEAR(I$3),MONTH(I$3)+1,1),請求台帳!$Q$5:$Q$504,"&lt;&gt;取消"))</f>
        <v/>
      </c>
      <c r="J85" s="27" t="str">
        <f aca="false">IF($A85="","",SUMIFS(入金明細!$E$5:$E$1004,入金明細!$G$5:$G$1004,$A85,入金明細!$B$5:$B$1004,"&gt;="&amp;I$3,入金明細!$B$5:$B$1004,"&lt;"&amp;DATE(YEAR(I$3),MONTH(I$3)+1,1)))</f>
        <v/>
      </c>
      <c r="K85" s="27" t="str">
        <f aca="false">IF($A85="","",SUMIFS(請求台帳!$F$5:$F$504,請求台帳!$C$5:$C$504,$A85,請求台帳!$B$5:$B$504,"&gt;="&amp;K$3,請求台帳!$B$5:$B$504,"&lt;"&amp;DATE(YEAR(K$3),MONTH(K$3)+1,1),請求台帳!$Q$5:$Q$504,"&lt;&gt;取消"))</f>
        <v/>
      </c>
      <c r="L85" s="27" t="str">
        <f aca="false">IF($A85="","",SUMIFS(入金明細!$E$5:$E$1004,入金明細!$G$5:$G$1004,$A85,入金明細!$B$5:$B$1004,"&gt;="&amp;K$3,入金明細!$B$5:$B$1004,"&lt;"&amp;DATE(YEAR(K$3),MONTH(K$3)+1,1)))</f>
        <v/>
      </c>
      <c r="M85" s="27" t="str">
        <f aca="false">IF($A85="","",SUMIFS(請求台帳!$F$5:$F$504,請求台帳!$C$5:$C$504,$A85,請求台帳!$B$5:$B$504,"&gt;="&amp;M$3,請求台帳!$B$5:$B$504,"&lt;"&amp;DATE(YEAR(M$3),MONTH(M$3)+1,1),請求台帳!$Q$5:$Q$504,"&lt;&gt;取消"))</f>
        <v/>
      </c>
      <c r="N85" s="27" t="str">
        <f aca="false">IF($A85="","",SUMIFS(入金明細!$E$5:$E$1004,入金明細!$G$5:$G$1004,$A85,入金明細!$B$5:$B$1004,"&gt;="&amp;M$3,入金明細!$B$5:$B$1004,"&lt;"&amp;DATE(YEAR(M$3),MONTH(M$3)+1,1)))</f>
        <v/>
      </c>
      <c r="O85" s="27" t="str">
        <f aca="false">IF($A85="","",SUMIFS(請求台帳!$F$5:$F$504,請求台帳!$C$5:$C$504,$A85,請求台帳!$B$5:$B$504,"&gt;="&amp;O$3,請求台帳!$B$5:$B$504,"&lt;"&amp;DATE(YEAR(O$3),MONTH(O$3)+1,1),請求台帳!$Q$5:$Q$504,"&lt;&gt;取消"))</f>
        <v/>
      </c>
      <c r="P85" s="27" t="str">
        <f aca="false">IF($A85="","",SUMIFS(入金明細!$E$5:$E$1004,入金明細!$G$5:$G$1004,$A85,入金明細!$B$5:$B$1004,"&gt;="&amp;O$3,入金明細!$B$5:$B$1004,"&lt;"&amp;DATE(YEAR(O$3),MONTH(O$3)+1,1)))</f>
        <v/>
      </c>
      <c r="Q85" s="27" t="str">
        <f aca="false">IF($A85="","",SUMIFS(請求台帳!$F$5:$F$504,請求台帳!$C$5:$C$504,$A85,請求台帳!$B$5:$B$504,"&gt;="&amp;Q$3,請求台帳!$B$5:$B$504,"&lt;"&amp;DATE(YEAR(Q$3),MONTH(Q$3)+1,1),請求台帳!$Q$5:$Q$504,"&lt;&gt;取消"))</f>
        <v/>
      </c>
      <c r="R85" s="27" t="str">
        <f aca="false">IF($A85="","",SUMIFS(入金明細!$E$5:$E$1004,入金明細!$G$5:$G$1004,$A85,入金明細!$B$5:$B$1004,"&gt;="&amp;Q$3,入金明細!$B$5:$B$1004,"&lt;"&amp;DATE(YEAR(Q$3),MONTH(Q$3)+1,1)))</f>
        <v/>
      </c>
      <c r="S85" s="27" t="str">
        <f aca="false">IF($A85="","",SUMIFS(請求台帳!$F$5:$F$504,請求台帳!$C$5:$C$504,$A85,請求台帳!$B$5:$B$504,"&gt;="&amp;S$3,請求台帳!$B$5:$B$504,"&lt;"&amp;DATE(YEAR(S$3),MONTH(S$3)+1,1),請求台帳!$Q$5:$Q$504,"&lt;&gt;取消"))</f>
        <v/>
      </c>
      <c r="T85" s="27" t="str">
        <f aca="false">IF($A85="","",SUMIFS(入金明細!$E$5:$E$1004,入金明細!$G$5:$G$1004,$A85,入金明細!$B$5:$B$1004,"&gt;="&amp;S$3,入金明細!$B$5:$B$1004,"&lt;"&amp;DATE(YEAR(S$3),MONTH(S$3)+1,1)))</f>
        <v/>
      </c>
      <c r="U85" s="27" t="str">
        <f aca="false">IF($A85="","",SUMIFS(請求台帳!$F$5:$F$504,請求台帳!$C$5:$C$504,$A85,請求台帳!$B$5:$B$504,"&gt;="&amp;U$3,請求台帳!$B$5:$B$504,"&lt;"&amp;DATE(YEAR(U$3),MONTH(U$3)+1,1),請求台帳!$Q$5:$Q$504,"&lt;&gt;取消"))</f>
        <v/>
      </c>
      <c r="V85" s="27" t="str">
        <f aca="false">IF($A85="","",SUMIFS(入金明細!$E$5:$E$1004,入金明細!$G$5:$G$1004,$A85,入金明細!$B$5:$B$1004,"&gt;="&amp;U$3,入金明細!$B$5:$B$1004,"&lt;"&amp;DATE(YEAR(U$3),MONTH(U$3)+1,1)))</f>
        <v/>
      </c>
      <c r="W85" s="27" t="str">
        <f aca="false">IF($A85="","",SUMIFS(請求台帳!$F$5:$F$504,請求台帳!$C$5:$C$504,$A85,請求台帳!$B$5:$B$504,"&gt;="&amp;W$3,請求台帳!$B$5:$B$504,"&lt;"&amp;DATE(YEAR(W$3),MONTH(W$3)+1,1),請求台帳!$Q$5:$Q$504,"&lt;&gt;取消"))</f>
        <v/>
      </c>
      <c r="X85" s="27" t="str">
        <f aca="false">IF($A85="","",SUMIFS(入金明細!$E$5:$E$1004,入金明細!$G$5:$G$1004,$A85,入金明細!$B$5:$B$1004,"&gt;="&amp;W$3,入金明細!$B$5:$B$1004,"&lt;"&amp;DATE(YEAR(W$3),MONTH(W$3)+1,1)))</f>
        <v/>
      </c>
      <c r="Y85" s="27" t="str">
        <f aca="false">IF($A85="","",SUMIFS(請求台帳!$F$5:$F$504,請求台帳!$C$5:$C$504,$A85,請求台帳!$B$5:$B$504,"&gt;="&amp;Y$3,請求台帳!$B$5:$B$504,"&lt;"&amp;DATE(YEAR(Y$3),MONTH(Y$3)+1,1),請求台帳!$Q$5:$Q$504,"&lt;&gt;取消"))</f>
        <v/>
      </c>
      <c r="Z85" s="27" t="str">
        <f aca="false">IF($A85="","",SUMIFS(入金明細!$E$5:$E$1004,入金明細!$G$5:$G$1004,$A85,入金明細!$B$5:$B$1004,"&gt;="&amp;Y$3,入金明細!$B$5:$B$1004,"&lt;"&amp;DATE(YEAR(Y$3),MONTH(Y$3)+1,1)))</f>
        <v/>
      </c>
      <c r="AA85" s="37" t="n">
        <f aca="false">SUM(C85,E85,G85,I85,K85,M85,O85,Q85,S85,U85,W85,Y85)</f>
        <v>0</v>
      </c>
      <c r="AB85" s="37" t="n">
        <f aca="false">SUM(D85,F85,H85,J85,L85,N85,P85,R85,T85,V85,X85,Z85)</f>
        <v>0</v>
      </c>
    </row>
    <row r="86" customFormat="false" ht="15" hidden="false" customHeight="false" outlineLevel="0" collapsed="false">
      <c r="A86" s="31" t="str">
        <f aca="false">IF(取引先マスタ!A86="","",取引先マスタ!A86)</f>
        <v/>
      </c>
      <c r="B86" s="31" t="str">
        <f aca="false">IF(A86="","",取引先マスタ!B86)</f>
        <v/>
      </c>
      <c r="C86" s="27" t="str">
        <f aca="false">IF($A86="","",SUMIFS(請求台帳!$F$5:$F$504,請求台帳!$C$5:$C$504,$A86,請求台帳!$B$5:$B$504,"&gt;="&amp;C$3,請求台帳!$B$5:$B$504,"&lt;"&amp;DATE(YEAR(C$3),MONTH(C$3)+1,1),請求台帳!$Q$5:$Q$504,"&lt;&gt;取消"))</f>
        <v/>
      </c>
      <c r="D86" s="27" t="str">
        <f aca="false">IF($A86="","",SUMIFS(入金明細!$E$5:$E$1004,入金明細!$G$5:$G$1004,$A86,入金明細!$B$5:$B$1004,"&gt;="&amp;C$3,入金明細!$B$5:$B$1004,"&lt;"&amp;DATE(YEAR(C$3),MONTH(C$3)+1,1)))</f>
        <v/>
      </c>
      <c r="E86" s="27" t="str">
        <f aca="false">IF($A86="","",SUMIFS(請求台帳!$F$5:$F$504,請求台帳!$C$5:$C$504,$A86,請求台帳!$B$5:$B$504,"&gt;="&amp;E$3,請求台帳!$B$5:$B$504,"&lt;"&amp;DATE(YEAR(E$3),MONTH(E$3)+1,1),請求台帳!$Q$5:$Q$504,"&lt;&gt;取消"))</f>
        <v/>
      </c>
      <c r="F86" s="27" t="str">
        <f aca="false">IF($A86="","",SUMIFS(入金明細!$E$5:$E$1004,入金明細!$G$5:$G$1004,$A86,入金明細!$B$5:$B$1004,"&gt;="&amp;E$3,入金明細!$B$5:$B$1004,"&lt;"&amp;DATE(YEAR(E$3),MONTH(E$3)+1,1)))</f>
        <v/>
      </c>
      <c r="G86" s="27" t="str">
        <f aca="false">IF($A86="","",SUMIFS(請求台帳!$F$5:$F$504,請求台帳!$C$5:$C$504,$A86,請求台帳!$B$5:$B$504,"&gt;="&amp;G$3,請求台帳!$B$5:$B$504,"&lt;"&amp;DATE(YEAR(G$3),MONTH(G$3)+1,1),請求台帳!$Q$5:$Q$504,"&lt;&gt;取消"))</f>
        <v/>
      </c>
      <c r="H86" s="27" t="str">
        <f aca="false">IF($A86="","",SUMIFS(入金明細!$E$5:$E$1004,入金明細!$G$5:$G$1004,$A86,入金明細!$B$5:$B$1004,"&gt;="&amp;G$3,入金明細!$B$5:$B$1004,"&lt;"&amp;DATE(YEAR(G$3),MONTH(G$3)+1,1)))</f>
        <v/>
      </c>
      <c r="I86" s="27" t="str">
        <f aca="false">IF($A86="","",SUMIFS(請求台帳!$F$5:$F$504,請求台帳!$C$5:$C$504,$A86,請求台帳!$B$5:$B$504,"&gt;="&amp;I$3,請求台帳!$B$5:$B$504,"&lt;"&amp;DATE(YEAR(I$3),MONTH(I$3)+1,1),請求台帳!$Q$5:$Q$504,"&lt;&gt;取消"))</f>
        <v/>
      </c>
      <c r="J86" s="27" t="str">
        <f aca="false">IF($A86="","",SUMIFS(入金明細!$E$5:$E$1004,入金明細!$G$5:$G$1004,$A86,入金明細!$B$5:$B$1004,"&gt;="&amp;I$3,入金明細!$B$5:$B$1004,"&lt;"&amp;DATE(YEAR(I$3),MONTH(I$3)+1,1)))</f>
        <v/>
      </c>
      <c r="K86" s="27" t="str">
        <f aca="false">IF($A86="","",SUMIFS(請求台帳!$F$5:$F$504,請求台帳!$C$5:$C$504,$A86,請求台帳!$B$5:$B$504,"&gt;="&amp;K$3,請求台帳!$B$5:$B$504,"&lt;"&amp;DATE(YEAR(K$3),MONTH(K$3)+1,1),請求台帳!$Q$5:$Q$504,"&lt;&gt;取消"))</f>
        <v/>
      </c>
      <c r="L86" s="27" t="str">
        <f aca="false">IF($A86="","",SUMIFS(入金明細!$E$5:$E$1004,入金明細!$G$5:$G$1004,$A86,入金明細!$B$5:$B$1004,"&gt;="&amp;K$3,入金明細!$B$5:$B$1004,"&lt;"&amp;DATE(YEAR(K$3),MONTH(K$3)+1,1)))</f>
        <v/>
      </c>
      <c r="M86" s="27" t="str">
        <f aca="false">IF($A86="","",SUMIFS(請求台帳!$F$5:$F$504,請求台帳!$C$5:$C$504,$A86,請求台帳!$B$5:$B$504,"&gt;="&amp;M$3,請求台帳!$B$5:$B$504,"&lt;"&amp;DATE(YEAR(M$3),MONTH(M$3)+1,1),請求台帳!$Q$5:$Q$504,"&lt;&gt;取消"))</f>
        <v/>
      </c>
      <c r="N86" s="27" t="str">
        <f aca="false">IF($A86="","",SUMIFS(入金明細!$E$5:$E$1004,入金明細!$G$5:$G$1004,$A86,入金明細!$B$5:$B$1004,"&gt;="&amp;M$3,入金明細!$B$5:$B$1004,"&lt;"&amp;DATE(YEAR(M$3),MONTH(M$3)+1,1)))</f>
        <v/>
      </c>
      <c r="O86" s="27" t="str">
        <f aca="false">IF($A86="","",SUMIFS(請求台帳!$F$5:$F$504,請求台帳!$C$5:$C$504,$A86,請求台帳!$B$5:$B$504,"&gt;="&amp;O$3,請求台帳!$B$5:$B$504,"&lt;"&amp;DATE(YEAR(O$3),MONTH(O$3)+1,1),請求台帳!$Q$5:$Q$504,"&lt;&gt;取消"))</f>
        <v/>
      </c>
      <c r="P86" s="27" t="str">
        <f aca="false">IF($A86="","",SUMIFS(入金明細!$E$5:$E$1004,入金明細!$G$5:$G$1004,$A86,入金明細!$B$5:$B$1004,"&gt;="&amp;O$3,入金明細!$B$5:$B$1004,"&lt;"&amp;DATE(YEAR(O$3),MONTH(O$3)+1,1)))</f>
        <v/>
      </c>
      <c r="Q86" s="27" t="str">
        <f aca="false">IF($A86="","",SUMIFS(請求台帳!$F$5:$F$504,請求台帳!$C$5:$C$504,$A86,請求台帳!$B$5:$B$504,"&gt;="&amp;Q$3,請求台帳!$B$5:$B$504,"&lt;"&amp;DATE(YEAR(Q$3),MONTH(Q$3)+1,1),請求台帳!$Q$5:$Q$504,"&lt;&gt;取消"))</f>
        <v/>
      </c>
      <c r="R86" s="27" t="str">
        <f aca="false">IF($A86="","",SUMIFS(入金明細!$E$5:$E$1004,入金明細!$G$5:$G$1004,$A86,入金明細!$B$5:$B$1004,"&gt;="&amp;Q$3,入金明細!$B$5:$B$1004,"&lt;"&amp;DATE(YEAR(Q$3),MONTH(Q$3)+1,1)))</f>
        <v/>
      </c>
      <c r="S86" s="27" t="str">
        <f aca="false">IF($A86="","",SUMIFS(請求台帳!$F$5:$F$504,請求台帳!$C$5:$C$504,$A86,請求台帳!$B$5:$B$504,"&gt;="&amp;S$3,請求台帳!$B$5:$B$504,"&lt;"&amp;DATE(YEAR(S$3),MONTH(S$3)+1,1),請求台帳!$Q$5:$Q$504,"&lt;&gt;取消"))</f>
        <v/>
      </c>
      <c r="T86" s="27" t="str">
        <f aca="false">IF($A86="","",SUMIFS(入金明細!$E$5:$E$1004,入金明細!$G$5:$G$1004,$A86,入金明細!$B$5:$B$1004,"&gt;="&amp;S$3,入金明細!$B$5:$B$1004,"&lt;"&amp;DATE(YEAR(S$3),MONTH(S$3)+1,1)))</f>
        <v/>
      </c>
      <c r="U86" s="27" t="str">
        <f aca="false">IF($A86="","",SUMIFS(請求台帳!$F$5:$F$504,請求台帳!$C$5:$C$504,$A86,請求台帳!$B$5:$B$504,"&gt;="&amp;U$3,請求台帳!$B$5:$B$504,"&lt;"&amp;DATE(YEAR(U$3),MONTH(U$3)+1,1),請求台帳!$Q$5:$Q$504,"&lt;&gt;取消"))</f>
        <v/>
      </c>
      <c r="V86" s="27" t="str">
        <f aca="false">IF($A86="","",SUMIFS(入金明細!$E$5:$E$1004,入金明細!$G$5:$G$1004,$A86,入金明細!$B$5:$B$1004,"&gt;="&amp;U$3,入金明細!$B$5:$B$1004,"&lt;"&amp;DATE(YEAR(U$3),MONTH(U$3)+1,1)))</f>
        <v/>
      </c>
      <c r="W86" s="27" t="str">
        <f aca="false">IF($A86="","",SUMIFS(請求台帳!$F$5:$F$504,請求台帳!$C$5:$C$504,$A86,請求台帳!$B$5:$B$504,"&gt;="&amp;W$3,請求台帳!$B$5:$B$504,"&lt;"&amp;DATE(YEAR(W$3),MONTH(W$3)+1,1),請求台帳!$Q$5:$Q$504,"&lt;&gt;取消"))</f>
        <v/>
      </c>
      <c r="X86" s="27" t="str">
        <f aca="false">IF($A86="","",SUMIFS(入金明細!$E$5:$E$1004,入金明細!$G$5:$G$1004,$A86,入金明細!$B$5:$B$1004,"&gt;="&amp;W$3,入金明細!$B$5:$B$1004,"&lt;"&amp;DATE(YEAR(W$3),MONTH(W$3)+1,1)))</f>
        <v/>
      </c>
      <c r="Y86" s="27" t="str">
        <f aca="false">IF($A86="","",SUMIFS(請求台帳!$F$5:$F$504,請求台帳!$C$5:$C$504,$A86,請求台帳!$B$5:$B$504,"&gt;="&amp;Y$3,請求台帳!$B$5:$B$504,"&lt;"&amp;DATE(YEAR(Y$3),MONTH(Y$3)+1,1),請求台帳!$Q$5:$Q$504,"&lt;&gt;取消"))</f>
        <v/>
      </c>
      <c r="Z86" s="27" t="str">
        <f aca="false">IF($A86="","",SUMIFS(入金明細!$E$5:$E$1004,入金明細!$G$5:$G$1004,$A86,入金明細!$B$5:$B$1004,"&gt;="&amp;Y$3,入金明細!$B$5:$B$1004,"&lt;"&amp;DATE(YEAR(Y$3),MONTH(Y$3)+1,1)))</f>
        <v/>
      </c>
      <c r="AA86" s="37" t="n">
        <f aca="false">SUM(C86,E86,G86,I86,K86,M86,O86,Q86,S86,U86,W86,Y86)</f>
        <v>0</v>
      </c>
      <c r="AB86" s="37" t="n">
        <f aca="false">SUM(D86,F86,H86,J86,L86,N86,P86,R86,T86,V86,X86,Z86)</f>
        <v>0</v>
      </c>
    </row>
    <row r="87" customFormat="false" ht="15" hidden="false" customHeight="false" outlineLevel="0" collapsed="false">
      <c r="A87" s="31" t="str">
        <f aca="false">IF(取引先マスタ!A87="","",取引先マスタ!A87)</f>
        <v/>
      </c>
      <c r="B87" s="31" t="str">
        <f aca="false">IF(A87="","",取引先マスタ!B87)</f>
        <v/>
      </c>
      <c r="C87" s="27" t="str">
        <f aca="false">IF($A87="","",SUMIFS(請求台帳!$F$5:$F$504,請求台帳!$C$5:$C$504,$A87,請求台帳!$B$5:$B$504,"&gt;="&amp;C$3,請求台帳!$B$5:$B$504,"&lt;"&amp;DATE(YEAR(C$3),MONTH(C$3)+1,1),請求台帳!$Q$5:$Q$504,"&lt;&gt;取消"))</f>
        <v/>
      </c>
      <c r="D87" s="27" t="str">
        <f aca="false">IF($A87="","",SUMIFS(入金明細!$E$5:$E$1004,入金明細!$G$5:$G$1004,$A87,入金明細!$B$5:$B$1004,"&gt;="&amp;C$3,入金明細!$B$5:$B$1004,"&lt;"&amp;DATE(YEAR(C$3),MONTH(C$3)+1,1)))</f>
        <v/>
      </c>
      <c r="E87" s="27" t="str">
        <f aca="false">IF($A87="","",SUMIFS(請求台帳!$F$5:$F$504,請求台帳!$C$5:$C$504,$A87,請求台帳!$B$5:$B$504,"&gt;="&amp;E$3,請求台帳!$B$5:$B$504,"&lt;"&amp;DATE(YEAR(E$3),MONTH(E$3)+1,1),請求台帳!$Q$5:$Q$504,"&lt;&gt;取消"))</f>
        <v/>
      </c>
      <c r="F87" s="27" t="str">
        <f aca="false">IF($A87="","",SUMIFS(入金明細!$E$5:$E$1004,入金明細!$G$5:$G$1004,$A87,入金明細!$B$5:$B$1004,"&gt;="&amp;E$3,入金明細!$B$5:$B$1004,"&lt;"&amp;DATE(YEAR(E$3),MONTH(E$3)+1,1)))</f>
        <v/>
      </c>
      <c r="G87" s="27" t="str">
        <f aca="false">IF($A87="","",SUMIFS(請求台帳!$F$5:$F$504,請求台帳!$C$5:$C$504,$A87,請求台帳!$B$5:$B$504,"&gt;="&amp;G$3,請求台帳!$B$5:$B$504,"&lt;"&amp;DATE(YEAR(G$3),MONTH(G$3)+1,1),請求台帳!$Q$5:$Q$504,"&lt;&gt;取消"))</f>
        <v/>
      </c>
      <c r="H87" s="27" t="str">
        <f aca="false">IF($A87="","",SUMIFS(入金明細!$E$5:$E$1004,入金明細!$G$5:$G$1004,$A87,入金明細!$B$5:$B$1004,"&gt;="&amp;G$3,入金明細!$B$5:$B$1004,"&lt;"&amp;DATE(YEAR(G$3),MONTH(G$3)+1,1)))</f>
        <v/>
      </c>
      <c r="I87" s="27" t="str">
        <f aca="false">IF($A87="","",SUMIFS(請求台帳!$F$5:$F$504,請求台帳!$C$5:$C$504,$A87,請求台帳!$B$5:$B$504,"&gt;="&amp;I$3,請求台帳!$B$5:$B$504,"&lt;"&amp;DATE(YEAR(I$3),MONTH(I$3)+1,1),請求台帳!$Q$5:$Q$504,"&lt;&gt;取消"))</f>
        <v/>
      </c>
      <c r="J87" s="27" t="str">
        <f aca="false">IF($A87="","",SUMIFS(入金明細!$E$5:$E$1004,入金明細!$G$5:$G$1004,$A87,入金明細!$B$5:$B$1004,"&gt;="&amp;I$3,入金明細!$B$5:$B$1004,"&lt;"&amp;DATE(YEAR(I$3),MONTH(I$3)+1,1)))</f>
        <v/>
      </c>
      <c r="K87" s="27" t="str">
        <f aca="false">IF($A87="","",SUMIFS(請求台帳!$F$5:$F$504,請求台帳!$C$5:$C$504,$A87,請求台帳!$B$5:$B$504,"&gt;="&amp;K$3,請求台帳!$B$5:$B$504,"&lt;"&amp;DATE(YEAR(K$3),MONTH(K$3)+1,1),請求台帳!$Q$5:$Q$504,"&lt;&gt;取消"))</f>
        <v/>
      </c>
      <c r="L87" s="27" t="str">
        <f aca="false">IF($A87="","",SUMIFS(入金明細!$E$5:$E$1004,入金明細!$G$5:$G$1004,$A87,入金明細!$B$5:$B$1004,"&gt;="&amp;K$3,入金明細!$B$5:$B$1004,"&lt;"&amp;DATE(YEAR(K$3),MONTH(K$3)+1,1)))</f>
        <v/>
      </c>
      <c r="M87" s="27" t="str">
        <f aca="false">IF($A87="","",SUMIFS(請求台帳!$F$5:$F$504,請求台帳!$C$5:$C$504,$A87,請求台帳!$B$5:$B$504,"&gt;="&amp;M$3,請求台帳!$B$5:$B$504,"&lt;"&amp;DATE(YEAR(M$3),MONTH(M$3)+1,1),請求台帳!$Q$5:$Q$504,"&lt;&gt;取消"))</f>
        <v/>
      </c>
      <c r="N87" s="27" t="str">
        <f aca="false">IF($A87="","",SUMIFS(入金明細!$E$5:$E$1004,入金明細!$G$5:$G$1004,$A87,入金明細!$B$5:$B$1004,"&gt;="&amp;M$3,入金明細!$B$5:$B$1004,"&lt;"&amp;DATE(YEAR(M$3),MONTH(M$3)+1,1)))</f>
        <v/>
      </c>
      <c r="O87" s="27" t="str">
        <f aca="false">IF($A87="","",SUMIFS(請求台帳!$F$5:$F$504,請求台帳!$C$5:$C$504,$A87,請求台帳!$B$5:$B$504,"&gt;="&amp;O$3,請求台帳!$B$5:$B$504,"&lt;"&amp;DATE(YEAR(O$3),MONTH(O$3)+1,1),請求台帳!$Q$5:$Q$504,"&lt;&gt;取消"))</f>
        <v/>
      </c>
      <c r="P87" s="27" t="str">
        <f aca="false">IF($A87="","",SUMIFS(入金明細!$E$5:$E$1004,入金明細!$G$5:$G$1004,$A87,入金明細!$B$5:$B$1004,"&gt;="&amp;O$3,入金明細!$B$5:$B$1004,"&lt;"&amp;DATE(YEAR(O$3),MONTH(O$3)+1,1)))</f>
        <v/>
      </c>
      <c r="Q87" s="27" t="str">
        <f aca="false">IF($A87="","",SUMIFS(請求台帳!$F$5:$F$504,請求台帳!$C$5:$C$504,$A87,請求台帳!$B$5:$B$504,"&gt;="&amp;Q$3,請求台帳!$B$5:$B$504,"&lt;"&amp;DATE(YEAR(Q$3),MONTH(Q$3)+1,1),請求台帳!$Q$5:$Q$504,"&lt;&gt;取消"))</f>
        <v/>
      </c>
      <c r="R87" s="27" t="str">
        <f aca="false">IF($A87="","",SUMIFS(入金明細!$E$5:$E$1004,入金明細!$G$5:$G$1004,$A87,入金明細!$B$5:$B$1004,"&gt;="&amp;Q$3,入金明細!$B$5:$B$1004,"&lt;"&amp;DATE(YEAR(Q$3),MONTH(Q$3)+1,1)))</f>
        <v/>
      </c>
      <c r="S87" s="27" t="str">
        <f aca="false">IF($A87="","",SUMIFS(請求台帳!$F$5:$F$504,請求台帳!$C$5:$C$504,$A87,請求台帳!$B$5:$B$504,"&gt;="&amp;S$3,請求台帳!$B$5:$B$504,"&lt;"&amp;DATE(YEAR(S$3),MONTH(S$3)+1,1),請求台帳!$Q$5:$Q$504,"&lt;&gt;取消"))</f>
        <v/>
      </c>
      <c r="T87" s="27" t="str">
        <f aca="false">IF($A87="","",SUMIFS(入金明細!$E$5:$E$1004,入金明細!$G$5:$G$1004,$A87,入金明細!$B$5:$B$1004,"&gt;="&amp;S$3,入金明細!$B$5:$B$1004,"&lt;"&amp;DATE(YEAR(S$3),MONTH(S$3)+1,1)))</f>
        <v/>
      </c>
      <c r="U87" s="27" t="str">
        <f aca="false">IF($A87="","",SUMIFS(請求台帳!$F$5:$F$504,請求台帳!$C$5:$C$504,$A87,請求台帳!$B$5:$B$504,"&gt;="&amp;U$3,請求台帳!$B$5:$B$504,"&lt;"&amp;DATE(YEAR(U$3),MONTH(U$3)+1,1),請求台帳!$Q$5:$Q$504,"&lt;&gt;取消"))</f>
        <v/>
      </c>
      <c r="V87" s="27" t="str">
        <f aca="false">IF($A87="","",SUMIFS(入金明細!$E$5:$E$1004,入金明細!$G$5:$G$1004,$A87,入金明細!$B$5:$B$1004,"&gt;="&amp;U$3,入金明細!$B$5:$B$1004,"&lt;"&amp;DATE(YEAR(U$3),MONTH(U$3)+1,1)))</f>
        <v/>
      </c>
      <c r="W87" s="27" t="str">
        <f aca="false">IF($A87="","",SUMIFS(請求台帳!$F$5:$F$504,請求台帳!$C$5:$C$504,$A87,請求台帳!$B$5:$B$504,"&gt;="&amp;W$3,請求台帳!$B$5:$B$504,"&lt;"&amp;DATE(YEAR(W$3),MONTH(W$3)+1,1),請求台帳!$Q$5:$Q$504,"&lt;&gt;取消"))</f>
        <v/>
      </c>
      <c r="X87" s="27" t="str">
        <f aca="false">IF($A87="","",SUMIFS(入金明細!$E$5:$E$1004,入金明細!$G$5:$G$1004,$A87,入金明細!$B$5:$B$1004,"&gt;="&amp;W$3,入金明細!$B$5:$B$1004,"&lt;"&amp;DATE(YEAR(W$3),MONTH(W$3)+1,1)))</f>
        <v/>
      </c>
      <c r="Y87" s="27" t="str">
        <f aca="false">IF($A87="","",SUMIFS(請求台帳!$F$5:$F$504,請求台帳!$C$5:$C$504,$A87,請求台帳!$B$5:$B$504,"&gt;="&amp;Y$3,請求台帳!$B$5:$B$504,"&lt;"&amp;DATE(YEAR(Y$3),MONTH(Y$3)+1,1),請求台帳!$Q$5:$Q$504,"&lt;&gt;取消"))</f>
        <v/>
      </c>
      <c r="Z87" s="27" t="str">
        <f aca="false">IF($A87="","",SUMIFS(入金明細!$E$5:$E$1004,入金明細!$G$5:$G$1004,$A87,入金明細!$B$5:$B$1004,"&gt;="&amp;Y$3,入金明細!$B$5:$B$1004,"&lt;"&amp;DATE(YEAR(Y$3),MONTH(Y$3)+1,1)))</f>
        <v/>
      </c>
      <c r="AA87" s="37" t="n">
        <f aca="false">SUM(C87,E87,G87,I87,K87,M87,O87,Q87,S87,U87,W87,Y87)</f>
        <v>0</v>
      </c>
      <c r="AB87" s="37" t="n">
        <f aca="false">SUM(D87,F87,H87,J87,L87,N87,P87,R87,T87,V87,X87,Z87)</f>
        <v>0</v>
      </c>
    </row>
    <row r="88" customFormat="false" ht="15" hidden="false" customHeight="false" outlineLevel="0" collapsed="false">
      <c r="A88" s="31" t="str">
        <f aca="false">IF(取引先マスタ!A88="","",取引先マスタ!A88)</f>
        <v/>
      </c>
      <c r="B88" s="31" t="str">
        <f aca="false">IF(A88="","",取引先マスタ!B88)</f>
        <v/>
      </c>
      <c r="C88" s="27" t="str">
        <f aca="false">IF($A88="","",SUMIFS(請求台帳!$F$5:$F$504,請求台帳!$C$5:$C$504,$A88,請求台帳!$B$5:$B$504,"&gt;="&amp;C$3,請求台帳!$B$5:$B$504,"&lt;"&amp;DATE(YEAR(C$3),MONTH(C$3)+1,1),請求台帳!$Q$5:$Q$504,"&lt;&gt;取消"))</f>
        <v/>
      </c>
      <c r="D88" s="27" t="str">
        <f aca="false">IF($A88="","",SUMIFS(入金明細!$E$5:$E$1004,入金明細!$G$5:$G$1004,$A88,入金明細!$B$5:$B$1004,"&gt;="&amp;C$3,入金明細!$B$5:$B$1004,"&lt;"&amp;DATE(YEAR(C$3),MONTH(C$3)+1,1)))</f>
        <v/>
      </c>
      <c r="E88" s="27" t="str">
        <f aca="false">IF($A88="","",SUMIFS(請求台帳!$F$5:$F$504,請求台帳!$C$5:$C$504,$A88,請求台帳!$B$5:$B$504,"&gt;="&amp;E$3,請求台帳!$B$5:$B$504,"&lt;"&amp;DATE(YEAR(E$3),MONTH(E$3)+1,1),請求台帳!$Q$5:$Q$504,"&lt;&gt;取消"))</f>
        <v/>
      </c>
      <c r="F88" s="27" t="str">
        <f aca="false">IF($A88="","",SUMIFS(入金明細!$E$5:$E$1004,入金明細!$G$5:$G$1004,$A88,入金明細!$B$5:$B$1004,"&gt;="&amp;E$3,入金明細!$B$5:$B$1004,"&lt;"&amp;DATE(YEAR(E$3),MONTH(E$3)+1,1)))</f>
        <v/>
      </c>
      <c r="G88" s="27" t="str">
        <f aca="false">IF($A88="","",SUMIFS(請求台帳!$F$5:$F$504,請求台帳!$C$5:$C$504,$A88,請求台帳!$B$5:$B$504,"&gt;="&amp;G$3,請求台帳!$B$5:$B$504,"&lt;"&amp;DATE(YEAR(G$3),MONTH(G$3)+1,1),請求台帳!$Q$5:$Q$504,"&lt;&gt;取消"))</f>
        <v/>
      </c>
      <c r="H88" s="27" t="str">
        <f aca="false">IF($A88="","",SUMIFS(入金明細!$E$5:$E$1004,入金明細!$G$5:$G$1004,$A88,入金明細!$B$5:$B$1004,"&gt;="&amp;G$3,入金明細!$B$5:$B$1004,"&lt;"&amp;DATE(YEAR(G$3),MONTH(G$3)+1,1)))</f>
        <v/>
      </c>
      <c r="I88" s="27" t="str">
        <f aca="false">IF($A88="","",SUMIFS(請求台帳!$F$5:$F$504,請求台帳!$C$5:$C$504,$A88,請求台帳!$B$5:$B$504,"&gt;="&amp;I$3,請求台帳!$B$5:$B$504,"&lt;"&amp;DATE(YEAR(I$3),MONTH(I$3)+1,1),請求台帳!$Q$5:$Q$504,"&lt;&gt;取消"))</f>
        <v/>
      </c>
      <c r="J88" s="27" t="str">
        <f aca="false">IF($A88="","",SUMIFS(入金明細!$E$5:$E$1004,入金明細!$G$5:$G$1004,$A88,入金明細!$B$5:$B$1004,"&gt;="&amp;I$3,入金明細!$B$5:$B$1004,"&lt;"&amp;DATE(YEAR(I$3),MONTH(I$3)+1,1)))</f>
        <v/>
      </c>
      <c r="K88" s="27" t="str">
        <f aca="false">IF($A88="","",SUMIFS(請求台帳!$F$5:$F$504,請求台帳!$C$5:$C$504,$A88,請求台帳!$B$5:$B$504,"&gt;="&amp;K$3,請求台帳!$B$5:$B$504,"&lt;"&amp;DATE(YEAR(K$3),MONTH(K$3)+1,1),請求台帳!$Q$5:$Q$504,"&lt;&gt;取消"))</f>
        <v/>
      </c>
      <c r="L88" s="27" t="str">
        <f aca="false">IF($A88="","",SUMIFS(入金明細!$E$5:$E$1004,入金明細!$G$5:$G$1004,$A88,入金明細!$B$5:$B$1004,"&gt;="&amp;K$3,入金明細!$B$5:$B$1004,"&lt;"&amp;DATE(YEAR(K$3),MONTH(K$3)+1,1)))</f>
        <v/>
      </c>
      <c r="M88" s="27" t="str">
        <f aca="false">IF($A88="","",SUMIFS(請求台帳!$F$5:$F$504,請求台帳!$C$5:$C$504,$A88,請求台帳!$B$5:$B$504,"&gt;="&amp;M$3,請求台帳!$B$5:$B$504,"&lt;"&amp;DATE(YEAR(M$3),MONTH(M$3)+1,1),請求台帳!$Q$5:$Q$504,"&lt;&gt;取消"))</f>
        <v/>
      </c>
      <c r="N88" s="27" t="str">
        <f aca="false">IF($A88="","",SUMIFS(入金明細!$E$5:$E$1004,入金明細!$G$5:$G$1004,$A88,入金明細!$B$5:$B$1004,"&gt;="&amp;M$3,入金明細!$B$5:$B$1004,"&lt;"&amp;DATE(YEAR(M$3),MONTH(M$3)+1,1)))</f>
        <v/>
      </c>
      <c r="O88" s="27" t="str">
        <f aca="false">IF($A88="","",SUMIFS(請求台帳!$F$5:$F$504,請求台帳!$C$5:$C$504,$A88,請求台帳!$B$5:$B$504,"&gt;="&amp;O$3,請求台帳!$B$5:$B$504,"&lt;"&amp;DATE(YEAR(O$3),MONTH(O$3)+1,1),請求台帳!$Q$5:$Q$504,"&lt;&gt;取消"))</f>
        <v/>
      </c>
      <c r="P88" s="27" t="str">
        <f aca="false">IF($A88="","",SUMIFS(入金明細!$E$5:$E$1004,入金明細!$G$5:$G$1004,$A88,入金明細!$B$5:$B$1004,"&gt;="&amp;O$3,入金明細!$B$5:$B$1004,"&lt;"&amp;DATE(YEAR(O$3),MONTH(O$3)+1,1)))</f>
        <v/>
      </c>
      <c r="Q88" s="27" t="str">
        <f aca="false">IF($A88="","",SUMIFS(請求台帳!$F$5:$F$504,請求台帳!$C$5:$C$504,$A88,請求台帳!$B$5:$B$504,"&gt;="&amp;Q$3,請求台帳!$B$5:$B$504,"&lt;"&amp;DATE(YEAR(Q$3),MONTH(Q$3)+1,1),請求台帳!$Q$5:$Q$504,"&lt;&gt;取消"))</f>
        <v/>
      </c>
      <c r="R88" s="27" t="str">
        <f aca="false">IF($A88="","",SUMIFS(入金明細!$E$5:$E$1004,入金明細!$G$5:$G$1004,$A88,入金明細!$B$5:$B$1004,"&gt;="&amp;Q$3,入金明細!$B$5:$B$1004,"&lt;"&amp;DATE(YEAR(Q$3),MONTH(Q$3)+1,1)))</f>
        <v/>
      </c>
      <c r="S88" s="27" t="str">
        <f aca="false">IF($A88="","",SUMIFS(請求台帳!$F$5:$F$504,請求台帳!$C$5:$C$504,$A88,請求台帳!$B$5:$B$504,"&gt;="&amp;S$3,請求台帳!$B$5:$B$504,"&lt;"&amp;DATE(YEAR(S$3),MONTH(S$3)+1,1),請求台帳!$Q$5:$Q$504,"&lt;&gt;取消"))</f>
        <v/>
      </c>
      <c r="T88" s="27" t="str">
        <f aca="false">IF($A88="","",SUMIFS(入金明細!$E$5:$E$1004,入金明細!$G$5:$G$1004,$A88,入金明細!$B$5:$B$1004,"&gt;="&amp;S$3,入金明細!$B$5:$B$1004,"&lt;"&amp;DATE(YEAR(S$3),MONTH(S$3)+1,1)))</f>
        <v/>
      </c>
      <c r="U88" s="27" t="str">
        <f aca="false">IF($A88="","",SUMIFS(請求台帳!$F$5:$F$504,請求台帳!$C$5:$C$504,$A88,請求台帳!$B$5:$B$504,"&gt;="&amp;U$3,請求台帳!$B$5:$B$504,"&lt;"&amp;DATE(YEAR(U$3),MONTH(U$3)+1,1),請求台帳!$Q$5:$Q$504,"&lt;&gt;取消"))</f>
        <v/>
      </c>
      <c r="V88" s="27" t="str">
        <f aca="false">IF($A88="","",SUMIFS(入金明細!$E$5:$E$1004,入金明細!$G$5:$G$1004,$A88,入金明細!$B$5:$B$1004,"&gt;="&amp;U$3,入金明細!$B$5:$B$1004,"&lt;"&amp;DATE(YEAR(U$3),MONTH(U$3)+1,1)))</f>
        <v/>
      </c>
      <c r="W88" s="27" t="str">
        <f aca="false">IF($A88="","",SUMIFS(請求台帳!$F$5:$F$504,請求台帳!$C$5:$C$504,$A88,請求台帳!$B$5:$B$504,"&gt;="&amp;W$3,請求台帳!$B$5:$B$504,"&lt;"&amp;DATE(YEAR(W$3),MONTH(W$3)+1,1),請求台帳!$Q$5:$Q$504,"&lt;&gt;取消"))</f>
        <v/>
      </c>
      <c r="X88" s="27" t="str">
        <f aca="false">IF($A88="","",SUMIFS(入金明細!$E$5:$E$1004,入金明細!$G$5:$G$1004,$A88,入金明細!$B$5:$B$1004,"&gt;="&amp;W$3,入金明細!$B$5:$B$1004,"&lt;"&amp;DATE(YEAR(W$3),MONTH(W$3)+1,1)))</f>
        <v/>
      </c>
      <c r="Y88" s="27" t="str">
        <f aca="false">IF($A88="","",SUMIFS(請求台帳!$F$5:$F$504,請求台帳!$C$5:$C$504,$A88,請求台帳!$B$5:$B$504,"&gt;="&amp;Y$3,請求台帳!$B$5:$B$504,"&lt;"&amp;DATE(YEAR(Y$3),MONTH(Y$3)+1,1),請求台帳!$Q$5:$Q$504,"&lt;&gt;取消"))</f>
        <v/>
      </c>
      <c r="Z88" s="27" t="str">
        <f aca="false">IF($A88="","",SUMIFS(入金明細!$E$5:$E$1004,入金明細!$G$5:$G$1004,$A88,入金明細!$B$5:$B$1004,"&gt;="&amp;Y$3,入金明細!$B$5:$B$1004,"&lt;"&amp;DATE(YEAR(Y$3),MONTH(Y$3)+1,1)))</f>
        <v/>
      </c>
      <c r="AA88" s="37" t="n">
        <f aca="false">SUM(C88,E88,G88,I88,K88,M88,O88,Q88,S88,U88,W88,Y88)</f>
        <v>0</v>
      </c>
      <c r="AB88" s="37" t="n">
        <f aca="false">SUM(D88,F88,H88,J88,L88,N88,P88,R88,T88,V88,X88,Z88)</f>
        <v>0</v>
      </c>
    </row>
    <row r="89" customFormat="false" ht="15" hidden="false" customHeight="false" outlineLevel="0" collapsed="false">
      <c r="A89" s="31" t="str">
        <f aca="false">IF(取引先マスタ!A89="","",取引先マスタ!A89)</f>
        <v/>
      </c>
      <c r="B89" s="31" t="str">
        <f aca="false">IF(A89="","",取引先マスタ!B89)</f>
        <v/>
      </c>
      <c r="C89" s="27" t="str">
        <f aca="false">IF($A89="","",SUMIFS(請求台帳!$F$5:$F$504,請求台帳!$C$5:$C$504,$A89,請求台帳!$B$5:$B$504,"&gt;="&amp;C$3,請求台帳!$B$5:$B$504,"&lt;"&amp;DATE(YEAR(C$3),MONTH(C$3)+1,1),請求台帳!$Q$5:$Q$504,"&lt;&gt;取消"))</f>
        <v/>
      </c>
      <c r="D89" s="27" t="str">
        <f aca="false">IF($A89="","",SUMIFS(入金明細!$E$5:$E$1004,入金明細!$G$5:$G$1004,$A89,入金明細!$B$5:$B$1004,"&gt;="&amp;C$3,入金明細!$B$5:$B$1004,"&lt;"&amp;DATE(YEAR(C$3),MONTH(C$3)+1,1)))</f>
        <v/>
      </c>
      <c r="E89" s="27" t="str">
        <f aca="false">IF($A89="","",SUMIFS(請求台帳!$F$5:$F$504,請求台帳!$C$5:$C$504,$A89,請求台帳!$B$5:$B$504,"&gt;="&amp;E$3,請求台帳!$B$5:$B$504,"&lt;"&amp;DATE(YEAR(E$3),MONTH(E$3)+1,1),請求台帳!$Q$5:$Q$504,"&lt;&gt;取消"))</f>
        <v/>
      </c>
      <c r="F89" s="27" t="str">
        <f aca="false">IF($A89="","",SUMIFS(入金明細!$E$5:$E$1004,入金明細!$G$5:$G$1004,$A89,入金明細!$B$5:$B$1004,"&gt;="&amp;E$3,入金明細!$B$5:$B$1004,"&lt;"&amp;DATE(YEAR(E$3),MONTH(E$3)+1,1)))</f>
        <v/>
      </c>
      <c r="G89" s="27" t="str">
        <f aca="false">IF($A89="","",SUMIFS(請求台帳!$F$5:$F$504,請求台帳!$C$5:$C$504,$A89,請求台帳!$B$5:$B$504,"&gt;="&amp;G$3,請求台帳!$B$5:$B$504,"&lt;"&amp;DATE(YEAR(G$3),MONTH(G$3)+1,1),請求台帳!$Q$5:$Q$504,"&lt;&gt;取消"))</f>
        <v/>
      </c>
      <c r="H89" s="27" t="str">
        <f aca="false">IF($A89="","",SUMIFS(入金明細!$E$5:$E$1004,入金明細!$G$5:$G$1004,$A89,入金明細!$B$5:$B$1004,"&gt;="&amp;G$3,入金明細!$B$5:$B$1004,"&lt;"&amp;DATE(YEAR(G$3),MONTH(G$3)+1,1)))</f>
        <v/>
      </c>
      <c r="I89" s="27" t="str">
        <f aca="false">IF($A89="","",SUMIFS(請求台帳!$F$5:$F$504,請求台帳!$C$5:$C$504,$A89,請求台帳!$B$5:$B$504,"&gt;="&amp;I$3,請求台帳!$B$5:$B$504,"&lt;"&amp;DATE(YEAR(I$3),MONTH(I$3)+1,1),請求台帳!$Q$5:$Q$504,"&lt;&gt;取消"))</f>
        <v/>
      </c>
      <c r="J89" s="27" t="str">
        <f aca="false">IF($A89="","",SUMIFS(入金明細!$E$5:$E$1004,入金明細!$G$5:$G$1004,$A89,入金明細!$B$5:$B$1004,"&gt;="&amp;I$3,入金明細!$B$5:$B$1004,"&lt;"&amp;DATE(YEAR(I$3),MONTH(I$3)+1,1)))</f>
        <v/>
      </c>
      <c r="K89" s="27" t="str">
        <f aca="false">IF($A89="","",SUMIFS(請求台帳!$F$5:$F$504,請求台帳!$C$5:$C$504,$A89,請求台帳!$B$5:$B$504,"&gt;="&amp;K$3,請求台帳!$B$5:$B$504,"&lt;"&amp;DATE(YEAR(K$3),MONTH(K$3)+1,1),請求台帳!$Q$5:$Q$504,"&lt;&gt;取消"))</f>
        <v/>
      </c>
      <c r="L89" s="27" t="str">
        <f aca="false">IF($A89="","",SUMIFS(入金明細!$E$5:$E$1004,入金明細!$G$5:$G$1004,$A89,入金明細!$B$5:$B$1004,"&gt;="&amp;K$3,入金明細!$B$5:$B$1004,"&lt;"&amp;DATE(YEAR(K$3),MONTH(K$3)+1,1)))</f>
        <v/>
      </c>
      <c r="M89" s="27" t="str">
        <f aca="false">IF($A89="","",SUMIFS(請求台帳!$F$5:$F$504,請求台帳!$C$5:$C$504,$A89,請求台帳!$B$5:$B$504,"&gt;="&amp;M$3,請求台帳!$B$5:$B$504,"&lt;"&amp;DATE(YEAR(M$3),MONTH(M$3)+1,1),請求台帳!$Q$5:$Q$504,"&lt;&gt;取消"))</f>
        <v/>
      </c>
      <c r="N89" s="27" t="str">
        <f aca="false">IF($A89="","",SUMIFS(入金明細!$E$5:$E$1004,入金明細!$G$5:$G$1004,$A89,入金明細!$B$5:$B$1004,"&gt;="&amp;M$3,入金明細!$B$5:$B$1004,"&lt;"&amp;DATE(YEAR(M$3),MONTH(M$3)+1,1)))</f>
        <v/>
      </c>
      <c r="O89" s="27" t="str">
        <f aca="false">IF($A89="","",SUMIFS(請求台帳!$F$5:$F$504,請求台帳!$C$5:$C$504,$A89,請求台帳!$B$5:$B$504,"&gt;="&amp;O$3,請求台帳!$B$5:$B$504,"&lt;"&amp;DATE(YEAR(O$3),MONTH(O$3)+1,1),請求台帳!$Q$5:$Q$504,"&lt;&gt;取消"))</f>
        <v/>
      </c>
      <c r="P89" s="27" t="str">
        <f aca="false">IF($A89="","",SUMIFS(入金明細!$E$5:$E$1004,入金明細!$G$5:$G$1004,$A89,入金明細!$B$5:$B$1004,"&gt;="&amp;O$3,入金明細!$B$5:$B$1004,"&lt;"&amp;DATE(YEAR(O$3),MONTH(O$3)+1,1)))</f>
        <v/>
      </c>
      <c r="Q89" s="27" t="str">
        <f aca="false">IF($A89="","",SUMIFS(請求台帳!$F$5:$F$504,請求台帳!$C$5:$C$504,$A89,請求台帳!$B$5:$B$504,"&gt;="&amp;Q$3,請求台帳!$B$5:$B$504,"&lt;"&amp;DATE(YEAR(Q$3),MONTH(Q$3)+1,1),請求台帳!$Q$5:$Q$504,"&lt;&gt;取消"))</f>
        <v/>
      </c>
      <c r="R89" s="27" t="str">
        <f aca="false">IF($A89="","",SUMIFS(入金明細!$E$5:$E$1004,入金明細!$G$5:$G$1004,$A89,入金明細!$B$5:$B$1004,"&gt;="&amp;Q$3,入金明細!$B$5:$B$1004,"&lt;"&amp;DATE(YEAR(Q$3),MONTH(Q$3)+1,1)))</f>
        <v/>
      </c>
      <c r="S89" s="27" t="str">
        <f aca="false">IF($A89="","",SUMIFS(請求台帳!$F$5:$F$504,請求台帳!$C$5:$C$504,$A89,請求台帳!$B$5:$B$504,"&gt;="&amp;S$3,請求台帳!$B$5:$B$504,"&lt;"&amp;DATE(YEAR(S$3),MONTH(S$3)+1,1),請求台帳!$Q$5:$Q$504,"&lt;&gt;取消"))</f>
        <v/>
      </c>
      <c r="T89" s="27" t="str">
        <f aca="false">IF($A89="","",SUMIFS(入金明細!$E$5:$E$1004,入金明細!$G$5:$G$1004,$A89,入金明細!$B$5:$B$1004,"&gt;="&amp;S$3,入金明細!$B$5:$B$1004,"&lt;"&amp;DATE(YEAR(S$3),MONTH(S$3)+1,1)))</f>
        <v/>
      </c>
      <c r="U89" s="27" t="str">
        <f aca="false">IF($A89="","",SUMIFS(請求台帳!$F$5:$F$504,請求台帳!$C$5:$C$504,$A89,請求台帳!$B$5:$B$504,"&gt;="&amp;U$3,請求台帳!$B$5:$B$504,"&lt;"&amp;DATE(YEAR(U$3),MONTH(U$3)+1,1),請求台帳!$Q$5:$Q$504,"&lt;&gt;取消"))</f>
        <v/>
      </c>
      <c r="V89" s="27" t="str">
        <f aca="false">IF($A89="","",SUMIFS(入金明細!$E$5:$E$1004,入金明細!$G$5:$G$1004,$A89,入金明細!$B$5:$B$1004,"&gt;="&amp;U$3,入金明細!$B$5:$B$1004,"&lt;"&amp;DATE(YEAR(U$3),MONTH(U$3)+1,1)))</f>
        <v/>
      </c>
      <c r="W89" s="27" t="str">
        <f aca="false">IF($A89="","",SUMIFS(請求台帳!$F$5:$F$504,請求台帳!$C$5:$C$504,$A89,請求台帳!$B$5:$B$504,"&gt;="&amp;W$3,請求台帳!$B$5:$B$504,"&lt;"&amp;DATE(YEAR(W$3),MONTH(W$3)+1,1),請求台帳!$Q$5:$Q$504,"&lt;&gt;取消"))</f>
        <v/>
      </c>
      <c r="X89" s="27" t="str">
        <f aca="false">IF($A89="","",SUMIFS(入金明細!$E$5:$E$1004,入金明細!$G$5:$G$1004,$A89,入金明細!$B$5:$B$1004,"&gt;="&amp;W$3,入金明細!$B$5:$B$1004,"&lt;"&amp;DATE(YEAR(W$3),MONTH(W$3)+1,1)))</f>
        <v/>
      </c>
      <c r="Y89" s="27" t="str">
        <f aca="false">IF($A89="","",SUMIFS(請求台帳!$F$5:$F$504,請求台帳!$C$5:$C$504,$A89,請求台帳!$B$5:$B$504,"&gt;="&amp;Y$3,請求台帳!$B$5:$B$504,"&lt;"&amp;DATE(YEAR(Y$3),MONTH(Y$3)+1,1),請求台帳!$Q$5:$Q$504,"&lt;&gt;取消"))</f>
        <v/>
      </c>
      <c r="Z89" s="27" t="str">
        <f aca="false">IF($A89="","",SUMIFS(入金明細!$E$5:$E$1004,入金明細!$G$5:$G$1004,$A89,入金明細!$B$5:$B$1004,"&gt;="&amp;Y$3,入金明細!$B$5:$B$1004,"&lt;"&amp;DATE(YEAR(Y$3),MONTH(Y$3)+1,1)))</f>
        <v/>
      </c>
      <c r="AA89" s="37" t="n">
        <f aca="false">SUM(C89,E89,G89,I89,K89,M89,O89,Q89,S89,U89,W89,Y89)</f>
        <v>0</v>
      </c>
      <c r="AB89" s="37" t="n">
        <f aca="false">SUM(D89,F89,H89,J89,L89,N89,P89,R89,T89,V89,X89,Z89)</f>
        <v>0</v>
      </c>
    </row>
    <row r="90" customFormat="false" ht="15" hidden="false" customHeight="false" outlineLevel="0" collapsed="false">
      <c r="A90" s="31" t="str">
        <f aca="false">IF(取引先マスタ!A90="","",取引先マスタ!A90)</f>
        <v/>
      </c>
      <c r="B90" s="31" t="str">
        <f aca="false">IF(A90="","",取引先マスタ!B90)</f>
        <v/>
      </c>
      <c r="C90" s="27" t="str">
        <f aca="false">IF($A90="","",SUMIFS(請求台帳!$F$5:$F$504,請求台帳!$C$5:$C$504,$A90,請求台帳!$B$5:$B$504,"&gt;="&amp;C$3,請求台帳!$B$5:$B$504,"&lt;"&amp;DATE(YEAR(C$3),MONTH(C$3)+1,1),請求台帳!$Q$5:$Q$504,"&lt;&gt;取消"))</f>
        <v/>
      </c>
      <c r="D90" s="27" t="str">
        <f aca="false">IF($A90="","",SUMIFS(入金明細!$E$5:$E$1004,入金明細!$G$5:$G$1004,$A90,入金明細!$B$5:$B$1004,"&gt;="&amp;C$3,入金明細!$B$5:$B$1004,"&lt;"&amp;DATE(YEAR(C$3),MONTH(C$3)+1,1)))</f>
        <v/>
      </c>
      <c r="E90" s="27" t="str">
        <f aca="false">IF($A90="","",SUMIFS(請求台帳!$F$5:$F$504,請求台帳!$C$5:$C$504,$A90,請求台帳!$B$5:$B$504,"&gt;="&amp;E$3,請求台帳!$B$5:$B$504,"&lt;"&amp;DATE(YEAR(E$3),MONTH(E$3)+1,1),請求台帳!$Q$5:$Q$504,"&lt;&gt;取消"))</f>
        <v/>
      </c>
      <c r="F90" s="27" t="str">
        <f aca="false">IF($A90="","",SUMIFS(入金明細!$E$5:$E$1004,入金明細!$G$5:$G$1004,$A90,入金明細!$B$5:$B$1004,"&gt;="&amp;E$3,入金明細!$B$5:$B$1004,"&lt;"&amp;DATE(YEAR(E$3),MONTH(E$3)+1,1)))</f>
        <v/>
      </c>
      <c r="G90" s="27" t="str">
        <f aca="false">IF($A90="","",SUMIFS(請求台帳!$F$5:$F$504,請求台帳!$C$5:$C$504,$A90,請求台帳!$B$5:$B$504,"&gt;="&amp;G$3,請求台帳!$B$5:$B$504,"&lt;"&amp;DATE(YEAR(G$3),MONTH(G$3)+1,1),請求台帳!$Q$5:$Q$504,"&lt;&gt;取消"))</f>
        <v/>
      </c>
      <c r="H90" s="27" t="str">
        <f aca="false">IF($A90="","",SUMIFS(入金明細!$E$5:$E$1004,入金明細!$G$5:$G$1004,$A90,入金明細!$B$5:$B$1004,"&gt;="&amp;G$3,入金明細!$B$5:$B$1004,"&lt;"&amp;DATE(YEAR(G$3),MONTH(G$3)+1,1)))</f>
        <v/>
      </c>
      <c r="I90" s="27" t="str">
        <f aca="false">IF($A90="","",SUMIFS(請求台帳!$F$5:$F$504,請求台帳!$C$5:$C$504,$A90,請求台帳!$B$5:$B$504,"&gt;="&amp;I$3,請求台帳!$B$5:$B$504,"&lt;"&amp;DATE(YEAR(I$3),MONTH(I$3)+1,1),請求台帳!$Q$5:$Q$504,"&lt;&gt;取消"))</f>
        <v/>
      </c>
      <c r="J90" s="27" t="str">
        <f aca="false">IF($A90="","",SUMIFS(入金明細!$E$5:$E$1004,入金明細!$G$5:$G$1004,$A90,入金明細!$B$5:$B$1004,"&gt;="&amp;I$3,入金明細!$B$5:$B$1004,"&lt;"&amp;DATE(YEAR(I$3),MONTH(I$3)+1,1)))</f>
        <v/>
      </c>
      <c r="K90" s="27" t="str">
        <f aca="false">IF($A90="","",SUMIFS(請求台帳!$F$5:$F$504,請求台帳!$C$5:$C$504,$A90,請求台帳!$B$5:$B$504,"&gt;="&amp;K$3,請求台帳!$B$5:$B$504,"&lt;"&amp;DATE(YEAR(K$3),MONTH(K$3)+1,1),請求台帳!$Q$5:$Q$504,"&lt;&gt;取消"))</f>
        <v/>
      </c>
      <c r="L90" s="27" t="str">
        <f aca="false">IF($A90="","",SUMIFS(入金明細!$E$5:$E$1004,入金明細!$G$5:$G$1004,$A90,入金明細!$B$5:$B$1004,"&gt;="&amp;K$3,入金明細!$B$5:$B$1004,"&lt;"&amp;DATE(YEAR(K$3),MONTH(K$3)+1,1)))</f>
        <v/>
      </c>
      <c r="M90" s="27" t="str">
        <f aca="false">IF($A90="","",SUMIFS(請求台帳!$F$5:$F$504,請求台帳!$C$5:$C$504,$A90,請求台帳!$B$5:$B$504,"&gt;="&amp;M$3,請求台帳!$B$5:$B$504,"&lt;"&amp;DATE(YEAR(M$3),MONTH(M$3)+1,1),請求台帳!$Q$5:$Q$504,"&lt;&gt;取消"))</f>
        <v/>
      </c>
      <c r="N90" s="27" t="str">
        <f aca="false">IF($A90="","",SUMIFS(入金明細!$E$5:$E$1004,入金明細!$G$5:$G$1004,$A90,入金明細!$B$5:$B$1004,"&gt;="&amp;M$3,入金明細!$B$5:$B$1004,"&lt;"&amp;DATE(YEAR(M$3),MONTH(M$3)+1,1)))</f>
        <v/>
      </c>
      <c r="O90" s="27" t="str">
        <f aca="false">IF($A90="","",SUMIFS(請求台帳!$F$5:$F$504,請求台帳!$C$5:$C$504,$A90,請求台帳!$B$5:$B$504,"&gt;="&amp;O$3,請求台帳!$B$5:$B$504,"&lt;"&amp;DATE(YEAR(O$3),MONTH(O$3)+1,1),請求台帳!$Q$5:$Q$504,"&lt;&gt;取消"))</f>
        <v/>
      </c>
      <c r="P90" s="27" t="str">
        <f aca="false">IF($A90="","",SUMIFS(入金明細!$E$5:$E$1004,入金明細!$G$5:$G$1004,$A90,入金明細!$B$5:$B$1004,"&gt;="&amp;O$3,入金明細!$B$5:$B$1004,"&lt;"&amp;DATE(YEAR(O$3),MONTH(O$3)+1,1)))</f>
        <v/>
      </c>
      <c r="Q90" s="27" t="str">
        <f aca="false">IF($A90="","",SUMIFS(請求台帳!$F$5:$F$504,請求台帳!$C$5:$C$504,$A90,請求台帳!$B$5:$B$504,"&gt;="&amp;Q$3,請求台帳!$B$5:$B$504,"&lt;"&amp;DATE(YEAR(Q$3),MONTH(Q$3)+1,1),請求台帳!$Q$5:$Q$504,"&lt;&gt;取消"))</f>
        <v/>
      </c>
      <c r="R90" s="27" t="str">
        <f aca="false">IF($A90="","",SUMIFS(入金明細!$E$5:$E$1004,入金明細!$G$5:$G$1004,$A90,入金明細!$B$5:$B$1004,"&gt;="&amp;Q$3,入金明細!$B$5:$B$1004,"&lt;"&amp;DATE(YEAR(Q$3),MONTH(Q$3)+1,1)))</f>
        <v/>
      </c>
      <c r="S90" s="27" t="str">
        <f aca="false">IF($A90="","",SUMIFS(請求台帳!$F$5:$F$504,請求台帳!$C$5:$C$504,$A90,請求台帳!$B$5:$B$504,"&gt;="&amp;S$3,請求台帳!$B$5:$B$504,"&lt;"&amp;DATE(YEAR(S$3),MONTH(S$3)+1,1),請求台帳!$Q$5:$Q$504,"&lt;&gt;取消"))</f>
        <v/>
      </c>
      <c r="T90" s="27" t="str">
        <f aca="false">IF($A90="","",SUMIFS(入金明細!$E$5:$E$1004,入金明細!$G$5:$G$1004,$A90,入金明細!$B$5:$B$1004,"&gt;="&amp;S$3,入金明細!$B$5:$B$1004,"&lt;"&amp;DATE(YEAR(S$3),MONTH(S$3)+1,1)))</f>
        <v/>
      </c>
      <c r="U90" s="27" t="str">
        <f aca="false">IF($A90="","",SUMIFS(請求台帳!$F$5:$F$504,請求台帳!$C$5:$C$504,$A90,請求台帳!$B$5:$B$504,"&gt;="&amp;U$3,請求台帳!$B$5:$B$504,"&lt;"&amp;DATE(YEAR(U$3),MONTH(U$3)+1,1),請求台帳!$Q$5:$Q$504,"&lt;&gt;取消"))</f>
        <v/>
      </c>
      <c r="V90" s="27" t="str">
        <f aca="false">IF($A90="","",SUMIFS(入金明細!$E$5:$E$1004,入金明細!$G$5:$G$1004,$A90,入金明細!$B$5:$B$1004,"&gt;="&amp;U$3,入金明細!$B$5:$B$1004,"&lt;"&amp;DATE(YEAR(U$3),MONTH(U$3)+1,1)))</f>
        <v/>
      </c>
      <c r="W90" s="27" t="str">
        <f aca="false">IF($A90="","",SUMIFS(請求台帳!$F$5:$F$504,請求台帳!$C$5:$C$504,$A90,請求台帳!$B$5:$B$504,"&gt;="&amp;W$3,請求台帳!$B$5:$B$504,"&lt;"&amp;DATE(YEAR(W$3),MONTH(W$3)+1,1),請求台帳!$Q$5:$Q$504,"&lt;&gt;取消"))</f>
        <v/>
      </c>
      <c r="X90" s="27" t="str">
        <f aca="false">IF($A90="","",SUMIFS(入金明細!$E$5:$E$1004,入金明細!$G$5:$G$1004,$A90,入金明細!$B$5:$B$1004,"&gt;="&amp;W$3,入金明細!$B$5:$B$1004,"&lt;"&amp;DATE(YEAR(W$3),MONTH(W$3)+1,1)))</f>
        <v/>
      </c>
      <c r="Y90" s="27" t="str">
        <f aca="false">IF($A90="","",SUMIFS(請求台帳!$F$5:$F$504,請求台帳!$C$5:$C$504,$A90,請求台帳!$B$5:$B$504,"&gt;="&amp;Y$3,請求台帳!$B$5:$B$504,"&lt;"&amp;DATE(YEAR(Y$3),MONTH(Y$3)+1,1),請求台帳!$Q$5:$Q$504,"&lt;&gt;取消"))</f>
        <v/>
      </c>
      <c r="Z90" s="27" t="str">
        <f aca="false">IF($A90="","",SUMIFS(入金明細!$E$5:$E$1004,入金明細!$G$5:$G$1004,$A90,入金明細!$B$5:$B$1004,"&gt;="&amp;Y$3,入金明細!$B$5:$B$1004,"&lt;"&amp;DATE(YEAR(Y$3),MONTH(Y$3)+1,1)))</f>
        <v/>
      </c>
      <c r="AA90" s="37" t="n">
        <f aca="false">SUM(C90,E90,G90,I90,K90,M90,O90,Q90,S90,U90,W90,Y90)</f>
        <v>0</v>
      </c>
      <c r="AB90" s="37" t="n">
        <f aca="false">SUM(D90,F90,H90,J90,L90,N90,P90,R90,T90,V90,X90,Z90)</f>
        <v>0</v>
      </c>
    </row>
    <row r="91" customFormat="false" ht="15" hidden="false" customHeight="false" outlineLevel="0" collapsed="false">
      <c r="A91" s="31" t="str">
        <f aca="false">IF(取引先マスタ!A91="","",取引先マスタ!A91)</f>
        <v/>
      </c>
      <c r="B91" s="31" t="str">
        <f aca="false">IF(A91="","",取引先マスタ!B91)</f>
        <v/>
      </c>
      <c r="C91" s="27" t="str">
        <f aca="false">IF($A91="","",SUMIFS(請求台帳!$F$5:$F$504,請求台帳!$C$5:$C$504,$A91,請求台帳!$B$5:$B$504,"&gt;="&amp;C$3,請求台帳!$B$5:$B$504,"&lt;"&amp;DATE(YEAR(C$3),MONTH(C$3)+1,1),請求台帳!$Q$5:$Q$504,"&lt;&gt;取消"))</f>
        <v/>
      </c>
      <c r="D91" s="27" t="str">
        <f aca="false">IF($A91="","",SUMIFS(入金明細!$E$5:$E$1004,入金明細!$G$5:$G$1004,$A91,入金明細!$B$5:$B$1004,"&gt;="&amp;C$3,入金明細!$B$5:$B$1004,"&lt;"&amp;DATE(YEAR(C$3),MONTH(C$3)+1,1)))</f>
        <v/>
      </c>
      <c r="E91" s="27" t="str">
        <f aca="false">IF($A91="","",SUMIFS(請求台帳!$F$5:$F$504,請求台帳!$C$5:$C$504,$A91,請求台帳!$B$5:$B$504,"&gt;="&amp;E$3,請求台帳!$B$5:$B$504,"&lt;"&amp;DATE(YEAR(E$3),MONTH(E$3)+1,1),請求台帳!$Q$5:$Q$504,"&lt;&gt;取消"))</f>
        <v/>
      </c>
      <c r="F91" s="27" t="str">
        <f aca="false">IF($A91="","",SUMIFS(入金明細!$E$5:$E$1004,入金明細!$G$5:$G$1004,$A91,入金明細!$B$5:$B$1004,"&gt;="&amp;E$3,入金明細!$B$5:$B$1004,"&lt;"&amp;DATE(YEAR(E$3),MONTH(E$3)+1,1)))</f>
        <v/>
      </c>
      <c r="G91" s="27" t="str">
        <f aca="false">IF($A91="","",SUMIFS(請求台帳!$F$5:$F$504,請求台帳!$C$5:$C$504,$A91,請求台帳!$B$5:$B$504,"&gt;="&amp;G$3,請求台帳!$B$5:$B$504,"&lt;"&amp;DATE(YEAR(G$3),MONTH(G$3)+1,1),請求台帳!$Q$5:$Q$504,"&lt;&gt;取消"))</f>
        <v/>
      </c>
      <c r="H91" s="27" t="str">
        <f aca="false">IF($A91="","",SUMIFS(入金明細!$E$5:$E$1004,入金明細!$G$5:$G$1004,$A91,入金明細!$B$5:$B$1004,"&gt;="&amp;G$3,入金明細!$B$5:$B$1004,"&lt;"&amp;DATE(YEAR(G$3),MONTH(G$3)+1,1)))</f>
        <v/>
      </c>
      <c r="I91" s="27" t="str">
        <f aca="false">IF($A91="","",SUMIFS(請求台帳!$F$5:$F$504,請求台帳!$C$5:$C$504,$A91,請求台帳!$B$5:$B$504,"&gt;="&amp;I$3,請求台帳!$B$5:$B$504,"&lt;"&amp;DATE(YEAR(I$3),MONTH(I$3)+1,1),請求台帳!$Q$5:$Q$504,"&lt;&gt;取消"))</f>
        <v/>
      </c>
      <c r="J91" s="27" t="str">
        <f aca="false">IF($A91="","",SUMIFS(入金明細!$E$5:$E$1004,入金明細!$G$5:$G$1004,$A91,入金明細!$B$5:$B$1004,"&gt;="&amp;I$3,入金明細!$B$5:$B$1004,"&lt;"&amp;DATE(YEAR(I$3),MONTH(I$3)+1,1)))</f>
        <v/>
      </c>
      <c r="K91" s="27" t="str">
        <f aca="false">IF($A91="","",SUMIFS(請求台帳!$F$5:$F$504,請求台帳!$C$5:$C$504,$A91,請求台帳!$B$5:$B$504,"&gt;="&amp;K$3,請求台帳!$B$5:$B$504,"&lt;"&amp;DATE(YEAR(K$3),MONTH(K$3)+1,1),請求台帳!$Q$5:$Q$504,"&lt;&gt;取消"))</f>
        <v/>
      </c>
      <c r="L91" s="27" t="str">
        <f aca="false">IF($A91="","",SUMIFS(入金明細!$E$5:$E$1004,入金明細!$G$5:$G$1004,$A91,入金明細!$B$5:$B$1004,"&gt;="&amp;K$3,入金明細!$B$5:$B$1004,"&lt;"&amp;DATE(YEAR(K$3),MONTH(K$3)+1,1)))</f>
        <v/>
      </c>
      <c r="M91" s="27" t="str">
        <f aca="false">IF($A91="","",SUMIFS(請求台帳!$F$5:$F$504,請求台帳!$C$5:$C$504,$A91,請求台帳!$B$5:$B$504,"&gt;="&amp;M$3,請求台帳!$B$5:$B$504,"&lt;"&amp;DATE(YEAR(M$3),MONTH(M$3)+1,1),請求台帳!$Q$5:$Q$504,"&lt;&gt;取消"))</f>
        <v/>
      </c>
      <c r="N91" s="27" t="str">
        <f aca="false">IF($A91="","",SUMIFS(入金明細!$E$5:$E$1004,入金明細!$G$5:$G$1004,$A91,入金明細!$B$5:$B$1004,"&gt;="&amp;M$3,入金明細!$B$5:$B$1004,"&lt;"&amp;DATE(YEAR(M$3),MONTH(M$3)+1,1)))</f>
        <v/>
      </c>
      <c r="O91" s="27" t="str">
        <f aca="false">IF($A91="","",SUMIFS(請求台帳!$F$5:$F$504,請求台帳!$C$5:$C$504,$A91,請求台帳!$B$5:$B$504,"&gt;="&amp;O$3,請求台帳!$B$5:$B$504,"&lt;"&amp;DATE(YEAR(O$3),MONTH(O$3)+1,1),請求台帳!$Q$5:$Q$504,"&lt;&gt;取消"))</f>
        <v/>
      </c>
      <c r="P91" s="27" t="str">
        <f aca="false">IF($A91="","",SUMIFS(入金明細!$E$5:$E$1004,入金明細!$G$5:$G$1004,$A91,入金明細!$B$5:$B$1004,"&gt;="&amp;O$3,入金明細!$B$5:$B$1004,"&lt;"&amp;DATE(YEAR(O$3),MONTH(O$3)+1,1)))</f>
        <v/>
      </c>
      <c r="Q91" s="27" t="str">
        <f aca="false">IF($A91="","",SUMIFS(請求台帳!$F$5:$F$504,請求台帳!$C$5:$C$504,$A91,請求台帳!$B$5:$B$504,"&gt;="&amp;Q$3,請求台帳!$B$5:$B$504,"&lt;"&amp;DATE(YEAR(Q$3),MONTH(Q$3)+1,1),請求台帳!$Q$5:$Q$504,"&lt;&gt;取消"))</f>
        <v/>
      </c>
      <c r="R91" s="27" t="str">
        <f aca="false">IF($A91="","",SUMIFS(入金明細!$E$5:$E$1004,入金明細!$G$5:$G$1004,$A91,入金明細!$B$5:$B$1004,"&gt;="&amp;Q$3,入金明細!$B$5:$B$1004,"&lt;"&amp;DATE(YEAR(Q$3),MONTH(Q$3)+1,1)))</f>
        <v/>
      </c>
      <c r="S91" s="27" t="str">
        <f aca="false">IF($A91="","",SUMIFS(請求台帳!$F$5:$F$504,請求台帳!$C$5:$C$504,$A91,請求台帳!$B$5:$B$504,"&gt;="&amp;S$3,請求台帳!$B$5:$B$504,"&lt;"&amp;DATE(YEAR(S$3),MONTH(S$3)+1,1),請求台帳!$Q$5:$Q$504,"&lt;&gt;取消"))</f>
        <v/>
      </c>
      <c r="T91" s="27" t="str">
        <f aca="false">IF($A91="","",SUMIFS(入金明細!$E$5:$E$1004,入金明細!$G$5:$G$1004,$A91,入金明細!$B$5:$B$1004,"&gt;="&amp;S$3,入金明細!$B$5:$B$1004,"&lt;"&amp;DATE(YEAR(S$3),MONTH(S$3)+1,1)))</f>
        <v/>
      </c>
      <c r="U91" s="27" t="str">
        <f aca="false">IF($A91="","",SUMIFS(請求台帳!$F$5:$F$504,請求台帳!$C$5:$C$504,$A91,請求台帳!$B$5:$B$504,"&gt;="&amp;U$3,請求台帳!$B$5:$B$504,"&lt;"&amp;DATE(YEAR(U$3),MONTH(U$3)+1,1),請求台帳!$Q$5:$Q$504,"&lt;&gt;取消"))</f>
        <v/>
      </c>
      <c r="V91" s="27" t="str">
        <f aca="false">IF($A91="","",SUMIFS(入金明細!$E$5:$E$1004,入金明細!$G$5:$G$1004,$A91,入金明細!$B$5:$B$1004,"&gt;="&amp;U$3,入金明細!$B$5:$B$1004,"&lt;"&amp;DATE(YEAR(U$3),MONTH(U$3)+1,1)))</f>
        <v/>
      </c>
      <c r="W91" s="27" t="str">
        <f aca="false">IF($A91="","",SUMIFS(請求台帳!$F$5:$F$504,請求台帳!$C$5:$C$504,$A91,請求台帳!$B$5:$B$504,"&gt;="&amp;W$3,請求台帳!$B$5:$B$504,"&lt;"&amp;DATE(YEAR(W$3),MONTH(W$3)+1,1),請求台帳!$Q$5:$Q$504,"&lt;&gt;取消"))</f>
        <v/>
      </c>
      <c r="X91" s="27" t="str">
        <f aca="false">IF($A91="","",SUMIFS(入金明細!$E$5:$E$1004,入金明細!$G$5:$G$1004,$A91,入金明細!$B$5:$B$1004,"&gt;="&amp;W$3,入金明細!$B$5:$B$1004,"&lt;"&amp;DATE(YEAR(W$3),MONTH(W$3)+1,1)))</f>
        <v/>
      </c>
      <c r="Y91" s="27" t="str">
        <f aca="false">IF($A91="","",SUMIFS(請求台帳!$F$5:$F$504,請求台帳!$C$5:$C$504,$A91,請求台帳!$B$5:$B$504,"&gt;="&amp;Y$3,請求台帳!$B$5:$B$504,"&lt;"&amp;DATE(YEAR(Y$3),MONTH(Y$3)+1,1),請求台帳!$Q$5:$Q$504,"&lt;&gt;取消"))</f>
        <v/>
      </c>
      <c r="Z91" s="27" t="str">
        <f aca="false">IF($A91="","",SUMIFS(入金明細!$E$5:$E$1004,入金明細!$G$5:$G$1004,$A91,入金明細!$B$5:$B$1004,"&gt;="&amp;Y$3,入金明細!$B$5:$B$1004,"&lt;"&amp;DATE(YEAR(Y$3),MONTH(Y$3)+1,1)))</f>
        <v/>
      </c>
      <c r="AA91" s="37" t="n">
        <f aca="false">SUM(C91,E91,G91,I91,K91,M91,O91,Q91,S91,U91,W91,Y91)</f>
        <v>0</v>
      </c>
      <c r="AB91" s="37" t="n">
        <f aca="false">SUM(D91,F91,H91,J91,L91,N91,P91,R91,T91,V91,X91,Z91)</f>
        <v>0</v>
      </c>
    </row>
    <row r="92" customFormat="false" ht="15" hidden="false" customHeight="false" outlineLevel="0" collapsed="false">
      <c r="A92" s="31" t="str">
        <f aca="false">IF(取引先マスタ!A92="","",取引先マスタ!A92)</f>
        <v/>
      </c>
      <c r="B92" s="31" t="str">
        <f aca="false">IF(A92="","",取引先マスタ!B92)</f>
        <v/>
      </c>
      <c r="C92" s="27" t="str">
        <f aca="false">IF($A92="","",SUMIFS(請求台帳!$F$5:$F$504,請求台帳!$C$5:$C$504,$A92,請求台帳!$B$5:$B$504,"&gt;="&amp;C$3,請求台帳!$B$5:$B$504,"&lt;"&amp;DATE(YEAR(C$3),MONTH(C$3)+1,1),請求台帳!$Q$5:$Q$504,"&lt;&gt;取消"))</f>
        <v/>
      </c>
      <c r="D92" s="27" t="str">
        <f aca="false">IF($A92="","",SUMIFS(入金明細!$E$5:$E$1004,入金明細!$G$5:$G$1004,$A92,入金明細!$B$5:$B$1004,"&gt;="&amp;C$3,入金明細!$B$5:$B$1004,"&lt;"&amp;DATE(YEAR(C$3),MONTH(C$3)+1,1)))</f>
        <v/>
      </c>
      <c r="E92" s="27" t="str">
        <f aca="false">IF($A92="","",SUMIFS(請求台帳!$F$5:$F$504,請求台帳!$C$5:$C$504,$A92,請求台帳!$B$5:$B$504,"&gt;="&amp;E$3,請求台帳!$B$5:$B$504,"&lt;"&amp;DATE(YEAR(E$3),MONTH(E$3)+1,1),請求台帳!$Q$5:$Q$504,"&lt;&gt;取消"))</f>
        <v/>
      </c>
      <c r="F92" s="27" t="str">
        <f aca="false">IF($A92="","",SUMIFS(入金明細!$E$5:$E$1004,入金明細!$G$5:$G$1004,$A92,入金明細!$B$5:$B$1004,"&gt;="&amp;E$3,入金明細!$B$5:$B$1004,"&lt;"&amp;DATE(YEAR(E$3),MONTH(E$3)+1,1)))</f>
        <v/>
      </c>
      <c r="G92" s="27" t="str">
        <f aca="false">IF($A92="","",SUMIFS(請求台帳!$F$5:$F$504,請求台帳!$C$5:$C$504,$A92,請求台帳!$B$5:$B$504,"&gt;="&amp;G$3,請求台帳!$B$5:$B$504,"&lt;"&amp;DATE(YEAR(G$3),MONTH(G$3)+1,1),請求台帳!$Q$5:$Q$504,"&lt;&gt;取消"))</f>
        <v/>
      </c>
      <c r="H92" s="27" t="str">
        <f aca="false">IF($A92="","",SUMIFS(入金明細!$E$5:$E$1004,入金明細!$G$5:$G$1004,$A92,入金明細!$B$5:$B$1004,"&gt;="&amp;G$3,入金明細!$B$5:$B$1004,"&lt;"&amp;DATE(YEAR(G$3),MONTH(G$3)+1,1)))</f>
        <v/>
      </c>
      <c r="I92" s="27" t="str">
        <f aca="false">IF($A92="","",SUMIFS(請求台帳!$F$5:$F$504,請求台帳!$C$5:$C$504,$A92,請求台帳!$B$5:$B$504,"&gt;="&amp;I$3,請求台帳!$B$5:$B$504,"&lt;"&amp;DATE(YEAR(I$3),MONTH(I$3)+1,1),請求台帳!$Q$5:$Q$504,"&lt;&gt;取消"))</f>
        <v/>
      </c>
      <c r="J92" s="27" t="str">
        <f aca="false">IF($A92="","",SUMIFS(入金明細!$E$5:$E$1004,入金明細!$G$5:$G$1004,$A92,入金明細!$B$5:$B$1004,"&gt;="&amp;I$3,入金明細!$B$5:$B$1004,"&lt;"&amp;DATE(YEAR(I$3),MONTH(I$3)+1,1)))</f>
        <v/>
      </c>
      <c r="K92" s="27" t="str">
        <f aca="false">IF($A92="","",SUMIFS(請求台帳!$F$5:$F$504,請求台帳!$C$5:$C$504,$A92,請求台帳!$B$5:$B$504,"&gt;="&amp;K$3,請求台帳!$B$5:$B$504,"&lt;"&amp;DATE(YEAR(K$3),MONTH(K$3)+1,1),請求台帳!$Q$5:$Q$504,"&lt;&gt;取消"))</f>
        <v/>
      </c>
      <c r="L92" s="27" t="str">
        <f aca="false">IF($A92="","",SUMIFS(入金明細!$E$5:$E$1004,入金明細!$G$5:$G$1004,$A92,入金明細!$B$5:$B$1004,"&gt;="&amp;K$3,入金明細!$B$5:$B$1004,"&lt;"&amp;DATE(YEAR(K$3),MONTH(K$3)+1,1)))</f>
        <v/>
      </c>
      <c r="M92" s="27" t="str">
        <f aca="false">IF($A92="","",SUMIFS(請求台帳!$F$5:$F$504,請求台帳!$C$5:$C$504,$A92,請求台帳!$B$5:$B$504,"&gt;="&amp;M$3,請求台帳!$B$5:$B$504,"&lt;"&amp;DATE(YEAR(M$3),MONTH(M$3)+1,1),請求台帳!$Q$5:$Q$504,"&lt;&gt;取消"))</f>
        <v/>
      </c>
      <c r="N92" s="27" t="str">
        <f aca="false">IF($A92="","",SUMIFS(入金明細!$E$5:$E$1004,入金明細!$G$5:$G$1004,$A92,入金明細!$B$5:$B$1004,"&gt;="&amp;M$3,入金明細!$B$5:$B$1004,"&lt;"&amp;DATE(YEAR(M$3),MONTH(M$3)+1,1)))</f>
        <v/>
      </c>
      <c r="O92" s="27" t="str">
        <f aca="false">IF($A92="","",SUMIFS(請求台帳!$F$5:$F$504,請求台帳!$C$5:$C$504,$A92,請求台帳!$B$5:$B$504,"&gt;="&amp;O$3,請求台帳!$B$5:$B$504,"&lt;"&amp;DATE(YEAR(O$3),MONTH(O$3)+1,1),請求台帳!$Q$5:$Q$504,"&lt;&gt;取消"))</f>
        <v/>
      </c>
      <c r="P92" s="27" t="str">
        <f aca="false">IF($A92="","",SUMIFS(入金明細!$E$5:$E$1004,入金明細!$G$5:$G$1004,$A92,入金明細!$B$5:$B$1004,"&gt;="&amp;O$3,入金明細!$B$5:$B$1004,"&lt;"&amp;DATE(YEAR(O$3),MONTH(O$3)+1,1)))</f>
        <v/>
      </c>
      <c r="Q92" s="27" t="str">
        <f aca="false">IF($A92="","",SUMIFS(請求台帳!$F$5:$F$504,請求台帳!$C$5:$C$504,$A92,請求台帳!$B$5:$B$504,"&gt;="&amp;Q$3,請求台帳!$B$5:$B$504,"&lt;"&amp;DATE(YEAR(Q$3),MONTH(Q$3)+1,1),請求台帳!$Q$5:$Q$504,"&lt;&gt;取消"))</f>
        <v/>
      </c>
      <c r="R92" s="27" t="str">
        <f aca="false">IF($A92="","",SUMIFS(入金明細!$E$5:$E$1004,入金明細!$G$5:$G$1004,$A92,入金明細!$B$5:$B$1004,"&gt;="&amp;Q$3,入金明細!$B$5:$B$1004,"&lt;"&amp;DATE(YEAR(Q$3),MONTH(Q$3)+1,1)))</f>
        <v/>
      </c>
      <c r="S92" s="27" t="str">
        <f aca="false">IF($A92="","",SUMIFS(請求台帳!$F$5:$F$504,請求台帳!$C$5:$C$504,$A92,請求台帳!$B$5:$B$504,"&gt;="&amp;S$3,請求台帳!$B$5:$B$504,"&lt;"&amp;DATE(YEAR(S$3),MONTH(S$3)+1,1),請求台帳!$Q$5:$Q$504,"&lt;&gt;取消"))</f>
        <v/>
      </c>
      <c r="T92" s="27" t="str">
        <f aca="false">IF($A92="","",SUMIFS(入金明細!$E$5:$E$1004,入金明細!$G$5:$G$1004,$A92,入金明細!$B$5:$B$1004,"&gt;="&amp;S$3,入金明細!$B$5:$B$1004,"&lt;"&amp;DATE(YEAR(S$3),MONTH(S$3)+1,1)))</f>
        <v/>
      </c>
      <c r="U92" s="27" t="str">
        <f aca="false">IF($A92="","",SUMIFS(請求台帳!$F$5:$F$504,請求台帳!$C$5:$C$504,$A92,請求台帳!$B$5:$B$504,"&gt;="&amp;U$3,請求台帳!$B$5:$B$504,"&lt;"&amp;DATE(YEAR(U$3),MONTH(U$3)+1,1),請求台帳!$Q$5:$Q$504,"&lt;&gt;取消"))</f>
        <v/>
      </c>
      <c r="V92" s="27" t="str">
        <f aca="false">IF($A92="","",SUMIFS(入金明細!$E$5:$E$1004,入金明細!$G$5:$G$1004,$A92,入金明細!$B$5:$B$1004,"&gt;="&amp;U$3,入金明細!$B$5:$B$1004,"&lt;"&amp;DATE(YEAR(U$3),MONTH(U$3)+1,1)))</f>
        <v/>
      </c>
      <c r="W92" s="27" t="str">
        <f aca="false">IF($A92="","",SUMIFS(請求台帳!$F$5:$F$504,請求台帳!$C$5:$C$504,$A92,請求台帳!$B$5:$B$504,"&gt;="&amp;W$3,請求台帳!$B$5:$B$504,"&lt;"&amp;DATE(YEAR(W$3),MONTH(W$3)+1,1),請求台帳!$Q$5:$Q$504,"&lt;&gt;取消"))</f>
        <v/>
      </c>
      <c r="X92" s="27" t="str">
        <f aca="false">IF($A92="","",SUMIFS(入金明細!$E$5:$E$1004,入金明細!$G$5:$G$1004,$A92,入金明細!$B$5:$B$1004,"&gt;="&amp;W$3,入金明細!$B$5:$B$1004,"&lt;"&amp;DATE(YEAR(W$3),MONTH(W$3)+1,1)))</f>
        <v/>
      </c>
      <c r="Y92" s="27" t="str">
        <f aca="false">IF($A92="","",SUMIFS(請求台帳!$F$5:$F$504,請求台帳!$C$5:$C$504,$A92,請求台帳!$B$5:$B$504,"&gt;="&amp;Y$3,請求台帳!$B$5:$B$504,"&lt;"&amp;DATE(YEAR(Y$3),MONTH(Y$3)+1,1),請求台帳!$Q$5:$Q$504,"&lt;&gt;取消"))</f>
        <v/>
      </c>
      <c r="Z92" s="27" t="str">
        <f aca="false">IF($A92="","",SUMIFS(入金明細!$E$5:$E$1004,入金明細!$G$5:$G$1004,$A92,入金明細!$B$5:$B$1004,"&gt;="&amp;Y$3,入金明細!$B$5:$B$1004,"&lt;"&amp;DATE(YEAR(Y$3),MONTH(Y$3)+1,1)))</f>
        <v/>
      </c>
      <c r="AA92" s="37" t="n">
        <f aca="false">SUM(C92,E92,G92,I92,K92,M92,O92,Q92,S92,U92,W92,Y92)</f>
        <v>0</v>
      </c>
      <c r="AB92" s="37" t="n">
        <f aca="false">SUM(D92,F92,H92,J92,L92,N92,P92,R92,T92,V92,X92,Z92)</f>
        <v>0</v>
      </c>
    </row>
    <row r="93" customFormat="false" ht="15" hidden="false" customHeight="false" outlineLevel="0" collapsed="false">
      <c r="A93" s="31" t="str">
        <f aca="false">IF(取引先マスタ!A93="","",取引先マスタ!A93)</f>
        <v/>
      </c>
      <c r="B93" s="31" t="str">
        <f aca="false">IF(A93="","",取引先マスタ!B93)</f>
        <v/>
      </c>
      <c r="C93" s="27" t="str">
        <f aca="false">IF($A93="","",SUMIFS(請求台帳!$F$5:$F$504,請求台帳!$C$5:$C$504,$A93,請求台帳!$B$5:$B$504,"&gt;="&amp;C$3,請求台帳!$B$5:$B$504,"&lt;"&amp;DATE(YEAR(C$3),MONTH(C$3)+1,1),請求台帳!$Q$5:$Q$504,"&lt;&gt;取消"))</f>
        <v/>
      </c>
      <c r="D93" s="27" t="str">
        <f aca="false">IF($A93="","",SUMIFS(入金明細!$E$5:$E$1004,入金明細!$G$5:$G$1004,$A93,入金明細!$B$5:$B$1004,"&gt;="&amp;C$3,入金明細!$B$5:$B$1004,"&lt;"&amp;DATE(YEAR(C$3),MONTH(C$3)+1,1)))</f>
        <v/>
      </c>
      <c r="E93" s="27" t="str">
        <f aca="false">IF($A93="","",SUMIFS(請求台帳!$F$5:$F$504,請求台帳!$C$5:$C$504,$A93,請求台帳!$B$5:$B$504,"&gt;="&amp;E$3,請求台帳!$B$5:$B$504,"&lt;"&amp;DATE(YEAR(E$3),MONTH(E$3)+1,1),請求台帳!$Q$5:$Q$504,"&lt;&gt;取消"))</f>
        <v/>
      </c>
      <c r="F93" s="27" t="str">
        <f aca="false">IF($A93="","",SUMIFS(入金明細!$E$5:$E$1004,入金明細!$G$5:$G$1004,$A93,入金明細!$B$5:$B$1004,"&gt;="&amp;E$3,入金明細!$B$5:$B$1004,"&lt;"&amp;DATE(YEAR(E$3),MONTH(E$3)+1,1)))</f>
        <v/>
      </c>
      <c r="G93" s="27" t="str">
        <f aca="false">IF($A93="","",SUMIFS(請求台帳!$F$5:$F$504,請求台帳!$C$5:$C$504,$A93,請求台帳!$B$5:$B$504,"&gt;="&amp;G$3,請求台帳!$B$5:$B$504,"&lt;"&amp;DATE(YEAR(G$3),MONTH(G$3)+1,1),請求台帳!$Q$5:$Q$504,"&lt;&gt;取消"))</f>
        <v/>
      </c>
      <c r="H93" s="27" t="str">
        <f aca="false">IF($A93="","",SUMIFS(入金明細!$E$5:$E$1004,入金明細!$G$5:$G$1004,$A93,入金明細!$B$5:$B$1004,"&gt;="&amp;G$3,入金明細!$B$5:$B$1004,"&lt;"&amp;DATE(YEAR(G$3),MONTH(G$3)+1,1)))</f>
        <v/>
      </c>
      <c r="I93" s="27" t="str">
        <f aca="false">IF($A93="","",SUMIFS(請求台帳!$F$5:$F$504,請求台帳!$C$5:$C$504,$A93,請求台帳!$B$5:$B$504,"&gt;="&amp;I$3,請求台帳!$B$5:$B$504,"&lt;"&amp;DATE(YEAR(I$3),MONTH(I$3)+1,1),請求台帳!$Q$5:$Q$504,"&lt;&gt;取消"))</f>
        <v/>
      </c>
      <c r="J93" s="27" t="str">
        <f aca="false">IF($A93="","",SUMIFS(入金明細!$E$5:$E$1004,入金明細!$G$5:$G$1004,$A93,入金明細!$B$5:$B$1004,"&gt;="&amp;I$3,入金明細!$B$5:$B$1004,"&lt;"&amp;DATE(YEAR(I$3),MONTH(I$3)+1,1)))</f>
        <v/>
      </c>
      <c r="K93" s="27" t="str">
        <f aca="false">IF($A93="","",SUMIFS(請求台帳!$F$5:$F$504,請求台帳!$C$5:$C$504,$A93,請求台帳!$B$5:$B$504,"&gt;="&amp;K$3,請求台帳!$B$5:$B$504,"&lt;"&amp;DATE(YEAR(K$3),MONTH(K$3)+1,1),請求台帳!$Q$5:$Q$504,"&lt;&gt;取消"))</f>
        <v/>
      </c>
      <c r="L93" s="27" t="str">
        <f aca="false">IF($A93="","",SUMIFS(入金明細!$E$5:$E$1004,入金明細!$G$5:$G$1004,$A93,入金明細!$B$5:$B$1004,"&gt;="&amp;K$3,入金明細!$B$5:$B$1004,"&lt;"&amp;DATE(YEAR(K$3),MONTH(K$3)+1,1)))</f>
        <v/>
      </c>
      <c r="M93" s="27" t="str">
        <f aca="false">IF($A93="","",SUMIFS(請求台帳!$F$5:$F$504,請求台帳!$C$5:$C$504,$A93,請求台帳!$B$5:$B$504,"&gt;="&amp;M$3,請求台帳!$B$5:$B$504,"&lt;"&amp;DATE(YEAR(M$3),MONTH(M$3)+1,1),請求台帳!$Q$5:$Q$504,"&lt;&gt;取消"))</f>
        <v/>
      </c>
      <c r="N93" s="27" t="str">
        <f aca="false">IF($A93="","",SUMIFS(入金明細!$E$5:$E$1004,入金明細!$G$5:$G$1004,$A93,入金明細!$B$5:$B$1004,"&gt;="&amp;M$3,入金明細!$B$5:$B$1004,"&lt;"&amp;DATE(YEAR(M$3),MONTH(M$3)+1,1)))</f>
        <v/>
      </c>
      <c r="O93" s="27" t="str">
        <f aca="false">IF($A93="","",SUMIFS(請求台帳!$F$5:$F$504,請求台帳!$C$5:$C$504,$A93,請求台帳!$B$5:$B$504,"&gt;="&amp;O$3,請求台帳!$B$5:$B$504,"&lt;"&amp;DATE(YEAR(O$3),MONTH(O$3)+1,1),請求台帳!$Q$5:$Q$504,"&lt;&gt;取消"))</f>
        <v/>
      </c>
      <c r="P93" s="27" t="str">
        <f aca="false">IF($A93="","",SUMIFS(入金明細!$E$5:$E$1004,入金明細!$G$5:$G$1004,$A93,入金明細!$B$5:$B$1004,"&gt;="&amp;O$3,入金明細!$B$5:$B$1004,"&lt;"&amp;DATE(YEAR(O$3),MONTH(O$3)+1,1)))</f>
        <v/>
      </c>
      <c r="Q93" s="27" t="str">
        <f aca="false">IF($A93="","",SUMIFS(請求台帳!$F$5:$F$504,請求台帳!$C$5:$C$504,$A93,請求台帳!$B$5:$B$504,"&gt;="&amp;Q$3,請求台帳!$B$5:$B$504,"&lt;"&amp;DATE(YEAR(Q$3),MONTH(Q$3)+1,1),請求台帳!$Q$5:$Q$504,"&lt;&gt;取消"))</f>
        <v/>
      </c>
      <c r="R93" s="27" t="str">
        <f aca="false">IF($A93="","",SUMIFS(入金明細!$E$5:$E$1004,入金明細!$G$5:$G$1004,$A93,入金明細!$B$5:$B$1004,"&gt;="&amp;Q$3,入金明細!$B$5:$B$1004,"&lt;"&amp;DATE(YEAR(Q$3),MONTH(Q$3)+1,1)))</f>
        <v/>
      </c>
      <c r="S93" s="27" t="str">
        <f aca="false">IF($A93="","",SUMIFS(請求台帳!$F$5:$F$504,請求台帳!$C$5:$C$504,$A93,請求台帳!$B$5:$B$504,"&gt;="&amp;S$3,請求台帳!$B$5:$B$504,"&lt;"&amp;DATE(YEAR(S$3),MONTH(S$3)+1,1),請求台帳!$Q$5:$Q$504,"&lt;&gt;取消"))</f>
        <v/>
      </c>
      <c r="T93" s="27" t="str">
        <f aca="false">IF($A93="","",SUMIFS(入金明細!$E$5:$E$1004,入金明細!$G$5:$G$1004,$A93,入金明細!$B$5:$B$1004,"&gt;="&amp;S$3,入金明細!$B$5:$B$1004,"&lt;"&amp;DATE(YEAR(S$3),MONTH(S$3)+1,1)))</f>
        <v/>
      </c>
      <c r="U93" s="27" t="str">
        <f aca="false">IF($A93="","",SUMIFS(請求台帳!$F$5:$F$504,請求台帳!$C$5:$C$504,$A93,請求台帳!$B$5:$B$504,"&gt;="&amp;U$3,請求台帳!$B$5:$B$504,"&lt;"&amp;DATE(YEAR(U$3),MONTH(U$3)+1,1),請求台帳!$Q$5:$Q$504,"&lt;&gt;取消"))</f>
        <v/>
      </c>
      <c r="V93" s="27" t="str">
        <f aca="false">IF($A93="","",SUMIFS(入金明細!$E$5:$E$1004,入金明細!$G$5:$G$1004,$A93,入金明細!$B$5:$B$1004,"&gt;="&amp;U$3,入金明細!$B$5:$B$1004,"&lt;"&amp;DATE(YEAR(U$3),MONTH(U$3)+1,1)))</f>
        <v/>
      </c>
      <c r="W93" s="27" t="str">
        <f aca="false">IF($A93="","",SUMIFS(請求台帳!$F$5:$F$504,請求台帳!$C$5:$C$504,$A93,請求台帳!$B$5:$B$504,"&gt;="&amp;W$3,請求台帳!$B$5:$B$504,"&lt;"&amp;DATE(YEAR(W$3),MONTH(W$3)+1,1),請求台帳!$Q$5:$Q$504,"&lt;&gt;取消"))</f>
        <v/>
      </c>
      <c r="X93" s="27" t="str">
        <f aca="false">IF($A93="","",SUMIFS(入金明細!$E$5:$E$1004,入金明細!$G$5:$G$1004,$A93,入金明細!$B$5:$B$1004,"&gt;="&amp;W$3,入金明細!$B$5:$B$1004,"&lt;"&amp;DATE(YEAR(W$3),MONTH(W$3)+1,1)))</f>
        <v/>
      </c>
      <c r="Y93" s="27" t="str">
        <f aca="false">IF($A93="","",SUMIFS(請求台帳!$F$5:$F$504,請求台帳!$C$5:$C$504,$A93,請求台帳!$B$5:$B$504,"&gt;="&amp;Y$3,請求台帳!$B$5:$B$504,"&lt;"&amp;DATE(YEAR(Y$3),MONTH(Y$3)+1,1),請求台帳!$Q$5:$Q$504,"&lt;&gt;取消"))</f>
        <v/>
      </c>
      <c r="Z93" s="27" t="str">
        <f aca="false">IF($A93="","",SUMIFS(入金明細!$E$5:$E$1004,入金明細!$G$5:$G$1004,$A93,入金明細!$B$5:$B$1004,"&gt;="&amp;Y$3,入金明細!$B$5:$B$1004,"&lt;"&amp;DATE(YEAR(Y$3),MONTH(Y$3)+1,1)))</f>
        <v/>
      </c>
      <c r="AA93" s="37" t="n">
        <f aca="false">SUM(C93,E93,G93,I93,K93,M93,O93,Q93,S93,U93,W93,Y93)</f>
        <v>0</v>
      </c>
      <c r="AB93" s="37" t="n">
        <f aca="false">SUM(D93,F93,H93,J93,L93,N93,P93,R93,T93,V93,X93,Z93)</f>
        <v>0</v>
      </c>
    </row>
    <row r="94" customFormat="false" ht="15" hidden="false" customHeight="false" outlineLevel="0" collapsed="false">
      <c r="A94" s="31" t="str">
        <f aca="false">IF(取引先マスタ!A94="","",取引先マスタ!A94)</f>
        <v/>
      </c>
      <c r="B94" s="31" t="str">
        <f aca="false">IF(A94="","",取引先マスタ!B94)</f>
        <v/>
      </c>
      <c r="C94" s="27" t="str">
        <f aca="false">IF($A94="","",SUMIFS(請求台帳!$F$5:$F$504,請求台帳!$C$5:$C$504,$A94,請求台帳!$B$5:$B$504,"&gt;="&amp;C$3,請求台帳!$B$5:$B$504,"&lt;"&amp;DATE(YEAR(C$3),MONTH(C$3)+1,1),請求台帳!$Q$5:$Q$504,"&lt;&gt;取消"))</f>
        <v/>
      </c>
      <c r="D94" s="27" t="str">
        <f aca="false">IF($A94="","",SUMIFS(入金明細!$E$5:$E$1004,入金明細!$G$5:$G$1004,$A94,入金明細!$B$5:$B$1004,"&gt;="&amp;C$3,入金明細!$B$5:$B$1004,"&lt;"&amp;DATE(YEAR(C$3),MONTH(C$3)+1,1)))</f>
        <v/>
      </c>
      <c r="E94" s="27" t="str">
        <f aca="false">IF($A94="","",SUMIFS(請求台帳!$F$5:$F$504,請求台帳!$C$5:$C$504,$A94,請求台帳!$B$5:$B$504,"&gt;="&amp;E$3,請求台帳!$B$5:$B$504,"&lt;"&amp;DATE(YEAR(E$3),MONTH(E$3)+1,1),請求台帳!$Q$5:$Q$504,"&lt;&gt;取消"))</f>
        <v/>
      </c>
      <c r="F94" s="27" t="str">
        <f aca="false">IF($A94="","",SUMIFS(入金明細!$E$5:$E$1004,入金明細!$G$5:$G$1004,$A94,入金明細!$B$5:$B$1004,"&gt;="&amp;E$3,入金明細!$B$5:$B$1004,"&lt;"&amp;DATE(YEAR(E$3),MONTH(E$3)+1,1)))</f>
        <v/>
      </c>
      <c r="G94" s="27" t="str">
        <f aca="false">IF($A94="","",SUMIFS(請求台帳!$F$5:$F$504,請求台帳!$C$5:$C$504,$A94,請求台帳!$B$5:$B$504,"&gt;="&amp;G$3,請求台帳!$B$5:$B$504,"&lt;"&amp;DATE(YEAR(G$3),MONTH(G$3)+1,1),請求台帳!$Q$5:$Q$504,"&lt;&gt;取消"))</f>
        <v/>
      </c>
      <c r="H94" s="27" t="str">
        <f aca="false">IF($A94="","",SUMIFS(入金明細!$E$5:$E$1004,入金明細!$G$5:$G$1004,$A94,入金明細!$B$5:$B$1004,"&gt;="&amp;G$3,入金明細!$B$5:$B$1004,"&lt;"&amp;DATE(YEAR(G$3),MONTH(G$3)+1,1)))</f>
        <v/>
      </c>
      <c r="I94" s="27" t="str">
        <f aca="false">IF($A94="","",SUMIFS(請求台帳!$F$5:$F$504,請求台帳!$C$5:$C$504,$A94,請求台帳!$B$5:$B$504,"&gt;="&amp;I$3,請求台帳!$B$5:$B$504,"&lt;"&amp;DATE(YEAR(I$3),MONTH(I$3)+1,1),請求台帳!$Q$5:$Q$504,"&lt;&gt;取消"))</f>
        <v/>
      </c>
      <c r="J94" s="27" t="str">
        <f aca="false">IF($A94="","",SUMIFS(入金明細!$E$5:$E$1004,入金明細!$G$5:$G$1004,$A94,入金明細!$B$5:$B$1004,"&gt;="&amp;I$3,入金明細!$B$5:$B$1004,"&lt;"&amp;DATE(YEAR(I$3),MONTH(I$3)+1,1)))</f>
        <v/>
      </c>
      <c r="K94" s="27" t="str">
        <f aca="false">IF($A94="","",SUMIFS(請求台帳!$F$5:$F$504,請求台帳!$C$5:$C$504,$A94,請求台帳!$B$5:$B$504,"&gt;="&amp;K$3,請求台帳!$B$5:$B$504,"&lt;"&amp;DATE(YEAR(K$3),MONTH(K$3)+1,1),請求台帳!$Q$5:$Q$504,"&lt;&gt;取消"))</f>
        <v/>
      </c>
      <c r="L94" s="27" t="str">
        <f aca="false">IF($A94="","",SUMIFS(入金明細!$E$5:$E$1004,入金明細!$G$5:$G$1004,$A94,入金明細!$B$5:$B$1004,"&gt;="&amp;K$3,入金明細!$B$5:$B$1004,"&lt;"&amp;DATE(YEAR(K$3),MONTH(K$3)+1,1)))</f>
        <v/>
      </c>
      <c r="M94" s="27" t="str">
        <f aca="false">IF($A94="","",SUMIFS(請求台帳!$F$5:$F$504,請求台帳!$C$5:$C$504,$A94,請求台帳!$B$5:$B$504,"&gt;="&amp;M$3,請求台帳!$B$5:$B$504,"&lt;"&amp;DATE(YEAR(M$3),MONTH(M$3)+1,1),請求台帳!$Q$5:$Q$504,"&lt;&gt;取消"))</f>
        <v/>
      </c>
      <c r="N94" s="27" t="str">
        <f aca="false">IF($A94="","",SUMIFS(入金明細!$E$5:$E$1004,入金明細!$G$5:$G$1004,$A94,入金明細!$B$5:$B$1004,"&gt;="&amp;M$3,入金明細!$B$5:$B$1004,"&lt;"&amp;DATE(YEAR(M$3),MONTH(M$3)+1,1)))</f>
        <v/>
      </c>
      <c r="O94" s="27" t="str">
        <f aca="false">IF($A94="","",SUMIFS(請求台帳!$F$5:$F$504,請求台帳!$C$5:$C$504,$A94,請求台帳!$B$5:$B$504,"&gt;="&amp;O$3,請求台帳!$B$5:$B$504,"&lt;"&amp;DATE(YEAR(O$3),MONTH(O$3)+1,1),請求台帳!$Q$5:$Q$504,"&lt;&gt;取消"))</f>
        <v/>
      </c>
      <c r="P94" s="27" t="str">
        <f aca="false">IF($A94="","",SUMIFS(入金明細!$E$5:$E$1004,入金明細!$G$5:$G$1004,$A94,入金明細!$B$5:$B$1004,"&gt;="&amp;O$3,入金明細!$B$5:$B$1004,"&lt;"&amp;DATE(YEAR(O$3),MONTH(O$3)+1,1)))</f>
        <v/>
      </c>
      <c r="Q94" s="27" t="str">
        <f aca="false">IF($A94="","",SUMIFS(請求台帳!$F$5:$F$504,請求台帳!$C$5:$C$504,$A94,請求台帳!$B$5:$B$504,"&gt;="&amp;Q$3,請求台帳!$B$5:$B$504,"&lt;"&amp;DATE(YEAR(Q$3),MONTH(Q$3)+1,1),請求台帳!$Q$5:$Q$504,"&lt;&gt;取消"))</f>
        <v/>
      </c>
      <c r="R94" s="27" t="str">
        <f aca="false">IF($A94="","",SUMIFS(入金明細!$E$5:$E$1004,入金明細!$G$5:$G$1004,$A94,入金明細!$B$5:$B$1004,"&gt;="&amp;Q$3,入金明細!$B$5:$B$1004,"&lt;"&amp;DATE(YEAR(Q$3),MONTH(Q$3)+1,1)))</f>
        <v/>
      </c>
      <c r="S94" s="27" t="str">
        <f aca="false">IF($A94="","",SUMIFS(請求台帳!$F$5:$F$504,請求台帳!$C$5:$C$504,$A94,請求台帳!$B$5:$B$504,"&gt;="&amp;S$3,請求台帳!$B$5:$B$504,"&lt;"&amp;DATE(YEAR(S$3),MONTH(S$3)+1,1),請求台帳!$Q$5:$Q$504,"&lt;&gt;取消"))</f>
        <v/>
      </c>
      <c r="T94" s="27" t="str">
        <f aca="false">IF($A94="","",SUMIFS(入金明細!$E$5:$E$1004,入金明細!$G$5:$G$1004,$A94,入金明細!$B$5:$B$1004,"&gt;="&amp;S$3,入金明細!$B$5:$B$1004,"&lt;"&amp;DATE(YEAR(S$3),MONTH(S$3)+1,1)))</f>
        <v/>
      </c>
      <c r="U94" s="27" t="str">
        <f aca="false">IF($A94="","",SUMIFS(請求台帳!$F$5:$F$504,請求台帳!$C$5:$C$504,$A94,請求台帳!$B$5:$B$504,"&gt;="&amp;U$3,請求台帳!$B$5:$B$504,"&lt;"&amp;DATE(YEAR(U$3),MONTH(U$3)+1,1),請求台帳!$Q$5:$Q$504,"&lt;&gt;取消"))</f>
        <v/>
      </c>
      <c r="V94" s="27" t="str">
        <f aca="false">IF($A94="","",SUMIFS(入金明細!$E$5:$E$1004,入金明細!$G$5:$G$1004,$A94,入金明細!$B$5:$B$1004,"&gt;="&amp;U$3,入金明細!$B$5:$B$1004,"&lt;"&amp;DATE(YEAR(U$3),MONTH(U$3)+1,1)))</f>
        <v/>
      </c>
      <c r="W94" s="27" t="str">
        <f aca="false">IF($A94="","",SUMIFS(請求台帳!$F$5:$F$504,請求台帳!$C$5:$C$504,$A94,請求台帳!$B$5:$B$504,"&gt;="&amp;W$3,請求台帳!$B$5:$B$504,"&lt;"&amp;DATE(YEAR(W$3),MONTH(W$3)+1,1),請求台帳!$Q$5:$Q$504,"&lt;&gt;取消"))</f>
        <v/>
      </c>
      <c r="X94" s="27" t="str">
        <f aca="false">IF($A94="","",SUMIFS(入金明細!$E$5:$E$1004,入金明細!$G$5:$G$1004,$A94,入金明細!$B$5:$B$1004,"&gt;="&amp;W$3,入金明細!$B$5:$B$1004,"&lt;"&amp;DATE(YEAR(W$3),MONTH(W$3)+1,1)))</f>
        <v/>
      </c>
      <c r="Y94" s="27" t="str">
        <f aca="false">IF($A94="","",SUMIFS(請求台帳!$F$5:$F$504,請求台帳!$C$5:$C$504,$A94,請求台帳!$B$5:$B$504,"&gt;="&amp;Y$3,請求台帳!$B$5:$B$504,"&lt;"&amp;DATE(YEAR(Y$3),MONTH(Y$3)+1,1),請求台帳!$Q$5:$Q$504,"&lt;&gt;取消"))</f>
        <v/>
      </c>
      <c r="Z94" s="27" t="str">
        <f aca="false">IF($A94="","",SUMIFS(入金明細!$E$5:$E$1004,入金明細!$G$5:$G$1004,$A94,入金明細!$B$5:$B$1004,"&gt;="&amp;Y$3,入金明細!$B$5:$B$1004,"&lt;"&amp;DATE(YEAR(Y$3),MONTH(Y$3)+1,1)))</f>
        <v/>
      </c>
      <c r="AA94" s="37" t="n">
        <f aca="false">SUM(C94,E94,G94,I94,K94,M94,O94,Q94,S94,U94,W94,Y94)</f>
        <v>0</v>
      </c>
      <c r="AB94" s="37" t="n">
        <f aca="false">SUM(D94,F94,H94,J94,L94,N94,P94,R94,T94,V94,X94,Z94)</f>
        <v>0</v>
      </c>
    </row>
    <row r="95" customFormat="false" ht="15" hidden="false" customHeight="false" outlineLevel="0" collapsed="false">
      <c r="A95" s="31" t="str">
        <f aca="false">IF(取引先マスタ!A95="","",取引先マスタ!A95)</f>
        <v/>
      </c>
      <c r="B95" s="31" t="str">
        <f aca="false">IF(A95="","",取引先マスタ!B95)</f>
        <v/>
      </c>
      <c r="C95" s="27" t="str">
        <f aca="false">IF($A95="","",SUMIFS(請求台帳!$F$5:$F$504,請求台帳!$C$5:$C$504,$A95,請求台帳!$B$5:$B$504,"&gt;="&amp;C$3,請求台帳!$B$5:$B$504,"&lt;"&amp;DATE(YEAR(C$3),MONTH(C$3)+1,1),請求台帳!$Q$5:$Q$504,"&lt;&gt;取消"))</f>
        <v/>
      </c>
      <c r="D95" s="27" t="str">
        <f aca="false">IF($A95="","",SUMIFS(入金明細!$E$5:$E$1004,入金明細!$G$5:$G$1004,$A95,入金明細!$B$5:$B$1004,"&gt;="&amp;C$3,入金明細!$B$5:$B$1004,"&lt;"&amp;DATE(YEAR(C$3),MONTH(C$3)+1,1)))</f>
        <v/>
      </c>
      <c r="E95" s="27" t="str">
        <f aca="false">IF($A95="","",SUMIFS(請求台帳!$F$5:$F$504,請求台帳!$C$5:$C$504,$A95,請求台帳!$B$5:$B$504,"&gt;="&amp;E$3,請求台帳!$B$5:$B$504,"&lt;"&amp;DATE(YEAR(E$3),MONTH(E$3)+1,1),請求台帳!$Q$5:$Q$504,"&lt;&gt;取消"))</f>
        <v/>
      </c>
      <c r="F95" s="27" t="str">
        <f aca="false">IF($A95="","",SUMIFS(入金明細!$E$5:$E$1004,入金明細!$G$5:$G$1004,$A95,入金明細!$B$5:$B$1004,"&gt;="&amp;E$3,入金明細!$B$5:$B$1004,"&lt;"&amp;DATE(YEAR(E$3),MONTH(E$3)+1,1)))</f>
        <v/>
      </c>
      <c r="G95" s="27" t="str">
        <f aca="false">IF($A95="","",SUMIFS(請求台帳!$F$5:$F$504,請求台帳!$C$5:$C$504,$A95,請求台帳!$B$5:$B$504,"&gt;="&amp;G$3,請求台帳!$B$5:$B$504,"&lt;"&amp;DATE(YEAR(G$3),MONTH(G$3)+1,1),請求台帳!$Q$5:$Q$504,"&lt;&gt;取消"))</f>
        <v/>
      </c>
      <c r="H95" s="27" t="str">
        <f aca="false">IF($A95="","",SUMIFS(入金明細!$E$5:$E$1004,入金明細!$G$5:$G$1004,$A95,入金明細!$B$5:$B$1004,"&gt;="&amp;G$3,入金明細!$B$5:$B$1004,"&lt;"&amp;DATE(YEAR(G$3),MONTH(G$3)+1,1)))</f>
        <v/>
      </c>
      <c r="I95" s="27" t="str">
        <f aca="false">IF($A95="","",SUMIFS(請求台帳!$F$5:$F$504,請求台帳!$C$5:$C$504,$A95,請求台帳!$B$5:$B$504,"&gt;="&amp;I$3,請求台帳!$B$5:$B$504,"&lt;"&amp;DATE(YEAR(I$3),MONTH(I$3)+1,1),請求台帳!$Q$5:$Q$504,"&lt;&gt;取消"))</f>
        <v/>
      </c>
      <c r="J95" s="27" t="str">
        <f aca="false">IF($A95="","",SUMIFS(入金明細!$E$5:$E$1004,入金明細!$G$5:$G$1004,$A95,入金明細!$B$5:$B$1004,"&gt;="&amp;I$3,入金明細!$B$5:$B$1004,"&lt;"&amp;DATE(YEAR(I$3),MONTH(I$3)+1,1)))</f>
        <v/>
      </c>
      <c r="K95" s="27" t="str">
        <f aca="false">IF($A95="","",SUMIFS(請求台帳!$F$5:$F$504,請求台帳!$C$5:$C$504,$A95,請求台帳!$B$5:$B$504,"&gt;="&amp;K$3,請求台帳!$B$5:$B$504,"&lt;"&amp;DATE(YEAR(K$3),MONTH(K$3)+1,1),請求台帳!$Q$5:$Q$504,"&lt;&gt;取消"))</f>
        <v/>
      </c>
      <c r="L95" s="27" t="str">
        <f aca="false">IF($A95="","",SUMIFS(入金明細!$E$5:$E$1004,入金明細!$G$5:$G$1004,$A95,入金明細!$B$5:$B$1004,"&gt;="&amp;K$3,入金明細!$B$5:$B$1004,"&lt;"&amp;DATE(YEAR(K$3),MONTH(K$3)+1,1)))</f>
        <v/>
      </c>
      <c r="M95" s="27" t="str">
        <f aca="false">IF($A95="","",SUMIFS(請求台帳!$F$5:$F$504,請求台帳!$C$5:$C$504,$A95,請求台帳!$B$5:$B$504,"&gt;="&amp;M$3,請求台帳!$B$5:$B$504,"&lt;"&amp;DATE(YEAR(M$3),MONTH(M$3)+1,1),請求台帳!$Q$5:$Q$504,"&lt;&gt;取消"))</f>
        <v/>
      </c>
      <c r="N95" s="27" t="str">
        <f aca="false">IF($A95="","",SUMIFS(入金明細!$E$5:$E$1004,入金明細!$G$5:$G$1004,$A95,入金明細!$B$5:$B$1004,"&gt;="&amp;M$3,入金明細!$B$5:$B$1004,"&lt;"&amp;DATE(YEAR(M$3),MONTH(M$3)+1,1)))</f>
        <v/>
      </c>
      <c r="O95" s="27" t="str">
        <f aca="false">IF($A95="","",SUMIFS(請求台帳!$F$5:$F$504,請求台帳!$C$5:$C$504,$A95,請求台帳!$B$5:$B$504,"&gt;="&amp;O$3,請求台帳!$B$5:$B$504,"&lt;"&amp;DATE(YEAR(O$3),MONTH(O$3)+1,1),請求台帳!$Q$5:$Q$504,"&lt;&gt;取消"))</f>
        <v/>
      </c>
      <c r="P95" s="27" t="str">
        <f aca="false">IF($A95="","",SUMIFS(入金明細!$E$5:$E$1004,入金明細!$G$5:$G$1004,$A95,入金明細!$B$5:$B$1004,"&gt;="&amp;O$3,入金明細!$B$5:$B$1004,"&lt;"&amp;DATE(YEAR(O$3),MONTH(O$3)+1,1)))</f>
        <v/>
      </c>
      <c r="Q95" s="27" t="str">
        <f aca="false">IF($A95="","",SUMIFS(請求台帳!$F$5:$F$504,請求台帳!$C$5:$C$504,$A95,請求台帳!$B$5:$B$504,"&gt;="&amp;Q$3,請求台帳!$B$5:$B$504,"&lt;"&amp;DATE(YEAR(Q$3),MONTH(Q$3)+1,1),請求台帳!$Q$5:$Q$504,"&lt;&gt;取消"))</f>
        <v/>
      </c>
      <c r="R95" s="27" t="str">
        <f aca="false">IF($A95="","",SUMIFS(入金明細!$E$5:$E$1004,入金明細!$G$5:$G$1004,$A95,入金明細!$B$5:$B$1004,"&gt;="&amp;Q$3,入金明細!$B$5:$B$1004,"&lt;"&amp;DATE(YEAR(Q$3),MONTH(Q$3)+1,1)))</f>
        <v/>
      </c>
      <c r="S95" s="27" t="str">
        <f aca="false">IF($A95="","",SUMIFS(請求台帳!$F$5:$F$504,請求台帳!$C$5:$C$504,$A95,請求台帳!$B$5:$B$504,"&gt;="&amp;S$3,請求台帳!$B$5:$B$504,"&lt;"&amp;DATE(YEAR(S$3),MONTH(S$3)+1,1),請求台帳!$Q$5:$Q$504,"&lt;&gt;取消"))</f>
        <v/>
      </c>
      <c r="T95" s="27" t="str">
        <f aca="false">IF($A95="","",SUMIFS(入金明細!$E$5:$E$1004,入金明細!$G$5:$G$1004,$A95,入金明細!$B$5:$B$1004,"&gt;="&amp;S$3,入金明細!$B$5:$B$1004,"&lt;"&amp;DATE(YEAR(S$3),MONTH(S$3)+1,1)))</f>
        <v/>
      </c>
      <c r="U95" s="27" t="str">
        <f aca="false">IF($A95="","",SUMIFS(請求台帳!$F$5:$F$504,請求台帳!$C$5:$C$504,$A95,請求台帳!$B$5:$B$504,"&gt;="&amp;U$3,請求台帳!$B$5:$B$504,"&lt;"&amp;DATE(YEAR(U$3),MONTH(U$3)+1,1),請求台帳!$Q$5:$Q$504,"&lt;&gt;取消"))</f>
        <v/>
      </c>
      <c r="V95" s="27" t="str">
        <f aca="false">IF($A95="","",SUMIFS(入金明細!$E$5:$E$1004,入金明細!$G$5:$G$1004,$A95,入金明細!$B$5:$B$1004,"&gt;="&amp;U$3,入金明細!$B$5:$B$1004,"&lt;"&amp;DATE(YEAR(U$3),MONTH(U$3)+1,1)))</f>
        <v/>
      </c>
      <c r="W95" s="27" t="str">
        <f aca="false">IF($A95="","",SUMIFS(請求台帳!$F$5:$F$504,請求台帳!$C$5:$C$504,$A95,請求台帳!$B$5:$B$504,"&gt;="&amp;W$3,請求台帳!$B$5:$B$504,"&lt;"&amp;DATE(YEAR(W$3),MONTH(W$3)+1,1),請求台帳!$Q$5:$Q$504,"&lt;&gt;取消"))</f>
        <v/>
      </c>
      <c r="X95" s="27" t="str">
        <f aca="false">IF($A95="","",SUMIFS(入金明細!$E$5:$E$1004,入金明細!$G$5:$G$1004,$A95,入金明細!$B$5:$B$1004,"&gt;="&amp;W$3,入金明細!$B$5:$B$1004,"&lt;"&amp;DATE(YEAR(W$3),MONTH(W$3)+1,1)))</f>
        <v/>
      </c>
      <c r="Y95" s="27" t="str">
        <f aca="false">IF($A95="","",SUMIFS(請求台帳!$F$5:$F$504,請求台帳!$C$5:$C$504,$A95,請求台帳!$B$5:$B$504,"&gt;="&amp;Y$3,請求台帳!$B$5:$B$504,"&lt;"&amp;DATE(YEAR(Y$3),MONTH(Y$3)+1,1),請求台帳!$Q$5:$Q$504,"&lt;&gt;取消"))</f>
        <v/>
      </c>
      <c r="Z95" s="27" t="str">
        <f aca="false">IF($A95="","",SUMIFS(入金明細!$E$5:$E$1004,入金明細!$G$5:$G$1004,$A95,入金明細!$B$5:$B$1004,"&gt;="&amp;Y$3,入金明細!$B$5:$B$1004,"&lt;"&amp;DATE(YEAR(Y$3),MONTH(Y$3)+1,1)))</f>
        <v/>
      </c>
      <c r="AA95" s="37" t="n">
        <f aca="false">SUM(C95,E95,G95,I95,K95,M95,O95,Q95,S95,U95,W95,Y95)</f>
        <v>0</v>
      </c>
      <c r="AB95" s="37" t="n">
        <f aca="false">SUM(D95,F95,H95,J95,L95,N95,P95,R95,T95,V95,X95,Z95)</f>
        <v>0</v>
      </c>
    </row>
    <row r="96" customFormat="false" ht="15" hidden="false" customHeight="false" outlineLevel="0" collapsed="false">
      <c r="A96" s="31" t="str">
        <f aca="false">IF(取引先マスタ!A96="","",取引先マスタ!A96)</f>
        <v/>
      </c>
      <c r="B96" s="31" t="str">
        <f aca="false">IF(A96="","",取引先マスタ!B96)</f>
        <v/>
      </c>
      <c r="C96" s="27" t="str">
        <f aca="false">IF($A96="","",SUMIFS(請求台帳!$F$5:$F$504,請求台帳!$C$5:$C$504,$A96,請求台帳!$B$5:$B$504,"&gt;="&amp;C$3,請求台帳!$B$5:$B$504,"&lt;"&amp;DATE(YEAR(C$3),MONTH(C$3)+1,1),請求台帳!$Q$5:$Q$504,"&lt;&gt;取消"))</f>
        <v/>
      </c>
      <c r="D96" s="27" t="str">
        <f aca="false">IF($A96="","",SUMIFS(入金明細!$E$5:$E$1004,入金明細!$G$5:$G$1004,$A96,入金明細!$B$5:$B$1004,"&gt;="&amp;C$3,入金明細!$B$5:$B$1004,"&lt;"&amp;DATE(YEAR(C$3),MONTH(C$3)+1,1)))</f>
        <v/>
      </c>
      <c r="E96" s="27" t="str">
        <f aca="false">IF($A96="","",SUMIFS(請求台帳!$F$5:$F$504,請求台帳!$C$5:$C$504,$A96,請求台帳!$B$5:$B$504,"&gt;="&amp;E$3,請求台帳!$B$5:$B$504,"&lt;"&amp;DATE(YEAR(E$3),MONTH(E$3)+1,1),請求台帳!$Q$5:$Q$504,"&lt;&gt;取消"))</f>
        <v/>
      </c>
      <c r="F96" s="27" t="str">
        <f aca="false">IF($A96="","",SUMIFS(入金明細!$E$5:$E$1004,入金明細!$G$5:$G$1004,$A96,入金明細!$B$5:$B$1004,"&gt;="&amp;E$3,入金明細!$B$5:$B$1004,"&lt;"&amp;DATE(YEAR(E$3),MONTH(E$3)+1,1)))</f>
        <v/>
      </c>
      <c r="G96" s="27" t="str">
        <f aca="false">IF($A96="","",SUMIFS(請求台帳!$F$5:$F$504,請求台帳!$C$5:$C$504,$A96,請求台帳!$B$5:$B$504,"&gt;="&amp;G$3,請求台帳!$B$5:$B$504,"&lt;"&amp;DATE(YEAR(G$3),MONTH(G$3)+1,1),請求台帳!$Q$5:$Q$504,"&lt;&gt;取消"))</f>
        <v/>
      </c>
      <c r="H96" s="27" t="str">
        <f aca="false">IF($A96="","",SUMIFS(入金明細!$E$5:$E$1004,入金明細!$G$5:$G$1004,$A96,入金明細!$B$5:$B$1004,"&gt;="&amp;G$3,入金明細!$B$5:$B$1004,"&lt;"&amp;DATE(YEAR(G$3),MONTH(G$3)+1,1)))</f>
        <v/>
      </c>
      <c r="I96" s="27" t="str">
        <f aca="false">IF($A96="","",SUMIFS(請求台帳!$F$5:$F$504,請求台帳!$C$5:$C$504,$A96,請求台帳!$B$5:$B$504,"&gt;="&amp;I$3,請求台帳!$B$5:$B$504,"&lt;"&amp;DATE(YEAR(I$3),MONTH(I$3)+1,1),請求台帳!$Q$5:$Q$504,"&lt;&gt;取消"))</f>
        <v/>
      </c>
      <c r="J96" s="27" t="str">
        <f aca="false">IF($A96="","",SUMIFS(入金明細!$E$5:$E$1004,入金明細!$G$5:$G$1004,$A96,入金明細!$B$5:$B$1004,"&gt;="&amp;I$3,入金明細!$B$5:$B$1004,"&lt;"&amp;DATE(YEAR(I$3),MONTH(I$3)+1,1)))</f>
        <v/>
      </c>
      <c r="K96" s="27" t="str">
        <f aca="false">IF($A96="","",SUMIFS(請求台帳!$F$5:$F$504,請求台帳!$C$5:$C$504,$A96,請求台帳!$B$5:$B$504,"&gt;="&amp;K$3,請求台帳!$B$5:$B$504,"&lt;"&amp;DATE(YEAR(K$3),MONTH(K$3)+1,1),請求台帳!$Q$5:$Q$504,"&lt;&gt;取消"))</f>
        <v/>
      </c>
      <c r="L96" s="27" t="str">
        <f aca="false">IF($A96="","",SUMIFS(入金明細!$E$5:$E$1004,入金明細!$G$5:$G$1004,$A96,入金明細!$B$5:$B$1004,"&gt;="&amp;K$3,入金明細!$B$5:$B$1004,"&lt;"&amp;DATE(YEAR(K$3),MONTH(K$3)+1,1)))</f>
        <v/>
      </c>
      <c r="M96" s="27" t="str">
        <f aca="false">IF($A96="","",SUMIFS(請求台帳!$F$5:$F$504,請求台帳!$C$5:$C$504,$A96,請求台帳!$B$5:$B$504,"&gt;="&amp;M$3,請求台帳!$B$5:$B$504,"&lt;"&amp;DATE(YEAR(M$3),MONTH(M$3)+1,1),請求台帳!$Q$5:$Q$504,"&lt;&gt;取消"))</f>
        <v/>
      </c>
      <c r="N96" s="27" t="str">
        <f aca="false">IF($A96="","",SUMIFS(入金明細!$E$5:$E$1004,入金明細!$G$5:$G$1004,$A96,入金明細!$B$5:$B$1004,"&gt;="&amp;M$3,入金明細!$B$5:$B$1004,"&lt;"&amp;DATE(YEAR(M$3),MONTH(M$3)+1,1)))</f>
        <v/>
      </c>
      <c r="O96" s="27" t="str">
        <f aca="false">IF($A96="","",SUMIFS(請求台帳!$F$5:$F$504,請求台帳!$C$5:$C$504,$A96,請求台帳!$B$5:$B$504,"&gt;="&amp;O$3,請求台帳!$B$5:$B$504,"&lt;"&amp;DATE(YEAR(O$3),MONTH(O$3)+1,1),請求台帳!$Q$5:$Q$504,"&lt;&gt;取消"))</f>
        <v/>
      </c>
      <c r="P96" s="27" t="str">
        <f aca="false">IF($A96="","",SUMIFS(入金明細!$E$5:$E$1004,入金明細!$G$5:$G$1004,$A96,入金明細!$B$5:$B$1004,"&gt;="&amp;O$3,入金明細!$B$5:$B$1004,"&lt;"&amp;DATE(YEAR(O$3),MONTH(O$3)+1,1)))</f>
        <v/>
      </c>
      <c r="Q96" s="27" t="str">
        <f aca="false">IF($A96="","",SUMIFS(請求台帳!$F$5:$F$504,請求台帳!$C$5:$C$504,$A96,請求台帳!$B$5:$B$504,"&gt;="&amp;Q$3,請求台帳!$B$5:$B$504,"&lt;"&amp;DATE(YEAR(Q$3),MONTH(Q$3)+1,1),請求台帳!$Q$5:$Q$504,"&lt;&gt;取消"))</f>
        <v/>
      </c>
      <c r="R96" s="27" t="str">
        <f aca="false">IF($A96="","",SUMIFS(入金明細!$E$5:$E$1004,入金明細!$G$5:$G$1004,$A96,入金明細!$B$5:$B$1004,"&gt;="&amp;Q$3,入金明細!$B$5:$B$1004,"&lt;"&amp;DATE(YEAR(Q$3),MONTH(Q$3)+1,1)))</f>
        <v/>
      </c>
      <c r="S96" s="27" t="str">
        <f aca="false">IF($A96="","",SUMIFS(請求台帳!$F$5:$F$504,請求台帳!$C$5:$C$504,$A96,請求台帳!$B$5:$B$504,"&gt;="&amp;S$3,請求台帳!$B$5:$B$504,"&lt;"&amp;DATE(YEAR(S$3),MONTH(S$3)+1,1),請求台帳!$Q$5:$Q$504,"&lt;&gt;取消"))</f>
        <v/>
      </c>
      <c r="T96" s="27" t="str">
        <f aca="false">IF($A96="","",SUMIFS(入金明細!$E$5:$E$1004,入金明細!$G$5:$G$1004,$A96,入金明細!$B$5:$B$1004,"&gt;="&amp;S$3,入金明細!$B$5:$B$1004,"&lt;"&amp;DATE(YEAR(S$3),MONTH(S$3)+1,1)))</f>
        <v/>
      </c>
      <c r="U96" s="27" t="str">
        <f aca="false">IF($A96="","",SUMIFS(請求台帳!$F$5:$F$504,請求台帳!$C$5:$C$504,$A96,請求台帳!$B$5:$B$504,"&gt;="&amp;U$3,請求台帳!$B$5:$B$504,"&lt;"&amp;DATE(YEAR(U$3),MONTH(U$3)+1,1),請求台帳!$Q$5:$Q$504,"&lt;&gt;取消"))</f>
        <v/>
      </c>
      <c r="V96" s="27" t="str">
        <f aca="false">IF($A96="","",SUMIFS(入金明細!$E$5:$E$1004,入金明細!$G$5:$G$1004,$A96,入金明細!$B$5:$B$1004,"&gt;="&amp;U$3,入金明細!$B$5:$B$1004,"&lt;"&amp;DATE(YEAR(U$3),MONTH(U$3)+1,1)))</f>
        <v/>
      </c>
      <c r="W96" s="27" t="str">
        <f aca="false">IF($A96="","",SUMIFS(請求台帳!$F$5:$F$504,請求台帳!$C$5:$C$504,$A96,請求台帳!$B$5:$B$504,"&gt;="&amp;W$3,請求台帳!$B$5:$B$504,"&lt;"&amp;DATE(YEAR(W$3),MONTH(W$3)+1,1),請求台帳!$Q$5:$Q$504,"&lt;&gt;取消"))</f>
        <v/>
      </c>
      <c r="X96" s="27" t="str">
        <f aca="false">IF($A96="","",SUMIFS(入金明細!$E$5:$E$1004,入金明細!$G$5:$G$1004,$A96,入金明細!$B$5:$B$1004,"&gt;="&amp;W$3,入金明細!$B$5:$B$1004,"&lt;"&amp;DATE(YEAR(W$3),MONTH(W$3)+1,1)))</f>
        <v/>
      </c>
      <c r="Y96" s="27" t="str">
        <f aca="false">IF($A96="","",SUMIFS(請求台帳!$F$5:$F$504,請求台帳!$C$5:$C$504,$A96,請求台帳!$B$5:$B$504,"&gt;="&amp;Y$3,請求台帳!$B$5:$B$504,"&lt;"&amp;DATE(YEAR(Y$3),MONTH(Y$3)+1,1),請求台帳!$Q$5:$Q$504,"&lt;&gt;取消"))</f>
        <v/>
      </c>
      <c r="Z96" s="27" t="str">
        <f aca="false">IF($A96="","",SUMIFS(入金明細!$E$5:$E$1004,入金明細!$G$5:$G$1004,$A96,入金明細!$B$5:$B$1004,"&gt;="&amp;Y$3,入金明細!$B$5:$B$1004,"&lt;"&amp;DATE(YEAR(Y$3),MONTH(Y$3)+1,1)))</f>
        <v/>
      </c>
      <c r="AA96" s="37" t="n">
        <f aca="false">SUM(C96,E96,G96,I96,K96,M96,O96,Q96,S96,U96,W96,Y96)</f>
        <v>0</v>
      </c>
      <c r="AB96" s="37" t="n">
        <f aca="false">SUM(D96,F96,H96,J96,L96,N96,P96,R96,T96,V96,X96,Z96)</f>
        <v>0</v>
      </c>
    </row>
    <row r="97" customFormat="false" ht="15" hidden="false" customHeight="false" outlineLevel="0" collapsed="false">
      <c r="A97" s="31" t="str">
        <f aca="false">IF(取引先マスタ!A97="","",取引先マスタ!A97)</f>
        <v/>
      </c>
      <c r="B97" s="31" t="str">
        <f aca="false">IF(A97="","",取引先マスタ!B97)</f>
        <v/>
      </c>
      <c r="C97" s="27" t="str">
        <f aca="false">IF($A97="","",SUMIFS(請求台帳!$F$5:$F$504,請求台帳!$C$5:$C$504,$A97,請求台帳!$B$5:$B$504,"&gt;="&amp;C$3,請求台帳!$B$5:$B$504,"&lt;"&amp;DATE(YEAR(C$3),MONTH(C$3)+1,1),請求台帳!$Q$5:$Q$504,"&lt;&gt;取消"))</f>
        <v/>
      </c>
      <c r="D97" s="27" t="str">
        <f aca="false">IF($A97="","",SUMIFS(入金明細!$E$5:$E$1004,入金明細!$G$5:$G$1004,$A97,入金明細!$B$5:$B$1004,"&gt;="&amp;C$3,入金明細!$B$5:$B$1004,"&lt;"&amp;DATE(YEAR(C$3),MONTH(C$3)+1,1)))</f>
        <v/>
      </c>
      <c r="E97" s="27" t="str">
        <f aca="false">IF($A97="","",SUMIFS(請求台帳!$F$5:$F$504,請求台帳!$C$5:$C$504,$A97,請求台帳!$B$5:$B$504,"&gt;="&amp;E$3,請求台帳!$B$5:$B$504,"&lt;"&amp;DATE(YEAR(E$3),MONTH(E$3)+1,1),請求台帳!$Q$5:$Q$504,"&lt;&gt;取消"))</f>
        <v/>
      </c>
      <c r="F97" s="27" t="str">
        <f aca="false">IF($A97="","",SUMIFS(入金明細!$E$5:$E$1004,入金明細!$G$5:$G$1004,$A97,入金明細!$B$5:$B$1004,"&gt;="&amp;E$3,入金明細!$B$5:$B$1004,"&lt;"&amp;DATE(YEAR(E$3),MONTH(E$3)+1,1)))</f>
        <v/>
      </c>
      <c r="G97" s="27" t="str">
        <f aca="false">IF($A97="","",SUMIFS(請求台帳!$F$5:$F$504,請求台帳!$C$5:$C$504,$A97,請求台帳!$B$5:$B$504,"&gt;="&amp;G$3,請求台帳!$B$5:$B$504,"&lt;"&amp;DATE(YEAR(G$3),MONTH(G$3)+1,1),請求台帳!$Q$5:$Q$504,"&lt;&gt;取消"))</f>
        <v/>
      </c>
      <c r="H97" s="27" t="str">
        <f aca="false">IF($A97="","",SUMIFS(入金明細!$E$5:$E$1004,入金明細!$G$5:$G$1004,$A97,入金明細!$B$5:$B$1004,"&gt;="&amp;G$3,入金明細!$B$5:$B$1004,"&lt;"&amp;DATE(YEAR(G$3),MONTH(G$3)+1,1)))</f>
        <v/>
      </c>
      <c r="I97" s="27" t="str">
        <f aca="false">IF($A97="","",SUMIFS(請求台帳!$F$5:$F$504,請求台帳!$C$5:$C$504,$A97,請求台帳!$B$5:$B$504,"&gt;="&amp;I$3,請求台帳!$B$5:$B$504,"&lt;"&amp;DATE(YEAR(I$3),MONTH(I$3)+1,1),請求台帳!$Q$5:$Q$504,"&lt;&gt;取消"))</f>
        <v/>
      </c>
      <c r="J97" s="27" t="str">
        <f aca="false">IF($A97="","",SUMIFS(入金明細!$E$5:$E$1004,入金明細!$G$5:$G$1004,$A97,入金明細!$B$5:$B$1004,"&gt;="&amp;I$3,入金明細!$B$5:$B$1004,"&lt;"&amp;DATE(YEAR(I$3),MONTH(I$3)+1,1)))</f>
        <v/>
      </c>
      <c r="K97" s="27" t="str">
        <f aca="false">IF($A97="","",SUMIFS(請求台帳!$F$5:$F$504,請求台帳!$C$5:$C$504,$A97,請求台帳!$B$5:$B$504,"&gt;="&amp;K$3,請求台帳!$B$5:$B$504,"&lt;"&amp;DATE(YEAR(K$3),MONTH(K$3)+1,1),請求台帳!$Q$5:$Q$504,"&lt;&gt;取消"))</f>
        <v/>
      </c>
      <c r="L97" s="27" t="str">
        <f aca="false">IF($A97="","",SUMIFS(入金明細!$E$5:$E$1004,入金明細!$G$5:$G$1004,$A97,入金明細!$B$5:$B$1004,"&gt;="&amp;K$3,入金明細!$B$5:$B$1004,"&lt;"&amp;DATE(YEAR(K$3),MONTH(K$3)+1,1)))</f>
        <v/>
      </c>
      <c r="M97" s="27" t="str">
        <f aca="false">IF($A97="","",SUMIFS(請求台帳!$F$5:$F$504,請求台帳!$C$5:$C$504,$A97,請求台帳!$B$5:$B$504,"&gt;="&amp;M$3,請求台帳!$B$5:$B$504,"&lt;"&amp;DATE(YEAR(M$3),MONTH(M$3)+1,1),請求台帳!$Q$5:$Q$504,"&lt;&gt;取消"))</f>
        <v/>
      </c>
      <c r="N97" s="27" t="str">
        <f aca="false">IF($A97="","",SUMIFS(入金明細!$E$5:$E$1004,入金明細!$G$5:$G$1004,$A97,入金明細!$B$5:$B$1004,"&gt;="&amp;M$3,入金明細!$B$5:$B$1004,"&lt;"&amp;DATE(YEAR(M$3),MONTH(M$3)+1,1)))</f>
        <v/>
      </c>
      <c r="O97" s="27" t="str">
        <f aca="false">IF($A97="","",SUMIFS(請求台帳!$F$5:$F$504,請求台帳!$C$5:$C$504,$A97,請求台帳!$B$5:$B$504,"&gt;="&amp;O$3,請求台帳!$B$5:$B$504,"&lt;"&amp;DATE(YEAR(O$3),MONTH(O$3)+1,1),請求台帳!$Q$5:$Q$504,"&lt;&gt;取消"))</f>
        <v/>
      </c>
      <c r="P97" s="27" t="str">
        <f aca="false">IF($A97="","",SUMIFS(入金明細!$E$5:$E$1004,入金明細!$G$5:$G$1004,$A97,入金明細!$B$5:$B$1004,"&gt;="&amp;O$3,入金明細!$B$5:$B$1004,"&lt;"&amp;DATE(YEAR(O$3),MONTH(O$3)+1,1)))</f>
        <v/>
      </c>
      <c r="Q97" s="27" t="str">
        <f aca="false">IF($A97="","",SUMIFS(請求台帳!$F$5:$F$504,請求台帳!$C$5:$C$504,$A97,請求台帳!$B$5:$B$504,"&gt;="&amp;Q$3,請求台帳!$B$5:$B$504,"&lt;"&amp;DATE(YEAR(Q$3),MONTH(Q$3)+1,1),請求台帳!$Q$5:$Q$504,"&lt;&gt;取消"))</f>
        <v/>
      </c>
      <c r="R97" s="27" t="str">
        <f aca="false">IF($A97="","",SUMIFS(入金明細!$E$5:$E$1004,入金明細!$G$5:$G$1004,$A97,入金明細!$B$5:$B$1004,"&gt;="&amp;Q$3,入金明細!$B$5:$B$1004,"&lt;"&amp;DATE(YEAR(Q$3),MONTH(Q$3)+1,1)))</f>
        <v/>
      </c>
      <c r="S97" s="27" t="str">
        <f aca="false">IF($A97="","",SUMIFS(請求台帳!$F$5:$F$504,請求台帳!$C$5:$C$504,$A97,請求台帳!$B$5:$B$504,"&gt;="&amp;S$3,請求台帳!$B$5:$B$504,"&lt;"&amp;DATE(YEAR(S$3),MONTH(S$3)+1,1),請求台帳!$Q$5:$Q$504,"&lt;&gt;取消"))</f>
        <v/>
      </c>
      <c r="T97" s="27" t="str">
        <f aca="false">IF($A97="","",SUMIFS(入金明細!$E$5:$E$1004,入金明細!$G$5:$G$1004,$A97,入金明細!$B$5:$B$1004,"&gt;="&amp;S$3,入金明細!$B$5:$B$1004,"&lt;"&amp;DATE(YEAR(S$3),MONTH(S$3)+1,1)))</f>
        <v/>
      </c>
      <c r="U97" s="27" t="str">
        <f aca="false">IF($A97="","",SUMIFS(請求台帳!$F$5:$F$504,請求台帳!$C$5:$C$504,$A97,請求台帳!$B$5:$B$504,"&gt;="&amp;U$3,請求台帳!$B$5:$B$504,"&lt;"&amp;DATE(YEAR(U$3),MONTH(U$3)+1,1),請求台帳!$Q$5:$Q$504,"&lt;&gt;取消"))</f>
        <v/>
      </c>
      <c r="V97" s="27" t="str">
        <f aca="false">IF($A97="","",SUMIFS(入金明細!$E$5:$E$1004,入金明細!$G$5:$G$1004,$A97,入金明細!$B$5:$B$1004,"&gt;="&amp;U$3,入金明細!$B$5:$B$1004,"&lt;"&amp;DATE(YEAR(U$3),MONTH(U$3)+1,1)))</f>
        <v/>
      </c>
      <c r="W97" s="27" t="str">
        <f aca="false">IF($A97="","",SUMIFS(請求台帳!$F$5:$F$504,請求台帳!$C$5:$C$504,$A97,請求台帳!$B$5:$B$504,"&gt;="&amp;W$3,請求台帳!$B$5:$B$504,"&lt;"&amp;DATE(YEAR(W$3),MONTH(W$3)+1,1),請求台帳!$Q$5:$Q$504,"&lt;&gt;取消"))</f>
        <v/>
      </c>
      <c r="X97" s="27" t="str">
        <f aca="false">IF($A97="","",SUMIFS(入金明細!$E$5:$E$1004,入金明細!$G$5:$G$1004,$A97,入金明細!$B$5:$B$1004,"&gt;="&amp;W$3,入金明細!$B$5:$B$1004,"&lt;"&amp;DATE(YEAR(W$3),MONTH(W$3)+1,1)))</f>
        <v/>
      </c>
      <c r="Y97" s="27" t="str">
        <f aca="false">IF($A97="","",SUMIFS(請求台帳!$F$5:$F$504,請求台帳!$C$5:$C$504,$A97,請求台帳!$B$5:$B$504,"&gt;="&amp;Y$3,請求台帳!$B$5:$B$504,"&lt;"&amp;DATE(YEAR(Y$3),MONTH(Y$3)+1,1),請求台帳!$Q$5:$Q$504,"&lt;&gt;取消"))</f>
        <v/>
      </c>
      <c r="Z97" s="27" t="str">
        <f aca="false">IF($A97="","",SUMIFS(入金明細!$E$5:$E$1004,入金明細!$G$5:$G$1004,$A97,入金明細!$B$5:$B$1004,"&gt;="&amp;Y$3,入金明細!$B$5:$B$1004,"&lt;"&amp;DATE(YEAR(Y$3),MONTH(Y$3)+1,1)))</f>
        <v/>
      </c>
      <c r="AA97" s="37" t="n">
        <f aca="false">SUM(C97,E97,G97,I97,K97,M97,O97,Q97,S97,U97,W97,Y97)</f>
        <v>0</v>
      </c>
      <c r="AB97" s="37" t="n">
        <f aca="false">SUM(D97,F97,H97,J97,L97,N97,P97,R97,T97,V97,X97,Z97)</f>
        <v>0</v>
      </c>
    </row>
    <row r="98" customFormat="false" ht="15" hidden="false" customHeight="false" outlineLevel="0" collapsed="false">
      <c r="A98" s="31" t="str">
        <f aca="false">IF(取引先マスタ!A98="","",取引先マスタ!A98)</f>
        <v/>
      </c>
      <c r="B98" s="31" t="str">
        <f aca="false">IF(A98="","",取引先マスタ!B98)</f>
        <v/>
      </c>
      <c r="C98" s="27" t="str">
        <f aca="false">IF($A98="","",SUMIFS(請求台帳!$F$5:$F$504,請求台帳!$C$5:$C$504,$A98,請求台帳!$B$5:$B$504,"&gt;="&amp;C$3,請求台帳!$B$5:$B$504,"&lt;"&amp;DATE(YEAR(C$3),MONTH(C$3)+1,1),請求台帳!$Q$5:$Q$504,"&lt;&gt;取消"))</f>
        <v/>
      </c>
      <c r="D98" s="27" t="str">
        <f aca="false">IF($A98="","",SUMIFS(入金明細!$E$5:$E$1004,入金明細!$G$5:$G$1004,$A98,入金明細!$B$5:$B$1004,"&gt;="&amp;C$3,入金明細!$B$5:$B$1004,"&lt;"&amp;DATE(YEAR(C$3),MONTH(C$3)+1,1)))</f>
        <v/>
      </c>
      <c r="E98" s="27" t="str">
        <f aca="false">IF($A98="","",SUMIFS(請求台帳!$F$5:$F$504,請求台帳!$C$5:$C$504,$A98,請求台帳!$B$5:$B$504,"&gt;="&amp;E$3,請求台帳!$B$5:$B$504,"&lt;"&amp;DATE(YEAR(E$3),MONTH(E$3)+1,1),請求台帳!$Q$5:$Q$504,"&lt;&gt;取消"))</f>
        <v/>
      </c>
      <c r="F98" s="27" t="str">
        <f aca="false">IF($A98="","",SUMIFS(入金明細!$E$5:$E$1004,入金明細!$G$5:$G$1004,$A98,入金明細!$B$5:$B$1004,"&gt;="&amp;E$3,入金明細!$B$5:$B$1004,"&lt;"&amp;DATE(YEAR(E$3),MONTH(E$3)+1,1)))</f>
        <v/>
      </c>
      <c r="G98" s="27" t="str">
        <f aca="false">IF($A98="","",SUMIFS(請求台帳!$F$5:$F$504,請求台帳!$C$5:$C$504,$A98,請求台帳!$B$5:$B$504,"&gt;="&amp;G$3,請求台帳!$B$5:$B$504,"&lt;"&amp;DATE(YEAR(G$3),MONTH(G$3)+1,1),請求台帳!$Q$5:$Q$504,"&lt;&gt;取消"))</f>
        <v/>
      </c>
      <c r="H98" s="27" t="str">
        <f aca="false">IF($A98="","",SUMIFS(入金明細!$E$5:$E$1004,入金明細!$G$5:$G$1004,$A98,入金明細!$B$5:$B$1004,"&gt;="&amp;G$3,入金明細!$B$5:$B$1004,"&lt;"&amp;DATE(YEAR(G$3),MONTH(G$3)+1,1)))</f>
        <v/>
      </c>
      <c r="I98" s="27" t="str">
        <f aca="false">IF($A98="","",SUMIFS(請求台帳!$F$5:$F$504,請求台帳!$C$5:$C$504,$A98,請求台帳!$B$5:$B$504,"&gt;="&amp;I$3,請求台帳!$B$5:$B$504,"&lt;"&amp;DATE(YEAR(I$3),MONTH(I$3)+1,1),請求台帳!$Q$5:$Q$504,"&lt;&gt;取消"))</f>
        <v/>
      </c>
      <c r="J98" s="27" t="str">
        <f aca="false">IF($A98="","",SUMIFS(入金明細!$E$5:$E$1004,入金明細!$G$5:$G$1004,$A98,入金明細!$B$5:$B$1004,"&gt;="&amp;I$3,入金明細!$B$5:$B$1004,"&lt;"&amp;DATE(YEAR(I$3),MONTH(I$3)+1,1)))</f>
        <v/>
      </c>
      <c r="K98" s="27" t="str">
        <f aca="false">IF($A98="","",SUMIFS(請求台帳!$F$5:$F$504,請求台帳!$C$5:$C$504,$A98,請求台帳!$B$5:$B$504,"&gt;="&amp;K$3,請求台帳!$B$5:$B$504,"&lt;"&amp;DATE(YEAR(K$3),MONTH(K$3)+1,1),請求台帳!$Q$5:$Q$504,"&lt;&gt;取消"))</f>
        <v/>
      </c>
      <c r="L98" s="27" t="str">
        <f aca="false">IF($A98="","",SUMIFS(入金明細!$E$5:$E$1004,入金明細!$G$5:$G$1004,$A98,入金明細!$B$5:$B$1004,"&gt;="&amp;K$3,入金明細!$B$5:$B$1004,"&lt;"&amp;DATE(YEAR(K$3),MONTH(K$3)+1,1)))</f>
        <v/>
      </c>
      <c r="M98" s="27" t="str">
        <f aca="false">IF($A98="","",SUMIFS(請求台帳!$F$5:$F$504,請求台帳!$C$5:$C$504,$A98,請求台帳!$B$5:$B$504,"&gt;="&amp;M$3,請求台帳!$B$5:$B$504,"&lt;"&amp;DATE(YEAR(M$3),MONTH(M$3)+1,1),請求台帳!$Q$5:$Q$504,"&lt;&gt;取消"))</f>
        <v/>
      </c>
      <c r="N98" s="27" t="str">
        <f aca="false">IF($A98="","",SUMIFS(入金明細!$E$5:$E$1004,入金明細!$G$5:$G$1004,$A98,入金明細!$B$5:$B$1004,"&gt;="&amp;M$3,入金明細!$B$5:$B$1004,"&lt;"&amp;DATE(YEAR(M$3),MONTH(M$3)+1,1)))</f>
        <v/>
      </c>
      <c r="O98" s="27" t="str">
        <f aca="false">IF($A98="","",SUMIFS(請求台帳!$F$5:$F$504,請求台帳!$C$5:$C$504,$A98,請求台帳!$B$5:$B$504,"&gt;="&amp;O$3,請求台帳!$B$5:$B$504,"&lt;"&amp;DATE(YEAR(O$3),MONTH(O$3)+1,1),請求台帳!$Q$5:$Q$504,"&lt;&gt;取消"))</f>
        <v/>
      </c>
      <c r="P98" s="27" t="str">
        <f aca="false">IF($A98="","",SUMIFS(入金明細!$E$5:$E$1004,入金明細!$G$5:$G$1004,$A98,入金明細!$B$5:$B$1004,"&gt;="&amp;O$3,入金明細!$B$5:$B$1004,"&lt;"&amp;DATE(YEAR(O$3),MONTH(O$3)+1,1)))</f>
        <v/>
      </c>
      <c r="Q98" s="27" t="str">
        <f aca="false">IF($A98="","",SUMIFS(請求台帳!$F$5:$F$504,請求台帳!$C$5:$C$504,$A98,請求台帳!$B$5:$B$504,"&gt;="&amp;Q$3,請求台帳!$B$5:$B$504,"&lt;"&amp;DATE(YEAR(Q$3),MONTH(Q$3)+1,1),請求台帳!$Q$5:$Q$504,"&lt;&gt;取消"))</f>
        <v/>
      </c>
      <c r="R98" s="27" t="str">
        <f aca="false">IF($A98="","",SUMIFS(入金明細!$E$5:$E$1004,入金明細!$G$5:$G$1004,$A98,入金明細!$B$5:$B$1004,"&gt;="&amp;Q$3,入金明細!$B$5:$B$1004,"&lt;"&amp;DATE(YEAR(Q$3),MONTH(Q$3)+1,1)))</f>
        <v/>
      </c>
      <c r="S98" s="27" t="str">
        <f aca="false">IF($A98="","",SUMIFS(請求台帳!$F$5:$F$504,請求台帳!$C$5:$C$504,$A98,請求台帳!$B$5:$B$504,"&gt;="&amp;S$3,請求台帳!$B$5:$B$504,"&lt;"&amp;DATE(YEAR(S$3),MONTH(S$3)+1,1),請求台帳!$Q$5:$Q$504,"&lt;&gt;取消"))</f>
        <v/>
      </c>
      <c r="T98" s="27" t="str">
        <f aca="false">IF($A98="","",SUMIFS(入金明細!$E$5:$E$1004,入金明細!$G$5:$G$1004,$A98,入金明細!$B$5:$B$1004,"&gt;="&amp;S$3,入金明細!$B$5:$B$1004,"&lt;"&amp;DATE(YEAR(S$3),MONTH(S$3)+1,1)))</f>
        <v/>
      </c>
      <c r="U98" s="27" t="str">
        <f aca="false">IF($A98="","",SUMIFS(請求台帳!$F$5:$F$504,請求台帳!$C$5:$C$504,$A98,請求台帳!$B$5:$B$504,"&gt;="&amp;U$3,請求台帳!$B$5:$B$504,"&lt;"&amp;DATE(YEAR(U$3),MONTH(U$3)+1,1),請求台帳!$Q$5:$Q$504,"&lt;&gt;取消"))</f>
        <v/>
      </c>
      <c r="V98" s="27" t="str">
        <f aca="false">IF($A98="","",SUMIFS(入金明細!$E$5:$E$1004,入金明細!$G$5:$G$1004,$A98,入金明細!$B$5:$B$1004,"&gt;="&amp;U$3,入金明細!$B$5:$B$1004,"&lt;"&amp;DATE(YEAR(U$3),MONTH(U$3)+1,1)))</f>
        <v/>
      </c>
      <c r="W98" s="27" t="str">
        <f aca="false">IF($A98="","",SUMIFS(請求台帳!$F$5:$F$504,請求台帳!$C$5:$C$504,$A98,請求台帳!$B$5:$B$504,"&gt;="&amp;W$3,請求台帳!$B$5:$B$504,"&lt;"&amp;DATE(YEAR(W$3),MONTH(W$3)+1,1),請求台帳!$Q$5:$Q$504,"&lt;&gt;取消"))</f>
        <v/>
      </c>
      <c r="X98" s="27" t="str">
        <f aca="false">IF($A98="","",SUMIFS(入金明細!$E$5:$E$1004,入金明細!$G$5:$G$1004,$A98,入金明細!$B$5:$B$1004,"&gt;="&amp;W$3,入金明細!$B$5:$B$1004,"&lt;"&amp;DATE(YEAR(W$3),MONTH(W$3)+1,1)))</f>
        <v/>
      </c>
      <c r="Y98" s="27" t="str">
        <f aca="false">IF($A98="","",SUMIFS(請求台帳!$F$5:$F$504,請求台帳!$C$5:$C$504,$A98,請求台帳!$B$5:$B$504,"&gt;="&amp;Y$3,請求台帳!$B$5:$B$504,"&lt;"&amp;DATE(YEAR(Y$3),MONTH(Y$3)+1,1),請求台帳!$Q$5:$Q$504,"&lt;&gt;取消"))</f>
        <v/>
      </c>
      <c r="Z98" s="27" t="str">
        <f aca="false">IF($A98="","",SUMIFS(入金明細!$E$5:$E$1004,入金明細!$G$5:$G$1004,$A98,入金明細!$B$5:$B$1004,"&gt;="&amp;Y$3,入金明細!$B$5:$B$1004,"&lt;"&amp;DATE(YEAR(Y$3),MONTH(Y$3)+1,1)))</f>
        <v/>
      </c>
      <c r="AA98" s="37" t="n">
        <f aca="false">SUM(C98,E98,G98,I98,K98,M98,O98,Q98,S98,U98,W98,Y98)</f>
        <v>0</v>
      </c>
      <c r="AB98" s="37" t="n">
        <f aca="false">SUM(D98,F98,H98,J98,L98,N98,P98,R98,T98,V98,X98,Z98)</f>
        <v>0</v>
      </c>
    </row>
    <row r="99" customFormat="false" ht="15" hidden="false" customHeight="false" outlineLevel="0" collapsed="false">
      <c r="A99" s="31" t="str">
        <f aca="false">IF(取引先マスタ!A99="","",取引先マスタ!A99)</f>
        <v/>
      </c>
      <c r="B99" s="31" t="str">
        <f aca="false">IF(A99="","",取引先マスタ!B99)</f>
        <v/>
      </c>
      <c r="C99" s="27" t="str">
        <f aca="false">IF($A99="","",SUMIFS(請求台帳!$F$5:$F$504,請求台帳!$C$5:$C$504,$A99,請求台帳!$B$5:$B$504,"&gt;="&amp;C$3,請求台帳!$B$5:$B$504,"&lt;"&amp;DATE(YEAR(C$3),MONTH(C$3)+1,1),請求台帳!$Q$5:$Q$504,"&lt;&gt;取消"))</f>
        <v/>
      </c>
      <c r="D99" s="27" t="str">
        <f aca="false">IF($A99="","",SUMIFS(入金明細!$E$5:$E$1004,入金明細!$G$5:$G$1004,$A99,入金明細!$B$5:$B$1004,"&gt;="&amp;C$3,入金明細!$B$5:$B$1004,"&lt;"&amp;DATE(YEAR(C$3),MONTH(C$3)+1,1)))</f>
        <v/>
      </c>
      <c r="E99" s="27" t="str">
        <f aca="false">IF($A99="","",SUMIFS(請求台帳!$F$5:$F$504,請求台帳!$C$5:$C$504,$A99,請求台帳!$B$5:$B$504,"&gt;="&amp;E$3,請求台帳!$B$5:$B$504,"&lt;"&amp;DATE(YEAR(E$3),MONTH(E$3)+1,1),請求台帳!$Q$5:$Q$504,"&lt;&gt;取消"))</f>
        <v/>
      </c>
      <c r="F99" s="27" t="str">
        <f aca="false">IF($A99="","",SUMIFS(入金明細!$E$5:$E$1004,入金明細!$G$5:$G$1004,$A99,入金明細!$B$5:$B$1004,"&gt;="&amp;E$3,入金明細!$B$5:$B$1004,"&lt;"&amp;DATE(YEAR(E$3),MONTH(E$3)+1,1)))</f>
        <v/>
      </c>
      <c r="G99" s="27" t="str">
        <f aca="false">IF($A99="","",SUMIFS(請求台帳!$F$5:$F$504,請求台帳!$C$5:$C$504,$A99,請求台帳!$B$5:$B$504,"&gt;="&amp;G$3,請求台帳!$B$5:$B$504,"&lt;"&amp;DATE(YEAR(G$3),MONTH(G$3)+1,1),請求台帳!$Q$5:$Q$504,"&lt;&gt;取消"))</f>
        <v/>
      </c>
      <c r="H99" s="27" t="str">
        <f aca="false">IF($A99="","",SUMIFS(入金明細!$E$5:$E$1004,入金明細!$G$5:$G$1004,$A99,入金明細!$B$5:$B$1004,"&gt;="&amp;G$3,入金明細!$B$5:$B$1004,"&lt;"&amp;DATE(YEAR(G$3),MONTH(G$3)+1,1)))</f>
        <v/>
      </c>
      <c r="I99" s="27" t="str">
        <f aca="false">IF($A99="","",SUMIFS(請求台帳!$F$5:$F$504,請求台帳!$C$5:$C$504,$A99,請求台帳!$B$5:$B$504,"&gt;="&amp;I$3,請求台帳!$B$5:$B$504,"&lt;"&amp;DATE(YEAR(I$3),MONTH(I$3)+1,1),請求台帳!$Q$5:$Q$504,"&lt;&gt;取消"))</f>
        <v/>
      </c>
      <c r="J99" s="27" t="str">
        <f aca="false">IF($A99="","",SUMIFS(入金明細!$E$5:$E$1004,入金明細!$G$5:$G$1004,$A99,入金明細!$B$5:$B$1004,"&gt;="&amp;I$3,入金明細!$B$5:$B$1004,"&lt;"&amp;DATE(YEAR(I$3),MONTH(I$3)+1,1)))</f>
        <v/>
      </c>
      <c r="K99" s="27" t="str">
        <f aca="false">IF($A99="","",SUMIFS(請求台帳!$F$5:$F$504,請求台帳!$C$5:$C$504,$A99,請求台帳!$B$5:$B$504,"&gt;="&amp;K$3,請求台帳!$B$5:$B$504,"&lt;"&amp;DATE(YEAR(K$3),MONTH(K$3)+1,1),請求台帳!$Q$5:$Q$504,"&lt;&gt;取消"))</f>
        <v/>
      </c>
      <c r="L99" s="27" t="str">
        <f aca="false">IF($A99="","",SUMIFS(入金明細!$E$5:$E$1004,入金明細!$G$5:$G$1004,$A99,入金明細!$B$5:$B$1004,"&gt;="&amp;K$3,入金明細!$B$5:$B$1004,"&lt;"&amp;DATE(YEAR(K$3),MONTH(K$3)+1,1)))</f>
        <v/>
      </c>
      <c r="M99" s="27" t="str">
        <f aca="false">IF($A99="","",SUMIFS(請求台帳!$F$5:$F$504,請求台帳!$C$5:$C$504,$A99,請求台帳!$B$5:$B$504,"&gt;="&amp;M$3,請求台帳!$B$5:$B$504,"&lt;"&amp;DATE(YEAR(M$3),MONTH(M$3)+1,1),請求台帳!$Q$5:$Q$504,"&lt;&gt;取消"))</f>
        <v/>
      </c>
      <c r="N99" s="27" t="str">
        <f aca="false">IF($A99="","",SUMIFS(入金明細!$E$5:$E$1004,入金明細!$G$5:$G$1004,$A99,入金明細!$B$5:$B$1004,"&gt;="&amp;M$3,入金明細!$B$5:$B$1004,"&lt;"&amp;DATE(YEAR(M$3),MONTH(M$3)+1,1)))</f>
        <v/>
      </c>
      <c r="O99" s="27" t="str">
        <f aca="false">IF($A99="","",SUMIFS(請求台帳!$F$5:$F$504,請求台帳!$C$5:$C$504,$A99,請求台帳!$B$5:$B$504,"&gt;="&amp;O$3,請求台帳!$B$5:$B$504,"&lt;"&amp;DATE(YEAR(O$3),MONTH(O$3)+1,1),請求台帳!$Q$5:$Q$504,"&lt;&gt;取消"))</f>
        <v/>
      </c>
      <c r="P99" s="27" t="str">
        <f aca="false">IF($A99="","",SUMIFS(入金明細!$E$5:$E$1004,入金明細!$G$5:$G$1004,$A99,入金明細!$B$5:$B$1004,"&gt;="&amp;O$3,入金明細!$B$5:$B$1004,"&lt;"&amp;DATE(YEAR(O$3),MONTH(O$3)+1,1)))</f>
        <v/>
      </c>
      <c r="Q99" s="27" t="str">
        <f aca="false">IF($A99="","",SUMIFS(請求台帳!$F$5:$F$504,請求台帳!$C$5:$C$504,$A99,請求台帳!$B$5:$B$504,"&gt;="&amp;Q$3,請求台帳!$B$5:$B$504,"&lt;"&amp;DATE(YEAR(Q$3),MONTH(Q$3)+1,1),請求台帳!$Q$5:$Q$504,"&lt;&gt;取消"))</f>
        <v/>
      </c>
      <c r="R99" s="27" t="str">
        <f aca="false">IF($A99="","",SUMIFS(入金明細!$E$5:$E$1004,入金明細!$G$5:$G$1004,$A99,入金明細!$B$5:$B$1004,"&gt;="&amp;Q$3,入金明細!$B$5:$B$1004,"&lt;"&amp;DATE(YEAR(Q$3),MONTH(Q$3)+1,1)))</f>
        <v/>
      </c>
      <c r="S99" s="27" t="str">
        <f aca="false">IF($A99="","",SUMIFS(請求台帳!$F$5:$F$504,請求台帳!$C$5:$C$504,$A99,請求台帳!$B$5:$B$504,"&gt;="&amp;S$3,請求台帳!$B$5:$B$504,"&lt;"&amp;DATE(YEAR(S$3),MONTH(S$3)+1,1),請求台帳!$Q$5:$Q$504,"&lt;&gt;取消"))</f>
        <v/>
      </c>
      <c r="T99" s="27" t="str">
        <f aca="false">IF($A99="","",SUMIFS(入金明細!$E$5:$E$1004,入金明細!$G$5:$G$1004,$A99,入金明細!$B$5:$B$1004,"&gt;="&amp;S$3,入金明細!$B$5:$B$1004,"&lt;"&amp;DATE(YEAR(S$3),MONTH(S$3)+1,1)))</f>
        <v/>
      </c>
      <c r="U99" s="27" t="str">
        <f aca="false">IF($A99="","",SUMIFS(請求台帳!$F$5:$F$504,請求台帳!$C$5:$C$504,$A99,請求台帳!$B$5:$B$504,"&gt;="&amp;U$3,請求台帳!$B$5:$B$504,"&lt;"&amp;DATE(YEAR(U$3),MONTH(U$3)+1,1),請求台帳!$Q$5:$Q$504,"&lt;&gt;取消"))</f>
        <v/>
      </c>
      <c r="V99" s="27" t="str">
        <f aca="false">IF($A99="","",SUMIFS(入金明細!$E$5:$E$1004,入金明細!$G$5:$G$1004,$A99,入金明細!$B$5:$B$1004,"&gt;="&amp;U$3,入金明細!$B$5:$B$1004,"&lt;"&amp;DATE(YEAR(U$3),MONTH(U$3)+1,1)))</f>
        <v/>
      </c>
      <c r="W99" s="27" t="str">
        <f aca="false">IF($A99="","",SUMIFS(請求台帳!$F$5:$F$504,請求台帳!$C$5:$C$504,$A99,請求台帳!$B$5:$B$504,"&gt;="&amp;W$3,請求台帳!$B$5:$B$504,"&lt;"&amp;DATE(YEAR(W$3),MONTH(W$3)+1,1),請求台帳!$Q$5:$Q$504,"&lt;&gt;取消"))</f>
        <v/>
      </c>
      <c r="X99" s="27" t="str">
        <f aca="false">IF($A99="","",SUMIFS(入金明細!$E$5:$E$1004,入金明細!$G$5:$G$1004,$A99,入金明細!$B$5:$B$1004,"&gt;="&amp;W$3,入金明細!$B$5:$B$1004,"&lt;"&amp;DATE(YEAR(W$3),MONTH(W$3)+1,1)))</f>
        <v/>
      </c>
      <c r="Y99" s="27" t="str">
        <f aca="false">IF($A99="","",SUMIFS(請求台帳!$F$5:$F$504,請求台帳!$C$5:$C$504,$A99,請求台帳!$B$5:$B$504,"&gt;="&amp;Y$3,請求台帳!$B$5:$B$504,"&lt;"&amp;DATE(YEAR(Y$3),MONTH(Y$3)+1,1),請求台帳!$Q$5:$Q$504,"&lt;&gt;取消"))</f>
        <v/>
      </c>
      <c r="Z99" s="27" t="str">
        <f aca="false">IF($A99="","",SUMIFS(入金明細!$E$5:$E$1004,入金明細!$G$5:$G$1004,$A99,入金明細!$B$5:$B$1004,"&gt;="&amp;Y$3,入金明細!$B$5:$B$1004,"&lt;"&amp;DATE(YEAR(Y$3),MONTH(Y$3)+1,1)))</f>
        <v/>
      </c>
      <c r="AA99" s="37" t="n">
        <f aca="false">SUM(C99,E99,G99,I99,K99,M99,O99,Q99,S99,U99,W99,Y99)</f>
        <v>0</v>
      </c>
      <c r="AB99" s="37" t="n">
        <f aca="false">SUM(D99,F99,H99,J99,L99,N99,P99,R99,T99,V99,X99,Z99)</f>
        <v>0</v>
      </c>
    </row>
    <row r="100" customFormat="false" ht="15" hidden="false" customHeight="false" outlineLevel="0" collapsed="false">
      <c r="A100" s="31" t="str">
        <f aca="false">IF(取引先マスタ!A100="","",取引先マスタ!A100)</f>
        <v/>
      </c>
      <c r="B100" s="31" t="str">
        <f aca="false">IF(A100="","",取引先マスタ!B100)</f>
        <v/>
      </c>
      <c r="C100" s="27" t="str">
        <f aca="false">IF($A100="","",SUMIFS(請求台帳!$F$5:$F$504,請求台帳!$C$5:$C$504,$A100,請求台帳!$B$5:$B$504,"&gt;="&amp;C$3,請求台帳!$B$5:$B$504,"&lt;"&amp;DATE(YEAR(C$3),MONTH(C$3)+1,1),請求台帳!$Q$5:$Q$504,"&lt;&gt;取消"))</f>
        <v/>
      </c>
      <c r="D100" s="27" t="str">
        <f aca="false">IF($A100="","",SUMIFS(入金明細!$E$5:$E$1004,入金明細!$G$5:$G$1004,$A100,入金明細!$B$5:$B$1004,"&gt;="&amp;C$3,入金明細!$B$5:$B$1004,"&lt;"&amp;DATE(YEAR(C$3),MONTH(C$3)+1,1)))</f>
        <v/>
      </c>
      <c r="E100" s="27" t="str">
        <f aca="false">IF($A100="","",SUMIFS(請求台帳!$F$5:$F$504,請求台帳!$C$5:$C$504,$A100,請求台帳!$B$5:$B$504,"&gt;="&amp;E$3,請求台帳!$B$5:$B$504,"&lt;"&amp;DATE(YEAR(E$3),MONTH(E$3)+1,1),請求台帳!$Q$5:$Q$504,"&lt;&gt;取消"))</f>
        <v/>
      </c>
      <c r="F100" s="27" t="str">
        <f aca="false">IF($A100="","",SUMIFS(入金明細!$E$5:$E$1004,入金明細!$G$5:$G$1004,$A100,入金明細!$B$5:$B$1004,"&gt;="&amp;E$3,入金明細!$B$5:$B$1004,"&lt;"&amp;DATE(YEAR(E$3),MONTH(E$3)+1,1)))</f>
        <v/>
      </c>
      <c r="G100" s="27" t="str">
        <f aca="false">IF($A100="","",SUMIFS(請求台帳!$F$5:$F$504,請求台帳!$C$5:$C$504,$A100,請求台帳!$B$5:$B$504,"&gt;="&amp;G$3,請求台帳!$B$5:$B$504,"&lt;"&amp;DATE(YEAR(G$3),MONTH(G$3)+1,1),請求台帳!$Q$5:$Q$504,"&lt;&gt;取消"))</f>
        <v/>
      </c>
      <c r="H100" s="27" t="str">
        <f aca="false">IF($A100="","",SUMIFS(入金明細!$E$5:$E$1004,入金明細!$G$5:$G$1004,$A100,入金明細!$B$5:$B$1004,"&gt;="&amp;G$3,入金明細!$B$5:$B$1004,"&lt;"&amp;DATE(YEAR(G$3),MONTH(G$3)+1,1)))</f>
        <v/>
      </c>
      <c r="I100" s="27" t="str">
        <f aca="false">IF($A100="","",SUMIFS(請求台帳!$F$5:$F$504,請求台帳!$C$5:$C$504,$A100,請求台帳!$B$5:$B$504,"&gt;="&amp;I$3,請求台帳!$B$5:$B$504,"&lt;"&amp;DATE(YEAR(I$3),MONTH(I$3)+1,1),請求台帳!$Q$5:$Q$504,"&lt;&gt;取消"))</f>
        <v/>
      </c>
      <c r="J100" s="27" t="str">
        <f aca="false">IF($A100="","",SUMIFS(入金明細!$E$5:$E$1004,入金明細!$G$5:$G$1004,$A100,入金明細!$B$5:$B$1004,"&gt;="&amp;I$3,入金明細!$B$5:$B$1004,"&lt;"&amp;DATE(YEAR(I$3),MONTH(I$3)+1,1)))</f>
        <v/>
      </c>
      <c r="K100" s="27" t="str">
        <f aca="false">IF($A100="","",SUMIFS(請求台帳!$F$5:$F$504,請求台帳!$C$5:$C$504,$A100,請求台帳!$B$5:$B$504,"&gt;="&amp;K$3,請求台帳!$B$5:$B$504,"&lt;"&amp;DATE(YEAR(K$3),MONTH(K$3)+1,1),請求台帳!$Q$5:$Q$504,"&lt;&gt;取消"))</f>
        <v/>
      </c>
      <c r="L100" s="27" t="str">
        <f aca="false">IF($A100="","",SUMIFS(入金明細!$E$5:$E$1004,入金明細!$G$5:$G$1004,$A100,入金明細!$B$5:$B$1004,"&gt;="&amp;K$3,入金明細!$B$5:$B$1004,"&lt;"&amp;DATE(YEAR(K$3),MONTH(K$3)+1,1)))</f>
        <v/>
      </c>
      <c r="M100" s="27" t="str">
        <f aca="false">IF($A100="","",SUMIFS(請求台帳!$F$5:$F$504,請求台帳!$C$5:$C$504,$A100,請求台帳!$B$5:$B$504,"&gt;="&amp;M$3,請求台帳!$B$5:$B$504,"&lt;"&amp;DATE(YEAR(M$3),MONTH(M$3)+1,1),請求台帳!$Q$5:$Q$504,"&lt;&gt;取消"))</f>
        <v/>
      </c>
      <c r="N100" s="27" t="str">
        <f aca="false">IF($A100="","",SUMIFS(入金明細!$E$5:$E$1004,入金明細!$G$5:$G$1004,$A100,入金明細!$B$5:$B$1004,"&gt;="&amp;M$3,入金明細!$B$5:$B$1004,"&lt;"&amp;DATE(YEAR(M$3),MONTH(M$3)+1,1)))</f>
        <v/>
      </c>
      <c r="O100" s="27" t="str">
        <f aca="false">IF($A100="","",SUMIFS(請求台帳!$F$5:$F$504,請求台帳!$C$5:$C$504,$A100,請求台帳!$B$5:$B$504,"&gt;="&amp;O$3,請求台帳!$B$5:$B$504,"&lt;"&amp;DATE(YEAR(O$3),MONTH(O$3)+1,1),請求台帳!$Q$5:$Q$504,"&lt;&gt;取消"))</f>
        <v/>
      </c>
      <c r="P100" s="27" t="str">
        <f aca="false">IF($A100="","",SUMIFS(入金明細!$E$5:$E$1004,入金明細!$G$5:$G$1004,$A100,入金明細!$B$5:$B$1004,"&gt;="&amp;O$3,入金明細!$B$5:$B$1004,"&lt;"&amp;DATE(YEAR(O$3),MONTH(O$3)+1,1)))</f>
        <v/>
      </c>
      <c r="Q100" s="27" t="str">
        <f aca="false">IF($A100="","",SUMIFS(請求台帳!$F$5:$F$504,請求台帳!$C$5:$C$504,$A100,請求台帳!$B$5:$B$504,"&gt;="&amp;Q$3,請求台帳!$B$5:$B$504,"&lt;"&amp;DATE(YEAR(Q$3),MONTH(Q$3)+1,1),請求台帳!$Q$5:$Q$504,"&lt;&gt;取消"))</f>
        <v/>
      </c>
      <c r="R100" s="27" t="str">
        <f aca="false">IF($A100="","",SUMIFS(入金明細!$E$5:$E$1004,入金明細!$G$5:$G$1004,$A100,入金明細!$B$5:$B$1004,"&gt;="&amp;Q$3,入金明細!$B$5:$B$1004,"&lt;"&amp;DATE(YEAR(Q$3),MONTH(Q$3)+1,1)))</f>
        <v/>
      </c>
      <c r="S100" s="27" t="str">
        <f aca="false">IF($A100="","",SUMIFS(請求台帳!$F$5:$F$504,請求台帳!$C$5:$C$504,$A100,請求台帳!$B$5:$B$504,"&gt;="&amp;S$3,請求台帳!$B$5:$B$504,"&lt;"&amp;DATE(YEAR(S$3),MONTH(S$3)+1,1),請求台帳!$Q$5:$Q$504,"&lt;&gt;取消"))</f>
        <v/>
      </c>
      <c r="T100" s="27" t="str">
        <f aca="false">IF($A100="","",SUMIFS(入金明細!$E$5:$E$1004,入金明細!$G$5:$G$1004,$A100,入金明細!$B$5:$B$1004,"&gt;="&amp;S$3,入金明細!$B$5:$B$1004,"&lt;"&amp;DATE(YEAR(S$3),MONTH(S$3)+1,1)))</f>
        <v/>
      </c>
      <c r="U100" s="27" t="str">
        <f aca="false">IF($A100="","",SUMIFS(請求台帳!$F$5:$F$504,請求台帳!$C$5:$C$504,$A100,請求台帳!$B$5:$B$504,"&gt;="&amp;U$3,請求台帳!$B$5:$B$504,"&lt;"&amp;DATE(YEAR(U$3),MONTH(U$3)+1,1),請求台帳!$Q$5:$Q$504,"&lt;&gt;取消"))</f>
        <v/>
      </c>
      <c r="V100" s="27" t="str">
        <f aca="false">IF($A100="","",SUMIFS(入金明細!$E$5:$E$1004,入金明細!$G$5:$G$1004,$A100,入金明細!$B$5:$B$1004,"&gt;="&amp;U$3,入金明細!$B$5:$B$1004,"&lt;"&amp;DATE(YEAR(U$3),MONTH(U$3)+1,1)))</f>
        <v/>
      </c>
      <c r="W100" s="27" t="str">
        <f aca="false">IF($A100="","",SUMIFS(請求台帳!$F$5:$F$504,請求台帳!$C$5:$C$504,$A100,請求台帳!$B$5:$B$504,"&gt;="&amp;W$3,請求台帳!$B$5:$B$504,"&lt;"&amp;DATE(YEAR(W$3),MONTH(W$3)+1,1),請求台帳!$Q$5:$Q$504,"&lt;&gt;取消"))</f>
        <v/>
      </c>
      <c r="X100" s="27" t="str">
        <f aca="false">IF($A100="","",SUMIFS(入金明細!$E$5:$E$1004,入金明細!$G$5:$G$1004,$A100,入金明細!$B$5:$B$1004,"&gt;="&amp;W$3,入金明細!$B$5:$B$1004,"&lt;"&amp;DATE(YEAR(W$3),MONTH(W$3)+1,1)))</f>
        <v/>
      </c>
      <c r="Y100" s="27" t="str">
        <f aca="false">IF($A100="","",SUMIFS(請求台帳!$F$5:$F$504,請求台帳!$C$5:$C$504,$A100,請求台帳!$B$5:$B$504,"&gt;="&amp;Y$3,請求台帳!$B$5:$B$504,"&lt;"&amp;DATE(YEAR(Y$3),MONTH(Y$3)+1,1),請求台帳!$Q$5:$Q$504,"&lt;&gt;取消"))</f>
        <v/>
      </c>
      <c r="Z100" s="27" t="str">
        <f aca="false">IF($A100="","",SUMIFS(入金明細!$E$5:$E$1004,入金明細!$G$5:$G$1004,$A100,入金明細!$B$5:$B$1004,"&gt;="&amp;Y$3,入金明細!$B$5:$B$1004,"&lt;"&amp;DATE(YEAR(Y$3),MONTH(Y$3)+1,1)))</f>
        <v/>
      </c>
      <c r="AA100" s="37" t="n">
        <f aca="false">SUM(C100,E100,G100,I100,K100,M100,O100,Q100,S100,U100,W100,Y100)</f>
        <v>0</v>
      </c>
      <c r="AB100" s="37" t="n">
        <f aca="false">SUM(D100,F100,H100,J100,L100,N100,P100,R100,T100,V100,X100,Z100)</f>
        <v>0</v>
      </c>
    </row>
    <row r="101" customFormat="false" ht="15" hidden="false" customHeight="false" outlineLevel="0" collapsed="false">
      <c r="A101" s="31" t="str">
        <f aca="false">IF(取引先マスタ!A101="","",取引先マスタ!A101)</f>
        <v/>
      </c>
      <c r="B101" s="31" t="str">
        <f aca="false">IF(A101="","",取引先マスタ!B101)</f>
        <v/>
      </c>
      <c r="C101" s="27" t="str">
        <f aca="false">IF($A101="","",SUMIFS(請求台帳!$F$5:$F$504,請求台帳!$C$5:$C$504,$A101,請求台帳!$B$5:$B$504,"&gt;="&amp;C$3,請求台帳!$B$5:$B$504,"&lt;"&amp;DATE(YEAR(C$3),MONTH(C$3)+1,1),請求台帳!$Q$5:$Q$504,"&lt;&gt;取消"))</f>
        <v/>
      </c>
      <c r="D101" s="27" t="str">
        <f aca="false">IF($A101="","",SUMIFS(入金明細!$E$5:$E$1004,入金明細!$G$5:$G$1004,$A101,入金明細!$B$5:$B$1004,"&gt;="&amp;C$3,入金明細!$B$5:$B$1004,"&lt;"&amp;DATE(YEAR(C$3),MONTH(C$3)+1,1)))</f>
        <v/>
      </c>
      <c r="E101" s="27" t="str">
        <f aca="false">IF($A101="","",SUMIFS(請求台帳!$F$5:$F$504,請求台帳!$C$5:$C$504,$A101,請求台帳!$B$5:$B$504,"&gt;="&amp;E$3,請求台帳!$B$5:$B$504,"&lt;"&amp;DATE(YEAR(E$3),MONTH(E$3)+1,1),請求台帳!$Q$5:$Q$504,"&lt;&gt;取消"))</f>
        <v/>
      </c>
      <c r="F101" s="27" t="str">
        <f aca="false">IF($A101="","",SUMIFS(入金明細!$E$5:$E$1004,入金明細!$G$5:$G$1004,$A101,入金明細!$B$5:$B$1004,"&gt;="&amp;E$3,入金明細!$B$5:$B$1004,"&lt;"&amp;DATE(YEAR(E$3),MONTH(E$3)+1,1)))</f>
        <v/>
      </c>
      <c r="G101" s="27" t="str">
        <f aca="false">IF($A101="","",SUMIFS(請求台帳!$F$5:$F$504,請求台帳!$C$5:$C$504,$A101,請求台帳!$B$5:$B$504,"&gt;="&amp;G$3,請求台帳!$B$5:$B$504,"&lt;"&amp;DATE(YEAR(G$3),MONTH(G$3)+1,1),請求台帳!$Q$5:$Q$504,"&lt;&gt;取消"))</f>
        <v/>
      </c>
      <c r="H101" s="27" t="str">
        <f aca="false">IF($A101="","",SUMIFS(入金明細!$E$5:$E$1004,入金明細!$G$5:$G$1004,$A101,入金明細!$B$5:$B$1004,"&gt;="&amp;G$3,入金明細!$B$5:$B$1004,"&lt;"&amp;DATE(YEAR(G$3),MONTH(G$3)+1,1)))</f>
        <v/>
      </c>
      <c r="I101" s="27" t="str">
        <f aca="false">IF($A101="","",SUMIFS(請求台帳!$F$5:$F$504,請求台帳!$C$5:$C$504,$A101,請求台帳!$B$5:$B$504,"&gt;="&amp;I$3,請求台帳!$B$5:$B$504,"&lt;"&amp;DATE(YEAR(I$3),MONTH(I$3)+1,1),請求台帳!$Q$5:$Q$504,"&lt;&gt;取消"))</f>
        <v/>
      </c>
      <c r="J101" s="27" t="str">
        <f aca="false">IF($A101="","",SUMIFS(入金明細!$E$5:$E$1004,入金明細!$G$5:$G$1004,$A101,入金明細!$B$5:$B$1004,"&gt;="&amp;I$3,入金明細!$B$5:$B$1004,"&lt;"&amp;DATE(YEAR(I$3),MONTH(I$3)+1,1)))</f>
        <v/>
      </c>
      <c r="K101" s="27" t="str">
        <f aca="false">IF($A101="","",SUMIFS(請求台帳!$F$5:$F$504,請求台帳!$C$5:$C$504,$A101,請求台帳!$B$5:$B$504,"&gt;="&amp;K$3,請求台帳!$B$5:$B$504,"&lt;"&amp;DATE(YEAR(K$3),MONTH(K$3)+1,1),請求台帳!$Q$5:$Q$504,"&lt;&gt;取消"))</f>
        <v/>
      </c>
      <c r="L101" s="27" t="str">
        <f aca="false">IF($A101="","",SUMIFS(入金明細!$E$5:$E$1004,入金明細!$G$5:$G$1004,$A101,入金明細!$B$5:$B$1004,"&gt;="&amp;K$3,入金明細!$B$5:$B$1004,"&lt;"&amp;DATE(YEAR(K$3),MONTH(K$3)+1,1)))</f>
        <v/>
      </c>
      <c r="M101" s="27" t="str">
        <f aca="false">IF($A101="","",SUMIFS(請求台帳!$F$5:$F$504,請求台帳!$C$5:$C$504,$A101,請求台帳!$B$5:$B$504,"&gt;="&amp;M$3,請求台帳!$B$5:$B$504,"&lt;"&amp;DATE(YEAR(M$3),MONTH(M$3)+1,1),請求台帳!$Q$5:$Q$504,"&lt;&gt;取消"))</f>
        <v/>
      </c>
      <c r="N101" s="27" t="str">
        <f aca="false">IF($A101="","",SUMIFS(入金明細!$E$5:$E$1004,入金明細!$G$5:$G$1004,$A101,入金明細!$B$5:$B$1004,"&gt;="&amp;M$3,入金明細!$B$5:$B$1004,"&lt;"&amp;DATE(YEAR(M$3),MONTH(M$3)+1,1)))</f>
        <v/>
      </c>
      <c r="O101" s="27" t="str">
        <f aca="false">IF($A101="","",SUMIFS(請求台帳!$F$5:$F$504,請求台帳!$C$5:$C$504,$A101,請求台帳!$B$5:$B$504,"&gt;="&amp;O$3,請求台帳!$B$5:$B$504,"&lt;"&amp;DATE(YEAR(O$3),MONTH(O$3)+1,1),請求台帳!$Q$5:$Q$504,"&lt;&gt;取消"))</f>
        <v/>
      </c>
      <c r="P101" s="27" t="str">
        <f aca="false">IF($A101="","",SUMIFS(入金明細!$E$5:$E$1004,入金明細!$G$5:$G$1004,$A101,入金明細!$B$5:$B$1004,"&gt;="&amp;O$3,入金明細!$B$5:$B$1004,"&lt;"&amp;DATE(YEAR(O$3),MONTH(O$3)+1,1)))</f>
        <v/>
      </c>
      <c r="Q101" s="27" t="str">
        <f aca="false">IF($A101="","",SUMIFS(請求台帳!$F$5:$F$504,請求台帳!$C$5:$C$504,$A101,請求台帳!$B$5:$B$504,"&gt;="&amp;Q$3,請求台帳!$B$5:$B$504,"&lt;"&amp;DATE(YEAR(Q$3),MONTH(Q$3)+1,1),請求台帳!$Q$5:$Q$504,"&lt;&gt;取消"))</f>
        <v/>
      </c>
      <c r="R101" s="27" t="str">
        <f aca="false">IF($A101="","",SUMIFS(入金明細!$E$5:$E$1004,入金明細!$G$5:$G$1004,$A101,入金明細!$B$5:$B$1004,"&gt;="&amp;Q$3,入金明細!$B$5:$B$1004,"&lt;"&amp;DATE(YEAR(Q$3),MONTH(Q$3)+1,1)))</f>
        <v/>
      </c>
      <c r="S101" s="27" t="str">
        <f aca="false">IF($A101="","",SUMIFS(請求台帳!$F$5:$F$504,請求台帳!$C$5:$C$504,$A101,請求台帳!$B$5:$B$504,"&gt;="&amp;S$3,請求台帳!$B$5:$B$504,"&lt;"&amp;DATE(YEAR(S$3),MONTH(S$3)+1,1),請求台帳!$Q$5:$Q$504,"&lt;&gt;取消"))</f>
        <v/>
      </c>
      <c r="T101" s="27" t="str">
        <f aca="false">IF($A101="","",SUMIFS(入金明細!$E$5:$E$1004,入金明細!$G$5:$G$1004,$A101,入金明細!$B$5:$B$1004,"&gt;="&amp;S$3,入金明細!$B$5:$B$1004,"&lt;"&amp;DATE(YEAR(S$3),MONTH(S$3)+1,1)))</f>
        <v/>
      </c>
      <c r="U101" s="27" t="str">
        <f aca="false">IF($A101="","",SUMIFS(請求台帳!$F$5:$F$504,請求台帳!$C$5:$C$504,$A101,請求台帳!$B$5:$B$504,"&gt;="&amp;U$3,請求台帳!$B$5:$B$504,"&lt;"&amp;DATE(YEAR(U$3),MONTH(U$3)+1,1),請求台帳!$Q$5:$Q$504,"&lt;&gt;取消"))</f>
        <v/>
      </c>
      <c r="V101" s="27" t="str">
        <f aca="false">IF($A101="","",SUMIFS(入金明細!$E$5:$E$1004,入金明細!$G$5:$G$1004,$A101,入金明細!$B$5:$B$1004,"&gt;="&amp;U$3,入金明細!$B$5:$B$1004,"&lt;"&amp;DATE(YEAR(U$3),MONTH(U$3)+1,1)))</f>
        <v/>
      </c>
      <c r="W101" s="27" t="str">
        <f aca="false">IF($A101="","",SUMIFS(請求台帳!$F$5:$F$504,請求台帳!$C$5:$C$504,$A101,請求台帳!$B$5:$B$504,"&gt;="&amp;W$3,請求台帳!$B$5:$B$504,"&lt;"&amp;DATE(YEAR(W$3),MONTH(W$3)+1,1),請求台帳!$Q$5:$Q$504,"&lt;&gt;取消"))</f>
        <v/>
      </c>
      <c r="X101" s="27" t="str">
        <f aca="false">IF($A101="","",SUMIFS(入金明細!$E$5:$E$1004,入金明細!$G$5:$G$1004,$A101,入金明細!$B$5:$B$1004,"&gt;="&amp;W$3,入金明細!$B$5:$B$1004,"&lt;"&amp;DATE(YEAR(W$3),MONTH(W$3)+1,1)))</f>
        <v/>
      </c>
      <c r="Y101" s="27" t="str">
        <f aca="false">IF($A101="","",SUMIFS(請求台帳!$F$5:$F$504,請求台帳!$C$5:$C$504,$A101,請求台帳!$B$5:$B$504,"&gt;="&amp;Y$3,請求台帳!$B$5:$B$504,"&lt;"&amp;DATE(YEAR(Y$3),MONTH(Y$3)+1,1),請求台帳!$Q$5:$Q$504,"&lt;&gt;取消"))</f>
        <v/>
      </c>
      <c r="Z101" s="27" t="str">
        <f aca="false">IF($A101="","",SUMIFS(入金明細!$E$5:$E$1004,入金明細!$G$5:$G$1004,$A101,入金明細!$B$5:$B$1004,"&gt;="&amp;Y$3,入金明細!$B$5:$B$1004,"&lt;"&amp;DATE(YEAR(Y$3),MONTH(Y$3)+1,1)))</f>
        <v/>
      </c>
      <c r="AA101" s="37" t="n">
        <f aca="false">SUM(C101,E101,G101,I101,K101,M101,O101,Q101,S101,U101,W101,Y101)</f>
        <v>0</v>
      </c>
      <c r="AB101" s="37" t="n">
        <f aca="false">SUM(D101,F101,H101,J101,L101,N101,P101,R101,T101,V101,X101,Z101)</f>
        <v>0</v>
      </c>
    </row>
    <row r="102" customFormat="false" ht="15" hidden="false" customHeight="false" outlineLevel="0" collapsed="false">
      <c r="A102" s="31" t="str">
        <f aca="false">IF(取引先マスタ!A102="","",取引先マスタ!A102)</f>
        <v/>
      </c>
      <c r="B102" s="31" t="str">
        <f aca="false">IF(A102="","",取引先マスタ!B102)</f>
        <v/>
      </c>
      <c r="C102" s="27" t="str">
        <f aca="false">IF($A102="","",SUMIFS(請求台帳!$F$5:$F$504,請求台帳!$C$5:$C$504,$A102,請求台帳!$B$5:$B$504,"&gt;="&amp;C$3,請求台帳!$B$5:$B$504,"&lt;"&amp;DATE(YEAR(C$3),MONTH(C$3)+1,1),請求台帳!$Q$5:$Q$504,"&lt;&gt;取消"))</f>
        <v/>
      </c>
      <c r="D102" s="27" t="str">
        <f aca="false">IF($A102="","",SUMIFS(入金明細!$E$5:$E$1004,入金明細!$G$5:$G$1004,$A102,入金明細!$B$5:$B$1004,"&gt;="&amp;C$3,入金明細!$B$5:$B$1004,"&lt;"&amp;DATE(YEAR(C$3),MONTH(C$3)+1,1)))</f>
        <v/>
      </c>
      <c r="E102" s="27" t="str">
        <f aca="false">IF($A102="","",SUMIFS(請求台帳!$F$5:$F$504,請求台帳!$C$5:$C$504,$A102,請求台帳!$B$5:$B$504,"&gt;="&amp;E$3,請求台帳!$B$5:$B$504,"&lt;"&amp;DATE(YEAR(E$3),MONTH(E$3)+1,1),請求台帳!$Q$5:$Q$504,"&lt;&gt;取消"))</f>
        <v/>
      </c>
      <c r="F102" s="27" t="str">
        <f aca="false">IF($A102="","",SUMIFS(入金明細!$E$5:$E$1004,入金明細!$G$5:$G$1004,$A102,入金明細!$B$5:$B$1004,"&gt;="&amp;E$3,入金明細!$B$5:$B$1004,"&lt;"&amp;DATE(YEAR(E$3),MONTH(E$3)+1,1)))</f>
        <v/>
      </c>
      <c r="G102" s="27" t="str">
        <f aca="false">IF($A102="","",SUMIFS(請求台帳!$F$5:$F$504,請求台帳!$C$5:$C$504,$A102,請求台帳!$B$5:$B$504,"&gt;="&amp;G$3,請求台帳!$B$5:$B$504,"&lt;"&amp;DATE(YEAR(G$3),MONTH(G$3)+1,1),請求台帳!$Q$5:$Q$504,"&lt;&gt;取消"))</f>
        <v/>
      </c>
      <c r="H102" s="27" t="str">
        <f aca="false">IF($A102="","",SUMIFS(入金明細!$E$5:$E$1004,入金明細!$G$5:$G$1004,$A102,入金明細!$B$5:$B$1004,"&gt;="&amp;G$3,入金明細!$B$5:$B$1004,"&lt;"&amp;DATE(YEAR(G$3),MONTH(G$3)+1,1)))</f>
        <v/>
      </c>
      <c r="I102" s="27" t="str">
        <f aca="false">IF($A102="","",SUMIFS(請求台帳!$F$5:$F$504,請求台帳!$C$5:$C$504,$A102,請求台帳!$B$5:$B$504,"&gt;="&amp;I$3,請求台帳!$B$5:$B$504,"&lt;"&amp;DATE(YEAR(I$3),MONTH(I$3)+1,1),請求台帳!$Q$5:$Q$504,"&lt;&gt;取消"))</f>
        <v/>
      </c>
      <c r="J102" s="27" t="str">
        <f aca="false">IF($A102="","",SUMIFS(入金明細!$E$5:$E$1004,入金明細!$G$5:$G$1004,$A102,入金明細!$B$5:$B$1004,"&gt;="&amp;I$3,入金明細!$B$5:$B$1004,"&lt;"&amp;DATE(YEAR(I$3),MONTH(I$3)+1,1)))</f>
        <v/>
      </c>
      <c r="K102" s="27" t="str">
        <f aca="false">IF($A102="","",SUMIFS(請求台帳!$F$5:$F$504,請求台帳!$C$5:$C$504,$A102,請求台帳!$B$5:$B$504,"&gt;="&amp;K$3,請求台帳!$B$5:$B$504,"&lt;"&amp;DATE(YEAR(K$3),MONTH(K$3)+1,1),請求台帳!$Q$5:$Q$504,"&lt;&gt;取消"))</f>
        <v/>
      </c>
      <c r="L102" s="27" t="str">
        <f aca="false">IF($A102="","",SUMIFS(入金明細!$E$5:$E$1004,入金明細!$G$5:$G$1004,$A102,入金明細!$B$5:$B$1004,"&gt;="&amp;K$3,入金明細!$B$5:$B$1004,"&lt;"&amp;DATE(YEAR(K$3),MONTH(K$3)+1,1)))</f>
        <v/>
      </c>
      <c r="M102" s="27" t="str">
        <f aca="false">IF($A102="","",SUMIFS(請求台帳!$F$5:$F$504,請求台帳!$C$5:$C$504,$A102,請求台帳!$B$5:$B$504,"&gt;="&amp;M$3,請求台帳!$B$5:$B$504,"&lt;"&amp;DATE(YEAR(M$3),MONTH(M$3)+1,1),請求台帳!$Q$5:$Q$504,"&lt;&gt;取消"))</f>
        <v/>
      </c>
      <c r="N102" s="27" t="str">
        <f aca="false">IF($A102="","",SUMIFS(入金明細!$E$5:$E$1004,入金明細!$G$5:$G$1004,$A102,入金明細!$B$5:$B$1004,"&gt;="&amp;M$3,入金明細!$B$5:$B$1004,"&lt;"&amp;DATE(YEAR(M$3),MONTH(M$3)+1,1)))</f>
        <v/>
      </c>
      <c r="O102" s="27" t="str">
        <f aca="false">IF($A102="","",SUMIFS(請求台帳!$F$5:$F$504,請求台帳!$C$5:$C$504,$A102,請求台帳!$B$5:$B$504,"&gt;="&amp;O$3,請求台帳!$B$5:$B$504,"&lt;"&amp;DATE(YEAR(O$3),MONTH(O$3)+1,1),請求台帳!$Q$5:$Q$504,"&lt;&gt;取消"))</f>
        <v/>
      </c>
      <c r="P102" s="27" t="str">
        <f aca="false">IF($A102="","",SUMIFS(入金明細!$E$5:$E$1004,入金明細!$G$5:$G$1004,$A102,入金明細!$B$5:$B$1004,"&gt;="&amp;O$3,入金明細!$B$5:$B$1004,"&lt;"&amp;DATE(YEAR(O$3),MONTH(O$3)+1,1)))</f>
        <v/>
      </c>
      <c r="Q102" s="27" t="str">
        <f aca="false">IF($A102="","",SUMIFS(請求台帳!$F$5:$F$504,請求台帳!$C$5:$C$504,$A102,請求台帳!$B$5:$B$504,"&gt;="&amp;Q$3,請求台帳!$B$5:$B$504,"&lt;"&amp;DATE(YEAR(Q$3),MONTH(Q$3)+1,1),請求台帳!$Q$5:$Q$504,"&lt;&gt;取消"))</f>
        <v/>
      </c>
      <c r="R102" s="27" t="str">
        <f aca="false">IF($A102="","",SUMIFS(入金明細!$E$5:$E$1004,入金明細!$G$5:$G$1004,$A102,入金明細!$B$5:$B$1004,"&gt;="&amp;Q$3,入金明細!$B$5:$B$1004,"&lt;"&amp;DATE(YEAR(Q$3),MONTH(Q$3)+1,1)))</f>
        <v/>
      </c>
      <c r="S102" s="27" t="str">
        <f aca="false">IF($A102="","",SUMIFS(請求台帳!$F$5:$F$504,請求台帳!$C$5:$C$504,$A102,請求台帳!$B$5:$B$504,"&gt;="&amp;S$3,請求台帳!$B$5:$B$504,"&lt;"&amp;DATE(YEAR(S$3),MONTH(S$3)+1,1),請求台帳!$Q$5:$Q$504,"&lt;&gt;取消"))</f>
        <v/>
      </c>
      <c r="T102" s="27" t="str">
        <f aca="false">IF($A102="","",SUMIFS(入金明細!$E$5:$E$1004,入金明細!$G$5:$G$1004,$A102,入金明細!$B$5:$B$1004,"&gt;="&amp;S$3,入金明細!$B$5:$B$1004,"&lt;"&amp;DATE(YEAR(S$3),MONTH(S$3)+1,1)))</f>
        <v/>
      </c>
      <c r="U102" s="27" t="str">
        <f aca="false">IF($A102="","",SUMIFS(請求台帳!$F$5:$F$504,請求台帳!$C$5:$C$504,$A102,請求台帳!$B$5:$B$504,"&gt;="&amp;U$3,請求台帳!$B$5:$B$504,"&lt;"&amp;DATE(YEAR(U$3),MONTH(U$3)+1,1),請求台帳!$Q$5:$Q$504,"&lt;&gt;取消"))</f>
        <v/>
      </c>
      <c r="V102" s="27" t="str">
        <f aca="false">IF($A102="","",SUMIFS(入金明細!$E$5:$E$1004,入金明細!$G$5:$G$1004,$A102,入金明細!$B$5:$B$1004,"&gt;="&amp;U$3,入金明細!$B$5:$B$1004,"&lt;"&amp;DATE(YEAR(U$3),MONTH(U$3)+1,1)))</f>
        <v/>
      </c>
      <c r="W102" s="27" t="str">
        <f aca="false">IF($A102="","",SUMIFS(請求台帳!$F$5:$F$504,請求台帳!$C$5:$C$504,$A102,請求台帳!$B$5:$B$504,"&gt;="&amp;W$3,請求台帳!$B$5:$B$504,"&lt;"&amp;DATE(YEAR(W$3),MONTH(W$3)+1,1),請求台帳!$Q$5:$Q$504,"&lt;&gt;取消"))</f>
        <v/>
      </c>
      <c r="X102" s="27" t="str">
        <f aca="false">IF($A102="","",SUMIFS(入金明細!$E$5:$E$1004,入金明細!$G$5:$G$1004,$A102,入金明細!$B$5:$B$1004,"&gt;="&amp;W$3,入金明細!$B$5:$B$1004,"&lt;"&amp;DATE(YEAR(W$3),MONTH(W$3)+1,1)))</f>
        <v/>
      </c>
      <c r="Y102" s="27" t="str">
        <f aca="false">IF($A102="","",SUMIFS(請求台帳!$F$5:$F$504,請求台帳!$C$5:$C$504,$A102,請求台帳!$B$5:$B$504,"&gt;="&amp;Y$3,請求台帳!$B$5:$B$504,"&lt;"&amp;DATE(YEAR(Y$3),MONTH(Y$3)+1,1),請求台帳!$Q$5:$Q$504,"&lt;&gt;取消"))</f>
        <v/>
      </c>
      <c r="Z102" s="27" t="str">
        <f aca="false">IF($A102="","",SUMIFS(入金明細!$E$5:$E$1004,入金明細!$G$5:$G$1004,$A102,入金明細!$B$5:$B$1004,"&gt;="&amp;Y$3,入金明細!$B$5:$B$1004,"&lt;"&amp;DATE(YEAR(Y$3),MONTH(Y$3)+1,1)))</f>
        <v/>
      </c>
      <c r="AA102" s="37" t="n">
        <f aca="false">SUM(C102,E102,G102,I102,K102,M102,O102,Q102,S102,U102,W102,Y102)</f>
        <v>0</v>
      </c>
      <c r="AB102" s="37" t="n">
        <f aca="false">SUM(D102,F102,H102,J102,L102,N102,P102,R102,T102,V102,X102,Z102)</f>
        <v>0</v>
      </c>
    </row>
    <row r="103" customFormat="false" ht="15" hidden="false" customHeight="false" outlineLevel="0" collapsed="false">
      <c r="A103" s="31" t="str">
        <f aca="false">IF(取引先マスタ!A103="","",取引先マスタ!A103)</f>
        <v/>
      </c>
      <c r="B103" s="31" t="str">
        <f aca="false">IF(A103="","",取引先マスタ!B103)</f>
        <v/>
      </c>
      <c r="C103" s="27" t="str">
        <f aca="false">IF($A103="","",SUMIFS(請求台帳!$F$5:$F$504,請求台帳!$C$5:$C$504,$A103,請求台帳!$B$5:$B$504,"&gt;="&amp;C$3,請求台帳!$B$5:$B$504,"&lt;"&amp;DATE(YEAR(C$3),MONTH(C$3)+1,1),請求台帳!$Q$5:$Q$504,"&lt;&gt;取消"))</f>
        <v/>
      </c>
      <c r="D103" s="27" t="str">
        <f aca="false">IF($A103="","",SUMIFS(入金明細!$E$5:$E$1004,入金明細!$G$5:$G$1004,$A103,入金明細!$B$5:$B$1004,"&gt;="&amp;C$3,入金明細!$B$5:$B$1004,"&lt;"&amp;DATE(YEAR(C$3),MONTH(C$3)+1,1)))</f>
        <v/>
      </c>
      <c r="E103" s="27" t="str">
        <f aca="false">IF($A103="","",SUMIFS(請求台帳!$F$5:$F$504,請求台帳!$C$5:$C$504,$A103,請求台帳!$B$5:$B$504,"&gt;="&amp;E$3,請求台帳!$B$5:$B$504,"&lt;"&amp;DATE(YEAR(E$3),MONTH(E$3)+1,1),請求台帳!$Q$5:$Q$504,"&lt;&gt;取消"))</f>
        <v/>
      </c>
      <c r="F103" s="27" t="str">
        <f aca="false">IF($A103="","",SUMIFS(入金明細!$E$5:$E$1004,入金明細!$G$5:$G$1004,$A103,入金明細!$B$5:$B$1004,"&gt;="&amp;E$3,入金明細!$B$5:$B$1004,"&lt;"&amp;DATE(YEAR(E$3),MONTH(E$3)+1,1)))</f>
        <v/>
      </c>
      <c r="G103" s="27" t="str">
        <f aca="false">IF($A103="","",SUMIFS(請求台帳!$F$5:$F$504,請求台帳!$C$5:$C$504,$A103,請求台帳!$B$5:$B$504,"&gt;="&amp;G$3,請求台帳!$B$5:$B$504,"&lt;"&amp;DATE(YEAR(G$3),MONTH(G$3)+1,1),請求台帳!$Q$5:$Q$504,"&lt;&gt;取消"))</f>
        <v/>
      </c>
      <c r="H103" s="27" t="str">
        <f aca="false">IF($A103="","",SUMIFS(入金明細!$E$5:$E$1004,入金明細!$G$5:$G$1004,$A103,入金明細!$B$5:$B$1004,"&gt;="&amp;G$3,入金明細!$B$5:$B$1004,"&lt;"&amp;DATE(YEAR(G$3),MONTH(G$3)+1,1)))</f>
        <v/>
      </c>
      <c r="I103" s="27" t="str">
        <f aca="false">IF($A103="","",SUMIFS(請求台帳!$F$5:$F$504,請求台帳!$C$5:$C$504,$A103,請求台帳!$B$5:$B$504,"&gt;="&amp;I$3,請求台帳!$B$5:$B$504,"&lt;"&amp;DATE(YEAR(I$3),MONTH(I$3)+1,1),請求台帳!$Q$5:$Q$504,"&lt;&gt;取消"))</f>
        <v/>
      </c>
      <c r="J103" s="27" t="str">
        <f aca="false">IF($A103="","",SUMIFS(入金明細!$E$5:$E$1004,入金明細!$G$5:$G$1004,$A103,入金明細!$B$5:$B$1004,"&gt;="&amp;I$3,入金明細!$B$5:$B$1004,"&lt;"&amp;DATE(YEAR(I$3),MONTH(I$3)+1,1)))</f>
        <v/>
      </c>
      <c r="K103" s="27" t="str">
        <f aca="false">IF($A103="","",SUMIFS(請求台帳!$F$5:$F$504,請求台帳!$C$5:$C$504,$A103,請求台帳!$B$5:$B$504,"&gt;="&amp;K$3,請求台帳!$B$5:$B$504,"&lt;"&amp;DATE(YEAR(K$3),MONTH(K$3)+1,1),請求台帳!$Q$5:$Q$504,"&lt;&gt;取消"))</f>
        <v/>
      </c>
      <c r="L103" s="27" t="str">
        <f aca="false">IF($A103="","",SUMIFS(入金明細!$E$5:$E$1004,入金明細!$G$5:$G$1004,$A103,入金明細!$B$5:$B$1004,"&gt;="&amp;K$3,入金明細!$B$5:$B$1004,"&lt;"&amp;DATE(YEAR(K$3),MONTH(K$3)+1,1)))</f>
        <v/>
      </c>
      <c r="M103" s="27" t="str">
        <f aca="false">IF($A103="","",SUMIFS(請求台帳!$F$5:$F$504,請求台帳!$C$5:$C$504,$A103,請求台帳!$B$5:$B$504,"&gt;="&amp;M$3,請求台帳!$B$5:$B$504,"&lt;"&amp;DATE(YEAR(M$3),MONTH(M$3)+1,1),請求台帳!$Q$5:$Q$504,"&lt;&gt;取消"))</f>
        <v/>
      </c>
      <c r="N103" s="27" t="str">
        <f aca="false">IF($A103="","",SUMIFS(入金明細!$E$5:$E$1004,入金明細!$G$5:$G$1004,$A103,入金明細!$B$5:$B$1004,"&gt;="&amp;M$3,入金明細!$B$5:$B$1004,"&lt;"&amp;DATE(YEAR(M$3),MONTH(M$3)+1,1)))</f>
        <v/>
      </c>
      <c r="O103" s="27" t="str">
        <f aca="false">IF($A103="","",SUMIFS(請求台帳!$F$5:$F$504,請求台帳!$C$5:$C$504,$A103,請求台帳!$B$5:$B$504,"&gt;="&amp;O$3,請求台帳!$B$5:$B$504,"&lt;"&amp;DATE(YEAR(O$3),MONTH(O$3)+1,1),請求台帳!$Q$5:$Q$504,"&lt;&gt;取消"))</f>
        <v/>
      </c>
      <c r="P103" s="27" t="str">
        <f aca="false">IF($A103="","",SUMIFS(入金明細!$E$5:$E$1004,入金明細!$G$5:$G$1004,$A103,入金明細!$B$5:$B$1004,"&gt;="&amp;O$3,入金明細!$B$5:$B$1004,"&lt;"&amp;DATE(YEAR(O$3),MONTH(O$3)+1,1)))</f>
        <v/>
      </c>
      <c r="Q103" s="27" t="str">
        <f aca="false">IF($A103="","",SUMIFS(請求台帳!$F$5:$F$504,請求台帳!$C$5:$C$504,$A103,請求台帳!$B$5:$B$504,"&gt;="&amp;Q$3,請求台帳!$B$5:$B$504,"&lt;"&amp;DATE(YEAR(Q$3),MONTH(Q$3)+1,1),請求台帳!$Q$5:$Q$504,"&lt;&gt;取消"))</f>
        <v/>
      </c>
      <c r="R103" s="27" t="str">
        <f aca="false">IF($A103="","",SUMIFS(入金明細!$E$5:$E$1004,入金明細!$G$5:$G$1004,$A103,入金明細!$B$5:$B$1004,"&gt;="&amp;Q$3,入金明細!$B$5:$B$1004,"&lt;"&amp;DATE(YEAR(Q$3),MONTH(Q$3)+1,1)))</f>
        <v/>
      </c>
      <c r="S103" s="27" t="str">
        <f aca="false">IF($A103="","",SUMIFS(請求台帳!$F$5:$F$504,請求台帳!$C$5:$C$504,$A103,請求台帳!$B$5:$B$504,"&gt;="&amp;S$3,請求台帳!$B$5:$B$504,"&lt;"&amp;DATE(YEAR(S$3),MONTH(S$3)+1,1),請求台帳!$Q$5:$Q$504,"&lt;&gt;取消"))</f>
        <v/>
      </c>
      <c r="T103" s="27" t="str">
        <f aca="false">IF($A103="","",SUMIFS(入金明細!$E$5:$E$1004,入金明細!$G$5:$G$1004,$A103,入金明細!$B$5:$B$1004,"&gt;="&amp;S$3,入金明細!$B$5:$B$1004,"&lt;"&amp;DATE(YEAR(S$3),MONTH(S$3)+1,1)))</f>
        <v/>
      </c>
      <c r="U103" s="27" t="str">
        <f aca="false">IF($A103="","",SUMIFS(請求台帳!$F$5:$F$504,請求台帳!$C$5:$C$504,$A103,請求台帳!$B$5:$B$504,"&gt;="&amp;U$3,請求台帳!$B$5:$B$504,"&lt;"&amp;DATE(YEAR(U$3),MONTH(U$3)+1,1),請求台帳!$Q$5:$Q$504,"&lt;&gt;取消"))</f>
        <v/>
      </c>
      <c r="V103" s="27" t="str">
        <f aca="false">IF($A103="","",SUMIFS(入金明細!$E$5:$E$1004,入金明細!$G$5:$G$1004,$A103,入金明細!$B$5:$B$1004,"&gt;="&amp;U$3,入金明細!$B$5:$B$1004,"&lt;"&amp;DATE(YEAR(U$3),MONTH(U$3)+1,1)))</f>
        <v/>
      </c>
      <c r="W103" s="27" t="str">
        <f aca="false">IF($A103="","",SUMIFS(請求台帳!$F$5:$F$504,請求台帳!$C$5:$C$504,$A103,請求台帳!$B$5:$B$504,"&gt;="&amp;W$3,請求台帳!$B$5:$B$504,"&lt;"&amp;DATE(YEAR(W$3),MONTH(W$3)+1,1),請求台帳!$Q$5:$Q$504,"&lt;&gt;取消"))</f>
        <v/>
      </c>
      <c r="X103" s="27" t="str">
        <f aca="false">IF($A103="","",SUMIFS(入金明細!$E$5:$E$1004,入金明細!$G$5:$G$1004,$A103,入金明細!$B$5:$B$1004,"&gt;="&amp;W$3,入金明細!$B$5:$B$1004,"&lt;"&amp;DATE(YEAR(W$3),MONTH(W$3)+1,1)))</f>
        <v/>
      </c>
      <c r="Y103" s="27" t="str">
        <f aca="false">IF($A103="","",SUMIFS(請求台帳!$F$5:$F$504,請求台帳!$C$5:$C$504,$A103,請求台帳!$B$5:$B$504,"&gt;="&amp;Y$3,請求台帳!$B$5:$B$504,"&lt;"&amp;DATE(YEAR(Y$3),MONTH(Y$3)+1,1),請求台帳!$Q$5:$Q$504,"&lt;&gt;取消"))</f>
        <v/>
      </c>
      <c r="Z103" s="27" t="str">
        <f aca="false">IF($A103="","",SUMIFS(入金明細!$E$5:$E$1004,入金明細!$G$5:$G$1004,$A103,入金明細!$B$5:$B$1004,"&gt;="&amp;Y$3,入金明細!$B$5:$B$1004,"&lt;"&amp;DATE(YEAR(Y$3),MONTH(Y$3)+1,1)))</f>
        <v/>
      </c>
      <c r="AA103" s="37" t="n">
        <f aca="false">SUM(C103,E103,G103,I103,K103,M103,O103,Q103,S103,U103,W103,Y103)</f>
        <v>0</v>
      </c>
      <c r="AB103" s="37" t="n">
        <f aca="false">SUM(D103,F103,H103,J103,L103,N103,P103,R103,T103,V103,X103,Z103)</f>
        <v>0</v>
      </c>
    </row>
    <row r="104" customFormat="false" ht="15" hidden="false" customHeight="false" outlineLevel="0" collapsed="false">
      <c r="A104" s="31" t="str">
        <f aca="false">IF(取引先マスタ!A104="","",取引先マスタ!A104)</f>
        <v/>
      </c>
      <c r="B104" s="31" t="str">
        <f aca="false">IF(A104="","",取引先マスタ!B104)</f>
        <v/>
      </c>
      <c r="C104" s="27" t="str">
        <f aca="false">IF($A104="","",SUMIFS(請求台帳!$F$5:$F$504,請求台帳!$C$5:$C$504,$A104,請求台帳!$B$5:$B$504,"&gt;="&amp;C$3,請求台帳!$B$5:$B$504,"&lt;"&amp;DATE(YEAR(C$3),MONTH(C$3)+1,1),請求台帳!$Q$5:$Q$504,"&lt;&gt;取消"))</f>
        <v/>
      </c>
      <c r="D104" s="27" t="str">
        <f aca="false">IF($A104="","",SUMIFS(入金明細!$E$5:$E$1004,入金明細!$G$5:$G$1004,$A104,入金明細!$B$5:$B$1004,"&gt;="&amp;C$3,入金明細!$B$5:$B$1004,"&lt;"&amp;DATE(YEAR(C$3),MONTH(C$3)+1,1)))</f>
        <v/>
      </c>
      <c r="E104" s="27" t="str">
        <f aca="false">IF($A104="","",SUMIFS(請求台帳!$F$5:$F$504,請求台帳!$C$5:$C$504,$A104,請求台帳!$B$5:$B$504,"&gt;="&amp;E$3,請求台帳!$B$5:$B$504,"&lt;"&amp;DATE(YEAR(E$3),MONTH(E$3)+1,1),請求台帳!$Q$5:$Q$504,"&lt;&gt;取消"))</f>
        <v/>
      </c>
      <c r="F104" s="27" t="str">
        <f aca="false">IF($A104="","",SUMIFS(入金明細!$E$5:$E$1004,入金明細!$G$5:$G$1004,$A104,入金明細!$B$5:$B$1004,"&gt;="&amp;E$3,入金明細!$B$5:$B$1004,"&lt;"&amp;DATE(YEAR(E$3),MONTH(E$3)+1,1)))</f>
        <v/>
      </c>
      <c r="G104" s="27" t="str">
        <f aca="false">IF($A104="","",SUMIFS(請求台帳!$F$5:$F$504,請求台帳!$C$5:$C$504,$A104,請求台帳!$B$5:$B$504,"&gt;="&amp;G$3,請求台帳!$B$5:$B$504,"&lt;"&amp;DATE(YEAR(G$3),MONTH(G$3)+1,1),請求台帳!$Q$5:$Q$504,"&lt;&gt;取消"))</f>
        <v/>
      </c>
      <c r="H104" s="27" t="str">
        <f aca="false">IF($A104="","",SUMIFS(入金明細!$E$5:$E$1004,入金明細!$G$5:$G$1004,$A104,入金明細!$B$5:$B$1004,"&gt;="&amp;G$3,入金明細!$B$5:$B$1004,"&lt;"&amp;DATE(YEAR(G$3),MONTH(G$3)+1,1)))</f>
        <v/>
      </c>
      <c r="I104" s="27" t="str">
        <f aca="false">IF($A104="","",SUMIFS(請求台帳!$F$5:$F$504,請求台帳!$C$5:$C$504,$A104,請求台帳!$B$5:$B$504,"&gt;="&amp;I$3,請求台帳!$B$5:$B$504,"&lt;"&amp;DATE(YEAR(I$3),MONTH(I$3)+1,1),請求台帳!$Q$5:$Q$504,"&lt;&gt;取消"))</f>
        <v/>
      </c>
      <c r="J104" s="27" t="str">
        <f aca="false">IF($A104="","",SUMIFS(入金明細!$E$5:$E$1004,入金明細!$G$5:$G$1004,$A104,入金明細!$B$5:$B$1004,"&gt;="&amp;I$3,入金明細!$B$5:$B$1004,"&lt;"&amp;DATE(YEAR(I$3),MONTH(I$3)+1,1)))</f>
        <v/>
      </c>
      <c r="K104" s="27" t="str">
        <f aca="false">IF($A104="","",SUMIFS(請求台帳!$F$5:$F$504,請求台帳!$C$5:$C$504,$A104,請求台帳!$B$5:$B$504,"&gt;="&amp;K$3,請求台帳!$B$5:$B$504,"&lt;"&amp;DATE(YEAR(K$3),MONTH(K$3)+1,1),請求台帳!$Q$5:$Q$504,"&lt;&gt;取消"))</f>
        <v/>
      </c>
      <c r="L104" s="27" t="str">
        <f aca="false">IF($A104="","",SUMIFS(入金明細!$E$5:$E$1004,入金明細!$G$5:$G$1004,$A104,入金明細!$B$5:$B$1004,"&gt;="&amp;K$3,入金明細!$B$5:$B$1004,"&lt;"&amp;DATE(YEAR(K$3),MONTH(K$3)+1,1)))</f>
        <v/>
      </c>
      <c r="M104" s="27" t="str">
        <f aca="false">IF($A104="","",SUMIFS(請求台帳!$F$5:$F$504,請求台帳!$C$5:$C$504,$A104,請求台帳!$B$5:$B$504,"&gt;="&amp;M$3,請求台帳!$B$5:$B$504,"&lt;"&amp;DATE(YEAR(M$3),MONTH(M$3)+1,1),請求台帳!$Q$5:$Q$504,"&lt;&gt;取消"))</f>
        <v/>
      </c>
      <c r="N104" s="27" t="str">
        <f aca="false">IF($A104="","",SUMIFS(入金明細!$E$5:$E$1004,入金明細!$G$5:$G$1004,$A104,入金明細!$B$5:$B$1004,"&gt;="&amp;M$3,入金明細!$B$5:$B$1004,"&lt;"&amp;DATE(YEAR(M$3),MONTH(M$3)+1,1)))</f>
        <v/>
      </c>
      <c r="O104" s="27" t="str">
        <f aca="false">IF($A104="","",SUMIFS(請求台帳!$F$5:$F$504,請求台帳!$C$5:$C$504,$A104,請求台帳!$B$5:$B$504,"&gt;="&amp;O$3,請求台帳!$B$5:$B$504,"&lt;"&amp;DATE(YEAR(O$3),MONTH(O$3)+1,1),請求台帳!$Q$5:$Q$504,"&lt;&gt;取消"))</f>
        <v/>
      </c>
      <c r="P104" s="27" t="str">
        <f aca="false">IF($A104="","",SUMIFS(入金明細!$E$5:$E$1004,入金明細!$G$5:$G$1004,$A104,入金明細!$B$5:$B$1004,"&gt;="&amp;O$3,入金明細!$B$5:$B$1004,"&lt;"&amp;DATE(YEAR(O$3),MONTH(O$3)+1,1)))</f>
        <v/>
      </c>
      <c r="Q104" s="27" t="str">
        <f aca="false">IF($A104="","",SUMIFS(請求台帳!$F$5:$F$504,請求台帳!$C$5:$C$504,$A104,請求台帳!$B$5:$B$504,"&gt;="&amp;Q$3,請求台帳!$B$5:$B$504,"&lt;"&amp;DATE(YEAR(Q$3),MONTH(Q$3)+1,1),請求台帳!$Q$5:$Q$504,"&lt;&gt;取消"))</f>
        <v/>
      </c>
      <c r="R104" s="27" t="str">
        <f aca="false">IF($A104="","",SUMIFS(入金明細!$E$5:$E$1004,入金明細!$G$5:$G$1004,$A104,入金明細!$B$5:$B$1004,"&gt;="&amp;Q$3,入金明細!$B$5:$B$1004,"&lt;"&amp;DATE(YEAR(Q$3),MONTH(Q$3)+1,1)))</f>
        <v/>
      </c>
      <c r="S104" s="27" t="str">
        <f aca="false">IF($A104="","",SUMIFS(請求台帳!$F$5:$F$504,請求台帳!$C$5:$C$504,$A104,請求台帳!$B$5:$B$504,"&gt;="&amp;S$3,請求台帳!$B$5:$B$504,"&lt;"&amp;DATE(YEAR(S$3),MONTH(S$3)+1,1),請求台帳!$Q$5:$Q$504,"&lt;&gt;取消"))</f>
        <v/>
      </c>
      <c r="T104" s="27" t="str">
        <f aca="false">IF($A104="","",SUMIFS(入金明細!$E$5:$E$1004,入金明細!$G$5:$G$1004,$A104,入金明細!$B$5:$B$1004,"&gt;="&amp;S$3,入金明細!$B$5:$B$1004,"&lt;"&amp;DATE(YEAR(S$3),MONTH(S$3)+1,1)))</f>
        <v/>
      </c>
      <c r="U104" s="27" t="str">
        <f aca="false">IF($A104="","",SUMIFS(請求台帳!$F$5:$F$504,請求台帳!$C$5:$C$504,$A104,請求台帳!$B$5:$B$504,"&gt;="&amp;U$3,請求台帳!$B$5:$B$504,"&lt;"&amp;DATE(YEAR(U$3),MONTH(U$3)+1,1),請求台帳!$Q$5:$Q$504,"&lt;&gt;取消"))</f>
        <v/>
      </c>
      <c r="V104" s="27" t="str">
        <f aca="false">IF($A104="","",SUMIFS(入金明細!$E$5:$E$1004,入金明細!$G$5:$G$1004,$A104,入金明細!$B$5:$B$1004,"&gt;="&amp;U$3,入金明細!$B$5:$B$1004,"&lt;"&amp;DATE(YEAR(U$3),MONTH(U$3)+1,1)))</f>
        <v/>
      </c>
      <c r="W104" s="27" t="str">
        <f aca="false">IF($A104="","",SUMIFS(請求台帳!$F$5:$F$504,請求台帳!$C$5:$C$504,$A104,請求台帳!$B$5:$B$504,"&gt;="&amp;W$3,請求台帳!$B$5:$B$504,"&lt;"&amp;DATE(YEAR(W$3),MONTH(W$3)+1,1),請求台帳!$Q$5:$Q$504,"&lt;&gt;取消"))</f>
        <v/>
      </c>
      <c r="X104" s="27" t="str">
        <f aca="false">IF($A104="","",SUMIFS(入金明細!$E$5:$E$1004,入金明細!$G$5:$G$1004,$A104,入金明細!$B$5:$B$1004,"&gt;="&amp;W$3,入金明細!$B$5:$B$1004,"&lt;"&amp;DATE(YEAR(W$3),MONTH(W$3)+1,1)))</f>
        <v/>
      </c>
      <c r="Y104" s="27" t="str">
        <f aca="false">IF($A104="","",SUMIFS(請求台帳!$F$5:$F$504,請求台帳!$C$5:$C$504,$A104,請求台帳!$B$5:$B$504,"&gt;="&amp;Y$3,請求台帳!$B$5:$B$504,"&lt;"&amp;DATE(YEAR(Y$3),MONTH(Y$3)+1,1),請求台帳!$Q$5:$Q$504,"&lt;&gt;取消"))</f>
        <v/>
      </c>
      <c r="Z104" s="27" t="str">
        <f aca="false">IF($A104="","",SUMIFS(入金明細!$E$5:$E$1004,入金明細!$G$5:$G$1004,$A104,入金明細!$B$5:$B$1004,"&gt;="&amp;Y$3,入金明細!$B$5:$B$1004,"&lt;"&amp;DATE(YEAR(Y$3),MONTH(Y$3)+1,1)))</f>
        <v/>
      </c>
      <c r="AA104" s="37" t="n">
        <f aca="false">SUM(C104,E104,G104,I104,K104,M104,O104,Q104,S104,U104,W104,Y104)</f>
        <v>0</v>
      </c>
      <c r="AB104" s="37" t="n">
        <f aca="false">SUM(D104,F104,H104,J104,L104,N104,P104,R104,T104,V104,X104,Z104)</f>
        <v>0</v>
      </c>
    </row>
    <row r="105" customFormat="false" ht="15" hidden="false" customHeight="false" outlineLevel="0" collapsed="false">
      <c r="A105" s="31" t="str">
        <f aca="false">IF(取引先マスタ!A105="","",取引先マスタ!A105)</f>
        <v/>
      </c>
      <c r="B105" s="31" t="str">
        <f aca="false">IF(A105="","",取引先マスタ!B105)</f>
        <v/>
      </c>
      <c r="C105" s="27" t="str">
        <f aca="false">IF($A105="","",SUMIFS(請求台帳!$F$5:$F$504,請求台帳!$C$5:$C$504,$A105,請求台帳!$B$5:$B$504,"&gt;="&amp;C$3,請求台帳!$B$5:$B$504,"&lt;"&amp;DATE(YEAR(C$3),MONTH(C$3)+1,1),請求台帳!$Q$5:$Q$504,"&lt;&gt;取消"))</f>
        <v/>
      </c>
      <c r="D105" s="27" t="str">
        <f aca="false">IF($A105="","",SUMIFS(入金明細!$E$5:$E$1004,入金明細!$G$5:$G$1004,$A105,入金明細!$B$5:$B$1004,"&gt;="&amp;C$3,入金明細!$B$5:$B$1004,"&lt;"&amp;DATE(YEAR(C$3),MONTH(C$3)+1,1)))</f>
        <v/>
      </c>
      <c r="E105" s="27" t="str">
        <f aca="false">IF($A105="","",SUMIFS(請求台帳!$F$5:$F$504,請求台帳!$C$5:$C$504,$A105,請求台帳!$B$5:$B$504,"&gt;="&amp;E$3,請求台帳!$B$5:$B$504,"&lt;"&amp;DATE(YEAR(E$3),MONTH(E$3)+1,1),請求台帳!$Q$5:$Q$504,"&lt;&gt;取消"))</f>
        <v/>
      </c>
      <c r="F105" s="27" t="str">
        <f aca="false">IF($A105="","",SUMIFS(入金明細!$E$5:$E$1004,入金明細!$G$5:$G$1004,$A105,入金明細!$B$5:$B$1004,"&gt;="&amp;E$3,入金明細!$B$5:$B$1004,"&lt;"&amp;DATE(YEAR(E$3),MONTH(E$3)+1,1)))</f>
        <v/>
      </c>
      <c r="G105" s="27" t="str">
        <f aca="false">IF($A105="","",SUMIFS(請求台帳!$F$5:$F$504,請求台帳!$C$5:$C$504,$A105,請求台帳!$B$5:$B$504,"&gt;="&amp;G$3,請求台帳!$B$5:$B$504,"&lt;"&amp;DATE(YEAR(G$3),MONTH(G$3)+1,1),請求台帳!$Q$5:$Q$504,"&lt;&gt;取消"))</f>
        <v/>
      </c>
      <c r="H105" s="27" t="str">
        <f aca="false">IF($A105="","",SUMIFS(入金明細!$E$5:$E$1004,入金明細!$G$5:$G$1004,$A105,入金明細!$B$5:$B$1004,"&gt;="&amp;G$3,入金明細!$B$5:$B$1004,"&lt;"&amp;DATE(YEAR(G$3),MONTH(G$3)+1,1)))</f>
        <v/>
      </c>
      <c r="I105" s="27" t="str">
        <f aca="false">IF($A105="","",SUMIFS(請求台帳!$F$5:$F$504,請求台帳!$C$5:$C$504,$A105,請求台帳!$B$5:$B$504,"&gt;="&amp;I$3,請求台帳!$B$5:$B$504,"&lt;"&amp;DATE(YEAR(I$3),MONTH(I$3)+1,1),請求台帳!$Q$5:$Q$504,"&lt;&gt;取消"))</f>
        <v/>
      </c>
      <c r="J105" s="27" t="str">
        <f aca="false">IF($A105="","",SUMIFS(入金明細!$E$5:$E$1004,入金明細!$G$5:$G$1004,$A105,入金明細!$B$5:$B$1004,"&gt;="&amp;I$3,入金明細!$B$5:$B$1004,"&lt;"&amp;DATE(YEAR(I$3),MONTH(I$3)+1,1)))</f>
        <v/>
      </c>
      <c r="K105" s="27" t="str">
        <f aca="false">IF($A105="","",SUMIFS(請求台帳!$F$5:$F$504,請求台帳!$C$5:$C$504,$A105,請求台帳!$B$5:$B$504,"&gt;="&amp;K$3,請求台帳!$B$5:$B$504,"&lt;"&amp;DATE(YEAR(K$3),MONTH(K$3)+1,1),請求台帳!$Q$5:$Q$504,"&lt;&gt;取消"))</f>
        <v/>
      </c>
      <c r="L105" s="27" t="str">
        <f aca="false">IF($A105="","",SUMIFS(入金明細!$E$5:$E$1004,入金明細!$G$5:$G$1004,$A105,入金明細!$B$5:$B$1004,"&gt;="&amp;K$3,入金明細!$B$5:$B$1004,"&lt;"&amp;DATE(YEAR(K$3),MONTH(K$3)+1,1)))</f>
        <v/>
      </c>
      <c r="M105" s="27" t="str">
        <f aca="false">IF($A105="","",SUMIFS(請求台帳!$F$5:$F$504,請求台帳!$C$5:$C$504,$A105,請求台帳!$B$5:$B$504,"&gt;="&amp;M$3,請求台帳!$B$5:$B$504,"&lt;"&amp;DATE(YEAR(M$3),MONTH(M$3)+1,1),請求台帳!$Q$5:$Q$504,"&lt;&gt;取消"))</f>
        <v/>
      </c>
      <c r="N105" s="27" t="str">
        <f aca="false">IF($A105="","",SUMIFS(入金明細!$E$5:$E$1004,入金明細!$G$5:$G$1004,$A105,入金明細!$B$5:$B$1004,"&gt;="&amp;M$3,入金明細!$B$5:$B$1004,"&lt;"&amp;DATE(YEAR(M$3),MONTH(M$3)+1,1)))</f>
        <v/>
      </c>
      <c r="O105" s="27" t="str">
        <f aca="false">IF($A105="","",SUMIFS(請求台帳!$F$5:$F$504,請求台帳!$C$5:$C$504,$A105,請求台帳!$B$5:$B$504,"&gt;="&amp;O$3,請求台帳!$B$5:$B$504,"&lt;"&amp;DATE(YEAR(O$3),MONTH(O$3)+1,1),請求台帳!$Q$5:$Q$504,"&lt;&gt;取消"))</f>
        <v/>
      </c>
      <c r="P105" s="27" t="str">
        <f aca="false">IF($A105="","",SUMIFS(入金明細!$E$5:$E$1004,入金明細!$G$5:$G$1004,$A105,入金明細!$B$5:$B$1004,"&gt;="&amp;O$3,入金明細!$B$5:$B$1004,"&lt;"&amp;DATE(YEAR(O$3),MONTH(O$3)+1,1)))</f>
        <v/>
      </c>
      <c r="Q105" s="27" t="str">
        <f aca="false">IF($A105="","",SUMIFS(請求台帳!$F$5:$F$504,請求台帳!$C$5:$C$504,$A105,請求台帳!$B$5:$B$504,"&gt;="&amp;Q$3,請求台帳!$B$5:$B$504,"&lt;"&amp;DATE(YEAR(Q$3),MONTH(Q$3)+1,1),請求台帳!$Q$5:$Q$504,"&lt;&gt;取消"))</f>
        <v/>
      </c>
      <c r="R105" s="27" t="str">
        <f aca="false">IF($A105="","",SUMIFS(入金明細!$E$5:$E$1004,入金明細!$G$5:$G$1004,$A105,入金明細!$B$5:$B$1004,"&gt;="&amp;Q$3,入金明細!$B$5:$B$1004,"&lt;"&amp;DATE(YEAR(Q$3),MONTH(Q$3)+1,1)))</f>
        <v/>
      </c>
      <c r="S105" s="27" t="str">
        <f aca="false">IF($A105="","",SUMIFS(請求台帳!$F$5:$F$504,請求台帳!$C$5:$C$504,$A105,請求台帳!$B$5:$B$504,"&gt;="&amp;S$3,請求台帳!$B$5:$B$504,"&lt;"&amp;DATE(YEAR(S$3),MONTH(S$3)+1,1),請求台帳!$Q$5:$Q$504,"&lt;&gt;取消"))</f>
        <v/>
      </c>
      <c r="T105" s="27" t="str">
        <f aca="false">IF($A105="","",SUMIFS(入金明細!$E$5:$E$1004,入金明細!$G$5:$G$1004,$A105,入金明細!$B$5:$B$1004,"&gt;="&amp;S$3,入金明細!$B$5:$B$1004,"&lt;"&amp;DATE(YEAR(S$3),MONTH(S$3)+1,1)))</f>
        <v/>
      </c>
      <c r="U105" s="27" t="str">
        <f aca="false">IF($A105="","",SUMIFS(請求台帳!$F$5:$F$504,請求台帳!$C$5:$C$504,$A105,請求台帳!$B$5:$B$504,"&gt;="&amp;U$3,請求台帳!$B$5:$B$504,"&lt;"&amp;DATE(YEAR(U$3),MONTH(U$3)+1,1),請求台帳!$Q$5:$Q$504,"&lt;&gt;取消"))</f>
        <v/>
      </c>
      <c r="V105" s="27" t="str">
        <f aca="false">IF($A105="","",SUMIFS(入金明細!$E$5:$E$1004,入金明細!$G$5:$G$1004,$A105,入金明細!$B$5:$B$1004,"&gt;="&amp;U$3,入金明細!$B$5:$B$1004,"&lt;"&amp;DATE(YEAR(U$3),MONTH(U$3)+1,1)))</f>
        <v/>
      </c>
      <c r="W105" s="27" t="str">
        <f aca="false">IF($A105="","",SUMIFS(請求台帳!$F$5:$F$504,請求台帳!$C$5:$C$504,$A105,請求台帳!$B$5:$B$504,"&gt;="&amp;W$3,請求台帳!$B$5:$B$504,"&lt;"&amp;DATE(YEAR(W$3),MONTH(W$3)+1,1),請求台帳!$Q$5:$Q$504,"&lt;&gt;取消"))</f>
        <v/>
      </c>
      <c r="X105" s="27" t="str">
        <f aca="false">IF($A105="","",SUMIFS(入金明細!$E$5:$E$1004,入金明細!$G$5:$G$1004,$A105,入金明細!$B$5:$B$1004,"&gt;="&amp;W$3,入金明細!$B$5:$B$1004,"&lt;"&amp;DATE(YEAR(W$3),MONTH(W$3)+1,1)))</f>
        <v/>
      </c>
      <c r="Y105" s="27" t="str">
        <f aca="false">IF($A105="","",SUMIFS(請求台帳!$F$5:$F$504,請求台帳!$C$5:$C$504,$A105,請求台帳!$B$5:$B$504,"&gt;="&amp;Y$3,請求台帳!$B$5:$B$504,"&lt;"&amp;DATE(YEAR(Y$3),MONTH(Y$3)+1,1),請求台帳!$Q$5:$Q$504,"&lt;&gt;取消"))</f>
        <v/>
      </c>
      <c r="Z105" s="27" t="str">
        <f aca="false">IF($A105="","",SUMIFS(入金明細!$E$5:$E$1004,入金明細!$G$5:$G$1004,$A105,入金明細!$B$5:$B$1004,"&gt;="&amp;Y$3,入金明細!$B$5:$B$1004,"&lt;"&amp;DATE(YEAR(Y$3),MONTH(Y$3)+1,1)))</f>
        <v/>
      </c>
      <c r="AA105" s="37" t="n">
        <f aca="false">SUM(C105,E105,G105,I105,K105,M105,O105,Q105,S105,U105,W105,Y105)</f>
        <v>0</v>
      </c>
      <c r="AB105" s="37" t="n">
        <f aca="false">SUM(D105,F105,H105,J105,L105,N105,P105,R105,T105,V105,X105,Z105)</f>
        <v>0</v>
      </c>
    </row>
    <row r="106" customFormat="false" ht="15" hidden="false" customHeight="false" outlineLevel="0" collapsed="false">
      <c r="A106" s="31" t="str">
        <f aca="false">IF(取引先マスタ!A106="","",取引先マスタ!A106)</f>
        <v/>
      </c>
      <c r="B106" s="31" t="str">
        <f aca="false">IF(A106="","",取引先マスタ!B106)</f>
        <v/>
      </c>
      <c r="C106" s="27" t="str">
        <f aca="false">IF($A106="","",SUMIFS(請求台帳!$F$5:$F$504,請求台帳!$C$5:$C$504,$A106,請求台帳!$B$5:$B$504,"&gt;="&amp;C$3,請求台帳!$B$5:$B$504,"&lt;"&amp;DATE(YEAR(C$3),MONTH(C$3)+1,1),請求台帳!$Q$5:$Q$504,"&lt;&gt;取消"))</f>
        <v/>
      </c>
      <c r="D106" s="27" t="str">
        <f aca="false">IF($A106="","",SUMIFS(入金明細!$E$5:$E$1004,入金明細!$G$5:$G$1004,$A106,入金明細!$B$5:$B$1004,"&gt;="&amp;C$3,入金明細!$B$5:$B$1004,"&lt;"&amp;DATE(YEAR(C$3),MONTH(C$3)+1,1)))</f>
        <v/>
      </c>
      <c r="E106" s="27" t="str">
        <f aca="false">IF($A106="","",SUMIFS(請求台帳!$F$5:$F$504,請求台帳!$C$5:$C$504,$A106,請求台帳!$B$5:$B$504,"&gt;="&amp;E$3,請求台帳!$B$5:$B$504,"&lt;"&amp;DATE(YEAR(E$3),MONTH(E$3)+1,1),請求台帳!$Q$5:$Q$504,"&lt;&gt;取消"))</f>
        <v/>
      </c>
      <c r="F106" s="27" t="str">
        <f aca="false">IF($A106="","",SUMIFS(入金明細!$E$5:$E$1004,入金明細!$G$5:$G$1004,$A106,入金明細!$B$5:$B$1004,"&gt;="&amp;E$3,入金明細!$B$5:$B$1004,"&lt;"&amp;DATE(YEAR(E$3),MONTH(E$3)+1,1)))</f>
        <v/>
      </c>
      <c r="G106" s="27" t="str">
        <f aca="false">IF($A106="","",SUMIFS(請求台帳!$F$5:$F$504,請求台帳!$C$5:$C$504,$A106,請求台帳!$B$5:$B$504,"&gt;="&amp;G$3,請求台帳!$B$5:$B$504,"&lt;"&amp;DATE(YEAR(G$3),MONTH(G$3)+1,1),請求台帳!$Q$5:$Q$504,"&lt;&gt;取消"))</f>
        <v/>
      </c>
      <c r="H106" s="27" t="str">
        <f aca="false">IF($A106="","",SUMIFS(入金明細!$E$5:$E$1004,入金明細!$G$5:$G$1004,$A106,入金明細!$B$5:$B$1004,"&gt;="&amp;G$3,入金明細!$B$5:$B$1004,"&lt;"&amp;DATE(YEAR(G$3),MONTH(G$3)+1,1)))</f>
        <v/>
      </c>
      <c r="I106" s="27" t="str">
        <f aca="false">IF($A106="","",SUMIFS(請求台帳!$F$5:$F$504,請求台帳!$C$5:$C$504,$A106,請求台帳!$B$5:$B$504,"&gt;="&amp;I$3,請求台帳!$B$5:$B$504,"&lt;"&amp;DATE(YEAR(I$3),MONTH(I$3)+1,1),請求台帳!$Q$5:$Q$504,"&lt;&gt;取消"))</f>
        <v/>
      </c>
      <c r="J106" s="27" t="str">
        <f aca="false">IF($A106="","",SUMIFS(入金明細!$E$5:$E$1004,入金明細!$G$5:$G$1004,$A106,入金明細!$B$5:$B$1004,"&gt;="&amp;I$3,入金明細!$B$5:$B$1004,"&lt;"&amp;DATE(YEAR(I$3),MONTH(I$3)+1,1)))</f>
        <v/>
      </c>
      <c r="K106" s="27" t="str">
        <f aca="false">IF($A106="","",SUMIFS(請求台帳!$F$5:$F$504,請求台帳!$C$5:$C$504,$A106,請求台帳!$B$5:$B$504,"&gt;="&amp;K$3,請求台帳!$B$5:$B$504,"&lt;"&amp;DATE(YEAR(K$3),MONTH(K$3)+1,1),請求台帳!$Q$5:$Q$504,"&lt;&gt;取消"))</f>
        <v/>
      </c>
      <c r="L106" s="27" t="str">
        <f aca="false">IF($A106="","",SUMIFS(入金明細!$E$5:$E$1004,入金明細!$G$5:$G$1004,$A106,入金明細!$B$5:$B$1004,"&gt;="&amp;K$3,入金明細!$B$5:$B$1004,"&lt;"&amp;DATE(YEAR(K$3),MONTH(K$3)+1,1)))</f>
        <v/>
      </c>
      <c r="M106" s="27" t="str">
        <f aca="false">IF($A106="","",SUMIFS(請求台帳!$F$5:$F$504,請求台帳!$C$5:$C$504,$A106,請求台帳!$B$5:$B$504,"&gt;="&amp;M$3,請求台帳!$B$5:$B$504,"&lt;"&amp;DATE(YEAR(M$3),MONTH(M$3)+1,1),請求台帳!$Q$5:$Q$504,"&lt;&gt;取消"))</f>
        <v/>
      </c>
      <c r="N106" s="27" t="str">
        <f aca="false">IF($A106="","",SUMIFS(入金明細!$E$5:$E$1004,入金明細!$G$5:$G$1004,$A106,入金明細!$B$5:$B$1004,"&gt;="&amp;M$3,入金明細!$B$5:$B$1004,"&lt;"&amp;DATE(YEAR(M$3),MONTH(M$3)+1,1)))</f>
        <v/>
      </c>
      <c r="O106" s="27" t="str">
        <f aca="false">IF($A106="","",SUMIFS(請求台帳!$F$5:$F$504,請求台帳!$C$5:$C$504,$A106,請求台帳!$B$5:$B$504,"&gt;="&amp;O$3,請求台帳!$B$5:$B$504,"&lt;"&amp;DATE(YEAR(O$3),MONTH(O$3)+1,1),請求台帳!$Q$5:$Q$504,"&lt;&gt;取消"))</f>
        <v/>
      </c>
      <c r="P106" s="27" t="str">
        <f aca="false">IF($A106="","",SUMIFS(入金明細!$E$5:$E$1004,入金明細!$G$5:$G$1004,$A106,入金明細!$B$5:$B$1004,"&gt;="&amp;O$3,入金明細!$B$5:$B$1004,"&lt;"&amp;DATE(YEAR(O$3),MONTH(O$3)+1,1)))</f>
        <v/>
      </c>
      <c r="Q106" s="27" t="str">
        <f aca="false">IF($A106="","",SUMIFS(請求台帳!$F$5:$F$504,請求台帳!$C$5:$C$504,$A106,請求台帳!$B$5:$B$504,"&gt;="&amp;Q$3,請求台帳!$B$5:$B$504,"&lt;"&amp;DATE(YEAR(Q$3),MONTH(Q$3)+1,1),請求台帳!$Q$5:$Q$504,"&lt;&gt;取消"))</f>
        <v/>
      </c>
      <c r="R106" s="27" t="str">
        <f aca="false">IF($A106="","",SUMIFS(入金明細!$E$5:$E$1004,入金明細!$G$5:$G$1004,$A106,入金明細!$B$5:$B$1004,"&gt;="&amp;Q$3,入金明細!$B$5:$B$1004,"&lt;"&amp;DATE(YEAR(Q$3),MONTH(Q$3)+1,1)))</f>
        <v/>
      </c>
      <c r="S106" s="27" t="str">
        <f aca="false">IF($A106="","",SUMIFS(請求台帳!$F$5:$F$504,請求台帳!$C$5:$C$504,$A106,請求台帳!$B$5:$B$504,"&gt;="&amp;S$3,請求台帳!$B$5:$B$504,"&lt;"&amp;DATE(YEAR(S$3),MONTH(S$3)+1,1),請求台帳!$Q$5:$Q$504,"&lt;&gt;取消"))</f>
        <v/>
      </c>
      <c r="T106" s="27" t="str">
        <f aca="false">IF($A106="","",SUMIFS(入金明細!$E$5:$E$1004,入金明細!$G$5:$G$1004,$A106,入金明細!$B$5:$B$1004,"&gt;="&amp;S$3,入金明細!$B$5:$B$1004,"&lt;"&amp;DATE(YEAR(S$3),MONTH(S$3)+1,1)))</f>
        <v/>
      </c>
      <c r="U106" s="27" t="str">
        <f aca="false">IF($A106="","",SUMIFS(請求台帳!$F$5:$F$504,請求台帳!$C$5:$C$504,$A106,請求台帳!$B$5:$B$504,"&gt;="&amp;U$3,請求台帳!$B$5:$B$504,"&lt;"&amp;DATE(YEAR(U$3),MONTH(U$3)+1,1),請求台帳!$Q$5:$Q$504,"&lt;&gt;取消"))</f>
        <v/>
      </c>
      <c r="V106" s="27" t="str">
        <f aca="false">IF($A106="","",SUMIFS(入金明細!$E$5:$E$1004,入金明細!$G$5:$G$1004,$A106,入金明細!$B$5:$B$1004,"&gt;="&amp;U$3,入金明細!$B$5:$B$1004,"&lt;"&amp;DATE(YEAR(U$3),MONTH(U$3)+1,1)))</f>
        <v/>
      </c>
      <c r="W106" s="27" t="str">
        <f aca="false">IF($A106="","",SUMIFS(請求台帳!$F$5:$F$504,請求台帳!$C$5:$C$504,$A106,請求台帳!$B$5:$B$504,"&gt;="&amp;W$3,請求台帳!$B$5:$B$504,"&lt;"&amp;DATE(YEAR(W$3),MONTH(W$3)+1,1),請求台帳!$Q$5:$Q$504,"&lt;&gt;取消"))</f>
        <v/>
      </c>
      <c r="X106" s="27" t="str">
        <f aca="false">IF($A106="","",SUMIFS(入金明細!$E$5:$E$1004,入金明細!$G$5:$G$1004,$A106,入金明細!$B$5:$B$1004,"&gt;="&amp;W$3,入金明細!$B$5:$B$1004,"&lt;"&amp;DATE(YEAR(W$3),MONTH(W$3)+1,1)))</f>
        <v/>
      </c>
      <c r="Y106" s="27" t="str">
        <f aca="false">IF($A106="","",SUMIFS(請求台帳!$F$5:$F$504,請求台帳!$C$5:$C$504,$A106,請求台帳!$B$5:$B$504,"&gt;="&amp;Y$3,請求台帳!$B$5:$B$504,"&lt;"&amp;DATE(YEAR(Y$3),MONTH(Y$3)+1,1),請求台帳!$Q$5:$Q$504,"&lt;&gt;取消"))</f>
        <v/>
      </c>
      <c r="Z106" s="27" t="str">
        <f aca="false">IF($A106="","",SUMIFS(入金明細!$E$5:$E$1004,入金明細!$G$5:$G$1004,$A106,入金明細!$B$5:$B$1004,"&gt;="&amp;Y$3,入金明細!$B$5:$B$1004,"&lt;"&amp;DATE(YEAR(Y$3),MONTH(Y$3)+1,1)))</f>
        <v/>
      </c>
      <c r="AA106" s="37" t="n">
        <f aca="false">SUM(C106,E106,G106,I106,K106,M106,O106,Q106,S106,U106,W106,Y106)</f>
        <v>0</v>
      </c>
      <c r="AB106" s="37" t="n">
        <f aca="false">SUM(D106,F106,H106,J106,L106,N106,P106,R106,T106,V106,X106,Z106)</f>
        <v>0</v>
      </c>
    </row>
    <row r="107" customFormat="false" ht="15" hidden="false" customHeight="false" outlineLevel="0" collapsed="false">
      <c r="A107" s="31" t="str">
        <f aca="false">IF(取引先マスタ!A107="","",取引先マスタ!A107)</f>
        <v/>
      </c>
      <c r="B107" s="31" t="str">
        <f aca="false">IF(A107="","",取引先マスタ!B107)</f>
        <v/>
      </c>
      <c r="C107" s="27" t="str">
        <f aca="false">IF($A107="","",SUMIFS(請求台帳!$F$5:$F$504,請求台帳!$C$5:$C$504,$A107,請求台帳!$B$5:$B$504,"&gt;="&amp;C$3,請求台帳!$B$5:$B$504,"&lt;"&amp;DATE(YEAR(C$3),MONTH(C$3)+1,1),請求台帳!$Q$5:$Q$504,"&lt;&gt;取消"))</f>
        <v/>
      </c>
      <c r="D107" s="27" t="str">
        <f aca="false">IF($A107="","",SUMIFS(入金明細!$E$5:$E$1004,入金明細!$G$5:$G$1004,$A107,入金明細!$B$5:$B$1004,"&gt;="&amp;C$3,入金明細!$B$5:$B$1004,"&lt;"&amp;DATE(YEAR(C$3),MONTH(C$3)+1,1)))</f>
        <v/>
      </c>
      <c r="E107" s="27" t="str">
        <f aca="false">IF($A107="","",SUMIFS(請求台帳!$F$5:$F$504,請求台帳!$C$5:$C$504,$A107,請求台帳!$B$5:$B$504,"&gt;="&amp;E$3,請求台帳!$B$5:$B$504,"&lt;"&amp;DATE(YEAR(E$3),MONTH(E$3)+1,1),請求台帳!$Q$5:$Q$504,"&lt;&gt;取消"))</f>
        <v/>
      </c>
      <c r="F107" s="27" t="str">
        <f aca="false">IF($A107="","",SUMIFS(入金明細!$E$5:$E$1004,入金明細!$G$5:$G$1004,$A107,入金明細!$B$5:$B$1004,"&gt;="&amp;E$3,入金明細!$B$5:$B$1004,"&lt;"&amp;DATE(YEAR(E$3),MONTH(E$3)+1,1)))</f>
        <v/>
      </c>
      <c r="G107" s="27" t="str">
        <f aca="false">IF($A107="","",SUMIFS(請求台帳!$F$5:$F$504,請求台帳!$C$5:$C$504,$A107,請求台帳!$B$5:$B$504,"&gt;="&amp;G$3,請求台帳!$B$5:$B$504,"&lt;"&amp;DATE(YEAR(G$3),MONTH(G$3)+1,1),請求台帳!$Q$5:$Q$504,"&lt;&gt;取消"))</f>
        <v/>
      </c>
      <c r="H107" s="27" t="str">
        <f aca="false">IF($A107="","",SUMIFS(入金明細!$E$5:$E$1004,入金明細!$G$5:$G$1004,$A107,入金明細!$B$5:$B$1004,"&gt;="&amp;G$3,入金明細!$B$5:$B$1004,"&lt;"&amp;DATE(YEAR(G$3),MONTH(G$3)+1,1)))</f>
        <v/>
      </c>
      <c r="I107" s="27" t="str">
        <f aca="false">IF($A107="","",SUMIFS(請求台帳!$F$5:$F$504,請求台帳!$C$5:$C$504,$A107,請求台帳!$B$5:$B$504,"&gt;="&amp;I$3,請求台帳!$B$5:$B$504,"&lt;"&amp;DATE(YEAR(I$3),MONTH(I$3)+1,1),請求台帳!$Q$5:$Q$504,"&lt;&gt;取消"))</f>
        <v/>
      </c>
      <c r="J107" s="27" t="str">
        <f aca="false">IF($A107="","",SUMIFS(入金明細!$E$5:$E$1004,入金明細!$G$5:$G$1004,$A107,入金明細!$B$5:$B$1004,"&gt;="&amp;I$3,入金明細!$B$5:$B$1004,"&lt;"&amp;DATE(YEAR(I$3),MONTH(I$3)+1,1)))</f>
        <v/>
      </c>
      <c r="K107" s="27" t="str">
        <f aca="false">IF($A107="","",SUMIFS(請求台帳!$F$5:$F$504,請求台帳!$C$5:$C$504,$A107,請求台帳!$B$5:$B$504,"&gt;="&amp;K$3,請求台帳!$B$5:$B$504,"&lt;"&amp;DATE(YEAR(K$3),MONTH(K$3)+1,1),請求台帳!$Q$5:$Q$504,"&lt;&gt;取消"))</f>
        <v/>
      </c>
      <c r="L107" s="27" t="str">
        <f aca="false">IF($A107="","",SUMIFS(入金明細!$E$5:$E$1004,入金明細!$G$5:$G$1004,$A107,入金明細!$B$5:$B$1004,"&gt;="&amp;K$3,入金明細!$B$5:$B$1004,"&lt;"&amp;DATE(YEAR(K$3),MONTH(K$3)+1,1)))</f>
        <v/>
      </c>
      <c r="M107" s="27" t="str">
        <f aca="false">IF($A107="","",SUMIFS(請求台帳!$F$5:$F$504,請求台帳!$C$5:$C$504,$A107,請求台帳!$B$5:$B$504,"&gt;="&amp;M$3,請求台帳!$B$5:$B$504,"&lt;"&amp;DATE(YEAR(M$3),MONTH(M$3)+1,1),請求台帳!$Q$5:$Q$504,"&lt;&gt;取消"))</f>
        <v/>
      </c>
      <c r="N107" s="27" t="str">
        <f aca="false">IF($A107="","",SUMIFS(入金明細!$E$5:$E$1004,入金明細!$G$5:$G$1004,$A107,入金明細!$B$5:$B$1004,"&gt;="&amp;M$3,入金明細!$B$5:$B$1004,"&lt;"&amp;DATE(YEAR(M$3),MONTH(M$3)+1,1)))</f>
        <v/>
      </c>
      <c r="O107" s="27" t="str">
        <f aca="false">IF($A107="","",SUMIFS(請求台帳!$F$5:$F$504,請求台帳!$C$5:$C$504,$A107,請求台帳!$B$5:$B$504,"&gt;="&amp;O$3,請求台帳!$B$5:$B$504,"&lt;"&amp;DATE(YEAR(O$3),MONTH(O$3)+1,1),請求台帳!$Q$5:$Q$504,"&lt;&gt;取消"))</f>
        <v/>
      </c>
      <c r="P107" s="27" t="str">
        <f aca="false">IF($A107="","",SUMIFS(入金明細!$E$5:$E$1004,入金明細!$G$5:$G$1004,$A107,入金明細!$B$5:$B$1004,"&gt;="&amp;O$3,入金明細!$B$5:$B$1004,"&lt;"&amp;DATE(YEAR(O$3),MONTH(O$3)+1,1)))</f>
        <v/>
      </c>
      <c r="Q107" s="27" t="str">
        <f aca="false">IF($A107="","",SUMIFS(請求台帳!$F$5:$F$504,請求台帳!$C$5:$C$504,$A107,請求台帳!$B$5:$B$504,"&gt;="&amp;Q$3,請求台帳!$B$5:$B$504,"&lt;"&amp;DATE(YEAR(Q$3),MONTH(Q$3)+1,1),請求台帳!$Q$5:$Q$504,"&lt;&gt;取消"))</f>
        <v/>
      </c>
      <c r="R107" s="27" t="str">
        <f aca="false">IF($A107="","",SUMIFS(入金明細!$E$5:$E$1004,入金明細!$G$5:$G$1004,$A107,入金明細!$B$5:$B$1004,"&gt;="&amp;Q$3,入金明細!$B$5:$B$1004,"&lt;"&amp;DATE(YEAR(Q$3),MONTH(Q$3)+1,1)))</f>
        <v/>
      </c>
      <c r="S107" s="27" t="str">
        <f aca="false">IF($A107="","",SUMIFS(請求台帳!$F$5:$F$504,請求台帳!$C$5:$C$504,$A107,請求台帳!$B$5:$B$504,"&gt;="&amp;S$3,請求台帳!$B$5:$B$504,"&lt;"&amp;DATE(YEAR(S$3),MONTH(S$3)+1,1),請求台帳!$Q$5:$Q$504,"&lt;&gt;取消"))</f>
        <v/>
      </c>
      <c r="T107" s="27" t="str">
        <f aca="false">IF($A107="","",SUMIFS(入金明細!$E$5:$E$1004,入金明細!$G$5:$G$1004,$A107,入金明細!$B$5:$B$1004,"&gt;="&amp;S$3,入金明細!$B$5:$B$1004,"&lt;"&amp;DATE(YEAR(S$3),MONTH(S$3)+1,1)))</f>
        <v/>
      </c>
      <c r="U107" s="27" t="str">
        <f aca="false">IF($A107="","",SUMIFS(請求台帳!$F$5:$F$504,請求台帳!$C$5:$C$504,$A107,請求台帳!$B$5:$B$504,"&gt;="&amp;U$3,請求台帳!$B$5:$B$504,"&lt;"&amp;DATE(YEAR(U$3),MONTH(U$3)+1,1),請求台帳!$Q$5:$Q$504,"&lt;&gt;取消"))</f>
        <v/>
      </c>
      <c r="V107" s="27" t="str">
        <f aca="false">IF($A107="","",SUMIFS(入金明細!$E$5:$E$1004,入金明細!$G$5:$G$1004,$A107,入金明細!$B$5:$B$1004,"&gt;="&amp;U$3,入金明細!$B$5:$B$1004,"&lt;"&amp;DATE(YEAR(U$3),MONTH(U$3)+1,1)))</f>
        <v/>
      </c>
      <c r="W107" s="27" t="str">
        <f aca="false">IF($A107="","",SUMIFS(請求台帳!$F$5:$F$504,請求台帳!$C$5:$C$504,$A107,請求台帳!$B$5:$B$504,"&gt;="&amp;W$3,請求台帳!$B$5:$B$504,"&lt;"&amp;DATE(YEAR(W$3),MONTH(W$3)+1,1),請求台帳!$Q$5:$Q$504,"&lt;&gt;取消"))</f>
        <v/>
      </c>
      <c r="X107" s="27" t="str">
        <f aca="false">IF($A107="","",SUMIFS(入金明細!$E$5:$E$1004,入金明細!$G$5:$G$1004,$A107,入金明細!$B$5:$B$1004,"&gt;="&amp;W$3,入金明細!$B$5:$B$1004,"&lt;"&amp;DATE(YEAR(W$3),MONTH(W$3)+1,1)))</f>
        <v/>
      </c>
      <c r="Y107" s="27" t="str">
        <f aca="false">IF($A107="","",SUMIFS(請求台帳!$F$5:$F$504,請求台帳!$C$5:$C$504,$A107,請求台帳!$B$5:$B$504,"&gt;="&amp;Y$3,請求台帳!$B$5:$B$504,"&lt;"&amp;DATE(YEAR(Y$3),MONTH(Y$3)+1,1),請求台帳!$Q$5:$Q$504,"&lt;&gt;取消"))</f>
        <v/>
      </c>
      <c r="Z107" s="27" t="str">
        <f aca="false">IF($A107="","",SUMIFS(入金明細!$E$5:$E$1004,入金明細!$G$5:$G$1004,$A107,入金明細!$B$5:$B$1004,"&gt;="&amp;Y$3,入金明細!$B$5:$B$1004,"&lt;"&amp;DATE(YEAR(Y$3),MONTH(Y$3)+1,1)))</f>
        <v/>
      </c>
      <c r="AA107" s="37" t="n">
        <f aca="false">SUM(C107,E107,G107,I107,K107,M107,O107,Q107,S107,U107,W107,Y107)</f>
        <v>0</v>
      </c>
      <c r="AB107" s="37" t="n">
        <f aca="false">SUM(D107,F107,H107,J107,L107,N107,P107,R107,T107,V107,X107,Z107)</f>
        <v>0</v>
      </c>
    </row>
    <row r="108" customFormat="false" ht="15" hidden="false" customHeight="false" outlineLevel="0" collapsed="false">
      <c r="A108" s="31" t="str">
        <f aca="false">IF(取引先マスタ!A108="","",取引先マスタ!A108)</f>
        <v/>
      </c>
      <c r="B108" s="31" t="str">
        <f aca="false">IF(A108="","",取引先マスタ!B108)</f>
        <v/>
      </c>
      <c r="C108" s="27" t="str">
        <f aca="false">IF($A108="","",SUMIFS(請求台帳!$F$5:$F$504,請求台帳!$C$5:$C$504,$A108,請求台帳!$B$5:$B$504,"&gt;="&amp;C$3,請求台帳!$B$5:$B$504,"&lt;"&amp;DATE(YEAR(C$3),MONTH(C$3)+1,1),請求台帳!$Q$5:$Q$504,"&lt;&gt;取消"))</f>
        <v/>
      </c>
      <c r="D108" s="27" t="str">
        <f aca="false">IF($A108="","",SUMIFS(入金明細!$E$5:$E$1004,入金明細!$G$5:$G$1004,$A108,入金明細!$B$5:$B$1004,"&gt;="&amp;C$3,入金明細!$B$5:$B$1004,"&lt;"&amp;DATE(YEAR(C$3),MONTH(C$3)+1,1)))</f>
        <v/>
      </c>
      <c r="E108" s="27" t="str">
        <f aca="false">IF($A108="","",SUMIFS(請求台帳!$F$5:$F$504,請求台帳!$C$5:$C$504,$A108,請求台帳!$B$5:$B$504,"&gt;="&amp;E$3,請求台帳!$B$5:$B$504,"&lt;"&amp;DATE(YEAR(E$3),MONTH(E$3)+1,1),請求台帳!$Q$5:$Q$504,"&lt;&gt;取消"))</f>
        <v/>
      </c>
      <c r="F108" s="27" t="str">
        <f aca="false">IF($A108="","",SUMIFS(入金明細!$E$5:$E$1004,入金明細!$G$5:$G$1004,$A108,入金明細!$B$5:$B$1004,"&gt;="&amp;E$3,入金明細!$B$5:$B$1004,"&lt;"&amp;DATE(YEAR(E$3),MONTH(E$3)+1,1)))</f>
        <v/>
      </c>
      <c r="G108" s="27" t="str">
        <f aca="false">IF($A108="","",SUMIFS(請求台帳!$F$5:$F$504,請求台帳!$C$5:$C$504,$A108,請求台帳!$B$5:$B$504,"&gt;="&amp;G$3,請求台帳!$B$5:$B$504,"&lt;"&amp;DATE(YEAR(G$3),MONTH(G$3)+1,1),請求台帳!$Q$5:$Q$504,"&lt;&gt;取消"))</f>
        <v/>
      </c>
      <c r="H108" s="27" t="str">
        <f aca="false">IF($A108="","",SUMIFS(入金明細!$E$5:$E$1004,入金明細!$G$5:$G$1004,$A108,入金明細!$B$5:$B$1004,"&gt;="&amp;G$3,入金明細!$B$5:$B$1004,"&lt;"&amp;DATE(YEAR(G$3),MONTH(G$3)+1,1)))</f>
        <v/>
      </c>
      <c r="I108" s="27" t="str">
        <f aca="false">IF($A108="","",SUMIFS(請求台帳!$F$5:$F$504,請求台帳!$C$5:$C$504,$A108,請求台帳!$B$5:$B$504,"&gt;="&amp;I$3,請求台帳!$B$5:$B$504,"&lt;"&amp;DATE(YEAR(I$3),MONTH(I$3)+1,1),請求台帳!$Q$5:$Q$504,"&lt;&gt;取消"))</f>
        <v/>
      </c>
      <c r="J108" s="27" t="str">
        <f aca="false">IF($A108="","",SUMIFS(入金明細!$E$5:$E$1004,入金明細!$G$5:$G$1004,$A108,入金明細!$B$5:$B$1004,"&gt;="&amp;I$3,入金明細!$B$5:$B$1004,"&lt;"&amp;DATE(YEAR(I$3),MONTH(I$3)+1,1)))</f>
        <v/>
      </c>
      <c r="K108" s="27" t="str">
        <f aca="false">IF($A108="","",SUMIFS(請求台帳!$F$5:$F$504,請求台帳!$C$5:$C$504,$A108,請求台帳!$B$5:$B$504,"&gt;="&amp;K$3,請求台帳!$B$5:$B$504,"&lt;"&amp;DATE(YEAR(K$3),MONTH(K$3)+1,1),請求台帳!$Q$5:$Q$504,"&lt;&gt;取消"))</f>
        <v/>
      </c>
      <c r="L108" s="27" t="str">
        <f aca="false">IF($A108="","",SUMIFS(入金明細!$E$5:$E$1004,入金明細!$G$5:$G$1004,$A108,入金明細!$B$5:$B$1004,"&gt;="&amp;K$3,入金明細!$B$5:$B$1004,"&lt;"&amp;DATE(YEAR(K$3),MONTH(K$3)+1,1)))</f>
        <v/>
      </c>
      <c r="M108" s="27" t="str">
        <f aca="false">IF($A108="","",SUMIFS(請求台帳!$F$5:$F$504,請求台帳!$C$5:$C$504,$A108,請求台帳!$B$5:$B$504,"&gt;="&amp;M$3,請求台帳!$B$5:$B$504,"&lt;"&amp;DATE(YEAR(M$3),MONTH(M$3)+1,1),請求台帳!$Q$5:$Q$504,"&lt;&gt;取消"))</f>
        <v/>
      </c>
      <c r="N108" s="27" t="str">
        <f aca="false">IF($A108="","",SUMIFS(入金明細!$E$5:$E$1004,入金明細!$G$5:$G$1004,$A108,入金明細!$B$5:$B$1004,"&gt;="&amp;M$3,入金明細!$B$5:$B$1004,"&lt;"&amp;DATE(YEAR(M$3),MONTH(M$3)+1,1)))</f>
        <v/>
      </c>
      <c r="O108" s="27" t="str">
        <f aca="false">IF($A108="","",SUMIFS(請求台帳!$F$5:$F$504,請求台帳!$C$5:$C$504,$A108,請求台帳!$B$5:$B$504,"&gt;="&amp;O$3,請求台帳!$B$5:$B$504,"&lt;"&amp;DATE(YEAR(O$3),MONTH(O$3)+1,1),請求台帳!$Q$5:$Q$504,"&lt;&gt;取消"))</f>
        <v/>
      </c>
      <c r="P108" s="27" t="str">
        <f aca="false">IF($A108="","",SUMIFS(入金明細!$E$5:$E$1004,入金明細!$G$5:$G$1004,$A108,入金明細!$B$5:$B$1004,"&gt;="&amp;O$3,入金明細!$B$5:$B$1004,"&lt;"&amp;DATE(YEAR(O$3),MONTH(O$3)+1,1)))</f>
        <v/>
      </c>
      <c r="Q108" s="27" t="str">
        <f aca="false">IF($A108="","",SUMIFS(請求台帳!$F$5:$F$504,請求台帳!$C$5:$C$504,$A108,請求台帳!$B$5:$B$504,"&gt;="&amp;Q$3,請求台帳!$B$5:$B$504,"&lt;"&amp;DATE(YEAR(Q$3),MONTH(Q$3)+1,1),請求台帳!$Q$5:$Q$504,"&lt;&gt;取消"))</f>
        <v/>
      </c>
      <c r="R108" s="27" t="str">
        <f aca="false">IF($A108="","",SUMIFS(入金明細!$E$5:$E$1004,入金明細!$G$5:$G$1004,$A108,入金明細!$B$5:$B$1004,"&gt;="&amp;Q$3,入金明細!$B$5:$B$1004,"&lt;"&amp;DATE(YEAR(Q$3),MONTH(Q$3)+1,1)))</f>
        <v/>
      </c>
      <c r="S108" s="27" t="str">
        <f aca="false">IF($A108="","",SUMIFS(請求台帳!$F$5:$F$504,請求台帳!$C$5:$C$504,$A108,請求台帳!$B$5:$B$504,"&gt;="&amp;S$3,請求台帳!$B$5:$B$504,"&lt;"&amp;DATE(YEAR(S$3),MONTH(S$3)+1,1),請求台帳!$Q$5:$Q$504,"&lt;&gt;取消"))</f>
        <v/>
      </c>
      <c r="T108" s="27" t="str">
        <f aca="false">IF($A108="","",SUMIFS(入金明細!$E$5:$E$1004,入金明細!$G$5:$G$1004,$A108,入金明細!$B$5:$B$1004,"&gt;="&amp;S$3,入金明細!$B$5:$B$1004,"&lt;"&amp;DATE(YEAR(S$3),MONTH(S$3)+1,1)))</f>
        <v/>
      </c>
      <c r="U108" s="27" t="str">
        <f aca="false">IF($A108="","",SUMIFS(請求台帳!$F$5:$F$504,請求台帳!$C$5:$C$504,$A108,請求台帳!$B$5:$B$504,"&gt;="&amp;U$3,請求台帳!$B$5:$B$504,"&lt;"&amp;DATE(YEAR(U$3),MONTH(U$3)+1,1),請求台帳!$Q$5:$Q$504,"&lt;&gt;取消"))</f>
        <v/>
      </c>
      <c r="V108" s="27" t="str">
        <f aca="false">IF($A108="","",SUMIFS(入金明細!$E$5:$E$1004,入金明細!$G$5:$G$1004,$A108,入金明細!$B$5:$B$1004,"&gt;="&amp;U$3,入金明細!$B$5:$B$1004,"&lt;"&amp;DATE(YEAR(U$3),MONTH(U$3)+1,1)))</f>
        <v/>
      </c>
      <c r="W108" s="27" t="str">
        <f aca="false">IF($A108="","",SUMIFS(請求台帳!$F$5:$F$504,請求台帳!$C$5:$C$504,$A108,請求台帳!$B$5:$B$504,"&gt;="&amp;W$3,請求台帳!$B$5:$B$504,"&lt;"&amp;DATE(YEAR(W$3),MONTH(W$3)+1,1),請求台帳!$Q$5:$Q$504,"&lt;&gt;取消"))</f>
        <v/>
      </c>
      <c r="X108" s="27" t="str">
        <f aca="false">IF($A108="","",SUMIFS(入金明細!$E$5:$E$1004,入金明細!$G$5:$G$1004,$A108,入金明細!$B$5:$B$1004,"&gt;="&amp;W$3,入金明細!$B$5:$B$1004,"&lt;"&amp;DATE(YEAR(W$3),MONTH(W$3)+1,1)))</f>
        <v/>
      </c>
      <c r="Y108" s="27" t="str">
        <f aca="false">IF($A108="","",SUMIFS(請求台帳!$F$5:$F$504,請求台帳!$C$5:$C$504,$A108,請求台帳!$B$5:$B$504,"&gt;="&amp;Y$3,請求台帳!$B$5:$B$504,"&lt;"&amp;DATE(YEAR(Y$3),MONTH(Y$3)+1,1),請求台帳!$Q$5:$Q$504,"&lt;&gt;取消"))</f>
        <v/>
      </c>
      <c r="Z108" s="27" t="str">
        <f aca="false">IF($A108="","",SUMIFS(入金明細!$E$5:$E$1004,入金明細!$G$5:$G$1004,$A108,入金明細!$B$5:$B$1004,"&gt;="&amp;Y$3,入金明細!$B$5:$B$1004,"&lt;"&amp;DATE(YEAR(Y$3),MONTH(Y$3)+1,1)))</f>
        <v/>
      </c>
      <c r="AA108" s="37" t="n">
        <f aca="false">SUM(C108,E108,G108,I108,K108,M108,O108,Q108,S108,U108,W108,Y108)</f>
        <v>0</v>
      </c>
      <c r="AB108" s="37" t="n">
        <f aca="false">SUM(D108,F108,H108,J108,L108,N108,P108,R108,T108,V108,X108,Z108)</f>
        <v>0</v>
      </c>
    </row>
    <row r="109" customFormat="false" ht="15" hidden="false" customHeight="false" outlineLevel="0" collapsed="false">
      <c r="A109" s="31" t="str">
        <f aca="false">IF(取引先マスタ!A109="","",取引先マスタ!A109)</f>
        <v/>
      </c>
      <c r="B109" s="31" t="str">
        <f aca="false">IF(A109="","",取引先マスタ!B109)</f>
        <v/>
      </c>
      <c r="C109" s="27" t="str">
        <f aca="false">IF($A109="","",SUMIFS(請求台帳!$F$5:$F$504,請求台帳!$C$5:$C$504,$A109,請求台帳!$B$5:$B$504,"&gt;="&amp;C$3,請求台帳!$B$5:$B$504,"&lt;"&amp;DATE(YEAR(C$3),MONTH(C$3)+1,1),請求台帳!$Q$5:$Q$504,"&lt;&gt;取消"))</f>
        <v/>
      </c>
      <c r="D109" s="27" t="str">
        <f aca="false">IF($A109="","",SUMIFS(入金明細!$E$5:$E$1004,入金明細!$G$5:$G$1004,$A109,入金明細!$B$5:$B$1004,"&gt;="&amp;C$3,入金明細!$B$5:$B$1004,"&lt;"&amp;DATE(YEAR(C$3),MONTH(C$3)+1,1)))</f>
        <v/>
      </c>
      <c r="E109" s="27" t="str">
        <f aca="false">IF($A109="","",SUMIFS(請求台帳!$F$5:$F$504,請求台帳!$C$5:$C$504,$A109,請求台帳!$B$5:$B$504,"&gt;="&amp;E$3,請求台帳!$B$5:$B$504,"&lt;"&amp;DATE(YEAR(E$3),MONTH(E$3)+1,1),請求台帳!$Q$5:$Q$504,"&lt;&gt;取消"))</f>
        <v/>
      </c>
      <c r="F109" s="27" t="str">
        <f aca="false">IF($A109="","",SUMIFS(入金明細!$E$5:$E$1004,入金明細!$G$5:$G$1004,$A109,入金明細!$B$5:$B$1004,"&gt;="&amp;E$3,入金明細!$B$5:$B$1004,"&lt;"&amp;DATE(YEAR(E$3),MONTH(E$3)+1,1)))</f>
        <v/>
      </c>
      <c r="G109" s="27" t="str">
        <f aca="false">IF($A109="","",SUMIFS(請求台帳!$F$5:$F$504,請求台帳!$C$5:$C$504,$A109,請求台帳!$B$5:$B$504,"&gt;="&amp;G$3,請求台帳!$B$5:$B$504,"&lt;"&amp;DATE(YEAR(G$3),MONTH(G$3)+1,1),請求台帳!$Q$5:$Q$504,"&lt;&gt;取消"))</f>
        <v/>
      </c>
      <c r="H109" s="27" t="str">
        <f aca="false">IF($A109="","",SUMIFS(入金明細!$E$5:$E$1004,入金明細!$G$5:$G$1004,$A109,入金明細!$B$5:$B$1004,"&gt;="&amp;G$3,入金明細!$B$5:$B$1004,"&lt;"&amp;DATE(YEAR(G$3),MONTH(G$3)+1,1)))</f>
        <v/>
      </c>
      <c r="I109" s="27" t="str">
        <f aca="false">IF($A109="","",SUMIFS(請求台帳!$F$5:$F$504,請求台帳!$C$5:$C$504,$A109,請求台帳!$B$5:$B$504,"&gt;="&amp;I$3,請求台帳!$B$5:$B$504,"&lt;"&amp;DATE(YEAR(I$3),MONTH(I$3)+1,1),請求台帳!$Q$5:$Q$504,"&lt;&gt;取消"))</f>
        <v/>
      </c>
      <c r="J109" s="27" t="str">
        <f aca="false">IF($A109="","",SUMIFS(入金明細!$E$5:$E$1004,入金明細!$G$5:$G$1004,$A109,入金明細!$B$5:$B$1004,"&gt;="&amp;I$3,入金明細!$B$5:$B$1004,"&lt;"&amp;DATE(YEAR(I$3),MONTH(I$3)+1,1)))</f>
        <v/>
      </c>
      <c r="K109" s="27" t="str">
        <f aca="false">IF($A109="","",SUMIFS(請求台帳!$F$5:$F$504,請求台帳!$C$5:$C$504,$A109,請求台帳!$B$5:$B$504,"&gt;="&amp;K$3,請求台帳!$B$5:$B$504,"&lt;"&amp;DATE(YEAR(K$3),MONTH(K$3)+1,1),請求台帳!$Q$5:$Q$504,"&lt;&gt;取消"))</f>
        <v/>
      </c>
      <c r="L109" s="27" t="str">
        <f aca="false">IF($A109="","",SUMIFS(入金明細!$E$5:$E$1004,入金明細!$G$5:$G$1004,$A109,入金明細!$B$5:$B$1004,"&gt;="&amp;K$3,入金明細!$B$5:$B$1004,"&lt;"&amp;DATE(YEAR(K$3),MONTH(K$3)+1,1)))</f>
        <v/>
      </c>
      <c r="M109" s="27" t="str">
        <f aca="false">IF($A109="","",SUMIFS(請求台帳!$F$5:$F$504,請求台帳!$C$5:$C$504,$A109,請求台帳!$B$5:$B$504,"&gt;="&amp;M$3,請求台帳!$B$5:$B$504,"&lt;"&amp;DATE(YEAR(M$3),MONTH(M$3)+1,1),請求台帳!$Q$5:$Q$504,"&lt;&gt;取消"))</f>
        <v/>
      </c>
      <c r="N109" s="27" t="str">
        <f aca="false">IF($A109="","",SUMIFS(入金明細!$E$5:$E$1004,入金明細!$G$5:$G$1004,$A109,入金明細!$B$5:$B$1004,"&gt;="&amp;M$3,入金明細!$B$5:$B$1004,"&lt;"&amp;DATE(YEAR(M$3),MONTH(M$3)+1,1)))</f>
        <v/>
      </c>
      <c r="O109" s="27" t="str">
        <f aca="false">IF($A109="","",SUMIFS(請求台帳!$F$5:$F$504,請求台帳!$C$5:$C$504,$A109,請求台帳!$B$5:$B$504,"&gt;="&amp;O$3,請求台帳!$B$5:$B$504,"&lt;"&amp;DATE(YEAR(O$3),MONTH(O$3)+1,1),請求台帳!$Q$5:$Q$504,"&lt;&gt;取消"))</f>
        <v/>
      </c>
      <c r="P109" s="27" t="str">
        <f aca="false">IF($A109="","",SUMIFS(入金明細!$E$5:$E$1004,入金明細!$G$5:$G$1004,$A109,入金明細!$B$5:$B$1004,"&gt;="&amp;O$3,入金明細!$B$5:$B$1004,"&lt;"&amp;DATE(YEAR(O$3),MONTH(O$3)+1,1)))</f>
        <v/>
      </c>
      <c r="Q109" s="27" t="str">
        <f aca="false">IF($A109="","",SUMIFS(請求台帳!$F$5:$F$504,請求台帳!$C$5:$C$504,$A109,請求台帳!$B$5:$B$504,"&gt;="&amp;Q$3,請求台帳!$B$5:$B$504,"&lt;"&amp;DATE(YEAR(Q$3),MONTH(Q$3)+1,1),請求台帳!$Q$5:$Q$504,"&lt;&gt;取消"))</f>
        <v/>
      </c>
      <c r="R109" s="27" t="str">
        <f aca="false">IF($A109="","",SUMIFS(入金明細!$E$5:$E$1004,入金明細!$G$5:$G$1004,$A109,入金明細!$B$5:$B$1004,"&gt;="&amp;Q$3,入金明細!$B$5:$B$1004,"&lt;"&amp;DATE(YEAR(Q$3),MONTH(Q$3)+1,1)))</f>
        <v/>
      </c>
      <c r="S109" s="27" t="str">
        <f aca="false">IF($A109="","",SUMIFS(請求台帳!$F$5:$F$504,請求台帳!$C$5:$C$504,$A109,請求台帳!$B$5:$B$504,"&gt;="&amp;S$3,請求台帳!$B$5:$B$504,"&lt;"&amp;DATE(YEAR(S$3),MONTH(S$3)+1,1),請求台帳!$Q$5:$Q$504,"&lt;&gt;取消"))</f>
        <v/>
      </c>
      <c r="T109" s="27" t="str">
        <f aca="false">IF($A109="","",SUMIFS(入金明細!$E$5:$E$1004,入金明細!$G$5:$G$1004,$A109,入金明細!$B$5:$B$1004,"&gt;="&amp;S$3,入金明細!$B$5:$B$1004,"&lt;"&amp;DATE(YEAR(S$3),MONTH(S$3)+1,1)))</f>
        <v/>
      </c>
      <c r="U109" s="27" t="str">
        <f aca="false">IF($A109="","",SUMIFS(請求台帳!$F$5:$F$504,請求台帳!$C$5:$C$504,$A109,請求台帳!$B$5:$B$504,"&gt;="&amp;U$3,請求台帳!$B$5:$B$504,"&lt;"&amp;DATE(YEAR(U$3),MONTH(U$3)+1,1),請求台帳!$Q$5:$Q$504,"&lt;&gt;取消"))</f>
        <v/>
      </c>
      <c r="V109" s="27" t="str">
        <f aca="false">IF($A109="","",SUMIFS(入金明細!$E$5:$E$1004,入金明細!$G$5:$G$1004,$A109,入金明細!$B$5:$B$1004,"&gt;="&amp;U$3,入金明細!$B$5:$B$1004,"&lt;"&amp;DATE(YEAR(U$3),MONTH(U$3)+1,1)))</f>
        <v/>
      </c>
      <c r="W109" s="27" t="str">
        <f aca="false">IF($A109="","",SUMIFS(請求台帳!$F$5:$F$504,請求台帳!$C$5:$C$504,$A109,請求台帳!$B$5:$B$504,"&gt;="&amp;W$3,請求台帳!$B$5:$B$504,"&lt;"&amp;DATE(YEAR(W$3),MONTH(W$3)+1,1),請求台帳!$Q$5:$Q$504,"&lt;&gt;取消"))</f>
        <v/>
      </c>
      <c r="X109" s="27" t="str">
        <f aca="false">IF($A109="","",SUMIFS(入金明細!$E$5:$E$1004,入金明細!$G$5:$G$1004,$A109,入金明細!$B$5:$B$1004,"&gt;="&amp;W$3,入金明細!$B$5:$B$1004,"&lt;"&amp;DATE(YEAR(W$3),MONTH(W$3)+1,1)))</f>
        <v/>
      </c>
      <c r="Y109" s="27" t="str">
        <f aca="false">IF($A109="","",SUMIFS(請求台帳!$F$5:$F$504,請求台帳!$C$5:$C$504,$A109,請求台帳!$B$5:$B$504,"&gt;="&amp;Y$3,請求台帳!$B$5:$B$504,"&lt;"&amp;DATE(YEAR(Y$3),MONTH(Y$3)+1,1),請求台帳!$Q$5:$Q$504,"&lt;&gt;取消"))</f>
        <v/>
      </c>
      <c r="Z109" s="27" t="str">
        <f aca="false">IF($A109="","",SUMIFS(入金明細!$E$5:$E$1004,入金明細!$G$5:$G$1004,$A109,入金明細!$B$5:$B$1004,"&gt;="&amp;Y$3,入金明細!$B$5:$B$1004,"&lt;"&amp;DATE(YEAR(Y$3),MONTH(Y$3)+1,1)))</f>
        <v/>
      </c>
      <c r="AA109" s="37" t="n">
        <f aca="false">SUM(C109,E109,G109,I109,K109,M109,O109,Q109,S109,U109,W109,Y109)</f>
        <v>0</v>
      </c>
      <c r="AB109" s="37" t="n">
        <f aca="false">SUM(D109,F109,H109,J109,L109,N109,P109,R109,T109,V109,X109,Z109)</f>
        <v>0</v>
      </c>
    </row>
    <row r="110" customFormat="false" ht="15" hidden="false" customHeight="false" outlineLevel="0" collapsed="false">
      <c r="A110" s="31" t="str">
        <f aca="false">IF(取引先マスタ!A110="","",取引先マスタ!A110)</f>
        <v/>
      </c>
      <c r="B110" s="31" t="str">
        <f aca="false">IF(A110="","",取引先マスタ!B110)</f>
        <v/>
      </c>
      <c r="C110" s="27" t="str">
        <f aca="false">IF($A110="","",SUMIFS(請求台帳!$F$5:$F$504,請求台帳!$C$5:$C$504,$A110,請求台帳!$B$5:$B$504,"&gt;="&amp;C$3,請求台帳!$B$5:$B$504,"&lt;"&amp;DATE(YEAR(C$3),MONTH(C$3)+1,1),請求台帳!$Q$5:$Q$504,"&lt;&gt;取消"))</f>
        <v/>
      </c>
      <c r="D110" s="27" t="str">
        <f aca="false">IF($A110="","",SUMIFS(入金明細!$E$5:$E$1004,入金明細!$G$5:$G$1004,$A110,入金明細!$B$5:$B$1004,"&gt;="&amp;C$3,入金明細!$B$5:$B$1004,"&lt;"&amp;DATE(YEAR(C$3),MONTH(C$3)+1,1)))</f>
        <v/>
      </c>
      <c r="E110" s="27" t="str">
        <f aca="false">IF($A110="","",SUMIFS(請求台帳!$F$5:$F$504,請求台帳!$C$5:$C$504,$A110,請求台帳!$B$5:$B$504,"&gt;="&amp;E$3,請求台帳!$B$5:$B$504,"&lt;"&amp;DATE(YEAR(E$3),MONTH(E$3)+1,1),請求台帳!$Q$5:$Q$504,"&lt;&gt;取消"))</f>
        <v/>
      </c>
      <c r="F110" s="27" t="str">
        <f aca="false">IF($A110="","",SUMIFS(入金明細!$E$5:$E$1004,入金明細!$G$5:$G$1004,$A110,入金明細!$B$5:$B$1004,"&gt;="&amp;E$3,入金明細!$B$5:$B$1004,"&lt;"&amp;DATE(YEAR(E$3),MONTH(E$3)+1,1)))</f>
        <v/>
      </c>
      <c r="G110" s="27" t="str">
        <f aca="false">IF($A110="","",SUMIFS(請求台帳!$F$5:$F$504,請求台帳!$C$5:$C$504,$A110,請求台帳!$B$5:$B$504,"&gt;="&amp;G$3,請求台帳!$B$5:$B$504,"&lt;"&amp;DATE(YEAR(G$3),MONTH(G$3)+1,1),請求台帳!$Q$5:$Q$504,"&lt;&gt;取消"))</f>
        <v/>
      </c>
      <c r="H110" s="27" t="str">
        <f aca="false">IF($A110="","",SUMIFS(入金明細!$E$5:$E$1004,入金明細!$G$5:$G$1004,$A110,入金明細!$B$5:$B$1004,"&gt;="&amp;G$3,入金明細!$B$5:$B$1004,"&lt;"&amp;DATE(YEAR(G$3),MONTH(G$3)+1,1)))</f>
        <v/>
      </c>
      <c r="I110" s="27" t="str">
        <f aca="false">IF($A110="","",SUMIFS(請求台帳!$F$5:$F$504,請求台帳!$C$5:$C$504,$A110,請求台帳!$B$5:$B$504,"&gt;="&amp;I$3,請求台帳!$B$5:$B$504,"&lt;"&amp;DATE(YEAR(I$3),MONTH(I$3)+1,1),請求台帳!$Q$5:$Q$504,"&lt;&gt;取消"))</f>
        <v/>
      </c>
      <c r="J110" s="27" t="str">
        <f aca="false">IF($A110="","",SUMIFS(入金明細!$E$5:$E$1004,入金明細!$G$5:$G$1004,$A110,入金明細!$B$5:$B$1004,"&gt;="&amp;I$3,入金明細!$B$5:$B$1004,"&lt;"&amp;DATE(YEAR(I$3),MONTH(I$3)+1,1)))</f>
        <v/>
      </c>
      <c r="K110" s="27" t="str">
        <f aca="false">IF($A110="","",SUMIFS(請求台帳!$F$5:$F$504,請求台帳!$C$5:$C$504,$A110,請求台帳!$B$5:$B$504,"&gt;="&amp;K$3,請求台帳!$B$5:$B$504,"&lt;"&amp;DATE(YEAR(K$3),MONTH(K$3)+1,1),請求台帳!$Q$5:$Q$504,"&lt;&gt;取消"))</f>
        <v/>
      </c>
      <c r="L110" s="27" t="str">
        <f aca="false">IF($A110="","",SUMIFS(入金明細!$E$5:$E$1004,入金明細!$G$5:$G$1004,$A110,入金明細!$B$5:$B$1004,"&gt;="&amp;K$3,入金明細!$B$5:$B$1004,"&lt;"&amp;DATE(YEAR(K$3),MONTH(K$3)+1,1)))</f>
        <v/>
      </c>
      <c r="M110" s="27" t="str">
        <f aca="false">IF($A110="","",SUMIFS(請求台帳!$F$5:$F$504,請求台帳!$C$5:$C$504,$A110,請求台帳!$B$5:$B$504,"&gt;="&amp;M$3,請求台帳!$B$5:$B$504,"&lt;"&amp;DATE(YEAR(M$3),MONTH(M$3)+1,1),請求台帳!$Q$5:$Q$504,"&lt;&gt;取消"))</f>
        <v/>
      </c>
      <c r="N110" s="27" t="str">
        <f aca="false">IF($A110="","",SUMIFS(入金明細!$E$5:$E$1004,入金明細!$G$5:$G$1004,$A110,入金明細!$B$5:$B$1004,"&gt;="&amp;M$3,入金明細!$B$5:$B$1004,"&lt;"&amp;DATE(YEAR(M$3),MONTH(M$3)+1,1)))</f>
        <v/>
      </c>
      <c r="O110" s="27" t="str">
        <f aca="false">IF($A110="","",SUMIFS(請求台帳!$F$5:$F$504,請求台帳!$C$5:$C$504,$A110,請求台帳!$B$5:$B$504,"&gt;="&amp;O$3,請求台帳!$B$5:$B$504,"&lt;"&amp;DATE(YEAR(O$3),MONTH(O$3)+1,1),請求台帳!$Q$5:$Q$504,"&lt;&gt;取消"))</f>
        <v/>
      </c>
      <c r="P110" s="27" t="str">
        <f aca="false">IF($A110="","",SUMIFS(入金明細!$E$5:$E$1004,入金明細!$G$5:$G$1004,$A110,入金明細!$B$5:$B$1004,"&gt;="&amp;O$3,入金明細!$B$5:$B$1004,"&lt;"&amp;DATE(YEAR(O$3),MONTH(O$3)+1,1)))</f>
        <v/>
      </c>
      <c r="Q110" s="27" t="str">
        <f aca="false">IF($A110="","",SUMIFS(請求台帳!$F$5:$F$504,請求台帳!$C$5:$C$504,$A110,請求台帳!$B$5:$B$504,"&gt;="&amp;Q$3,請求台帳!$B$5:$B$504,"&lt;"&amp;DATE(YEAR(Q$3),MONTH(Q$3)+1,1),請求台帳!$Q$5:$Q$504,"&lt;&gt;取消"))</f>
        <v/>
      </c>
      <c r="R110" s="27" t="str">
        <f aca="false">IF($A110="","",SUMIFS(入金明細!$E$5:$E$1004,入金明細!$G$5:$G$1004,$A110,入金明細!$B$5:$B$1004,"&gt;="&amp;Q$3,入金明細!$B$5:$B$1004,"&lt;"&amp;DATE(YEAR(Q$3),MONTH(Q$3)+1,1)))</f>
        <v/>
      </c>
      <c r="S110" s="27" t="str">
        <f aca="false">IF($A110="","",SUMIFS(請求台帳!$F$5:$F$504,請求台帳!$C$5:$C$504,$A110,請求台帳!$B$5:$B$504,"&gt;="&amp;S$3,請求台帳!$B$5:$B$504,"&lt;"&amp;DATE(YEAR(S$3),MONTH(S$3)+1,1),請求台帳!$Q$5:$Q$504,"&lt;&gt;取消"))</f>
        <v/>
      </c>
      <c r="T110" s="27" t="str">
        <f aca="false">IF($A110="","",SUMIFS(入金明細!$E$5:$E$1004,入金明細!$G$5:$G$1004,$A110,入金明細!$B$5:$B$1004,"&gt;="&amp;S$3,入金明細!$B$5:$B$1004,"&lt;"&amp;DATE(YEAR(S$3),MONTH(S$3)+1,1)))</f>
        <v/>
      </c>
      <c r="U110" s="27" t="str">
        <f aca="false">IF($A110="","",SUMIFS(請求台帳!$F$5:$F$504,請求台帳!$C$5:$C$504,$A110,請求台帳!$B$5:$B$504,"&gt;="&amp;U$3,請求台帳!$B$5:$B$504,"&lt;"&amp;DATE(YEAR(U$3),MONTH(U$3)+1,1),請求台帳!$Q$5:$Q$504,"&lt;&gt;取消"))</f>
        <v/>
      </c>
      <c r="V110" s="27" t="str">
        <f aca="false">IF($A110="","",SUMIFS(入金明細!$E$5:$E$1004,入金明細!$G$5:$G$1004,$A110,入金明細!$B$5:$B$1004,"&gt;="&amp;U$3,入金明細!$B$5:$B$1004,"&lt;"&amp;DATE(YEAR(U$3),MONTH(U$3)+1,1)))</f>
        <v/>
      </c>
      <c r="W110" s="27" t="str">
        <f aca="false">IF($A110="","",SUMIFS(請求台帳!$F$5:$F$504,請求台帳!$C$5:$C$504,$A110,請求台帳!$B$5:$B$504,"&gt;="&amp;W$3,請求台帳!$B$5:$B$504,"&lt;"&amp;DATE(YEAR(W$3),MONTH(W$3)+1,1),請求台帳!$Q$5:$Q$504,"&lt;&gt;取消"))</f>
        <v/>
      </c>
      <c r="X110" s="27" t="str">
        <f aca="false">IF($A110="","",SUMIFS(入金明細!$E$5:$E$1004,入金明細!$G$5:$G$1004,$A110,入金明細!$B$5:$B$1004,"&gt;="&amp;W$3,入金明細!$B$5:$B$1004,"&lt;"&amp;DATE(YEAR(W$3),MONTH(W$3)+1,1)))</f>
        <v/>
      </c>
      <c r="Y110" s="27" t="str">
        <f aca="false">IF($A110="","",SUMIFS(請求台帳!$F$5:$F$504,請求台帳!$C$5:$C$504,$A110,請求台帳!$B$5:$B$504,"&gt;="&amp;Y$3,請求台帳!$B$5:$B$504,"&lt;"&amp;DATE(YEAR(Y$3),MONTH(Y$3)+1,1),請求台帳!$Q$5:$Q$504,"&lt;&gt;取消"))</f>
        <v/>
      </c>
      <c r="Z110" s="27" t="str">
        <f aca="false">IF($A110="","",SUMIFS(入金明細!$E$5:$E$1004,入金明細!$G$5:$G$1004,$A110,入金明細!$B$5:$B$1004,"&gt;="&amp;Y$3,入金明細!$B$5:$B$1004,"&lt;"&amp;DATE(YEAR(Y$3),MONTH(Y$3)+1,1)))</f>
        <v/>
      </c>
      <c r="AA110" s="37" t="n">
        <f aca="false">SUM(C110,E110,G110,I110,K110,M110,O110,Q110,S110,U110,W110,Y110)</f>
        <v>0</v>
      </c>
      <c r="AB110" s="37" t="n">
        <f aca="false">SUM(D110,F110,H110,J110,L110,N110,P110,R110,T110,V110,X110,Z110)</f>
        <v>0</v>
      </c>
    </row>
    <row r="111" customFormat="false" ht="15" hidden="false" customHeight="false" outlineLevel="0" collapsed="false">
      <c r="A111" s="31" t="str">
        <f aca="false">IF(取引先マスタ!A111="","",取引先マスタ!A111)</f>
        <v/>
      </c>
      <c r="B111" s="31" t="str">
        <f aca="false">IF(A111="","",取引先マスタ!B111)</f>
        <v/>
      </c>
      <c r="C111" s="27" t="str">
        <f aca="false">IF($A111="","",SUMIFS(請求台帳!$F$5:$F$504,請求台帳!$C$5:$C$504,$A111,請求台帳!$B$5:$B$504,"&gt;="&amp;C$3,請求台帳!$B$5:$B$504,"&lt;"&amp;DATE(YEAR(C$3),MONTH(C$3)+1,1),請求台帳!$Q$5:$Q$504,"&lt;&gt;取消"))</f>
        <v/>
      </c>
      <c r="D111" s="27" t="str">
        <f aca="false">IF($A111="","",SUMIFS(入金明細!$E$5:$E$1004,入金明細!$G$5:$G$1004,$A111,入金明細!$B$5:$B$1004,"&gt;="&amp;C$3,入金明細!$B$5:$B$1004,"&lt;"&amp;DATE(YEAR(C$3),MONTH(C$3)+1,1)))</f>
        <v/>
      </c>
      <c r="E111" s="27" t="str">
        <f aca="false">IF($A111="","",SUMIFS(請求台帳!$F$5:$F$504,請求台帳!$C$5:$C$504,$A111,請求台帳!$B$5:$B$504,"&gt;="&amp;E$3,請求台帳!$B$5:$B$504,"&lt;"&amp;DATE(YEAR(E$3),MONTH(E$3)+1,1),請求台帳!$Q$5:$Q$504,"&lt;&gt;取消"))</f>
        <v/>
      </c>
      <c r="F111" s="27" t="str">
        <f aca="false">IF($A111="","",SUMIFS(入金明細!$E$5:$E$1004,入金明細!$G$5:$G$1004,$A111,入金明細!$B$5:$B$1004,"&gt;="&amp;E$3,入金明細!$B$5:$B$1004,"&lt;"&amp;DATE(YEAR(E$3),MONTH(E$3)+1,1)))</f>
        <v/>
      </c>
      <c r="G111" s="27" t="str">
        <f aca="false">IF($A111="","",SUMIFS(請求台帳!$F$5:$F$504,請求台帳!$C$5:$C$504,$A111,請求台帳!$B$5:$B$504,"&gt;="&amp;G$3,請求台帳!$B$5:$B$504,"&lt;"&amp;DATE(YEAR(G$3),MONTH(G$3)+1,1),請求台帳!$Q$5:$Q$504,"&lt;&gt;取消"))</f>
        <v/>
      </c>
      <c r="H111" s="27" t="str">
        <f aca="false">IF($A111="","",SUMIFS(入金明細!$E$5:$E$1004,入金明細!$G$5:$G$1004,$A111,入金明細!$B$5:$B$1004,"&gt;="&amp;G$3,入金明細!$B$5:$B$1004,"&lt;"&amp;DATE(YEAR(G$3),MONTH(G$3)+1,1)))</f>
        <v/>
      </c>
      <c r="I111" s="27" t="str">
        <f aca="false">IF($A111="","",SUMIFS(請求台帳!$F$5:$F$504,請求台帳!$C$5:$C$504,$A111,請求台帳!$B$5:$B$504,"&gt;="&amp;I$3,請求台帳!$B$5:$B$504,"&lt;"&amp;DATE(YEAR(I$3),MONTH(I$3)+1,1),請求台帳!$Q$5:$Q$504,"&lt;&gt;取消"))</f>
        <v/>
      </c>
      <c r="J111" s="27" t="str">
        <f aca="false">IF($A111="","",SUMIFS(入金明細!$E$5:$E$1004,入金明細!$G$5:$G$1004,$A111,入金明細!$B$5:$B$1004,"&gt;="&amp;I$3,入金明細!$B$5:$B$1004,"&lt;"&amp;DATE(YEAR(I$3),MONTH(I$3)+1,1)))</f>
        <v/>
      </c>
      <c r="K111" s="27" t="str">
        <f aca="false">IF($A111="","",SUMIFS(請求台帳!$F$5:$F$504,請求台帳!$C$5:$C$504,$A111,請求台帳!$B$5:$B$504,"&gt;="&amp;K$3,請求台帳!$B$5:$B$504,"&lt;"&amp;DATE(YEAR(K$3),MONTH(K$3)+1,1),請求台帳!$Q$5:$Q$504,"&lt;&gt;取消"))</f>
        <v/>
      </c>
      <c r="L111" s="27" t="str">
        <f aca="false">IF($A111="","",SUMIFS(入金明細!$E$5:$E$1004,入金明細!$G$5:$G$1004,$A111,入金明細!$B$5:$B$1004,"&gt;="&amp;K$3,入金明細!$B$5:$B$1004,"&lt;"&amp;DATE(YEAR(K$3),MONTH(K$3)+1,1)))</f>
        <v/>
      </c>
      <c r="M111" s="27" t="str">
        <f aca="false">IF($A111="","",SUMIFS(請求台帳!$F$5:$F$504,請求台帳!$C$5:$C$504,$A111,請求台帳!$B$5:$B$504,"&gt;="&amp;M$3,請求台帳!$B$5:$B$504,"&lt;"&amp;DATE(YEAR(M$3),MONTH(M$3)+1,1),請求台帳!$Q$5:$Q$504,"&lt;&gt;取消"))</f>
        <v/>
      </c>
      <c r="N111" s="27" t="str">
        <f aca="false">IF($A111="","",SUMIFS(入金明細!$E$5:$E$1004,入金明細!$G$5:$G$1004,$A111,入金明細!$B$5:$B$1004,"&gt;="&amp;M$3,入金明細!$B$5:$B$1004,"&lt;"&amp;DATE(YEAR(M$3),MONTH(M$3)+1,1)))</f>
        <v/>
      </c>
      <c r="O111" s="27" t="str">
        <f aca="false">IF($A111="","",SUMIFS(請求台帳!$F$5:$F$504,請求台帳!$C$5:$C$504,$A111,請求台帳!$B$5:$B$504,"&gt;="&amp;O$3,請求台帳!$B$5:$B$504,"&lt;"&amp;DATE(YEAR(O$3),MONTH(O$3)+1,1),請求台帳!$Q$5:$Q$504,"&lt;&gt;取消"))</f>
        <v/>
      </c>
      <c r="P111" s="27" t="str">
        <f aca="false">IF($A111="","",SUMIFS(入金明細!$E$5:$E$1004,入金明細!$G$5:$G$1004,$A111,入金明細!$B$5:$B$1004,"&gt;="&amp;O$3,入金明細!$B$5:$B$1004,"&lt;"&amp;DATE(YEAR(O$3),MONTH(O$3)+1,1)))</f>
        <v/>
      </c>
      <c r="Q111" s="27" t="str">
        <f aca="false">IF($A111="","",SUMIFS(請求台帳!$F$5:$F$504,請求台帳!$C$5:$C$504,$A111,請求台帳!$B$5:$B$504,"&gt;="&amp;Q$3,請求台帳!$B$5:$B$504,"&lt;"&amp;DATE(YEAR(Q$3),MONTH(Q$3)+1,1),請求台帳!$Q$5:$Q$504,"&lt;&gt;取消"))</f>
        <v/>
      </c>
      <c r="R111" s="27" t="str">
        <f aca="false">IF($A111="","",SUMIFS(入金明細!$E$5:$E$1004,入金明細!$G$5:$G$1004,$A111,入金明細!$B$5:$B$1004,"&gt;="&amp;Q$3,入金明細!$B$5:$B$1004,"&lt;"&amp;DATE(YEAR(Q$3),MONTH(Q$3)+1,1)))</f>
        <v/>
      </c>
      <c r="S111" s="27" t="str">
        <f aca="false">IF($A111="","",SUMIFS(請求台帳!$F$5:$F$504,請求台帳!$C$5:$C$504,$A111,請求台帳!$B$5:$B$504,"&gt;="&amp;S$3,請求台帳!$B$5:$B$504,"&lt;"&amp;DATE(YEAR(S$3),MONTH(S$3)+1,1),請求台帳!$Q$5:$Q$504,"&lt;&gt;取消"))</f>
        <v/>
      </c>
      <c r="T111" s="27" t="str">
        <f aca="false">IF($A111="","",SUMIFS(入金明細!$E$5:$E$1004,入金明細!$G$5:$G$1004,$A111,入金明細!$B$5:$B$1004,"&gt;="&amp;S$3,入金明細!$B$5:$B$1004,"&lt;"&amp;DATE(YEAR(S$3),MONTH(S$3)+1,1)))</f>
        <v/>
      </c>
      <c r="U111" s="27" t="str">
        <f aca="false">IF($A111="","",SUMIFS(請求台帳!$F$5:$F$504,請求台帳!$C$5:$C$504,$A111,請求台帳!$B$5:$B$504,"&gt;="&amp;U$3,請求台帳!$B$5:$B$504,"&lt;"&amp;DATE(YEAR(U$3),MONTH(U$3)+1,1),請求台帳!$Q$5:$Q$504,"&lt;&gt;取消"))</f>
        <v/>
      </c>
      <c r="V111" s="27" t="str">
        <f aca="false">IF($A111="","",SUMIFS(入金明細!$E$5:$E$1004,入金明細!$G$5:$G$1004,$A111,入金明細!$B$5:$B$1004,"&gt;="&amp;U$3,入金明細!$B$5:$B$1004,"&lt;"&amp;DATE(YEAR(U$3),MONTH(U$3)+1,1)))</f>
        <v/>
      </c>
      <c r="W111" s="27" t="str">
        <f aca="false">IF($A111="","",SUMIFS(請求台帳!$F$5:$F$504,請求台帳!$C$5:$C$504,$A111,請求台帳!$B$5:$B$504,"&gt;="&amp;W$3,請求台帳!$B$5:$B$504,"&lt;"&amp;DATE(YEAR(W$3),MONTH(W$3)+1,1),請求台帳!$Q$5:$Q$504,"&lt;&gt;取消"))</f>
        <v/>
      </c>
      <c r="X111" s="27" t="str">
        <f aca="false">IF($A111="","",SUMIFS(入金明細!$E$5:$E$1004,入金明細!$G$5:$G$1004,$A111,入金明細!$B$5:$B$1004,"&gt;="&amp;W$3,入金明細!$B$5:$B$1004,"&lt;"&amp;DATE(YEAR(W$3),MONTH(W$3)+1,1)))</f>
        <v/>
      </c>
      <c r="Y111" s="27" t="str">
        <f aca="false">IF($A111="","",SUMIFS(請求台帳!$F$5:$F$504,請求台帳!$C$5:$C$504,$A111,請求台帳!$B$5:$B$504,"&gt;="&amp;Y$3,請求台帳!$B$5:$B$504,"&lt;"&amp;DATE(YEAR(Y$3),MONTH(Y$3)+1,1),請求台帳!$Q$5:$Q$504,"&lt;&gt;取消"))</f>
        <v/>
      </c>
      <c r="Z111" s="27" t="str">
        <f aca="false">IF($A111="","",SUMIFS(入金明細!$E$5:$E$1004,入金明細!$G$5:$G$1004,$A111,入金明細!$B$5:$B$1004,"&gt;="&amp;Y$3,入金明細!$B$5:$B$1004,"&lt;"&amp;DATE(YEAR(Y$3),MONTH(Y$3)+1,1)))</f>
        <v/>
      </c>
      <c r="AA111" s="37" t="n">
        <f aca="false">SUM(C111,E111,G111,I111,K111,M111,O111,Q111,S111,U111,W111,Y111)</f>
        <v>0</v>
      </c>
      <c r="AB111" s="37" t="n">
        <f aca="false">SUM(D111,F111,H111,J111,L111,N111,P111,R111,T111,V111,X111,Z111)</f>
        <v>0</v>
      </c>
    </row>
    <row r="112" customFormat="false" ht="15" hidden="false" customHeight="false" outlineLevel="0" collapsed="false">
      <c r="A112" s="31" t="str">
        <f aca="false">IF(取引先マスタ!A112="","",取引先マスタ!A112)</f>
        <v/>
      </c>
      <c r="B112" s="31" t="str">
        <f aca="false">IF(A112="","",取引先マスタ!B112)</f>
        <v/>
      </c>
      <c r="C112" s="27" t="str">
        <f aca="false">IF($A112="","",SUMIFS(請求台帳!$F$5:$F$504,請求台帳!$C$5:$C$504,$A112,請求台帳!$B$5:$B$504,"&gt;="&amp;C$3,請求台帳!$B$5:$B$504,"&lt;"&amp;DATE(YEAR(C$3),MONTH(C$3)+1,1),請求台帳!$Q$5:$Q$504,"&lt;&gt;取消"))</f>
        <v/>
      </c>
      <c r="D112" s="27" t="str">
        <f aca="false">IF($A112="","",SUMIFS(入金明細!$E$5:$E$1004,入金明細!$G$5:$G$1004,$A112,入金明細!$B$5:$B$1004,"&gt;="&amp;C$3,入金明細!$B$5:$B$1004,"&lt;"&amp;DATE(YEAR(C$3),MONTH(C$3)+1,1)))</f>
        <v/>
      </c>
      <c r="E112" s="27" t="str">
        <f aca="false">IF($A112="","",SUMIFS(請求台帳!$F$5:$F$504,請求台帳!$C$5:$C$504,$A112,請求台帳!$B$5:$B$504,"&gt;="&amp;E$3,請求台帳!$B$5:$B$504,"&lt;"&amp;DATE(YEAR(E$3),MONTH(E$3)+1,1),請求台帳!$Q$5:$Q$504,"&lt;&gt;取消"))</f>
        <v/>
      </c>
      <c r="F112" s="27" t="str">
        <f aca="false">IF($A112="","",SUMIFS(入金明細!$E$5:$E$1004,入金明細!$G$5:$G$1004,$A112,入金明細!$B$5:$B$1004,"&gt;="&amp;E$3,入金明細!$B$5:$B$1004,"&lt;"&amp;DATE(YEAR(E$3),MONTH(E$3)+1,1)))</f>
        <v/>
      </c>
      <c r="G112" s="27" t="str">
        <f aca="false">IF($A112="","",SUMIFS(請求台帳!$F$5:$F$504,請求台帳!$C$5:$C$504,$A112,請求台帳!$B$5:$B$504,"&gt;="&amp;G$3,請求台帳!$B$5:$B$504,"&lt;"&amp;DATE(YEAR(G$3),MONTH(G$3)+1,1),請求台帳!$Q$5:$Q$504,"&lt;&gt;取消"))</f>
        <v/>
      </c>
      <c r="H112" s="27" t="str">
        <f aca="false">IF($A112="","",SUMIFS(入金明細!$E$5:$E$1004,入金明細!$G$5:$G$1004,$A112,入金明細!$B$5:$B$1004,"&gt;="&amp;G$3,入金明細!$B$5:$B$1004,"&lt;"&amp;DATE(YEAR(G$3),MONTH(G$3)+1,1)))</f>
        <v/>
      </c>
      <c r="I112" s="27" t="str">
        <f aca="false">IF($A112="","",SUMIFS(請求台帳!$F$5:$F$504,請求台帳!$C$5:$C$504,$A112,請求台帳!$B$5:$B$504,"&gt;="&amp;I$3,請求台帳!$B$5:$B$504,"&lt;"&amp;DATE(YEAR(I$3),MONTH(I$3)+1,1),請求台帳!$Q$5:$Q$504,"&lt;&gt;取消"))</f>
        <v/>
      </c>
      <c r="J112" s="27" t="str">
        <f aca="false">IF($A112="","",SUMIFS(入金明細!$E$5:$E$1004,入金明細!$G$5:$G$1004,$A112,入金明細!$B$5:$B$1004,"&gt;="&amp;I$3,入金明細!$B$5:$B$1004,"&lt;"&amp;DATE(YEAR(I$3),MONTH(I$3)+1,1)))</f>
        <v/>
      </c>
      <c r="K112" s="27" t="str">
        <f aca="false">IF($A112="","",SUMIFS(請求台帳!$F$5:$F$504,請求台帳!$C$5:$C$504,$A112,請求台帳!$B$5:$B$504,"&gt;="&amp;K$3,請求台帳!$B$5:$B$504,"&lt;"&amp;DATE(YEAR(K$3),MONTH(K$3)+1,1),請求台帳!$Q$5:$Q$504,"&lt;&gt;取消"))</f>
        <v/>
      </c>
      <c r="L112" s="27" t="str">
        <f aca="false">IF($A112="","",SUMIFS(入金明細!$E$5:$E$1004,入金明細!$G$5:$G$1004,$A112,入金明細!$B$5:$B$1004,"&gt;="&amp;K$3,入金明細!$B$5:$B$1004,"&lt;"&amp;DATE(YEAR(K$3),MONTH(K$3)+1,1)))</f>
        <v/>
      </c>
      <c r="M112" s="27" t="str">
        <f aca="false">IF($A112="","",SUMIFS(請求台帳!$F$5:$F$504,請求台帳!$C$5:$C$504,$A112,請求台帳!$B$5:$B$504,"&gt;="&amp;M$3,請求台帳!$B$5:$B$504,"&lt;"&amp;DATE(YEAR(M$3),MONTH(M$3)+1,1),請求台帳!$Q$5:$Q$504,"&lt;&gt;取消"))</f>
        <v/>
      </c>
      <c r="N112" s="27" t="str">
        <f aca="false">IF($A112="","",SUMIFS(入金明細!$E$5:$E$1004,入金明細!$G$5:$G$1004,$A112,入金明細!$B$5:$B$1004,"&gt;="&amp;M$3,入金明細!$B$5:$B$1004,"&lt;"&amp;DATE(YEAR(M$3),MONTH(M$3)+1,1)))</f>
        <v/>
      </c>
      <c r="O112" s="27" t="str">
        <f aca="false">IF($A112="","",SUMIFS(請求台帳!$F$5:$F$504,請求台帳!$C$5:$C$504,$A112,請求台帳!$B$5:$B$504,"&gt;="&amp;O$3,請求台帳!$B$5:$B$504,"&lt;"&amp;DATE(YEAR(O$3),MONTH(O$3)+1,1),請求台帳!$Q$5:$Q$504,"&lt;&gt;取消"))</f>
        <v/>
      </c>
      <c r="P112" s="27" t="str">
        <f aca="false">IF($A112="","",SUMIFS(入金明細!$E$5:$E$1004,入金明細!$G$5:$G$1004,$A112,入金明細!$B$5:$B$1004,"&gt;="&amp;O$3,入金明細!$B$5:$B$1004,"&lt;"&amp;DATE(YEAR(O$3),MONTH(O$3)+1,1)))</f>
        <v/>
      </c>
      <c r="Q112" s="27" t="str">
        <f aca="false">IF($A112="","",SUMIFS(請求台帳!$F$5:$F$504,請求台帳!$C$5:$C$504,$A112,請求台帳!$B$5:$B$504,"&gt;="&amp;Q$3,請求台帳!$B$5:$B$504,"&lt;"&amp;DATE(YEAR(Q$3),MONTH(Q$3)+1,1),請求台帳!$Q$5:$Q$504,"&lt;&gt;取消"))</f>
        <v/>
      </c>
      <c r="R112" s="27" t="str">
        <f aca="false">IF($A112="","",SUMIFS(入金明細!$E$5:$E$1004,入金明細!$G$5:$G$1004,$A112,入金明細!$B$5:$B$1004,"&gt;="&amp;Q$3,入金明細!$B$5:$B$1004,"&lt;"&amp;DATE(YEAR(Q$3),MONTH(Q$3)+1,1)))</f>
        <v/>
      </c>
      <c r="S112" s="27" t="str">
        <f aca="false">IF($A112="","",SUMIFS(請求台帳!$F$5:$F$504,請求台帳!$C$5:$C$504,$A112,請求台帳!$B$5:$B$504,"&gt;="&amp;S$3,請求台帳!$B$5:$B$504,"&lt;"&amp;DATE(YEAR(S$3),MONTH(S$3)+1,1),請求台帳!$Q$5:$Q$504,"&lt;&gt;取消"))</f>
        <v/>
      </c>
      <c r="T112" s="27" t="str">
        <f aca="false">IF($A112="","",SUMIFS(入金明細!$E$5:$E$1004,入金明細!$G$5:$G$1004,$A112,入金明細!$B$5:$B$1004,"&gt;="&amp;S$3,入金明細!$B$5:$B$1004,"&lt;"&amp;DATE(YEAR(S$3),MONTH(S$3)+1,1)))</f>
        <v/>
      </c>
      <c r="U112" s="27" t="str">
        <f aca="false">IF($A112="","",SUMIFS(請求台帳!$F$5:$F$504,請求台帳!$C$5:$C$504,$A112,請求台帳!$B$5:$B$504,"&gt;="&amp;U$3,請求台帳!$B$5:$B$504,"&lt;"&amp;DATE(YEAR(U$3),MONTH(U$3)+1,1),請求台帳!$Q$5:$Q$504,"&lt;&gt;取消"))</f>
        <v/>
      </c>
      <c r="V112" s="27" t="str">
        <f aca="false">IF($A112="","",SUMIFS(入金明細!$E$5:$E$1004,入金明細!$G$5:$G$1004,$A112,入金明細!$B$5:$B$1004,"&gt;="&amp;U$3,入金明細!$B$5:$B$1004,"&lt;"&amp;DATE(YEAR(U$3),MONTH(U$3)+1,1)))</f>
        <v/>
      </c>
      <c r="W112" s="27" t="str">
        <f aca="false">IF($A112="","",SUMIFS(請求台帳!$F$5:$F$504,請求台帳!$C$5:$C$504,$A112,請求台帳!$B$5:$B$504,"&gt;="&amp;W$3,請求台帳!$B$5:$B$504,"&lt;"&amp;DATE(YEAR(W$3),MONTH(W$3)+1,1),請求台帳!$Q$5:$Q$504,"&lt;&gt;取消"))</f>
        <v/>
      </c>
      <c r="X112" s="27" t="str">
        <f aca="false">IF($A112="","",SUMIFS(入金明細!$E$5:$E$1004,入金明細!$G$5:$G$1004,$A112,入金明細!$B$5:$B$1004,"&gt;="&amp;W$3,入金明細!$B$5:$B$1004,"&lt;"&amp;DATE(YEAR(W$3),MONTH(W$3)+1,1)))</f>
        <v/>
      </c>
      <c r="Y112" s="27" t="str">
        <f aca="false">IF($A112="","",SUMIFS(請求台帳!$F$5:$F$504,請求台帳!$C$5:$C$504,$A112,請求台帳!$B$5:$B$504,"&gt;="&amp;Y$3,請求台帳!$B$5:$B$504,"&lt;"&amp;DATE(YEAR(Y$3),MONTH(Y$3)+1,1),請求台帳!$Q$5:$Q$504,"&lt;&gt;取消"))</f>
        <v/>
      </c>
      <c r="Z112" s="27" t="str">
        <f aca="false">IF($A112="","",SUMIFS(入金明細!$E$5:$E$1004,入金明細!$G$5:$G$1004,$A112,入金明細!$B$5:$B$1004,"&gt;="&amp;Y$3,入金明細!$B$5:$B$1004,"&lt;"&amp;DATE(YEAR(Y$3),MONTH(Y$3)+1,1)))</f>
        <v/>
      </c>
      <c r="AA112" s="37" t="n">
        <f aca="false">SUM(C112,E112,G112,I112,K112,M112,O112,Q112,S112,U112,W112,Y112)</f>
        <v>0</v>
      </c>
      <c r="AB112" s="37" t="n">
        <f aca="false">SUM(D112,F112,H112,J112,L112,N112,P112,R112,T112,V112,X112,Z112)</f>
        <v>0</v>
      </c>
    </row>
    <row r="113" customFormat="false" ht="15" hidden="false" customHeight="false" outlineLevel="0" collapsed="false">
      <c r="A113" s="31" t="str">
        <f aca="false">IF(取引先マスタ!A113="","",取引先マスタ!A113)</f>
        <v/>
      </c>
      <c r="B113" s="31" t="str">
        <f aca="false">IF(A113="","",取引先マスタ!B113)</f>
        <v/>
      </c>
      <c r="C113" s="27" t="str">
        <f aca="false">IF($A113="","",SUMIFS(請求台帳!$F$5:$F$504,請求台帳!$C$5:$C$504,$A113,請求台帳!$B$5:$B$504,"&gt;="&amp;C$3,請求台帳!$B$5:$B$504,"&lt;"&amp;DATE(YEAR(C$3),MONTH(C$3)+1,1),請求台帳!$Q$5:$Q$504,"&lt;&gt;取消"))</f>
        <v/>
      </c>
      <c r="D113" s="27" t="str">
        <f aca="false">IF($A113="","",SUMIFS(入金明細!$E$5:$E$1004,入金明細!$G$5:$G$1004,$A113,入金明細!$B$5:$B$1004,"&gt;="&amp;C$3,入金明細!$B$5:$B$1004,"&lt;"&amp;DATE(YEAR(C$3),MONTH(C$3)+1,1)))</f>
        <v/>
      </c>
      <c r="E113" s="27" t="str">
        <f aca="false">IF($A113="","",SUMIFS(請求台帳!$F$5:$F$504,請求台帳!$C$5:$C$504,$A113,請求台帳!$B$5:$B$504,"&gt;="&amp;E$3,請求台帳!$B$5:$B$504,"&lt;"&amp;DATE(YEAR(E$3),MONTH(E$3)+1,1),請求台帳!$Q$5:$Q$504,"&lt;&gt;取消"))</f>
        <v/>
      </c>
      <c r="F113" s="27" t="str">
        <f aca="false">IF($A113="","",SUMIFS(入金明細!$E$5:$E$1004,入金明細!$G$5:$G$1004,$A113,入金明細!$B$5:$B$1004,"&gt;="&amp;E$3,入金明細!$B$5:$B$1004,"&lt;"&amp;DATE(YEAR(E$3),MONTH(E$3)+1,1)))</f>
        <v/>
      </c>
      <c r="G113" s="27" t="str">
        <f aca="false">IF($A113="","",SUMIFS(請求台帳!$F$5:$F$504,請求台帳!$C$5:$C$504,$A113,請求台帳!$B$5:$B$504,"&gt;="&amp;G$3,請求台帳!$B$5:$B$504,"&lt;"&amp;DATE(YEAR(G$3),MONTH(G$3)+1,1),請求台帳!$Q$5:$Q$504,"&lt;&gt;取消"))</f>
        <v/>
      </c>
      <c r="H113" s="27" t="str">
        <f aca="false">IF($A113="","",SUMIFS(入金明細!$E$5:$E$1004,入金明細!$G$5:$G$1004,$A113,入金明細!$B$5:$B$1004,"&gt;="&amp;G$3,入金明細!$B$5:$B$1004,"&lt;"&amp;DATE(YEAR(G$3),MONTH(G$3)+1,1)))</f>
        <v/>
      </c>
      <c r="I113" s="27" t="str">
        <f aca="false">IF($A113="","",SUMIFS(請求台帳!$F$5:$F$504,請求台帳!$C$5:$C$504,$A113,請求台帳!$B$5:$B$504,"&gt;="&amp;I$3,請求台帳!$B$5:$B$504,"&lt;"&amp;DATE(YEAR(I$3),MONTH(I$3)+1,1),請求台帳!$Q$5:$Q$504,"&lt;&gt;取消"))</f>
        <v/>
      </c>
      <c r="J113" s="27" t="str">
        <f aca="false">IF($A113="","",SUMIFS(入金明細!$E$5:$E$1004,入金明細!$G$5:$G$1004,$A113,入金明細!$B$5:$B$1004,"&gt;="&amp;I$3,入金明細!$B$5:$B$1004,"&lt;"&amp;DATE(YEAR(I$3),MONTH(I$3)+1,1)))</f>
        <v/>
      </c>
      <c r="K113" s="27" t="str">
        <f aca="false">IF($A113="","",SUMIFS(請求台帳!$F$5:$F$504,請求台帳!$C$5:$C$504,$A113,請求台帳!$B$5:$B$504,"&gt;="&amp;K$3,請求台帳!$B$5:$B$504,"&lt;"&amp;DATE(YEAR(K$3),MONTH(K$3)+1,1),請求台帳!$Q$5:$Q$504,"&lt;&gt;取消"))</f>
        <v/>
      </c>
      <c r="L113" s="27" t="str">
        <f aca="false">IF($A113="","",SUMIFS(入金明細!$E$5:$E$1004,入金明細!$G$5:$G$1004,$A113,入金明細!$B$5:$B$1004,"&gt;="&amp;K$3,入金明細!$B$5:$B$1004,"&lt;"&amp;DATE(YEAR(K$3),MONTH(K$3)+1,1)))</f>
        <v/>
      </c>
      <c r="M113" s="27" t="str">
        <f aca="false">IF($A113="","",SUMIFS(請求台帳!$F$5:$F$504,請求台帳!$C$5:$C$504,$A113,請求台帳!$B$5:$B$504,"&gt;="&amp;M$3,請求台帳!$B$5:$B$504,"&lt;"&amp;DATE(YEAR(M$3),MONTH(M$3)+1,1),請求台帳!$Q$5:$Q$504,"&lt;&gt;取消"))</f>
        <v/>
      </c>
      <c r="N113" s="27" t="str">
        <f aca="false">IF($A113="","",SUMIFS(入金明細!$E$5:$E$1004,入金明細!$G$5:$G$1004,$A113,入金明細!$B$5:$B$1004,"&gt;="&amp;M$3,入金明細!$B$5:$B$1004,"&lt;"&amp;DATE(YEAR(M$3),MONTH(M$3)+1,1)))</f>
        <v/>
      </c>
      <c r="O113" s="27" t="str">
        <f aca="false">IF($A113="","",SUMIFS(請求台帳!$F$5:$F$504,請求台帳!$C$5:$C$504,$A113,請求台帳!$B$5:$B$504,"&gt;="&amp;O$3,請求台帳!$B$5:$B$504,"&lt;"&amp;DATE(YEAR(O$3),MONTH(O$3)+1,1),請求台帳!$Q$5:$Q$504,"&lt;&gt;取消"))</f>
        <v/>
      </c>
      <c r="P113" s="27" t="str">
        <f aca="false">IF($A113="","",SUMIFS(入金明細!$E$5:$E$1004,入金明細!$G$5:$G$1004,$A113,入金明細!$B$5:$B$1004,"&gt;="&amp;O$3,入金明細!$B$5:$B$1004,"&lt;"&amp;DATE(YEAR(O$3),MONTH(O$3)+1,1)))</f>
        <v/>
      </c>
      <c r="Q113" s="27" t="str">
        <f aca="false">IF($A113="","",SUMIFS(請求台帳!$F$5:$F$504,請求台帳!$C$5:$C$504,$A113,請求台帳!$B$5:$B$504,"&gt;="&amp;Q$3,請求台帳!$B$5:$B$504,"&lt;"&amp;DATE(YEAR(Q$3),MONTH(Q$3)+1,1),請求台帳!$Q$5:$Q$504,"&lt;&gt;取消"))</f>
        <v/>
      </c>
      <c r="R113" s="27" t="str">
        <f aca="false">IF($A113="","",SUMIFS(入金明細!$E$5:$E$1004,入金明細!$G$5:$G$1004,$A113,入金明細!$B$5:$B$1004,"&gt;="&amp;Q$3,入金明細!$B$5:$B$1004,"&lt;"&amp;DATE(YEAR(Q$3),MONTH(Q$3)+1,1)))</f>
        <v/>
      </c>
      <c r="S113" s="27" t="str">
        <f aca="false">IF($A113="","",SUMIFS(請求台帳!$F$5:$F$504,請求台帳!$C$5:$C$504,$A113,請求台帳!$B$5:$B$504,"&gt;="&amp;S$3,請求台帳!$B$5:$B$504,"&lt;"&amp;DATE(YEAR(S$3),MONTH(S$3)+1,1),請求台帳!$Q$5:$Q$504,"&lt;&gt;取消"))</f>
        <v/>
      </c>
      <c r="T113" s="27" t="str">
        <f aca="false">IF($A113="","",SUMIFS(入金明細!$E$5:$E$1004,入金明細!$G$5:$G$1004,$A113,入金明細!$B$5:$B$1004,"&gt;="&amp;S$3,入金明細!$B$5:$B$1004,"&lt;"&amp;DATE(YEAR(S$3),MONTH(S$3)+1,1)))</f>
        <v/>
      </c>
      <c r="U113" s="27" t="str">
        <f aca="false">IF($A113="","",SUMIFS(請求台帳!$F$5:$F$504,請求台帳!$C$5:$C$504,$A113,請求台帳!$B$5:$B$504,"&gt;="&amp;U$3,請求台帳!$B$5:$B$504,"&lt;"&amp;DATE(YEAR(U$3),MONTH(U$3)+1,1),請求台帳!$Q$5:$Q$504,"&lt;&gt;取消"))</f>
        <v/>
      </c>
      <c r="V113" s="27" t="str">
        <f aca="false">IF($A113="","",SUMIFS(入金明細!$E$5:$E$1004,入金明細!$G$5:$G$1004,$A113,入金明細!$B$5:$B$1004,"&gt;="&amp;U$3,入金明細!$B$5:$B$1004,"&lt;"&amp;DATE(YEAR(U$3),MONTH(U$3)+1,1)))</f>
        <v/>
      </c>
      <c r="W113" s="27" t="str">
        <f aca="false">IF($A113="","",SUMIFS(請求台帳!$F$5:$F$504,請求台帳!$C$5:$C$504,$A113,請求台帳!$B$5:$B$504,"&gt;="&amp;W$3,請求台帳!$B$5:$B$504,"&lt;"&amp;DATE(YEAR(W$3),MONTH(W$3)+1,1),請求台帳!$Q$5:$Q$504,"&lt;&gt;取消"))</f>
        <v/>
      </c>
      <c r="X113" s="27" t="str">
        <f aca="false">IF($A113="","",SUMIFS(入金明細!$E$5:$E$1004,入金明細!$G$5:$G$1004,$A113,入金明細!$B$5:$B$1004,"&gt;="&amp;W$3,入金明細!$B$5:$B$1004,"&lt;"&amp;DATE(YEAR(W$3),MONTH(W$3)+1,1)))</f>
        <v/>
      </c>
      <c r="Y113" s="27" t="str">
        <f aca="false">IF($A113="","",SUMIFS(請求台帳!$F$5:$F$504,請求台帳!$C$5:$C$504,$A113,請求台帳!$B$5:$B$504,"&gt;="&amp;Y$3,請求台帳!$B$5:$B$504,"&lt;"&amp;DATE(YEAR(Y$3),MONTH(Y$3)+1,1),請求台帳!$Q$5:$Q$504,"&lt;&gt;取消"))</f>
        <v/>
      </c>
      <c r="Z113" s="27" t="str">
        <f aca="false">IF($A113="","",SUMIFS(入金明細!$E$5:$E$1004,入金明細!$G$5:$G$1004,$A113,入金明細!$B$5:$B$1004,"&gt;="&amp;Y$3,入金明細!$B$5:$B$1004,"&lt;"&amp;DATE(YEAR(Y$3),MONTH(Y$3)+1,1)))</f>
        <v/>
      </c>
      <c r="AA113" s="37" t="n">
        <f aca="false">SUM(C113,E113,G113,I113,K113,M113,O113,Q113,S113,U113,W113,Y113)</f>
        <v>0</v>
      </c>
      <c r="AB113" s="37" t="n">
        <f aca="false">SUM(D113,F113,H113,J113,L113,N113,P113,R113,T113,V113,X113,Z113)</f>
        <v>0</v>
      </c>
    </row>
    <row r="114" customFormat="false" ht="15" hidden="false" customHeight="false" outlineLevel="0" collapsed="false">
      <c r="A114" s="31" t="str">
        <f aca="false">IF(取引先マスタ!A114="","",取引先マスタ!A114)</f>
        <v/>
      </c>
      <c r="B114" s="31" t="str">
        <f aca="false">IF(A114="","",取引先マスタ!B114)</f>
        <v/>
      </c>
      <c r="C114" s="27" t="str">
        <f aca="false">IF($A114="","",SUMIFS(請求台帳!$F$5:$F$504,請求台帳!$C$5:$C$504,$A114,請求台帳!$B$5:$B$504,"&gt;="&amp;C$3,請求台帳!$B$5:$B$504,"&lt;"&amp;DATE(YEAR(C$3),MONTH(C$3)+1,1),請求台帳!$Q$5:$Q$504,"&lt;&gt;取消"))</f>
        <v/>
      </c>
      <c r="D114" s="27" t="str">
        <f aca="false">IF($A114="","",SUMIFS(入金明細!$E$5:$E$1004,入金明細!$G$5:$G$1004,$A114,入金明細!$B$5:$B$1004,"&gt;="&amp;C$3,入金明細!$B$5:$B$1004,"&lt;"&amp;DATE(YEAR(C$3),MONTH(C$3)+1,1)))</f>
        <v/>
      </c>
      <c r="E114" s="27" t="str">
        <f aca="false">IF($A114="","",SUMIFS(請求台帳!$F$5:$F$504,請求台帳!$C$5:$C$504,$A114,請求台帳!$B$5:$B$504,"&gt;="&amp;E$3,請求台帳!$B$5:$B$504,"&lt;"&amp;DATE(YEAR(E$3),MONTH(E$3)+1,1),請求台帳!$Q$5:$Q$504,"&lt;&gt;取消"))</f>
        <v/>
      </c>
      <c r="F114" s="27" t="str">
        <f aca="false">IF($A114="","",SUMIFS(入金明細!$E$5:$E$1004,入金明細!$G$5:$G$1004,$A114,入金明細!$B$5:$B$1004,"&gt;="&amp;E$3,入金明細!$B$5:$B$1004,"&lt;"&amp;DATE(YEAR(E$3),MONTH(E$3)+1,1)))</f>
        <v/>
      </c>
      <c r="G114" s="27" t="str">
        <f aca="false">IF($A114="","",SUMIFS(請求台帳!$F$5:$F$504,請求台帳!$C$5:$C$504,$A114,請求台帳!$B$5:$B$504,"&gt;="&amp;G$3,請求台帳!$B$5:$B$504,"&lt;"&amp;DATE(YEAR(G$3),MONTH(G$3)+1,1),請求台帳!$Q$5:$Q$504,"&lt;&gt;取消"))</f>
        <v/>
      </c>
      <c r="H114" s="27" t="str">
        <f aca="false">IF($A114="","",SUMIFS(入金明細!$E$5:$E$1004,入金明細!$G$5:$G$1004,$A114,入金明細!$B$5:$B$1004,"&gt;="&amp;G$3,入金明細!$B$5:$B$1004,"&lt;"&amp;DATE(YEAR(G$3),MONTH(G$3)+1,1)))</f>
        <v/>
      </c>
      <c r="I114" s="27" t="str">
        <f aca="false">IF($A114="","",SUMIFS(請求台帳!$F$5:$F$504,請求台帳!$C$5:$C$504,$A114,請求台帳!$B$5:$B$504,"&gt;="&amp;I$3,請求台帳!$B$5:$B$504,"&lt;"&amp;DATE(YEAR(I$3),MONTH(I$3)+1,1),請求台帳!$Q$5:$Q$504,"&lt;&gt;取消"))</f>
        <v/>
      </c>
      <c r="J114" s="27" t="str">
        <f aca="false">IF($A114="","",SUMIFS(入金明細!$E$5:$E$1004,入金明細!$G$5:$G$1004,$A114,入金明細!$B$5:$B$1004,"&gt;="&amp;I$3,入金明細!$B$5:$B$1004,"&lt;"&amp;DATE(YEAR(I$3),MONTH(I$3)+1,1)))</f>
        <v/>
      </c>
      <c r="K114" s="27" t="str">
        <f aca="false">IF($A114="","",SUMIFS(請求台帳!$F$5:$F$504,請求台帳!$C$5:$C$504,$A114,請求台帳!$B$5:$B$504,"&gt;="&amp;K$3,請求台帳!$B$5:$B$504,"&lt;"&amp;DATE(YEAR(K$3),MONTH(K$3)+1,1),請求台帳!$Q$5:$Q$504,"&lt;&gt;取消"))</f>
        <v/>
      </c>
      <c r="L114" s="27" t="str">
        <f aca="false">IF($A114="","",SUMIFS(入金明細!$E$5:$E$1004,入金明細!$G$5:$G$1004,$A114,入金明細!$B$5:$B$1004,"&gt;="&amp;K$3,入金明細!$B$5:$B$1004,"&lt;"&amp;DATE(YEAR(K$3),MONTH(K$3)+1,1)))</f>
        <v/>
      </c>
      <c r="M114" s="27" t="str">
        <f aca="false">IF($A114="","",SUMIFS(請求台帳!$F$5:$F$504,請求台帳!$C$5:$C$504,$A114,請求台帳!$B$5:$B$504,"&gt;="&amp;M$3,請求台帳!$B$5:$B$504,"&lt;"&amp;DATE(YEAR(M$3),MONTH(M$3)+1,1),請求台帳!$Q$5:$Q$504,"&lt;&gt;取消"))</f>
        <v/>
      </c>
      <c r="N114" s="27" t="str">
        <f aca="false">IF($A114="","",SUMIFS(入金明細!$E$5:$E$1004,入金明細!$G$5:$G$1004,$A114,入金明細!$B$5:$B$1004,"&gt;="&amp;M$3,入金明細!$B$5:$B$1004,"&lt;"&amp;DATE(YEAR(M$3),MONTH(M$3)+1,1)))</f>
        <v/>
      </c>
      <c r="O114" s="27" t="str">
        <f aca="false">IF($A114="","",SUMIFS(請求台帳!$F$5:$F$504,請求台帳!$C$5:$C$504,$A114,請求台帳!$B$5:$B$504,"&gt;="&amp;O$3,請求台帳!$B$5:$B$504,"&lt;"&amp;DATE(YEAR(O$3),MONTH(O$3)+1,1),請求台帳!$Q$5:$Q$504,"&lt;&gt;取消"))</f>
        <v/>
      </c>
      <c r="P114" s="27" t="str">
        <f aca="false">IF($A114="","",SUMIFS(入金明細!$E$5:$E$1004,入金明細!$G$5:$G$1004,$A114,入金明細!$B$5:$B$1004,"&gt;="&amp;O$3,入金明細!$B$5:$B$1004,"&lt;"&amp;DATE(YEAR(O$3),MONTH(O$3)+1,1)))</f>
        <v/>
      </c>
      <c r="Q114" s="27" t="str">
        <f aca="false">IF($A114="","",SUMIFS(請求台帳!$F$5:$F$504,請求台帳!$C$5:$C$504,$A114,請求台帳!$B$5:$B$504,"&gt;="&amp;Q$3,請求台帳!$B$5:$B$504,"&lt;"&amp;DATE(YEAR(Q$3),MONTH(Q$3)+1,1),請求台帳!$Q$5:$Q$504,"&lt;&gt;取消"))</f>
        <v/>
      </c>
      <c r="R114" s="27" t="str">
        <f aca="false">IF($A114="","",SUMIFS(入金明細!$E$5:$E$1004,入金明細!$G$5:$G$1004,$A114,入金明細!$B$5:$B$1004,"&gt;="&amp;Q$3,入金明細!$B$5:$B$1004,"&lt;"&amp;DATE(YEAR(Q$3),MONTH(Q$3)+1,1)))</f>
        <v/>
      </c>
      <c r="S114" s="27" t="str">
        <f aca="false">IF($A114="","",SUMIFS(請求台帳!$F$5:$F$504,請求台帳!$C$5:$C$504,$A114,請求台帳!$B$5:$B$504,"&gt;="&amp;S$3,請求台帳!$B$5:$B$504,"&lt;"&amp;DATE(YEAR(S$3),MONTH(S$3)+1,1),請求台帳!$Q$5:$Q$504,"&lt;&gt;取消"))</f>
        <v/>
      </c>
      <c r="T114" s="27" t="str">
        <f aca="false">IF($A114="","",SUMIFS(入金明細!$E$5:$E$1004,入金明細!$G$5:$G$1004,$A114,入金明細!$B$5:$B$1004,"&gt;="&amp;S$3,入金明細!$B$5:$B$1004,"&lt;"&amp;DATE(YEAR(S$3),MONTH(S$3)+1,1)))</f>
        <v/>
      </c>
      <c r="U114" s="27" t="str">
        <f aca="false">IF($A114="","",SUMIFS(請求台帳!$F$5:$F$504,請求台帳!$C$5:$C$504,$A114,請求台帳!$B$5:$B$504,"&gt;="&amp;U$3,請求台帳!$B$5:$B$504,"&lt;"&amp;DATE(YEAR(U$3),MONTH(U$3)+1,1),請求台帳!$Q$5:$Q$504,"&lt;&gt;取消"))</f>
        <v/>
      </c>
      <c r="V114" s="27" t="str">
        <f aca="false">IF($A114="","",SUMIFS(入金明細!$E$5:$E$1004,入金明細!$G$5:$G$1004,$A114,入金明細!$B$5:$B$1004,"&gt;="&amp;U$3,入金明細!$B$5:$B$1004,"&lt;"&amp;DATE(YEAR(U$3),MONTH(U$3)+1,1)))</f>
        <v/>
      </c>
      <c r="W114" s="27" t="str">
        <f aca="false">IF($A114="","",SUMIFS(請求台帳!$F$5:$F$504,請求台帳!$C$5:$C$504,$A114,請求台帳!$B$5:$B$504,"&gt;="&amp;W$3,請求台帳!$B$5:$B$504,"&lt;"&amp;DATE(YEAR(W$3),MONTH(W$3)+1,1),請求台帳!$Q$5:$Q$504,"&lt;&gt;取消"))</f>
        <v/>
      </c>
      <c r="X114" s="27" t="str">
        <f aca="false">IF($A114="","",SUMIFS(入金明細!$E$5:$E$1004,入金明細!$G$5:$G$1004,$A114,入金明細!$B$5:$B$1004,"&gt;="&amp;W$3,入金明細!$B$5:$B$1004,"&lt;"&amp;DATE(YEAR(W$3),MONTH(W$3)+1,1)))</f>
        <v/>
      </c>
      <c r="Y114" s="27" t="str">
        <f aca="false">IF($A114="","",SUMIFS(請求台帳!$F$5:$F$504,請求台帳!$C$5:$C$504,$A114,請求台帳!$B$5:$B$504,"&gt;="&amp;Y$3,請求台帳!$B$5:$B$504,"&lt;"&amp;DATE(YEAR(Y$3),MONTH(Y$3)+1,1),請求台帳!$Q$5:$Q$504,"&lt;&gt;取消"))</f>
        <v/>
      </c>
      <c r="Z114" s="27" t="str">
        <f aca="false">IF($A114="","",SUMIFS(入金明細!$E$5:$E$1004,入金明細!$G$5:$G$1004,$A114,入金明細!$B$5:$B$1004,"&gt;="&amp;Y$3,入金明細!$B$5:$B$1004,"&lt;"&amp;DATE(YEAR(Y$3),MONTH(Y$3)+1,1)))</f>
        <v/>
      </c>
      <c r="AA114" s="37" t="n">
        <f aca="false">SUM(C114,E114,G114,I114,K114,M114,O114,Q114,S114,U114,W114,Y114)</f>
        <v>0</v>
      </c>
      <c r="AB114" s="37" t="n">
        <f aca="false">SUM(D114,F114,H114,J114,L114,N114,P114,R114,T114,V114,X114,Z114)</f>
        <v>0</v>
      </c>
    </row>
    <row r="115" customFormat="false" ht="15" hidden="false" customHeight="false" outlineLevel="0" collapsed="false">
      <c r="A115" s="31" t="str">
        <f aca="false">IF(取引先マスタ!A115="","",取引先マスタ!A115)</f>
        <v/>
      </c>
      <c r="B115" s="31" t="str">
        <f aca="false">IF(A115="","",取引先マスタ!B115)</f>
        <v/>
      </c>
      <c r="C115" s="27" t="str">
        <f aca="false">IF($A115="","",SUMIFS(請求台帳!$F$5:$F$504,請求台帳!$C$5:$C$504,$A115,請求台帳!$B$5:$B$504,"&gt;="&amp;C$3,請求台帳!$B$5:$B$504,"&lt;"&amp;DATE(YEAR(C$3),MONTH(C$3)+1,1),請求台帳!$Q$5:$Q$504,"&lt;&gt;取消"))</f>
        <v/>
      </c>
      <c r="D115" s="27" t="str">
        <f aca="false">IF($A115="","",SUMIFS(入金明細!$E$5:$E$1004,入金明細!$G$5:$G$1004,$A115,入金明細!$B$5:$B$1004,"&gt;="&amp;C$3,入金明細!$B$5:$B$1004,"&lt;"&amp;DATE(YEAR(C$3),MONTH(C$3)+1,1)))</f>
        <v/>
      </c>
      <c r="E115" s="27" t="str">
        <f aca="false">IF($A115="","",SUMIFS(請求台帳!$F$5:$F$504,請求台帳!$C$5:$C$504,$A115,請求台帳!$B$5:$B$504,"&gt;="&amp;E$3,請求台帳!$B$5:$B$504,"&lt;"&amp;DATE(YEAR(E$3),MONTH(E$3)+1,1),請求台帳!$Q$5:$Q$504,"&lt;&gt;取消"))</f>
        <v/>
      </c>
      <c r="F115" s="27" t="str">
        <f aca="false">IF($A115="","",SUMIFS(入金明細!$E$5:$E$1004,入金明細!$G$5:$G$1004,$A115,入金明細!$B$5:$B$1004,"&gt;="&amp;E$3,入金明細!$B$5:$B$1004,"&lt;"&amp;DATE(YEAR(E$3),MONTH(E$3)+1,1)))</f>
        <v/>
      </c>
      <c r="G115" s="27" t="str">
        <f aca="false">IF($A115="","",SUMIFS(請求台帳!$F$5:$F$504,請求台帳!$C$5:$C$504,$A115,請求台帳!$B$5:$B$504,"&gt;="&amp;G$3,請求台帳!$B$5:$B$504,"&lt;"&amp;DATE(YEAR(G$3),MONTH(G$3)+1,1),請求台帳!$Q$5:$Q$504,"&lt;&gt;取消"))</f>
        <v/>
      </c>
      <c r="H115" s="27" t="str">
        <f aca="false">IF($A115="","",SUMIFS(入金明細!$E$5:$E$1004,入金明細!$G$5:$G$1004,$A115,入金明細!$B$5:$B$1004,"&gt;="&amp;G$3,入金明細!$B$5:$B$1004,"&lt;"&amp;DATE(YEAR(G$3),MONTH(G$3)+1,1)))</f>
        <v/>
      </c>
      <c r="I115" s="27" t="str">
        <f aca="false">IF($A115="","",SUMIFS(請求台帳!$F$5:$F$504,請求台帳!$C$5:$C$504,$A115,請求台帳!$B$5:$B$504,"&gt;="&amp;I$3,請求台帳!$B$5:$B$504,"&lt;"&amp;DATE(YEAR(I$3),MONTH(I$3)+1,1),請求台帳!$Q$5:$Q$504,"&lt;&gt;取消"))</f>
        <v/>
      </c>
      <c r="J115" s="27" t="str">
        <f aca="false">IF($A115="","",SUMIFS(入金明細!$E$5:$E$1004,入金明細!$G$5:$G$1004,$A115,入金明細!$B$5:$B$1004,"&gt;="&amp;I$3,入金明細!$B$5:$B$1004,"&lt;"&amp;DATE(YEAR(I$3),MONTH(I$3)+1,1)))</f>
        <v/>
      </c>
      <c r="K115" s="27" t="str">
        <f aca="false">IF($A115="","",SUMIFS(請求台帳!$F$5:$F$504,請求台帳!$C$5:$C$504,$A115,請求台帳!$B$5:$B$504,"&gt;="&amp;K$3,請求台帳!$B$5:$B$504,"&lt;"&amp;DATE(YEAR(K$3),MONTH(K$3)+1,1),請求台帳!$Q$5:$Q$504,"&lt;&gt;取消"))</f>
        <v/>
      </c>
      <c r="L115" s="27" t="str">
        <f aca="false">IF($A115="","",SUMIFS(入金明細!$E$5:$E$1004,入金明細!$G$5:$G$1004,$A115,入金明細!$B$5:$B$1004,"&gt;="&amp;K$3,入金明細!$B$5:$B$1004,"&lt;"&amp;DATE(YEAR(K$3),MONTH(K$3)+1,1)))</f>
        <v/>
      </c>
      <c r="M115" s="27" t="str">
        <f aca="false">IF($A115="","",SUMIFS(請求台帳!$F$5:$F$504,請求台帳!$C$5:$C$504,$A115,請求台帳!$B$5:$B$504,"&gt;="&amp;M$3,請求台帳!$B$5:$B$504,"&lt;"&amp;DATE(YEAR(M$3),MONTH(M$3)+1,1),請求台帳!$Q$5:$Q$504,"&lt;&gt;取消"))</f>
        <v/>
      </c>
      <c r="N115" s="27" t="str">
        <f aca="false">IF($A115="","",SUMIFS(入金明細!$E$5:$E$1004,入金明細!$G$5:$G$1004,$A115,入金明細!$B$5:$B$1004,"&gt;="&amp;M$3,入金明細!$B$5:$B$1004,"&lt;"&amp;DATE(YEAR(M$3),MONTH(M$3)+1,1)))</f>
        <v/>
      </c>
      <c r="O115" s="27" t="str">
        <f aca="false">IF($A115="","",SUMIFS(請求台帳!$F$5:$F$504,請求台帳!$C$5:$C$504,$A115,請求台帳!$B$5:$B$504,"&gt;="&amp;O$3,請求台帳!$B$5:$B$504,"&lt;"&amp;DATE(YEAR(O$3),MONTH(O$3)+1,1),請求台帳!$Q$5:$Q$504,"&lt;&gt;取消"))</f>
        <v/>
      </c>
      <c r="P115" s="27" t="str">
        <f aca="false">IF($A115="","",SUMIFS(入金明細!$E$5:$E$1004,入金明細!$G$5:$G$1004,$A115,入金明細!$B$5:$B$1004,"&gt;="&amp;O$3,入金明細!$B$5:$B$1004,"&lt;"&amp;DATE(YEAR(O$3),MONTH(O$3)+1,1)))</f>
        <v/>
      </c>
      <c r="Q115" s="27" t="str">
        <f aca="false">IF($A115="","",SUMIFS(請求台帳!$F$5:$F$504,請求台帳!$C$5:$C$504,$A115,請求台帳!$B$5:$B$504,"&gt;="&amp;Q$3,請求台帳!$B$5:$B$504,"&lt;"&amp;DATE(YEAR(Q$3),MONTH(Q$3)+1,1),請求台帳!$Q$5:$Q$504,"&lt;&gt;取消"))</f>
        <v/>
      </c>
      <c r="R115" s="27" t="str">
        <f aca="false">IF($A115="","",SUMIFS(入金明細!$E$5:$E$1004,入金明細!$G$5:$G$1004,$A115,入金明細!$B$5:$B$1004,"&gt;="&amp;Q$3,入金明細!$B$5:$B$1004,"&lt;"&amp;DATE(YEAR(Q$3),MONTH(Q$3)+1,1)))</f>
        <v/>
      </c>
      <c r="S115" s="27" t="str">
        <f aca="false">IF($A115="","",SUMIFS(請求台帳!$F$5:$F$504,請求台帳!$C$5:$C$504,$A115,請求台帳!$B$5:$B$504,"&gt;="&amp;S$3,請求台帳!$B$5:$B$504,"&lt;"&amp;DATE(YEAR(S$3),MONTH(S$3)+1,1),請求台帳!$Q$5:$Q$504,"&lt;&gt;取消"))</f>
        <v/>
      </c>
      <c r="T115" s="27" t="str">
        <f aca="false">IF($A115="","",SUMIFS(入金明細!$E$5:$E$1004,入金明細!$G$5:$G$1004,$A115,入金明細!$B$5:$B$1004,"&gt;="&amp;S$3,入金明細!$B$5:$B$1004,"&lt;"&amp;DATE(YEAR(S$3),MONTH(S$3)+1,1)))</f>
        <v/>
      </c>
      <c r="U115" s="27" t="str">
        <f aca="false">IF($A115="","",SUMIFS(請求台帳!$F$5:$F$504,請求台帳!$C$5:$C$504,$A115,請求台帳!$B$5:$B$504,"&gt;="&amp;U$3,請求台帳!$B$5:$B$504,"&lt;"&amp;DATE(YEAR(U$3),MONTH(U$3)+1,1),請求台帳!$Q$5:$Q$504,"&lt;&gt;取消"))</f>
        <v/>
      </c>
      <c r="V115" s="27" t="str">
        <f aca="false">IF($A115="","",SUMIFS(入金明細!$E$5:$E$1004,入金明細!$G$5:$G$1004,$A115,入金明細!$B$5:$B$1004,"&gt;="&amp;U$3,入金明細!$B$5:$B$1004,"&lt;"&amp;DATE(YEAR(U$3),MONTH(U$3)+1,1)))</f>
        <v/>
      </c>
      <c r="W115" s="27" t="str">
        <f aca="false">IF($A115="","",SUMIFS(請求台帳!$F$5:$F$504,請求台帳!$C$5:$C$504,$A115,請求台帳!$B$5:$B$504,"&gt;="&amp;W$3,請求台帳!$B$5:$B$504,"&lt;"&amp;DATE(YEAR(W$3),MONTH(W$3)+1,1),請求台帳!$Q$5:$Q$504,"&lt;&gt;取消"))</f>
        <v/>
      </c>
      <c r="X115" s="27" t="str">
        <f aca="false">IF($A115="","",SUMIFS(入金明細!$E$5:$E$1004,入金明細!$G$5:$G$1004,$A115,入金明細!$B$5:$B$1004,"&gt;="&amp;W$3,入金明細!$B$5:$B$1004,"&lt;"&amp;DATE(YEAR(W$3),MONTH(W$3)+1,1)))</f>
        <v/>
      </c>
      <c r="Y115" s="27" t="str">
        <f aca="false">IF($A115="","",SUMIFS(請求台帳!$F$5:$F$504,請求台帳!$C$5:$C$504,$A115,請求台帳!$B$5:$B$504,"&gt;="&amp;Y$3,請求台帳!$B$5:$B$504,"&lt;"&amp;DATE(YEAR(Y$3),MONTH(Y$3)+1,1),請求台帳!$Q$5:$Q$504,"&lt;&gt;取消"))</f>
        <v/>
      </c>
      <c r="Z115" s="27" t="str">
        <f aca="false">IF($A115="","",SUMIFS(入金明細!$E$5:$E$1004,入金明細!$G$5:$G$1004,$A115,入金明細!$B$5:$B$1004,"&gt;="&amp;Y$3,入金明細!$B$5:$B$1004,"&lt;"&amp;DATE(YEAR(Y$3),MONTH(Y$3)+1,1)))</f>
        <v/>
      </c>
      <c r="AA115" s="37" t="n">
        <f aca="false">SUM(C115,E115,G115,I115,K115,M115,O115,Q115,S115,U115,W115,Y115)</f>
        <v>0</v>
      </c>
      <c r="AB115" s="37" t="n">
        <f aca="false">SUM(D115,F115,H115,J115,L115,N115,P115,R115,T115,V115,X115,Z115)</f>
        <v>0</v>
      </c>
    </row>
    <row r="116" customFormat="false" ht="15" hidden="false" customHeight="false" outlineLevel="0" collapsed="false">
      <c r="A116" s="31" t="str">
        <f aca="false">IF(取引先マスタ!A116="","",取引先マスタ!A116)</f>
        <v/>
      </c>
      <c r="B116" s="31" t="str">
        <f aca="false">IF(A116="","",取引先マスタ!B116)</f>
        <v/>
      </c>
      <c r="C116" s="27" t="str">
        <f aca="false">IF($A116="","",SUMIFS(請求台帳!$F$5:$F$504,請求台帳!$C$5:$C$504,$A116,請求台帳!$B$5:$B$504,"&gt;="&amp;C$3,請求台帳!$B$5:$B$504,"&lt;"&amp;DATE(YEAR(C$3),MONTH(C$3)+1,1),請求台帳!$Q$5:$Q$504,"&lt;&gt;取消"))</f>
        <v/>
      </c>
      <c r="D116" s="27" t="str">
        <f aca="false">IF($A116="","",SUMIFS(入金明細!$E$5:$E$1004,入金明細!$G$5:$G$1004,$A116,入金明細!$B$5:$B$1004,"&gt;="&amp;C$3,入金明細!$B$5:$B$1004,"&lt;"&amp;DATE(YEAR(C$3),MONTH(C$3)+1,1)))</f>
        <v/>
      </c>
      <c r="E116" s="27" t="str">
        <f aca="false">IF($A116="","",SUMIFS(請求台帳!$F$5:$F$504,請求台帳!$C$5:$C$504,$A116,請求台帳!$B$5:$B$504,"&gt;="&amp;E$3,請求台帳!$B$5:$B$504,"&lt;"&amp;DATE(YEAR(E$3),MONTH(E$3)+1,1),請求台帳!$Q$5:$Q$504,"&lt;&gt;取消"))</f>
        <v/>
      </c>
      <c r="F116" s="27" t="str">
        <f aca="false">IF($A116="","",SUMIFS(入金明細!$E$5:$E$1004,入金明細!$G$5:$G$1004,$A116,入金明細!$B$5:$B$1004,"&gt;="&amp;E$3,入金明細!$B$5:$B$1004,"&lt;"&amp;DATE(YEAR(E$3),MONTH(E$3)+1,1)))</f>
        <v/>
      </c>
      <c r="G116" s="27" t="str">
        <f aca="false">IF($A116="","",SUMIFS(請求台帳!$F$5:$F$504,請求台帳!$C$5:$C$504,$A116,請求台帳!$B$5:$B$504,"&gt;="&amp;G$3,請求台帳!$B$5:$B$504,"&lt;"&amp;DATE(YEAR(G$3),MONTH(G$3)+1,1),請求台帳!$Q$5:$Q$504,"&lt;&gt;取消"))</f>
        <v/>
      </c>
      <c r="H116" s="27" t="str">
        <f aca="false">IF($A116="","",SUMIFS(入金明細!$E$5:$E$1004,入金明細!$G$5:$G$1004,$A116,入金明細!$B$5:$B$1004,"&gt;="&amp;G$3,入金明細!$B$5:$B$1004,"&lt;"&amp;DATE(YEAR(G$3),MONTH(G$3)+1,1)))</f>
        <v/>
      </c>
      <c r="I116" s="27" t="str">
        <f aca="false">IF($A116="","",SUMIFS(請求台帳!$F$5:$F$504,請求台帳!$C$5:$C$504,$A116,請求台帳!$B$5:$B$504,"&gt;="&amp;I$3,請求台帳!$B$5:$B$504,"&lt;"&amp;DATE(YEAR(I$3),MONTH(I$3)+1,1),請求台帳!$Q$5:$Q$504,"&lt;&gt;取消"))</f>
        <v/>
      </c>
      <c r="J116" s="27" t="str">
        <f aca="false">IF($A116="","",SUMIFS(入金明細!$E$5:$E$1004,入金明細!$G$5:$G$1004,$A116,入金明細!$B$5:$B$1004,"&gt;="&amp;I$3,入金明細!$B$5:$B$1004,"&lt;"&amp;DATE(YEAR(I$3),MONTH(I$3)+1,1)))</f>
        <v/>
      </c>
      <c r="K116" s="27" t="str">
        <f aca="false">IF($A116="","",SUMIFS(請求台帳!$F$5:$F$504,請求台帳!$C$5:$C$504,$A116,請求台帳!$B$5:$B$504,"&gt;="&amp;K$3,請求台帳!$B$5:$B$504,"&lt;"&amp;DATE(YEAR(K$3),MONTH(K$3)+1,1),請求台帳!$Q$5:$Q$504,"&lt;&gt;取消"))</f>
        <v/>
      </c>
      <c r="L116" s="27" t="str">
        <f aca="false">IF($A116="","",SUMIFS(入金明細!$E$5:$E$1004,入金明細!$G$5:$G$1004,$A116,入金明細!$B$5:$B$1004,"&gt;="&amp;K$3,入金明細!$B$5:$B$1004,"&lt;"&amp;DATE(YEAR(K$3),MONTH(K$3)+1,1)))</f>
        <v/>
      </c>
      <c r="M116" s="27" t="str">
        <f aca="false">IF($A116="","",SUMIFS(請求台帳!$F$5:$F$504,請求台帳!$C$5:$C$504,$A116,請求台帳!$B$5:$B$504,"&gt;="&amp;M$3,請求台帳!$B$5:$B$504,"&lt;"&amp;DATE(YEAR(M$3),MONTH(M$3)+1,1),請求台帳!$Q$5:$Q$504,"&lt;&gt;取消"))</f>
        <v/>
      </c>
      <c r="N116" s="27" t="str">
        <f aca="false">IF($A116="","",SUMIFS(入金明細!$E$5:$E$1004,入金明細!$G$5:$G$1004,$A116,入金明細!$B$5:$B$1004,"&gt;="&amp;M$3,入金明細!$B$5:$B$1004,"&lt;"&amp;DATE(YEAR(M$3),MONTH(M$3)+1,1)))</f>
        <v/>
      </c>
      <c r="O116" s="27" t="str">
        <f aca="false">IF($A116="","",SUMIFS(請求台帳!$F$5:$F$504,請求台帳!$C$5:$C$504,$A116,請求台帳!$B$5:$B$504,"&gt;="&amp;O$3,請求台帳!$B$5:$B$504,"&lt;"&amp;DATE(YEAR(O$3),MONTH(O$3)+1,1),請求台帳!$Q$5:$Q$504,"&lt;&gt;取消"))</f>
        <v/>
      </c>
      <c r="P116" s="27" t="str">
        <f aca="false">IF($A116="","",SUMIFS(入金明細!$E$5:$E$1004,入金明細!$G$5:$G$1004,$A116,入金明細!$B$5:$B$1004,"&gt;="&amp;O$3,入金明細!$B$5:$B$1004,"&lt;"&amp;DATE(YEAR(O$3),MONTH(O$3)+1,1)))</f>
        <v/>
      </c>
      <c r="Q116" s="27" t="str">
        <f aca="false">IF($A116="","",SUMIFS(請求台帳!$F$5:$F$504,請求台帳!$C$5:$C$504,$A116,請求台帳!$B$5:$B$504,"&gt;="&amp;Q$3,請求台帳!$B$5:$B$504,"&lt;"&amp;DATE(YEAR(Q$3),MONTH(Q$3)+1,1),請求台帳!$Q$5:$Q$504,"&lt;&gt;取消"))</f>
        <v/>
      </c>
      <c r="R116" s="27" t="str">
        <f aca="false">IF($A116="","",SUMIFS(入金明細!$E$5:$E$1004,入金明細!$G$5:$G$1004,$A116,入金明細!$B$5:$B$1004,"&gt;="&amp;Q$3,入金明細!$B$5:$B$1004,"&lt;"&amp;DATE(YEAR(Q$3),MONTH(Q$3)+1,1)))</f>
        <v/>
      </c>
      <c r="S116" s="27" t="str">
        <f aca="false">IF($A116="","",SUMIFS(請求台帳!$F$5:$F$504,請求台帳!$C$5:$C$504,$A116,請求台帳!$B$5:$B$504,"&gt;="&amp;S$3,請求台帳!$B$5:$B$504,"&lt;"&amp;DATE(YEAR(S$3),MONTH(S$3)+1,1),請求台帳!$Q$5:$Q$504,"&lt;&gt;取消"))</f>
        <v/>
      </c>
      <c r="T116" s="27" t="str">
        <f aca="false">IF($A116="","",SUMIFS(入金明細!$E$5:$E$1004,入金明細!$G$5:$G$1004,$A116,入金明細!$B$5:$B$1004,"&gt;="&amp;S$3,入金明細!$B$5:$B$1004,"&lt;"&amp;DATE(YEAR(S$3),MONTH(S$3)+1,1)))</f>
        <v/>
      </c>
      <c r="U116" s="27" t="str">
        <f aca="false">IF($A116="","",SUMIFS(請求台帳!$F$5:$F$504,請求台帳!$C$5:$C$504,$A116,請求台帳!$B$5:$B$504,"&gt;="&amp;U$3,請求台帳!$B$5:$B$504,"&lt;"&amp;DATE(YEAR(U$3),MONTH(U$3)+1,1),請求台帳!$Q$5:$Q$504,"&lt;&gt;取消"))</f>
        <v/>
      </c>
      <c r="V116" s="27" t="str">
        <f aca="false">IF($A116="","",SUMIFS(入金明細!$E$5:$E$1004,入金明細!$G$5:$G$1004,$A116,入金明細!$B$5:$B$1004,"&gt;="&amp;U$3,入金明細!$B$5:$B$1004,"&lt;"&amp;DATE(YEAR(U$3),MONTH(U$3)+1,1)))</f>
        <v/>
      </c>
      <c r="W116" s="27" t="str">
        <f aca="false">IF($A116="","",SUMIFS(請求台帳!$F$5:$F$504,請求台帳!$C$5:$C$504,$A116,請求台帳!$B$5:$B$504,"&gt;="&amp;W$3,請求台帳!$B$5:$B$504,"&lt;"&amp;DATE(YEAR(W$3),MONTH(W$3)+1,1),請求台帳!$Q$5:$Q$504,"&lt;&gt;取消"))</f>
        <v/>
      </c>
      <c r="X116" s="27" t="str">
        <f aca="false">IF($A116="","",SUMIFS(入金明細!$E$5:$E$1004,入金明細!$G$5:$G$1004,$A116,入金明細!$B$5:$B$1004,"&gt;="&amp;W$3,入金明細!$B$5:$B$1004,"&lt;"&amp;DATE(YEAR(W$3),MONTH(W$3)+1,1)))</f>
        <v/>
      </c>
      <c r="Y116" s="27" t="str">
        <f aca="false">IF($A116="","",SUMIFS(請求台帳!$F$5:$F$504,請求台帳!$C$5:$C$504,$A116,請求台帳!$B$5:$B$504,"&gt;="&amp;Y$3,請求台帳!$B$5:$B$504,"&lt;"&amp;DATE(YEAR(Y$3),MONTH(Y$3)+1,1),請求台帳!$Q$5:$Q$504,"&lt;&gt;取消"))</f>
        <v/>
      </c>
      <c r="Z116" s="27" t="str">
        <f aca="false">IF($A116="","",SUMIFS(入金明細!$E$5:$E$1004,入金明細!$G$5:$G$1004,$A116,入金明細!$B$5:$B$1004,"&gt;="&amp;Y$3,入金明細!$B$5:$B$1004,"&lt;"&amp;DATE(YEAR(Y$3),MONTH(Y$3)+1,1)))</f>
        <v/>
      </c>
      <c r="AA116" s="37" t="n">
        <f aca="false">SUM(C116,E116,G116,I116,K116,M116,O116,Q116,S116,U116,W116,Y116)</f>
        <v>0</v>
      </c>
      <c r="AB116" s="37" t="n">
        <f aca="false">SUM(D116,F116,H116,J116,L116,N116,P116,R116,T116,V116,X116,Z116)</f>
        <v>0</v>
      </c>
    </row>
    <row r="117" customFormat="false" ht="15" hidden="false" customHeight="false" outlineLevel="0" collapsed="false">
      <c r="A117" s="31" t="str">
        <f aca="false">IF(取引先マスタ!A117="","",取引先マスタ!A117)</f>
        <v/>
      </c>
      <c r="B117" s="31" t="str">
        <f aca="false">IF(A117="","",取引先マスタ!B117)</f>
        <v/>
      </c>
      <c r="C117" s="27" t="str">
        <f aca="false">IF($A117="","",SUMIFS(請求台帳!$F$5:$F$504,請求台帳!$C$5:$C$504,$A117,請求台帳!$B$5:$B$504,"&gt;="&amp;C$3,請求台帳!$B$5:$B$504,"&lt;"&amp;DATE(YEAR(C$3),MONTH(C$3)+1,1),請求台帳!$Q$5:$Q$504,"&lt;&gt;取消"))</f>
        <v/>
      </c>
      <c r="D117" s="27" t="str">
        <f aca="false">IF($A117="","",SUMIFS(入金明細!$E$5:$E$1004,入金明細!$G$5:$G$1004,$A117,入金明細!$B$5:$B$1004,"&gt;="&amp;C$3,入金明細!$B$5:$B$1004,"&lt;"&amp;DATE(YEAR(C$3),MONTH(C$3)+1,1)))</f>
        <v/>
      </c>
      <c r="E117" s="27" t="str">
        <f aca="false">IF($A117="","",SUMIFS(請求台帳!$F$5:$F$504,請求台帳!$C$5:$C$504,$A117,請求台帳!$B$5:$B$504,"&gt;="&amp;E$3,請求台帳!$B$5:$B$504,"&lt;"&amp;DATE(YEAR(E$3),MONTH(E$3)+1,1),請求台帳!$Q$5:$Q$504,"&lt;&gt;取消"))</f>
        <v/>
      </c>
      <c r="F117" s="27" t="str">
        <f aca="false">IF($A117="","",SUMIFS(入金明細!$E$5:$E$1004,入金明細!$G$5:$G$1004,$A117,入金明細!$B$5:$B$1004,"&gt;="&amp;E$3,入金明細!$B$5:$B$1004,"&lt;"&amp;DATE(YEAR(E$3),MONTH(E$3)+1,1)))</f>
        <v/>
      </c>
      <c r="G117" s="27" t="str">
        <f aca="false">IF($A117="","",SUMIFS(請求台帳!$F$5:$F$504,請求台帳!$C$5:$C$504,$A117,請求台帳!$B$5:$B$504,"&gt;="&amp;G$3,請求台帳!$B$5:$B$504,"&lt;"&amp;DATE(YEAR(G$3),MONTH(G$3)+1,1),請求台帳!$Q$5:$Q$504,"&lt;&gt;取消"))</f>
        <v/>
      </c>
      <c r="H117" s="27" t="str">
        <f aca="false">IF($A117="","",SUMIFS(入金明細!$E$5:$E$1004,入金明細!$G$5:$G$1004,$A117,入金明細!$B$5:$B$1004,"&gt;="&amp;G$3,入金明細!$B$5:$B$1004,"&lt;"&amp;DATE(YEAR(G$3),MONTH(G$3)+1,1)))</f>
        <v/>
      </c>
      <c r="I117" s="27" t="str">
        <f aca="false">IF($A117="","",SUMIFS(請求台帳!$F$5:$F$504,請求台帳!$C$5:$C$504,$A117,請求台帳!$B$5:$B$504,"&gt;="&amp;I$3,請求台帳!$B$5:$B$504,"&lt;"&amp;DATE(YEAR(I$3),MONTH(I$3)+1,1),請求台帳!$Q$5:$Q$504,"&lt;&gt;取消"))</f>
        <v/>
      </c>
      <c r="J117" s="27" t="str">
        <f aca="false">IF($A117="","",SUMIFS(入金明細!$E$5:$E$1004,入金明細!$G$5:$G$1004,$A117,入金明細!$B$5:$B$1004,"&gt;="&amp;I$3,入金明細!$B$5:$B$1004,"&lt;"&amp;DATE(YEAR(I$3),MONTH(I$3)+1,1)))</f>
        <v/>
      </c>
      <c r="K117" s="27" t="str">
        <f aca="false">IF($A117="","",SUMIFS(請求台帳!$F$5:$F$504,請求台帳!$C$5:$C$504,$A117,請求台帳!$B$5:$B$504,"&gt;="&amp;K$3,請求台帳!$B$5:$B$504,"&lt;"&amp;DATE(YEAR(K$3),MONTH(K$3)+1,1),請求台帳!$Q$5:$Q$504,"&lt;&gt;取消"))</f>
        <v/>
      </c>
      <c r="L117" s="27" t="str">
        <f aca="false">IF($A117="","",SUMIFS(入金明細!$E$5:$E$1004,入金明細!$G$5:$G$1004,$A117,入金明細!$B$5:$B$1004,"&gt;="&amp;K$3,入金明細!$B$5:$B$1004,"&lt;"&amp;DATE(YEAR(K$3),MONTH(K$3)+1,1)))</f>
        <v/>
      </c>
      <c r="M117" s="27" t="str">
        <f aca="false">IF($A117="","",SUMIFS(請求台帳!$F$5:$F$504,請求台帳!$C$5:$C$504,$A117,請求台帳!$B$5:$B$504,"&gt;="&amp;M$3,請求台帳!$B$5:$B$504,"&lt;"&amp;DATE(YEAR(M$3),MONTH(M$3)+1,1),請求台帳!$Q$5:$Q$504,"&lt;&gt;取消"))</f>
        <v/>
      </c>
      <c r="N117" s="27" t="str">
        <f aca="false">IF($A117="","",SUMIFS(入金明細!$E$5:$E$1004,入金明細!$G$5:$G$1004,$A117,入金明細!$B$5:$B$1004,"&gt;="&amp;M$3,入金明細!$B$5:$B$1004,"&lt;"&amp;DATE(YEAR(M$3),MONTH(M$3)+1,1)))</f>
        <v/>
      </c>
      <c r="O117" s="27" t="str">
        <f aca="false">IF($A117="","",SUMIFS(請求台帳!$F$5:$F$504,請求台帳!$C$5:$C$504,$A117,請求台帳!$B$5:$B$504,"&gt;="&amp;O$3,請求台帳!$B$5:$B$504,"&lt;"&amp;DATE(YEAR(O$3),MONTH(O$3)+1,1),請求台帳!$Q$5:$Q$504,"&lt;&gt;取消"))</f>
        <v/>
      </c>
      <c r="P117" s="27" t="str">
        <f aca="false">IF($A117="","",SUMIFS(入金明細!$E$5:$E$1004,入金明細!$G$5:$G$1004,$A117,入金明細!$B$5:$B$1004,"&gt;="&amp;O$3,入金明細!$B$5:$B$1004,"&lt;"&amp;DATE(YEAR(O$3),MONTH(O$3)+1,1)))</f>
        <v/>
      </c>
      <c r="Q117" s="27" t="str">
        <f aca="false">IF($A117="","",SUMIFS(請求台帳!$F$5:$F$504,請求台帳!$C$5:$C$504,$A117,請求台帳!$B$5:$B$504,"&gt;="&amp;Q$3,請求台帳!$B$5:$B$504,"&lt;"&amp;DATE(YEAR(Q$3),MONTH(Q$3)+1,1),請求台帳!$Q$5:$Q$504,"&lt;&gt;取消"))</f>
        <v/>
      </c>
      <c r="R117" s="27" t="str">
        <f aca="false">IF($A117="","",SUMIFS(入金明細!$E$5:$E$1004,入金明細!$G$5:$G$1004,$A117,入金明細!$B$5:$B$1004,"&gt;="&amp;Q$3,入金明細!$B$5:$B$1004,"&lt;"&amp;DATE(YEAR(Q$3),MONTH(Q$3)+1,1)))</f>
        <v/>
      </c>
      <c r="S117" s="27" t="str">
        <f aca="false">IF($A117="","",SUMIFS(請求台帳!$F$5:$F$504,請求台帳!$C$5:$C$504,$A117,請求台帳!$B$5:$B$504,"&gt;="&amp;S$3,請求台帳!$B$5:$B$504,"&lt;"&amp;DATE(YEAR(S$3),MONTH(S$3)+1,1),請求台帳!$Q$5:$Q$504,"&lt;&gt;取消"))</f>
        <v/>
      </c>
      <c r="T117" s="27" t="str">
        <f aca="false">IF($A117="","",SUMIFS(入金明細!$E$5:$E$1004,入金明細!$G$5:$G$1004,$A117,入金明細!$B$5:$B$1004,"&gt;="&amp;S$3,入金明細!$B$5:$B$1004,"&lt;"&amp;DATE(YEAR(S$3),MONTH(S$3)+1,1)))</f>
        <v/>
      </c>
      <c r="U117" s="27" t="str">
        <f aca="false">IF($A117="","",SUMIFS(請求台帳!$F$5:$F$504,請求台帳!$C$5:$C$504,$A117,請求台帳!$B$5:$B$504,"&gt;="&amp;U$3,請求台帳!$B$5:$B$504,"&lt;"&amp;DATE(YEAR(U$3),MONTH(U$3)+1,1),請求台帳!$Q$5:$Q$504,"&lt;&gt;取消"))</f>
        <v/>
      </c>
      <c r="V117" s="27" t="str">
        <f aca="false">IF($A117="","",SUMIFS(入金明細!$E$5:$E$1004,入金明細!$G$5:$G$1004,$A117,入金明細!$B$5:$B$1004,"&gt;="&amp;U$3,入金明細!$B$5:$B$1004,"&lt;"&amp;DATE(YEAR(U$3),MONTH(U$3)+1,1)))</f>
        <v/>
      </c>
      <c r="W117" s="27" t="str">
        <f aca="false">IF($A117="","",SUMIFS(請求台帳!$F$5:$F$504,請求台帳!$C$5:$C$504,$A117,請求台帳!$B$5:$B$504,"&gt;="&amp;W$3,請求台帳!$B$5:$B$504,"&lt;"&amp;DATE(YEAR(W$3),MONTH(W$3)+1,1),請求台帳!$Q$5:$Q$504,"&lt;&gt;取消"))</f>
        <v/>
      </c>
      <c r="X117" s="27" t="str">
        <f aca="false">IF($A117="","",SUMIFS(入金明細!$E$5:$E$1004,入金明細!$G$5:$G$1004,$A117,入金明細!$B$5:$B$1004,"&gt;="&amp;W$3,入金明細!$B$5:$B$1004,"&lt;"&amp;DATE(YEAR(W$3),MONTH(W$3)+1,1)))</f>
        <v/>
      </c>
      <c r="Y117" s="27" t="str">
        <f aca="false">IF($A117="","",SUMIFS(請求台帳!$F$5:$F$504,請求台帳!$C$5:$C$504,$A117,請求台帳!$B$5:$B$504,"&gt;="&amp;Y$3,請求台帳!$B$5:$B$504,"&lt;"&amp;DATE(YEAR(Y$3),MONTH(Y$3)+1,1),請求台帳!$Q$5:$Q$504,"&lt;&gt;取消"))</f>
        <v/>
      </c>
      <c r="Z117" s="27" t="str">
        <f aca="false">IF($A117="","",SUMIFS(入金明細!$E$5:$E$1004,入金明細!$G$5:$G$1004,$A117,入金明細!$B$5:$B$1004,"&gt;="&amp;Y$3,入金明細!$B$5:$B$1004,"&lt;"&amp;DATE(YEAR(Y$3),MONTH(Y$3)+1,1)))</f>
        <v/>
      </c>
      <c r="AA117" s="37" t="n">
        <f aca="false">SUM(C117,E117,G117,I117,K117,M117,O117,Q117,S117,U117,W117,Y117)</f>
        <v>0</v>
      </c>
      <c r="AB117" s="37" t="n">
        <f aca="false">SUM(D117,F117,H117,J117,L117,N117,P117,R117,T117,V117,X117,Z117)</f>
        <v>0</v>
      </c>
    </row>
    <row r="118" customFormat="false" ht="15" hidden="false" customHeight="false" outlineLevel="0" collapsed="false">
      <c r="A118" s="31" t="str">
        <f aca="false">IF(取引先マスタ!A118="","",取引先マスタ!A118)</f>
        <v/>
      </c>
      <c r="B118" s="31" t="str">
        <f aca="false">IF(A118="","",取引先マスタ!B118)</f>
        <v/>
      </c>
      <c r="C118" s="27" t="str">
        <f aca="false">IF($A118="","",SUMIFS(請求台帳!$F$5:$F$504,請求台帳!$C$5:$C$504,$A118,請求台帳!$B$5:$B$504,"&gt;="&amp;C$3,請求台帳!$B$5:$B$504,"&lt;"&amp;DATE(YEAR(C$3),MONTH(C$3)+1,1),請求台帳!$Q$5:$Q$504,"&lt;&gt;取消"))</f>
        <v/>
      </c>
      <c r="D118" s="27" t="str">
        <f aca="false">IF($A118="","",SUMIFS(入金明細!$E$5:$E$1004,入金明細!$G$5:$G$1004,$A118,入金明細!$B$5:$B$1004,"&gt;="&amp;C$3,入金明細!$B$5:$B$1004,"&lt;"&amp;DATE(YEAR(C$3),MONTH(C$3)+1,1)))</f>
        <v/>
      </c>
      <c r="E118" s="27" t="str">
        <f aca="false">IF($A118="","",SUMIFS(請求台帳!$F$5:$F$504,請求台帳!$C$5:$C$504,$A118,請求台帳!$B$5:$B$504,"&gt;="&amp;E$3,請求台帳!$B$5:$B$504,"&lt;"&amp;DATE(YEAR(E$3),MONTH(E$3)+1,1),請求台帳!$Q$5:$Q$504,"&lt;&gt;取消"))</f>
        <v/>
      </c>
      <c r="F118" s="27" t="str">
        <f aca="false">IF($A118="","",SUMIFS(入金明細!$E$5:$E$1004,入金明細!$G$5:$G$1004,$A118,入金明細!$B$5:$B$1004,"&gt;="&amp;E$3,入金明細!$B$5:$B$1004,"&lt;"&amp;DATE(YEAR(E$3),MONTH(E$3)+1,1)))</f>
        <v/>
      </c>
      <c r="G118" s="27" t="str">
        <f aca="false">IF($A118="","",SUMIFS(請求台帳!$F$5:$F$504,請求台帳!$C$5:$C$504,$A118,請求台帳!$B$5:$B$504,"&gt;="&amp;G$3,請求台帳!$B$5:$B$504,"&lt;"&amp;DATE(YEAR(G$3),MONTH(G$3)+1,1),請求台帳!$Q$5:$Q$504,"&lt;&gt;取消"))</f>
        <v/>
      </c>
      <c r="H118" s="27" t="str">
        <f aca="false">IF($A118="","",SUMIFS(入金明細!$E$5:$E$1004,入金明細!$G$5:$G$1004,$A118,入金明細!$B$5:$B$1004,"&gt;="&amp;G$3,入金明細!$B$5:$B$1004,"&lt;"&amp;DATE(YEAR(G$3),MONTH(G$3)+1,1)))</f>
        <v/>
      </c>
      <c r="I118" s="27" t="str">
        <f aca="false">IF($A118="","",SUMIFS(請求台帳!$F$5:$F$504,請求台帳!$C$5:$C$504,$A118,請求台帳!$B$5:$B$504,"&gt;="&amp;I$3,請求台帳!$B$5:$B$504,"&lt;"&amp;DATE(YEAR(I$3),MONTH(I$3)+1,1),請求台帳!$Q$5:$Q$504,"&lt;&gt;取消"))</f>
        <v/>
      </c>
      <c r="J118" s="27" t="str">
        <f aca="false">IF($A118="","",SUMIFS(入金明細!$E$5:$E$1004,入金明細!$G$5:$G$1004,$A118,入金明細!$B$5:$B$1004,"&gt;="&amp;I$3,入金明細!$B$5:$B$1004,"&lt;"&amp;DATE(YEAR(I$3),MONTH(I$3)+1,1)))</f>
        <v/>
      </c>
      <c r="K118" s="27" t="str">
        <f aca="false">IF($A118="","",SUMIFS(請求台帳!$F$5:$F$504,請求台帳!$C$5:$C$504,$A118,請求台帳!$B$5:$B$504,"&gt;="&amp;K$3,請求台帳!$B$5:$B$504,"&lt;"&amp;DATE(YEAR(K$3),MONTH(K$3)+1,1),請求台帳!$Q$5:$Q$504,"&lt;&gt;取消"))</f>
        <v/>
      </c>
      <c r="L118" s="27" t="str">
        <f aca="false">IF($A118="","",SUMIFS(入金明細!$E$5:$E$1004,入金明細!$G$5:$G$1004,$A118,入金明細!$B$5:$B$1004,"&gt;="&amp;K$3,入金明細!$B$5:$B$1004,"&lt;"&amp;DATE(YEAR(K$3),MONTH(K$3)+1,1)))</f>
        <v/>
      </c>
      <c r="M118" s="27" t="str">
        <f aca="false">IF($A118="","",SUMIFS(請求台帳!$F$5:$F$504,請求台帳!$C$5:$C$504,$A118,請求台帳!$B$5:$B$504,"&gt;="&amp;M$3,請求台帳!$B$5:$B$504,"&lt;"&amp;DATE(YEAR(M$3),MONTH(M$3)+1,1),請求台帳!$Q$5:$Q$504,"&lt;&gt;取消"))</f>
        <v/>
      </c>
      <c r="N118" s="27" t="str">
        <f aca="false">IF($A118="","",SUMIFS(入金明細!$E$5:$E$1004,入金明細!$G$5:$G$1004,$A118,入金明細!$B$5:$B$1004,"&gt;="&amp;M$3,入金明細!$B$5:$B$1004,"&lt;"&amp;DATE(YEAR(M$3),MONTH(M$3)+1,1)))</f>
        <v/>
      </c>
      <c r="O118" s="27" t="str">
        <f aca="false">IF($A118="","",SUMIFS(請求台帳!$F$5:$F$504,請求台帳!$C$5:$C$504,$A118,請求台帳!$B$5:$B$504,"&gt;="&amp;O$3,請求台帳!$B$5:$B$504,"&lt;"&amp;DATE(YEAR(O$3),MONTH(O$3)+1,1),請求台帳!$Q$5:$Q$504,"&lt;&gt;取消"))</f>
        <v/>
      </c>
      <c r="P118" s="27" t="str">
        <f aca="false">IF($A118="","",SUMIFS(入金明細!$E$5:$E$1004,入金明細!$G$5:$G$1004,$A118,入金明細!$B$5:$B$1004,"&gt;="&amp;O$3,入金明細!$B$5:$B$1004,"&lt;"&amp;DATE(YEAR(O$3),MONTH(O$3)+1,1)))</f>
        <v/>
      </c>
      <c r="Q118" s="27" t="str">
        <f aca="false">IF($A118="","",SUMIFS(請求台帳!$F$5:$F$504,請求台帳!$C$5:$C$504,$A118,請求台帳!$B$5:$B$504,"&gt;="&amp;Q$3,請求台帳!$B$5:$B$504,"&lt;"&amp;DATE(YEAR(Q$3),MONTH(Q$3)+1,1),請求台帳!$Q$5:$Q$504,"&lt;&gt;取消"))</f>
        <v/>
      </c>
      <c r="R118" s="27" t="str">
        <f aca="false">IF($A118="","",SUMIFS(入金明細!$E$5:$E$1004,入金明細!$G$5:$G$1004,$A118,入金明細!$B$5:$B$1004,"&gt;="&amp;Q$3,入金明細!$B$5:$B$1004,"&lt;"&amp;DATE(YEAR(Q$3),MONTH(Q$3)+1,1)))</f>
        <v/>
      </c>
      <c r="S118" s="27" t="str">
        <f aca="false">IF($A118="","",SUMIFS(請求台帳!$F$5:$F$504,請求台帳!$C$5:$C$504,$A118,請求台帳!$B$5:$B$504,"&gt;="&amp;S$3,請求台帳!$B$5:$B$504,"&lt;"&amp;DATE(YEAR(S$3),MONTH(S$3)+1,1),請求台帳!$Q$5:$Q$504,"&lt;&gt;取消"))</f>
        <v/>
      </c>
      <c r="T118" s="27" t="str">
        <f aca="false">IF($A118="","",SUMIFS(入金明細!$E$5:$E$1004,入金明細!$G$5:$G$1004,$A118,入金明細!$B$5:$B$1004,"&gt;="&amp;S$3,入金明細!$B$5:$B$1004,"&lt;"&amp;DATE(YEAR(S$3),MONTH(S$3)+1,1)))</f>
        <v/>
      </c>
      <c r="U118" s="27" t="str">
        <f aca="false">IF($A118="","",SUMIFS(請求台帳!$F$5:$F$504,請求台帳!$C$5:$C$504,$A118,請求台帳!$B$5:$B$504,"&gt;="&amp;U$3,請求台帳!$B$5:$B$504,"&lt;"&amp;DATE(YEAR(U$3),MONTH(U$3)+1,1),請求台帳!$Q$5:$Q$504,"&lt;&gt;取消"))</f>
        <v/>
      </c>
      <c r="V118" s="27" t="str">
        <f aca="false">IF($A118="","",SUMIFS(入金明細!$E$5:$E$1004,入金明細!$G$5:$G$1004,$A118,入金明細!$B$5:$B$1004,"&gt;="&amp;U$3,入金明細!$B$5:$B$1004,"&lt;"&amp;DATE(YEAR(U$3),MONTH(U$3)+1,1)))</f>
        <v/>
      </c>
      <c r="W118" s="27" t="str">
        <f aca="false">IF($A118="","",SUMIFS(請求台帳!$F$5:$F$504,請求台帳!$C$5:$C$504,$A118,請求台帳!$B$5:$B$504,"&gt;="&amp;W$3,請求台帳!$B$5:$B$504,"&lt;"&amp;DATE(YEAR(W$3),MONTH(W$3)+1,1),請求台帳!$Q$5:$Q$504,"&lt;&gt;取消"))</f>
        <v/>
      </c>
      <c r="X118" s="27" t="str">
        <f aca="false">IF($A118="","",SUMIFS(入金明細!$E$5:$E$1004,入金明細!$G$5:$G$1004,$A118,入金明細!$B$5:$B$1004,"&gt;="&amp;W$3,入金明細!$B$5:$B$1004,"&lt;"&amp;DATE(YEAR(W$3),MONTH(W$3)+1,1)))</f>
        <v/>
      </c>
      <c r="Y118" s="27" t="str">
        <f aca="false">IF($A118="","",SUMIFS(請求台帳!$F$5:$F$504,請求台帳!$C$5:$C$504,$A118,請求台帳!$B$5:$B$504,"&gt;="&amp;Y$3,請求台帳!$B$5:$B$504,"&lt;"&amp;DATE(YEAR(Y$3),MONTH(Y$3)+1,1),請求台帳!$Q$5:$Q$504,"&lt;&gt;取消"))</f>
        <v/>
      </c>
      <c r="Z118" s="27" t="str">
        <f aca="false">IF($A118="","",SUMIFS(入金明細!$E$5:$E$1004,入金明細!$G$5:$G$1004,$A118,入金明細!$B$5:$B$1004,"&gt;="&amp;Y$3,入金明細!$B$5:$B$1004,"&lt;"&amp;DATE(YEAR(Y$3),MONTH(Y$3)+1,1)))</f>
        <v/>
      </c>
      <c r="AA118" s="37" t="n">
        <f aca="false">SUM(C118,E118,G118,I118,K118,M118,O118,Q118,S118,U118,W118,Y118)</f>
        <v>0</v>
      </c>
      <c r="AB118" s="37" t="n">
        <f aca="false">SUM(D118,F118,H118,J118,L118,N118,P118,R118,T118,V118,X118,Z118)</f>
        <v>0</v>
      </c>
    </row>
    <row r="119" customFormat="false" ht="15" hidden="false" customHeight="false" outlineLevel="0" collapsed="false">
      <c r="A119" s="31" t="str">
        <f aca="false">IF(取引先マスタ!A119="","",取引先マスタ!A119)</f>
        <v/>
      </c>
      <c r="B119" s="31" t="str">
        <f aca="false">IF(A119="","",取引先マスタ!B119)</f>
        <v/>
      </c>
      <c r="C119" s="27" t="str">
        <f aca="false">IF($A119="","",SUMIFS(請求台帳!$F$5:$F$504,請求台帳!$C$5:$C$504,$A119,請求台帳!$B$5:$B$504,"&gt;="&amp;C$3,請求台帳!$B$5:$B$504,"&lt;"&amp;DATE(YEAR(C$3),MONTH(C$3)+1,1),請求台帳!$Q$5:$Q$504,"&lt;&gt;取消"))</f>
        <v/>
      </c>
      <c r="D119" s="27" t="str">
        <f aca="false">IF($A119="","",SUMIFS(入金明細!$E$5:$E$1004,入金明細!$G$5:$G$1004,$A119,入金明細!$B$5:$B$1004,"&gt;="&amp;C$3,入金明細!$B$5:$B$1004,"&lt;"&amp;DATE(YEAR(C$3),MONTH(C$3)+1,1)))</f>
        <v/>
      </c>
      <c r="E119" s="27" t="str">
        <f aca="false">IF($A119="","",SUMIFS(請求台帳!$F$5:$F$504,請求台帳!$C$5:$C$504,$A119,請求台帳!$B$5:$B$504,"&gt;="&amp;E$3,請求台帳!$B$5:$B$504,"&lt;"&amp;DATE(YEAR(E$3),MONTH(E$3)+1,1),請求台帳!$Q$5:$Q$504,"&lt;&gt;取消"))</f>
        <v/>
      </c>
      <c r="F119" s="27" t="str">
        <f aca="false">IF($A119="","",SUMIFS(入金明細!$E$5:$E$1004,入金明細!$G$5:$G$1004,$A119,入金明細!$B$5:$B$1004,"&gt;="&amp;E$3,入金明細!$B$5:$B$1004,"&lt;"&amp;DATE(YEAR(E$3),MONTH(E$3)+1,1)))</f>
        <v/>
      </c>
      <c r="G119" s="27" t="str">
        <f aca="false">IF($A119="","",SUMIFS(請求台帳!$F$5:$F$504,請求台帳!$C$5:$C$504,$A119,請求台帳!$B$5:$B$504,"&gt;="&amp;G$3,請求台帳!$B$5:$B$504,"&lt;"&amp;DATE(YEAR(G$3),MONTH(G$3)+1,1),請求台帳!$Q$5:$Q$504,"&lt;&gt;取消"))</f>
        <v/>
      </c>
      <c r="H119" s="27" t="str">
        <f aca="false">IF($A119="","",SUMIFS(入金明細!$E$5:$E$1004,入金明細!$G$5:$G$1004,$A119,入金明細!$B$5:$B$1004,"&gt;="&amp;G$3,入金明細!$B$5:$B$1004,"&lt;"&amp;DATE(YEAR(G$3),MONTH(G$3)+1,1)))</f>
        <v/>
      </c>
      <c r="I119" s="27" t="str">
        <f aca="false">IF($A119="","",SUMIFS(請求台帳!$F$5:$F$504,請求台帳!$C$5:$C$504,$A119,請求台帳!$B$5:$B$504,"&gt;="&amp;I$3,請求台帳!$B$5:$B$504,"&lt;"&amp;DATE(YEAR(I$3),MONTH(I$3)+1,1),請求台帳!$Q$5:$Q$504,"&lt;&gt;取消"))</f>
        <v/>
      </c>
      <c r="J119" s="27" t="str">
        <f aca="false">IF($A119="","",SUMIFS(入金明細!$E$5:$E$1004,入金明細!$G$5:$G$1004,$A119,入金明細!$B$5:$B$1004,"&gt;="&amp;I$3,入金明細!$B$5:$B$1004,"&lt;"&amp;DATE(YEAR(I$3),MONTH(I$3)+1,1)))</f>
        <v/>
      </c>
      <c r="K119" s="27" t="str">
        <f aca="false">IF($A119="","",SUMIFS(請求台帳!$F$5:$F$504,請求台帳!$C$5:$C$504,$A119,請求台帳!$B$5:$B$504,"&gt;="&amp;K$3,請求台帳!$B$5:$B$504,"&lt;"&amp;DATE(YEAR(K$3),MONTH(K$3)+1,1),請求台帳!$Q$5:$Q$504,"&lt;&gt;取消"))</f>
        <v/>
      </c>
      <c r="L119" s="27" t="str">
        <f aca="false">IF($A119="","",SUMIFS(入金明細!$E$5:$E$1004,入金明細!$G$5:$G$1004,$A119,入金明細!$B$5:$B$1004,"&gt;="&amp;K$3,入金明細!$B$5:$B$1004,"&lt;"&amp;DATE(YEAR(K$3),MONTH(K$3)+1,1)))</f>
        <v/>
      </c>
      <c r="M119" s="27" t="str">
        <f aca="false">IF($A119="","",SUMIFS(請求台帳!$F$5:$F$504,請求台帳!$C$5:$C$504,$A119,請求台帳!$B$5:$B$504,"&gt;="&amp;M$3,請求台帳!$B$5:$B$504,"&lt;"&amp;DATE(YEAR(M$3),MONTH(M$3)+1,1),請求台帳!$Q$5:$Q$504,"&lt;&gt;取消"))</f>
        <v/>
      </c>
      <c r="N119" s="27" t="str">
        <f aca="false">IF($A119="","",SUMIFS(入金明細!$E$5:$E$1004,入金明細!$G$5:$G$1004,$A119,入金明細!$B$5:$B$1004,"&gt;="&amp;M$3,入金明細!$B$5:$B$1004,"&lt;"&amp;DATE(YEAR(M$3),MONTH(M$3)+1,1)))</f>
        <v/>
      </c>
      <c r="O119" s="27" t="str">
        <f aca="false">IF($A119="","",SUMIFS(請求台帳!$F$5:$F$504,請求台帳!$C$5:$C$504,$A119,請求台帳!$B$5:$B$504,"&gt;="&amp;O$3,請求台帳!$B$5:$B$504,"&lt;"&amp;DATE(YEAR(O$3),MONTH(O$3)+1,1),請求台帳!$Q$5:$Q$504,"&lt;&gt;取消"))</f>
        <v/>
      </c>
      <c r="P119" s="27" t="str">
        <f aca="false">IF($A119="","",SUMIFS(入金明細!$E$5:$E$1004,入金明細!$G$5:$G$1004,$A119,入金明細!$B$5:$B$1004,"&gt;="&amp;O$3,入金明細!$B$5:$B$1004,"&lt;"&amp;DATE(YEAR(O$3),MONTH(O$3)+1,1)))</f>
        <v/>
      </c>
      <c r="Q119" s="27" t="str">
        <f aca="false">IF($A119="","",SUMIFS(請求台帳!$F$5:$F$504,請求台帳!$C$5:$C$504,$A119,請求台帳!$B$5:$B$504,"&gt;="&amp;Q$3,請求台帳!$B$5:$B$504,"&lt;"&amp;DATE(YEAR(Q$3),MONTH(Q$3)+1,1),請求台帳!$Q$5:$Q$504,"&lt;&gt;取消"))</f>
        <v/>
      </c>
      <c r="R119" s="27" t="str">
        <f aca="false">IF($A119="","",SUMIFS(入金明細!$E$5:$E$1004,入金明細!$G$5:$G$1004,$A119,入金明細!$B$5:$B$1004,"&gt;="&amp;Q$3,入金明細!$B$5:$B$1004,"&lt;"&amp;DATE(YEAR(Q$3),MONTH(Q$3)+1,1)))</f>
        <v/>
      </c>
      <c r="S119" s="27" t="str">
        <f aca="false">IF($A119="","",SUMIFS(請求台帳!$F$5:$F$504,請求台帳!$C$5:$C$504,$A119,請求台帳!$B$5:$B$504,"&gt;="&amp;S$3,請求台帳!$B$5:$B$504,"&lt;"&amp;DATE(YEAR(S$3),MONTH(S$3)+1,1),請求台帳!$Q$5:$Q$504,"&lt;&gt;取消"))</f>
        <v/>
      </c>
      <c r="T119" s="27" t="str">
        <f aca="false">IF($A119="","",SUMIFS(入金明細!$E$5:$E$1004,入金明細!$G$5:$G$1004,$A119,入金明細!$B$5:$B$1004,"&gt;="&amp;S$3,入金明細!$B$5:$B$1004,"&lt;"&amp;DATE(YEAR(S$3),MONTH(S$3)+1,1)))</f>
        <v/>
      </c>
      <c r="U119" s="27" t="str">
        <f aca="false">IF($A119="","",SUMIFS(請求台帳!$F$5:$F$504,請求台帳!$C$5:$C$504,$A119,請求台帳!$B$5:$B$504,"&gt;="&amp;U$3,請求台帳!$B$5:$B$504,"&lt;"&amp;DATE(YEAR(U$3),MONTH(U$3)+1,1),請求台帳!$Q$5:$Q$504,"&lt;&gt;取消"))</f>
        <v/>
      </c>
      <c r="V119" s="27" t="str">
        <f aca="false">IF($A119="","",SUMIFS(入金明細!$E$5:$E$1004,入金明細!$G$5:$G$1004,$A119,入金明細!$B$5:$B$1004,"&gt;="&amp;U$3,入金明細!$B$5:$B$1004,"&lt;"&amp;DATE(YEAR(U$3),MONTH(U$3)+1,1)))</f>
        <v/>
      </c>
      <c r="W119" s="27" t="str">
        <f aca="false">IF($A119="","",SUMIFS(請求台帳!$F$5:$F$504,請求台帳!$C$5:$C$504,$A119,請求台帳!$B$5:$B$504,"&gt;="&amp;W$3,請求台帳!$B$5:$B$504,"&lt;"&amp;DATE(YEAR(W$3),MONTH(W$3)+1,1),請求台帳!$Q$5:$Q$504,"&lt;&gt;取消"))</f>
        <v/>
      </c>
      <c r="X119" s="27" t="str">
        <f aca="false">IF($A119="","",SUMIFS(入金明細!$E$5:$E$1004,入金明細!$G$5:$G$1004,$A119,入金明細!$B$5:$B$1004,"&gt;="&amp;W$3,入金明細!$B$5:$B$1004,"&lt;"&amp;DATE(YEAR(W$3),MONTH(W$3)+1,1)))</f>
        <v/>
      </c>
      <c r="Y119" s="27" t="str">
        <f aca="false">IF($A119="","",SUMIFS(請求台帳!$F$5:$F$504,請求台帳!$C$5:$C$504,$A119,請求台帳!$B$5:$B$504,"&gt;="&amp;Y$3,請求台帳!$B$5:$B$504,"&lt;"&amp;DATE(YEAR(Y$3),MONTH(Y$3)+1,1),請求台帳!$Q$5:$Q$504,"&lt;&gt;取消"))</f>
        <v/>
      </c>
      <c r="Z119" s="27" t="str">
        <f aca="false">IF($A119="","",SUMIFS(入金明細!$E$5:$E$1004,入金明細!$G$5:$G$1004,$A119,入金明細!$B$5:$B$1004,"&gt;="&amp;Y$3,入金明細!$B$5:$B$1004,"&lt;"&amp;DATE(YEAR(Y$3),MONTH(Y$3)+1,1)))</f>
        <v/>
      </c>
      <c r="AA119" s="37" t="n">
        <f aca="false">SUM(C119,E119,G119,I119,K119,M119,O119,Q119,S119,U119,W119,Y119)</f>
        <v>0</v>
      </c>
      <c r="AB119" s="37" t="n">
        <f aca="false">SUM(D119,F119,H119,J119,L119,N119,P119,R119,T119,V119,X119,Z119)</f>
        <v>0</v>
      </c>
    </row>
    <row r="120" customFormat="false" ht="15" hidden="false" customHeight="false" outlineLevel="0" collapsed="false">
      <c r="A120" s="31" t="str">
        <f aca="false">IF(取引先マスタ!A120="","",取引先マスタ!A120)</f>
        <v/>
      </c>
      <c r="B120" s="31" t="str">
        <f aca="false">IF(A120="","",取引先マスタ!B120)</f>
        <v/>
      </c>
      <c r="C120" s="27" t="str">
        <f aca="false">IF($A120="","",SUMIFS(請求台帳!$F$5:$F$504,請求台帳!$C$5:$C$504,$A120,請求台帳!$B$5:$B$504,"&gt;="&amp;C$3,請求台帳!$B$5:$B$504,"&lt;"&amp;DATE(YEAR(C$3),MONTH(C$3)+1,1),請求台帳!$Q$5:$Q$504,"&lt;&gt;取消"))</f>
        <v/>
      </c>
      <c r="D120" s="27" t="str">
        <f aca="false">IF($A120="","",SUMIFS(入金明細!$E$5:$E$1004,入金明細!$G$5:$G$1004,$A120,入金明細!$B$5:$B$1004,"&gt;="&amp;C$3,入金明細!$B$5:$B$1004,"&lt;"&amp;DATE(YEAR(C$3),MONTH(C$3)+1,1)))</f>
        <v/>
      </c>
      <c r="E120" s="27" t="str">
        <f aca="false">IF($A120="","",SUMIFS(請求台帳!$F$5:$F$504,請求台帳!$C$5:$C$504,$A120,請求台帳!$B$5:$B$504,"&gt;="&amp;E$3,請求台帳!$B$5:$B$504,"&lt;"&amp;DATE(YEAR(E$3),MONTH(E$3)+1,1),請求台帳!$Q$5:$Q$504,"&lt;&gt;取消"))</f>
        <v/>
      </c>
      <c r="F120" s="27" t="str">
        <f aca="false">IF($A120="","",SUMIFS(入金明細!$E$5:$E$1004,入金明細!$G$5:$G$1004,$A120,入金明細!$B$5:$B$1004,"&gt;="&amp;E$3,入金明細!$B$5:$B$1004,"&lt;"&amp;DATE(YEAR(E$3),MONTH(E$3)+1,1)))</f>
        <v/>
      </c>
      <c r="G120" s="27" t="str">
        <f aca="false">IF($A120="","",SUMIFS(請求台帳!$F$5:$F$504,請求台帳!$C$5:$C$504,$A120,請求台帳!$B$5:$B$504,"&gt;="&amp;G$3,請求台帳!$B$5:$B$504,"&lt;"&amp;DATE(YEAR(G$3),MONTH(G$3)+1,1),請求台帳!$Q$5:$Q$504,"&lt;&gt;取消"))</f>
        <v/>
      </c>
      <c r="H120" s="27" t="str">
        <f aca="false">IF($A120="","",SUMIFS(入金明細!$E$5:$E$1004,入金明細!$G$5:$G$1004,$A120,入金明細!$B$5:$B$1004,"&gt;="&amp;G$3,入金明細!$B$5:$B$1004,"&lt;"&amp;DATE(YEAR(G$3),MONTH(G$3)+1,1)))</f>
        <v/>
      </c>
      <c r="I120" s="27" t="str">
        <f aca="false">IF($A120="","",SUMIFS(請求台帳!$F$5:$F$504,請求台帳!$C$5:$C$504,$A120,請求台帳!$B$5:$B$504,"&gt;="&amp;I$3,請求台帳!$B$5:$B$504,"&lt;"&amp;DATE(YEAR(I$3),MONTH(I$3)+1,1),請求台帳!$Q$5:$Q$504,"&lt;&gt;取消"))</f>
        <v/>
      </c>
      <c r="J120" s="27" t="str">
        <f aca="false">IF($A120="","",SUMIFS(入金明細!$E$5:$E$1004,入金明細!$G$5:$G$1004,$A120,入金明細!$B$5:$B$1004,"&gt;="&amp;I$3,入金明細!$B$5:$B$1004,"&lt;"&amp;DATE(YEAR(I$3),MONTH(I$3)+1,1)))</f>
        <v/>
      </c>
      <c r="K120" s="27" t="str">
        <f aca="false">IF($A120="","",SUMIFS(請求台帳!$F$5:$F$504,請求台帳!$C$5:$C$504,$A120,請求台帳!$B$5:$B$504,"&gt;="&amp;K$3,請求台帳!$B$5:$B$504,"&lt;"&amp;DATE(YEAR(K$3),MONTH(K$3)+1,1),請求台帳!$Q$5:$Q$504,"&lt;&gt;取消"))</f>
        <v/>
      </c>
      <c r="L120" s="27" t="str">
        <f aca="false">IF($A120="","",SUMIFS(入金明細!$E$5:$E$1004,入金明細!$G$5:$G$1004,$A120,入金明細!$B$5:$B$1004,"&gt;="&amp;K$3,入金明細!$B$5:$B$1004,"&lt;"&amp;DATE(YEAR(K$3),MONTH(K$3)+1,1)))</f>
        <v/>
      </c>
      <c r="M120" s="27" t="str">
        <f aca="false">IF($A120="","",SUMIFS(請求台帳!$F$5:$F$504,請求台帳!$C$5:$C$504,$A120,請求台帳!$B$5:$B$504,"&gt;="&amp;M$3,請求台帳!$B$5:$B$504,"&lt;"&amp;DATE(YEAR(M$3),MONTH(M$3)+1,1),請求台帳!$Q$5:$Q$504,"&lt;&gt;取消"))</f>
        <v/>
      </c>
      <c r="N120" s="27" t="str">
        <f aca="false">IF($A120="","",SUMIFS(入金明細!$E$5:$E$1004,入金明細!$G$5:$G$1004,$A120,入金明細!$B$5:$B$1004,"&gt;="&amp;M$3,入金明細!$B$5:$B$1004,"&lt;"&amp;DATE(YEAR(M$3),MONTH(M$3)+1,1)))</f>
        <v/>
      </c>
      <c r="O120" s="27" t="str">
        <f aca="false">IF($A120="","",SUMIFS(請求台帳!$F$5:$F$504,請求台帳!$C$5:$C$504,$A120,請求台帳!$B$5:$B$504,"&gt;="&amp;O$3,請求台帳!$B$5:$B$504,"&lt;"&amp;DATE(YEAR(O$3),MONTH(O$3)+1,1),請求台帳!$Q$5:$Q$504,"&lt;&gt;取消"))</f>
        <v/>
      </c>
      <c r="P120" s="27" t="str">
        <f aca="false">IF($A120="","",SUMIFS(入金明細!$E$5:$E$1004,入金明細!$G$5:$G$1004,$A120,入金明細!$B$5:$B$1004,"&gt;="&amp;O$3,入金明細!$B$5:$B$1004,"&lt;"&amp;DATE(YEAR(O$3),MONTH(O$3)+1,1)))</f>
        <v/>
      </c>
      <c r="Q120" s="27" t="str">
        <f aca="false">IF($A120="","",SUMIFS(請求台帳!$F$5:$F$504,請求台帳!$C$5:$C$504,$A120,請求台帳!$B$5:$B$504,"&gt;="&amp;Q$3,請求台帳!$B$5:$B$504,"&lt;"&amp;DATE(YEAR(Q$3),MONTH(Q$3)+1,1),請求台帳!$Q$5:$Q$504,"&lt;&gt;取消"))</f>
        <v/>
      </c>
      <c r="R120" s="27" t="str">
        <f aca="false">IF($A120="","",SUMIFS(入金明細!$E$5:$E$1004,入金明細!$G$5:$G$1004,$A120,入金明細!$B$5:$B$1004,"&gt;="&amp;Q$3,入金明細!$B$5:$B$1004,"&lt;"&amp;DATE(YEAR(Q$3),MONTH(Q$3)+1,1)))</f>
        <v/>
      </c>
      <c r="S120" s="27" t="str">
        <f aca="false">IF($A120="","",SUMIFS(請求台帳!$F$5:$F$504,請求台帳!$C$5:$C$504,$A120,請求台帳!$B$5:$B$504,"&gt;="&amp;S$3,請求台帳!$B$5:$B$504,"&lt;"&amp;DATE(YEAR(S$3),MONTH(S$3)+1,1),請求台帳!$Q$5:$Q$504,"&lt;&gt;取消"))</f>
        <v/>
      </c>
      <c r="T120" s="27" t="str">
        <f aca="false">IF($A120="","",SUMIFS(入金明細!$E$5:$E$1004,入金明細!$G$5:$G$1004,$A120,入金明細!$B$5:$B$1004,"&gt;="&amp;S$3,入金明細!$B$5:$B$1004,"&lt;"&amp;DATE(YEAR(S$3),MONTH(S$3)+1,1)))</f>
        <v/>
      </c>
      <c r="U120" s="27" t="str">
        <f aca="false">IF($A120="","",SUMIFS(請求台帳!$F$5:$F$504,請求台帳!$C$5:$C$504,$A120,請求台帳!$B$5:$B$504,"&gt;="&amp;U$3,請求台帳!$B$5:$B$504,"&lt;"&amp;DATE(YEAR(U$3),MONTH(U$3)+1,1),請求台帳!$Q$5:$Q$504,"&lt;&gt;取消"))</f>
        <v/>
      </c>
      <c r="V120" s="27" t="str">
        <f aca="false">IF($A120="","",SUMIFS(入金明細!$E$5:$E$1004,入金明細!$G$5:$G$1004,$A120,入金明細!$B$5:$B$1004,"&gt;="&amp;U$3,入金明細!$B$5:$B$1004,"&lt;"&amp;DATE(YEAR(U$3),MONTH(U$3)+1,1)))</f>
        <v/>
      </c>
      <c r="W120" s="27" t="str">
        <f aca="false">IF($A120="","",SUMIFS(請求台帳!$F$5:$F$504,請求台帳!$C$5:$C$504,$A120,請求台帳!$B$5:$B$504,"&gt;="&amp;W$3,請求台帳!$B$5:$B$504,"&lt;"&amp;DATE(YEAR(W$3),MONTH(W$3)+1,1),請求台帳!$Q$5:$Q$504,"&lt;&gt;取消"))</f>
        <v/>
      </c>
      <c r="X120" s="27" t="str">
        <f aca="false">IF($A120="","",SUMIFS(入金明細!$E$5:$E$1004,入金明細!$G$5:$G$1004,$A120,入金明細!$B$5:$B$1004,"&gt;="&amp;W$3,入金明細!$B$5:$B$1004,"&lt;"&amp;DATE(YEAR(W$3),MONTH(W$3)+1,1)))</f>
        <v/>
      </c>
      <c r="Y120" s="27" t="str">
        <f aca="false">IF($A120="","",SUMIFS(請求台帳!$F$5:$F$504,請求台帳!$C$5:$C$504,$A120,請求台帳!$B$5:$B$504,"&gt;="&amp;Y$3,請求台帳!$B$5:$B$504,"&lt;"&amp;DATE(YEAR(Y$3),MONTH(Y$3)+1,1),請求台帳!$Q$5:$Q$504,"&lt;&gt;取消"))</f>
        <v/>
      </c>
      <c r="Z120" s="27" t="str">
        <f aca="false">IF($A120="","",SUMIFS(入金明細!$E$5:$E$1004,入金明細!$G$5:$G$1004,$A120,入金明細!$B$5:$B$1004,"&gt;="&amp;Y$3,入金明細!$B$5:$B$1004,"&lt;"&amp;DATE(YEAR(Y$3),MONTH(Y$3)+1,1)))</f>
        <v/>
      </c>
      <c r="AA120" s="37" t="n">
        <f aca="false">SUM(C120,E120,G120,I120,K120,M120,O120,Q120,S120,U120,W120,Y120)</f>
        <v>0</v>
      </c>
      <c r="AB120" s="37" t="n">
        <f aca="false">SUM(D120,F120,H120,J120,L120,N120,P120,R120,T120,V120,X120,Z120)</f>
        <v>0</v>
      </c>
    </row>
    <row r="121" customFormat="false" ht="15" hidden="false" customHeight="false" outlineLevel="0" collapsed="false">
      <c r="A121" s="31" t="str">
        <f aca="false">IF(取引先マスタ!A121="","",取引先マスタ!A121)</f>
        <v/>
      </c>
      <c r="B121" s="31" t="str">
        <f aca="false">IF(A121="","",取引先マスタ!B121)</f>
        <v/>
      </c>
      <c r="C121" s="27" t="str">
        <f aca="false">IF($A121="","",SUMIFS(請求台帳!$F$5:$F$504,請求台帳!$C$5:$C$504,$A121,請求台帳!$B$5:$B$504,"&gt;="&amp;C$3,請求台帳!$B$5:$B$504,"&lt;"&amp;DATE(YEAR(C$3),MONTH(C$3)+1,1),請求台帳!$Q$5:$Q$504,"&lt;&gt;取消"))</f>
        <v/>
      </c>
      <c r="D121" s="27" t="str">
        <f aca="false">IF($A121="","",SUMIFS(入金明細!$E$5:$E$1004,入金明細!$G$5:$G$1004,$A121,入金明細!$B$5:$B$1004,"&gt;="&amp;C$3,入金明細!$B$5:$B$1004,"&lt;"&amp;DATE(YEAR(C$3),MONTH(C$3)+1,1)))</f>
        <v/>
      </c>
      <c r="E121" s="27" t="str">
        <f aca="false">IF($A121="","",SUMIFS(請求台帳!$F$5:$F$504,請求台帳!$C$5:$C$504,$A121,請求台帳!$B$5:$B$504,"&gt;="&amp;E$3,請求台帳!$B$5:$B$504,"&lt;"&amp;DATE(YEAR(E$3),MONTH(E$3)+1,1),請求台帳!$Q$5:$Q$504,"&lt;&gt;取消"))</f>
        <v/>
      </c>
      <c r="F121" s="27" t="str">
        <f aca="false">IF($A121="","",SUMIFS(入金明細!$E$5:$E$1004,入金明細!$G$5:$G$1004,$A121,入金明細!$B$5:$B$1004,"&gt;="&amp;E$3,入金明細!$B$5:$B$1004,"&lt;"&amp;DATE(YEAR(E$3),MONTH(E$3)+1,1)))</f>
        <v/>
      </c>
      <c r="G121" s="27" t="str">
        <f aca="false">IF($A121="","",SUMIFS(請求台帳!$F$5:$F$504,請求台帳!$C$5:$C$504,$A121,請求台帳!$B$5:$B$504,"&gt;="&amp;G$3,請求台帳!$B$5:$B$504,"&lt;"&amp;DATE(YEAR(G$3),MONTH(G$3)+1,1),請求台帳!$Q$5:$Q$504,"&lt;&gt;取消"))</f>
        <v/>
      </c>
      <c r="H121" s="27" t="str">
        <f aca="false">IF($A121="","",SUMIFS(入金明細!$E$5:$E$1004,入金明細!$G$5:$G$1004,$A121,入金明細!$B$5:$B$1004,"&gt;="&amp;G$3,入金明細!$B$5:$B$1004,"&lt;"&amp;DATE(YEAR(G$3),MONTH(G$3)+1,1)))</f>
        <v/>
      </c>
      <c r="I121" s="27" t="str">
        <f aca="false">IF($A121="","",SUMIFS(請求台帳!$F$5:$F$504,請求台帳!$C$5:$C$504,$A121,請求台帳!$B$5:$B$504,"&gt;="&amp;I$3,請求台帳!$B$5:$B$504,"&lt;"&amp;DATE(YEAR(I$3),MONTH(I$3)+1,1),請求台帳!$Q$5:$Q$504,"&lt;&gt;取消"))</f>
        <v/>
      </c>
      <c r="J121" s="27" t="str">
        <f aca="false">IF($A121="","",SUMIFS(入金明細!$E$5:$E$1004,入金明細!$G$5:$G$1004,$A121,入金明細!$B$5:$B$1004,"&gt;="&amp;I$3,入金明細!$B$5:$B$1004,"&lt;"&amp;DATE(YEAR(I$3),MONTH(I$3)+1,1)))</f>
        <v/>
      </c>
      <c r="K121" s="27" t="str">
        <f aca="false">IF($A121="","",SUMIFS(請求台帳!$F$5:$F$504,請求台帳!$C$5:$C$504,$A121,請求台帳!$B$5:$B$504,"&gt;="&amp;K$3,請求台帳!$B$5:$B$504,"&lt;"&amp;DATE(YEAR(K$3),MONTH(K$3)+1,1),請求台帳!$Q$5:$Q$504,"&lt;&gt;取消"))</f>
        <v/>
      </c>
      <c r="L121" s="27" t="str">
        <f aca="false">IF($A121="","",SUMIFS(入金明細!$E$5:$E$1004,入金明細!$G$5:$G$1004,$A121,入金明細!$B$5:$B$1004,"&gt;="&amp;K$3,入金明細!$B$5:$B$1004,"&lt;"&amp;DATE(YEAR(K$3),MONTH(K$3)+1,1)))</f>
        <v/>
      </c>
      <c r="M121" s="27" t="str">
        <f aca="false">IF($A121="","",SUMIFS(請求台帳!$F$5:$F$504,請求台帳!$C$5:$C$504,$A121,請求台帳!$B$5:$B$504,"&gt;="&amp;M$3,請求台帳!$B$5:$B$504,"&lt;"&amp;DATE(YEAR(M$3),MONTH(M$3)+1,1),請求台帳!$Q$5:$Q$504,"&lt;&gt;取消"))</f>
        <v/>
      </c>
      <c r="N121" s="27" t="str">
        <f aca="false">IF($A121="","",SUMIFS(入金明細!$E$5:$E$1004,入金明細!$G$5:$G$1004,$A121,入金明細!$B$5:$B$1004,"&gt;="&amp;M$3,入金明細!$B$5:$B$1004,"&lt;"&amp;DATE(YEAR(M$3),MONTH(M$3)+1,1)))</f>
        <v/>
      </c>
      <c r="O121" s="27" t="str">
        <f aca="false">IF($A121="","",SUMIFS(請求台帳!$F$5:$F$504,請求台帳!$C$5:$C$504,$A121,請求台帳!$B$5:$B$504,"&gt;="&amp;O$3,請求台帳!$B$5:$B$504,"&lt;"&amp;DATE(YEAR(O$3),MONTH(O$3)+1,1),請求台帳!$Q$5:$Q$504,"&lt;&gt;取消"))</f>
        <v/>
      </c>
      <c r="P121" s="27" t="str">
        <f aca="false">IF($A121="","",SUMIFS(入金明細!$E$5:$E$1004,入金明細!$G$5:$G$1004,$A121,入金明細!$B$5:$B$1004,"&gt;="&amp;O$3,入金明細!$B$5:$B$1004,"&lt;"&amp;DATE(YEAR(O$3),MONTH(O$3)+1,1)))</f>
        <v/>
      </c>
      <c r="Q121" s="27" t="str">
        <f aca="false">IF($A121="","",SUMIFS(請求台帳!$F$5:$F$504,請求台帳!$C$5:$C$504,$A121,請求台帳!$B$5:$B$504,"&gt;="&amp;Q$3,請求台帳!$B$5:$B$504,"&lt;"&amp;DATE(YEAR(Q$3),MONTH(Q$3)+1,1),請求台帳!$Q$5:$Q$504,"&lt;&gt;取消"))</f>
        <v/>
      </c>
      <c r="R121" s="27" t="str">
        <f aca="false">IF($A121="","",SUMIFS(入金明細!$E$5:$E$1004,入金明細!$G$5:$G$1004,$A121,入金明細!$B$5:$B$1004,"&gt;="&amp;Q$3,入金明細!$B$5:$B$1004,"&lt;"&amp;DATE(YEAR(Q$3),MONTH(Q$3)+1,1)))</f>
        <v/>
      </c>
      <c r="S121" s="27" t="str">
        <f aca="false">IF($A121="","",SUMIFS(請求台帳!$F$5:$F$504,請求台帳!$C$5:$C$504,$A121,請求台帳!$B$5:$B$504,"&gt;="&amp;S$3,請求台帳!$B$5:$B$504,"&lt;"&amp;DATE(YEAR(S$3),MONTH(S$3)+1,1),請求台帳!$Q$5:$Q$504,"&lt;&gt;取消"))</f>
        <v/>
      </c>
      <c r="T121" s="27" t="str">
        <f aca="false">IF($A121="","",SUMIFS(入金明細!$E$5:$E$1004,入金明細!$G$5:$G$1004,$A121,入金明細!$B$5:$B$1004,"&gt;="&amp;S$3,入金明細!$B$5:$B$1004,"&lt;"&amp;DATE(YEAR(S$3),MONTH(S$3)+1,1)))</f>
        <v/>
      </c>
      <c r="U121" s="27" t="str">
        <f aca="false">IF($A121="","",SUMIFS(請求台帳!$F$5:$F$504,請求台帳!$C$5:$C$504,$A121,請求台帳!$B$5:$B$504,"&gt;="&amp;U$3,請求台帳!$B$5:$B$504,"&lt;"&amp;DATE(YEAR(U$3),MONTH(U$3)+1,1),請求台帳!$Q$5:$Q$504,"&lt;&gt;取消"))</f>
        <v/>
      </c>
      <c r="V121" s="27" t="str">
        <f aca="false">IF($A121="","",SUMIFS(入金明細!$E$5:$E$1004,入金明細!$G$5:$G$1004,$A121,入金明細!$B$5:$B$1004,"&gt;="&amp;U$3,入金明細!$B$5:$B$1004,"&lt;"&amp;DATE(YEAR(U$3),MONTH(U$3)+1,1)))</f>
        <v/>
      </c>
      <c r="W121" s="27" t="str">
        <f aca="false">IF($A121="","",SUMIFS(請求台帳!$F$5:$F$504,請求台帳!$C$5:$C$504,$A121,請求台帳!$B$5:$B$504,"&gt;="&amp;W$3,請求台帳!$B$5:$B$504,"&lt;"&amp;DATE(YEAR(W$3),MONTH(W$3)+1,1),請求台帳!$Q$5:$Q$504,"&lt;&gt;取消"))</f>
        <v/>
      </c>
      <c r="X121" s="27" t="str">
        <f aca="false">IF($A121="","",SUMIFS(入金明細!$E$5:$E$1004,入金明細!$G$5:$G$1004,$A121,入金明細!$B$5:$B$1004,"&gt;="&amp;W$3,入金明細!$B$5:$B$1004,"&lt;"&amp;DATE(YEAR(W$3),MONTH(W$3)+1,1)))</f>
        <v/>
      </c>
      <c r="Y121" s="27" t="str">
        <f aca="false">IF($A121="","",SUMIFS(請求台帳!$F$5:$F$504,請求台帳!$C$5:$C$504,$A121,請求台帳!$B$5:$B$504,"&gt;="&amp;Y$3,請求台帳!$B$5:$B$504,"&lt;"&amp;DATE(YEAR(Y$3),MONTH(Y$3)+1,1),請求台帳!$Q$5:$Q$504,"&lt;&gt;取消"))</f>
        <v/>
      </c>
      <c r="Z121" s="27" t="str">
        <f aca="false">IF($A121="","",SUMIFS(入金明細!$E$5:$E$1004,入金明細!$G$5:$G$1004,$A121,入金明細!$B$5:$B$1004,"&gt;="&amp;Y$3,入金明細!$B$5:$B$1004,"&lt;"&amp;DATE(YEAR(Y$3),MONTH(Y$3)+1,1)))</f>
        <v/>
      </c>
      <c r="AA121" s="37" t="n">
        <f aca="false">SUM(C121,E121,G121,I121,K121,M121,O121,Q121,S121,U121,W121,Y121)</f>
        <v>0</v>
      </c>
      <c r="AB121" s="37" t="n">
        <f aca="false">SUM(D121,F121,H121,J121,L121,N121,P121,R121,T121,V121,X121,Z121)</f>
        <v>0</v>
      </c>
    </row>
    <row r="122" customFormat="false" ht="15" hidden="false" customHeight="false" outlineLevel="0" collapsed="false">
      <c r="A122" s="31" t="str">
        <f aca="false">IF(取引先マスタ!A122="","",取引先マスタ!A122)</f>
        <v/>
      </c>
      <c r="B122" s="31" t="str">
        <f aca="false">IF(A122="","",取引先マスタ!B122)</f>
        <v/>
      </c>
      <c r="C122" s="27" t="str">
        <f aca="false">IF($A122="","",SUMIFS(請求台帳!$F$5:$F$504,請求台帳!$C$5:$C$504,$A122,請求台帳!$B$5:$B$504,"&gt;="&amp;C$3,請求台帳!$B$5:$B$504,"&lt;"&amp;DATE(YEAR(C$3),MONTH(C$3)+1,1),請求台帳!$Q$5:$Q$504,"&lt;&gt;取消"))</f>
        <v/>
      </c>
      <c r="D122" s="27" t="str">
        <f aca="false">IF($A122="","",SUMIFS(入金明細!$E$5:$E$1004,入金明細!$G$5:$G$1004,$A122,入金明細!$B$5:$B$1004,"&gt;="&amp;C$3,入金明細!$B$5:$B$1004,"&lt;"&amp;DATE(YEAR(C$3),MONTH(C$3)+1,1)))</f>
        <v/>
      </c>
      <c r="E122" s="27" t="str">
        <f aca="false">IF($A122="","",SUMIFS(請求台帳!$F$5:$F$504,請求台帳!$C$5:$C$504,$A122,請求台帳!$B$5:$B$504,"&gt;="&amp;E$3,請求台帳!$B$5:$B$504,"&lt;"&amp;DATE(YEAR(E$3),MONTH(E$3)+1,1),請求台帳!$Q$5:$Q$504,"&lt;&gt;取消"))</f>
        <v/>
      </c>
      <c r="F122" s="27" t="str">
        <f aca="false">IF($A122="","",SUMIFS(入金明細!$E$5:$E$1004,入金明細!$G$5:$G$1004,$A122,入金明細!$B$5:$B$1004,"&gt;="&amp;E$3,入金明細!$B$5:$B$1004,"&lt;"&amp;DATE(YEAR(E$3),MONTH(E$3)+1,1)))</f>
        <v/>
      </c>
      <c r="G122" s="27" t="str">
        <f aca="false">IF($A122="","",SUMIFS(請求台帳!$F$5:$F$504,請求台帳!$C$5:$C$504,$A122,請求台帳!$B$5:$B$504,"&gt;="&amp;G$3,請求台帳!$B$5:$B$504,"&lt;"&amp;DATE(YEAR(G$3),MONTH(G$3)+1,1),請求台帳!$Q$5:$Q$504,"&lt;&gt;取消"))</f>
        <v/>
      </c>
      <c r="H122" s="27" t="str">
        <f aca="false">IF($A122="","",SUMIFS(入金明細!$E$5:$E$1004,入金明細!$G$5:$G$1004,$A122,入金明細!$B$5:$B$1004,"&gt;="&amp;G$3,入金明細!$B$5:$B$1004,"&lt;"&amp;DATE(YEAR(G$3),MONTH(G$3)+1,1)))</f>
        <v/>
      </c>
      <c r="I122" s="27" t="str">
        <f aca="false">IF($A122="","",SUMIFS(請求台帳!$F$5:$F$504,請求台帳!$C$5:$C$504,$A122,請求台帳!$B$5:$B$504,"&gt;="&amp;I$3,請求台帳!$B$5:$B$504,"&lt;"&amp;DATE(YEAR(I$3),MONTH(I$3)+1,1),請求台帳!$Q$5:$Q$504,"&lt;&gt;取消"))</f>
        <v/>
      </c>
      <c r="J122" s="27" t="str">
        <f aca="false">IF($A122="","",SUMIFS(入金明細!$E$5:$E$1004,入金明細!$G$5:$G$1004,$A122,入金明細!$B$5:$B$1004,"&gt;="&amp;I$3,入金明細!$B$5:$B$1004,"&lt;"&amp;DATE(YEAR(I$3),MONTH(I$3)+1,1)))</f>
        <v/>
      </c>
      <c r="K122" s="27" t="str">
        <f aca="false">IF($A122="","",SUMIFS(請求台帳!$F$5:$F$504,請求台帳!$C$5:$C$504,$A122,請求台帳!$B$5:$B$504,"&gt;="&amp;K$3,請求台帳!$B$5:$B$504,"&lt;"&amp;DATE(YEAR(K$3),MONTH(K$3)+1,1),請求台帳!$Q$5:$Q$504,"&lt;&gt;取消"))</f>
        <v/>
      </c>
      <c r="L122" s="27" t="str">
        <f aca="false">IF($A122="","",SUMIFS(入金明細!$E$5:$E$1004,入金明細!$G$5:$G$1004,$A122,入金明細!$B$5:$B$1004,"&gt;="&amp;K$3,入金明細!$B$5:$B$1004,"&lt;"&amp;DATE(YEAR(K$3),MONTH(K$3)+1,1)))</f>
        <v/>
      </c>
      <c r="M122" s="27" t="str">
        <f aca="false">IF($A122="","",SUMIFS(請求台帳!$F$5:$F$504,請求台帳!$C$5:$C$504,$A122,請求台帳!$B$5:$B$504,"&gt;="&amp;M$3,請求台帳!$B$5:$B$504,"&lt;"&amp;DATE(YEAR(M$3),MONTH(M$3)+1,1),請求台帳!$Q$5:$Q$504,"&lt;&gt;取消"))</f>
        <v/>
      </c>
      <c r="N122" s="27" t="str">
        <f aca="false">IF($A122="","",SUMIFS(入金明細!$E$5:$E$1004,入金明細!$G$5:$G$1004,$A122,入金明細!$B$5:$B$1004,"&gt;="&amp;M$3,入金明細!$B$5:$B$1004,"&lt;"&amp;DATE(YEAR(M$3),MONTH(M$3)+1,1)))</f>
        <v/>
      </c>
      <c r="O122" s="27" t="str">
        <f aca="false">IF($A122="","",SUMIFS(請求台帳!$F$5:$F$504,請求台帳!$C$5:$C$504,$A122,請求台帳!$B$5:$B$504,"&gt;="&amp;O$3,請求台帳!$B$5:$B$504,"&lt;"&amp;DATE(YEAR(O$3),MONTH(O$3)+1,1),請求台帳!$Q$5:$Q$504,"&lt;&gt;取消"))</f>
        <v/>
      </c>
      <c r="P122" s="27" t="str">
        <f aca="false">IF($A122="","",SUMIFS(入金明細!$E$5:$E$1004,入金明細!$G$5:$G$1004,$A122,入金明細!$B$5:$B$1004,"&gt;="&amp;O$3,入金明細!$B$5:$B$1004,"&lt;"&amp;DATE(YEAR(O$3),MONTH(O$3)+1,1)))</f>
        <v/>
      </c>
      <c r="Q122" s="27" t="str">
        <f aca="false">IF($A122="","",SUMIFS(請求台帳!$F$5:$F$504,請求台帳!$C$5:$C$504,$A122,請求台帳!$B$5:$B$504,"&gt;="&amp;Q$3,請求台帳!$B$5:$B$504,"&lt;"&amp;DATE(YEAR(Q$3),MONTH(Q$3)+1,1),請求台帳!$Q$5:$Q$504,"&lt;&gt;取消"))</f>
        <v/>
      </c>
      <c r="R122" s="27" t="str">
        <f aca="false">IF($A122="","",SUMIFS(入金明細!$E$5:$E$1004,入金明細!$G$5:$G$1004,$A122,入金明細!$B$5:$B$1004,"&gt;="&amp;Q$3,入金明細!$B$5:$B$1004,"&lt;"&amp;DATE(YEAR(Q$3),MONTH(Q$3)+1,1)))</f>
        <v/>
      </c>
      <c r="S122" s="27" t="str">
        <f aca="false">IF($A122="","",SUMIFS(請求台帳!$F$5:$F$504,請求台帳!$C$5:$C$504,$A122,請求台帳!$B$5:$B$504,"&gt;="&amp;S$3,請求台帳!$B$5:$B$504,"&lt;"&amp;DATE(YEAR(S$3),MONTH(S$3)+1,1),請求台帳!$Q$5:$Q$504,"&lt;&gt;取消"))</f>
        <v/>
      </c>
      <c r="T122" s="27" t="str">
        <f aca="false">IF($A122="","",SUMIFS(入金明細!$E$5:$E$1004,入金明細!$G$5:$G$1004,$A122,入金明細!$B$5:$B$1004,"&gt;="&amp;S$3,入金明細!$B$5:$B$1004,"&lt;"&amp;DATE(YEAR(S$3),MONTH(S$3)+1,1)))</f>
        <v/>
      </c>
      <c r="U122" s="27" t="str">
        <f aca="false">IF($A122="","",SUMIFS(請求台帳!$F$5:$F$504,請求台帳!$C$5:$C$504,$A122,請求台帳!$B$5:$B$504,"&gt;="&amp;U$3,請求台帳!$B$5:$B$504,"&lt;"&amp;DATE(YEAR(U$3),MONTH(U$3)+1,1),請求台帳!$Q$5:$Q$504,"&lt;&gt;取消"))</f>
        <v/>
      </c>
      <c r="V122" s="27" t="str">
        <f aca="false">IF($A122="","",SUMIFS(入金明細!$E$5:$E$1004,入金明細!$G$5:$G$1004,$A122,入金明細!$B$5:$B$1004,"&gt;="&amp;U$3,入金明細!$B$5:$B$1004,"&lt;"&amp;DATE(YEAR(U$3),MONTH(U$3)+1,1)))</f>
        <v/>
      </c>
      <c r="W122" s="27" t="str">
        <f aca="false">IF($A122="","",SUMIFS(請求台帳!$F$5:$F$504,請求台帳!$C$5:$C$504,$A122,請求台帳!$B$5:$B$504,"&gt;="&amp;W$3,請求台帳!$B$5:$B$504,"&lt;"&amp;DATE(YEAR(W$3),MONTH(W$3)+1,1),請求台帳!$Q$5:$Q$504,"&lt;&gt;取消"))</f>
        <v/>
      </c>
      <c r="X122" s="27" t="str">
        <f aca="false">IF($A122="","",SUMIFS(入金明細!$E$5:$E$1004,入金明細!$G$5:$G$1004,$A122,入金明細!$B$5:$B$1004,"&gt;="&amp;W$3,入金明細!$B$5:$B$1004,"&lt;"&amp;DATE(YEAR(W$3),MONTH(W$3)+1,1)))</f>
        <v/>
      </c>
      <c r="Y122" s="27" t="str">
        <f aca="false">IF($A122="","",SUMIFS(請求台帳!$F$5:$F$504,請求台帳!$C$5:$C$504,$A122,請求台帳!$B$5:$B$504,"&gt;="&amp;Y$3,請求台帳!$B$5:$B$504,"&lt;"&amp;DATE(YEAR(Y$3),MONTH(Y$3)+1,1),請求台帳!$Q$5:$Q$504,"&lt;&gt;取消"))</f>
        <v/>
      </c>
      <c r="Z122" s="27" t="str">
        <f aca="false">IF($A122="","",SUMIFS(入金明細!$E$5:$E$1004,入金明細!$G$5:$G$1004,$A122,入金明細!$B$5:$B$1004,"&gt;="&amp;Y$3,入金明細!$B$5:$B$1004,"&lt;"&amp;DATE(YEAR(Y$3),MONTH(Y$3)+1,1)))</f>
        <v/>
      </c>
      <c r="AA122" s="37" t="n">
        <f aca="false">SUM(C122,E122,G122,I122,K122,M122,O122,Q122,S122,U122,W122,Y122)</f>
        <v>0</v>
      </c>
      <c r="AB122" s="37" t="n">
        <f aca="false">SUM(D122,F122,H122,J122,L122,N122,P122,R122,T122,V122,X122,Z122)</f>
        <v>0</v>
      </c>
    </row>
    <row r="123" customFormat="false" ht="15" hidden="false" customHeight="false" outlineLevel="0" collapsed="false">
      <c r="A123" s="31" t="str">
        <f aca="false">IF(取引先マスタ!A123="","",取引先マスタ!A123)</f>
        <v/>
      </c>
      <c r="B123" s="31" t="str">
        <f aca="false">IF(A123="","",取引先マスタ!B123)</f>
        <v/>
      </c>
      <c r="C123" s="27" t="str">
        <f aca="false">IF($A123="","",SUMIFS(請求台帳!$F$5:$F$504,請求台帳!$C$5:$C$504,$A123,請求台帳!$B$5:$B$504,"&gt;="&amp;C$3,請求台帳!$B$5:$B$504,"&lt;"&amp;DATE(YEAR(C$3),MONTH(C$3)+1,1),請求台帳!$Q$5:$Q$504,"&lt;&gt;取消"))</f>
        <v/>
      </c>
      <c r="D123" s="27" t="str">
        <f aca="false">IF($A123="","",SUMIFS(入金明細!$E$5:$E$1004,入金明細!$G$5:$G$1004,$A123,入金明細!$B$5:$B$1004,"&gt;="&amp;C$3,入金明細!$B$5:$B$1004,"&lt;"&amp;DATE(YEAR(C$3),MONTH(C$3)+1,1)))</f>
        <v/>
      </c>
      <c r="E123" s="27" t="str">
        <f aca="false">IF($A123="","",SUMIFS(請求台帳!$F$5:$F$504,請求台帳!$C$5:$C$504,$A123,請求台帳!$B$5:$B$504,"&gt;="&amp;E$3,請求台帳!$B$5:$B$504,"&lt;"&amp;DATE(YEAR(E$3),MONTH(E$3)+1,1),請求台帳!$Q$5:$Q$504,"&lt;&gt;取消"))</f>
        <v/>
      </c>
      <c r="F123" s="27" t="str">
        <f aca="false">IF($A123="","",SUMIFS(入金明細!$E$5:$E$1004,入金明細!$G$5:$G$1004,$A123,入金明細!$B$5:$B$1004,"&gt;="&amp;E$3,入金明細!$B$5:$B$1004,"&lt;"&amp;DATE(YEAR(E$3),MONTH(E$3)+1,1)))</f>
        <v/>
      </c>
      <c r="G123" s="27" t="str">
        <f aca="false">IF($A123="","",SUMIFS(請求台帳!$F$5:$F$504,請求台帳!$C$5:$C$504,$A123,請求台帳!$B$5:$B$504,"&gt;="&amp;G$3,請求台帳!$B$5:$B$504,"&lt;"&amp;DATE(YEAR(G$3),MONTH(G$3)+1,1),請求台帳!$Q$5:$Q$504,"&lt;&gt;取消"))</f>
        <v/>
      </c>
      <c r="H123" s="27" t="str">
        <f aca="false">IF($A123="","",SUMIFS(入金明細!$E$5:$E$1004,入金明細!$G$5:$G$1004,$A123,入金明細!$B$5:$B$1004,"&gt;="&amp;G$3,入金明細!$B$5:$B$1004,"&lt;"&amp;DATE(YEAR(G$3),MONTH(G$3)+1,1)))</f>
        <v/>
      </c>
      <c r="I123" s="27" t="str">
        <f aca="false">IF($A123="","",SUMIFS(請求台帳!$F$5:$F$504,請求台帳!$C$5:$C$504,$A123,請求台帳!$B$5:$B$504,"&gt;="&amp;I$3,請求台帳!$B$5:$B$504,"&lt;"&amp;DATE(YEAR(I$3),MONTH(I$3)+1,1),請求台帳!$Q$5:$Q$504,"&lt;&gt;取消"))</f>
        <v/>
      </c>
      <c r="J123" s="27" t="str">
        <f aca="false">IF($A123="","",SUMIFS(入金明細!$E$5:$E$1004,入金明細!$G$5:$G$1004,$A123,入金明細!$B$5:$B$1004,"&gt;="&amp;I$3,入金明細!$B$5:$B$1004,"&lt;"&amp;DATE(YEAR(I$3),MONTH(I$3)+1,1)))</f>
        <v/>
      </c>
      <c r="K123" s="27" t="str">
        <f aca="false">IF($A123="","",SUMIFS(請求台帳!$F$5:$F$504,請求台帳!$C$5:$C$504,$A123,請求台帳!$B$5:$B$504,"&gt;="&amp;K$3,請求台帳!$B$5:$B$504,"&lt;"&amp;DATE(YEAR(K$3),MONTH(K$3)+1,1),請求台帳!$Q$5:$Q$504,"&lt;&gt;取消"))</f>
        <v/>
      </c>
      <c r="L123" s="27" t="str">
        <f aca="false">IF($A123="","",SUMIFS(入金明細!$E$5:$E$1004,入金明細!$G$5:$G$1004,$A123,入金明細!$B$5:$B$1004,"&gt;="&amp;K$3,入金明細!$B$5:$B$1004,"&lt;"&amp;DATE(YEAR(K$3),MONTH(K$3)+1,1)))</f>
        <v/>
      </c>
      <c r="M123" s="27" t="str">
        <f aca="false">IF($A123="","",SUMIFS(請求台帳!$F$5:$F$504,請求台帳!$C$5:$C$504,$A123,請求台帳!$B$5:$B$504,"&gt;="&amp;M$3,請求台帳!$B$5:$B$504,"&lt;"&amp;DATE(YEAR(M$3),MONTH(M$3)+1,1),請求台帳!$Q$5:$Q$504,"&lt;&gt;取消"))</f>
        <v/>
      </c>
      <c r="N123" s="27" t="str">
        <f aca="false">IF($A123="","",SUMIFS(入金明細!$E$5:$E$1004,入金明細!$G$5:$G$1004,$A123,入金明細!$B$5:$B$1004,"&gt;="&amp;M$3,入金明細!$B$5:$B$1004,"&lt;"&amp;DATE(YEAR(M$3),MONTH(M$3)+1,1)))</f>
        <v/>
      </c>
      <c r="O123" s="27" t="str">
        <f aca="false">IF($A123="","",SUMIFS(請求台帳!$F$5:$F$504,請求台帳!$C$5:$C$504,$A123,請求台帳!$B$5:$B$504,"&gt;="&amp;O$3,請求台帳!$B$5:$B$504,"&lt;"&amp;DATE(YEAR(O$3),MONTH(O$3)+1,1),請求台帳!$Q$5:$Q$504,"&lt;&gt;取消"))</f>
        <v/>
      </c>
      <c r="P123" s="27" t="str">
        <f aca="false">IF($A123="","",SUMIFS(入金明細!$E$5:$E$1004,入金明細!$G$5:$G$1004,$A123,入金明細!$B$5:$B$1004,"&gt;="&amp;O$3,入金明細!$B$5:$B$1004,"&lt;"&amp;DATE(YEAR(O$3),MONTH(O$3)+1,1)))</f>
        <v/>
      </c>
      <c r="Q123" s="27" t="str">
        <f aca="false">IF($A123="","",SUMIFS(請求台帳!$F$5:$F$504,請求台帳!$C$5:$C$504,$A123,請求台帳!$B$5:$B$504,"&gt;="&amp;Q$3,請求台帳!$B$5:$B$504,"&lt;"&amp;DATE(YEAR(Q$3),MONTH(Q$3)+1,1),請求台帳!$Q$5:$Q$504,"&lt;&gt;取消"))</f>
        <v/>
      </c>
      <c r="R123" s="27" t="str">
        <f aca="false">IF($A123="","",SUMIFS(入金明細!$E$5:$E$1004,入金明細!$G$5:$G$1004,$A123,入金明細!$B$5:$B$1004,"&gt;="&amp;Q$3,入金明細!$B$5:$B$1004,"&lt;"&amp;DATE(YEAR(Q$3),MONTH(Q$3)+1,1)))</f>
        <v/>
      </c>
      <c r="S123" s="27" t="str">
        <f aca="false">IF($A123="","",SUMIFS(請求台帳!$F$5:$F$504,請求台帳!$C$5:$C$504,$A123,請求台帳!$B$5:$B$504,"&gt;="&amp;S$3,請求台帳!$B$5:$B$504,"&lt;"&amp;DATE(YEAR(S$3),MONTH(S$3)+1,1),請求台帳!$Q$5:$Q$504,"&lt;&gt;取消"))</f>
        <v/>
      </c>
      <c r="T123" s="27" t="str">
        <f aca="false">IF($A123="","",SUMIFS(入金明細!$E$5:$E$1004,入金明細!$G$5:$G$1004,$A123,入金明細!$B$5:$B$1004,"&gt;="&amp;S$3,入金明細!$B$5:$B$1004,"&lt;"&amp;DATE(YEAR(S$3),MONTH(S$3)+1,1)))</f>
        <v/>
      </c>
      <c r="U123" s="27" t="str">
        <f aca="false">IF($A123="","",SUMIFS(請求台帳!$F$5:$F$504,請求台帳!$C$5:$C$504,$A123,請求台帳!$B$5:$B$504,"&gt;="&amp;U$3,請求台帳!$B$5:$B$504,"&lt;"&amp;DATE(YEAR(U$3),MONTH(U$3)+1,1),請求台帳!$Q$5:$Q$504,"&lt;&gt;取消"))</f>
        <v/>
      </c>
      <c r="V123" s="27" t="str">
        <f aca="false">IF($A123="","",SUMIFS(入金明細!$E$5:$E$1004,入金明細!$G$5:$G$1004,$A123,入金明細!$B$5:$B$1004,"&gt;="&amp;U$3,入金明細!$B$5:$B$1004,"&lt;"&amp;DATE(YEAR(U$3),MONTH(U$3)+1,1)))</f>
        <v/>
      </c>
      <c r="W123" s="27" t="str">
        <f aca="false">IF($A123="","",SUMIFS(請求台帳!$F$5:$F$504,請求台帳!$C$5:$C$504,$A123,請求台帳!$B$5:$B$504,"&gt;="&amp;W$3,請求台帳!$B$5:$B$504,"&lt;"&amp;DATE(YEAR(W$3),MONTH(W$3)+1,1),請求台帳!$Q$5:$Q$504,"&lt;&gt;取消"))</f>
        <v/>
      </c>
      <c r="X123" s="27" t="str">
        <f aca="false">IF($A123="","",SUMIFS(入金明細!$E$5:$E$1004,入金明細!$G$5:$G$1004,$A123,入金明細!$B$5:$B$1004,"&gt;="&amp;W$3,入金明細!$B$5:$B$1004,"&lt;"&amp;DATE(YEAR(W$3),MONTH(W$3)+1,1)))</f>
        <v/>
      </c>
      <c r="Y123" s="27" t="str">
        <f aca="false">IF($A123="","",SUMIFS(請求台帳!$F$5:$F$504,請求台帳!$C$5:$C$504,$A123,請求台帳!$B$5:$B$504,"&gt;="&amp;Y$3,請求台帳!$B$5:$B$504,"&lt;"&amp;DATE(YEAR(Y$3),MONTH(Y$3)+1,1),請求台帳!$Q$5:$Q$504,"&lt;&gt;取消"))</f>
        <v/>
      </c>
      <c r="Z123" s="27" t="str">
        <f aca="false">IF($A123="","",SUMIFS(入金明細!$E$5:$E$1004,入金明細!$G$5:$G$1004,$A123,入金明細!$B$5:$B$1004,"&gt;="&amp;Y$3,入金明細!$B$5:$B$1004,"&lt;"&amp;DATE(YEAR(Y$3),MONTH(Y$3)+1,1)))</f>
        <v/>
      </c>
      <c r="AA123" s="37" t="n">
        <f aca="false">SUM(C123,E123,G123,I123,K123,M123,O123,Q123,S123,U123,W123,Y123)</f>
        <v>0</v>
      </c>
      <c r="AB123" s="37" t="n">
        <f aca="false">SUM(D123,F123,H123,J123,L123,N123,P123,R123,T123,V123,X123,Z123)</f>
        <v>0</v>
      </c>
    </row>
    <row r="124" customFormat="false" ht="15" hidden="false" customHeight="false" outlineLevel="0" collapsed="false">
      <c r="A124" s="31" t="str">
        <f aca="false">IF(取引先マスタ!A124="","",取引先マスタ!A124)</f>
        <v/>
      </c>
      <c r="B124" s="31" t="str">
        <f aca="false">IF(A124="","",取引先マスタ!B124)</f>
        <v/>
      </c>
      <c r="C124" s="27" t="str">
        <f aca="false">IF($A124="","",SUMIFS(請求台帳!$F$5:$F$504,請求台帳!$C$5:$C$504,$A124,請求台帳!$B$5:$B$504,"&gt;="&amp;C$3,請求台帳!$B$5:$B$504,"&lt;"&amp;DATE(YEAR(C$3),MONTH(C$3)+1,1),請求台帳!$Q$5:$Q$504,"&lt;&gt;取消"))</f>
        <v/>
      </c>
      <c r="D124" s="27" t="str">
        <f aca="false">IF($A124="","",SUMIFS(入金明細!$E$5:$E$1004,入金明細!$G$5:$G$1004,$A124,入金明細!$B$5:$B$1004,"&gt;="&amp;C$3,入金明細!$B$5:$B$1004,"&lt;"&amp;DATE(YEAR(C$3),MONTH(C$3)+1,1)))</f>
        <v/>
      </c>
      <c r="E124" s="27" t="str">
        <f aca="false">IF($A124="","",SUMIFS(請求台帳!$F$5:$F$504,請求台帳!$C$5:$C$504,$A124,請求台帳!$B$5:$B$504,"&gt;="&amp;E$3,請求台帳!$B$5:$B$504,"&lt;"&amp;DATE(YEAR(E$3),MONTH(E$3)+1,1),請求台帳!$Q$5:$Q$504,"&lt;&gt;取消"))</f>
        <v/>
      </c>
      <c r="F124" s="27" t="str">
        <f aca="false">IF($A124="","",SUMIFS(入金明細!$E$5:$E$1004,入金明細!$G$5:$G$1004,$A124,入金明細!$B$5:$B$1004,"&gt;="&amp;E$3,入金明細!$B$5:$B$1004,"&lt;"&amp;DATE(YEAR(E$3),MONTH(E$3)+1,1)))</f>
        <v/>
      </c>
      <c r="G124" s="27" t="str">
        <f aca="false">IF($A124="","",SUMIFS(請求台帳!$F$5:$F$504,請求台帳!$C$5:$C$504,$A124,請求台帳!$B$5:$B$504,"&gt;="&amp;G$3,請求台帳!$B$5:$B$504,"&lt;"&amp;DATE(YEAR(G$3),MONTH(G$3)+1,1),請求台帳!$Q$5:$Q$504,"&lt;&gt;取消"))</f>
        <v/>
      </c>
      <c r="H124" s="27" t="str">
        <f aca="false">IF($A124="","",SUMIFS(入金明細!$E$5:$E$1004,入金明細!$G$5:$G$1004,$A124,入金明細!$B$5:$B$1004,"&gt;="&amp;G$3,入金明細!$B$5:$B$1004,"&lt;"&amp;DATE(YEAR(G$3),MONTH(G$3)+1,1)))</f>
        <v/>
      </c>
      <c r="I124" s="27" t="str">
        <f aca="false">IF($A124="","",SUMIFS(請求台帳!$F$5:$F$504,請求台帳!$C$5:$C$504,$A124,請求台帳!$B$5:$B$504,"&gt;="&amp;I$3,請求台帳!$B$5:$B$504,"&lt;"&amp;DATE(YEAR(I$3),MONTH(I$3)+1,1),請求台帳!$Q$5:$Q$504,"&lt;&gt;取消"))</f>
        <v/>
      </c>
      <c r="J124" s="27" t="str">
        <f aca="false">IF($A124="","",SUMIFS(入金明細!$E$5:$E$1004,入金明細!$G$5:$G$1004,$A124,入金明細!$B$5:$B$1004,"&gt;="&amp;I$3,入金明細!$B$5:$B$1004,"&lt;"&amp;DATE(YEAR(I$3),MONTH(I$3)+1,1)))</f>
        <v/>
      </c>
      <c r="K124" s="27" t="str">
        <f aca="false">IF($A124="","",SUMIFS(請求台帳!$F$5:$F$504,請求台帳!$C$5:$C$504,$A124,請求台帳!$B$5:$B$504,"&gt;="&amp;K$3,請求台帳!$B$5:$B$504,"&lt;"&amp;DATE(YEAR(K$3),MONTH(K$3)+1,1),請求台帳!$Q$5:$Q$504,"&lt;&gt;取消"))</f>
        <v/>
      </c>
      <c r="L124" s="27" t="str">
        <f aca="false">IF($A124="","",SUMIFS(入金明細!$E$5:$E$1004,入金明細!$G$5:$G$1004,$A124,入金明細!$B$5:$B$1004,"&gt;="&amp;K$3,入金明細!$B$5:$B$1004,"&lt;"&amp;DATE(YEAR(K$3),MONTH(K$3)+1,1)))</f>
        <v/>
      </c>
      <c r="M124" s="27" t="str">
        <f aca="false">IF($A124="","",SUMIFS(請求台帳!$F$5:$F$504,請求台帳!$C$5:$C$504,$A124,請求台帳!$B$5:$B$504,"&gt;="&amp;M$3,請求台帳!$B$5:$B$504,"&lt;"&amp;DATE(YEAR(M$3),MONTH(M$3)+1,1),請求台帳!$Q$5:$Q$504,"&lt;&gt;取消"))</f>
        <v/>
      </c>
      <c r="N124" s="27" t="str">
        <f aca="false">IF($A124="","",SUMIFS(入金明細!$E$5:$E$1004,入金明細!$G$5:$G$1004,$A124,入金明細!$B$5:$B$1004,"&gt;="&amp;M$3,入金明細!$B$5:$B$1004,"&lt;"&amp;DATE(YEAR(M$3),MONTH(M$3)+1,1)))</f>
        <v/>
      </c>
      <c r="O124" s="27" t="str">
        <f aca="false">IF($A124="","",SUMIFS(請求台帳!$F$5:$F$504,請求台帳!$C$5:$C$504,$A124,請求台帳!$B$5:$B$504,"&gt;="&amp;O$3,請求台帳!$B$5:$B$504,"&lt;"&amp;DATE(YEAR(O$3),MONTH(O$3)+1,1),請求台帳!$Q$5:$Q$504,"&lt;&gt;取消"))</f>
        <v/>
      </c>
      <c r="P124" s="27" t="str">
        <f aca="false">IF($A124="","",SUMIFS(入金明細!$E$5:$E$1004,入金明細!$G$5:$G$1004,$A124,入金明細!$B$5:$B$1004,"&gt;="&amp;O$3,入金明細!$B$5:$B$1004,"&lt;"&amp;DATE(YEAR(O$3),MONTH(O$3)+1,1)))</f>
        <v/>
      </c>
      <c r="Q124" s="27" t="str">
        <f aca="false">IF($A124="","",SUMIFS(請求台帳!$F$5:$F$504,請求台帳!$C$5:$C$504,$A124,請求台帳!$B$5:$B$504,"&gt;="&amp;Q$3,請求台帳!$B$5:$B$504,"&lt;"&amp;DATE(YEAR(Q$3),MONTH(Q$3)+1,1),請求台帳!$Q$5:$Q$504,"&lt;&gt;取消"))</f>
        <v/>
      </c>
      <c r="R124" s="27" t="str">
        <f aca="false">IF($A124="","",SUMIFS(入金明細!$E$5:$E$1004,入金明細!$G$5:$G$1004,$A124,入金明細!$B$5:$B$1004,"&gt;="&amp;Q$3,入金明細!$B$5:$B$1004,"&lt;"&amp;DATE(YEAR(Q$3),MONTH(Q$3)+1,1)))</f>
        <v/>
      </c>
      <c r="S124" s="27" t="str">
        <f aca="false">IF($A124="","",SUMIFS(請求台帳!$F$5:$F$504,請求台帳!$C$5:$C$504,$A124,請求台帳!$B$5:$B$504,"&gt;="&amp;S$3,請求台帳!$B$5:$B$504,"&lt;"&amp;DATE(YEAR(S$3),MONTH(S$3)+1,1),請求台帳!$Q$5:$Q$504,"&lt;&gt;取消"))</f>
        <v/>
      </c>
      <c r="T124" s="27" t="str">
        <f aca="false">IF($A124="","",SUMIFS(入金明細!$E$5:$E$1004,入金明細!$G$5:$G$1004,$A124,入金明細!$B$5:$B$1004,"&gt;="&amp;S$3,入金明細!$B$5:$B$1004,"&lt;"&amp;DATE(YEAR(S$3),MONTH(S$3)+1,1)))</f>
        <v/>
      </c>
      <c r="U124" s="27" t="str">
        <f aca="false">IF($A124="","",SUMIFS(請求台帳!$F$5:$F$504,請求台帳!$C$5:$C$504,$A124,請求台帳!$B$5:$B$504,"&gt;="&amp;U$3,請求台帳!$B$5:$B$504,"&lt;"&amp;DATE(YEAR(U$3),MONTH(U$3)+1,1),請求台帳!$Q$5:$Q$504,"&lt;&gt;取消"))</f>
        <v/>
      </c>
      <c r="V124" s="27" t="str">
        <f aca="false">IF($A124="","",SUMIFS(入金明細!$E$5:$E$1004,入金明細!$G$5:$G$1004,$A124,入金明細!$B$5:$B$1004,"&gt;="&amp;U$3,入金明細!$B$5:$B$1004,"&lt;"&amp;DATE(YEAR(U$3),MONTH(U$3)+1,1)))</f>
        <v/>
      </c>
      <c r="W124" s="27" t="str">
        <f aca="false">IF($A124="","",SUMIFS(請求台帳!$F$5:$F$504,請求台帳!$C$5:$C$504,$A124,請求台帳!$B$5:$B$504,"&gt;="&amp;W$3,請求台帳!$B$5:$B$504,"&lt;"&amp;DATE(YEAR(W$3),MONTH(W$3)+1,1),請求台帳!$Q$5:$Q$504,"&lt;&gt;取消"))</f>
        <v/>
      </c>
      <c r="X124" s="27" t="str">
        <f aca="false">IF($A124="","",SUMIFS(入金明細!$E$5:$E$1004,入金明細!$G$5:$G$1004,$A124,入金明細!$B$5:$B$1004,"&gt;="&amp;W$3,入金明細!$B$5:$B$1004,"&lt;"&amp;DATE(YEAR(W$3),MONTH(W$3)+1,1)))</f>
        <v/>
      </c>
      <c r="Y124" s="27" t="str">
        <f aca="false">IF($A124="","",SUMIFS(請求台帳!$F$5:$F$504,請求台帳!$C$5:$C$504,$A124,請求台帳!$B$5:$B$504,"&gt;="&amp;Y$3,請求台帳!$B$5:$B$504,"&lt;"&amp;DATE(YEAR(Y$3),MONTH(Y$3)+1,1),請求台帳!$Q$5:$Q$504,"&lt;&gt;取消"))</f>
        <v/>
      </c>
      <c r="Z124" s="27" t="str">
        <f aca="false">IF($A124="","",SUMIFS(入金明細!$E$5:$E$1004,入金明細!$G$5:$G$1004,$A124,入金明細!$B$5:$B$1004,"&gt;="&amp;Y$3,入金明細!$B$5:$B$1004,"&lt;"&amp;DATE(YEAR(Y$3),MONTH(Y$3)+1,1)))</f>
        <v/>
      </c>
      <c r="AA124" s="37" t="n">
        <f aca="false">SUM(C124,E124,G124,I124,K124,M124,O124,Q124,S124,U124,W124,Y124)</f>
        <v>0</v>
      </c>
      <c r="AB124" s="37" t="n">
        <f aca="false">SUM(D124,F124,H124,J124,L124,N124,P124,R124,T124,V124,X124,Z124)</f>
        <v>0</v>
      </c>
    </row>
    <row r="125" customFormat="false" ht="15" hidden="false" customHeight="false" outlineLevel="0" collapsed="false">
      <c r="A125" s="31" t="str">
        <f aca="false">IF(取引先マスタ!A125="","",取引先マスタ!A125)</f>
        <v/>
      </c>
      <c r="B125" s="31" t="str">
        <f aca="false">IF(A125="","",取引先マスタ!B125)</f>
        <v/>
      </c>
      <c r="C125" s="27" t="str">
        <f aca="false">IF($A125="","",SUMIFS(請求台帳!$F$5:$F$504,請求台帳!$C$5:$C$504,$A125,請求台帳!$B$5:$B$504,"&gt;="&amp;C$3,請求台帳!$B$5:$B$504,"&lt;"&amp;DATE(YEAR(C$3),MONTH(C$3)+1,1),請求台帳!$Q$5:$Q$504,"&lt;&gt;取消"))</f>
        <v/>
      </c>
      <c r="D125" s="27" t="str">
        <f aca="false">IF($A125="","",SUMIFS(入金明細!$E$5:$E$1004,入金明細!$G$5:$G$1004,$A125,入金明細!$B$5:$B$1004,"&gt;="&amp;C$3,入金明細!$B$5:$B$1004,"&lt;"&amp;DATE(YEAR(C$3),MONTH(C$3)+1,1)))</f>
        <v/>
      </c>
      <c r="E125" s="27" t="str">
        <f aca="false">IF($A125="","",SUMIFS(請求台帳!$F$5:$F$504,請求台帳!$C$5:$C$504,$A125,請求台帳!$B$5:$B$504,"&gt;="&amp;E$3,請求台帳!$B$5:$B$504,"&lt;"&amp;DATE(YEAR(E$3),MONTH(E$3)+1,1),請求台帳!$Q$5:$Q$504,"&lt;&gt;取消"))</f>
        <v/>
      </c>
      <c r="F125" s="27" t="str">
        <f aca="false">IF($A125="","",SUMIFS(入金明細!$E$5:$E$1004,入金明細!$G$5:$G$1004,$A125,入金明細!$B$5:$B$1004,"&gt;="&amp;E$3,入金明細!$B$5:$B$1004,"&lt;"&amp;DATE(YEAR(E$3),MONTH(E$3)+1,1)))</f>
        <v/>
      </c>
      <c r="G125" s="27" t="str">
        <f aca="false">IF($A125="","",SUMIFS(請求台帳!$F$5:$F$504,請求台帳!$C$5:$C$504,$A125,請求台帳!$B$5:$B$504,"&gt;="&amp;G$3,請求台帳!$B$5:$B$504,"&lt;"&amp;DATE(YEAR(G$3),MONTH(G$3)+1,1),請求台帳!$Q$5:$Q$504,"&lt;&gt;取消"))</f>
        <v/>
      </c>
      <c r="H125" s="27" t="str">
        <f aca="false">IF($A125="","",SUMIFS(入金明細!$E$5:$E$1004,入金明細!$G$5:$G$1004,$A125,入金明細!$B$5:$B$1004,"&gt;="&amp;G$3,入金明細!$B$5:$B$1004,"&lt;"&amp;DATE(YEAR(G$3),MONTH(G$3)+1,1)))</f>
        <v/>
      </c>
      <c r="I125" s="27" t="str">
        <f aca="false">IF($A125="","",SUMIFS(請求台帳!$F$5:$F$504,請求台帳!$C$5:$C$504,$A125,請求台帳!$B$5:$B$504,"&gt;="&amp;I$3,請求台帳!$B$5:$B$504,"&lt;"&amp;DATE(YEAR(I$3),MONTH(I$3)+1,1),請求台帳!$Q$5:$Q$504,"&lt;&gt;取消"))</f>
        <v/>
      </c>
      <c r="J125" s="27" t="str">
        <f aca="false">IF($A125="","",SUMIFS(入金明細!$E$5:$E$1004,入金明細!$G$5:$G$1004,$A125,入金明細!$B$5:$B$1004,"&gt;="&amp;I$3,入金明細!$B$5:$B$1004,"&lt;"&amp;DATE(YEAR(I$3),MONTH(I$3)+1,1)))</f>
        <v/>
      </c>
      <c r="K125" s="27" t="str">
        <f aca="false">IF($A125="","",SUMIFS(請求台帳!$F$5:$F$504,請求台帳!$C$5:$C$504,$A125,請求台帳!$B$5:$B$504,"&gt;="&amp;K$3,請求台帳!$B$5:$B$504,"&lt;"&amp;DATE(YEAR(K$3),MONTH(K$3)+1,1),請求台帳!$Q$5:$Q$504,"&lt;&gt;取消"))</f>
        <v/>
      </c>
      <c r="L125" s="27" t="str">
        <f aca="false">IF($A125="","",SUMIFS(入金明細!$E$5:$E$1004,入金明細!$G$5:$G$1004,$A125,入金明細!$B$5:$B$1004,"&gt;="&amp;K$3,入金明細!$B$5:$B$1004,"&lt;"&amp;DATE(YEAR(K$3),MONTH(K$3)+1,1)))</f>
        <v/>
      </c>
      <c r="M125" s="27" t="str">
        <f aca="false">IF($A125="","",SUMIFS(請求台帳!$F$5:$F$504,請求台帳!$C$5:$C$504,$A125,請求台帳!$B$5:$B$504,"&gt;="&amp;M$3,請求台帳!$B$5:$B$504,"&lt;"&amp;DATE(YEAR(M$3),MONTH(M$3)+1,1),請求台帳!$Q$5:$Q$504,"&lt;&gt;取消"))</f>
        <v/>
      </c>
      <c r="N125" s="27" t="str">
        <f aca="false">IF($A125="","",SUMIFS(入金明細!$E$5:$E$1004,入金明細!$G$5:$G$1004,$A125,入金明細!$B$5:$B$1004,"&gt;="&amp;M$3,入金明細!$B$5:$B$1004,"&lt;"&amp;DATE(YEAR(M$3),MONTH(M$3)+1,1)))</f>
        <v/>
      </c>
      <c r="O125" s="27" t="str">
        <f aca="false">IF($A125="","",SUMIFS(請求台帳!$F$5:$F$504,請求台帳!$C$5:$C$504,$A125,請求台帳!$B$5:$B$504,"&gt;="&amp;O$3,請求台帳!$B$5:$B$504,"&lt;"&amp;DATE(YEAR(O$3),MONTH(O$3)+1,1),請求台帳!$Q$5:$Q$504,"&lt;&gt;取消"))</f>
        <v/>
      </c>
      <c r="P125" s="27" t="str">
        <f aca="false">IF($A125="","",SUMIFS(入金明細!$E$5:$E$1004,入金明細!$G$5:$G$1004,$A125,入金明細!$B$5:$B$1004,"&gt;="&amp;O$3,入金明細!$B$5:$B$1004,"&lt;"&amp;DATE(YEAR(O$3),MONTH(O$3)+1,1)))</f>
        <v/>
      </c>
      <c r="Q125" s="27" t="str">
        <f aca="false">IF($A125="","",SUMIFS(請求台帳!$F$5:$F$504,請求台帳!$C$5:$C$504,$A125,請求台帳!$B$5:$B$504,"&gt;="&amp;Q$3,請求台帳!$B$5:$B$504,"&lt;"&amp;DATE(YEAR(Q$3),MONTH(Q$3)+1,1),請求台帳!$Q$5:$Q$504,"&lt;&gt;取消"))</f>
        <v/>
      </c>
      <c r="R125" s="27" t="str">
        <f aca="false">IF($A125="","",SUMIFS(入金明細!$E$5:$E$1004,入金明細!$G$5:$G$1004,$A125,入金明細!$B$5:$B$1004,"&gt;="&amp;Q$3,入金明細!$B$5:$B$1004,"&lt;"&amp;DATE(YEAR(Q$3),MONTH(Q$3)+1,1)))</f>
        <v/>
      </c>
      <c r="S125" s="27" t="str">
        <f aca="false">IF($A125="","",SUMIFS(請求台帳!$F$5:$F$504,請求台帳!$C$5:$C$504,$A125,請求台帳!$B$5:$B$504,"&gt;="&amp;S$3,請求台帳!$B$5:$B$504,"&lt;"&amp;DATE(YEAR(S$3),MONTH(S$3)+1,1),請求台帳!$Q$5:$Q$504,"&lt;&gt;取消"))</f>
        <v/>
      </c>
      <c r="T125" s="27" t="str">
        <f aca="false">IF($A125="","",SUMIFS(入金明細!$E$5:$E$1004,入金明細!$G$5:$G$1004,$A125,入金明細!$B$5:$B$1004,"&gt;="&amp;S$3,入金明細!$B$5:$B$1004,"&lt;"&amp;DATE(YEAR(S$3),MONTH(S$3)+1,1)))</f>
        <v/>
      </c>
      <c r="U125" s="27" t="str">
        <f aca="false">IF($A125="","",SUMIFS(請求台帳!$F$5:$F$504,請求台帳!$C$5:$C$504,$A125,請求台帳!$B$5:$B$504,"&gt;="&amp;U$3,請求台帳!$B$5:$B$504,"&lt;"&amp;DATE(YEAR(U$3),MONTH(U$3)+1,1),請求台帳!$Q$5:$Q$504,"&lt;&gt;取消"))</f>
        <v/>
      </c>
      <c r="V125" s="27" t="str">
        <f aca="false">IF($A125="","",SUMIFS(入金明細!$E$5:$E$1004,入金明細!$G$5:$G$1004,$A125,入金明細!$B$5:$B$1004,"&gt;="&amp;U$3,入金明細!$B$5:$B$1004,"&lt;"&amp;DATE(YEAR(U$3),MONTH(U$3)+1,1)))</f>
        <v/>
      </c>
      <c r="W125" s="27" t="str">
        <f aca="false">IF($A125="","",SUMIFS(請求台帳!$F$5:$F$504,請求台帳!$C$5:$C$504,$A125,請求台帳!$B$5:$B$504,"&gt;="&amp;W$3,請求台帳!$B$5:$B$504,"&lt;"&amp;DATE(YEAR(W$3),MONTH(W$3)+1,1),請求台帳!$Q$5:$Q$504,"&lt;&gt;取消"))</f>
        <v/>
      </c>
      <c r="X125" s="27" t="str">
        <f aca="false">IF($A125="","",SUMIFS(入金明細!$E$5:$E$1004,入金明細!$G$5:$G$1004,$A125,入金明細!$B$5:$B$1004,"&gt;="&amp;W$3,入金明細!$B$5:$B$1004,"&lt;"&amp;DATE(YEAR(W$3),MONTH(W$3)+1,1)))</f>
        <v/>
      </c>
      <c r="Y125" s="27" t="str">
        <f aca="false">IF($A125="","",SUMIFS(請求台帳!$F$5:$F$504,請求台帳!$C$5:$C$504,$A125,請求台帳!$B$5:$B$504,"&gt;="&amp;Y$3,請求台帳!$B$5:$B$504,"&lt;"&amp;DATE(YEAR(Y$3),MONTH(Y$3)+1,1),請求台帳!$Q$5:$Q$504,"&lt;&gt;取消"))</f>
        <v/>
      </c>
      <c r="Z125" s="27" t="str">
        <f aca="false">IF($A125="","",SUMIFS(入金明細!$E$5:$E$1004,入金明細!$G$5:$G$1004,$A125,入金明細!$B$5:$B$1004,"&gt;="&amp;Y$3,入金明細!$B$5:$B$1004,"&lt;"&amp;DATE(YEAR(Y$3),MONTH(Y$3)+1,1)))</f>
        <v/>
      </c>
      <c r="AA125" s="37" t="n">
        <f aca="false">SUM(C125,E125,G125,I125,K125,M125,O125,Q125,S125,U125,W125,Y125)</f>
        <v>0</v>
      </c>
      <c r="AB125" s="37" t="n">
        <f aca="false">SUM(D125,F125,H125,J125,L125,N125,P125,R125,T125,V125,X125,Z125)</f>
        <v>0</v>
      </c>
    </row>
    <row r="126" customFormat="false" ht="15" hidden="false" customHeight="false" outlineLevel="0" collapsed="false">
      <c r="A126" s="31" t="str">
        <f aca="false">IF(取引先マスタ!A126="","",取引先マスタ!A126)</f>
        <v/>
      </c>
      <c r="B126" s="31" t="str">
        <f aca="false">IF(A126="","",取引先マスタ!B126)</f>
        <v/>
      </c>
      <c r="C126" s="27" t="str">
        <f aca="false">IF($A126="","",SUMIFS(請求台帳!$F$5:$F$504,請求台帳!$C$5:$C$504,$A126,請求台帳!$B$5:$B$504,"&gt;="&amp;C$3,請求台帳!$B$5:$B$504,"&lt;"&amp;DATE(YEAR(C$3),MONTH(C$3)+1,1),請求台帳!$Q$5:$Q$504,"&lt;&gt;取消"))</f>
        <v/>
      </c>
      <c r="D126" s="27" t="str">
        <f aca="false">IF($A126="","",SUMIFS(入金明細!$E$5:$E$1004,入金明細!$G$5:$G$1004,$A126,入金明細!$B$5:$B$1004,"&gt;="&amp;C$3,入金明細!$B$5:$B$1004,"&lt;"&amp;DATE(YEAR(C$3),MONTH(C$3)+1,1)))</f>
        <v/>
      </c>
      <c r="E126" s="27" t="str">
        <f aca="false">IF($A126="","",SUMIFS(請求台帳!$F$5:$F$504,請求台帳!$C$5:$C$504,$A126,請求台帳!$B$5:$B$504,"&gt;="&amp;E$3,請求台帳!$B$5:$B$504,"&lt;"&amp;DATE(YEAR(E$3),MONTH(E$3)+1,1),請求台帳!$Q$5:$Q$504,"&lt;&gt;取消"))</f>
        <v/>
      </c>
      <c r="F126" s="27" t="str">
        <f aca="false">IF($A126="","",SUMIFS(入金明細!$E$5:$E$1004,入金明細!$G$5:$G$1004,$A126,入金明細!$B$5:$B$1004,"&gt;="&amp;E$3,入金明細!$B$5:$B$1004,"&lt;"&amp;DATE(YEAR(E$3),MONTH(E$3)+1,1)))</f>
        <v/>
      </c>
      <c r="G126" s="27" t="str">
        <f aca="false">IF($A126="","",SUMIFS(請求台帳!$F$5:$F$504,請求台帳!$C$5:$C$504,$A126,請求台帳!$B$5:$B$504,"&gt;="&amp;G$3,請求台帳!$B$5:$B$504,"&lt;"&amp;DATE(YEAR(G$3),MONTH(G$3)+1,1),請求台帳!$Q$5:$Q$504,"&lt;&gt;取消"))</f>
        <v/>
      </c>
      <c r="H126" s="27" t="str">
        <f aca="false">IF($A126="","",SUMIFS(入金明細!$E$5:$E$1004,入金明細!$G$5:$G$1004,$A126,入金明細!$B$5:$B$1004,"&gt;="&amp;G$3,入金明細!$B$5:$B$1004,"&lt;"&amp;DATE(YEAR(G$3),MONTH(G$3)+1,1)))</f>
        <v/>
      </c>
      <c r="I126" s="27" t="str">
        <f aca="false">IF($A126="","",SUMIFS(請求台帳!$F$5:$F$504,請求台帳!$C$5:$C$504,$A126,請求台帳!$B$5:$B$504,"&gt;="&amp;I$3,請求台帳!$B$5:$B$504,"&lt;"&amp;DATE(YEAR(I$3),MONTH(I$3)+1,1),請求台帳!$Q$5:$Q$504,"&lt;&gt;取消"))</f>
        <v/>
      </c>
      <c r="J126" s="27" t="str">
        <f aca="false">IF($A126="","",SUMIFS(入金明細!$E$5:$E$1004,入金明細!$G$5:$G$1004,$A126,入金明細!$B$5:$B$1004,"&gt;="&amp;I$3,入金明細!$B$5:$B$1004,"&lt;"&amp;DATE(YEAR(I$3),MONTH(I$3)+1,1)))</f>
        <v/>
      </c>
      <c r="K126" s="27" t="str">
        <f aca="false">IF($A126="","",SUMIFS(請求台帳!$F$5:$F$504,請求台帳!$C$5:$C$504,$A126,請求台帳!$B$5:$B$504,"&gt;="&amp;K$3,請求台帳!$B$5:$B$504,"&lt;"&amp;DATE(YEAR(K$3),MONTH(K$3)+1,1),請求台帳!$Q$5:$Q$504,"&lt;&gt;取消"))</f>
        <v/>
      </c>
      <c r="L126" s="27" t="str">
        <f aca="false">IF($A126="","",SUMIFS(入金明細!$E$5:$E$1004,入金明細!$G$5:$G$1004,$A126,入金明細!$B$5:$B$1004,"&gt;="&amp;K$3,入金明細!$B$5:$B$1004,"&lt;"&amp;DATE(YEAR(K$3),MONTH(K$3)+1,1)))</f>
        <v/>
      </c>
      <c r="M126" s="27" t="str">
        <f aca="false">IF($A126="","",SUMIFS(請求台帳!$F$5:$F$504,請求台帳!$C$5:$C$504,$A126,請求台帳!$B$5:$B$504,"&gt;="&amp;M$3,請求台帳!$B$5:$B$504,"&lt;"&amp;DATE(YEAR(M$3),MONTH(M$3)+1,1),請求台帳!$Q$5:$Q$504,"&lt;&gt;取消"))</f>
        <v/>
      </c>
      <c r="N126" s="27" t="str">
        <f aca="false">IF($A126="","",SUMIFS(入金明細!$E$5:$E$1004,入金明細!$G$5:$G$1004,$A126,入金明細!$B$5:$B$1004,"&gt;="&amp;M$3,入金明細!$B$5:$B$1004,"&lt;"&amp;DATE(YEAR(M$3),MONTH(M$3)+1,1)))</f>
        <v/>
      </c>
      <c r="O126" s="27" t="str">
        <f aca="false">IF($A126="","",SUMIFS(請求台帳!$F$5:$F$504,請求台帳!$C$5:$C$504,$A126,請求台帳!$B$5:$B$504,"&gt;="&amp;O$3,請求台帳!$B$5:$B$504,"&lt;"&amp;DATE(YEAR(O$3),MONTH(O$3)+1,1),請求台帳!$Q$5:$Q$504,"&lt;&gt;取消"))</f>
        <v/>
      </c>
      <c r="P126" s="27" t="str">
        <f aca="false">IF($A126="","",SUMIFS(入金明細!$E$5:$E$1004,入金明細!$G$5:$G$1004,$A126,入金明細!$B$5:$B$1004,"&gt;="&amp;O$3,入金明細!$B$5:$B$1004,"&lt;"&amp;DATE(YEAR(O$3),MONTH(O$3)+1,1)))</f>
        <v/>
      </c>
      <c r="Q126" s="27" t="str">
        <f aca="false">IF($A126="","",SUMIFS(請求台帳!$F$5:$F$504,請求台帳!$C$5:$C$504,$A126,請求台帳!$B$5:$B$504,"&gt;="&amp;Q$3,請求台帳!$B$5:$B$504,"&lt;"&amp;DATE(YEAR(Q$3),MONTH(Q$3)+1,1),請求台帳!$Q$5:$Q$504,"&lt;&gt;取消"))</f>
        <v/>
      </c>
      <c r="R126" s="27" t="str">
        <f aca="false">IF($A126="","",SUMIFS(入金明細!$E$5:$E$1004,入金明細!$G$5:$G$1004,$A126,入金明細!$B$5:$B$1004,"&gt;="&amp;Q$3,入金明細!$B$5:$B$1004,"&lt;"&amp;DATE(YEAR(Q$3),MONTH(Q$3)+1,1)))</f>
        <v/>
      </c>
      <c r="S126" s="27" t="str">
        <f aca="false">IF($A126="","",SUMIFS(請求台帳!$F$5:$F$504,請求台帳!$C$5:$C$504,$A126,請求台帳!$B$5:$B$504,"&gt;="&amp;S$3,請求台帳!$B$5:$B$504,"&lt;"&amp;DATE(YEAR(S$3),MONTH(S$3)+1,1),請求台帳!$Q$5:$Q$504,"&lt;&gt;取消"))</f>
        <v/>
      </c>
      <c r="T126" s="27" t="str">
        <f aca="false">IF($A126="","",SUMIFS(入金明細!$E$5:$E$1004,入金明細!$G$5:$G$1004,$A126,入金明細!$B$5:$B$1004,"&gt;="&amp;S$3,入金明細!$B$5:$B$1004,"&lt;"&amp;DATE(YEAR(S$3),MONTH(S$3)+1,1)))</f>
        <v/>
      </c>
      <c r="U126" s="27" t="str">
        <f aca="false">IF($A126="","",SUMIFS(請求台帳!$F$5:$F$504,請求台帳!$C$5:$C$504,$A126,請求台帳!$B$5:$B$504,"&gt;="&amp;U$3,請求台帳!$B$5:$B$504,"&lt;"&amp;DATE(YEAR(U$3),MONTH(U$3)+1,1),請求台帳!$Q$5:$Q$504,"&lt;&gt;取消"))</f>
        <v/>
      </c>
      <c r="V126" s="27" t="str">
        <f aca="false">IF($A126="","",SUMIFS(入金明細!$E$5:$E$1004,入金明細!$G$5:$G$1004,$A126,入金明細!$B$5:$B$1004,"&gt;="&amp;U$3,入金明細!$B$5:$B$1004,"&lt;"&amp;DATE(YEAR(U$3),MONTH(U$3)+1,1)))</f>
        <v/>
      </c>
      <c r="W126" s="27" t="str">
        <f aca="false">IF($A126="","",SUMIFS(請求台帳!$F$5:$F$504,請求台帳!$C$5:$C$504,$A126,請求台帳!$B$5:$B$504,"&gt;="&amp;W$3,請求台帳!$B$5:$B$504,"&lt;"&amp;DATE(YEAR(W$3),MONTH(W$3)+1,1),請求台帳!$Q$5:$Q$504,"&lt;&gt;取消"))</f>
        <v/>
      </c>
      <c r="X126" s="27" t="str">
        <f aca="false">IF($A126="","",SUMIFS(入金明細!$E$5:$E$1004,入金明細!$G$5:$G$1004,$A126,入金明細!$B$5:$B$1004,"&gt;="&amp;W$3,入金明細!$B$5:$B$1004,"&lt;"&amp;DATE(YEAR(W$3),MONTH(W$3)+1,1)))</f>
        <v/>
      </c>
      <c r="Y126" s="27" t="str">
        <f aca="false">IF($A126="","",SUMIFS(請求台帳!$F$5:$F$504,請求台帳!$C$5:$C$504,$A126,請求台帳!$B$5:$B$504,"&gt;="&amp;Y$3,請求台帳!$B$5:$B$504,"&lt;"&amp;DATE(YEAR(Y$3),MONTH(Y$3)+1,1),請求台帳!$Q$5:$Q$504,"&lt;&gt;取消"))</f>
        <v/>
      </c>
      <c r="Z126" s="27" t="str">
        <f aca="false">IF($A126="","",SUMIFS(入金明細!$E$5:$E$1004,入金明細!$G$5:$G$1004,$A126,入金明細!$B$5:$B$1004,"&gt;="&amp;Y$3,入金明細!$B$5:$B$1004,"&lt;"&amp;DATE(YEAR(Y$3),MONTH(Y$3)+1,1)))</f>
        <v/>
      </c>
      <c r="AA126" s="37" t="n">
        <f aca="false">SUM(C126,E126,G126,I126,K126,M126,O126,Q126,S126,U126,W126,Y126)</f>
        <v>0</v>
      </c>
      <c r="AB126" s="37" t="n">
        <f aca="false">SUM(D126,F126,H126,J126,L126,N126,P126,R126,T126,V126,X126,Z126)</f>
        <v>0</v>
      </c>
    </row>
    <row r="127" customFormat="false" ht="15" hidden="false" customHeight="false" outlineLevel="0" collapsed="false">
      <c r="A127" s="31" t="str">
        <f aca="false">IF(取引先マスタ!A127="","",取引先マスタ!A127)</f>
        <v/>
      </c>
      <c r="B127" s="31" t="str">
        <f aca="false">IF(A127="","",取引先マスタ!B127)</f>
        <v/>
      </c>
      <c r="C127" s="27" t="str">
        <f aca="false">IF($A127="","",SUMIFS(請求台帳!$F$5:$F$504,請求台帳!$C$5:$C$504,$A127,請求台帳!$B$5:$B$504,"&gt;="&amp;C$3,請求台帳!$B$5:$B$504,"&lt;"&amp;DATE(YEAR(C$3),MONTH(C$3)+1,1),請求台帳!$Q$5:$Q$504,"&lt;&gt;取消"))</f>
        <v/>
      </c>
      <c r="D127" s="27" t="str">
        <f aca="false">IF($A127="","",SUMIFS(入金明細!$E$5:$E$1004,入金明細!$G$5:$G$1004,$A127,入金明細!$B$5:$B$1004,"&gt;="&amp;C$3,入金明細!$B$5:$B$1004,"&lt;"&amp;DATE(YEAR(C$3),MONTH(C$3)+1,1)))</f>
        <v/>
      </c>
      <c r="E127" s="27" t="str">
        <f aca="false">IF($A127="","",SUMIFS(請求台帳!$F$5:$F$504,請求台帳!$C$5:$C$504,$A127,請求台帳!$B$5:$B$504,"&gt;="&amp;E$3,請求台帳!$B$5:$B$504,"&lt;"&amp;DATE(YEAR(E$3),MONTH(E$3)+1,1),請求台帳!$Q$5:$Q$504,"&lt;&gt;取消"))</f>
        <v/>
      </c>
      <c r="F127" s="27" t="str">
        <f aca="false">IF($A127="","",SUMIFS(入金明細!$E$5:$E$1004,入金明細!$G$5:$G$1004,$A127,入金明細!$B$5:$B$1004,"&gt;="&amp;E$3,入金明細!$B$5:$B$1004,"&lt;"&amp;DATE(YEAR(E$3),MONTH(E$3)+1,1)))</f>
        <v/>
      </c>
      <c r="G127" s="27" t="str">
        <f aca="false">IF($A127="","",SUMIFS(請求台帳!$F$5:$F$504,請求台帳!$C$5:$C$504,$A127,請求台帳!$B$5:$B$504,"&gt;="&amp;G$3,請求台帳!$B$5:$B$504,"&lt;"&amp;DATE(YEAR(G$3),MONTH(G$3)+1,1),請求台帳!$Q$5:$Q$504,"&lt;&gt;取消"))</f>
        <v/>
      </c>
      <c r="H127" s="27" t="str">
        <f aca="false">IF($A127="","",SUMIFS(入金明細!$E$5:$E$1004,入金明細!$G$5:$G$1004,$A127,入金明細!$B$5:$B$1004,"&gt;="&amp;G$3,入金明細!$B$5:$B$1004,"&lt;"&amp;DATE(YEAR(G$3),MONTH(G$3)+1,1)))</f>
        <v/>
      </c>
      <c r="I127" s="27" t="str">
        <f aca="false">IF($A127="","",SUMIFS(請求台帳!$F$5:$F$504,請求台帳!$C$5:$C$504,$A127,請求台帳!$B$5:$B$504,"&gt;="&amp;I$3,請求台帳!$B$5:$B$504,"&lt;"&amp;DATE(YEAR(I$3),MONTH(I$3)+1,1),請求台帳!$Q$5:$Q$504,"&lt;&gt;取消"))</f>
        <v/>
      </c>
      <c r="J127" s="27" t="str">
        <f aca="false">IF($A127="","",SUMIFS(入金明細!$E$5:$E$1004,入金明細!$G$5:$G$1004,$A127,入金明細!$B$5:$B$1004,"&gt;="&amp;I$3,入金明細!$B$5:$B$1004,"&lt;"&amp;DATE(YEAR(I$3),MONTH(I$3)+1,1)))</f>
        <v/>
      </c>
      <c r="K127" s="27" t="str">
        <f aca="false">IF($A127="","",SUMIFS(請求台帳!$F$5:$F$504,請求台帳!$C$5:$C$504,$A127,請求台帳!$B$5:$B$504,"&gt;="&amp;K$3,請求台帳!$B$5:$B$504,"&lt;"&amp;DATE(YEAR(K$3),MONTH(K$3)+1,1),請求台帳!$Q$5:$Q$504,"&lt;&gt;取消"))</f>
        <v/>
      </c>
      <c r="L127" s="27" t="str">
        <f aca="false">IF($A127="","",SUMIFS(入金明細!$E$5:$E$1004,入金明細!$G$5:$G$1004,$A127,入金明細!$B$5:$B$1004,"&gt;="&amp;K$3,入金明細!$B$5:$B$1004,"&lt;"&amp;DATE(YEAR(K$3),MONTH(K$3)+1,1)))</f>
        <v/>
      </c>
      <c r="M127" s="27" t="str">
        <f aca="false">IF($A127="","",SUMIFS(請求台帳!$F$5:$F$504,請求台帳!$C$5:$C$504,$A127,請求台帳!$B$5:$B$504,"&gt;="&amp;M$3,請求台帳!$B$5:$B$504,"&lt;"&amp;DATE(YEAR(M$3),MONTH(M$3)+1,1),請求台帳!$Q$5:$Q$504,"&lt;&gt;取消"))</f>
        <v/>
      </c>
      <c r="N127" s="27" t="str">
        <f aca="false">IF($A127="","",SUMIFS(入金明細!$E$5:$E$1004,入金明細!$G$5:$G$1004,$A127,入金明細!$B$5:$B$1004,"&gt;="&amp;M$3,入金明細!$B$5:$B$1004,"&lt;"&amp;DATE(YEAR(M$3),MONTH(M$3)+1,1)))</f>
        <v/>
      </c>
      <c r="O127" s="27" t="str">
        <f aca="false">IF($A127="","",SUMIFS(請求台帳!$F$5:$F$504,請求台帳!$C$5:$C$504,$A127,請求台帳!$B$5:$B$504,"&gt;="&amp;O$3,請求台帳!$B$5:$B$504,"&lt;"&amp;DATE(YEAR(O$3),MONTH(O$3)+1,1),請求台帳!$Q$5:$Q$504,"&lt;&gt;取消"))</f>
        <v/>
      </c>
      <c r="P127" s="27" t="str">
        <f aca="false">IF($A127="","",SUMIFS(入金明細!$E$5:$E$1004,入金明細!$G$5:$G$1004,$A127,入金明細!$B$5:$B$1004,"&gt;="&amp;O$3,入金明細!$B$5:$B$1004,"&lt;"&amp;DATE(YEAR(O$3),MONTH(O$3)+1,1)))</f>
        <v/>
      </c>
      <c r="Q127" s="27" t="str">
        <f aca="false">IF($A127="","",SUMIFS(請求台帳!$F$5:$F$504,請求台帳!$C$5:$C$504,$A127,請求台帳!$B$5:$B$504,"&gt;="&amp;Q$3,請求台帳!$B$5:$B$504,"&lt;"&amp;DATE(YEAR(Q$3),MONTH(Q$3)+1,1),請求台帳!$Q$5:$Q$504,"&lt;&gt;取消"))</f>
        <v/>
      </c>
      <c r="R127" s="27" t="str">
        <f aca="false">IF($A127="","",SUMIFS(入金明細!$E$5:$E$1004,入金明細!$G$5:$G$1004,$A127,入金明細!$B$5:$B$1004,"&gt;="&amp;Q$3,入金明細!$B$5:$B$1004,"&lt;"&amp;DATE(YEAR(Q$3),MONTH(Q$3)+1,1)))</f>
        <v/>
      </c>
      <c r="S127" s="27" t="str">
        <f aca="false">IF($A127="","",SUMIFS(請求台帳!$F$5:$F$504,請求台帳!$C$5:$C$504,$A127,請求台帳!$B$5:$B$504,"&gt;="&amp;S$3,請求台帳!$B$5:$B$504,"&lt;"&amp;DATE(YEAR(S$3),MONTH(S$3)+1,1),請求台帳!$Q$5:$Q$504,"&lt;&gt;取消"))</f>
        <v/>
      </c>
      <c r="T127" s="27" t="str">
        <f aca="false">IF($A127="","",SUMIFS(入金明細!$E$5:$E$1004,入金明細!$G$5:$G$1004,$A127,入金明細!$B$5:$B$1004,"&gt;="&amp;S$3,入金明細!$B$5:$B$1004,"&lt;"&amp;DATE(YEAR(S$3),MONTH(S$3)+1,1)))</f>
        <v/>
      </c>
      <c r="U127" s="27" t="str">
        <f aca="false">IF($A127="","",SUMIFS(請求台帳!$F$5:$F$504,請求台帳!$C$5:$C$504,$A127,請求台帳!$B$5:$B$504,"&gt;="&amp;U$3,請求台帳!$B$5:$B$504,"&lt;"&amp;DATE(YEAR(U$3),MONTH(U$3)+1,1),請求台帳!$Q$5:$Q$504,"&lt;&gt;取消"))</f>
        <v/>
      </c>
      <c r="V127" s="27" t="str">
        <f aca="false">IF($A127="","",SUMIFS(入金明細!$E$5:$E$1004,入金明細!$G$5:$G$1004,$A127,入金明細!$B$5:$B$1004,"&gt;="&amp;U$3,入金明細!$B$5:$B$1004,"&lt;"&amp;DATE(YEAR(U$3),MONTH(U$3)+1,1)))</f>
        <v/>
      </c>
      <c r="W127" s="27" t="str">
        <f aca="false">IF($A127="","",SUMIFS(請求台帳!$F$5:$F$504,請求台帳!$C$5:$C$504,$A127,請求台帳!$B$5:$B$504,"&gt;="&amp;W$3,請求台帳!$B$5:$B$504,"&lt;"&amp;DATE(YEAR(W$3),MONTH(W$3)+1,1),請求台帳!$Q$5:$Q$504,"&lt;&gt;取消"))</f>
        <v/>
      </c>
      <c r="X127" s="27" t="str">
        <f aca="false">IF($A127="","",SUMIFS(入金明細!$E$5:$E$1004,入金明細!$G$5:$G$1004,$A127,入金明細!$B$5:$B$1004,"&gt;="&amp;W$3,入金明細!$B$5:$B$1004,"&lt;"&amp;DATE(YEAR(W$3),MONTH(W$3)+1,1)))</f>
        <v/>
      </c>
      <c r="Y127" s="27" t="str">
        <f aca="false">IF($A127="","",SUMIFS(請求台帳!$F$5:$F$504,請求台帳!$C$5:$C$504,$A127,請求台帳!$B$5:$B$504,"&gt;="&amp;Y$3,請求台帳!$B$5:$B$504,"&lt;"&amp;DATE(YEAR(Y$3),MONTH(Y$3)+1,1),請求台帳!$Q$5:$Q$504,"&lt;&gt;取消"))</f>
        <v/>
      </c>
      <c r="Z127" s="27" t="str">
        <f aca="false">IF($A127="","",SUMIFS(入金明細!$E$5:$E$1004,入金明細!$G$5:$G$1004,$A127,入金明細!$B$5:$B$1004,"&gt;="&amp;Y$3,入金明細!$B$5:$B$1004,"&lt;"&amp;DATE(YEAR(Y$3),MONTH(Y$3)+1,1)))</f>
        <v/>
      </c>
      <c r="AA127" s="37" t="n">
        <f aca="false">SUM(C127,E127,G127,I127,K127,M127,O127,Q127,S127,U127,W127,Y127)</f>
        <v>0</v>
      </c>
      <c r="AB127" s="37" t="n">
        <f aca="false">SUM(D127,F127,H127,J127,L127,N127,P127,R127,T127,V127,X127,Z127)</f>
        <v>0</v>
      </c>
    </row>
    <row r="128" customFormat="false" ht="15" hidden="false" customHeight="false" outlineLevel="0" collapsed="false">
      <c r="A128" s="31" t="str">
        <f aca="false">IF(取引先マスタ!A128="","",取引先マスタ!A128)</f>
        <v/>
      </c>
      <c r="B128" s="31" t="str">
        <f aca="false">IF(A128="","",取引先マスタ!B128)</f>
        <v/>
      </c>
      <c r="C128" s="27" t="str">
        <f aca="false">IF($A128="","",SUMIFS(請求台帳!$F$5:$F$504,請求台帳!$C$5:$C$504,$A128,請求台帳!$B$5:$B$504,"&gt;="&amp;C$3,請求台帳!$B$5:$B$504,"&lt;"&amp;DATE(YEAR(C$3),MONTH(C$3)+1,1),請求台帳!$Q$5:$Q$504,"&lt;&gt;取消"))</f>
        <v/>
      </c>
      <c r="D128" s="27" t="str">
        <f aca="false">IF($A128="","",SUMIFS(入金明細!$E$5:$E$1004,入金明細!$G$5:$G$1004,$A128,入金明細!$B$5:$B$1004,"&gt;="&amp;C$3,入金明細!$B$5:$B$1004,"&lt;"&amp;DATE(YEAR(C$3),MONTH(C$3)+1,1)))</f>
        <v/>
      </c>
      <c r="E128" s="27" t="str">
        <f aca="false">IF($A128="","",SUMIFS(請求台帳!$F$5:$F$504,請求台帳!$C$5:$C$504,$A128,請求台帳!$B$5:$B$504,"&gt;="&amp;E$3,請求台帳!$B$5:$B$504,"&lt;"&amp;DATE(YEAR(E$3),MONTH(E$3)+1,1),請求台帳!$Q$5:$Q$504,"&lt;&gt;取消"))</f>
        <v/>
      </c>
      <c r="F128" s="27" t="str">
        <f aca="false">IF($A128="","",SUMIFS(入金明細!$E$5:$E$1004,入金明細!$G$5:$G$1004,$A128,入金明細!$B$5:$B$1004,"&gt;="&amp;E$3,入金明細!$B$5:$B$1004,"&lt;"&amp;DATE(YEAR(E$3),MONTH(E$3)+1,1)))</f>
        <v/>
      </c>
      <c r="G128" s="27" t="str">
        <f aca="false">IF($A128="","",SUMIFS(請求台帳!$F$5:$F$504,請求台帳!$C$5:$C$504,$A128,請求台帳!$B$5:$B$504,"&gt;="&amp;G$3,請求台帳!$B$5:$B$504,"&lt;"&amp;DATE(YEAR(G$3),MONTH(G$3)+1,1),請求台帳!$Q$5:$Q$504,"&lt;&gt;取消"))</f>
        <v/>
      </c>
      <c r="H128" s="27" t="str">
        <f aca="false">IF($A128="","",SUMIFS(入金明細!$E$5:$E$1004,入金明細!$G$5:$G$1004,$A128,入金明細!$B$5:$B$1004,"&gt;="&amp;G$3,入金明細!$B$5:$B$1004,"&lt;"&amp;DATE(YEAR(G$3),MONTH(G$3)+1,1)))</f>
        <v/>
      </c>
      <c r="I128" s="27" t="str">
        <f aca="false">IF($A128="","",SUMIFS(請求台帳!$F$5:$F$504,請求台帳!$C$5:$C$504,$A128,請求台帳!$B$5:$B$504,"&gt;="&amp;I$3,請求台帳!$B$5:$B$504,"&lt;"&amp;DATE(YEAR(I$3),MONTH(I$3)+1,1),請求台帳!$Q$5:$Q$504,"&lt;&gt;取消"))</f>
        <v/>
      </c>
      <c r="J128" s="27" t="str">
        <f aca="false">IF($A128="","",SUMIFS(入金明細!$E$5:$E$1004,入金明細!$G$5:$G$1004,$A128,入金明細!$B$5:$B$1004,"&gt;="&amp;I$3,入金明細!$B$5:$B$1004,"&lt;"&amp;DATE(YEAR(I$3),MONTH(I$3)+1,1)))</f>
        <v/>
      </c>
      <c r="K128" s="27" t="str">
        <f aca="false">IF($A128="","",SUMIFS(請求台帳!$F$5:$F$504,請求台帳!$C$5:$C$504,$A128,請求台帳!$B$5:$B$504,"&gt;="&amp;K$3,請求台帳!$B$5:$B$504,"&lt;"&amp;DATE(YEAR(K$3),MONTH(K$3)+1,1),請求台帳!$Q$5:$Q$504,"&lt;&gt;取消"))</f>
        <v/>
      </c>
      <c r="L128" s="27" t="str">
        <f aca="false">IF($A128="","",SUMIFS(入金明細!$E$5:$E$1004,入金明細!$G$5:$G$1004,$A128,入金明細!$B$5:$B$1004,"&gt;="&amp;K$3,入金明細!$B$5:$B$1004,"&lt;"&amp;DATE(YEAR(K$3),MONTH(K$3)+1,1)))</f>
        <v/>
      </c>
      <c r="M128" s="27" t="str">
        <f aca="false">IF($A128="","",SUMIFS(請求台帳!$F$5:$F$504,請求台帳!$C$5:$C$504,$A128,請求台帳!$B$5:$B$504,"&gt;="&amp;M$3,請求台帳!$B$5:$B$504,"&lt;"&amp;DATE(YEAR(M$3),MONTH(M$3)+1,1),請求台帳!$Q$5:$Q$504,"&lt;&gt;取消"))</f>
        <v/>
      </c>
      <c r="N128" s="27" t="str">
        <f aca="false">IF($A128="","",SUMIFS(入金明細!$E$5:$E$1004,入金明細!$G$5:$G$1004,$A128,入金明細!$B$5:$B$1004,"&gt;="&amp;M$3,入金明細!$B$5:$B$1004,"&lt;"&amp;DATE(YEAR(M$3),MONTH(M$3)+1,1)))</f>
        <v/>
      </c>
      <c r="O128" s="27" t="str">
        <f aca="false">IF($A128="","",SUMIFS(請求台帳!$F$5:$F$504,請求台帳!$C$5:$C$504,$A128,請求台帳!$B$5:$B$504,"&gt;="&amp;O$3,請求台帳!$B$5:$B$504,"&lt;"&amp;DATE(YEAR(O$3),MONTH(O$3)+1,1),請求台帳!$Q$5:$Q$504,"&lt;&gt;取消"))</f>
        <v/>
      </c>
      <c r="P128" s="27" t="str">
        <f aca="false">IF($A128="","",SUMIFS(入金明細!$E$5:$E$1004,入金明細!$G$5:$G$1004,$A128,入金明細!$B$5:$B$1004,"&gt;="&amp;O$3,入金明細!$B$5:$B$1004,"&lt;"&amp;DATE(YEAR(O$3),MONTH(O$3)+1,1)))</f>
        <v/>
      </c>
      <c r="Q128" s="27" t="str">
        <f aca="false">IF($A128="","",SUMIFS(請求台帳!$F$5:$F$504,請求台帳!$C$5:$C$504,$A128,請求台帳!$B$5:$B$504,"&gt;="&amp;Q$3,請求台帳!$B$5:$B$504,"&lt;"&amp;DATE(YEAR(Q$3),MONTH(Q$3)+1,1),請求台帳!$Q$5:$Q$504,"&lt;&gt;取消"))</f>
        <v/>
      </c>
      <c r="R128" s="27" t="str">
        <f aca="false">IF($A128="","",SUMIFS(入金明細!$E$5:$E$1004,入金明細!$G$5:$G$1004,$A128,入金明細!$B$5:$B$1004,"&gt;="&amp;Q$3,入金明細!$B$5:$B$1004,"&lt;"&amp;DATE(YEAR(Q$3),MONTH(Q$3)+1,1)))</f>
        <v/>
      </c>
      <c r="S128" s="27" t="str">
        <f aca="false">IF($A128="","",SUMIFS(請求台帳!$F$5:$F$504,請求台帳!$C$5:$C$504,$A128,請求台帳!$B$5:$B$504,"&gt;="&amp;S$3,請求台帳!$B$5:$B$504,"&lt;"&amp;DATE(YEAR(S$3),MONTH(S$3)+1,1),請求台帳!$Q$5:$Q$504,"&lt;&gt;取消"))</f>
        <v/>
      </c>
      <c r="T128" s="27" t="str">
        <f aca="false">IF($A128="","",SUMIFS(入金明細!$E$5:$E$1004,入金明細!$G$5:$G$1004,$A128,入金明細!$B$5:$B$1004,"&gt;="&amp;S$3,入金明細!$B$5:$B$1004,"&lt;"&amp;DATE(YEAR(S$3),MONTH(S$3)+1,1)))</f>
        <v/>
      </c>
      <c r="U128" s="27" t="str">
        <f aca="false">IF($A128="","",SUMIFS(請求台帳!$F$5:$F$504,請求台帳!$C$5:$C$504,$A128,請求台帳!$B$5:$B$504,"&gt;="&amp;U$3,請求台帳!$B$5:$B$504,"&lt;"&amp;DATE(YEAR(U$3),MONTH(U$3)+1,1),請求台帳!$Q$5:$Q$504,"&lt;&gt;取消"))</f>
        <v/>
      </c>
      <c r="V128" s="27" t="str">
        <f aca="false">IF($A128="","",SUMIFS(入金明細!$E$5:$E$1004,入金明細!$G$5:$G$1004,$A128,入金明細!$B$5:$B$1004,"&gt;="&amp;U$3,入金明細!$B$5:$B$1004,"&lt;"&amp;DATE(YEAR(U$3),MONTH(U$3)+1,1)))</f>
        <v/>
      </c>
      <c r="W128" s="27" t="str">
        <f aca="false">IF($A128="","",SUMIFS(請求台帳!$F$5:$F$504,請求台帳!$C$5:$C$504,$A128,請求台帳!$B$5:$B$504,"&gt;="&amp;W$3,請求台帳!$B$5:$B$504,"&lt;"&amp;DATE(YEAR(W$3),MONTH(W$3)+1,1),請求台帳!$Q$5:$Q$504,"&lt;&gt;取消"))</f>
        <v/>
      </c>
      <c r="X128" s="27" t="str">
        <f aca="false">IF($A128="","",SUMIFS(入金明細!$E$5:$E$1004,入金明細!$G$5:$G$1004,$A128,入金明細!$B$5:$B$1004,"&gt;="&amp;W$3,入金明細!$B$5:$B$1004,"&lt;"&amp;DATE(YEAR(W$3),MONTH(W$3)+1,1)))</f>
        <v/>
      </c>
      <c r="Y128" s="27" t="str">
        <f aca="false">IF($A128="","",SUMIFS(請求台帳!$F$5:$F$504,請求台帳!$C$5:$C$504,$A128,請求台帳!$B$5:$B$504,"&gt;="&amp;Y$3,請求台帳!$B$5:$B$504,"&lt;"&amp;DATE(YEAR(Y$3),MONTH(Y$3)+1,1),請求台帳!$Q$5:$Q$504,"&lt;&gt;取消"))</f>
        <v/>
      </c>
      <c r="Z128" s="27" t="str">
        <f aca="false">IF($A128="","",SUMIFS(入金明細!$E$5:$E$1004,入金明細!$G$5:$G$1004,$A128,入金明細!$B$5:$B$1004,"&gt;="&amp;Y$3,入金明細!$B$5:$B$1004,"&lt;"&amp;DATE(YEAR(Y$3),MONTH(Y$3)+1,1)))</f>
        <v/>
      </c>
      <c r="AA128" s="37" t="n">
        <f aca="false">SUM(C128,E128,G128,I128,K128,M128,O128,Q128,S128,U128,W128,Y128)</f>
        <v>0</v>
      </c>
      <c r="AB128" s="37" t="n">
        <f aca="false">SUM(D128,F128,H128,J128,L128,N128,P128,R128,T128,V128,X128,Z128)</f>
        <v>0</v>
      </c>
    </row>
    <row r="129" customFormat="false" ht="15" hidden="false" customHeight="false" outlineLevel="0" collapsed="false">
      <c r="A129" s="31" t="str">
        <f aca="false">IF(取引先マスタ!A129="","",取引先マスタ!A129)</f>
        <v/>
      </c>
      <c r="B129" s="31" t="str">
        <f aca="false">IF(A129="","",取引先マスタ!B129)</f>
        <v/>
      </c>
      <c r="C129" s="27" t="str">
        <f aca="false">IF($A129="","",SUMIFS(請求台帳!$F$5:$F$504,請求台帳!$C$5:$C$504,$A129,請求台帳!$B$5:$B$504,"&gt;="&amp;C$3,請求台帳!$B$5:$B$504,"&lt;"&amp;DATE(YEAR(C$3),MONTH(C$3)+1,1),請求台帳!$Q$5:$Q$504,"&lt;&gt;取消"))</f>
        <v/>
      </c>
      <c r="D129" s="27" t="str">
        <f aca="false">IF($A129="","",SUMIFS(入金明細!$E$5:$E$1004,入金明細!$G$5:$G$1004,$A129,入金明細!$B$5:$B$1004,"&gt;="&amp;C$3,入金明細!$B$5:$B$1004,"&lt;"&amp;DATE(YEAR(C$3),MONTH(C$3)+1,1)))</f>
        <v/>
      </c>
      <c r="E129" s="27" t="str">
        <f aca="false">IF($A129="","",SUMIFS(請求台帳!$F$5:$F$504,請求台帳!$C$5:$C$504,$A129,請求台帳!$B$5:$B$504,"&gt;="&amp;E$3,請求台帳!$B$5:$B$504,"&lt;"&amp;DATE(YEAR(E$3),MONTH(E$3)+1,1),請求台帳!$Q$5:$Q$504,"&lt;&gt;取消"))</f>
        <v/>
      </c>
      <c r="F129" s="27" t="str">
        <f aca="false">IF($A129="","",SUMIFS(入金明細!$E$5:$E$1004,入金明細!$G$5:$G$1004,$A129,入金明細!$B$5:$B$1004,"&gt;="&amp;E$3,入金明細!$B$5:$B$1004,"&lt;"&amp;DATE(YEAR(E$3),MONTH(E$3)+1,1)))</f>
        <v/>
      </c>
      <c r="G129" s="27" t="str">
        <f aca="false">IF($A129="","",SUMIFS(請求台帳!$F$5:$F$504,請求台帳!$C$5:$C$504,$A129,請求台帳!$B$5:$B$504,"&gt;="&amp;G$3,請求台帳!$B$5:$B$504,"&lt;"&amp;DATE(YEAR(G$3),MONTH(G$3)+1,1),請求台帳!$Q$5:$Q$504,"&lt;&gt;取消"))</f>
        <v/>
      </c>
      <c r="H129" s="27" t="str">
        <f aca="false">IF($A129="","",SUMIFS(入金明細!$E$5:$E$1004,入金明細!$G$5:$G$1004,$A129,入金明細!$B$5:$B$1004,"&gt;="&amp;G$3,入金明細!$B$5:$B$1004,"&lt;"&amp;DATE(YEAR(G$3),MONTH(G$3)+1,1)))</f>
        <v/>
      </c>
      <c r="I129" s="27" t="str">
        <f aca="false">IF($A129="","",SUMIFS(請求台帳!$F$5:$F$504,請求台帳!$C$5:$C$504,$A129,請求台帳!$B$5:$B$504,"&gt;="&amp;I$3,請求台帳!$B$5:$B$504,"&lt;"&amp;DATE(YEAR(I$3),MONTH(I$3)+1,1),請求台帳!$Q$5:$Q$504,"&lt;&gt;取消"))</f>
        <v/>
      </c>
      <c r="J129" s="27" t="str">
        <f aca="false">IF($A129="","",SUMIFS(入金明細!$E$5:$E$1004,入金明細!$G$5:$G$1004,$A129,入金明細!$B$5:$B$1004,"&gt;="&amp;I$3,入金明細!$B$5:$B$1004,"&lt;"&amp;DATE(YEAR(I$3),MONTH(I$3)+1,1)))</f>
        <v/>
      </c>
      <c r="K129" s="27" t="str">
        <f aca="false">IF($A129="","",SUMIFS(請求台帳!$F$5:$F$504,請求台帳!$C$5:$C$504,$A129,請求台帳!$B$5:$B$504,"&gt;="&amp;K$3,請求台帳!$B$5:$B$504,"&lt;"&amp;DATE(YEAR(K$3),MONTH(K$3)+1,1),請求台帳!$Q$5:$Q$504,"&lt;&gt;取消"))</f>
        <v/>
      </c>
      <c r="L129" s="27" t="str">
        <f aca="false">IF($A129="","",SUMIFS(入金明細!$E$5:$E$1004,入金明細!$G$5:$G$1004,$A129,入金明細!$B$5:$B$1004,"&gt;="&amp;K$3,入金明細!$B$5:$B$1004,"&lt;"&amp;DATE(YEAR(K$3),MONTH(K$3)+1,1)))</f>
        <v/>
      </c>
      <c r="M129" s="27" t="str">
        <f aca="false">IF($A129="","",SUMIFS(請求台帳!$F$5:$F$504,請求台帳!$C$5:$C$504,$A129,請求台帳!$B$5:$B$504,"&gt;="&amp;M$3,請求台帳!$B$5:$B$504,"&lt;"&amp;DATE(YEAR(M$3),MONTH(M$3)+1,1),請求台帳!$Q$5:$Q$504,"&lt;&gt;取消"))</f>
        <v/>
      </c>
      <c r="N129" s="27" t="str">
        <f aca="false">IF($A129="","",SUMIFS(入金明細!$E$5:$E$1004,入金明細!$G$5:$G$1004,$A129,入金明細!$B$5:$B$1004,"&gt;="&amp;M$3,入金明細!$B$5:$B$1004,"&lt;"&amp;DATE(YEAR(M$3),MONTH(M$3)+1,1)))</f>
        <v/>
      </c>
      <c r="O129" s="27" t="str">
        <f aca="false">IF($A129="","",SUMIFS(請求台帳!$F$5:$F$504,請求台帳!$C$5:$C$504,$A129,請求台帳!$B$5:$B$504,"&gt;="&amp;O$3,請求台帳!$B$5:$B$504,"&lt;"&amp;DATE(YEAR(O$3),MONTH(O$3)+1,1),請求台帳!$Q$5:$Q$504,"&lt;&gt;取消"))</f>
        <v/>
      </c>
      <c r="P129" s="27" t="str">
        <f aca="false">IF($A129="","",SUMIFS(入金明細!$E$5:$E$1004,入金明細!$G$5:$G$1004,$A129,入金明細!$B$5:$B$1004,"&gt;="&amp;O$3,入金明細!$B$5:$B$1004,"&lt;"&amp;DATE(YEAR(O$3),MONTH(O$3)+1,1)))</f>
        <v/>
      </c>
      <c r="Q129" s="27" t="str">
        <f aca="false">IF($A129="","",SUMIFS(請求台帳!$F$5:$F$504,請求台帳!$C$5:$C$504,$A129,請求台帳!$B$5:$B$504,"&gt;="&amp;Q$3,請求台帳!$B$5:$B$504,"&lt;"&amp;DATE(YEAR(Q$3),MONTH(Q$3)+1,1),請求台帳!$Q$5:$Q$504,"&lt;&gt;取消"))</f>
        <v/>
      </c>
      <c r="R129" s="27" t="str">
        <f aca="false">IF($A129="","",SUMIFS(入金明細!$E$5:$E$1004,入金明細!$G$5:$G$1004,$A129,入金明細!$B$5:$B$1004,"&gt;="&amp;Q$3,入金明細!$B$5:$B$1004,"&lt;"&amp;DATE(YEAR(Q$3),MONTH(Q$3)+1,1)))</f>
        <v/>
      </c>
      <c r="S129" s="27" t="str">
        <f aca="false">IF($A129="","",SUMIFS(請求台帳!$F$5:$F$504,請求台帳!$C$5:$C$504,$A129,請求台帳!$B$5:$B$504,"&gt;="&amp;S$3,請求台帳!$B$5:$B$504,"&lt;"&amp;DATE(YEAR(S$3),MONTH(S$3)+1,1),請求台帳!$Q$5:$Q$504,"&lt;&gt;取消"))</f>
        <v/>
      </c>
      <c r="T129" s="27" t="str">
        <f aca="false">IF($A129="","",SUMIFS(入金明細!$E$5:$E$1004,入金明細!$G$5:$G$1004,$A129,入金明細!$B$5:$B$1004,"&gt;="&amp;S$3,入金明細!$B$5:$B$1004,"&lt;"&amp;DATE(YEAR(S$3),MONTH(S$3)+1,1)))</f>
        <v/>
      </c>
      <c r="U129" s="27" t="str">
        <f aca="false">IF($A129="","",SUMIFS(請求台帳!$F$5:$F$504,請求台帳!$C$5:$C$504,$A129,請求台帳!$B$5:$B$504,"&gt;="&amp;U$3,請求台帳!$B$5:$B$504,"&lt;"&amp;DATE(YEAR(U$3),MONTH(U$3)+1,1),請求台帳!$Q$5:$Q$504,"&lt;&gt;取消"))</f>
        <v/>
      </c>
      <c r="V129" s="27" t="str">
        <f aca="false">IF($A129="","",SUMIFS(入金明細!$E$5:$E$1004,入金明細!$G$5:$G$1004,$A129,入金明細!$B$5:$B$1004,"&gt;="&amp;U$3,入金明細!$B$5:$B$1004,"&lt;"&amp;DATE(YEAR(U$3),MONTH(U$3)+1,1)))</f>
        <v/>
      </c>
      <c r="W129" s="27" t="str">
        <f aca="false">IF($A129="","",SUMIFS(請求台帳!$F$5:$F$504,請求台帳!$C$5:$C$504,$A129,請求台帳!$B$5:$B$504,"&gt;="&amp;W$3,請求台帳!$B$5:$B$504,"&lt;"&amp;DATE(YEAR(W$3),MONTH(W$3)+1,1),請求台帳!$Q$5:$Q$504,"&lt;&gt;取消"))</f>
        <v/>
      </c>
      <c r="X129" s="27" t="str">
        <f aca="false">IF($A129="","",SUMIFS(入金明細!$E$5:$E$1004,入金明細!$G$5:$G$1004,$A129,入金明細!$B$5:$B$1004,"&gt;="&amp;W$3,入金明細!$B$5:$B$1004,"&lt;"&amp;DATE(YEAR(W$3),MONTH(W$3)+1,1)))</f>
        <v/>
      </c>
      <c r="Y129" s="27" t="str">
        <f aca="false">IF($A129="","",SUMIFS(請求台帳!$F$5:$F$504,請求台帳!$C$5:$C$504,$A129,請求台帳!$B$5:$B$504,"&gt;="&amp;Y$3,請求台帳!$B$5:$B$504,"&lt;"&amp;DATE(YEAR(Y$3),MONTH(Y$3)+1,1),請求台帳!$Q$5:$Q$504,"&lt;&gt;取消"))</f>
        <v/>
      </c>
      <c r="Z129" s="27" t="str">
        <f aca="false">IF($A129="","",SUMIFS(入金明細!$E$5:$E$1004,入金明細!$G$5:$G$1004,$A129,入金明細!$B$5:$B$1004,"&gt;="&amp;Y$3,入金明細!$B$5:$B$1004,"&lt;"&amp;DATE(YEAR(Y$3),MONTH(Y$3)+1,1)))</f>
        <v/>
      </c>
      <c r="AA129" s="37" t="n">
        <f aca="false">SUM(C129,E129,G129,I129,K129,M129,O129,Q129,S129,U129,W129,Y129)</f>
        <v>0</v>
      </c>
      <c r="AB129" s="37" t="n">
        <f aca="false">SUM(D129,F129,H129,J129,L129,N129,P129,R129,T129,V129,X129,Z129)</f>
        <v>0</v>
      </c>
    </row>
    <row r="130" customFormat="false" ht="15" hidden="false" customHeight="false" outlineLevel="0" collapsed="false">
      <c r="A130" s="31" t="str">
        <f aca="false">IF(取引先マスタ!A130="","",取引先マスタ!A130)</f>
        <v/>
      </c>
      <c r="B130" s="31" t="str">
        <f aca="false">IF(A130="","",取引先マスタ!B130)</f>
        <v/>
      </c>
      <c r="C130" s="27" t="str">
        <f aca="false">IF($A130="","",SUMIFS(請求台帳!$F$5:$F$504,請求台帳!$C$5:$C$504,$A130,請求台帳!$B$5:$B$504,"&gt;="&amp;C$3,請求台帳!$B$5:$B$504,"&lt;"&amp;DATE(YEAR(C$3),MONTH(C$3)+1,1),請求台帳!$Q$5:$Q$504,"&lt;&gt;取消"))</f>
        <v/>
      </c>
      <c r="D130" s="27" t="str">
        <f aca="false">IF($A130="","",SUMIFS(入金明細!$E$5:$E$1004,入金明細!$G$5:$G$1004,$A130,入金明細!$B$5:$B$1004,"&gt;="&amp;C$3,入金明細!$B$5:$B$1004,"&lt;"&amp;DATE(YEAR(C$3),MONTH(C$3)+1,1)))</f>
        <v/>
      </c>
      <c r="E130" s="27" t="str">
        <f aca="false">IF($A130="","",SUMIFS(請求台帳!$F$5:$F$504,請求台帳!$C$5:$C$504,$A130,請求台帳!$B$5:$B$504,"&gt;="&amp;E$3,請求台帳!$B$5:$B$504,"&lt;"&amp;DATE(YEAR(E$3),MONTH(E$3)+1,1),請求台帳!$Q$5:$Q$504,"&lt;&gt;取消"))</f>
        <v/>
      </c>
      <c r="F130" s="27" t="str">
        <f aca="false">IF($A130="","",SUMIFS(入金明細!$E$5:$E$1004,入金明細!$G$5:$G$1004,$A130,入金明細!$B$5:$B$1004,"&gt;="&amp;E$3,入金明細!$B$5:$B$1004,"&lt;"&amp;DATE(YEAR(E$3),MONTH(E$3)+1,1)))</f>
        <v/>
      </c>
      <c r="G130" s="27" t="str">
        <f aca="false">IF($A130="","",SUMIFS(請求台帳!$F$5:$F$504,請求台帳!$C$5:$C$504,$A130,請求台帳!$B$5:$B$504,"&gt;="&amp;G$3,請求台帳!$B$5:$B$504,"&lt;"&amp;DATE(YEAR(G$3),MONTH(G$3)+1,1),請求台帳!$Q$5:$Q$504,"&lt;&gt;取消"))</f>
        <v/>
      </c>
      <c r="H130" s="27" t="str">
        <f aca="false">IF($A130="","",SUMIFS(入金明細!$E$5:$E$1004,入金明細!$G$5:$G$1004,$A130,入金明細!$B$5:$B$1004,"&gt;="&amp;G$3,入金明細!$B$5:$B$1004,"&lt;"&amp;DATE(YEAR(G$3),MONTH(G$3)+1,1)))</f>
        <v/>
      </c>
      <c r="I130" s="27" t="str">
        <f aca="false">IF($A130="","",SUMIFS(請求台帳!$F$5:$F$504,請求台帳!$C$5:$C$504,$A130,請求台帳!$B$5:$B$504,"&gt;="&amp;I$3,請求台帳!$B$5:$B$504,"&lt;"&amp;DATE(YEAR(I$3),MONTH(I$3)+1,1),請求台帳!$Q$5:$Q$504,"&lt;&gt;取消"))</f>
        <v/>
      </c>
      <c r="J130" s="27" t="str">
        <f aca="false">IF($A130="","",SUMIFS(入金明細!$E$5:$E$1004,入金明細!$G$5:$G$1004,$A130,入金明細!$B$5:$B$1004,"&gt;="&amp;I$3,入金明細!$B$5:$B$1004,"&lt;"&amp;DATE(YEAR(I$3),MONTH(I$3)+1,1)))</f>
        <v/>
      </c>
      <c r="K130" s="27" t="str">
        <f aca="false">IF($A130="","",SUMIFS(請求台帳!$F$5:$F$504,請求台帳!$C$5:$C$504,$A130,請求台帳!$B$5:$B$504,"&gt;="&amp;K$3,請求台帳!$B$5:$B$504,"&lt;"&amp;DATE(YEAR(K$3),MONTH(K$3)+1,1),請求台帳!$Q$5:$Q$504,"&lt;&gt;取消"))</f>
        <v/>
      </c>
      <c r="L130" s="27" t="str">
        <f aca="false">IF($A130="","",SUMIFS(入金明細!$E$5:$E$1004,入金明細!$G$5:$G$1004,$A130,入金明細!$B$5:$B$1004,"&gt;="&amp;K$3,入金明細!$B$5:$B$1004,"&lt;"&amp;DATE(YEAR(K$3),MONTH(K$3)+1,1)))</f>
        <v/>
      </c>
      <c r="M130" s="27" t="str">
        <f aca="false">IF($A130="","",SUMIFS(請求台帳!$F$5:$F$504,請求台帳!$C$5:$C$504,$A130,請求台帳!$B$5:$B$504,"&gt;="&amp;M$3,請求台帳!$B$5:$B$504,"&lt;"&amp;DATE(YEAR(M$3),MONTH(M$3)+1,1),請求台帳!$Q$5:$Q$504,"&lt;&gt;取消"))</f>
        <v/>
      </c>
      <c r="N130" s="27" t="str">
        <f aca="false">IF($A130="","",SUMIFS(入金明細!$E$5:$E$1004,入金明細!$G$5:$G$1004,$A130,入金明細!$B$5:$B$1004,"&gt;="&amp;M$3,入金明細!$B$5:$B$1004,"&lt;"&amp;DATE(YEAR(M$3),MONTH(M$3)+1,1)))</f>
        <v/>
      </c>
      <c r="O130" s="27" t="str">
        <f aca="false">IF($A130="","",SUMIFS(請求台帳!$F$5:$F$504,請求台帳!$C$5:$C$504,$A130,請求台帳!$B$5:$B$504,"&gt;="&amp;O$3,請求台帳!$B$5:$B$504,"&lt;"&amp;DATE(YEAR(O$3),MONTH(O$3)+1,1),請求台帳!$Q$5:$Q$504,"&lt;&gt;取消"))</f>
        <v/>
      </c>
      <c r="P130" s="27" t="str">
        <f aca="false">IF($A130="","",SUMIFS(入金明細!$E$5:$E$1004,入金明細!$G$5:$G$1004,$A130,入金明細!$B$5:$B$1004,"&gt;="&amp;O$3,入金明細!$B$5:$B$1004,"&lt;"&amp;DATE(YEAR(O$3),MONTH(O$3)+1,1)))</f>
        <v/>
      </c>
      <c r="Q130" s="27" t="str">
        <f aca="false">IF($A130="","",SUMIFS(請求台帳!$F$5:$F$504,請求台帳!$C$5:$C$504,$A130,請求台帳!$B$5:$B$504,"&gt;="&amp;Q$3,請求台帳!$B$5:$B$504,"&lt;"&amp;DATE(YEAR(Q$3),MONTH(Q$3)+1,1),請求台帳!$Q$5:$Q$504,"&lt;&gt;取消"))</f>
        <v/>
      </c>
      <c r="R130" s="27" t="str">
        <f aca="false">IF($A130="","",SUMIFS(入金明細!$E$5:$E$1004,入金明細!$G$5:$G$1004,$A130,入金明細!$B$5:$B$1004,"&gt;="&amp;Q$3,入金明細!$B$5:$B$1004,"&lt;"&amp;DATE(YEAR(Q$3),MONTH(Q$3)+1,1)))</f>
        <v/>
      </c>
      <c r="S130" s="27" t="str">
        <f aca="false">IF($A130="","",SUMIFS(請求台帳!$F$5:$F$504,請求台帳!$C$5:$C$504,$A130,請求台帳!$B$5:$B$504,"&gt;="&amp;S$3,請求台帳!$B$5:$B$504,"&lt;"&amp;DATE(YEAR(S$3),MONTH(S$3)+1,1),請求台帳!$Q$5:$Q$504,"&lt;&gt;取消"))</f>
        <v/>
      </c>
      <c r="T130" s="27" t="str">
        <f aca="false">IF($A130="","",SUMIFS(入金明細!$E$5:$E$1004,入金明細!$G$5:$G$1004,$A130,入金明細!$B$5:$B$1004,"&gt;="&amp;S$3,入金明細!$B$5:$B$1004,"&lt;"&amp;DATE(YEAR(S$3),MONTH(S$3)+1,1)))</f>
        <v/>
      </c>
      <c r="U130" s="27" t="str">
        <f aca="false">IF($A130="","",SUMIFS(請求台帳!$F$5:$F$504,請求台帳!$C$5:$C$504,$A130,請求台帳!$B$5:$B$504,"&gt;="&amp;U$3,請求台帳!$B$5:$B$504,"&lt;"&amp;DATE(YEAR(U$3),MONTH(U$3)+1,1),請求台帳!$Q$5:$Q$504,"&lt;&gt;取消"))</f>
        <v/>
      </c>
      <c r="V130" s="27" t="str">
        <f aca="false">IF($A130="","",SUMIFS(入金明細!$E$5:$E$1004,入金明細!$G$5:$G$1004,$A130,入金明細!$B$5:$B$1004,"&gt;="&amp;U$3,入金明細!$B$5:$B$1004,"&lt;"&amp;DATE(YEAR(U$3),MONTH(U$3)+1,1)))</f>
        <v/>
      </c>
      <c r="W130" s="27" t="str">
        <f aca="false">IF($A130="","",SUMIFS(請求台帳!$F$5:$F$504,請求台帳!$C$5:$C$504,$A130,請求台帳!$B$5:$B$504,"&gt;="&amp;W$3,請求台帳!$B$5:$B$504,"&lt;"&amp;DATE(YEAR(W$3),MONTH(W$3)+1,1),請求台帳!$Q$5:$Q$504,"&lt;&gt;取消"))</f>
        <v/>
      </c>
      <c r="X130" s="27" t="str">
        <f aca="false">IF($A130="","",SUMIFS(入金明細!$E$5:$E$1004,入金明細!$G$5:$G$1004,$A130,入金明細!$B$5:$B$1004,"&gt;="&amp;W$3,入金明細!$B$5:$B$1004,"&lt;"&amp;DATE(YEAR(W$3),MONTH(W$3)+1,1)))</f>
        <v/>
      </c>
      <c r="Y130" s="27" t="str">
        <f aca="false">IF($A130="","",SUMIFS(請求台帳!$F$5:$F$504,請求台帳!$C$5:$C$504,$A130,請求台帳!$B$5:$B$504,"&gt;="&amp;Y$3,請求台帳!$B$5:$B$504,"&lt;"&amp;DATE(YEAR(Y$3),MONTH(Y$3)+1,1),請求台帳!$Q$5:$Q$504,"&lt;&gt;取消"))</f>
        <v/>
      </c>
      <c r="Z130" s="27" t="str">
        <f aca="false">IF($A130="","",SUMIFS(入金明細!$E$5:$E$1004,入金明細!$G$5:$G$1004,$A130,入金明細!$B$5:$B$1004,"&gt;="&amp;Y$3,入金明細!$B$5:$B$1004,"&lt;"&amp;DATE(YEAR(Y$3),MONTH(Y$3)+1,1)))</f>
        <v/>
      </c>
      <c r="AA130" s="37" t="n">
        <f aca="false">SUM(C130,E130,G130,I130,K130,M130,O130,Q130,S130,U130,W130,Y130)</f>
        <v>0</v>
      </c>
      <c r="AB130" s="37" t="n">
        <f aca="false">SUM(D130,F130,H130,J130,L130,N130,P130,R130,T130,V130,X130,Z130)</f>
        <v>0</v>
      </c>
    </row>
    <row r="131" customFormat="false" ht="15" hidden="false" customHeight="false" outlineLevel="0" collapsed="false">
      <c r="A131" s="31" t="str">
        <f aca="false">IF(取引先マスタ!A131="","",取引先マスタ!A131)</f>
        <v/>
      </c>
      <c r="B131" s="31" t="str">
        <f aca="false">IF(A131="","",取引先マスタ!B131)</f>
        <v/>
      </c>
      <c r="C131" s="27" t="str">
        <f aca="false">IF($A131="","",SUMIFS(請求台帳!$F$5:$F$504,請求台帳!$C$5:$C$504,$A131,請求台帳!$B$5:$B$504,"&gt;="&amp;C$3,請求台帳!$B$5:$B$504,"&lt;"&amp;DATE(YEAR(C$3),MONTH(C$3)+1,1),請求台帳!$Q$5:$Q$504,"&lt;&gt;取消"))</f>
        <v/>
      </c>
      <c r="D131" s="27" t="str">
        <f aca="false">IF($A131="","",SUMIFS(入金明細!$E$5:$E$1004,入金明細!$G$5:$G$1004,$A131,入金明細!$B$5:$B$1004,"&gt;="&amp;C$3,入金明細!$B$5:$B$1004,"&lt;"&amp;DATE(YEAR(C$3),MONTH(C$3)+1,1)))</f>
        <v/>
      </c>
      <c r="E131" s="27" t="str">
        <f aca="false">IF($A131="","",SUMIFS(請求台帳!$F$5:$F$504,請求台帳!$C$5:$C$504,$A131,請求台帳!$B$5:$B$504,"&gt;="&amp;E$3,請求台帳!$B$5:$B$504,"&lt;"&amp;DATE(YEAR(E$3),MONTH(E$3)+1,1),請求台帳!$Q$5:$Q$504,"&lt;&gt;取消"))</f>
        <v/>
      </c>
      <c r="F131" s="27" t="str">
        <f aca="false">IF($A131="","",SUMIFS(入金明細!$E$5:$E$1004,入金明細!$G$5:$G$1004,$A131,入金明細!$B$5:$B$1004,"&gt;="&amp;E$3,入金明細!$B$5:$B$1004,"&lt;"&amp;DATE(YEAR(E$3),MONTH(E$3)+1,1)))</f>
        <v/>
      </c>
      <c r="G131" s="27" t="str">
        <f aca="false">IF($A131="","",SUMIFS(請求台帳!$F$5:$F$504,請求台帳!$C$5:$C$504,$A131,請求台帳!$B$5:$B$504,"&gt;="&amp;G$3,請求台帳!$B$5:$B$504,"&lt;"&amp;DATE(YEAR(G$3),MONTH(G$3)+1,1),請求台帳!$Q$5:$Q$504,"&lt;&gt;取消"))</f>
        <v/>
      </c>
      <c r="H131" s="27" t="str">
        <f aca="false">IF($A131="","",SUMIFS(入金明細!$E$5:$E$1004,入金明細!$G$5:$G$1004,$A131,入金明細!$B$5:$B$1004,"&gt;="&amp;G$3,入金明細!$B$5:$B$1004,"&lt;"&amp;DATE(YEAR(G$3),MONTH(G$3)+1,1)))</f>
        <v/>
      </c>
      <c r="I131" s="27" t="str">
        <f aca="false">IF($A131="","",SUMIFS(請求台帳!$F$5:$F$504,請求台帳!$C$5:$C$504,$A131,請求台帳!$B$5:$B$504,"&gt;="&amp;I$3,請求台帳!$B$5:$B$504,"&lt;"&amp;DATE(YEAR(I$3),MONTH(I$3)+1,1),請求台帳!$Q$5:$Q$504,"&lt;&gt;取消"))</f>
        <v/>
      </c>
      <c r="J131" s="27" t="str">
        <f aca="false">IF($A131="","",SUMIFS(入金明細!$E$5:$E$1004,入金明細!$G$5:$G$1004,$A131,入金明細!$B$5:$B$1004,"&gt;="&amp;I$3,入金明細!$B$5:$B$1004,"&lt;"&amp;DATE(YEAR(I$3),MONTH(I$3)+1,1)))</f>
        <v/>
      </c>
      <c r="K131" s="27" t="str">
        <f aca="false">IF($A131="","",SUMIFS(請求台帳!$F$5:$F$504,請求台帳!$C$5:$C$504,$A131,請求台帳!$B$5:$B$504,"&gt;="&amp;K$3,請求台帳!$B$5:$B$504,"&lt;"&amp;DATE(YEAR(K$3),MONTH(K$3)+1,1),請求台帳!$Q$5:$Q$504,"&lt;&gt;取消"))</f>
        <v/>
      </c>
      <c r="L131" s="27" t="str">
        <f aca="false">IF($A131="","",SUMIFS(入金明細!$E$5:$E$1004,入金明細!$G$5:$G$1004,$A131,入金明細!$B$5:$B$1004,"&gt;="&amp;K$3,入金明細!$B$5:$B$1004,"&lt;"&amp;DATE(YEAR(K$3),MONTH(K$3)+1,1)))</f>
        <v/>
      </c>
      <c r="M131" s="27" t="str">
        <f aca="false">IF($A131="","",SUMIFS(請求台帳!$F$5:$F$504,請求台帳!$C$5:$C$504,$A131,請求台帳!$B$5:$B$504,"&gt;="&amp;M$3,請求台帳!$B$5:$B$504,"&lt;"&amp;DATE(YEAR(M$3),MONTH(M$3)+1,1),請求台帳!$Q$5:$Q$504,"&lt;&gt;取消"))</f>
        <v/>
      </c>
      <c r="N131" s="27" t="str">
        <f aca="false">IF($A131="","",SUMIFS(入金明細!$E$5:$E$1004,入金明細!$G$5:$G$1004,$A131,入金明細!$B$5:$B$1004,"&gt;="&amp;M$3,入金明細!$B$5:$B$1004,"&lt;"&amp;DATE(YEAR(M$3),MONTH(M$3)+1,1)))</f>
        <v/>
      </c>
      <c r="O131" s="27" t="str">
        <f aca="false">IF($A131="","",SUMIFS(請求台帳!$F$5:$F$504,請求台帳!$C$5:$C$504,$A131,請求台帳!$B$5:$B$504,"&gt;="&amp;O$3,請求台帳!$B$5:$B$504,"&lt;"&amp;DATE(YEAR(O$3),MONTH(O$3)+1,1),請求台帳!$Q$5:$Q$504,"&lt;&gt;取消"))</f>
        <v/>
      </c>
      <c r="P131" s="27" t="str">
        <f aca="false">IF($A131="","",SUMIFS(入金明細!$E$5:$E$1004,入金明細!$G$5:$G$1004,$A131,入金明細!$B$5:$B$1004,"&gt;="&amp;O$3,入金明細!$B$5:$B$1004,"&lt;"&amp;DATE(YEAR(O$3),MONTH(O$3)+1,1)))</f>
        <v/>
      </c>
      <c r="Q131" s="27" t="str">
        <f aca="false">IF($A131="","",SUMIFS(請求台帳!$F$5:$F$504,請求台帳!$C$5:$C$504,$A131,請求台帳!$B$5:$B$504,"&gt;="&amp;Q$3,請求台帳!$B$5:$B$504,"&lt;"&amp;DATE(YEAR(Q$3),MONTH(Q$3)+1,1),請求台帳!$Q$5:$Q$504,"&lt;&gt;取消"))</f>
        <v/>
      </c>
      <c r="R131" s="27" t="str">
        <f aca="false">IF($A131="","",SUMIFS(入金明細!$E$5:$E$1004,入金明細!$G$5:$G$1004,$A131,入金明細!$B$5:$B$1004,"&gt;="&amp;Q$3,入金明細!$B$5:$B$1004,"&lt;"&amp;DATE(YEAR(Q$3),MONTH(Q$3)+1,1)))</f>
        <v/>
      </c>
      <c r="S131" s="27" t="str">
        <f aca="false">IF($A131="","",SUMIFS(請求台帳!$F$5:$F$504,請求台帳!$C$5:$C$504,$A131,請求台帳!$B$5:$B$504,"&gt;="&amp;S$3,請求台帳!$B$5:$B$504,"&lt;"&amp;DATE(YEAR(S$3),MONTH(S$3)+1,1),請求台帳!$Q$5:$Q$504,"&lt;&gt;取消"))</f>
        <v/>
      </c>
      <c r="T131" s="27" t="str">
        <f aca="false">IF($A131="","",SUMIFS(入金明細!$E$5:$E$1004,入金明細!$G$5:$G$1004,$A131,入金明細!$B$5:$B$1004,"&gt;="&amp;S$3,入金明細!$B$5:$B$1004,"&lt;"&amp;DATE(YEAR(S$3),MONTH(S$3)+1,1)))</f>
        <v/>
      </c>
      <c r="U131" s="27" t="str">
        <f aca="false">IF($A131="","",SUMIFS(請求台帳!$F$5:$F$504,請求台帳!$C$5:$C$504,$A131,請求台帳!$B$5:$B$504,"&gt;="&amp;U$3,請求台帳!$B$5:$B$504,"&lt;"&amp;DATE(YEAR(U$3),MONTH(U$3)+1,1),請求台帳!$Q$5:$Q$504,"&lt;&gt;取消"))</f>
        <v/>
      </c>
      <c r="V131" s="27" t="str">
        <f aca="false">IF($A131="","",SUMIFS(入金明細!$E$5:$E$1004,入金明細!$G$5:$G$1004,$A131,入金明細!$B$5:$B$1004,"&gt;="&amp;U$3,入金明細!$B$5:$B$1004,"&lt;"&amp;DATE(YEAR(U$3),MONTH(U$3)+1,1)))</f>
        <v/>
      </c>
      <c r="W131" s="27" t="str">
        <f aca="false">IF($A131="","",SUMIFS(請求台帳!$F$5:$F$504,請求台帳!$C$5:$C$504,$A131,請求台帳!$B$5:$B$504,"&gt;="&amp;W$3,請求台帳!$B$5:$B$504,"&lt;"&amp;DATE(YEAR(W$3),MONTH(W$3)+1,1),請求台帳!$Q$5:$Q$504,"&lt;&gt;取消"))</f>
        <v/>
      </c>
      <c r="X131" s="27" t="str">
        <f aca="false">IF($A131="","",SUMIFS(入金明細!$E$5:$E$1004,入金明細!$G$5:$G$1004,$A131,入金明細!$B$5:$B$1004,"&gt;="&amp;W$3,入金明細!$B$5:$B$1004,"&lt;"&amp;DATE(YEAR(W$3),MONTH(W$3)+1,1)))</f>
        <v/>
      </c>
      <c r="Y131" s="27" t="str">
        <f aca="false">IF($A131="","",SUMIFS(請求台帳!$F$5:$F$504,請求台帳!$C$5:$C$504,$A131,請求台帳!$B$5:$B$504,"&gt;="&amp;Y$3,請求台帳!$B$5:$B$504,"&lt;"&amp;DATE(YEAR(Y$3),MONTH(Y$3)+1,1),請求台帳!$Q$5:$Q$504,"&lt;&gt;取消"))</f>
        <v/>
      </c>
      <c r="Z131" s="27" t="str">
        <f aca="false">IF($A131="","",SUMIFS(入金明細!$E$5:$E$1004,入金明細!$G$5:$G$1004,$A131,入金明細!$B$5:$B$1004,"&gt;="&amp;Y$3,入金明細!$B$5:$B$1004,"&lt;"&amp;DATE(YEAR(Y$3),MONTH(Y$3)+1,1)))</f>
        <v/>
      </c>
      <c r="AA131" s="37" t="n">
        <f aca="false">SUM(C131,E131,G131,I131,K131,M131,O131,Q131,S131,U131,W131,Y131)</f>
        <v>0</v>
      </c>
      <c r="AB131" s="37" t="n">
        <f aca="false">SUM(D131,F131,H131,J131,L131,N131,P131,R131,T131,V131,X131,Z131)</f>
        <v>0</v>
      </c>
    </row>
    <row r="132" customFormat="false" ht="15" hidden="false" customHeight="false" outlineLevel="0" collapsed="false">
      <c r="A132" s="31" t="str">
        <f aca="false">IF(取引先マスタ!A132="","",取引先マスタ!A132)</f>
        <v/>
      </c>
      <c r="B132" s="31" t="str">
        <f aca="false">IF(A132="","",取引先マスタ!B132)</f>
        <v/>
      </c>
      <c r="C132" s="27" t="str">
        <f aca="false">IF($A132="","",SUMIFS(請求台帳!$F$5:$F$504,請求台帳!$C$5:$C$504,$A132,請求台帳!$B$5:$B$504,"&gt;="&amp;C$3,請求台帳!$B$5:$B$504,"&lt;"&amp;DATE(YEAR(C$3),MONTH(C$3)+1,1),請求台帳!$Q$5:$Q$504,"&lt;&gt;取消"))</f>
        <v/>
      </c>
      <c r="D132" s="27" t="str">
        <f aca="false">IF($A132="","",SUMIFS(入金明細!$E$5:$E$1004,入金明細!$G$5:$G$1004,$A132,入金明細!$B$5:$B$1004,"&gt;="&amp;C$3,入金明細!$B$5:$B$1004,"&lt;"&amp;DATE(YEAR(C$3),MONTH(C$3)+1,1)))</f>
        <v/>
      </c>
      <c r="E132" s="27" t="str">
        <f aca="false">IF($A132="","",SUMIFS(請求台帳!$F$5:$F$504,請求台帳!$C$5:$C$504,$A132,請求台帳!$B$5:$B$504,"&gt;="&amp;E$3,請求台帳!$B$5:$B$504,"&lt;"&amp;DATE(YEAR(E$3),MONTH(E$3)+1,1),請求台帳!$Q$5:$Q$504,"&lt;&gt;取消"))</f>
        <v/>
      </c>
      <c r="F132" s="27" t="str">
        <f aca="false">IF($A132="","",SUMIFS(入金明細!$E$5:$E$1004,入金明細!$G$5:$G$1004,$A132,入金明細!$B$5:$B$1004,"&gt;="&amp;E$3,入金明細!$B$5:$B$1004,"&lt;"&amp;DATE(YEAR(E$3),MONTH(E$3)+1,1)))</f>
        <v/>
      </c>
      <c r="G132" s="27" t="str">
        <f aca="false">IF($A132="","",SUMIFS(請求台帳!$F$5:$F$504,請求台帳!$C$5:$C$504,$A132,請求台帳!$B$5:$B$504,"&gt;="&amp;G$3,請求台帳!$B$5:$B$504,"&lt;"&amp;DATE(YEAR(G$3),MONTH(G$3)+1,1),請求台帳!$Q$5:$Q$504,"&lt;&gt;取消"))</f>
        <v/>
      </c>
      <c r="H132" s="27" t="str">
        <f aca="false">IF($A132="","",SUMIFS(入金明細!$E$5:$E$1004,入金明細!$G$5:$G$1004,$A132,入金明細!$B$5:$B$1004,"&gt;="&amp;G$3,入金明細!$B$5:$B$1004,"&lt;"&amp;DATE(YEAR(G$3),MONTH(G$3)+1,1)))</f>
        <v/>
      </c>
      <c r="I132" s="27" t="str">
        <f aca="false">IF($A132="","",SUMIFS(請求台帳!$F$5:$F$504,請求台帳!$C$5:$C$504,$A132,請求台帳!$B$5:$B$504,"&gt;="&amp;I$3,請求台帳!$B$5:$B$504,"&lt;"&amp;DATE(YEAR(I$3),MONTH(I$3)+1,1),請求台帳!$Q$5:$Q$504,"&lt;&gt;取消"))</f>
        <v/>
      </c>
      <c r="J132" s="27" t="str">
        <f aca="false">IF($A132="","",SUMIFS(入金明細!$E$5:$E$1004,入金明細!$G$5:$G$1004,$A132,入金明細!$B$5:$B$1004,"&gt;="&amp;I$3,入金明細!$B$5:$B$1004,"&lt;"&amp;DATE(YEAR(I$3),MONTH(I$3)+1,1)))</f>
        <v/>
      </c>
      <c r="K132" s="27" t="str">
        <f aca="false">IF($A132="","",SUMIFS(請求台帳!$F$5:$F$504,請求台帳!$C$5:$C$504,$A132,請求台帳!$B$5:$B$504,"&gt;="&amp;K$3,請求台帳!$B$5:$B$504,"&lt;"&amp;DATE(YEAR(K$3),MONTH(K$3)+1,1),請求台帳!$Q$5:$Q$504,"&lt;&gt;取消"))</f>
        <v/>
      </c>
      <c r="L132" s="27" t="str">
        <f aca="false">IF($A132="","",SUMIFS(入金明細!$E$5:$E$1004,入金明細!$G$5:$G$1004,$A132,入金明細!$B$5:$B$1004,"&gt;="&amp;K$3,入金明細!$B$5:$B$1004,"&lt;"&amp;DATE(YEAR(K$3),MONTH(K$3)+1,1)))</f>
        <v/>
      </c>
      <c r="M132" s="27" t="str">
        <f aca="false">IF($A132="","",SUMIFS(請求台帳!$F$5:$F$504,請求台帳!$C$5:$C$504,$A132,請求台帳!$B$5:$B$504,"&gt;="&amp;M$3,請求台帳!$B$5:$B$504,"&lt;"&amp;DATE(YEAR(M$3),MONTH(M$3)+1,1),請求台帳!$Q$5:$Q$504,"&lt;&gt;取消"))</f>
        <v/>
      </c>
      <c r="N132" s="27" t="str">
        <f aca="false">IF($A132="","",SUMIFS(入金明細!$E$5:$E$1004,入金明細!$G$5:$G$1004,$A132,入金明細!$B$5:$B$1004,"&gt;="&amp;M$3,入金明細!$B$5:$B$1004,"&lt;"&amp;DATE(YEAR(M$3),MONTH(M$3)+1,1)))</f>
        <v/>
      </c>
      <c r="O132" s="27" t="str">
        <f aca="false">IF($A132="","",SUMIFS(請求台帳!$F$5:$F$504,請求台帳!$C$5:$C$504,$A132,請求台帳!$B$5:$B$504,"&gt;="&amp;O$3,請求台帳!$B$5:$B$504,"&lt;"&amp;DATE(YEAR(O$3),MONTH(O$3)+1,1),請求台帳!$Q$5:$Q$504,"&lt;&gt;取消"))</f>
        <v/>
      </c>
      <c r="P132" s="27" t="str">
        <f aca="false">IF($A132="","",SUMIFS(入金明細!$E$5:$E$1004,入金明細!$G$5:$G$1004,$A132,入金明細!$B$5:$B$1004,"&gt;="&amp;O$3,入金明細!$B$5:$B$1004,"&lt;"&amp;DATE(YEAR(O$3),MONTH(O$3)+1,1)))</f>
        <v/>
      </c>
      <c r="Q132" s="27" t="str">
        <f aca="false">IF($A132="","",SUMIFS(請求台帳!$F$5:$F$504,請求台帳!$C$5:$C$504,$A132,請求台帳!$B$5:$B$504,"&gt;="&amp;Q$3,請求台帳!$B$5:$B$504,"&lt;"&amp;DATE(YEAR(Q$3),MONTH(Q$3)+1,1),請求台帳!$Q$5:$Q$504,"&lt;&gt;取消"))</f>
        <v/>
      </c>
      <c r="R132" s="27" t="str">
        <f aca="false">IF($A132="","",SUMIFS(入金明細!$E$5:$E$1004,入金明細!$G$5:$G$1004,$A132,入金明細!$B$5:$B$1004,"&gt;="&amp;Q$3,入金明細!$B$5:$B$1004,"&lt;"&amp;DATE(YEAR(Q$3),MONTH(Q$3)+1,1)))</f>
        <v/>
      </c>
      <c r="S132" s="27" t="str">
        <f aca="false">IF($A132="","",SUMIFS(請求台帳!$F$5:$F$504,請求台帳!$C$5:$C$504,$A132,請求台帳!$B$5:$B$504,"&gt;="&amp;S$3,請求台帳!$B$5:$B$504,"&lt;"&amp;DATE(YEAR(S$3),MONTH(S$3)+1,1),請求台帳!$Q$5:$Q$504,"&lt;&gt;取消"))</f>
        <v/>
      </c>
      <c r="T132" s="27" t="str">
        <f aca="false">IF($A132="","",SUMIFS(入金明細!$E$5:$E$1004,入金明細!$G$5:$G$1004,$A132,入金明細!$B$5:$B$1004,"&gt;="&amp;S$3,入金明細!$B$5:$B$1004,"&lt;"&amp;DATE(YEAR(S$3),MONTH(S$3)+1,1)))</f>
        <v/>
      </c>
      <c r="U132" s="27" t="str">
        <f aca="false">IF($A132="","",SUMIFS(請求台帳!$F$5:$F$504,請求台帳!$C$5:$C$504,$A132,請求台帳!$B$5:$B$504,"&gt;="&amp;U$3,請求台帳!$B$5:$B$504,"&lt;"&amp;DATE(YEAR(U$3),MONTH(U$3)+1,1),請求台帳!$Q$5:$Q$504,"&lt;&gt;取消"))</f>
        <v/>
      </c>
      <c r="V132" s="27" t="str">
        <f aca="false">IF($A132="","",SUMIFS(入金明細!$E$5:$E$1004,入金明細!$G$5:$G$1004,$A132,入金明細!$B$5:$B$1004,"&gt;="&amp;U$3,入金明細!$B$5:$B$1004,"&lt;"&amp;DATE(YEAR(U$3),MONTH(U$3)+1,1)))</f>
        <v/>
      </c>
      <c r="W132" s="27" t="str">
        <f aca="false">IF($A132="","",SUMIFS(請求台帳!$F$5:$F$504,請求台帳!$C$5:$C$504,$A132,請求台帳!$B$5:$B$504,"&gt;="&amp;W$3,請求台帳!$B$5:$B$504,"&lt;"&amp;DATE(YEAR(W$3),MONTH(W$3)+1,1),請求台帳!$Q$5:$Q$504,"&lt;&gt;取消"))</f>
        <v/>
      </c>
      <c r="X132" s="27" t="str">
        <f aca="false">IF($A132="","",SUMIFS(入金明細!$E$5:$E$1004,入金明細!$G$5:$G$1004,$A132,入金明細!$B$5:$B$1004,"&gt;="&amp;W$3,入金明細!$B$5:$B$1004,"&lt;"&amp;DATE(YEAR(W$3),MONTH(W$3)+1,1)))</f>
        <v/>
      </c>
      <c r="Y132" s="27" t="str">
        <f aca="false">IF($A132="","",SUMIFS(請求台帳!$F$5:$F$504,請求台帳!$C$5:$C$504,$A132,請求台帳!$B$5:$B$504,"&gt;="&amp;Y$3,請求台帳!$B$5:$B$504,"&lt;"&amp;DATE(YEAR(Y$3),MONTH(Y$3)+1,1),請求台帳!$Q$5:$Q$504,"&lt;&gt;取消"))</f>
        <v/>
      </c>
      <c r="Z132" s="27" t="str">
        <f aca="false">IF($A132="","",SUMIFS(入金明細!$E$5:$E$1004,入金明細!$G$5:$G$1004,$A132,入金明細!$B$5:$B$1004,"&gt;="&amp;Y$3,入金明細!$B$5:$B$1004,"&lt;"&amp;DATE(YEAR(Y$3),MONTH(Y$3)+1,1)))</f>
        <v/>
      </c>
      <c r="AA132" s="37" t="n">
        <f aca="false">SUM(C132,E132,G132,I132,K132,M132,O132,Q132,S132,U132,W132,Y132)</f>
        <v>0</v>
      </c>
      <c r="AB132" s="37" t="n">
        <f aca="false">SUM(D132,F132,H132,J132,L132,N132,P132,R132,T132,V132,X132,Z132)</f>
        <v>0</v>
      </c>
    </row>
    <row r="133" customFormat="false" ht="15" hidden="false" customHeight="false" outlineLevel="0" collapsed="false">
      <c r="A133" s="31" t="str">
        <f aca="false">IF(取引先マスタ!A133="","",取引先マスタ!A133)</f>
        <v/>
      </c>
      <c r="B133" s="31" t="str">
        <f aca="false">IF(A133="","",取引先マスタ!B133)</f>
        <v/>
      </c>
      <c r="C133" s="27" t="str">
        <f aca="false">IF($A133="","",SUMIFS(請求台帳!$F$5:$F$504,請求台帳!$C$5:$C$504,$A133,請求台帳!$B$5:$B$504,"&gt;="&amp;C$3,請求台帳!$B$5:$B$504,"&lt;"&amp;DATE(YEAR(C$3),MONTH(C$3)+1,1),請求台帳!$Q$5:$Q$504,"&lt;&gt;取消"))</f>
        <v/>
      </c>
      <c r="D133" s="27" t="str">
        <f aca="false">IF($A133="","",SUMIFS(入金明細!$E$5:$E$1004,入金明細!$G$5:$G$1004,$A133,入金明細!$B$5:$B$1004,"&gt;="&amp;C$3,入金明細!$B$5:$B$1004,"&lt;"&amp;DATE(YEAR(C$3),MONTH(C$3)+1,1)))</f>
        <v/>
      </c>
      <c r="E133" s="27" t="str">
        <f aca="false">IF($A133="","",SUMIFS(請求台帳!$F$5:$F$504,請求台帳!$C$5:$C$504,$A133,請求台帳!$B$5:$B$504,"&gt;="&amp;E$3,請求台帳!$B$5:$B$504,"&lt;"&amp;DATE(YEAR(E$3),MONTH(E$3)+1,1),請求台帳!$Q$5:$Q$504,"&lt;&gt;取消"))</f>
        <v/>
      </c>
      <c r="F133" s="27" t="str">
        <f aca="false">IF($A133="","",SUMIFS(入金明細!$E$5:$E$1004,入金明細!$G$5:$G$1004,$A133,入金明細!$B$5:$B$1004,"&gt;="&amp;E$3,入金明細!$B$5:$B$1004,"&lt;"&amp;DATE(YEAR(E$3),MONTH(E$3)+1,1)))</f>
        <v/>
      </c>
      <c r="G133" s="27" t="str">
        <f aca="false">IF($A133="","",SUMIFS(請求台帳!$F$5:$F$504,請求台帳!$C$5:$C$504,$A133,請求台帳!$B$5:$B$504,"&gt;="&amp;G$3,請求台帳!$B$5:$B$504,"&lt;"&amp;DATE(YEAR(G$3),MONTH(G$3)+1,1),請求台帳!$Q$5:$Q$504,"&lt;&gt;取消"))</f>
        <v/>
      </c>
      <c r="H133" s="27" t="str">
        <f aca="false">IF($A133="","",SUMIFS(入金明細!$E$5:$E$1004,入金明細!$G$5:$G$1004,$A133,入金明細!$B$5:$B$1004,"&gt;="&amp;G$3,入金明細!$B$5:$B$1004,"&lt;"&amp;DATE(YEAR(G$3),MONTH(G$3)+1,1)))</f>
        <v/>
      </c>
      <c r="I133" s="27" t="str">
        <f aca="false">IF($A133="","",SUMIFS(請求台帳!$F$5:$F$504,請求台帳!$C$5:$C$504,$A133,請求台帳!$B$5:$B$504,"&gt;="&amp;I$3,請求台帳!$B$5:$B$504,"&lt;"&amp;DATE(YEAR(I$3),MONTH(I$3)+1,1),請求台帳!$Q$5:$Q$504,"&lt;&gt;取消"))</f>
        <v/>
      </c>
      <c r="J133" s="27" t="str">
        <f aca="false">IF($A133="","",SUMIFS(入金明細!$E$5:$E$1004,入金明細!$G$5:$G$1004,$A133,入金明細!$B$5:$B$1004,"&gt;="&amp;I$3,入金明細!$B$5:$B$1004,"&lt;"&amp;DATE(YEAR(I$3),MONTH(I$3)+1,1)))</f>
        <v/>
      </c>
      <c r="K133" s="27" t="str">
        <f aca="false">IF($A133="","",SUMIFS(請求台帳!$F$5:$F$504,請求台帳!$C$5:$C$504,$A133,請求台帳!$B$5:$B$504,"&gt;="&amp;K$3,請求台帳!$B$5:$B$504,"&lt;"&amp;DATE(YEAR(K$3),MONTH(K$3)+1,1),請求台帳!$Q$5:$Q$504,"&lt;&gt;取消"))</f>
        <v/>
      </c>
      <c r="L133" s="27" t="str">
        <f aca="false">IF($A133="","",SUMIFS(入金明細!$E$5:$E$1004,入金明細!$G$5:$G$1004,$A133,入金明細!$B$5:$B$1004,"&gt;="&amp;K$3,入金明細!$B$5:$B$1004,"&lt;"&amp;DATE(YEAR(K$3),MONTH(K$3)+1,1)))</f>
        <v/>
      </c>
      <c r="M133" s="27" t="str">
        <f aca="false">IF($A133="","",SUMIFS(請求台帳!$F$5:$F$504,請求台帳!$C$5:$C$504,$A133,請求台帳!$B$5:$B$504,"&gt;="&amp;M$3,請求台帳!$B$5:$B$504,"&lt;"&amp;DATE(YEAR(M$3),MONTH(M$3)+1,1),請求台帳!$Q$5:$Q$504,"&lt;&gt;取消"))</f>
        <v/>
      </c>
      <c r="N133" s="27" t="str">
        <f aca="false">IF($A133="","",SUMIFS(入金明細!$E$5:$E$1004,入金明細!$G$5:$G$1004,$A133,入金明細!$B$5:$B$1004,"&gt;="&amp;M$3,入金明細!$B$5:$B$1004,"&lt;"&amp;DATE(YEAR(M$3),MONTH(M$3)+1,1)))</f>
        <v/>
      </c>
      <c r="O133" s="27" t="str">
        <f aca="false">IF($A133="","",SUMIFS(請求台帳!$F$5:$F$504,請求台帳!$C$5:$C$504,$A133,請求台帳!$B$5:$B$504,"&gt;="&amp;O$3,請求台帳!$B$5:$B$504,"&lt;"&amp;DATE(YEAR(O$3),MONTH(O$3)+1,1),請求台帳!$Q$5:$Q$504,"&lt;&gt;取消"))</f>
        <v/>
      </c>
      <c r="P133" s="27" t="str">
        <f aca="false">IF($A133="","",SUMIFS(入金明細!$E$5:$E$1004,入金明細!$G$5:$G$1004,$A133,入金明細!$B$5:$B$1004,"&gt;="&amp;O$3,入金明細!$B$5:$B$1004,"&lt;"&amp;DATE(YEAR(O$3),MONTH(O$3)+1,1)))</f>
        <v/>
      </c>
      <c r="Q133" s="27" t="str">
        <f aca="false">IF($A133="","",SUMIFS(請求台帳!$F$5:$F$504,請求台帳!$C$5:$C$504,$A133,請求台帳!$B$5:$B$504,"&gt;="&amp;Q$3,請求台帳!$B$5:$B$504,"&lt;"&amp;DATE(YEAR(Q$3),MONTH(Q$3)+1,1),請求台帳!$Q$5:$Q$504,"&lt;&gt;取消"))</f>
        <v/>
      </c>
      <c r="R133" s="27" t="str">
        <f aca="false">IF($A133="","",SUMIFS(入金明細!$E$5:$E$1004,入金明細!$G$5:$G$1004,$A133,入金明細!$B$5:$B$1004,"&gt;="&amp;Q$3,入金明細!$B$5:$B$1004,"&lt;"&amp;DATE(YEAR(Q$3),MONTH(Q$3)+1,1)))</f>
        <v/>
      </c>
      <c r="S133" s="27" t="str">
        <f aca="false">IF($A133="","",SUMIFS(請求台帳!$F$5:$F$504,請求台帳!$C$5:$C$504,$A133,請求台帳!$B$5:$B$504,"&gt;="&amp;S$3,請求台帳!$B$5:$B$504,"&lt;"&amp;DATE(YEAR(S$3),MONTH(S$3)+1,1),請求台帳!$Q$5:$Q$504,"&lt;&gt;取消"))</f>
        <v/>
      </c>
      <c r="T133" s="27" t="str">
        <f aca="false">IF($A133="","",SUMIFS(入金明細!$E$5:$E$1004,入金明細!$G$5:$G$1004,$A133,入金明細!$B$5:$B$1004,"&gt;="&amp;S$3,入金明細!$B$5:$B$1004,"&lt;"&amp;DATE(YEAR(S$3),MONTH(S$3)+1,1)))</f>
        <v/>
      </c>
      <c r="U133" s="27" t="str">
        <f aca="false">IF($A133="","",SUMIFS(請求台帳!$F$5:$F$504,請求台帳!$C$5:$C$504,$A133,請求台帳!$B$5:$B$504,"&gt;="&amp;U$3,請求台帳!$B$5:$B$504,"&lt;"&amp;DATE(YEAR(U$3),MONTH(U$3)+1,1),請求台帳!$Q$5:$Q$504,"&lt;&gt;取消"))</f>
        <v/>
      </c>
      <c r="V133" s="27" t="str">
        <f aca="false">IF($A133="","",SUMIFS(入金明細!$E$5:$E$1004,入金明細!$G$5:$G$1004,$A133,入金明細!$B$5:$B$1004,"&gt;="&amp;U$3,入金明細!$B$5:$B$1004,"&lt;"&amp;DATE(YEAR(U$3),MONTH(U$3)+1,1)))</f>
        <v/>
      </c>
      <c r="W133" s="27" t="str">
        <f aca="false">IF($A133="","",SUMIFS(請求台帳!$F$5:$F$504,請求台帳!$C$5:$C$504,$A133,請求台帳!$B$5:$B$504,"&gt;="&amp;W$3,請求台帳!$B$5:$B$504,"&lt;"&amp;DATE(YEAR(W$3),MONTH(W$3)+1,1),請求台帳!$Q$5:$Q$504,"&lt;&gt;取消"))</f>
        <v/>
      </c>
      <c r="X133" s="27" t="str">
        <f aca="false">IF($A133="","",SUMIFS(入金明細!$E$5:$E$1004,入金明細!$G$5:$G$1004,$A133,入金明細!$B$5:$B$1004,"&gt;="&amp;W$3,入金明細!$B$5:$B$1004,"&lt;"&amp;DATE(YEAR(W$3),MONTH(W$3)+1,1)))</f>
        <v/>
      </c>
      <c r="Y133" s="27" t="str">
        <f aca="false">IF($A133="","",SUMIFS(請求台帳!$F$5:$F$504,請求台帳!$C$5:$C$504,$A133,請求台帳!$B$5:$B$504,"&gt;="&amp;Y$3,請求台帳!$B$5:$B$504,"&lt;"&amp;DATE(YEAR(Y$3),MONTH(Y$3)+1,1),請求台帳!$Q$5:$Q$504,"&lt;&gt;取消"))</f>
        <v/>
      </c>
      <c r="Z133" s="27" t="str">
        <f aca="false">IF($A133="","",SUMIFS(入金明細!$E$5:$E$1004,入金明細!$G$5:$G$1004,$A133,入金明細!$B$5:$B$1004,"&gt;="&amp;Y$3,入金明細!$B$5:$B$1004,"&lt;"&amp;DATE(YEAR(Y$3),MONTH(Y$3)+1,1)))</f>
        <v/>
      </c>
      <c r="AA133" s="37" t="n">
        <f aca="false">SUM(C133,E133,G133,I133,K133,M133,O133,Q133,S133,U133,W133,Y133)</f>
        <v>0</v>
      </c>
      <c r="AB133" s="37" t="n">
        <f aca="false">SUM(D133,F133,H133,J133,L133,N133,P133,R133,T133,V133,X133,Z133)</f>
        <v>0</v>
      </c>
    </row>
    <row r="134" customFormat="false" ht="15" hidden="false" customHeight="false" outlineLevel="0" collapsed="false">
      <c r="A134" s="31" t="str">
        <f aca="false">IF(取引先マスタ!A134="","",取引先マスタ!A134)</f>
        <v/>
      </c>
      <c r="B134" s="31" t="str">
        <f aca="false">IF(A134="","",取引先マスタ!B134)</f>
        <v/>
      </c>
      <c r="C134" s="27" t="str">
        <f aca="false">IF($A134="","",SUMIFS(請求台帳!$F$5:$F$504,請求台帳!$C$5:$C$504,$A134,請求台帳!$B$5:$B$504,"&gt;="&amp;C$3,請求台帳!$B$5:$B$504,"&lt;"&amp;DATE(YEAR(C$3),MONTH(C$3)+1,1),請求台帳!$Q$5:$Q$504,"&lt;&gt;取消"))</f>
        <v/>
      </c>
      <c r="D134" s="27" t="str">
        <f aca="false">IF($A134="","",SUMIFS(入金明細!$E$5:$E$1004,入金明細!$G$5:$G$1004,$A134,入金明細!$B$5:$B$1004,"&gt;="&amp;C$3,入金明細!$B$5:$B$1004,"&lt;"&amp;DATE(YEAR(C$3),MONTH(C$3)+1,1)))</f>
        <v/>
      </c>
      <c r="E134" s="27" t="str">
        <f aca="false">IF($A134="","",SUMIFS(請求台帳!$F$5:$F$504,請求台帳!$C$5:$C$504,$A134,請求台帳!$B$5:$B$504,"&gt;="&amp;E$3,請求台帳!$B$5:$B$504,"&lt;"&amp;DATE(YEAR(E$3),MONTH(E$3)+1,1),請求台帳!$Q$5:$Q$504,"&lt;&gt;取消"))</f>
        <v/>
      </c>
      <c r="F134" s="27" t="str">
        <f aca="false">IF($A134="","",SUMIFS(入金明細!$E$5:$E$1004,入金明細!$G$5:$G$1004,$A134,入金明細!$B$5:$B$1004,"&gt;="&amp;E$3,入金明細!$B$5:$B$1004,"&lt;"&amp;DATE(YEAR(E$3),MONTH(E$3)+1,1)))</f>
        <v/>
      </c>
      <c r="G134" s="27" t="str">
        <f aca="false">IF($A134="","",SUMIFS(請求台帳!$F$5:$F$504,請求台帳!$C$5:$C$504,$A134,請求台帳!$B$5:$B$504,"&gt;="&amp;G$3,請求台帳!$B$5:$B$504,"&lt;"&amp;DATE(YEAR(G$3),MONTH(G$3)+1,1),請求台帳!$Q$5:$Q$504,"&lt;&gt;取消"))</f>
        <v/>
      </c>
      <c r="H134" s="27" t="str">
        <f aca="false">IF($A134="","",SUMIFS(入金明細!$E$5:$E$1004,入金明細!$G$5:$G$1004,$A134,入金明細!$B$5:$B$1004,"&gt;="&amp;G$3,入金明細!$B$5:$B$1004,"&lt;"&amp;DATE(YEAR(G$3),MONTH(G$3)+1,1)))</f>
        <v/>
      </c>
      <c r="I134" s="27" t="str">
        <f aca="false">IF($A134="","",SUMIFS(請求台帳!$F$5:$F$504,請求台帳!$C$5:$C$504,$A134,請求台帳!$B$5:$B$504,"&gt;="&amp;I$3,請求台帳!$B$5:$B$504,"&lt;"&amp;DATE(YEAR(I$3),MONTH(I$3)+1,1),請求台帳!$Q$5:$Q$504,"&lt;&gt;取消"))</f>
        <v/>
      </c>
      <c r="J134" s="27" t="str">
        <f aca="false">IF($A134="","",SUMIFS(入金明細!$E$5:$E$1004,入金明細!$G$5:$G$1004,$A134,入金明細!$B$5:$B$1004,"&gt;="&amp;I$3,入金明細!$B$5:$B$1004,"&lt;"&amp;DATE(YEAR(I$3),MONTH(I$3)+1,1)))</f>
        <v/>
      </c>
      <c r="K134" s="27" t="str">
        <f aca="false">IF($A134="","",SUMIFS(請求台帳!$F$5:$F$504,請求台帳!$C$5:$C$504,$A134,請求台帳!$B$5:$B$504,"&gt;="&amp;K$3,請求台帳!$B$5:$B$504,"&lt;"&amp;DATE(YEAR(K$3),MONTH(K$3)+1,1),請求台帳!$Q$5:$Q$504,"&lt;&gt;取消"))</f>
        <v/>
      </c>
      <c r="L134" s="27" t="str">
        <f aca="false">IF($A134="","",SUMIFS(入金明細!$E$5:$E$1004,入金明細!$G$5:$G$1004,$A134,入金明細!$B$5:$B$1004,"&gt;="&amp;K$3,入金明細!$B$5:$B$1004,"&lt;"&amp;DATE(YEAR(K$3),MONTH(K$3)+1,1)))</f>
        <v/>
      </c>
      <c r="M134" s="27" t="str">
        <f aca="false">IF($A134="","",SUMIFS(請求台帳!$F$5:$F$504,請求台帳!$C$5:$C$504,$A134,請求台帳!$B$5:$B$504,"&gt;="&amp;M$3,請求台帳!$B$5:$B$504,"&lt;"&amp;DATE(YEAR(M$3),MONTH(M$3)+1,1),請求台帳!$Q$5:$Q$504,"&lt;&gt;取消"))</f>
        <v/>
      </c>
      <c r="N134" s="27" t="str">
        <f aca="false">IF($A134="","",SUMIFS(入金明細!$E$5:$E$1004,入金明細!$G$5:$G$1004,$A134,入金明細!$B$5:$B$1004,"&gt;="&amp;M$3,入金明細!$B$5:$B$1004,"&lt;"&amp;DATE(YEAR(M$3),MONTH(M$3)+1,1)))</f>
        <v/>
      </c>
      <c r="O134" s="27" t="str">
        <f aca="false">IF($A134="","",SUMIFS(請求台帳!$F$5:$F$504,請求台帳!$C$5:$C$504,$A134,請求台帳!$B$5:$B$504,"&gt;="&amp;O$3,請求台帳!$B$5:$B$504,"&lt;"&amp;DATE(YEAR(O$3),MONTH(O$3)+1,1),請求台帳!$Q$5:$Q$504,"&lt;&gt;取消"))</f>
        <v/>
      </c>
      <c r="P134" s="27" t="str">
        <f aca="false">IF($A134="","",SUMIFS(入金明細!$E$5:$E$1004,入金明細!$G$5:$G$1004,$A134,入金明細!$B$5:$B$1004,"&gt;="&amp;O$3,入金明細!$B$5:$B$1004,"&lt;"&amp;DATE(YEAR(O$3),MONTH(O$3)+1,1)))</f>
        <v/>
      </c>
      <c r="Q134" s="27" t="str">
        <f aca="false">IF($A134="","",SUMIFS(請求台帳!$F$5:$F$504,請求台帳!$C$5:$C$504,$A134,請求台帳!$B$5:$B$504,"&gt;="&amp;Q$3,請求台帳!$B$5:$B$504,"&lt;"&amp;DATE(YEAR(Q$3),MONTH(Q$3)+1,1),請求台帳!$Q$5:$Q$504,"&lt;&gt;取消"))</f>
        <v/>
      </c>
      <c r="R134" s="27" t="str">
        <f aca="false">IF($A134="","",SUMIFS(入金明細!$E$5:$E$1004,入金明細!$G$5:$G$1004,$A134,入金明細!$B$5:$B$1004,"&gt;="&amp;Q$3,入金明細!$B$5:$B$1004,"&lt;"&amp;DATE(YEAR(Q$3),MONTH(Q$3)+1,1)))</f>
        <v/>
      </c>
      <c r="S134" s="27" t="str">
        <f aca="false">IF($A134="","",SUMIFS(請求台帳!$F$5:$F$504,請求台帳!$C$5:$C$504,$A134,請求台帳!$B$5:$B$504,"&gt;="&amp;S$3,請求台帳!$B$5:$B$504,"&lt;"&amp;DATE(YEAR(S$3),MONTH(S$3)+1,1),請求台帳!$Q$5:$Q$504,"&lt;&gt;取消"))</f>
        <v/>
      </c>
      <c r="T134" s="27" t="str">
        <f aca="false">IF($A134="","",SUMIFS(入金明細!$E$5:$E$1004,入金明細!$G$5:$G$1004,$A134,入金明細!$B$5:$B$1004,"&gt;="&amp;S$3,入金明細!$B$5:$B$1004,"&lt;"&amp;DATE(YEAR(S$3),MONTH(S$3)+1,1)))</f>
        <v/>
      </c>
      <c r="U134" s="27" t="str">
        <f aca="false">IF($A134="","",SUMIFS(請求台帳!$F$5:$F$504,請求台帳!$C$5:$C$504,$A134,請求台帳!$B$5:$B$504,"&gt;="&amp;U$3,請求台帳!$B$5:$B$504,"&lt;"&amp;DATE(YEAR(U$3),MONTH(U$3)+1,1),請求台帳!$Q$5:$Q$504,"&lt;&gt;取消"))</f>
        <v/>
      </c>
      <c r="V134" s="27" t="str">
        <f aca="false">IF($A134="","",SUMIFS(入金明細!$E$5:$E$1004,入金明細!$G$5:$G$1004,$A134,入金明細!$B$5:$B$1004,"&gt;="&amp;U$3,入金明細!$B$5:$B$1004,"&lt;"&amp;DATE(YEAR(U$3),MONTH(U$3)+1,1)))</f>
        <v/>
      </c>
      <c r="W134" s="27" t="str">
        <f aca="false">IF($A134="","",SUMIFS(請求台帳!$F$5:$F$504,請求台帳!$C$5:$C$504,$A134,請求台帳!$B$5:$B$504,"&gt;="&amp;W$3,請求台帳!$B$5:$B$504,"&lt;"&amp;DATE(YEAR(W$3),MONTH(W$3)+1,1),請求台帳!$Q$5:$Q$504,"&lt;&gt;取消"))</f>
        <v/>
      </c>
      <c r="X134" s="27" t="str">
        <f aca="false">IF($A134="","",SUMIFS(入金明細!$E$5:$E$1004,入金明細!$G$5:$G$1004,$A134,入金明細!$B$5:$B$1004,"&gt;="&amp;W$3,入金明細!$B$5:$B$1004,"&lt;"&amp;DATE(YEAR(W$3),MONTH(W$3)+1,1)))</f>
        <v/>
      </c>
      <c r="Y134" s="27" t="str">
        <f aca="false">IF($A134="","",SUMIFS(請求台帳!$F$5:$F$504,請求台帳!$C$5:$C$504,$A134,請求台帳!$B$5:$B$504,"&gt;="&amp;Y$3,請求台帳!$B$5:$B$504,"&lt;"&amp;DATE(YEAR(Y$3),MONTH(Y$3)+1,1),請求台帳!$Q$5:$Q$504,"&lt;&gt;取消"))</f>
        <v/>
      </c>
      <c r="Z134" s="27" t="str">
        <f aca="false">IF($A134="","",SUMIFS(入金明細!$E$5:$E$1004,入金明細!$G$5:$G$1004,$A134,入金明細!$B$5:$B$1004,"&gt;="&amp;Y$3,入金明細!$B$5:$B$1004,"&lt;"&amp;DATE(YEAR(Y$3),MONTH(Y$3)+1,1)))</f>
        <v/>
      </c>
      <c r="AA134" s="37" t="n">
        <f aca="false">SUM(C134,E134,G134,I134,K134,M134,O134,Q134,S134,U134,W134,Y134)</f>
        <v>0</v>
      </c>
      <c r="AB134" s="37" t="n">
        <f aca="false">SUM(D134,F134,H134,J134,L134,N134,P134,R134,T134,V134,X134,Z134)</f>
        <v>0</v>
      </c>
    </row>
    <row r="135" customFormat="false" ht="15" hidden="false" customHeight="false" outlineLevel="0" collapsed="false">
      <c r="A135" s="31" t="str">
        <f aca="false">IF(取引先マスタ!A135="","",取引先マスタ!A135)</f>
        <v/>
      </c>
      <c r="B135" s="31" t="str">
        <f aca="false">IF(A135="","",取引先マスタ!B135)</f>
        <v/>
      </c>
      <c r="C135" s="27" t="str">
        <f aca="false">IF($A135="","",SUMIFS(請求台帳!$F$5:$F$504,請求台帳!$C$5:$C$504,$A135,請求台帳!$B$5:$B$504,"&gt;="&amp;C$3,請求台帳!$B$5:$B$504,"&lt;"&amp;DATE(YEAR(C$3),MONTH(C$3)+1,1),請求台帳!$Q$5:$Q$504,"&lt;&gt;取消"))</f>
        <v/>
      </c>
      <c r="D135" s="27" t="str">
        <f aca="false">IF($A135="","",SUMIFS(入金明細!$E$5:$E$1004,入金明細!$G$5:$G$1004,$A135,入金明細!$B$5:$B$1004,"&gt;="&amp;C$3,入金明細!$B$5:$B$1004,"&lt;"&amp;DATE(YEAR(C$3),MONTH(C$3)+1,1)))</f>
        <v/>
      </c>
      <c r="E135" s="27" t="str">
        <f aca="false">IF($A135="","",SUMIFS(請求台帳!$F$5:$F$504,請求台帳!$C$5:$C$504,$A135,請求台帳!$B$5:$B$504,"&gt;="&amp;E$3,請求台帳!$B$5:$B$504,"&lt;"&amp;DATE(YEAR(E$3),MONTH(E$3)+1,1),請求台帳!$Q$5:$Q$504,"&lt;&gt;取消"))</f>
        <v/>
      </c>
      <c r="F135" s="27" t="str">
        <f aca="false">IF($A135="","",SUMIFS(入金明細!$E$5:$E$1004,入金明細!$G$5:$G$1004,$A135,入金明細!$B$5:$B$1004,"&gt;="&amp;E$3,入金明細!$B$5:$B$1004,"&lt;"&amp;DATE(YEAR(E$3),MONTH(E$3)+1,1)))</f>
        <v/>
      </c>
      <c r="G135" s="27" t="str">
        <f aca="false">IF($A135="","",SUMIFS(請求台帳!$F$5:$F$504,請求台帳!$C$5:$C$504,$A135,請求台帳!$B$5:$B$504,"&gt;="&amp;G$3,請求台帳!$B$5:$B$504,"&lt;"&amp;DATE(YEAR(G$3),MONTH(G$3)+1,1),請求台帳!$Q$5:$Q$504,"&lt;&gt;取消"))</f>
        <v/>
      </c>
      <c r="H135" s="27" t="str">
        <f aca="false">IF($A135="","",SUMIFS(入金明細!$E$5:$E$1004,入金明細!$G$5:$G$1004,$A135,入金明細!$B$5:$B$1004,"&gt;="&amp;G$3,入金明細!$B$5:$B$1004,"&lt;"&amp;DATE(YEAR(G$3),MONTH(G$3)+1,1)))</f>
        <v/>
      </c>
      <c r="I135" s="27" t="str">
        <f aca="false">IF($A135="","",SUMIFS(請求台帳!$F$5:$F$504,請求台帳!$C$5:$C$504,$A135,請求台帳!$B$5:$B$504,"&gt;="&amp;I$3,請求台帳!$B$5:$B$504,"&lt;"&amp;DATE(YEAR(I$3),MONTH(I$3)+1,1),請求台帳!$Q$5:$Q$504,"&lt;&gt;取消"))</f>
        <v/>
      </c>
      <c r="J135" s="27" t="str">
        <f aca="false">IF($A135="","",SUMIFS(入金明細!$E$5:$E$1004,入金明細!$G$5:$G$1004,$A135,入金明細!$B$5:$B$1004,"&gt;="&amp;I$3,入金明細!$B$5:$B$1004,"&lt;"&amp;DATE(YEAR(I$3),MONTH(I$3)+1,1)))</f>
        <v/>
      </c>
      <c r="K135" s="27" t="str">
        <f aca="false">IF($A135="","",SUMIFS(請求台帳!$F$5:$F$504,請求台帳!$C$5:$C$504,$A135,請求台帳!$B$5:$B$504,"&gt;="&amp;K$3,請求台帳!$B$5:$B$504,"&lt;"&amp;DATE(YEAR(K$3),MONTH(K$3)+1,1),請求台帳!$Q$5:$Q$504,"&lt;&gt;取消"))</f>
        <v/>
      </c>
      <c r="L135" s="27" t="str">
        <f aca="false">IF($A135="","",SUMIFS(入金明細!$E$5:$E$1004,入金明細!$G$5:$G$1004,$A135,入金明細!$B$5:$B$1004,"&gt;="&amp;K$3,入金明細!$B$5:$B$1004,"&lt;"&amp;DATE(YEAR(K$3),MONTH(K$3)+1,1)))</f>
        <v/>
      </c>
      <c r="M135" s="27" t="str">
        <f aca="false">IF($A135="","",SUMIFS(請求台帳!$F$5:$F$504,請求台帳!$C$5:$C$504,$A135,請求台帳!$B$5:$B$504,"&gt;="&amp;M$3,請求台帳!$B$5:$B$504,"&lt;"&amp;DATE(YEAR(M$3),MONTH(M$3)+1,1),請求台帳!$Q$5:$Q$504,"&lt;&gt;取消"))</f>
        <v/>
      </c>
      <c r="N135" s="27" t="str">
        <f aca="false">IF($A135="","",SUMIFS(入金明細!$E$5:$E$1004,入金明細!$G$5:$G$1004,$A135,入金明細!$B$5:$B$1004,"&gt;="&amp;M$3,入金明細!$B$5:$B$1004,"&lt;"&amp;DATE(YEAR(M$3),MONTH(M$3)+1,1)))</f>
        <v/>
      </c>
      <c r="O135" s="27" t="str">
        <f aca="false">IF($A135="","",SUMIFS(請求台帳!$F$5:$F$504,請求台帳!$C$5:$C$504,$A135,請求台帳!$B$5:$B$504,"&gt;="&amp;O$3,請求台帳!$B$5:$B$504,"&lt;"&amp;DATE(YEAR(O$3),MONTH(O$3)+1,1),請求台帳!$Q$5:$Q$504,"&lt;&gt;取消"))</f>
        <v/>
      </c>
      <c r="P135" s="27" t="str">
        <f aca="false">IF($A135="","",SUMIFS(入金明細!$E$5:$E$1004,入金明細!$G$5:$G$1004,$A135,入金明細!$B$5:$B$1004,"&gt;="&amp;O$3,入金明細!$B$5:$B$1004,"&lt;"&amp;DATE(YEAR(O$3),MONTH(O$3)+1,1)))</f>
        <v/>
      </c>
      <c r="Q135" s="27" t="str">
        <f aca="false">IF($A135="","",SUMIFS(請求台帳!$F$5:$F$504,請求台帳!$C$5:$C$504,$A135,請求台帳!$B$5:$B$504,"&gt;="&amp;Q$3,請求台帳!$B$5:$B$504,"&lt;"&amp;DATE(YEAR(Q$3),MONTH(Q$3)+1,1),請求台帳!$Q$5:$Q$504,"&lt;&gt;取消"))</f>
        <v/>
      </c>
      <c r="R135" s="27" t="str">
        <f aca="false">IF($A135="","",SUMIFS(入金明細!$E$5:$E$1004,入金明細!$G$5:$G$1004,$A135,入金明細!$B$5:$B$1004,"&gt;="&amp;Q$3,入金明細!$B$5:$B$1004,"&lt;"&amp;DATE(YEAR(Q$3),MONTH(Q$3)+1,1)))</f>
        <v/>
      </c>
      <c r="S135" s="27" t="str">
        <f aca="false">IF($A135="","",SUMIFS(請求台帳!$F$5:$F$504,請求台帳!$C$5:$C$504,$A135,請求台帳!$B$5:$B$504,"&gt;="&amp;S$3,請求台帳!$B$5:$B$504,"&lt;"&amp;DATE(YEAR(S$3),MONTH(S$3)+1,1),請求台帳!$Q$5:$Q$504,"&lt;&gt;取消"))</f>
        <v/>
      </c>
      <c r="T135" s="27" t="str">
        <f aca="false">IF($A135="","",SUMIFS(入金明細!$E$5:$E$1004,入金明細!$G$5:$G$1004,$A135,入金明細!$B$5:$B$1004,"&gt;="&amp;S$3,入金明細!$B$5:$B$1004,"&lt;"&amp;DATE(YEAR(S$3),MONTH(S$3)+1,1)))</f>
        <v/>
      </c>
      <c r="U135" s="27" t="str">
        <f aca="false">IF($A135="","",SUMIFS(請求台帳!$F$5:$F$504,請求台帳!$C$5:$C$504,$A135,請求台帳!$B$5:$B$504,"&gt;="&amp;U$3,請求台帳!$B$5:$B$504,"&lt;"&amp;DATE(YEAR(U$3),MONTH(U$3)+1,1),請求台帳!$Q$5:$Q$504,"&lt;&gt;取消"))</f>
        <v/>
      </c>
      <c r="V135" s="27" t="str">
        <f aca="false">IF($A135="","",SUMIFS(入金明細!$E$5:$E$1004,入金明細!$G$5:$G$1004,$A135,入金明細!$B$5:$B$1004,"&gt;="&amp;U$3,入金明細!$B$5:$B$1004,"&lt;"&amp;DATE(YEAR(U$3),MONTH(U$3)+1,1)))</f>
        <v/>
      </c>
      <c r="W135" s="27" t="str">
        <f aca="false">IF($A135="","",SUMIFS(請求台帳!$F$5:$F$504,請求台帳!$C$5:$C$504,$A135,請求台帳!$B$5:$B$504,"&gt;="&amp;W$3,請求台帳!$B$5:$B$504,"&lt;"&amp;DATE(YEAR(W$3),MONTH(W$3)+1,1),請求台帳!$Q$5:$Q$504,"&lt;&gt;取消"))</f>
        <v/>
      </c>
      <c r="X135" s="27" t="str">
        <f aca="false">IF($A135="","",SUMIFS(入金明細!$E$5:$E$1004,入金明細!$G$5:$G$1004,$A135,入金明細!$B$5:$B$1004,"&gt;="&amp;W$3,入金明細!$B$5:$B$1004,"&lt;"&amp;DATE(YEAR(W$3),MONTH(W$3)+1,1)))</f>
        <v/>
      </c>
      <c r="Y135" s="27" t="str">
        <f aca="false">IF($A135="","",SUMIFS(請求台帳!$F$5:$F$504,請求台帳!$C$5:$C$504,$A135,請求台帳!$B$5:$B$504,"&gt;="&amp;Y$3,請求台帳!$B$5:$B$504,"&lt;"&amp;DATE(YEAR(Y$3),MONTH(Y$3)+1,1),請求台帳!$Q$5:$Q$504,"&lt;&gt;取消"))</f>
        <v/>
      </c>
      <c r="Z135" s="27" t="str">
        <f aca="false">IF($A135="","",SUMIFS(入金明細!$E$5:$E$1004,入金明細!$G$5:$G$1004,$A135,入金明細!$B$5:$B$1004,"&gt;="&amp;Y$3,入金明細!$B$5:$B$1004,"&lt;"&amp;DATE(YEAR(Y$3),MONTH(Y$3)+1,1)))</f>
        <v/>
      </c>
      <c r="AA135" s="37" t="n">
        <f aca="false">SUM(C135,E135,G135,I135,K135,M135,O135,Q135,S135,U135,W135,Y135)</f>
        <v>0</v>
      </c>
      <c r="AB135" s="37" t="n">
        <f aca="false">SUM(D135,F135,H135,J135,L135,N135,P135,R135,T135,V135,X135,Z135)</f>
        <v>0</v>
      </c>
    </row>
    <row r="136" customFormat="false" ht="15" hidden="false" customHeight="false" outlineLevel="0" collapsed="false">
      <c r="A136" s="31" t="str">
        <f aca="false">IF(取引先マスタ!A136="","",取引先マスタ!A136)</f>
        <v/>
      </c>
      <c r="B136" s="31" t="str">
        <f aca="false">IF(A136="","",取引先マスタ!B136)</f>
        <v/>
      </c>
      <c r="C136" s="27" t="str">
        <f aca="false">IF($A136="","",SUMIFS(請求台帳!$F$5:$F$504,請求台帳!$C$5:$C$504,$A136,請求台帳!$B$5:$B$504,"&gt;="&amp;C$3,請求台帳!$B$5:$B$504,"&lt;"&amp;DATE(YEAR(C$3),MONTH(C$3)+1,1),請求台帳!$Q$5:$Q$504,"&lt;&gt;取消"))</f>
        <v/>
      </c>
      <c r="D136" s="27" t="str">
        <f aca="false">IF($A136="","",SUMIFS(入金明細!$E$5:$E$1004,入金明細!$G$5:$G$1004,$A136,入金明細!$B$5:$B$1004,"&gt;="&amp;C$3,入金明細!$B$5:$B$1004,"&lt;"&amp;DATE(YEAR(C$3),MONTH(C$3)+1,1)))</f>
        <v/>
      </c>
      <c r="E136" s="27" t="str">
        <f aca="false">IF($A136="","",SUMIFS(請求台帳!$F$5:$F$504,請求台帳!$C$5:$C$504,$A136,請求台帳!$B$5:$B$504,"&gt;="&amp;E$3,請求台帳!$B$5:$B$504,"&lt;"&amp;DATE(YEAR(E$3),MONTH(E$3)+1,1),請求台帳!$Q$5:$Q$504,"&lt;&gt;取消"))</f>
        <v/>
      </c>
      <c r="F136" s="27" t="str">
        <f aca="false">IF($A136="","",SUMIFS(入金明細!$E$5:$E$1004,入金明細!$G$5:$G$1004,$A136,入金明細!$B$5:$B$1004,"&gt;="&amp;E$3,入金明細!$B$5:$B$1004,"&lt;"&amp;DATE(YEAR(E$3),MONTH(E$3)+1,1)))</f>
        <v/>
      </c>
      <c r="G136" s="27" t="str">
        <f aca="false">IF($A136="","",SUMIFS(請求台帳!$F$5:$F$504,請求台帳!$C$5:$C$504,$A136,請求台帳!$B$5:$B$504,"&gt;="&amp;G$3,請求台帳!$B$5:$B$504,"&lt;"&amp;DATE(YEAR(G$3),MONTH(G$3)+1,1),請求台帳!$Q$5:$Q$504,"&lt;&gt;取消"))</f>
        <v/>
      </c>
      <c r="H136" s="27" t="str">
        <f aca="false">IF($A136="","",SUMIFS(入金明細!$E$5:$E$1004,入金明細!$G$5:$G$1004,$A136,入金明細!$B$5:$B$1004,"&gt;="&amp;G$3,入金明細!$B$5:$B$1004,"&lt;"&amp;DATE(YEAR(G$3),MONTH(G$3)+1,1)))</f>
        <v/>
      </c>
      <c r="I136" s="27" t="str">
        <f aca="false">IF($A136="","",SUMIFS(請求台帳!$F$5:$F$504,請求台帳!$C$5:$C$504,$A136,請求台帳!$B$5:$B$504,"&gt;="&amp;I$3,請求台帳!$B$5:$B$504,"&lt;"&amp;DATE(YEAR(I$3),MONTH(I$3)+1,1),請求台帳!$Q$5:$Q$504,"&lt;&gt;取消"))</f>
        <v/>
      </c>
      <c r="J136" s="27" t="str">
        <f aca="false">IF($A136="","",SUMIFS(入金明細!$E$5:$E$1004,入金明細!$G$5:$G$1004,$A136,入金明細!$B$5:$B$1004,"&gt;="&amp;I$3,入金明細!$B$5:$B$1004,"&lt;"&amp;DATE(YEAR(I$3),MONTH(I$3)+1,1)))</f>
        <v/>
      </c>
      <c r="K136" s="27" t="str">
        <f aca="false">IF($A136="","",SUMIFS(請求台帳!$F$5:$F$504,請求台帳!$C$5:$C$504,$A136,請求台帳!$B$5:$B$504,"&gt;="&amp;K$3,請求台帳!$B$5:$B$504,"&lt;"&amp;DATE(YEAR(K$3),MONTH(K$3)+1,1),請求台帳!$Q$5:$Q$504,"&lt;&gt;取消"))</f>
        <v/>
      </c>
      <c r="L136" s="27" t="str">
        <f aca="false">IF($A136="","",SUMIFS(入金明細!$E$5:$E$1004,入金明細!$G$5:$G$1004,$A136,入金明細!$B$5:$B$1004,"&gt;="&amp;K$3,入金明細!$B$5:$B$1004,"&lt;"&amp;DATE(YEAR(K$3),MONTH(K$3)+1,1)))</f>
        <v/>
      </c>
      <c r="M136" s="27" t="str">
        <f aca="false">IF($A136="","",SUMIFS(請求台帳!$F$5:$F$504,請求台帳!$C$5:$C$504,$A136,請求台帳!$B$5:$B$504,"&gt;="&amp;M$3,請求台帳!$B$5:$B$504,"&lt;"&amp;DATE(YEAR(M$3),MONTH(M$3)+1,1),請求台帳!$Q$5:$Q$504,"&lt;&gt;取消"))</f>
        <v/>
      </c>
      <c r="N136" s="27" t="str">
        <f aca="false">IF($A136="","",SUMIFS(入金明細!$E$5:$E$1004,入金明細!$G$5:$G$1004,$A136,入金明細!$B$5:$B$1004,"&gt;="&amp;M$3,入金明細!$B$5:$B$1004,"&lt;"&amp;DATE(YEAR(M$3),MONTH(M$3)+1,1)))</f>
        <v/>
      </c>
      <c r="O136" s="27" t="str">
        <f aca="false">IF($A136="","",SUMIFS(請求台帳!$F$5:$F$504,請求台帳!$C$5:$C$504,$A136,請求台帳!$B$5:$B$504,"&gt;="&amp;O$3,請求台帳!$B$5:$B$504,"&lt;"&amp;DATE(YEAR(O$3),MONTH(O$3)+1,1),請求台帳!$Q$5:$Q$504,"&lt;&gt;取消"))</f>
        <v/>
      </c>
      <c r="P136" s="27" t="str">
        <f aca="false">IF($A136="","",SUMIFS(入金明細!$E$5:$E$1004,入金明細!$G$5:$G$1004,$A136,入金明細!$B$5:$B$1004,"&gt;="&amp;O$3,入金明細!$B$5:$B$1004,"&lt;"&amp;DATE(YEAR(O$3),MONTH(O$3)+1,1)))</f>
        <v/>
      </c>
      <c r="Q136" s="27" t="str">
        <f aca="false">IF($A136="","",SUMIFS(請求台帳!$F$5:$F$504,請求台帳!$C$5:$C$504,$A136,請求台帳!$B$5:$B$504,"&gt;="&amp;Q$3,請求台帳!$B$5:$B$504,"&lt;"&amp;DATE(YEAR(Q$3),MONTH(Q$3)+1,1),請求台帳!$Q$5:$Q$504,"&lt;&gt;取消"))</f>
        <v/>
      </c>
      <c r="R136" s="27" t="str">
        <f aca="false">IF($A136="","",SUMIFS(入金明細!$E$5:$E$1004,入金明細!$G$5:$G$1004,$A136,入金明細!$B$5:$B$1004,"&gt;="&amp;Q$3,入金明細!$B$5:$B$1004,"&lt;"&amp;DATE(YEAR(Q$3),MONTH(Q$3)+1,1)))</f>
        <v/>
      </c>
      <c r="S136" s="27" t="str">
        <f aca="false">IF($A136="","",SUMIFS(請求台帳!$F$5:$F$504,請求台帳!$C$5:$C$504,$A136,請求台帳!$B$5:$B$504,"&gt;="&amp;S$3,請求台帳!$B$5:$B$504,"&lt;"&amp;DATE(YEAR(S$3),MONTH(S$3)+1,1),請求台帳!$Q$5:$Q$504,"&lt;&gt;取消"))</f>
        <v/>
      </c>
      <c r="T136" s="27" t="str">
        <f aca="false">IF($A136="","",SUMIFS(入金明細!$E$5:$E$1004,入金明細!$G$5:$G$1004,$A136,入金明細!$B$5:$B$1004,"&gt;="&amp;S$3,入金明細!$B$5:$B$1004,"&lt;"&amp;DATE(YEAR(S$3),MONTH(S$3)+1,1)))</f>
        <v/>
      </c>
      <c r="U136" s="27" t="str">
        <f aca="false">IF($A136="","",SUMIFS(請求台帳!$F$5:$F$504,請求台帳!$C$5:$C$504,$A136,請求台帳!$B$5:$B$504,"&gt;="&amp;U$3,請求台帳!$B$5:$B$504,"&lt;"&amp;DATE(YEAR(U$3),MONTH(U$3)+1,1),請求台帳!$Q$5:$Q$504,"&lt;&gt;取消"))</f>
        <v/>
      </c>
      <c r="V136" s="27" t="str">
        <f aca="false">IF($A136="","",SUMIFS(入金明細!$E$5:$E$1004,入金明細!$G$5:$G$1004,$A136,入金明細!$B$5:$B$1004,"&gt;="&amp;U$3,入金明細!$B$5:$B$1004,"&lt;"&amp;DATE(YEAR(U$3),MONTH(U$3)+1,1)))</f>
        <v/>
      </c>
      <c r="W136" s="27" t="str">
        <f aca="false">IF($A136="","",SUMIFS(請求台帳!$F$5:$F$504,請求台帳!$C$5:$C$504,$A136,請求台帳!$B$5:$B$504,"&gt;="&amp;W$3,請求台帳!$B$5:$B$504,"&lt;"&amp;DATE(YEAR(W$3),MONTH(W$3)+1,1),請求台帳!$Q$5:$Q$504,"&lt;&gt;取消"))</f>
        <v/>
      </c>
      <c r="X136" s="27" t="str">
        <f aca="false">IF($A136="","",SUMIFS(入金明細!$E$5:$E$1004,入金明細!$G$5:$G$1004,$A136,入金明細!$B$5:$B$1004,"&gt;="&amp;W$3,入金明細!$B$5:$B$1004,"&lt;"&amp;DATE(YEAR(W$3),MONTH(W$3)+1,1)))</f>
        <v/>
      </c>
      <c r="Y136" s="27" t="str">
        <f aca="false">IF($A136="","",SUMIFS(請求台帳!$F$5:$F$504,請求台帳!$C$5:$C$504,$A136,請求台帳!$B$5:$B$504,"&gt;="&amp;Y$3,請求台帳!$B$5:$B$504,"&lt;"&amp;DATE(YEAR(Y$3),MONTH(Y$3)+1,1),請求台帳!$Q$5:$Q$504,"&lt;&gt;取消"))</f>
        <v/>
      </c>
      <c r="Z136" s="27" t="str">
        <f aca="false">IF($A136="","",SUMIFS(入金明細!$E$5:$E$1004,入金明細!$G$5:$G$1004,$A136,入金明細!$B$5:$B$1004,"&gt;="&amp;Y$3,入金明細!$B$5:$B$1004,"&lt;"&amp;DATE(YEAR(Y$3),MONTH(Y$3)+1,1)))</f>
        <v/>
      </c>
      <c r="AA136" s="37" t="n">
        <f aca="false">SUM(C136,E136,G136,I136,K136,M136,O136,Q136,S136,U136,W136,Y136)</f>
        <v>0</v>
      </c>
      <c r="AB136" s="37" t="n">
        <f aca="false">SUM(D136,F136,H136,J136,L136,N136,P136,R136,T136,V136,X136,Z136)</f>
        <v>0</v>
      </c>
    </row>
    <row r="137" customFormat="false" ht="15" hidden="false" customHeight="false" outlineLevel="0" collapsed="false">
      <c r="A137" s="31" t="str">
        <f aca="false">IF(取引先マスタ!A137="","",取引先マスタ!A137)</f>
        <v/>
      </c>
      <c r="B137" s="31" t="str">
        <f aca="false">IF(A137="","",取引先マスタ!B137)</f>
        <v/>
      </c>
      <c r="C137" s="27" t="str">
        <f aca="false">IF($A137="","",SUMIFS(請求台帳!$F$5:$F$504,請求台帳!$C$5:$C$504,$A137,請求台帳!$B$5:$B$504,"&gt;="&amp;C$3,請求台帳!$B$5:$B$504,"&lt;"&amp;DATE(YEAR(C$3),MONTH(C$3)+1,1),請求台帳!$Q$5:$Q$504,"&lt;&gt;取消"))</f>
        <v/>
      </c>
      <c r="D137" s="27" t="str">
        <f aca="false">IF($A137="","",SUMIFS(入金明細!$E$5:$E$1004,入金明細!$G$5:$G$1004,$A137,入金明細!$B$5:$B$1004,"&gt;="&amp;C$3,入金明細!$B$5:$B$1004,"&lt;"&amp;DATE(YEAR(C$3),MONTH(C$3)+1,1)))</f>
        <v/>
      </c>
      <c r="E137" s="27" t="str">
        <f aca="false">IF($A137="","",SUMIFS(請求台帳!$F$5:$F$504,請求台帳!$C$5:$C$504,$A137,請求台帳!$B$5:$B$504,"&gt;="&amp;E$3,請求台帳!$B$5:$B$504,"&lt;"&amp;DATE(YEAR(E$3),MONTH(E$3)+1,1),請求台帳!$Q$5:$Q$504,"&lt;&gt;取消"))</f>
        <v/>
      </c>
      <c r="F137" s="27" t="str">
        <f aca="false">IF($A137="","",SUMIFS(入金明細!$E$5:$E$1004,入金明細!$G$5:$G$1004,$A137,入金明細!$B$5:$B$1004,"&gt;="&amp;E$3,入金明細!$B$5:$B$1004,"&lt;"&amp;DATE(YEAR(E$3),MONTH(E$3)+1,1)))</f>
        <v/>
      </c>
      <c r="G137" s="27" t="str">
        <f aca="false">IF($A137="","",SUMIFS(請求台帳!$F$5:$F$504,請求台帳!$C$5:$C$504,$A137,請求台帳!$B$5:$B$504,"&gt;="&amp;G$3,請求台帳!$B$5:$B$504,"&lt;"&amp;DATE(YEAR(G$3),MONTH(G$3)+1,1),請求台帳!$Q$5:$Q$504,"&lt;&gt;取消"))</f>
        <v/>
      </c>
      <c r="H137" s="27" t="str">
        <f aca="false">IF($A137="","",SUMIFS(入金明細!$E$5:$E$1004,入金明細!$G$5:$G$1004,$A137,入金明細!$B$5:$B$1004,"&gt;="&amp;G$3,入金明細!$B$5:$B$1004,"&lt;"&amp;DATE(YEAR(G$3),MONTH(G$3)+1,1)))</f>
        <v/>
      </c>
      <c r="I137" s="27" t="str">
        <f aca="false">IF($A137="","",SUMIFS(請求台帳!$F$5:$F$504,請求台帳!$C$5:$C$504,$A137,請求台帳!$B$5:$B$504,"&gt;="&amp;I$3,請求台帳!$B$5:$B$504,"&lt;"&amp;DATE(YEAR(I$3),MONTH(I$3)+1,1),請求台帳!$Q$5:$Q$504,"&lt;&gt;取消"))</f>
        <v/>
      </c>
      <c r="J137" s="27" t="str">
        <f aca="false">IF($A137="","",SUMIFS(入金明細!$E$5:$E$1004,入金明細!$G$5:$G$1004,$A137,入金明細!$B$5:$B$1004,"&gt;="&amp;I$3,入金明細!$B$5:$B$1004,"&lt;"&amp;DATE(YEAR(I$3),MONTH(I$3)+1,1)))</f>
        <v/>
      </c>
      <c r="K137" s="27" t="str">
        <f aca="false">IF($A137="","",SUMIFS(請求台帳!$F$5:$F$504,請求台帳!$C$5:$C$504,$A137,請求台帳!$B$5:$B$504,"&gt;="&amp;K$3,請求台帳!$B$5:$B$504,"&lt;"&amp;DATE(YEAR(K$3),MONTH(K$3)+1,1),請求台帳!$Q$5:$Q$504,"&lt;&gt;取消"))</f>
        <v/>
      </c>
      <c r="L137" s="27" t="str">
        <f aca="false">IF($A137="","",SUMIFS(入金明細!$E$5:$E$1004,入金明細!$G$5:$G$1004,$A137,入金明細!$B$5:$B$1004,"&gt;="&amp;K$3,入金明細!$B$5:$B$1004,"&lt;"&amp;DATE(YEAR(K$3),MONTH(K$3)+1,1)))</f>
        <v/>
      </c>
      <c r="M137" s="27" t="str">
        <f aca="false">IF($A137="","",SUMIFS(請求台帳!$F$5:$F$504,請求台帳!$C$5:$C$504,$A137,請求台帳!$B$5:$B$504,"&gt;="&amp;M$3,請求台帳!$B$5:$B$504,"&lt;"&amp;DATE(YEAR(M$3),MONTH(M$3)+1,1),請求台帳!$Q$5:$Q$504,"&lt;&gt;取消"))</f>
        <v/>
      </c>
      <c r="N137" s="27" t="str">
        <f aca="false">IF($A137="","",SUMIFS(入金明細!$E$5:$E$1004,入金明細!$G$5:$G$1004,$A137,入金明細!$B$5:$B$1004,"&gt;="&amp;M$3,入金明細!$B$5:$B$1004,"&lt;"&amp;DATE(YEAR(M$3),MONTH(M$3)+1,1)))</f>
        <v/>
      </c>
      <c r="O137" s="27" t="str">
        <f aca="false">IF($A137="","",SUMIFS(請求台帳!$F$5:$F$504,請求台帳!$C$5:$C$504,$A137,請求台帳!$B$5:$B$504,"&gt;="&amp;O$3,請求台帳!$B$5:$B$504,"&lt;"&amp;DATE(YEAR(O$3),MONTH(O$3)+1,1),請求台帳!$Q$5:$Q$504,"&lt;&gt;取消"))</f>
        <v/>
      </c>
      <c r="P137" s="27" t="str">
        <f aca="false">IF($A137="","",SUMIFS(入金明細!$E$5:$E$1004,入金明細!$G$5:$G$1004,$A137,入金明細!$B$5:$B$1004,"&gt;="&amp;O$3,入金明細!$B$5:$B$1004,"&lt;"&amp;DATE(YEAR(O$3),MONTH(O$3)+1,1)))</f>
        <v/>
      </c>
      <c r="Q137" s="27" t="str">
        <f aca="false">IF($A137="","",SUMIFS(請求台帳!$F$5:$F$504,請求台帳!$C$5:$C$504,$A137,請求台帳!$B$5:$B$504,"&gt;="&amp;Q$3,請求台帳!$B$5:$B$504,"&lt;"&amp;DATE(YEAR(Q$3),MONTH(Q$3)+1,1),請求台帳!$Q$5:$Q$504,"&lt;&gt;取消"))</f>
        <v/>
      </c>
      <c r="R137" s="27" t="str">
        <f aca="false">IF($A137="","",SUMIFS(入金明細!$E$5:$E$1004,入金明細!$G$5:$G$1004,$A137,入金明細!$B$5:$B$1004,"&gt;="&amp;Q$3,入金明細!$B$5:$B$1004,"&lt;"&amp;DATE(YEAR(Q$3),MONTH(Q$3)+1,1)))</f>
        <v/>
      </c>
      <c r="S137" s="27" t="str">
        <f aca="false">IF($A137="","",SUMIFS(請求台帳!$F$5:$F$504,請求台帳!$C$5:$C$504,$A137,請求台帳!$B$5:$B$504,"&gt;="&amp;S$3,請求台帳!$B$5:$B$504,"&lt;"&amp;DATE(YEAR(S$3),MONTH(S$3)+1,1),請求台帳!$Q$5:$Q$504,"&lt;&gt;取消"))</f>
        <v/>
      </c>
      <c r="T137" s="27" t="str">
        <f aca="false">IF($A137="","",SUMIFS(入金明細!$E$5:$E$1004,入金明細!$G$5:$G$1004,$A137,入金明細!$B$5:$B$1004,"&gt;="&amp;S$3,入金明細!$B$5:$B$1004,"&lt;"&amp;DATE(YEAR(S$3),MONTH(S$3)+1,1)))</f>
        <v/>
      </c>
      <c r="U137" s="27" t="str">
        <f aca="false">IF($A137="","",SUMIFS(請求台帳!$F$5:$F$504,請求台帳!$C$5:$C$504,$A137,請求台帳!$B$5:$B$504,"&gt;="&amp;U$3,請求台帳!$B$5:$B$504,"&lt;"&amp;DATE(YEAR(U$3),MONTH(U$3)+1,1),請求台帳!$Q$5:$Q$504,"&lt;&gt;取消"))</f>
        <v/>
      </c>
      <c r="V137" s="27" t="str">
        <f aca="false">IF($A137="","",SUMIFS(入金明細!$E$5:$E$1004,入金明細!$G$5:$G$1004,$A137,入金明細!$B$5:$B$1004,"&gt;="&amp;U$3,入金明細!$B$5:$B$1004,"&lt;"&amp;DATE(YEAR(U$3),MONTH(U$3)+1,1)))</f>
        <v/>
      </c>
      <c r="W137" s="27" t="str">
        <f aca="false">IF($A137="","",SUMIFS(請求台帳!$F$5:$F$504,請求台帳!$C$5:$C$504,$A137,請求台帳!$B$5:$B$504,"&gt;="&amp;W$3,請求台帳!$B$5:$B$504,"&lt;"&amp;DATE(YEAR(W$3),MONTH(W$3)+1,1),請求台帳!$Q$5:$Q$504,"&lt;&gt;取消"))</f>
        <v/>
      </c>
      <c r="X137" s="27" t="str">
        <f aca="false">IF($A137="","",SUMIFS(入金明細!$E$5:$E$1004,入金明細!$G$5:$G$1004,$A137,入金明細!$B$5:$B$1004,"&gt;="&amp;W$3,入金明細!$B$5:$B$1004,"&lt;"&amp;DATE(YEAR(W$3),MONTH(W$3)+1,1)))</f>
        <v/>
      </c>
      <c r="Y137" s="27" t="str">
        <f aca="false">IF($A137="","",SUMIFS(請求台帳!$F$5:$F$504,請求台帳!$C$5:$C$504,$A137,請求台帳!$B$5:$B$504,"&gt;="&amp;Y$3,請求台帳!$B$5:$B$504,"&lt;"&amp;DATE(YEAR(Y$3),MONTH(Y$3)+1,1),請求台帳!$Q$5:$Q$504,"&lt;&gt;取消"))</f>
        <v/>
      </c>
      <c r="Z137" s="27" t="str">
        <f aca="false">IF($A137="","",SUMIFS(入金明細!$E$5:$E$1004,入金明細!$G$5:$G$1004,$A137,入金明細!$B$5:$B$1004,"&gt;="&amp;Y$3,入金明細!$B$5:$B$1004,"&lt;"&amp;DATE(YEAR(Y$3),MONTH(Y$3)+1,1)))</f>
        <v/>
      </c>
      <c r="AA137" s="37" t="n">
        <f aca="false">SUM(C137,E137,G137,I137,K137,M137,O137,Q137,S137,U137,W137,Y137)</f>
        <v>0</v>
      </c>
      <c r="AB137" s="37" t="n">
        <f aca="false">SUM(D137,F137,H137,J137,L137,N137,P137,R137,T137,V137,X137,Z137)</f>
        <v>0</v>
      </c>
    </row>
    <row r="138" customFormat="false" ht="15" hidden="false" customHeight="false" outlineLevel="0" collapsed="false">
      <c r="A138" s="31" t="str">
        <f aca="false">IF(取引先マスタ!A138="","",取引先マスタ!A138)</f>
        <v/>
      </c>
      <c r="B138" s="31" t="str">
        <f aca="false">IF(A138="","",取引先マスタ!B138)</f>
        <v/>
      </c>
      <c r="C138" s="27" t="str">
        <f aca="false">IF($A138="","",SUMIFS(請求台帳!$F$5:$F$504,請求台帳!$C$5:$C$504,$A138,請求台帳!$B$5:$B$504,"&gt;="&amp;C$3,請求台帳!$B$5:$B$504,"&lt;"&amp;DATE(YEAR(C$3),MONTH(C$3)+1,1),請求台帳!$Q$5:$Q$504,"&lt;&gt;取消"))</f>
        <v/>
      </c>
      <c r="D138" s="27" t="str">
        <f aca="false">IF($A138="","",SUMIFS(入金明細!$E$5:$E$1004,入金明細!$G$5:$G$1004,$A138,入金明細!$B$5:$B$1004,"&gt;="&amp;C$3,入金明細!$B$5:$B$1004,"&lt;"&amp;DATE(YEAR(C$3),MONTH(C$3)+1,1)))</f>
        <v/>
      </c>
      <c r="E138" s="27" t="str">
        <f aca="false">IF($A138="","",SUMIFS(請求台帳!$F$5:$F$504,請求台帳!$C$5:$C$504,$A138,請求台帳!$B$5:$B$504,"&gt;="&amp;E$3,請求台帳!$B$5:$B$504,"&lt;"&amp;DATE(YEAR(E$3),MONTH(E$3)+1,1),請求台帳!$Q$5:$Q$504,"&lt;&gt;取消"))</f>
        <v/>
      </c>
      <c r="F138" s="27" t="str">
        <f aca="false">IF($A138="","",SUMIFS(入金明細!$E$5:$E$1004,入金明細!$G$5:$G$1004,$A138,入金明細!$B$5:$B$1004,"&gt;="&amp;E$3,入金明細!$B$5:$B$1004,"&lt;"&amp;DATE(YEAR(E$3),MONTH(E$3)+1,1)))</f>
        <v/>
      </c>
      <c r="G138" s="27" t="str">
        <f aca="false">IF($A138="","",SUMIFS(請求台帳!$F$5:$F$504,請求台帳!$C$5:$C$504,$A138,請求台帳!$B$5:$B$504,"&gt;="&amp;G$3,請求台帳!$B$5:$B$504,"&lt;"&amp;DATE(YEAR(G$3),MONTH(G$3)+1,1),請求台帳!$Q$5:$Q$504,"&lt;&gt;取消"))</f>
        <v/>
      </c>
      <c r="H138" s="27" t="str">
        <f aca="false">IF($A138="","",SUMIFS(入金明細!$E$5:$E$1004,入金明細!$G$5:$G$1004,$A138,入金明細!$B$5:$B$1004,"&gt;="&amp;G$3,入金明細!$B$5:$B$1004,"&lt;"&amp;DATE(YEAR(G$3),MONTH(G$3)+1,1)))</f>
        <v/>
      </c>
      <c r="I138" s="27" t="str">
        <f aca="false">IF($A138="","",SUMIFS(請求台帳!$F$5:$F$504,請求台帳!$C$5:$C$504,$A138,請求台帳!$B$5:$B$504,"&gt;="&amp;I$3,請求台帳!$B$5:$B$504,"&lt;"&amp;DATE(YEAR(I$3),MONTH(I$3)+1,1),請求台帳!$Q$5:$Q$504,"&lt;&gt;取消"))</f>
        <v/>
      </c>
      <c r="J138" s="27" t="str">
        <f aca="false">IF($A138="","",SUMIFS(入金明細!$E$5:$E$1004,入金明細!$G$5:$G$1004,$A138,入金明細!$B$5:$B$1004,"&gt;="&amp;I$3,入金明細!$B$5:$B$1004,"&lt;"&amp;DATE(YEAR(I$3),MONTH(I$3)+1,1)))</f>
        <v/>
      </c>
      <c r="K138" s="27" t="str">
        <f aca="false">IF($A138="","",SUMIFS(請求台帳!$F$5:$F$504,請求台帳!$C$5:$C$504,$A138,請求台帳!$B$5:$B$504,"&gt;="&amp;K$3,請求台帳!$B$5:$B$504,"&lt;"&amp;DATE(YEAR(K$3),MONTH(K$3)+1,1),請求台帳!$Q$5:$Q$504,"&lt;&gt;取消"))</f>
        <v/>
      </c>
      <c r="L138" s="27" t="str">
        <f aca="false">IF($A138="","",SUMIFS(入金明細!$E$5:$E$1004,入金明細!$G$5:$G$1004,$A138,入金明細!$B$5:$B$1004,"&gt;="&amp;K$3,入金明細!$B$5:$B$1004,"&lt;"&amp;DATE(YEAR(K$3),MONTH(K$3)+1,1)))</f>
        <v/>
      </c>
      <c r="M138" s="27" t="str">
        <f aca="false">IF($A138="","",SUMIFS(請求台帳!$F$5:$F$504,請求台帳!$C$5:$C$504,$A138,請求台帳!$B$5:$B$504,"&gt;="&amp;M$3,請求台帳!$B$5:$B$504,"&lt;"&amp;DATE(YEAR(M$3),MONTH(M$3)+1,1),請求台帳!$Q$5:$Q$504,"&lt;&gt;取消"))</f>
        <v/>
      </c>
      <c r="N138" s="27" t="str">
        <f aca="false">IF($A138="","",SUMIFS(入金明細!$E$5:$E$1004,入金明細!$G$5:$G$1004,$A138,入金明細!$B$5:$B$1004,"&gt;="&amp;M$3,入金明細!$B$5:$B$1004,"&lt;"&amp;DATE(YEAR(M$3),MONTH(M$3)+1,1)))</f>
        <v/>
      </c>
      <c r="O138" s="27" t="str">
        <f aca="false">IF($A138="","",SUMIFS(請求台帳!$F$5:$F$504,請求台帳!$C$5:$C$504,$A138,請求台帳!$B$5:$B$504,"&gt;="&amp;O$3,請求台帳!$B$5:$B$504,"&lt;"&amp;DATE(YEAR(O$3),MONTH(O$3)+1,1),請求台帳!$Q$5:$Q$504,"&lt;&gt;取消"))</f>
        <v/>
      </c>
      <c r="P138" s="27" t="str">
        <f aca="false">IF($A138="","",SUMIFS(入金明細!$E$5:$E$1004,入金明細!$G$5:$G$1004,$A138,入金明細!$B$5:$B$1004,"&gt;="&amp;O$3,入金明細!$B$5:$B$1004,"&lt;"&amp;DATE(YEAR(O$3),MONTH(O$3)+1,1)))</f>
        <v/>
      </c>
      <c r="Q138" s="27" t="str">
        <f aca="false">IF($A138="","",SUMIFS(請求台帳!$F$5:$F$504,請求台帳!$C$5:$C$504,$A138,請求台帳!$B$5:$B$504,"&gt;="&amp;Q$3,請求台帳!$B$5:$B$504,"&lt;"&amp;DATE(YEAR(Q$3),MONTH(Q$3)+1,1),請求台帳!$Q$5:$Q$504,"&lt;&gt;取消"))</f>
        <v/>
      </c>
      <c r="R138" s="27" t="str">
        <f aca="false">IF($A138="","",SUMIFS(入金明細!$E$5:$E$1004,入金明細!$G$5:$G$1004,$A138,入金明細!$B$5:$B$1004,"&gt;="&amp;Q$3,入金明細!$B$5:$B$1004,"&lt;"&amp;DATE(YEAR(Q$3),MONTH(Q$3)+1,1)))</f>
        <v/>
      </c>
      <c r="S138" s="27" t="str">
        <f aca="false">IF($A138="","",SUMIFS(請求台帳!$F$5:$F$504,請求台帳!$C$5:$C$504,$A138,請求台帳!$B$5:$B$504,"&gt;="&amp;S$3,請求台帳!$B$5:$B$504,"&lt;"&amp;DATE(YEAR(S$3),MONTH(S$3)+1,1),請求台帳!$Q$5:$Q$504,"&lt;&gt;取消"))</f>
        <v/>
      </c>
      <c r="T138" s="27" t="str">
        <f aca="false">IF($A138="","",SUMIFS(入金明細!$E$5:$E$1004,入金明細!$G$5:$G$1004,$A138,入金明細!$B$5:$B$1004,"&gt;="&amp;S$3,入金明細!$B$5:$B$1004,"&lt;"&amp;DATE(YEAR(S$3),MONTH(S$3)+1,1)))</f>
        <v/>
      </c>
      <c r="U138" s="27" t="str">
        <f aca="false">IF($A138="","",SUMIFS(請求台帳!$F$5:$F$504,請求台帳!$C$5:$C$504,$A138,請求台帳!$B$5:$B$504,"&gt;="&amp;U$3,請求台帳!$B$5:$B$504,"&lt;"&amp;DATE(YEAR(U$3),MONTH(U$3)+1,1),請求台帳!$Q$5:$Q$504,"&lt;&gt;取消"))</f>
        <v/>
      </c>
      <c r="V138" s="27" t="str">
        <f aca="false">IF($A138="","",SUMIFS(入金明細!$E$5:$E$1004,入金明細!$G$5:$G$1004,$A138,入金明細!$B$5:$B$1004,"&gt;="&amp;U$3,入金明細!$B$5:$B$1004,"&lt;"&amp;DATE(YEAR(U$3),MONTH(U$3)+1,1)))</f>
        <v/>
      </c>
      <c r="W138" s="27" t="str">
        <f aca="false">IF($A138="","",SUMIFS(請求台帳!$F$5:$F$504,請求台帳!$C$5:$C$504,$A138,請求台帳!$B$5:$B$504,"&gt;="&amp;W$3,請求台帳!$B$5:$B$504,"&lt;"&amp;DATE(YEAR(W$3),MONTH(W$3)+1,1),請求台帳!$Q$5:$Q$504,"&lt;&gt;取消"))</f>
        <v/>
      </c>
      <c r="X138" s="27" t="str">
        <f aca="false">IF($A138="","",SUMIFS(入金明細!$E$5:$E$1004,入金明細!$G$5:$G$1004,$A138,入金明細!$B$5:$B$1004,"&gt;="&amp;W$3,入金明細!$B$5:$B$1004,"&lt;"&amp;DATE(YEAR(W$3),MONTH(W$3)+1,1)))</f>
        <v/>
      </c>
      <c r="Y138" s="27" t="str">
        <f aca="false">IF($A138="","",SUMIFS(請求台帳!$F$5:$F$504,請求台帳!$C$5:$C$504,$A138,請求台帳!$B$5:$B$504,"&gt;="&amp;Y$3,請求台帳!$B$5:$B$504,"&lt;"&amp;DATE(YEAR(Y$3),MONTH(Y$3)+1,1),請求台帳!$Q$5:$Q$504,"&lt;&gt;取消"))</f>
        <v/>
      </c>
      <c r="Z138" s="27" t="str">
        <f aca="false">IF($A138="","",SUMIFS(入金明細!$E$5:$E$1004,入金明細!$G$5:$G$1004,$A138,入金明細!$B$5:$B$1004,"&gt;="&amp;Y$3,入金明細!$B$5:$B$1004,"&lt;"&amp;DATE(YEAR(Y$3),MONTH(Y$3)+1,1)))</f>
        <v/>
      </c>
      <c r="AA138" s="37" t="n">
        <f aca="false">SUM(C138,E138,G138,I138,K138,M138,O138,Q138,S138,U138,W138,Y138)</f>
        <v>0</v>
      </c>
      <c r="AB138" s="37" t="n">
        <f aca="false">SUM(D138,F138,H138,J138,L138,N138,P138,R138,T138,V138,X138,Z138)</f>
        <v>0</v>
      </c>
    </row>
    <row r="139" customFormat="false" ht="15" hidden="false" customHeight="false" outlineLevel="0" collapsed="false">
      <c r="A139" s="31" t="str">
        <f aca="false">IF(取引先マスタ!A139="","",取引先マスタ!A139)</f>
        <v/>
      </c>
      <c r="B139" s="31" t="str">
        <f aca="false">IF(A139="","",取引先マスタ!B139)</f>
        <v/>
      </c>
      <c r="C139" s="27" t="str">
        <f aca="false">IF($A139="","",SUMIFS(請求台帳!$F$5:$F$504,請求台帳!$C$5:$C$504,$A139,請求台帳!$B$5:$B$504,"&gt;="&amp;C$3,請求台帳!$B$5:$B$504,"&lt;"&amp;DATE(YEAR(C$3),MONTH(C$3)+1,1),請求台帳!$Q$5:$Q$504,"&lt;&gt;取消"))</f>
        <v/>
      </c>
      <c r="D139" s="27" t="str">
        <f aca="false">IF($A139="","",SUMIFS(入金明細!$E$5:$E$1004,入金明細!$G$5:$G$1004,$A139,入金明細!$B$5:$B$1004,"&gt;="&amp;C$3,入金明細!$B$5:$B$1004,"&lt;"&amp;DATE(YEAR(C$3),MONTH(C$3)+1,1)))</f>
        <v/>
      </c>
      <c r="E139" s="27" t="str">
        <f aca="false">IF($A139="","",SUMIFS(請求台帳!$F$5:$F$504,請求台帳!$C$5:$C$504,$A139,請求台帳!$B$5:$B$504,"&gt;="&amp;E$3,請求台帳!$B$5:$B$504,"&lt;"&amp;DATE(YEAR(E$3),MONTH(E$3)+1,1),請求台帳!$Q$5:$Q$504,"&lt;&gt;取消"))</f>
        <v/>
      </c>
      <c r="F139" s="27" t="str">
        <f aca="false">IF($A139="","",SUMIFS(入金明細!$E$5:$E$1004,入金明細!$G$5:$G$1004,$A139,入金明細!$B$5:$B$1004,"&gt;="&amp;E$3,入金明細!$B$5:$B$1004,"&lt;"&amp;DATE(YEAR(E$3),MONTH(E$3)+1,1)))</f>
        <v/>
      </c>
      <c r="G139" s="27" t="str">
        <f aca="false">IF($A139="","",SUMIFS(請求台帳!$F$5:$F$504,請求台帳!$C$5:$C$504,$A139,請求台帳!$B$5:$B$504,"&gt;="&amp;G$3,請求台帳!$B$5:$B$504,"&lt;"&amp;DATE(YEAR(G$3),MONTH(G$3)+1,1),請求台帳!$Q$5:$Q$504,"&lt;&gt;取消"))</f>
        <v/>
      </c>
      <c r="H139" s="27" t="str">
        <f aca="false">IF($A139="","",SUMIFS(入金明細!$E$5:$E$1004,入金明細!$G$5:$G$1004,$A139,入金明細!$B$5:$B$1004,"&gt;="&amp;G$3,入金明細!$B$5:$B$1004,"&lt;"&amp;DATE(YEAR(G$3),MONTH(G$3)+1,1)))</f>
        <v/>
      </c>
      <c r="I139" s="27" t="str">
        <f aca="false">IF($A139="","",SUMIFS(請求台帳!$F$5:$F$504,請求台帳!$C$5:$C$504,$A139,請求台帳!$B$5:$B$504,"&gt;="&amp;I$3,請求台帳!$B$5:$B$504,"&lt;"&amp;DATE(YEAR(I$3),MONTH(I$3)+1,1),請求台帳!$Q$5:$Q$504,"&lt;&gt;取消"))</f>
        <v/>
      </c>
      <c r="J139" s="27" t="str">
        <f aca="false">IF($A139="","",SUMIFS(入金明細!$E$5:$E$1004,入金明細!$G$5:$G$1004,$A139,入金明細!$B$5:$B$1004,"&gt;="&amp;I$3,入金明細!$B$5:$B$1004,"&lt;"&amp;DATE(YEAR(I$3),MONTH(I$3)+1,1)))</f>
        <v/>
      </c>
      <c r="K139" s="27" t="str">
        <f aca="false">IF($A139="","",SUMIFS(請求台帳!$F$5:$F$504,請求台帳!$C$5:$C$504,$A139,請求台帳!$B$5:$B$504,"&gt;="&amp;K$3,請求台帳!$B$5:$B$504,"&lt;"&amp;DATE(YEAR(K$3),MONTH(K$3)+1,1),請求台帳!$Q$5:$Q$504,"&lt;&gt;取消"))</f>
        <v/>
      </c>
      <c r="L139" s="27" t="str">
        <f aca="false">IF($A139="","",SUMIFS(入金明細!$E$5:$E$1004,入金明細!$G$5:$G$1004,$A139,入金明細!$B$5:$B$1004,"&gt;="&amp;K$3,入金明細!$B$5:$B$1004,"&lt;"&amp;DATE(YEAR(K$3),MONTH(K$3)+1,1)))</f>
        <v/>
      </c>
      <c r="M139" s="27" t="str">
        <f aca="false">IF($A139="","",SUMIFS(請求台帳!$F$5:$F$504,請求台帳!$C$5:$C$504,$A139,請求台帳!$B$5:$B$504,"&gt;="&amp;M$3,請求台帳!$B$5:$B$504,"&lt;"&amp;DATE(YEAR(M$3),MONTH(M$3)+1,1),請求台帳!$Q$5:$Q$504,"&lt;&gt;取消"))</f>
        <v/>
      </c>
      <c r="N139" s="27" t="str">
        <f aca="false">IF($A139="","",SUMIFS(入金明細!$E$5:$E$1004,入金明細!$G$5:$G$1004,$A139,入金明細!$B$5:$B$1004,"&gt;="&amp;M$3,入金明細!$B$5:$B$1004,"&lt;"&amp;DATE(YEAR(M$3),MONTH(M$3)+1,1)))</f>
        <v/>
      </c>
      <c r="O139" s="27" t="str">
        <f aca="false">IF($A139="","",SUMIFS(請求台帳!$F$5:$F$504,請求台帳!$C$5:$C$504,$A139,請求台帳!$B$5:$B$504,"&gt;="&amp;O$3,請求台帳!$B$5:$B$504,"&lt;"&amp;DATE(YEAR(O$3),MONTH(O$3)+1,1),請求台帳!$Q$5:$Q$504,"&lt;&gt;取消"))</f>
        <v/>
      </c>
      <c r="P139" s="27" t="str">
        <f aca="false">IF($A139="","",SUMIFS(入金明細!$E$5:$E$1004,入金明細!$G$5:$G$1004,$A139,入金明細!$B$5:$B$1004,"&gt;="&amp;O$3,入金明細!$B$5:$B$1004,"&lt;"&amp;DATE(YEAR(O$3),MONTH(O$3)+1,1)))</f>
        <v/>
      </c>
      <c r="Q139" s="27" t="str">
        <f aca="false">IF($A139="","",SUMIFS(請求台帳!$F$5:$F$504,請求台帳!$C$5:$C$504,$A139,請求台帳!$B$5:$B$504,"&gt;="&amp;Q$3,請求台帳!$B$5:$B$504,"&lt;"&amp;DATE(YEAR(Q$3),MONTH(Q$3)+1,1),請求台帳!$Q$5:$Q$504,"&lt;&gt;取消"))</f>
        <v/>
      </c>
      <c r="R139" s="27" t="str">
        <f aca="false">IF($A139="","",SUMIFS(入金明細!$E$5:$E$1004,入金明細!$G$5:$G$1004,$A139,入金明細!$B$5:$B$1004,"&gt;="&amp;Q$3,入金明細!$B$5:$B$1004,"&lt;"&amp;DATE(YEAR(Q$3),MONTH(Q$3)+1,1)))</f>
        <v/>
      </c>
      <c r="S139" s="27" t="str">
        <f aca="false">IF($A139="","",SUMIFS(請求台帳!$F$5:$F$504,請求台帳!$C$5:$C$504,$A139,請求台帳!$B$5:$B$504,"&gt;="&amp;S$3,請求台帳!$B$5:$B$504,"&lt;"&amp;DATE(YEAR(S$3),MONTH(S$3)+1,1),請求台帳!$Q$5:$Q$504,"&lt;&gt;取消"))</f>
        <v/>
      </c>
      <c r="T139" s="27" t="str">
        <f aca="false">IF($A139="","",SUMIFS(入金明細!$E$5:$E$1004,入金明細!$G$5:$G$1004,$A139,入金明細!$B$5:$B$1004,"&gt;="&amp;S$3,入金明細!$B$5:$B$1004,"&lt;"&amp;DATE(YEAR(S$3),MONTH(S$3)+1,1)))</f>
        <v/>
      </c>
      <c r="U139" s="27" t="str">
        <f aca="false">IF($A139="","",SUMIFS(請求台帳!$F$5:$F$504,請求台帳!$C$5:$C$504,$A139,請求台帳!$B$5:$B$504,"&gt;="&amp;U$3,請求台帳!$B$5:$B$504,"&lt;"&amp;DATE(YEAR(U$3),MONTH(U$3)+1,1),請求台帳!$Q$5:$Q$504,"&lt;&gt;取消"))</f>
        <v/>
      </c>
      <c r="V139" s="27" t="str">
        <f aca="false">IF($A139="","",SUMIFS(入金明細!$E$5:$E$1004,入金明細!$G$5:$G$1004,$A139,入金明細!$B$5:$B$1004,"&gt;="&amp;U$3,入金明細!$B$5:$B$1004,"&lt;"&amp;DATE(YEAR(U$3),MONTH(U$3)+1,1)))</f>
        <v/>
      </c>
      <c r="W139" s="27" t="str">
        <f aca="false">IF($A139="","",SUMIFS(請求台帳!$F$5:$F$504,請求台帳!$C$5:$C$504,$A139,請求台帳!$B$5:$B$504,"&gt;="&amp;W$3,請求台帳!$B$5:$B$504,"&lt;"&amp;DATE(YEAR(W$3),MONTH(W$3)+1,1),請求台帳!$Q$5:$Q$504,"&lt;&gt;取消"))</f>
        <v/>
      </c>
      <c r="X139" s="27" t="str">
        <f aca="false">IF($A139="","",SUMIFS(入金明細!$E$5:$E$1004,入金明細!$G$5:$G$1004,$A139,入金明細!$B$5:$B$1004,"&gt;="&amp;W$3,入金明細!$B$5:$B$1004,"&lt;"&amp;DATE(YEAR(W$3),MONTH(W$3)+1,1)))</f>
        <v/>
      </c>
      <c r="Y139" s="27" t="str">
        <f aca="false">IF($A139="","",SUMIFS(請求台帳!$F$5:$F$504,請求台帳!$C$5:$C$504,$A139,請求台帳!$B$5:$B$504,"&gt;="&amp;Y$3,請求台帳!$B$5:$B$504,"&lt;"&amp;DATE(YEAR(Y$3),MONTH(Y$3)+1,1),請求台帳!$Q$5:$Q$504,"&lt;&gt;取消"))</f>
        <v/>
      </c>
      <c r="Z139" s="27" t="str">
        <f aca="false">IF($A139="","",SUMIFS(入金明細!$E$5:$E$1004,入金明細!$G$5:$G$1004,$A139,入金明細!$B$5:$B$1004,"&gt;="&amp;Y$3,入金明細!$B$5:$B$1004,"&lt;"&amp;DATE(YEAR(Y$3),MONTH(Y$3)+1,1)))</f>
        <v/>
      </c>
      <c r="AA139" s="37" t="n">
        <f aca="false">SUM(C139,E139,G139,I139,K139,M139,O139,Q139,S139,U139,W139,Y139)</f>
        <v>0</v>
      </c>
      <c r="AB139" s="37" t="n">
        <f aca="false">SUM(D139,F139,H139,J139,L139,N139,P139,R139,T139,V139,X139,Z139)</f>
        <v>0</v>
      </c>
    </row>
    <row r="140" customFormat="false" ht="15" hidden="false" customHeight="false" outlineLevel="0" collapsed="false">
      <c r="A140" s="31" t="str">
        <f aca="false">IF(取引先マスタ!A140="","",取引先マスタ!A140)</f>
        <v/>
      </c>
      <c r="B140" s="31" t="str">
        <f aca="false">IF(A140="","",取引先マスタ!B140)</f>
        <v/>
      </c>
      <c r="C140" s="27" t="str">
        <f aca="false">IF($A140="","",SUMIFS(請求台帳!$F$5:$F$504,請求台帳!$C$5:$C$504,$A140,請求台帳!$B$5:$B$504,"&gt;="&amp;C$3,請求台帳!$B$5:$B$504,"&lt;"&amp;DATE(YEAR(C$3),MONTH(C$3)+1,1),請求台帳!$Q$5:$Q$504,"&lt;&gt;取消"))</f>
        <v/>
      </c>
      <c r="D140" s="27" t="str">
        <f aca="false">IF($A140="","",SUMIFS(入金明細!$E$5:$E$1004,入金明細!$G$5:$G$1004,$A140,入金明細!$B$5:$B$1004,"&gt;="&amp;C$3,入金明細!$B$5:$B$1004,"&lt;"&amp;DATE(YEAR(C$3),MONTH(C$3)+1,1)))</f>
        <v/>
      </c>
      <c r="E140" s="27" t="str">
        <f aca="false">IF($A140="","",SUMIFS(請求台帳!$F$5:$F$504,請求台帳!$C$5:$C$504,$A140,請求台帳!$B$5:$B$504,"&gt;="&amp;E$3,請求台帳!$B$5:$B$504,"&lt;"&amp;DATE(YEAR(E$3),MONTH(E$3)+1,1),請求台帳!$Q$5:$Q$504,"&lt;&gt;取消"))</f>
        <v/>
      </c>
      <c r="F140" s="27" t="str">
        <f aca="false">IF($A140="","",SUMIFS(入金明細!$E$5:$E$1004,入金明細!$G$5:$G$1004,$A140,入金明細!$B$5:$B$1004,"&gt;="&amp;E$3,入金明細!$B$5:$B$1004,"&lt;"&amp;DATE(YEAR(E$3),MONTH(E$3)+1,1)))</f>
        <v/>
      </c>
      <c r="G140" s="27" t="str">
        <f aca="false">IF($A140="","",SUMIFS(請求台帳!$F$5:$F$504,請求台帳!$C$5:$C$504,$A140,請求台帳!$B$5:$B$504,"&gt;="&amp;G$3,請求台帳!$B$5:$B$504,"&lt;"&amp;DATE(YEAR(G$3),MONTH(G$3)+1,1),請求台帳!$Q$5:$Q$504,"&lt;&gt;取消"))</f>
        <v/>
      </c>
      <c r="H140" s="27" t="str">
        <f aca="false">IF($A140="","",SUMIFS(入金明細!$E$5:$E$1004,入金明細!$G$5:$G$1004,$A140,入金明細!$B$5:$B$1004,"&gt;="&amp;G$3,入金明細!$B$5:$B$1004,"&lt;"&amp;DATE(YEAR(G$3),MONTH(G$3)+1,1)))</f>
        <v/>
      </c>
      <c r="I140" s="27" t="str">
        <f aca="false">IF($A140="","",SUMIFS(請求台帳!$F$5:$F$504,請求台帳!$C$5:$C$504,$A140,請求台帳!$B$5:$B$504,"&gt;="&amp;I$3,請求台帳!$B$5:$B$504,"&lt;"&amp;DATE(YEAR(I$3),MONTH(I$3)+1,1),請求台帳!$Q$5:$Q$504,"&lt;&gt;取消"))</f>
        <v/>
      </c>
      <c r="J140" s="27" t="str">
        <f aca="false">IF($A140="","",SUMIFS(入金明細!$E$5:$E$1004,入金明細!$G$5:$G$1004,$A140,入金明細!$B$5:$B$1004,"&gt;="&amp;I$3,入金明細!$B$5:$B$1004,"&lt;"&amp;DATE(YEAR(I$3),MONTH(I$3)+1,1)))</f>
        <v/>
      </c>
      <c r="K140" s="27" t="str">
        <f aca="false">IF($A140="","",SUMIFS(請求台帳!$F$5:$F$504,請求台帳!$C$5:$C$504,$A140,請求台帳!$B$5:$B$504,"&gt;="&amp;K$3,請求台帳!$B$5:$B$504,"&lt;"&amp;DATE(YEAR(K$3),MONTH(K$3)+1,1),請求台帳!$Q$5:$Q$504,"&lt;&gt;取消"))</f>
        <v/>
      </c>
      <c r="L140" s="27" t="str">
        <f aca="false">IF($A140="","",SUMIFS(入金明細!$E$5:$E$1004,入金明細!$G$5:$G$1004,$A140,入金明細!$B$5:$B$1004,"&gt;="&amp;K$3,入金明細!$B$5:$B$1004,"&lt;"&amp;DATE(YEAR(K$3),MONTH(K$3)+1,1)))</f>
        <v/>
      </c>
      <c r="M140" s="27" t="str">
        <f aca="false">IF($A140="","",SUMIFS(請求台帳!$F$5:$F$504,請求台帳!$C$5:$C$504,$A140,請求台帳!$B$5:$B$504,"&gt;="&amp;M$3,請求台帳!$B$5:$B$504,"&lt;"&amp;DATE(YEAR(M$3),MONTH(M$3)+1,1),請求台帳!$Q$5:$Q$504,"&lt;&gt;取消"))</f>
        <v/>
      </c>
      <c r="N140" s="27" t="str">
        <f aca="false">IF($A140="","",SUMIFS(入金明細!$E$5:$E$1004,入金明細!$G$5:$G$1004,$A140,入金明細!$B$5:$B$1004,"&gt;="&amp;M$3,入金明細!$B$5:$B$1004,"&lt;"&amp;DATE(YEAR(M$3),MONTH(M$3)+1,1)))</f>
        <v/>
      </c>
      <c r="O140" s="27" t="str">
        <f aca="false">IF($A140="","",SUMIFS(請求台帳!$F$5:$F$504,請求台帳!$C$5:$C$504,$A140,請求台帳!$B$5:$B$504,"&gt;="&amp;O$3,請求台帳!$B$5:$B$504,"&lt;"&amp;DATE(YEAR(O$3),MONTH(O$3)+1,1),請求台帳!$Q$5:$Q$504,"&lt;&gt;取消"))</f>
        <v/>
      </c>
      <c r="P140" s="27" t="str">
        <f aca="false">IF($A140="","",SUMIFS(入金明細!$E$5:$E$1004,入金明細!$G$5:$G$1004,$A140,入金明細!$B$5:$B$1004,"&gt;="&amp;O$3,入金明細!$B$5:$B$1004,"&lt;"&amp;DATE(YEAR(O$3),MONTH(O$3)+1,1)))</f>
        <v/>
      </c>
      <c r="Q140" s="27" t="str">
        <f aca="false">IF($A140="","",SUMIFS(請求台帳!$F$5:$F$504,請求台帳!$C$5:$C$504,$A140,請求台帳!$B$5:$B$504,"&gt;="&amp;Q$3,請求台帳!$B$5:$B$504,"&lt;"&amp;DATE(YEAR(Q$3),MONTH(Q$3)+1,1),請求台帳!$Q$5:$Q$504,"&lt;&gt;取消"))</f>
        <v/>
      </c>
      <c r="R140" s="27" t="str">
        <f aca="false">IF($A140="","",SUMIFS(入金明細!$E$5:$E$1004,入金明細!$G$5:$G$1004,$A140,入金明細!$B$5:$B$1004,"&gt;="&amp;Q$3,入金明細!$B$5:$B$1004,"&lt;"&amp;DATE(YEAR(Q$3),MONTH(Q$3)+1,1)))</f>
        <v/>
      </c>
      <c r="S140" s="27" t="str">
        <f aca="false">IF($A140="","",SUMIFS(請求台帳!$F$5:$F$504,請求台帳!$C$5:$C$504,$A140,請求台帳!$B$5:$B$504,"&gt;="&amp;S$3,請求台帳!$B$5:$B$504,"&lt;"&amp;DATE(YEAR(S$3),MONTH(S$3)+1,1),請求台帳!$Q$5:$Q$504,"&lt;&gt;取消"))</f>
        <v/>
      </c>
      <c r="T140" s="27" t="str">
        <f aca="false">IF($A140="","",SUMIFS(入金明細!$E$5:$E$1004,入金明細!$G$5:$G$1004,$A140,入金明細!$B$5:$B$1004,"&gt;="&amp;S$3,入金明細!$B$5:$B$1004,"&lt;"&amp;DATE(YEAR(S$3),MONTH(S$3)+1,1)))</f>
        <v/>
      </c>
      <c r="U140" s="27" t="str">
        <f aca="false">IF($A140="","",SUMIFS(請求台帳!$F$5:$F$504,請求台帳!$C$5:$C$504,$A140,請求台帳!$B$5:$B$504,"&gt;="&amp;U$3,請求台帳!$B$5:$B$504,"&lt;"&amp;DATE(YEAR(U$3),MONTH(U$3)+1,1),請求台帳!$Q$5:$Q$504,"&lt;&gt;取消"))</f>
        <v/>
      </c>
      <c r="V140" s="27" t="str">
        <f aca="false">IF($A140="","",SUMIFS(入金明細!$E$5:$E$1004,入金明細!$G$5:$G$1004,$A140,入金明細!$B$5:$B$1004,"&gt;="&amp;U$3,入金明細!$B$5:$B$1004,"&lt;"&amp;DATE(YEAR(U$3),MONTH(U$3)+1,1)))</f>
        <v/>
      </c>
      <c r="W140" s="27" t="str">
        <f aca="false">IF($A140="","",SUMIFS(請求台帳!$F$5:$F$504,請求台帳!$C$5:$C$504,$A140,請求台帳!$B$5:$B$504,"&gt;="&amp;W$3,請求台帳!$B$5:$B$504,"&lt;"&amp;DATE(YEAR(W$3),MONTH(W$3)+1,1),請求台帳!$Q$5:$Q$504,"&lt;&gt;取消"))</f>
        <v/>
      </c>
      <c r="X140" s="27" t="str">
        <f aca="false">IF($A140="","",SUMIFS(入金明細!$E$5:$E$1004,入金明細!$G$5:$G$1004,$A140,入金明細!$B$5:$B$1004,"&gt;="&amp;W$3,入金明細!$B$5:$B$1004,"&lt;"&amp;DATE(YEAR(W$3),MONTH(W$3)+1,1)))</f>
        <v/>
      </c>
      <c r="Y140" s="27" t="str">
        <f aca="false">IF($A140="","",SUMIFS(請求台帳!$F$5:$F$504,請求台帳!$C$5:$C$504,$A140,請求台帳!$B$5:$B$504,"&gt;="&amp;Y$3,請求台帳!$B$5:$B$504,"&lt;"&amp;DATE(YEAR(Y$3),MONTH(Y$3)+1,1),請求台帳!$Q$5:$Q$504,"&lt;&gt;取消"))</f>
        <v/>
      </c>
      <c r="Z140" s="27" t="str">
        <f aca="false">IF($A140="","",SUMIFS(入金明細!$E$5:$E$1004,入金明細!$G$5:$G$1004,$A140,入金明細!$B$5:$B$1004,"&gt;="&amp;Y$3,入金明細!$B$5:$B$1004,"&lt;"&amp;DATE(YEAR(Y$3),MONTH(Y$3)+1,1)))</f>
        <v/>
      </c>
      <c r="AA140" s="37" t="n">
        <f aca="false">SUM(C140,E140,G140,I140,K140,M140,O140,Q140,S140,U140,W140,Y140)</f>
        <v>0</v>
      </c>
      <c r="AB140" s="37" t="n">
        <f aca="false">SUM(D140,F140,H140,J140,L140,N140,P140,R140,T140,V140,X140,Z140)</f>
        <v>0</v>
      </c>
    </row>
    <row r="141" customFormat="false" ht="15" hidden="false" customHeight="false" outlineLevel="0" collapsed="false">
      <c r="A141" s="31" t="str">
        <f aca="false">IF(取引先マスタ!A141="","",取引先マスタ!A141)</f>
        <v/>
      </c>
      <c r="B141" s="31" t="str">
        <f aca="false">IF(A141="","",取引先マスタ!B141)</f>
        <v/>
      </c>
      <c r="C141" s="27" t="str">
        <f aca="false">IF($A141="","",SUMIFS(請求台帳!$F$5:$F$504,請求台帳!$C$5:$C$504,$A141,請求台帳!$B$5:$B$504,"&gt;="&amp;C$3,請求台帳!$B$5:$B$504,"&lt;"&amp;DATE(YEAR(C$3),MONTH(C$3)+1,1),請求台帳!$Q$5:$Q$504,"&lt;&gt;取消"))</f>
        <v/>
      </c>
      <c r="D141" s="27" t="str">
        <f aca="false">IF($A141="","",SUMIFS(入金明細!$E$5:$E$1004,入金明細!$G$5:$G$1004,$A141,入金明細!$B$5:$B$1004,"&gt;="&amp;C$3,入金明細!$B$5:$B$1004,"&lt;"&amp;DATE(YEAR(C$3),MONTH(C$3)+1,1)))</f>
        <v/>
      </c>
      <c r="E141" s="27" t="str">
        <f aca="false">IF($A141="","",SUMIFS(請求台帳!$F$5:$F$504,請求台帳!$C$5:$C$504,$A141,請求台帳!$B$5:$B$504,"&gt;="&amp;E$3,請求台帳!$B$5:$B$504,"&lt;"&amp;DATE(YEAR(E$3),MONTH(E$3)+1,1),請求台帳!$Q$5:$Q$504,"&lt;&gt;取消"))</f>
        <v/>
      </c>
      <c r="F141" s="27" t="str">
        <f aca="false">IF($A141="","",SUMIFS(入金明細!$E$5:$E$1004,入金明細!$G$5:$G$1004,$A141,入金明細!$B$5:$B$1004,"&gt;="&amp;E$3,入金明細!$B$5:$B$1004,"&lt;"&amp;DATE(YEAR(E$3),MONTH(E$3)+1,1)))</f>
        <v/>
      </c>
      <c r="G141" s="27" t="str">
        <f aca="false">IF($A141="","",SUMIFS(請求台帳!$F$5:$F$504,請求台帳!$C$5:$C$504,$A141,請求台帳!$B$5:$B$504,"&gt;="&amp;G$3,請求台帳!$B$5:$B$504,"&lt;"&amp;DATE(YEAR(G$3),MONTH(G$3)+1,1),請求台帳!$Q$5:$Q$504,"&lt;&gt;取消"))</f>
        <v/>
      </c>
      <c r="H141" s="27" t="str">
        <f aca="false">IF($A141="","",SUMIFS(入金明細!$E$5:$E$1004,入金明細!$G$5:$G$1004,$A141,入金明細!$B$5:$B$1004,"&gt;="&amp;G$3,入金明細!$B$5:$B$1004,"&lt;"&amp;DATE(YEAR(G$3),MONTH(G$3)+1,1)))</f>
        <v/>
      </c>
      <c r="I141" s="27" t="str">
        <f aca="false">IF($A141="","",SUMIFS(請求台帳!$F$5:$F$504,請求台帳!$C$5:$C$504,$A141,請求台帳!$B$5:$B$504,"&gt;="&amp;I$3,請求台帳!$B$5:$B$504,"&lt;"&amp;DATE(YEAR(I$3),MONTH(I$3)+1,1),請求台帳!$Q$5:$Q$504,"&lt;&gt;取消"))</f>
        <v/>
      </c>
      <c r="J141" s="27" t="str">
        <f aca="false">IF($A141="","",SUMIFS(入金明細!$E$5:$E$1004,入金明細!$G$5:$G$1004,$A141,入金明細!$B$5:$B$1004,"&gt;="&amp;I$3,入金明細!$B$5:$B$1004,"&lt;"&amp;DATE(YEAR(I$3),MONTH(I$3)+1,1)))</f>
        <v/>
      </c>
      <c r="K141" s="27" t="str">
        <f aca="false">IF($A141="","",SUMIFS(請求台帳!$F$5:$F$504,請求台帳!$C$5:$C$504,$A141,請求台帳!$B$5:$B$504,"&gt;="&amp;K$3,請求台帳!$B$5:$B$504,"&lt;"&amp;DATE(YEAR(K$3),MONTH(K$3)+1,1),請求台帳!$Q$5:$Q$504,"&lt;&gt;取消"))</f>
        <v/>
      </c>
      <c r="L141" s="27" t="str">
        <f aca="false">IF($A141="","",SUMIFS(入金明細!$E$5:$E$1004,入金明細!$G$5:$G$1004,$A141,入金明細!$B$5:$B$1004,"&gt;="&amp;K$3,入金明細!$B$5:$B$1004,"&lt;"&amp;DATE(YEAR(K$3),MONTH(K$3)+1,1)))</f>
        <v/>
      </c>
      <c r="M141" s="27" t="str">
        <f aca="false">IF($A141="","",SUMIFS(請求台帳!$F$5:$F$504,請求台帳!$C$5:$C$504,$A141,請求台帳!$B$5:$B$504,"&gt;="&amp;M$3,請求台帳!$B$5:$B$504,"&lt;"&amp;DATE(YEAR(M$3),MONTH(M$3)+1,1),請求台帳!$Q$5:$Q$504,"&lt;&gt;取消"))</f>
        <v/>
      </c>
      <c r="N141" s="27" t="str">
        <f aca="false">IF($A141="","",SUMIFS(入金明細!$E$5:$E$1004,入金明細!$G$5:$G$1004,$A141,入金明細!$B$5:$B$1004,"&gt;="&amp;M$3,入金明細!$B$5:$B$1004,"&lt;"&amp;DATE(YEAR(M$3),MONTH(M$3)+1,1)))</f>
        <v/>
      </c>
      <c r="O141" s="27" t="str">
        <f aca="false">IF($A141="","",SUMIFS(請求台帳!$F$5:$F$504,請求台帳!$C$5:$C$504,$A141,請求台帳!$B$5:$B$504,"&gt;="&amp;O$3,請求台帳!$B$5:$B$504,"&lt;"&amp;DATE(YEAR(O$3),MONTH(O$3)+1,1),請求台帳!$Q$5:$Q$504,"&lt;&gt;取消"))</f>
        <v/>
      </c>
      <c r="P141" s="27" t="str">
        <f aca="false">IF($A141="","",SUMIFS(入金明細!$E$5:$E$1004,入金明細!$G$5:$G$1004,$A141,入金明細!$B$5:$B$1004,"&gt;="&amp;O$3,入金明細!$B$5:$B$1004,"&lt;"&amp;DATE(YEAR(O$3),MONTH(O$3)+1,1)))</f>
        <v/>
      </c>
      <c r="Q141" s="27" t="str">
        <f aca="false">IF($A141="","",SUMIFS(請求台帳!$F$5:$F$504,請求台帳!$C$5:$C$504,$A141,請求台帳!$B$5:$B$504,"&gt;="&amp;Q$3,請求台帳!$B$5:$B$504,"&lt;"&amp;DATE(YEAR(Q$3),MONTH(Q$3)+1,1),請求台帳!$Q$5:$Q$504,"&lt;&gt;取消"))</f>
        <v/>
      </c>
      <c r="R141" s="27" t="str">
        <f aca="false">IF($A141="","",SUMIFS(入金明細!$E$5:$E$1004,入金明細!$G$5:$G$1004,$A141,入金明細!$B$5:$B$1004,"&gt;="&amp;Q$3,入金明細!$B$5:$B$1004,"&lt;"&amp;DATE(YEAR(Q$3),MONTH(Q$3)+1,1)))</f>
        <v/>
      </c>
      <c r="S141" s="27" t="str">
        <f aca="false">IF($A141="","",SUMIFS(請求台帳!$F$5:$F$504,請求台帳!$C$5:$C$504,$A141,請求台帳!$B$5:$B$504,"&gt;="&amp;S$3,請求台帳!$B$5:$B$504,"&lt;"&amp;DATE(YEAR(S$3),MONTH(S$3)+1,1),請求台帳!$Q$5:$Q$504,"&lt;&gt;取消"))</f>
        <v/>
      </c>
      <c r="T141" s="27" t="str">
        <f aca="false">IF($A141="","",SUMIFS(入金明細!$E$5:$E$1004,入金明細!$G$5:$G$1004,$A141,入金明細!$B$5:$B$1004,"&gt;="&amp;S$3,入金明細!$B$5:$B$1004,"&lt;"&amp;DATE(YEAR(S$3),MONTH(S$3)+1,1)))</f>
        <v/>
      </c>
      <c r="U141" s="27" t="str">
        <f aca="false">IF($A141="","",SUMIFS(請求台帳!$F$5:$F$504,請求台帳!$C$5:$C$504,$A141,請求台帳!$B$5:$B$504,"&gt;="&amp;U$3,請求台帳!$B$5:$B$504,"&lt;"&amp;DATE(YEAR(U$3),MONTH(U$3)+1,1),請求台帳!$Q$5:$Q$504,"&lt;&gt;取消"))</f>
        <v/>
      </c>
      <c r="V141" s="27" t="str">
        <f aca="false">IF($A141="","",SUMIFS(入金明細!$E$5:$E$1004,入金明細!$G$5:$G$1004,$A141,入金明細!$B$5:$B$1004,"&gt;="&amp;U$3,入金明細!$B$5:$B$1004,"&lt;"&amp;DATE(YEAR(U$3),MONTH(U$3)+1,1)))</f>
        <v/>
      </c>
      <c r="W141" s="27" t="str">
        <f aca="false">IF($A141="","",SUMIFS(請求台帳!$F$5:$F$504,請求台帳!$C$5:$C$504,$A141,請求台帳!$B$5:$B$504,"&gt;="&amp;W$3,請求台帳!$B$5:$B$504,"&lt;"&amp;DATE(YEAR(W$3),MONTH(W$3)+1,1),請求台帳!$Q$5:$Q$504,"&lt;&gt;取消"))</f>
        <v/>
      </c>
      <c r="X141" s="27" t="str">
        <f aca="false">IF($A141="","",SUMIFS(入金明細!$E$5:$E$1004,入金明細!$G$5:$G$1004,$A141,入金明細!$B$5:$B$1004,"&gt;="&amp;W$3,入金明細!$B$5:$B$1004,"&lt;"&amp;DATE(YEAR(W$3),MONTH(W$3)+1,1)))</f>
        <v/>
      </c>
      <c r="Y141" s="27" t="str">
        <f aca="false">IF($A141="","",SUMIFS(請求台帳!$F$5:$F$504,請求台帳!$C$5:$C$504,$A141,請求台帳!$B$5:$B$504,"&gt;="&amp;Y$3,請求台帳!$B$5:$B$504,"&lt;"&amp;DATE(YEAR(Y$3),MONTH(Y$3)+1,1),請求台帳!$Q$5:$Q$504,"&lt;&gt;取消"))</f>
        <v/>
      </c>
      <c r="Z141" s="27" t="str">
        <f aca="false">IF($A141="","",SUMIFS(入金明細!$E$5:$E$1004,入金明細!$G$5:$G$1004,$A141,入金明細!$B$5:$B$1004,"&gt;="&amp;Y$3,入金明細!$B$5:$B$1004,"&lt;"&amp;DATE(YEAR(Y$3),MONTH(Y$3)+1,1)))</f>
        <v/>
      </c>
      <c r="AA141" s="37" t="n">
        <f aca="false">SUM(C141,E141,G141,I141,K141,M141,O141,Q141,S141,U141,W141,Y141)</f>
        <v>0</v>
      </c>
      <c r="AB141" s="37" t="n">
        <f aca="false">SUM(D141,F141,H141,J141,L141,N141,P141,R141,T141,V141,X141,Z141)</f>
        <v>0</v>
      </c>
    </row>
    <row r="142" customFormat="false" ht="15" hidden="false" customHeight="false" outlineLevel="0" collapsed="false">
      <c r="A142" s="31" t="str">
        <f aca="false">IF(取引先マスタ!A142="","",取引先マスタ!A142)</f>
        <v/>
      </c>
      <c r="B142" s="31" t="str">
        <f aca="false">IF(A142="","",取引先マスタ!B142)</f>
        <v/>
      </c>
      <c r="C142" s="27" t="str">
        <f aca="false">IF($A142="","",SUMIFS(請求台帳!$F$5:$F$504,請求台帳!$C$5:$C$504,$A142,請求台帳!$B$5:$B$504,"&gt;="&amp;C$3,請求台帳!$B$5:$B$504,"&lt;"&amp;DATE(YEAR(C$3),MONTH(C$3)+1,1),請求台帳!$Q$5:$Q$504,"&lt;&gt;取消"))</f>
        <v/>
      </c>
      <c r="D142" s="27" t="str">
        <f aca="false">IF($A142="","",SUMIFS(入金明細!$E$5:$E$1004,入金明細!$G$5:$G$1004,$A142,入金明細!$B$5:$B$1004,"&gt;="&amp;C$3,入金明細!$B$5:$B$1004,"&lt;"&amp;DATE(YEAR(C$3),MONTH(C$3)+1,1)))</f>
        <v/>
      </c>
      <c r="E142" s="27" t="str">
        <f aca="false">IF($A142="","",SUMIFS(請求台帳!$F$5:$F$504,請求台帳!$C$5:$C$504,$A142,請求台帳!$B$5:$B$504,"&gt;="&amp;E$3,請求台帳!$B$5:$B$504,"&lt;"&amp;DATE(YEAR(E$3),MONTH(E$3)+1,1),請求台帳!$Q$5:$Q$504,"&lt;&gt;取消"))</f>
        <v/>
      </c>
      <c r="F142" s="27" t="str">
        <f aca="false">IF($A142="","",SUMIFS(入金明細!$E$5:$E$1004,入金明細!$G$5:$G$1004,$A142,入金明細!$B$5:$B$1004,"&gt;="&amp;E$3,入金明細!$B$5:$B$1004,"&lt;"&amp;DATE(YEAR(E$3),MONTH(E$3)+1,1)))</f>
        <v/>
      </c>
      <c r="G142" s="27" t="str">
        <f aca="false">IF($A142="","",SUMIFS(請求台帳!$F$5:$F$504,請求台帳!$C$5:$C$504,$A142,請求台帳!$B$5:$B$504,"&gt;="&amp;G$3,請求台帳!$B$5:$B$504,"&lt;"&amp;DATE(YEAR(G$3),MONTH(G$3)+1,1),請求台帳!$Q$5:$Q$504,"&lt;&gt;取消"))</f>
        <v/>
      </c>
      <c r="H142" s="27" t="str">
        <f aca="false">IF($A142="","",SUMIFS(入金明細!$E$5:$E$1004,入金明細!$G$5:$G$1004,$A142,入金明細!$B$5:$B$1004,"&gt;="&amp;G$3,入金明細!$B$5:$B$1004,"&lt;"&amp;DATE(YEAR(G$3),MONTH(G$3)+1,1)))</f>
        <v/>
      </c>
      <c r="I142" s="27" t="str">
        <f aca="false">IF($A142="","",SUMIFS(請求台帳!$F$5:$F$504,請求台帳!$C$5:$C$504,$A142,請求台帳!$B$5:$B$504,"&gt;="&amp;I$3,請求台帳!$B$5:$B$504,"&lt;"&amp;DATE(YEAR(I$3),MONTH(I$3)+1,1),請求台帳!$Q$5:$Q$504,"&lt;&gt;取消"))</f>
        <v/>
      </c>
      <c r="J142" s="27" t="str">
        <f aca="false">IF($A142="","",SUMIFS(入金明細!$E$5:$E$1004,入金明細!$G$5:$G$1004,$A142,入金明細!$B$5:$B$1004,"&gt;="&amp;I$3,入金明細!$B$5:$B$1004,"&lt;"&amp;DATE(YEAR(I$3),MONTH(I$3)+1,1)))</f>
        <v/>
      </c>
      <c r="K142" s="27" t="str">
        <f aca="false">IF($A142="","",SUMIFS(請求台帳!$F$5:$F$504,請求台帳!$C$5:$C$504,$A142,請求台帳!$B$5:$B$504,"&gt;="&amp;K$3,請求台帳!$B$5:$B$504,"&lt;"&amp;DATE(YEAR(K$3),MONTH(K$3)+1,1),請求台帳!$Q$5:$Q$504,"&lt;&gt;取消"))</f>
        <v/>
      </c>
      <c r="L142" s="27" t="str">
        <f aca="false">IF($A142="","",SUMIFS(入金明細!$E$5:$E$1004,入金明細!$G$5:$G$1004,$A142,入金明細!$B$5:$B$1004,"&gt;="&amp;K$3,入金明細!$B$5:$B$1004,"&lt;"&amp;DATE(YEAR(K$3),MONTH(K$3)+1,1)))</f>
        <v/>
      </c>
      <c r="M142" s="27" t="str">
        <f aca="false">IF($A142="","",SUMIFS(請求台帳!$F$5:$F$504,請求台帳!$C$5:$C$504,$A142,請求台帳!$B$5:$B$504,"&gt;="&amp;M$3,請求台帳!$B$5:$B$504,"&lt;"&amp;DATE(YEAR(M$3),MONTH(M$3)+1,1),請求台帳!$Q$5:$Q$504,"&lt;&gt;取消"))</f>
        <v/>
      </c>
      <c r="N142" s="27" t="str">
        <f aca="false">IF($A142="","",SUMIFS(入金明細!$E$5:$E$1004,入金明細!$G$5:$G$1004,$A142,入金明細!$B$5:$B$1004,"&gt;="&amp;M$3,入金明細!$B$5:$B$1004,"&lt;"&amp;DATE(YEAR(M$3),MONTH(M$3)+1,1)))</f>
        <v/>
      </c>
      <c r="O142" s="27" t="str">
        <f aca="false">IF($A142="","",SUMIFS(請求台帳!$F$5:$F$504,請求台帳!$C$5:$C$504,$A142,請求台帳!$B$5:$B$504,"&gt;="&amp;O$3,請求台帳!$B$5:$B$504,"&lt;"&amp;DATE(YEAR(O$3),MONTH(O$3)+1,1),請求台帳!$Q$5:$Q$504,"&lt;&gt;取消"))</f>
        <v/>
      </c>
      <c r="P142" s="27" t="str">
        <f aca="false">IF($A142="","",SUMIFS(入金明細!$E$5:$E$1004,入金明細!$G$5:$G$1004,$A142,入金明細!$B$5:$B$1004,"&gt;="&amp;O$3,入金明細!$B$5:$B$1004,"&lt;"&amp;DATE(YEAR(O$3),MONTH(O$3)+1,1)))</f>
        <v/>
      </c>
      <c r="Q142" s="27" t="str">
        <f aca="false">IF($A142="","",SUMIFS(請求台帳!$F$5:$F$504,請求台帳!$C$5:$C$504,$A142,請求台帳!$B$5:$B$504,"&gt;="&amp;Q$3,請求台帳!$B$5:$B$504,"&lt;"&amp;DATE(YEAR(Q$3),MONTH(Q$3)+1,1),請求台帳!$Q$5:$Q$504,"&lt;&gt;取消"))</f>
        <v/>
      </c>
      <c r="R142" s="27" t="str">
        <f aca="false">IF($A142="","",SUMIFS(入金明細!$E$5:$E$1004,入金明細!$G$5:$G$1004,$A142,入金明細!$B$5:$B$1004,"&gt;="&amp;Q$3,入金明細!$B$5:$B$1004,"&lt;"&amp;DATE(YEAR(Q$3),MONTH(Q$3)+1,1)))</f>
        <v/>
      </c>
      <c r="S142" s="27" t="str">
        <f aca="false">IF($A142="","",SUMIFS(請求台帳!$F$5:$F$504,請求台帳!$C$5:$C$504,$A142,請求台帳!$B$5:$B$504,"&gt;="&amp;S$3,請求台帳!$B$5:$B$504,"&lt;"&amp;DATE(YEAR(S$3),MONTH(S$3)+1,1),請求台帳!$Q$5:$Q$504,"&lt;&gt;取消"))</f>
        <v/>
      </c>
      <c r="T142" s="27" t="str">
        <f aca="false">IF($A142="","",SUMIFS(入金明細!$E$5:$E$1004,入金明細!$G$5:$G$1004,$A142,入金明細!$B$5:$B$1004,"&gt;="&amp;S$3,入金明細!$B$5:$B$1004,"&lt;"&amp;DATE(YEAR(S$3),MONTH(S$3)+1,1)))</f>
        <v/>
      </c>
      <c r="U142" s="27" t="str">
        <f aca="false">IF($A142="","",SUMIFS(請求台帳!$F$5:$F$504,請求台帳!$C$5:$C$504,$A142,請求台帳!$B$5:$B$504,"&gt;="&amp;U$3,請求台帳!$B$5:$B$504,"&lt;"&amp;DATE(YEAR(U$3),MONTH(U$3)+1,1),請求台帳!$Q$5:$Q$504,"&lt;&gt;取消"))</f>
        <v/>
      </c>
      <c r="V142" s="27" t="str">
        <f aca="false">IF($A142="","",SUMIFS(入金明細!$E$5:$E$1004,入金明細!$G$5:$G$1004,$A142,入金明細!$B$5:$B$1004,"&gt;="&amp;U$3,入金明細!$B$5:$B$1004,"&lt;"&amp;DATE(YEAR(U$3),MONTH(U$3)+1,1)))</f>
        <v/>
      </c>
      <c r="W142" s="27" t="str">
        <f aca="false">IF($A142="","",SUMIFS(請求台帳!$F$5:$F$504,請求台帳!$C$5:$C$504,$A142,請求台帳!$B$5:$B$504,"&gt;="&amp;W$3,請求台帳!$B$5:$B$504,"&lt;"&amp;DATE(YEAR(W$3),MONTH(W$3)+1,1),請求台帳!$Q$5:$Q$504,"&lt;&gt;取消"))</f>
        <v/>
      </c>
      <c r="X142" s="27" t="str">
        <f aca="false">IF($A142="","",SUMIFS(入金明細!$E$5:$E$1004,入金明細!$G$5:$G$1004,$A142,入金明細!$B$5:$B$1004,"&gt;="&amp;W$3,入金明細!$B$5:$B$1004,"&lt;"&amp;DATE(YEAR(W$3),MONTH(W$3)+1,1)))</f>
        <v/>
      </c>
      <c r="Y142" s="27" t="str">
        <f aca="false">IF($A142="","",SUMIFS(請求台帳!$F$5:$F$504,請求台帳!$C$5:$C$504,$A142,請求台帳!$B$5:$B$504,"&gt;="&amp;Y$3,請求台帳!$B$5:$B$504,"&lt;"&amp;DATE(YEAR(Y$3),MONTH(Y$3)+1,1),請求台帳!$Q$5:$Q$504,"&lt;&gt;取消"))</f>
        <v/>
      </c>
      <c r="Z142" s="27" t="str">
        <f aca="false">IF($A142="","",SUMIFS(入金明細!$E$5:$E$1004,入金明細!$G$5:$G$1004,$A142,入金明細!$B$5:$B$1004,"&gt;="&amp;Y$3,入金明細!$B$5:$B$1004,"&lt;"&amp;DATE(YEAR(Y$3),MONTH(Y$3)+1,1)))</f>
        <v/>
      </c>
      <c r="AA142" s="37" t="n">
        <f aca="false">SUM(C142,E142,G142,I142,K142,M142,O142,Q142,S142,U142,W142,Y142)</f>
        <v>0</v>
      </c>
      <c r="AB142" s="37" t="n">
        <f aca="false">SUM(D142,F142,H142,J142,L142,N142,P142,R142,T142,V142,X142,Z142)</f>
        <v>0</v>
      </c>
    </row>
    <row r="143" customFormat="false" ht="15" hidden="false" customHeight="false" outlineLevel="0" collapsed="false">
      <c r="A143" s="31" t="str">
        <f aca="false">IF(取引先マスタ!A143="","",取引先マスタ!A143)</f>
        <v/>
      </c>
      <c r="B143" s="31" t="str">
        <f aca="false">IF(A143="","",取引先マスタ!B143)</f>
        <v/>
      </c>
      <c r="C143" s="27" t="str">
        <f aca="false">IF($A143="","",SUMIFS(請求台帳!$F$5:$F$504,請求台帳!$C$5:$C$504,$A143,請求台帳!$B$5:$B$504,"&gt;="&amp;C$3,請求台帳!$B$5:$B$504,"&lt;"&amp;DATE(YEAR(C$3),MONTH(C$3)+1,1),請求台帳!$Q$5:$Q$504,"&lt;&gt;取消"))</f>
        <v/>
      </c>
      <c r="D143" s="27" t="str">
        <f aca="false">IF($A143="","",SUMIFS(入金明細!$E$5:$E$1004,入金明細!$G$5:$G$1004,$A143,入金明細!$B$5:$B$1004,"&gt;="&amp;C$3,入金明細!$B$5:$B$1004,"&lt;"&amp;DATE(YEAR(C$3),MONTH(C$3)+1,1)))</f>
        <v/>
      </c>
      <c r="E143" s="27" t="str">
        <f aca="false">IF($A143="","",SUMIFS(請求台帳!$F$5:$F$504,請求台帳!$C$5:$C$504,$A143,請求台帳!$B$5:$B$504,"&gt;="&amp;E$3,請求台帳!$B$5:$B$504,"&lt;"&amp;DATE(YEAR(E$3),MONTH(E$3)+1,1),請求台帳!$Q$5:$Q$504,"&lt;&gt;取消"))</f>
        <v/>
      </c>
      <c r="F143" s="27" t="str">
        <f aca="false">IF($A143="","",SUMIFS(入金明細!$E$5:$E$1004,入金明細!$G$5:$G$1004,$A143,入金明細!$B$5:$B$1004,"&gt;="&amp;E$3,入金明細!$B$5:$B$1004,"&lt;"&amp;DATE(YEAR(E$3),MONTH(E$3)+1,1)))</f>
        <v/>
      </c>
      <c r="G143" s="27" t="str">
        <f aca="false">IF($A143="","",SUMIFS(請求台帳!$F$5:$F$504,請求台帳!$C$5:$C$504,$A143,請求台帳!$B$5:$B$504,"&gt;="&amp;G$3,請求台帳!$B$5:$B$504,"&lt;"&amp;DATE(YEAR(G$3),MONTH(G$3)+1,1),請求台帳!$Q$5:$Q$504,"&lt;&gt;取消"))</f>
        <v/>
      </c>
      <c r="H143" s="27" t="str">
        <f aca="false">IF($A143="","",SUMIFS(入金明細!$E$5:$E$1004,入金明細!$G$5:$G$1004,$A143,入金明細!$B$5:$B$1004,"&gt;="&amp;G$3,入金明細!$B$5:$B$1004,"&lt;"&amp;DATE(YEAR(G$3),MONTH(G$3)+1,1)))</f>
        <v/>
      </c>
      <c r="I143" s="27" t="str">
        <f aca="false">IF($A143="","",SUMIFS(請求台帳!$F$5:$F$504,請求台帳!$C$5:$C$504,$A143,請求台帳!$B$5:$B$504,"&gt;="&amp;I$3,請求台帳!$B$5:$B$504,"&lt;"&amp;DATE(YEAR(I$3),MONTH(I$3)+1,1),請求台帳!$Q$5:$Q$504,"&lt;&gt;取消"))</f>
        <v/>
      </c>
      <c r="J143" s="27" t="str">
        <f aca="false">IF($A143="","",SUMIFS(入金明細!$E$5:$E$1004,入金明細!$G$5:$G$1004,$A143,入金明細!$B$5:$B$1004,"&gt;="&amp;I$3,入金明細!$B$5:$B$1004,"&lt;"&amp;DATE(YEAR(I$3),MONTH(I$3)+1,1)))</f>
        <v/>
      </c>
      <c r="K143" s="27" t="str">
        <f aca="false">IF($A143="","",SUMIFS(請求台帳!$F$5:$F$504,請求台帳!$C$5:$C$504,$A143,請求台帳!$B$5:$B$504,"&gt;="&amp;K$3,請求台帳!$B$5:$B$504,"&lt;"&amp;DATE(YEAR(K$3),MONTH(K$3)+1,1),請求台帳!$Q$5:$Q$504,"&lt;&gt;取消"))</f>
        <v/>
      </c>
      <c r="L143" s="27" t="str">
        <f aca="false">IF($A143="","",SUMIFS(入金明細!$E$5:$E$1004,入金明細!$G$5:$G$1004,$A143,入金明細!$B$5:$B$1004,"&gt;="&amp;K$3,入金明細!$B$5:$B$1004,"&lt;"&amp;DATE(YEAR(K$3),MONTH(K$3)+1,1)))</f>
        <v/>
      </c>
      <c r="M143" s="27" t="str">
        <f aca="false">IF($A143="","",SUMIFS(請求台帳!$F$5:$F$504,請求台帳!$C$5:$C$504,$A143,請求台帳!$B$5:$B$504,"&gt;="&amp;M$3,請求台帳!$B$5:$B$504,"&lt;"&amp;DATE(YEAR(M$3),MONTH(M$3)+1,1),請求台帳!$Q$5:$Q$504,"&lt;&gt;取消"))</f>
        <v/>
      </c>
      <c r="N143" s="27" t="str">
        <f aca="false">IF($A143="","",SUMIFS(入金明細!$E$5:$E$1004,入金明細!$G$5:$G$1004,$A143,入金明細!$B$5:$B$1004,"&gt;="&amp;M$3,入金明細!$B$5:$B$1004,"&lt;"&amp;DATE(YEAR(M$3),MONTH(M$3)+1,1)))</f>
        <v/>
      </c>
      <c r="O143" s="27" t="str">
        <f aca="false">IF($A143="","",SUMIFS(請求台帳!$F$5:$F$504,請求台帳!$C$5:$C$504,$A143,請求台帳!$B$5:$B$504,"&gt;="&amp;O$3,請求台帳!$B$5:$B$504,"&lt;"&amp;DATE(YEAR(O$3),MONTH(O$3)+1,1),請求台帳!$Q$5:$Q$504,"&lt;&gt;取消"))</f>
        <v/>
      </c>
      <c r="P143" s="27" t="str">
        <f aca="false">IF($A143="","",SUMIFS(入金明細!$E$5:$E$1004,入金明細!$G$5:$G$1004,$A143,入金明細!$B$5:$B$1004,"&gt;="&amp;O$3,入金明細!$B$5:$B$1004,"&lt;"&amp;DATE(YEAR(O$3),MONTH(O$3)+1,1)))</f>
        <v/>
      </c>
      <c r="Q143" s="27" t="str">
        <f aca="false">IF($A143="","",SUMIFS(請求台帳!$F$5:$F$504,請求台帳!$C$5:$C$504,$A143,請求台帳!$B$5:$B$504,"&gt;="&amp;Q$3,請求台帳!$B$5:$B$504,"&lt;"&amp;DATE(YEAR(Q$3),MONTH(Q$3)+1,1),請求台帳!$Q$5:$Q$504,"&lt;&gt;取消"))</f>
        <v/>
      </c>
      <c r="R143" s="27" t="str">
        <f aca="false">IF($A143="","",SUMIFS(入金明細!$E$5:$E$1004,入金明細!$G$5:$G$1004,$A143,入金明細!$B$5:$B$1004,"&gt;="&amp;Q$3,入金明細!$B$5:$B$1004,"&lt;"&amp;DATE(YEAR(Q$3),MONTH(Q$3)+1,1)))</f>
        <v/>
      </c>
      <c r="S143" s="27" t="str">
        <f aca="false">IF($A143="","",SUMIFS(請求台帳!$F$5:$F$504,請求台帳!$C$5:$C$504,$A143,請求台帳!$B$5:$B$504,"&gt;="&amp;S$3,請求台帳!$B$5:$B$504,"&lt;"&amp;DATE(YEAR(S$3),MONTH(S$3)+1,1),請求台帳!$Q$5:$Q$504,"&lt;&gt;取消"))</f>
        <v/>
      </c>
      <c r="T143" s="27" t="str">
        <f aca="false">IF($A143="","",SUMIFS(入金明細!$E$5:$E$1004,入金明細!$G$5:$G$1004,$A143,入金明細!$B$5:$B$1004,"&gt;="&amp;S$3,入金明細!$B$5:$B$1004,"&lt;"&amp;DATE(YEAR(S$3),MONTH(S$3)+1,1)))</f>
        <v/>
      </c>
      <c r="U143" s="27" t="str">
        <f aca="false">IF($A143="","",SUMIFS(請求台帳!$F$5:$F$504,請求台帳!$C$5:$C$504,$A143,請求台帳!$B$5:$B$504,"&gt;="&amp;U$3,請求台帳!$B$5:$B$504,"&lt;"&amp;DATE(YEAR(U$3),MONTH(U$3)+1,1),請求台帳!$Q$5:$Q$504,"&lt;&gt;取消"))</f>
        <v/>
      </c>
      <c r="V143" s="27" t="str">
        <f aca="false">IF($A143="","",SUMIFS(入金明細!$E$5:$E$1004,入金明細!$G$5:$G$1004,$A143,入金明細!$B$5:$B$1004,"&gt;="&amp;U$3,入金明細!$B$5:$B$1004,"&lt;"&amp;DATE(YEAR(U$3),MONTH(U$3)+1,1)))</f>
        <v/>
      </c>
      <c r="W143" s="27" t="str">
        <f aca="false">IF($A143="","",SUMIFS(請求台帳!$F$5:$F$504,請求台帳!$C$5:$C$504,$A143,請求台帳!$B$5:$B$504,"&gt;="&amp;W$3,請求台帳!$B$5:$B$504,"&lt;"&amp;DATE(YEAR(W$3),MONTH(W$3)+1,1),請求台帳!$Q$5:$Q$504,"&lt;&gt;取消"))</f>
        <v/>
      </c>
      <c r="X143" s="27" t="str">
        <f aca="false">IF($A143="","",SUMIFS(入金明細!$E$5:$E$1004,入金明細!$G$5:$G$1004,$A143,入金明細!$B$5:$B$1004,"&gt;="&amp;W$3,入金明細!$B$5:$B$1004,"&lt;"&amp;DATE(YEAR(W$3),MONTH(W$3)+1,1)))</f>
        <v/>
      </c>
      <c r="Y143" s="27" t="str">
        <f aca="false">IF($A143="","",SUMIFS(請求台帳!$F$5:$F$504,請求台帳!$C$5:$C$504,$A143,請求台帳!$B$5:$B$504,"&gt;="&amp;Y$3,請求台帳!$B$5:$B$504,"&lt;"&amp;DATE(YEAR(Y$3),MONTH(Y$3)+1,1),請求台帳!$Q$5:$Q$504,"&lt;&gt;取消"))</f>
        <v/>
      </c>
      <c r="Z143" s="27" t="str">
        <f aca="false">IF($A143="","",SUMIFS(入金明細!$E$5:$E$1004,入金明細!$G$5:$G$1004,$A143,入金明細!$B$5:$B$1004,"&gt;="&amp;Y$3,入金明細!$B$5:$B$1004,"&lt;"&amp;DATE(YEAR(Y$3),MONTH(Y$3)+1,1)))</f>
        <v/>
      </c>
      <c r="AA143" s="37" t="n">
        <f aca="false">SUM(C143,E143,G143,I143,K143,M143,O143,Q143,S143,U143,W143,Y143)</f>
        <v>0</v>
      </c>
      <c r="AB143" s="37" t="n">
        <f aca="false">SUM(D143,F143,H143,J143,L143,N143,P143,R143,T143,V143,X143,Z143)</f>
        <v>0</v>
      </c>
    </row>
    <row r="144" customFormat="false" ht="15" hidden="false" customHeight="false" outlineLevel="0" collapsed="false">
      <c r="A144" s="31" t="str">
        <f aca="false">IF(取引先マスタ!A144="","",取引先マスタ!A144)</f>
        <v/>
      </c>
      <c r="B144" s="31" t="str">
        <f aca="false">IF(A144="","",取引先マスタ!B144)</f>
        <v/>
      </c>
      <c r="C144" s="27" t="str">
        <f aca="false">IF($A144="","",SUMIFS(請求台帳!$F$5:$F$504,請求台帳!$C$5:$C$504,$A144,請求台帳!$B$5:$B$504,"&gt;="&amp;C$3,請求台帳!$B$5:$B$504,"&lt;"&amp;DATE(YEAR(C$3),MONTH(C$3)+1,1),請求台帳!$Q$5:$Q$504,"&lt;&gt;取消"))</f>
        <v/>
      </c>
      <c r="D144" s="27" t="str">
        <f aca="false">IF($A144="","",SUMIFS(入金明細!$E$5:$E$1004,入金明細!$G$5:$G$1004,$A144,入金明細!$B$5:$B$1004,"&gt;="&amp;C$3,入金明細!$B$5:$B$1004,"&lt;"&amp;DATE(YEAR(C$3),MONTH(C$3)+1,1)))</f>
        <v/>
      </c>
      <c r="E144" s="27" t="str">
        <f aca="false">IF($A144="","",SUMIFS(請求台帳!$F$5:$F$504,請求台帳!$C$5:$C$504,$A144,請求台帳!$B$5:$B$504,"&gt;="&amp;E$3,請求台帳!$B$5:$B$504,"&lt;"&amp;DATE(YEAR(E$3),MONTH(E$3)+1,1),請求台帳!$Q$5:$Q$504,"&lt;&gt;取消"))</f>
        <v/>
      </c>
      <c r="F144" s="27" t="str">
        <f aca="false">IF($A144="","",SUMIFS(入金明細!$E$5:$E$1004,入金明細!$G$5:$G$1004,$A144,入金明細!$B$5:$B$1004,"&gt;="&amp;E$3,入金明細!$B$5:$B$1004,"&lt;"&amp;DATE(YEAR(E$3),MONTH(E$3)+1,1)))</f>
        <v/>
      </c>
      <c r="G144" s="27" t="str">
        <f aca="false">IF($A144="","",SUMIFS(請求台帳!$F$5:$F$504,請求台帳!$C$5:$C$504,$A144,請求台帳!$B$5:$B$504,"&gt;="&amp;G$3,請求台帳!$B$5:$B$504,"&lt;"&amp;DATE(YEAR(G$3),MONTH(G$3)+1,1),請求台帳!$Q$5:$Q$504,"&lt;&gt;取消"))</f>
        <v/>
      </c>
      <c r="H144" s="27" t="str">
        <f aca="false">IF($A144="","",SUMIFS(入金明細!$E$5:$E$1004,入金明細!$G$5:$G$1004,$A144,入金明細!$B$5:$B$1004,"&gt;="&amp;G$3,入金明細!$B$5:$B$1004,"&lt;"&amp;DATE(YEAR(G$3),MONTH(G$3)+1,1)))</f>
        <v/>
      </c>
      <c r="I144" s="27" t="str">
        <f aca="false">IF($A144="","",SUMIFS(請求台帳!$F$5:$F$504,請求台帳!$C$5:$C$504,$A144,請求台帳!$B$5:$B$504,"&gt;="&amp;I$3,請求台帳!$B$5:$B$504,"&lt;"&amp;DATE(YEAR(I$3),MONTH(I$3)+1,1),請求台帳!$Q$5:$Q$504,"&lt;&gt;取消"))</f>
        <v/>
      </c>
      <c r="J144" s="27" t="str">
        <f aca="false">IF($A144="","",SUMIFS(入金明細!$E$5:$E$1004,入金明細!$G$5:$G$1004,$A144,入金明細!$B$5:$B$1004,"&gt;="&amp;I$3,入金明細!$B$5:$B$1004,"&lt;"&amp;DATE(YEAR(I$3),MONTH(I$3)+1,1)))</f>
        <v/>
      </c>
      <c r="K144" s="27" t="str">
        <f aca="false">IF($A144="","",SUMIFS(請求台帳!$F$5:$F$504,請求台帳!$C$5:$C$504,$A144,請求台帳!$B$5:$B$504,"&gt;="&amp;K$3,請求台帳!$B$5:$B$504,"&lt;"&amp;DATE(YEAR(K$3),MONTH(K$3)+1,1),請求台帳!$Q$5:$Q$504,"&lt;&gt;取消"))</f>
        <v/>
      </c>
      <c r="L144" s="27" t="str">
        <f aca="false">IF($A144="","",SUMIFS(入金明細!$E$5:$E$1004,入金明細!$G$5:$G$1004,$A144,入金明細!$B$5:$B$1004,"&gt;="&amp;K$3,入金明細!$B$5:$B$1004,"&lt;"&amp;DATE(YEAR(K$3),MONTH(K$3)+1,1)))</f>
        <v/>
      </c>
      <c r="M144" s="27" t="str">
        <f aca="false">IF($A144="","",SUMIFS(請求台帳!$F$5:$F$504,請求台帳!$C$5:$C$504,$A144,請求台帳!$B$5:$B$504,"&gt;="&amp;M$3,請求台帳!$B$5:$B$504,"&lt;"&amp;DATE(YEAR(M$3),MONTH(M$3)+1,1),請求台帳!$Q$5:$Q$504,"&lt;&gt;取消"))</f>
        <v/>
      </c>
      <c r="N144" s="27" t="str">
        <f aca="false">IF($A144="","",SUMIFS(入金明細!$E$5:$E$1004,入金明細!$G$5:$G$1004,$A144,入金明細!$B$5:$B$1004,"&gt;="&amp;M$3,入金明細!$B$5:$B$1004,"&lt;"&amp;DATE(YEAR(M$3),MONTH(M$3)+1,1)))</f>
        <v/>
      </c>
      <c r="O144" s="27" t="str">
        <f aca="false">IF($A144="","",SUMIFS(請求台帳!$F$5:$F$504,請求台帳!$C$5:$C$504,$A144,請求台帳!$B$5:$B$504,"&gt;="&amp;O$3,請求台帳!$B$5:$B$504,"&lt;"&amp;DATE(YEAR(O$3),MONTH(O$3)+1,1),請求台帳!$Q$5:$Q$504,"&lt;&gt;取消"))</f>
        <v/>
      </c>
      <c r="P144" s="27" t="str">
        <f aca="false">IF($A144="","",SUMIFS(入金明細!$E$5:$E$1004,入金明細!$G$5:$G$1004,$A144,入金明細!$B$5:$B$1004,"&gt;="&amp;O$3,入金明細!$B$5:$B$1004,"&lt;"&amp;DATE(YEAR(O$3),MONTH(O$3)+1,1)))</f>
        <v/>
      </c>
      <c r="Q144" s="27" t="str">
        <f aca="false">IF($A144="","",SUMIFS(請求台帳!$F$5:$F$504,請求台帳!$C$5:$C$504,$A144,請求台帳!$B$5:$B$504,"&gt;="&amp;Q$3,請求台帳!$B$5:$B$504,"&lt;"&amp;DATE(YEAR(Q$3),MONTH(Q$3)+1,1),請求台帳!$Q$5:$Q$504,"&lt;&gt;取消"))</f>
        <v/>
      </c>
      <c r="R144" s="27" t="str">
        <f aca="false">IF($A144="","",SUMIFS(入金明細!$E$5:$E$1004,入金明細!$G$5:$G$1004,$A144,入金明細!$B$5:$B$1004,"&gt;="&amp;Q$3,入金明細!$B$5:$B$1004,"&lt;"&amp;DATE(YEAR(Q$3),MONTH(Q$3)+1,1)))</f>
        <v/>
      </c>
      <c r="S144" s="27" t="str">
        <f aca="false">IF($A144="","",SUMIFS(請求台帳!$F$5:$F$504,請求台帳!$C$5:$C$504,$A144,請求台帳!$B$5:$B$504,"&gt;="&amp;S$3,請求台帳!$B$5:$B$504,"&lt;"&amp;DATE(YEAR(S$3),MONTH(S$3)+1,1),請求台帳!$Q$5:$Q$504,"&lt;&gt;取消"))</f>
        <v/>
      </c>
      <c r="T144" s="27" t="str">
        <f aca="false">IF($A144="","",SUMIFS(入金明細!$E$5:$E$1004,入金明細!$G$5:$G$1004,$A144,入金明細!$B$5:$B$1004,"&gt;="&amp;S$3,入金明細!$B$5:$B$1004,"&lt;"&amp;DATE(YEAR(S$3),MONTH(S$3)+1,1)))</f>
        <v/>
      </c>
      <c r="U144" s="27" t="str">
        <f aca="false">IF($A144="","",SUMIFS(請求台帳!$F$5:$F$504,請求台帳!$C$5:$C$504,$A144,請求台帳!$B$5:$B$504,"&gt;="&amp;U$3,請求台帳!$B$5:$B$504,"&lt;"&amp;DATE(YEAR(U$3),MONTH(U$3)+1,1),請求台帳!$Q$5:$Q$504,"&lt;&gt;取消"))</f>
        <v/>
      </c>
      <c r="V144" s="27" t="str">
        <f aca="false">IF($A144="","",SUMIFS(入金明細!$E$5:$E$1004,入金明細!$G$5:$G$1004,$A144,入金明細!$B$5:$B$1004,"&gt;="&amp;U$3,入金明細!$B$5:$B$1004,"&lt;"&amp;DATE(YEAR(U$3),MONTH(U$3)+1,1)))</f>
        <v/>
      </c>
      <c r="W144" s="27" t="str">
        <f aca="false">IF($A144="","",SUMIFS(請求台帳!$F$5:$F$504,請求台帳!$C$5:$C$504,$A144,請求台帳!$B$5:$B$504,"&gt;="&amp;W$3,請求台帳!$B$5:$B$504,"&lt;"&amp;DATE(YEAR(W$3),MONTH(W$3)+1,1),請求台帳!$Q$5:$Q$504,"&lt;&gt;取消"))</f>
        <v/>
      </c>
      <c r="X144" s="27" t="str">
        <f aca="false">IF($A144="","",SUMIFS(入金明細!$E$5:$E$1004,入金明細!$G$5:$G$1004,$A144,入金明細!$B$5:$B$1004,"&gt;="&amp;W$3,入金明細!$B$5:$B$1004,"&lt;"&amp;DATE(YEAR(W$3),MONTH(W$3)+1,1)))</f>
        <v/>
      </c>
      <c r="Y144" s="27" t="str">
        <f aca="false">IF($A144="","",SUMIFS(請求台帳!$F$5:$F$504,請求台帳!$C$5:$C$504,$A144,請求台帳!$B$5:$B$504,"&gt;="&amp;Y$3,請求台帳!$B$5:$B$504,"&lt;"&amp;DATE(YEAR(Y$3),MONTH(Y$3)+1,1),請求台帳!$Q$5:$Q$504,"&lt;&gt;取消"))</f>
        <v/>
      </c>
      <c r="Z144" s="27" t="str">
        <f aca="false">IF($A144="","",SUMIFS(入金明細!$E$5:$E$1004,入金明細!$G$5:$G$1004,$A144,入金明細!$B$5:$B$1004,"&gt;="&amp;Y$3,入金明細!$B$5:$B$1004,"&lt;"&amp;DATE(YEAR(Y$3),MONTH(Y$3)+1,1)))</f>
        <v/>
      </c>
      <c r="AA144" s="37" t="n">
        <f aca="false">SUM(C144,E144,G144,I144,K144,M144,O144,Q144,S144,U144,W144,Y144)</f>
        <v>0</v>
      </c>
      <c r="AB144" s="37" t="n">
        <f aca="false">SUM(D144,F144,H144,J144,L144,N144,P144,R144,T144,V144,X144,Z144)</f>
        <v>0</v>
      </c>
    </row>
    <row r="145" customFormat="false" ht="15" hidden="false" customHeight="false" outlineLevel="0" collapsed="false">
      <c r="A145" s="31" t="str">
        <f aca="false">IF(取引先マスタ!A145="","",取引先マスタ!A145)</f>
        <v/>
      </c>
      <c r="B145" s="31" t="str">
        <f aca="false">IF(A145="","",取引先マスタ!B145)</f>
        <v/>
      </c>
      <c r="C145" s="27" t="str">
        <f aca="false">IF($A145="","",SUMIFS(請求台帳!$F$5:$F$504,請求台帳!$C$5:$C$504,$A145,請求台帳!$B$5:$B$504,"&gt;="&amp;C$3,請求台帳!$B$5:$B$504,"&lt;"&amp;DATE(YEAR(C$3),MONTH(C$3)+1,1),請求台帳!$Q$5:$Q$504,"&lt;&gt;取消"))</f>
        <v/>
      </c>
      <c r="D145" s="27" t="str">
        <f aca="false">IF($A145="","",SUMIFS(入金明細!$E$5:$E$1004,入金明細!$G$5:$G$1004,$A145,入金明細!$B$5:$B$1004,"&gt;="&amp;C$3,入金明細!$B$5:$B$1004,"&lt;"&amp;DATE(YEAR(C$3),MONTH(C$3)+1,1)))</f>
        <v/>
      </c>
      <c r="E145" s="27" t="str">
        <f aca="false">IF($A145="","",SUMIFS(請求台帳!$F$5:$F$504,請求台帳!$C$5:$C$504,$A145,請求台帳!$B$5:$B$504,"&gt;="&amp;E$3,請求台帳!$B$5:$B$504,"&lt;"&amp;DATE(YEAR(E$3),MONTH(E$3)+1,1),請求台帳!$Q$5:$Q$504,"&lt;&gt;取消"))</f>
        <v/>
      </c>
      <c r="F145" s="27" t="str">
        <f aca="false">IF($A145="","",SUMIFS(入金明細!$E$5:$E$1004,入金明細!$G$5:$G$1004,$A145,入金明細!$B$5:$B$1004,"&gt;="&amp;E$3,入金明細!$B$5:$B$1004,"&lt;"&amp;DATE(YEAR(E$3),MONTH(E$3)+1,1)))</f>
        <v/>
      </c>
      <c r="G145" s="27" t="str">
        <f aca="false">IF($A145="","",SUMIFS(請求台帳!$F$5:$F$504,請求台帳!$C$5:$C$504,$A145,請求台帳!$B$5:$B$504,"&gt;="&amp;G$3,請求台帳!$B$5:$B$504,"&lt;"&amp;DATE(YEAR(G$3),MONTH(G$3)+1,1),請求台帳!$Q$5:$Q$504,"&lt;&gt;取消"))</f>
        <v/>
      </c>
      <c r="H145" s="27" t="str">
        <f aca="false">IF($A145="","",SUMIFS(入金明細!$E$5:$E$1004,入金明細!$G$5:$G$1004,$A145,入金明細!$B$5:$B$1004,"&gt;="&amp;G$3,入金明細!$B$5:$B$1004,"&lt;"&amp;DATE(YEAR(G$3),MONTH(G$3)+1,1)))</f>
        <v/>
      </c>
      <c r="I145" s="27" t="str">
        <f aca="false">IF($A145="","",SUMIFS(請求台帳!$F$5:$F$504,請求台帳!$C$5:$C$504,$A145,請求台帳!$B$5:$B$504,"&gt;="&amp;I$3,請求台帳!$B$5:$B$504,"&lt;"&amp;DATE(YEAR(I$3),MONTH(I$3)+1,1),請求台帳!$Q$5:$Q$504,"&lt;&gt;取消"))</f>
        <v/>
      </c>
      <c r="J145" s="27" t="str">
        <f aca="false">IF($A145="","",SUMIFS(入金明細!$E$5:$E$1004,入金明細!$G$5:$G$1004,$A145,入金明細!$B$5:$B$1004,"&gt;="&amp;I$3,入金明細!$B$5:$B$1004,"&lt;"&amp;DATE(YEAR(I$3),MONTH(I$3)+1,1)))</f>
        <v/>
      </c>
      <c r="K145" s="27" t="str">
        <f aca="false">IF($A145="","",SUMIFS(請求台帳!$F$5:$F$504,請求台帳!$C$5:$C$504,$A145,請求台帳!$B$5:$B$504,"&gt;="&amp;K$3,請求台帳!$B$5:$B$504,"&lt;"&amp;DATE(YEAR(K$3),MONTH(K$3)+1,1),請求台帳!$Q$5:$Q$504,"&lt;&gt;取消"))</f>
        <v/>
      </c>
      <c r="L145" s="27" t="str">
        <f aca="false">IF($A145="","",SUMIFS(入金明細!$E$5:$E$1004,入金明細!$G$5:$G$1004,$A145,入金明細!$B$5:$B$1004,"&gt;="&amp;K$3,入金明細!$B$5:$B$1004,"&lt;"&amp;DATE(YEAR(K$3),MONTH(K$3)+1,1)))</f>
        <v/>
      </c>
      <c r="M145" s="27" t="str">
        <f aca="false">IF($A145="","",SUMIFS(請求台帳!$F$5:$F$504,請求台帳!$C$5:$C$504,$A145,請求台帳!$B$5:$B$504,"&gt;="&amp;M$3,請求台帳!$B$5:$B$504,"&lt;"&amp;DATE(YEAR(M$3),MONTH(M$3)+1,1),請求台帳!$Q$5:$Q$504,"&lt;&gt;取消"))</f>
        <v/>
      </c>
      <c r="N145" s="27" t="str">
        <f aca="false">IF($A145="","",SUMIFS(入金明細!$E$5:$E$1004,入金明細!$G$5:$G$1004,$A145,入金明細!$B$5:$B$1004,"&gt;="&amp;M$3,入金明細!$B$5:$B$1004,"&lt;"&amp;DATE(YEAR(M$3),MONTH(M$3)+1,1)))</f>
        <v/>
      </c>
      <c r="O145" s="27" t="str">
        <f aca="false">IF($A145="","",SUMIFS(請求台帳!$F$5:$F$504,請求台帳!$C$5:$C$504,$A145,請求台帳!$B$5:$B$504,"&gt;="&amp;O$3,請求台帳!$B$5:$B$504,"&lt;"&amp;DATE(YEAR(O$3),MONTH(O$3)+1,1),請求台帳!$Q$5:$Q$504,"&lt;&gt;取消"))</f>
        <v/>
      </c>
      <c r="P145" s="27" t="str">
        <f aca="false">IF($A145="","",SUMIFS(入金明細!$E$5:$E$1004,入金明細!$G$5:$G$1004,$A145,入金明細!$B$5:$B$1004,"&gt;="&amp;O$3,入金明細!$B$5:$B$1004,"&lt;"&amp;DATE(YEAR(O$3),MONTH(O$3)+1,1)))</f>
        <v/>
      </c>
      <c r="Q145" s="27" t="str">
        <f aca="false">IF($A145="","",SUMIFS(請求台帳!$F$5:$F$504,請求台帳!$C$5:$C$504,$A145,請求台帳!$B$5:$B$504,"&gt;="&amp;Q$3,請求台帳!$B$5:$B$504,"&lt;"&amp;DATE(YEAR(Q$3),MONTH(Q$3)+1,1),請求台帳!$Q$5:$Q$504,"&lt;&gt;取消"))</f>
        <v/>
      </c>
      <c r="R145" s="27" t="str">
        <f aca="false">IF($A145="","",SUMIFS(入金明細!$E$5:$E$1004,入金明細!$G$5:$G$1004,$A145,入金明細!$B$5:$B$1004,"&gt;="&amp;Q$3,入金明細!$B$5:$B$1004,"&lt;"&amp;DATE(YEAR(Q$3),MONTH(Q$3)+1,1)))</f>
        <v/>
      </c>
      <c r="S145" s="27" t="str">
        <f aca="false">IF($A145="","",SUMIFS(請求台帳!$F$5:$F$504,請求台帳!$C$5:$C$504,$A145,請求台帳!$B$5:$B$504,"&gt;="&amp;S$3,請求台帳!$B$5:$B$504,"&lt;"&amp;DATE(YEAR(S$3),MONTH(S$3)+1,1),請求台帳!$Q$5:$Q$504,"&lt;&gt;取消"))</f>
        <v/>
      </c>
      <c r="T145" s="27" t="str">
        <f aca="false">IF($A145="","",SUMIFS(入金明細!$E$5:$E$1004,入金明細!$G$5:$G$1004,$A145,入金明細!$B$5:$B$1004,"&gt;="&amp;S$3,入金明細!$B$5:$B$1004,"&lt;"&amp;DATE(YEAR(S$3),MONTH(S$3)+1,1)))</f>
        <v/>
      </c>
      <c r="U145" s="27" t="str">
        <f aca="false">IF($A145="","",SUMIFS(請求台帳!$F$5:$F$504,請求台帳!$C$5:$C$504,$A145,請求台帳!$B$5:$B$504,"&gt;="&amp;U$3,請求台帳!$B$5:$B$504,"&lt;"&amp;DATE(YEAR(U$3),MONTH(U$3)+1,1),請求台帳!$Q$5:$Q$504,"&lt;&gt;取消"))</f>
        <v/>
      </c>
      <c r="V145" s="27" t="str">
        <f aca="false">IF($A145="","",SUMIFS(入金明細!$E$5:$E$1004,入金明細!$G$5:$G$1004,$A145,入金明細!$B$5:$B$1004,"&gt;="&amp;U$3,入金明細!$B$5:$B$1004,"&lt;"&amp;DATE(YEAR(U$3),MONTH(U$3)+1,1)))</f>
        <v/>
      </c>
      <c r="W145" s="27" t="str">
        <f aca="false">IF($A145="","",SUMIFS(請求台帳!$F$5:$F$504,請求台帳!$C$5:$C$504,$A145,請求台帳!$B$5:$B$504,"&gt;="&amp;W$3,請求台帳!$B$5:$B$504,"&lt;"&amp;DATE(YEAR(W$3),MONTH(W$3)+1,1),請求台帳!$Q$5:$Q$504,"&lt;&gt;取消"))</f>
        <v/>
      </c>
      <c r="X145" s="27" t="str">
        <f aca="false">IF($A145="","",SUMIFS(入金明細!$E$5:$E$1004,入金明細!$G$5:$G$1004,$A145,入金明細!$B$5:$B$1004,"&gt;="&amp;W$3,入金明細!$B$5:$B$1004,"&lt;"&amp;DATE(YEAR(W$3),MONTH(W$3)+1,1)))</f>
        <v/>
      </c>
      <c r="Y145" s="27" t="str">
        <f aca="false">IF($A145="","",SUMIFS(請求台帳!$F$5:$F$504,請求台帳!$C$5:$C$504,$A145,請求台帳!$B$5:$B$504,"&gt;="&amp;Y$3,請求台帳!$B$5:$B$504,"&lt;"&amp;DATE(YEAR(Y$3),MONTH(Y$3)+1,1),請求台帳!$Q$5:$Q$504,"&lt;&gt;取消"))</f>
        <v/>
      </c>
      <c r="Z145" s="27" t="str">
        <f aca="false">IF($A145="","",SUMIFS(入金明細!$E$5:$E$1004,入金明細!$G$5:$G$1004,$A145,入金明細!$B$5:$B$1004,"&gt;="&amp;Y$3,入金明細!$B$5:$B$1004,"&lt;"&amp;DATE(YEAR(Y$3),MONTH(Y$3)+1,1)))</f>
        <v/>
      </c>
      <c r="AA145" s="37" t="n">
        <f aca="false">SUM(C145,E145,G145,I145,K145,M145,O145,Q145,S145,U145,W145,Y145)</f>
        <v>0</v>
      </c>
      <c r="AB145" s="37" t="n">
        <f aca="false">SUM(D145,F145,H145,J145,L145,N145,P145,R145,T145,V145,X145,Z145)</f>
        <v>0</v>
      </c>
    </row>
    <row r="146" customFormat="false" ht="15" hidden="false" customHeight="false" outlineLevel="0" collapsed="false">
      <c r="A146" s="31" t="str">
        <f aca="false">IF(取引先マスタ!A146="","",取引先マスタ!A146)</f>
        <v/>
      </c>
      <c r="B146" s="31" t="str">
        <f aca="false">IF(A146="","",取引先マスタ!B146)</f>
        <v/>
      </c>
      <c r="C146" s="27" t="str">
        <f aca="false">IF($A146="","",SUMIFS(請求台帳!$F$5:$F$504,請求台帳!$C$5:$C$504,$A146,請求台帳!$B$5:$B$504,"&gt;="&amp;C$3,請求台帳!$B$5:$B$504,"&lt;"&amp;DATE(YEAR(C$3),MONTH(C$3)+1,1),請求台帳!$Q$5:$Q$504,"&lt;&gt;取消"))</f>
        <v/>
      </c>
      <c r="D146" s="27" t="str">
        <f aca="false">IF($A146="","",SUMIFS(入金明細!$E$5:$E$1004,入金明細!$G$5:$G$1004,$A146,入金明細!$B$5:$B$1004,"&gt;="&amp;C$3,入金明細!$B$5:$B$1004,"&lt;"&amp;DATE(YEAR(C$3),MONTH(C$3)+1,1)))</f>
        <v/>
      </c>
      <c r="E146" s="27" t="str">
        <f aca="false">IF($A146="","",SUMIFS(請求台帳!$F$5:$F$504,請求台帳!$C$5:$C$504,$A146,請求台帳!$B$5:$B$504,"&gt;="&amp;E$3,請求台帳!$B$5:$B$504,"&lt;"&amp;DATE(YEAR(E$3),MONTH(E$3)+1,1),請求台帳!$Q$5:$Q$504,"&lt;&gt;取消"))</f>
        <v/>
      </c>
      <c r="F146" s="27" t="str">
        <f aca="false">IF($A146="","",SUMIFS(入金明細!$E$5:$E$1004,入金明細!$G$5:$G$1004,$A146,入金明細!$B$5:$B$1004,"&gt;="&amp;E$3,入金明細!$B$5:$B$1004,"&lt;"&amp;DATE(YEAR(E$3),MONTH(E$3)+1,1)))</f>
        <v/>
      </c>
      <c r="G146" s="27" t="str">
        <f aca="false">IF($A146="","",SUMIFS(請求台帳!$F$5:$F$504,請求台帳!$C$5:$C$504,$A146,請求台帳!$B$5:$B$504,"&gt;="&amp;G$3,請求台帳!$B$5:$B$504,"&lt;"&amp;DATE(YEAR(G$3),MONTH(G$3)+1,1),請求台帳!$Q$5:$Q$504,"&lt;&gt;取消"))</f>
        <v/>
      </c>
      <c r="H146" s="27" t="str">
        <f aca="false">IF($A146="","",SUMIFS(入金明細!$E$5:$E$1004,入金明細!$G$5:$G$1004,$A146,入金明細!$B$5:$B$1004,"&gt;="&amp;G$3,入金明細!$B$5:$B$1004,"&lt;"&amp;DATE(YEAR(G$3),MONTH(G$3)+1,1)))</f>
        <v/>
      </c>
      <c r="I146" s="27" t="str">
        <f aca="false">IF($A146="","",SUMIFS(請求台帳!$F$5:$F$504,請求台帳!$C$5:$C$504,$A146,請求台帳!$B$5:$B$504,"&gt;="&amp;I$3,請求台帳!$B$5:$B$504,"&lt;"&amp;DATE(YEAR(I$3),MONTH(I$3)+1,1),請求台帳!$Q$5:$Q$504,"&lt;&gt;取消"))</f>
        <v/>
      </c>
      <c r="J146" s="27" t="str">
        <f aca="false">IF($A146="","",SUMIFS(入金明細!$E$5:$E$1004,入金明細!$G$5:$G$1004,$A146,入金明細!$B$5:$B$1004,"&gt;="&amp;I$3,入金明細!$B$5:$B$1004,"&lt;"&amp;DATE(YEAR(I$3),MONTH(I$3)+1,1)))</f>
        <v/>
      </c>
      <c r="K146" s="27" t="str">
        <f aca="false">IF($A146="","",SUMIFS(請求台帳!$F$5:$F$504,請求台帳!$C$5:$C$504,$A146,請求台帳!$B$5:$B$504,"&gt;="&amp;K$3,請求台帳!$B$5:$B$504,"&lt;"&amp;DATE(YEAR(K$3),MONTH(K$3)+1,1),請求台帳!$Q$5:$Q$504,"&lt;&gt;取消"))</f>
        <v/>
      </c>
      <c r="L146" s="27" t="str">
        <f aca="false">IF($A146="","",SUMIFS(入金明細!$E$5:$E$1004,入金明細!$G$5:$G$1004,$A146,入金明細!$B$5:$B$1004,"&gt;="&amp;K$3,入金明細!$B$5:$B$1004,"&lt;"&amp;DATE(YEAR(K$3),MONTH(K$3)+1,1)))</f>
        <v/>
      </c>
      <c r="M146" s="27" t="str">
        <f aca="false">IF($A146="","",SUMIFS(請求台帳!$F$5:$F$504,請求台帳!$C$5:$C$504,$A146,請求台帳!$B$5:$B$504,"&gt;="&amp;M$3,請求台帳!$B$5:$B$504,"&lt;"&amp;DATE(YEAR(M$3),MONTH(M$3)+1,1),請求台帳!$Q$5:$Q$504,"&lt;&gt;取消"))</f>
        <v/>
      </c>
      <c r="N146" s="27" t="str">
        <f aca="false">IF($A146="","",SUMIFS(入金明細!$E$5:$E$1004,入金明細!$G$5:$G$1004,$A146,入金明細!$B$5:$B$1004,"&gt;="&amp;M$3,入金明細!$B$5:$B$1004,"&lt;"&amp;DATE(YEAR(M$3),MONTH(M$3)+1,1)))</f>
        <v/>
      </c>
      <c r="O146" s="27" t="str">
        <f aca="false">IF($A146="","",SUMIFS(請求台帳!$F$5:$F$504,請求台帳!$C$5:$C$504,$A146,請求台帳!$B$5:$B$504,"&gt;="&amp;O$3,請求台帳!$B$5:$B$504,"&lt;"&amp;DATE(YEAR(O$3),MONTH(O$3)+1,1),請求台帳!$Q$5:$Q$504,"&lt;&gt;取消"))</f>
        <v/>
      </c>
      <c r="P146" s="27" t="str">
        <f aca="false">IF($A146="","",SUMIFS(入金明細!$E$5:$E$1004,入金明細!$G$5:$G$1004,$A146,入金明細!$B$5:$B$1004,"&gt;="&amp;O$3,入金明細!$B$5:$B$1004,"&lt;"&amp;DATE(YEAR(O$3),MONTH(O$3)+1,1)))</f>
        <v/>
      </c>
      <c r="Q146" s="27" t="str">
        <f aca="false">IF($A146="","",SUMIFS(請求台帳!$F$5:$F$504,請求台帳!$C$5:$C$504,$A146,請求台帳!$B$5:$B$504,"&gt;="&amp;Q$3,請求台帳!$B$5:$B$504,"&lt;"&amp;DATE(YEAR(Q$3),MONTH(Q$3)+1,1),請求台帳!$Q$5:$Q$504,"&lt;&gt;取消"))</f>
        <v/>
      </c>
      <c r="R146" s="27" t="str">
        <f aca="false">IF($A146="","",SUMIFS(入金明細!$E$5:$E$1004,入金明細!$G$5:$G$1004,$A146,入金明細!$B$5:$B$1004,"&gt;="&amp;Q$3,入金明細!$B$5:$B$1004,"&lt;"&amp;DATE(YEAR(Q$3),MONTH(Q$3)+1,1)))</f>
        <v/>
      </c>
      <c r="S146" s="27" t="str">
        <f aca="false">IF($A146="","",SUMIFS(請求台帳!$F$5:$F$504,請求台帳!$C$5:$C$504,$A146,請求台帳!$B$5:$B$504,"&gt;="&amp;S$3,請求台帳!$B$5:$B$504,"&lt;"&amp;DATE(YEAR(S$3),MONTH(S$3)+1,1),請求台帳!$Q$5:$Q$504,"&lt;&gt;取消"))</f>
        <v/>
      </c>
      <c r="T146" s="27" t="str">
        <f aca="false">IF($A146="","",SUMIFS(入金明細!$E$5:$E$1004,入金明細!$G$5:$G$1004,$A146,入金明細!$B$5:$B$1004,"&gt;="&amp;S$3,入金明細!$B$5:$B$1004,"&lt;"&amp;DATE(YEAR(S$3),MONTH(S$3)+1,1)))</f>
        <v/>
      </c>
      <c r="U146" s="27" t="str">
        <f aca="false">IF($A146="","",SUMIFS(請求台帳!$F$5:$F$504,請求台帳!$C$5:$C$504,$A146,請求台帳!$B$5:$B$504,"&gt;="&amp;U$3,請求台帳!$B$5:$B$504,"&lt;"&amp;DATE(YEAR(U$3),MONTH(U$3)+1,1),請求台帳!$Q$5:$Q$504,"&lt;&gt;取消"))</f>
        <v/>
      </c>
      <c r="V146" s="27" t="str">
        <f aca="false">IF($A146="","",SUMIFS(入金明細!$E$5:$E$1004,入金明細!$G$5:$G$1004,$A146,入金明細!$B$5:$B$1004,"&gt;="&amp;U$3,入金明細!$B$5:$B$1004,"&lt;"&amp;DATE(YEAR(U$3),MONTH(U$3)+1,1)))</f>
        <v/>
      </c>
      <c r="W146" s="27" t="str">
        <f aca="false">IF($A146="","",SUMIFS(請求台帳!$F$5:$F$504,請求台帳!$C$5:$C$504,$A146,請求台帳!$B$5:$B$504,"&gt;="&amp;W$3,請求台帳!$B$5:$B$504,"&lt;"&amp;DATE(YEAR(W$3),MONTH(W$3)+1,1),請求台帳!$Q$5:$Q$504,"&lt;&gt;取消"))</f>
        <v/>
      </c>
      <c r="X146" s="27" t="str">
        <f aca="false">IF($A146="","",SUMIFS(入金明細!$E$5:$E$1004,入金明細!$G$5:$G$1004,$A146,入金明細!$B$5:$B$1004,"&gt;="&amp;W$3,入金明細!$B$5:$B$1004,"&lt;"&amp;DATE(YEAR(W$3),MONTH(W$3)+1,1)))</f>
        <v/>
      </c>
      <c r="Y146" s="27" t="str">
        <f aca="false">IF($A146="","",SUMIFS(請求台帳!$F$5:$F$504,請求台帳!$C$5:$C$504,$A146,請求台帳!$B$5:$B$504,"&gt;="&amp;Y$3,請求台帳!$B$5:$B$504,"&lt;"&amp;DATE(YEAR(Y$3),MONTH(Y$3)+1,1),請求台帳!$Q$5:$Q$504,"&lt;&gt;取消"))</f>
        <v/>
      </c>
      <c r="Z146" s="27" t="str">
        <f aca="false">IF($A146="","",SUMIFS(入金明細!$E$5:$E$1004,入金明細!$G$5:$G$1004,$A146,入金明細!$B$5:$B$1004,"&gt;="&amp;Y$3,入金明細!$B$5:$B$1004,"&lt;"&amp;DATE(YEAR(Y$3),MONTH(Y$3)+1,1)))</f>
        <v/>
      </c>
      <c r="AA146" s="37" t="n">
        <f aca="false">SUM(C146,E146,G146,I146,K146,M146,O146,Q146,S146,U146,W146,Y146)</f>
        <v>0</v>
      </c>
      <c r="AB146" s="37" t="n">
        <f aca="false">SUM(D146,F146,H146,J146,L146,N146,P146,R146,T146,V146,X146,Z146)</f>
        <v>0</v>
      </c>
    </row>
    <row r="147" customFormat="false" ht="15" hidden="false" customHeight="false" outlineLevel="0" collapsed="false">
      <c r="A147" s="31" t="str">
        <f aca="false">IF(取引先マスタ!A147="","",取引先マスタ!A147)</f>
        <v/>
      </c>
      <c r="B147" s="31" t="str">
        <f aca="false">IF(A147="","",取引先マスタ!B147)</f>
        <v/>
      </c>
      <c r="C147" s="27" t="str">
        <f aca="false">IF($A147="","",SUMIFS(請求台帳!$F$5:$F$504,請求台帳!$C$5:$C$504,$A147,請求台帳!$B$5:$B$504,"&gt;="&amp;C$3,請求台帳!$B$5:$B$504,"&lt;"&amp;DATE(YEAR(C$3),MONTH(C$3)+1,1),請求台帳!$Q$5:$Q$504,"&lt;&gt;取消"))</f>
        <v/>
      </c>
      <c r="D147" s="27" t="str">
        <f aca="false">IF($A147="","",SUMIFS(入金明細!$E$5:$E$1004,入金明細!$G$5:$G$1004,$A147,入金明細!$B$5:$B$1004,"&gt;="&amp;C$3,入金明細!$B$5:$B$1004,"&lt;"&amp;DATE(YEAR(C$3),MONTH(C$3)+1,1)))</f>
        <v/>
      </c>
      <c r="E147" s="27" t="str">
        <f aca="false">IF($A147="","",SUMIFS(請求台帳!$F$5:$F$504,請求台帳!$C$5:$C$504,$A147,請求台帳!$B$5:$B$504,"&gt;="&amp;E$3,請求台帳!$B$5:$B$504,"&lt;"&amp;DATE(YEAR(E$3),MONTH(E$3)+1,1),請求台帳!$Q$5:$Q$504,"&lt;&gt;取消"))</f>
        <v/>
      </c>
      <c r="F147" s="27" t="str">
        <f aca="false">IF($A147="","",SUMIFS(入金明細!$E$5:$E$1004,入金明細!$G$5:$G$1004,$A147,入金明細!$B$5:$B$1004,"&gt;="&amp;E$3,入金明細!$B$5:$B$1004,"&lt;"&amp;DATE(YEAR(E$3),MONTH(E$3)+1,1)))</f>
        <v/>
      </c>
      <c r="G147" s="27" t="str">
        <f aca="false">IF($A147="","",SUMIFS(請求台帳!$F$5:$F$504,請求台帳!$C$5:$C$504,$A147,請求台帳!$B$5:$B$504,"&gt;="&amp;G$3,請求台帳!$B$5:$B$504,"&lt;"&amp;DATE(YEAR(G$3),MONTH(G$3)+1,1),請求台帳!$Q$5:$Q$504,"&lt;&gt;取消"))</f>
        <v/>
      </c>
      <c r="H147" s="27" t="str">
        <f aca="false">IF($A147="","",SUMIFS(入金明細!$E$5:$E$1004,入金明細!$G$5:$G$1004,$A147,入金明細!$B$5:$B$1004,"&gt;="&amp;G$3,入金明細!$B$5:$B$1004,"&lt;"&amp;DATE(YEAR(G$3),MONTH(G$3)+1,1)))</f>
        <v/>
      </c>
      <c r="I147" s="27" t="str">
        <f aca="false">IF($A147="","",SUMIFS(請求台帳!$F$5:$F$504,請求台帳!$C$5:$C$504,$A147,請求台帳!$B$5:$B$504,"&gt;="&amp;I$3,請求台帳!$B$5:$B$504,"&lt;"&amp;DATE(YEAR(I$3),MONTH(I$3)+1,1),請求台帳!$Q$5:$Q$504,"&lt;&gt;取消"))</f>
        <v/>
      </c>
      <c r="J147" s="27" t="str">
        <f aca="false">IF($A147="","",SUMIFS(入金明細!$E$5:$E$1004,入金明細!$G$5:$G$1004,$A147,入金明細!$B$5:$B$1004,"&gt;="&amp;I$3,入金明細!$B$5:$B$1004,"&lt;"&amp;DATE(YEAR(I$3),MONTH(I$3)+1,1)))</f>
        <v/>
      </c>
      <c r="K147" s="27" t="str">
        <f aca="false">IF($A147="","",SUMIFS(請求台帳!$F$5:$F$504,請求台帳!$C$5:$C$504,$A147,請求台帳!$B$5:$B$504,"&gt;="&amp;K$3,請求台帳!$B$5:$B$504,"&lt;"&amp;DATE(YEAR(K$3),MONTH(K$3)+1,1),請求台帳!$Q$5:$Q$504,"&lt;&gt;取消"))</f>
        <v/>
      </c>
      <c r="L147" s="27" t="str">
        <f aca="false">IF($A147="","",SUMIFS(入金明細!$E$5:$E$1004,入金明細!$G$5:$G$1004,$A147,入金明細!$B$5:$B$1004,"&gt;="&amp;K$3,入金明細!$B$5:$B$1004,"&lt;"&amp;DATE(YEAR(K$3),MONTH(K$3)+1,1)))</f>
        <v/>
      </c>
      <c r="M147" s="27" t="str">
        <f aca="false">IF($A147="","",SUMIFS(請求台帳!$F$5:$F$504,請求台帳!$C$5:$C$504,$A147,請求台帳!$B$5:$B$504,"&gt;="&amp;M$3,請求台帳!$B$5:$B$504,"&lt;"&amp;DATE(YEAR(M$3),MONTH(M$3)+1,1),請求台帳!$Q$5:$Q$504,"&lt;&gt;取消"))</f>
        <v/>
      </c>
      <c r="N147" s="27" t="str">
        <f aca="false">IF($A147="","",SUMIFS(入金明細!$E$5:$E$1004,入金明細!$G$5:$G$1004,$A147,入金明細!$B$5:$B$1004,"&gt;="&amp;M$3,入金明細!$B$5:$B$1004,"&lt;"&amp;DATE(YEAR(M$3),MONTH(M$3)+1,1)))</f>
        <v/>
      </c>
      <c r="O147" s="27" t="str">
        <f aca="false">IF($A147="","",SUMIFS(請求台帳!$F$5:$F$504,請求台帳!$C$5:$C$504,$A147,請求台帳!$B$5:$B$504,"&gt;="&amp;O$3,請求台帳!$B$5:$B$504,"&lt;"&amp;DATE(YEAR(O$3),MONTH(O$3)+1,1),請求台帳!$Q$5:$Q$504,"&lt;&gt;取消"))</f>
        <v/>
      </c>
      <c r="P147" s="27" t="str">
        <f aca="false">IF($A147="","",SUMIFS(入金明細!$E$5:$E$1004,入金明細!$G$5:$G$1004,$A147,入金明細!$B$5:$B$1004,"&gt;="&amp;O$3,入金明細!$B$5:$B$1004,"&lt;"&amp;DATE(YEAR(O$3),MONTH(O$3)+1,1)))</f>
        <v/>
      </c>
      <c r="Q147" s="27" t="str">
        <f aca="false">IF($A147="","",SUMIFS(請求台帳!$F$5:$F$504,請求台帳!$C$5:$C$504,$A147,請求台帳!$B$5:$B$504,"&gt;="&amp;Q$3,請求台帳!$B$5:$B$504,"&lt;"&amp;DATE(YEAR(Q$3),MONTH(Q$3)+1,1),請求台帳!$Q$5:$Q$504,"&lt;&gt;取消"))</f>
        <v/>
      </c>
      <c r="R147" s="27" t="str">
        <f aca="false">IF($A147="","",SUMIFS(入金明細!$E$5:$E$1004,入金明細!$G$5:$G$1004,$A147,入金明細!$B$5:$B$1004,"&gt;="&amp;Q$3,入金明細!$B$5:$B$1004,"&lt;"&amp;DATE(YEAR(Q$3),MONTH(Q$3)+1,1)))</f>
        <v/>
      </c>
      <c r="S147" s="27" t="str">
        <f aca="false">IF($A147="","",SUMIFS(請求台帳!$F$5:$F$504,請求台帳!$C$5:$C$504,$A147,請求台帳!$B$5:$B$504,"&gt;="&amp;S$3,請求台帳!$B$5:$B$504,"&lt;"&amp;DATE(YEAR(S$3),MONTH(S$3)+1,1),請求台帳!$Q$5:$Q$504,"&lt;&gt;取消"))</f>
        <v/>
      </c>
      <c r="T147" s="27" t="str">
        <f aca="false">IF($A147="","",SUMIFS(入金明細!$E$5:$E$1004,入金明細!$G$5:$G$1004,$A147,入金明細!$B$5:$B$1004,"&gt;="&amp;S$3,入金明細!$B$5:$B$1004,"&lt;"&amp;DATE(YEAR(S$3),MONTH(S$3)+1,1)))</f>
        <v/>
      </c>
      <c r="U147" s="27" t="str">
        <f aca="false">IF($A147="","",SUMIFS(請求台帳!$F$5:$F$504,請求台帳!$C$5:$C$504,$A147,請求台帳!$B$5:$B$504,"&gt;="&amp;U$3,請求台帳!$B$5:$B$504,"&lt;"&amp;DATE(YEAR(U$3),MONTH(U$3)+1,1),請求台帳!$Q$5:$Q$504,"&lt;&gt;取消"))</f>
        <v/>
      </c>
      <c r="V147" s="27" t="str">
        <f aca="false">IF($A147="","",SUMIFS(入金明細!$E$5:$E$1004,入金明細!$G$5:$G$1004,$A147,入金明細!$B$5:$B$1004,"&gt;="&amp;U$3,入金明細!$B$5:$B$1004,"&lt;"&amp;DATE(YEAR(U$3),MONTH(U$3)+1,1)))</f>
        <v/>
      </c>
      <c r="W147" s="27" t="str">
        <f aca="false">IF($A147="","",SUMIFS(請求台帳!$F$5:$F$504,請求台帳!$C$5:$C$504,$A147,請求台帳!$B$5:$B$504,"&gt;="&amp;W$3,請求台帳!$B$5:$B$504,"&lt;"&amp;DATE(YEAR(W$3),MONTH(W$3)+1,1),請求台帳!$Q$5:$Q$504,"&lt;&gt;取消"))</f>
        <v/>
      </c>
      <c r="X147" s="27" t="str">
        <f aca="false">IF($A147="","",SUMIFS(入金明細!$E$5:$E$1004,入金明細!$G$5:$G$1004,$A147,入金明細!$B$5:$B$1004,"&gt;="&amp;W$3,入金明細!$B$5:$B$1004,"&lt;"&amp;DATE(YEAR(W$3),MONTH(W$3)+1,1)))</f>
        <v/>
      </c>
      <c r="Y147" s="27" t="str">
        <f aca="false">IF($A147="","",SUMIFS(請求台帳!$F$5:$F$504,請求台帳!$C$5:$C$504,$A147,請求台帳!$B$5:$B$504,"&gt;="&amp;Y$3,請求台帳!$B$5:$B$504,"&lt;"&amp;DATE(YEAR(Y$3),MONTH(Y$3)+1,1),請求台帳!$Q$5:$Q$504,"&lt;&gt;取消"))</f>
        <v/>
      </c>
      <c r="Z147" s="27" t="str">
        <f aca="false">IF($A147="","",SUMIFS(入金明細!$E$5:$E$1004,入金明細!$G$5:$G$1004,$A147,入金明細!$B$5:$B$1004,"&gt;="&amp;Y$3,入金明細!$B$5:$B$1004,"&lt;"&amp;DATE(YEAR(Y$3),MONTH(Y$3)+1,1)))</f>
        <v/>
      </c>
      <c r="AA147" s="37" t="n">
        <f aca="false">SUM(C147,E147,G147,I147,K147,M147,O147,Q147,S147,U147,W147,Y147)</f>
        <v>0</v>
      </c>
      <c r="AB147" s="37" t="n">
        <f aca="false">SUM(D147,F147,H147,J147,L147,N147,P147,R147,T147,V147,X147,Z147)</f>
        <v>0</v>
      </c>
    </row>
    <row r="148" customFormat="false" ht="15" hidden="false" customHeight="false" outlineLevel="0" collapsed="false">
      <c r="A148" s="31" t="str">
        <f aca="false">IF(取引先マスタ!A148="","",取引先マスタ!A148)</f>
        <v/>
      </c>
      <c r="B148" s="31" t="str">
        <f aca="false">IF(A148="","",取引先マスタ!B148)</f>
        <v/>
      </c>
      <c r="C148" s="27" t="str">
        <f aca="false">IF($A148="","",SUMIFS(請求台帳!$F$5:$F$504,請求台帳!$C$5:$C$504,$A148,請求台帳!$B$5:$B$504,"&gt;="&amp;C$3,請求台帳!$B$5:$B$504,"&lt;"&amp;DATE(YEAR(C$3),MONTH(C$3)+1,1),請求台帳!$Q$5:$Q$504,"&lt;&gt;取消"))</f>
        <v/>
      </c>
      <c r="D148" s="27" t="str">
        <f aca="false">IF($A148="","",SUMIFS(入金明細!$E$5:$E$1004,入金明細!$G$5:$G$1004,$A148,入金明細!$B$5:$B$1004,"&gt;="&amp;C$3,入金明細!$B$5:$B$1004,"&lt;"&amp;DATE(YEAR(C$3),MONTH(C$3)+1,1)))</f>
        <v/>
      </c>
      <c r="E148" s="27" t="str">
        <f aca="false">IF($A148="","",SUMIFS(請求台帳!$F$5:$F$504,請求台帳!$C$5:$C$504,$A148,請求台帳!$B$5:$B$504,"&gt;="&amp;E$3,請求台帳!$B$5:$B$504,"&lt;"&amp;DATE(YEAR(E$3),MONTH(E$3)+1,1),請求台帳!$Q$5:$Q$504,"&lt;&gt;取消"))</f>
        <v/>
      </c>
      <c r="F148" s="27" t="str">
        <f aca="false">IF($A148="","",SUMIFS(入金明細!$E$5:$E$1004,入金明細!$G$5:$G$1004,$A148,入金明細!$B$5:$B$1004,"&gt;="&amp;E$3,入金明細!$B$5:$B$1004,"&lt;"&amp;DATE(YEAR(E$3),MONTH(E$3)+1,1)))</f>
        <v/>
      </c>
      <c r="G148" s="27" t="str">
        <f aca="false">IF($A148="","",SUMIFS(請求台帳!$F$5:$F$504,請求台帳!$C$5:$C$504,$A148,請求台帳!$B$5:$B$504,"&gt;="&amp;G$3,請求台帳!$B$5:$B$504,"&lt;"&amp;DATE(YEAR(G$3),MONTH(G$3)+1,1),請求台帳!$Q$5:$Q$504,"&lt;&gt;取消"))</f>
        <v/>
      </c>
      <c r="H148" s="27" t="str">
        <f aca="false">IF($A148="","",SUMIFS(入金明細!$E$5:$E$1004,入金明細!$G$5:$G$1004,$A148,入金明細!$B$5:$B$1004,"&gt;="&amp;G$3,入金明細!$B$5:$B$1004,"&lt;"&amp;DATE(YEAR(G$3),MONTH(G$3)+1,1)))</f>
        <v/>
      </c>
      <c r="I148" s="27" t="str">
        <f aca="false">IF($A148="","",SUMIFS(請求台帳!$F$5:$F$504,請求台帳!$C$5:$C$504,$A148,請求台帳!$B$5:$B$504,"&gt;="&amp;I$3,請求台帳!$B$5:$B$504,"&lt;"&amp;DATE(YEAR(I$3),MONTH(I$3)+1,1),請求台帳!$Q$5:$Q$504,"&lt;&gt;取消"))</f>
        <v/>
      </c>
      <c r="J148" s="27" t="str">
        <f aca="false">IF($A148="","",SUMIFS(入金明細!$E$5:$E$1004,入金明細!$G$5:$G$1004,$A148,入金明細!$B$5:$B$1004,"&gt;="&amp;I$3,入金明細!$B$5:$B$1004,"&lt;"&amp;DATE(YEAR(I$3),MONTH(I$3)+1,1)))</f>
        <v/>
      </c>
      <c r="K148" s="27" t="str">
        <f aca="false">IF($A148="","",SUMIFS(請求台帳!$F$5:$F$504,請求台帳!$C$5:$C$504,$A148,請求台帳!$B$5:$B$504,"&gt;="&amp;K$3,請求台帳!$B$5:$B$504,"&lt;"&amp;DATE(YEAR(K$3),MONTH(K$3)+1,1),請求台帳!$Q$5:$Q$504,"&lt;&gt;取消"))</f>
        <v/>
      </c>
      <c r="L148" s="27" t="str">
        <f aca="false">IF($A148="","",SUMIFS(入金明細!$E$5:$E$1004,入金明細!$G$5:$G$1004,$A148,入金明細!$B$5:$B$1004,"&gt;="&amp;K$3,入金明細!$B$5:$B$1004,"&lt;"&amp;DATE(YEAR(K$3),MONTH(K$3)+1,1)))</f>
        <v/>
      </c>
      <c r="M148" s="27" t="str">
        <f aca="false">IF($A148="","",SUMIFS(請求台帳!$F$5:$F$504,請求台帳!$C$5:$C$504,$A148,請求台帳!$B$5:$B$504,"&gt;="&amp;M$3,請求台帳!$B$5:$B$504,"&lt;"&amp;DATE(YEAR(M$3),MONTH(M$3)+1,1),請求台帳!$Q$5:$Q$504,"&lt;&gt;取消"))</f>
        <v/>
      </c>
      <c r="N148" s="27" t="str">
        <f aca="false">IF($A148="","",SUMIFS(入金明細!$E$5:$E$1004,入金明細!$G$5:$G$1004,$A148,入金明細!$B$5:$B$1004,"&gt;="&amp;M$3,入金明細!$B$5:$B$1004,"&lt;"&amp;DATE(YEAR(M$3),MONTH(M$3)+1,1)))</f>
        <v/>
      </c>
      <c r="O148" s="27" t="str">
        <f aca="false">IF($A148="","",SUMIFS(請求台帳!$F$5:$F$504,請求台帳!$C$5:$C$504,$A148,請求台帳!$B$5:$B$504,"&gt;="&amp;O$3,請求台帳!$B$5:$B$504,"&lt;"&amp;DATE(YEAR(O$3),MONTH(O$3)+1,1),請求台帳!$Q$5:$Q$504,"&lt;&gt;取消"))</f>
        <v/>
      </c>
      <c r="P148" s="27" t="str">
        <f aca="false">IF($A148="","",SUMIFS(入金明細!$E$5:$E$1004,入金明細!$G$5:$G$1004,$A148,入金明細!$B$5:$B$1004,"&gt;="&amp;O$3,入金明細!$B$5:$B$1004,"&lt;"&amp;DATE(YEAR(O$3),MONTH(O$3)+1,1)))</f>
        <v/>
      </c>
      <c r="Q148" s="27" t="str">
        <f aca="false">IF($A148="","",SUMIFS(請求台帳!$F$5:$F$504,請求台帳!$C$5:$C$504,$A148,請求台帳!$B$5:$B$504,"&gt;="&amp;Q$3,請求台帳!$B$5:$B$504,"&lt;"&amp;DATE(YEAR(Q$3),MONTH(Q$3)+1,1),請求台帳!$Q$5:$Q$504,"&lt;&gt;取消"))</f>
        <v/>
      </c>
      <c r="R148" s="27" t="str">
        <f aca="false">IF($A148="","",SUMIFS(入金明細!$E$5:$E$1004,入金明細!$G$5:$G$1004,$A148,入金明細!$B$5:$B$1004,"&gt;="&amp;Q$3,入金明細!$B$5:$B$1004,"&lt;"&amp;DATE(YEAR(Q$3),MONTH(Q$3)+1,1)))</f>
        <v/>
      </c>
      <c r="S148" s="27" t="str">
        <f aca="false">IF($A148="","",SUMIFS(請求台帳!$F$5:$F$504,請求台帳!$C$5:$C$504,$A148,請求台帳!$B$5:$B$504,"&gt;="&amp;S$3,請求台帳!$B$5:$B$504,"&lt;"&amp;DATE(YEAR(S$3),MONTH(S$3)+1,1),請求台帳!$Q$5:$Q$504,"&lt;&gt;取消"))</f>
        <v/>
      </c>
      <c r="T148" s="27" t="str">
        <f aca="false">IF($A148="","",SUMIFS(入金明細!$E$5:$E$1004,入金明細!$G$5:$G$1004,$A148,入金明細!$B$5:$B$1004,"&gt;="&amp;S$3,入金明細!$B$5:$B$1004,"&lt;"&amp;DATE(YEAR(S$3),MONTH(S$3)+1,1)))</f>
        <v/>
      </c>
      <c r="U148" s="27" t="str">
        <f aca="false">IF($A148="","",SUMIFS(請求台帳!$F$5:$F$504,請求台帳!$C$5:$C$504,$A148,請求台帳!$B$5:$B$504,"&gt;="&amp;U$3,請求台帳!$B$5:$B$504,"&lt;"&amp;DATE(YEAR(U$3),MONTH(U$3)+1,1),請求台帳!$Q$5:$Q$504,"&lt;&gt;取消"))</f>
        <v/>
      </c>
      <c r="V148" s="27" t="str">
        <f aca="false">IF($A148="","",SUMIFS(入金明細!$E$5:$E$1004,入金明細!$G$5:$G$1004,$A148,入金明細!$B$5:$B$1004,"&gt;="&amp;U$3,入金明細!$B$5:$B$1004,"&lt;"&amp;DATE(YEAR(U$3),MONTH(U$3)+1,1)))</f>
        <v/>
      </c>
      <c r="W148" s="27" t="str">
        <f aca="false">IF($A148="","",SUMIFS(請求台帳!$F$5:$F$504,請求台帳!$C$5:$C$504,$A148,請求台帳!$B$5:$B$504,"&gt;="&amp;W$3,請求台帳!$B$5:$B$504,"&lt;"&amp;DATE(YEAR(W$3),MONTH(W$3)+1,1),請求台帳!$Q$5:$Q$504,"&lt;&gt;取消"))</f>
        <v/>
      </c>
      <c r="X148" s="27" t="str">
        <f aca="false">IF($A148="","",SUMIFS(入金明細!$E$5:$E$1004,入金明細!$G$5:$G$1004,$A148,入金明細!$B$5:$B$1004,"&gt;="&amp;W$3,入金明細!$B$5:$B$1004,"&lt;"&amp;DATE(YEAR(W$3),MONTH(W$3)+1,1)))</f>
        <v/>
      </c>
      <c r="Y148" s="27" t="str">
        <f aca="false">IF($A148="","",SUMIFS(請求台帳!$F$5:$F$504,請求台帳!$C$5:$C$504,$A148,請求台帳!$B$5:$B$504,"&gt;="&amp;Y$3,請求台帳!$B$5:$B$504,"&lt;"&amp;DATE(YEAR(Y$3),MONTH(Y$3)+1,1),請求台帳!$Q$5:$Q$504,"&lt;&gt;取消"))</f>
        <v/>
      </c>
      <c r="Z148" s="27" t="str">
        <f aca="false">IF($A148="","",SUMIFS(入金明細!$E$5:$E$1004,入金明細!$G$5:$G$1004,$A148,入金明細!$B$5:$B$1004,"&gt;="&amp;Y$3,入金明細!$B$5:$B$1004,"&lt;"&amp;DATE(YEAR(Y$3),MONTH(Y$3)+1,1)))</f>
        <v/>
      </c>
      <c r="AA148" s="37" t="n">
        <f aca="false">SUM(C148,E148,G148,I148,K148,M148,O148,Q148,S148,U148,W148,Y148)</f>
        <v>0</v>
      </c>
      <c r="AB148" s="37" t="n">
        <f aca="false">SUM(D148,F148,H148,J148,L148,N148,P148,R148,T148,V148,X148,Z148)</f>
        <v>0</v>
      </c>
    </row>
    <row r="149" customFormat="false" ht="15" hidden="false" customHeight="false" outlineLevel="0" collapsed="false">
      <c r="A149" s="31" t="str">
        <f aca="false">IF(取引先マスタ!A149="","",取引先マスタ!A149)</f>
        <v/>
      </c>
      <c r="B149" s="31" t="str">
        <f aca="false">IF(A149="","",取引先マスタ!B149)</f>
        <v/>
      </c>
      <c r="C149" s="27" t="str">
        <f aca="false">IF($A149="","",SUMIFS(請求台帳!$F$5:$F$504,請求台帳!$C$5:$C$504,$A149,請求台帳!$B$5:$B$504,"&gt;="&amp;C$3,請求台帳!$B$5:$B$504,"&lt;"&amp;DATE(YEAR(C$3),MONTH(C$3)+1,1),請求台帳!$Q$5:$Q$504,"&lt;&gt;取消"))</f>
        <v/>
      </c>
      <c r="D149" s="27" t="str">
        <f aca="false">IF($A149="","",SUMIFS(入金明細!$E$5:$E$1004,入金明細!$G$5:$G$1004,$A149,入金明細!$B$5:$B$1004,"&gt;="&amp;C$3,入金明細!$B$5:$B$1004,"&lt;"&amp;DATE(YEAR(C$3),MONTH(C$3)+1,1)))</f>
        <v/>
      </c>
      <c r="E149" s="27" t="str">
        <f aca="false">IF($A149="","",SUMIFS(請求台帳!$F$5:$F$504,請求台帳!$C$5:$C$504,$A149,請求台帳!$B$5:$B$504,"&gt;="&amp;E$3,請求台帳!$B$5:$B$504,"&lt;"&amp;DATE(YEAR(E$3),MONTH(E$3)+1,1),請求台帳!$Q$5:$Q$504,"&lt;&gt;取消"))</f>
        <v/>
      </c>
      <c r="F149" s="27" t="str">
        <f aca="false">IF($A149="","",SUMIFS(入金明細!$E$5:$E$1004,入金明細!$G$5:$G$1004,$A149,入金明細!$B$5:$B$1004,"&gt;="&amp;E$3,入金明細!$B$5:$B$1004,"&lt;"&amp;DATE(YEAR(E$3),MONTH(E$3)+1,1)))</f>
        <v/>
      </c>
      <c r="G149" s="27" t="str">
        <f aca="false">IF($A149="","",SUMIFS(請求台帳!$F$5:$F$504,請求台帳!$C$5:$C$504,$A149,請求台帳!$B$5:$B$504,"&gt;="&amp;G$3,請求台帳!$B$5:$B$504,"&lt;"&amp;DATE(YEAR(G$3),MONTH(G$3)+1,1),請求台帳!$Q$5:$Q$504,"&lt;&gt;取消"))</f>
        <v/>
      </c>
      <c r="H149" s="27" t="str">
        <f aca="false">IF($A149="","",SUMIFS(入金明細!$E$5:$E$1004,入金明細!$G$5:$G$1004,$A149,入金明細!$B$5:$B$1004,"&gt;="&amp;G$3,入金明細!$B$5:$B$1004,"&lt;"&amp;DATE(YEAR(G$3),MONTH(G$3)+1,1)))</f>
        <v/>
      </c>
      <c r="I149" s="27" t="str">
        <f aca="false">IF($A149="","",SUMIFS(請求台帳!$F$5:$F$504,請求台帳!$C$5:$C$504,$A149,請求台帳!$B$5:$B$504,"&gt;="&amp;I$3,請求台帳!$B$5:$B$504,"&lt;"&amp;DATE(YEAR(I$3),MONTH(I$3)+1,1),請求台帳!$Q$5:$Q$504,"&lt;&gt;取消"))</f>
        <v/>
      </c>
      <c r="J149" s="27" t="str">
        <f aca="false">IF($A149="","",SUMIFS(入金明細!$E$5:$E$1004,入金明細!$G$5:$G$1004,$A149,入金明細!$B$5:$B$1004,"&gt;="&amp;I$3,入金明細!$B$5:$B$1004,"&lt;"&amp;DATE(YEAR(I$3),MONTH(I$3)+1,1)))</f>
        <v/>
      </c>
      <c r="K149" s="27" t="str">
        <f aca="false">IF($A149="","",SUMIFS(請求台帳!$F$5:$F$504,請求台帳!$C$5:$C$504,$A149,請求台帳!$B$5:$B$504,"&gt;="&amp;K$3,請求台帳!$B$5:$B$504,"&lt;"&amp;DATE(YEAR(K$3),MONTH(K$3)+1,1),請求台帳!$Q$5:$Q$504,"&lt;&gt;取消"))</f>
        <v/>
      </c>
      <c r="L149" s="27" t="str">
        <f aca="false">IF($A149="","",SUMIFS(入金明細!$E$5:$E$1004,入金明細!$G$5:$G$1004,$A149,入金明細!$B$5:$B$1004,"&gt;="&amp;K$3,入金明細!$B$5:$B$1004,"&lt;"&amp;DATE(YEAR(K$3),MONTH(K$3)+1,1)))</f>
        <v/>
      </c>
      <c r="M149" s="27" t="str">
        <f aca="false">IF($A149="","",SUMIFS(請求台帳!$F$5:$F$504,請求台帳!$C$5:$C$504,$A149,請求台帳!$B$5:$B$504,"&gt;="&amp;M$3,請求台帳!$B$5:$B$504,"&lt;"&amp;DATE(YEAR(M$3),MONTH(M$3)+1,1),請求台帳!$Q$5:$Q$504,"&lt;&gt;取消"))</f>
        <v/>
      </c>
      <c r="N149" s="27" t="str">
        <f aca="false">IF($A149="","",SUMIFS(入金明細!$E$5:$E$1004,入金明細!$G$5:$G$1004,$A149,入金明細!$B$5:$B$1004,"&gt;="&amp;M$3,入金明細!$B$5:$B$1004,"&lt;"&amp;DATE(YEAR(M$3),MONTH(M$3)+1,1)))</f>
        <v/>
      </c>
      <c r="O149" s="27" t="str">
        <f aca="false">IF($A149="","",SUMIFS(請求台帳!$F$5:$F$504,請求台帳!$C$5:$C$504,$A149,請求台帳!$B$5:$B$504,"&gt;="&amp;O$3,請求台帳!$B$5:$B$504,"&lt;"&amp;DATE(YEAR(O$3),MONTH(O$3)+1,1),請求台帳!$Q$5:$Q$504,"&lt;&gt;取消"))</f>
        <v/>
      </c>
      <c r="P149" s="27" t="str">
        <f aca="false">IF($A149="","",SUMIFS(入金明細!$E$5:$E$1004,入金明細!$G$5:$G$1004,$A149,入金明細!$B$5:$B$1004,"&gt;="&amp;O$3,入金明細!$B$5:$B$1004,"&lt;"&amp;DATE(YEAR(O$3),MONTH(O$3)+1,1)))</f>
        <v/>
      </c>
      <c r="Q149" s="27" t="str">
        <f aca="false">IF($A149="","",SUMIFS(請求台帳!$F$5:$F$504,請求台帳!$C$5:$C$504,$A149,請求台帳!$B$5:$B$504,"&gt;="&amp;Q$3,請求台帳!$B$5:$B$504,"&lt;"&amp;DATE(YEAR(Q$3),MONTH(Q$3)+1,1),請求台帳!$Q$5:$Q$504,"&lt;&gt;取消"))</f>
        <v/>
      </c>
      <c r="R149" s="27" t="str">
        <f aca="false">IF($A149="","",SUMIFS(入金明細!$E$5:$E$1004,入金明細!$G$5:$G$1004,$A149,入金明細!$B$5:$B$1004,"&gt;="&amp;Q$3,入金明細!$B$5:$B$1004,"&lt;"&amp;DATE(YEAR(Q$3),MONTH(Q$3)+1,1)))</f>
        <v/>
      </c>
      <c r="S149" s="27" t="str">
        <f aca="false">IF($A149="","",SUMIFS(請求台帳!$F$5:$F$504,請求台帳!$C$5:$C$504,$A149,請求台帳!$B$5:$B$504,"&gt;="&amp;S$3,請求台帳!$B$5:$B$504,"&lt;"&amp;DATE(YEAR(S$3),MONTH(S$3)+1,1),請求台帳!$Q$5:$Q$504,"&lt;&gt;取消"))</f>
        <v/>
      </c>
      <c r="T149" s="27" t="str">
        <f aca="false">IF($A149="","",SUMIFS(入金明細!$E$5:$E$1004,入金明細!$G$5:$G$1004,$A149,入金明細!$B$5:$B$1004,"&gt;="&amp;S$3,入金明細!$B$5:$B$1004,"&lt;"&amp;DATE(YEAR(S$3),MONTH(S$3)+1,1)))</f>
        <v/>
      </c>
      <c r="U149" s="27" t="str">
        <f aca="false">IF($A149="","",SUMIFS(請求台帳!$F$5:$F$504,請求台帳!$C$5:$C$504,$A149,請求台帳!$B$5:$B$504,"&gt;="&amp;U$3,請求台帳!$B$5:$B$504,"&lt;"&amp;DATE(YEAR(U$3),MONTH(U$3)+1,1),請求台帳!$Q$5:$Q$504,"&lt;&gt;取消"))</f>
        <v/>
      </c>
      <c r="V149" s="27" t="str">
        <f aca="false">IF($A149="","",SUMIFS(入金明細!$E$5:$E$1004,入金明細!$G$5:$G$1004,$A149,入金明細!$B$5:$B$1004,"&gt;="&amp;U$3,入金明細!$B$5:$B$1004,"&lt;"&amp;DATE(YEAR(U$3),MONTH(U$3)+1,1)))</f>
        <v/>
      </c>
      <c r="W149" s="27" t="str">
        <f aca="false">IF($A149="","",SUMIFS(請求台帳!$F$5:$F$504,請求台帳!$C$5:$C$504,$A149,請求台帳!$B$5:$B$504,"&gt;="&amp;W$3,請求台帳!$B$5:$B$504,"&lt;"&amp;DATE(YEAR(W$3),MONTH(W$3)+1,1),請求台帳!$Q$5:$Q$504,"&lt;&gt;取消"))</f>
        <v/>
      </c>
      <c r="X149" s="27" t="str">
        <f aca="false">IF($A149="","",SUMIFS(入金明細!$E$5:$E$1004,入金明細!$G$5:$G$1004,$A149,入金明細!$B$5:$B$1004,"&gt;="&amp;W$3,入金明細!$B$5:$B$1004,"&lt;"&amp;DATE(YEAR(W$3),MONTH(W$3)+1,1)))</f>
        <v/>
      </c>
      <c r="Y149" s="27" t="str">
        <f aca="false">IF($A149="","",SUMIFS(請求台帳!$F$5:$F$504,請求台帳!$C$5:$C$504,$A149,請求台帳!$B$5:$B$504,"&gt;="&amp;Y$3,請求台帳!$B$5:$B$504,"&lt;"&amp;DATE(YEAR(Y$3),MONTH(Y$3)+1,1),請求台帳!$Q$5:$Q$504,"&lt;&gt;取消"))</f>
        <v/>
      </c>
      <c r="Z149" s="27" t="str">
        <f aca="false">IF($A149="","",SUMIFS(入金明細!$E$5:$E$1004,入金明細!$G$5:$G$1004,$A149,入金明細!$B$5:$B$1004,"&gt;="&amp;Y$3,入金明細!$B$5:$B$1004,"&lt;"&amp;DATE(YEAR(Y$3),MONTH(Y$3)+1,1)))</f>
        <v/>
      </c>
      <c r="AA149" s="37" t="n">
        <f aca="false">SUM(C149,E149,G149,I149,K149,M149,O149,Q149,S149,U149,W149,Y149)</f>
        <v>0</v>
      </c>
      <c r="AB149" s="37" t="n">
        <f aca="false">SUM(D149,F149,H149,J149,L149,N149,P149,R149,T149,V149,X149,Z149)</f>
        <v>0</v>
      </c>
    </row>
    <row r="150" customFormat="false" ht="15" hidden="false" customHeight="false" outlineLevel="0" collapsed="false">
      <c r="A150" s="31" t="str">
        <f aca="false">IF(取引先マスタ!A150="","",取引先マスタ!A150)</f>
        <v/>
      </c>
      <c r="B150" s="31" t="str">
        <f aca="false">IF(A150="","",取引先マスタ!B150)</f>
        <v/>
      </c>
      <c r="C150" s="27" t="str">
        <f aca="false">IF($A150="","",SUMIFS(請求台帳!$F$5:$F$504,請求台帳!$C$5:$C$504,$A150,請求台帳!$B$5:$B$504,"&gt;="&amp;C$3,請求台帳!$B$5:$B$504,"&lt;"&amp;DATE(YEAR(C$3),MONTH(C$3)+1,1),請求台帳!$Q$5:$Q$504,"&lt;&gt;取消"))</f>
        <v/>
      </c>
      <c r="D150" s="27" t="str">
        <f aca="false">IF($A150="","",SUMIFS(入金明細!$E$5:$E$1004,入金明細!$G$5:$G$1004,$A150,入金明細!$B$5:$B$1004,"&gt;="&amp;C$3,入金明細!$B$5:$B$1004,"&lt;"&amp;DATE(YEAR(C$3),MONTH(C$3)+1,1)))</f>
        <v/>
      </c>
      <c r="E150" s="27" t="str">
        <f aca="false">IF($A150="","",SUMIFS(請求台帳!$F$5:$F$504,請求台帳!$C$5:$C$504,$A150,請求台帳!$B$5:$B$504,"&gt;="&amp;E$3,請求台帳!$B$5:$B$504,"&lt;"&amp;DATE(YEAR(E$3),MONTH(E$3)+1,1),請求台帳!$Q$5:$Q$504,"&lt;&gt;取消"))</f>
        <v/>
      </c>
      <c r="F150" s="27" t="str">
        <f aca="false">IF($A150="","",SUMIFS(入金明細!$E$5:$E$1004,入金明細!$G$5:$G$1004,$A150,入金明細!$B$5:$B$1004,"&gt;="&amp;E$3,入金明細!$B$5:$B$1004,"&lt;"&amp;DATE(YEAR(E$3),MONTH(E$3)+1,1)))</f>
        <v/>
      </c>
      <c r="G150" s="27" t="str">
        <f aca="false">IF($A150="","",SUMIFS(請求台帳!$F$5:$F$504,請求台帳!$C$5:$C$504,$A150,請求台帳!$B$5:$B$504,"&gt;="&amp;G$3,請求台帳!$B$5:$B$504,"&lt;"&amp;DATE(YEAR(G$3),MONTH(G$3)+1,1),請求台帳!$Q$5:$Q$504,"&lt;&gt;取消"))</f>
        <v/>
      </c>
      <c r="H150" s="27" t="str">
        <f aca="false">IF($A150="","",SUMIFS(入金明細!$E$5:$E$1004,入金明細!$G$5:$G$1004,$A150,入金明細!$B$5:$B$1004,"&gt;="&amp;G$3,入金明細!$B$5:$B$1004,"&lt;"&amp;DATE(YEAR(G$3),MONTH(G$3)+1,1)))</f>
        <v/>
      </c>
      <c r="I150" s="27" t="str">
        <f aca="false">IF($A150="","",SUMIFS(請求台帳!$F$5:$F$504,請求台帳!$C$5:$C$504,$A150,請求台帳!$B$5:$B$504,"&gt;="&amp;I$3,請求台帳!$B$5:$B$504,"&lt;"&amp;DATE(YEAR(I$3),MONTH(I$3)+1,1),請求台帳!$Q$5:$Q$504,"&lt;&gt;取消"))</f>
        <v/>
      </c>
      <c r="J150" s="27" t="str">
        <f aca="false">IF($A150="","",SUMIFS(入金明細!$E$5:$E$1004,入金明細!$G$5:$G$1004,$A150,入金明細!$B$5:$B$1004,"&gt;="&amp;I$3,入金明細!$B$5:$B$1004,"&lt;"&amp;DATE(YEAR(I$3),MONTH(I$3)+1,1)))</f>
        <v/>
      </c>
      <c r="K150" s="27" t="str">
        <f aca="false">IF($A150="","",SUMIFS(請求台帳!$F$5:$F$504,請求台帳!$C$5:$C$504,$A150,請求台帳!$B$5:$B$504,"&gt;="&amp;K$3,請求台帳!$B$5:$B$504,"&lt;"&amp;DATE(YEAR(K$3),MONTH(K$3)+1,1),請求台帳!$Q$5:$Q$504,"&lt;&gt;取消"))</f>
        <v/>
      </c>
      <c r="L150" s="27" t="str">
        <f aca="false">IF($A150="","",SUMIFS(入金明細!$E$5:$E$1004,入金明細!$G$5:$G$1004,$A150,入金明細!$B$5:$B$1004,"&gt;="&amp;K$3,入金明細!$B$5:$B$1004,"&lt;"&amp;DATE(YEAR(K$3),MONTH(K$3)+1,1)))</f>
        <v/>
      </c>
      <c r="M150" s="27" t="str">
        <f aca="false">IF($A150="","",SUMIFS(請求台帳!$F$5:$F$504,請求台帳!$C$5:$C$504,$A150,請求台帳!$B$5:$B$504,"&gt;="&amp;M$3,請求台帳!$B$5:$B$504,"&lt;"&amp;DATE(YEAR(M$3),MONTH(M$3)+1,1),請求台帳!$Q$5:$Q$504,"&lt;&gt;取消"))</f>
        <v/>
      </c>
      <c r="N150" s="27" t="str">
        <f aca="false">IF($A150="","",SUMIFS(入金明細!$E$5:$E$1004,入金明細!$G$5:$G$1004,$A150,入金明細!$B$5:$B$1004,"&gt;="&amp;M$3,入金明細!$B$5:$B$1004,"&lt;"&amp;DATE(YEAR(M$3),MONTH(M$3)+1,1)))</f>
        <v/>
      </c>
      <c r="O150" s="27" t="str">
        <f aca="false">IF($A150="","",SUMIFS(請求台帳!$F$5:$F$504,請求台帳!$C$5:$C$504,$A150,請求台帳!$B$5:$B$504,"&gt;="&amp;O$3,請求台帳!$B$5:$B$504,"&lt;"&amp;DATE(YEAR(O$3),MONTH(O$3)+1,1),請求台帳!$Q$5:$Q$504,"&lt;&gt;取消"))</f>
        <v/>
      </c>
      <c r="P150" s="27" t="str">
        <f aca="false">IF($A150="","",SUMIFS(入金明細!$E$5:$E$1004,入金明細!$G$5:$G$1004,$A150,入金明細!$B$5:$B$1004,"&gt;="&amp;O$3,入金明細!$B$5:$B$1004,"&lt;"&amp;DATE(YEAR(O$3),MONTH(O$3)+1,1)))</f>
        <v/>
      </c>
      <c r="Q150" s="27" t="str">
        <f aca="false">IF($A150="","",SUMIFS(請求台帳!$F$5:$F$504,請求台帳!$C$5:$C$504,$A150,請求台帳!$B$5:$B$504,"&gt;="&amp;Q$3,請求台帳!$B$5:$B$504,"&lt;"&amp;DATE(YEAR(Q$3),MONTH(Q$3)+1,1),請求台帳!$Q$5:$Q$504,"&lt;&gt;取消"))</f>
        <v/>
      </c>
      <c r="R150" s="27" t="str">
        <f aca="false">IF($A150="","",SUMIFS(入金明細!$E$5:$E$1004,入金明細!$G$5:$G$1004,$A150,入金明細!$B$5:$B$1004,"&gt;="&amp;Q$3,入金明細!$B$5:$B$1004,"&lt;"&amp;DATE(YEAR(Q$3),MONTH(Q$3)+1,1)))</f>
        <v/>
      </c>
      <c r="S150" s="27" t="str">
        <f aca="false">IF($A150="","",SUMIFS(請求台帳!$F$5:$F$504,請求台帳!$C$5:$C$504,$A150,請求台帳!$B$5:$B$504,"&gt;="&amp;S$3,請求台帳!$B$5:$B$504,"&lt;"&amp;DATE(YEAR(S$3),MONTH(S$3)+1,1),請求台帳!$Q$5:$Q$504,"&lt;&gt;取消"))</f>
        <v/>
      </c>
      <c r="T150" s="27" t="str">
        <f aca="false">IF($A150="","",SUMIFS(入金明細!$E$5:$E$1004,入金明細!$G$5:$G$1004,$A150,入金明細!$B$5:$B$1004,"&gt;="&amp;S$3,入金明細!$B$5:$B$1004,"&lt;"&amp;DATE(YEAR(S$3),MONTH(S$3)+1,1)))</f>
        <v/>
      </c>
      <c r="U150" s="27" t="str">
        <f aca="false">IF($A150="","",SUMIFS(請求台帳!$F$5:$F$504,請求台帳!$C$5:$C$504,$A150,請求台帳!$B$5:$B$504,"&gt;="&amp;U$3,請求台帳!$B$5:$B$504,"&lt;"&amp;DATE(YEAR(U$3),MONTH(U$3)+1,1),請求台帳!$Q$5:$Q$504,"&lt;&gt;取消"))</f>
        <v/>
      </c>
      <c r="V150" s="27" t="str">
        <f aca="false">IF($A150="","",SUMIFS(入金明細!$E$5:$E$1004,入金明細!$G$5:$G$1004,$A150,入金明細!$B$5:$B$1004,"&gt;="&amp;U$3,入金明細!$B$5:$B$1004,"&lt;"&amp;DATE(YEAR(U$3),MONTH(U$3)+1,1)))</f>
        <v/>
      </c>
      <c r="W150" s="27" t="str">
        <f aca="false">IF($A150="","",SUMIFS(請求台帳!$F$5:$F$504,請求台帳!$C$5:$C$504,$A150,請求台帳!$B$5:$B$504,"&gt;="&amp;W$3,請求台帳!$B$5:$B$504,"&lt;"&amp;DATE(YEAR(W$3),MONTH(W$3)+1,1),請求台帳!$Q$5:$Q$504,"&lt;&gt;取消"))</f>
        <v/>
      </c>
      <c r="X150" s="27" t="str">
        <f aca="false">IF($A150="","",SUMIFS(入金明細!$E$5:$E$1004,入金明細!$G$5:$G$1004,$A150,入金明細!$B$5:$B$1004,"&gt;="&amp;W$3,入金明細!$B$5:$B$1004,"&lt;"&amp;DATE(YEAR(W$3),MONTH(W$3)+1,1)))</f>
        <v/>
      </c>
      <c r="Y150" s="27" t="str">
        <f aca="false">IF($A150="","",SUMIFS(請求台帳!$F$5:$F$504,請求台帳!$C$5:$C$504,$A150,請求台帳!$B$5:$B$504,"&gt;="&amp;Y$3,請求台帳!$B$5:$B$504,"&lt;"&amp;DATE(YEAR(Y$3),MONTH(Y$3)+1,1),請求台帳!$Q$5:$Q$504,"&lt;&gt;取消"))</f>
        <v/>
      </c>
      <c r="Z150" s="27" t="str">
        <f aca="false">IF($A150="","",SUMIFS(入金明細!$E$5:$E$1004,入金明細!$G$5:$G$1004,$A150,入金明細!$B$5:$B$1004,"&gt;="&amp;Y$3,入金明細!$B$5:$B$1004,"&lt;"&amp;DATE(YEAR(Y$3),MONTH(Y$3)+1,1)))</f>
        <v/>
      </c>
      <c r="AA150" s="37" t="n">
        <f aca="false">SUM(C150,E150,G150,I150,K150,M150,O150,Q150,S150,U150,W150,Y150)</f>
        <v>0</v>
      </c>
      <c r="AB150" s="37" t="n">
        <f aca="false">SUM(D150,F150,H150,J150,L150,N150,P150,R150,T150,V150,X150,Z150)</f>
        <v>0</v>
      </c>
    </row>
    <row r="151" customFormat="false" ht="15" hidden="false" customHeight="false" outlineLevel="0" collapsed="false">
      <c r="A151" s="31" t="str">
        <f aca="false">IF(取引先マスタ!A151="","",取引先マスタ!A151)</f>
        <v/>
      </c>
      <c r="B151" s="31" t="str">
        <f aca="false">IF(A151="","",取引先マスタ!B151)</f>
        <v/>
      </c>
      <c r="C151" s="27" t="str">
        <f aca="false">IF($A151="","",SUMIFS(請求台帳!$F$5:$F$504,請求台帳!$C$5:$C$504,$A151,請求台帳!$B$5:$B$504,"&gt;="&amp;C$3,請求台帳!$B$5:$B$504,"&lt;"&amp;DATE(YEAR(C$3),MONTH(C$3)+1,1),請求台帳!$Q$5:$Q$504,"&lt;&gt;取消"))</f>
        <v/>
      </c>
      <c r="D151" s="27" t="str">
        <f aca="false">IF($A151="","",SUMIFS(入金明細!$E$5:$E$1004,入金明細!$G$5:$G$1004,$A151,入金明細!$B$5:$B$1004,"&gt;="&amp;C$3,入金明細!$B$5:$B$1004,"&lt;"&amp;DATE(YEAR(C$3),MONTH(C$3)+1,1)))</f>
        <v/>
      </c>
      <c r="E151" s="27" t="str">
        <f aca="false">IF($A151="","",SUMIFS(請求台帳!$F$5:$F$504,請求台帳!$C$5:$C$504,$A151,請求台帳!$B$5:$B$504,"&gt;="&amp;E$3,請求台帳!$B$5:$B$504,"&lt;"&amp;DATE(YEAR(E$3),MONTH(E$3)+1,1),請求台帳!$Q$5:$Q$504,"&lt;&gt;取消"))</f>
        <v/>
      </c>
      <c r="F151" s="27" t="str">
        <f aca="false">IF($A151="","",SUMIFS(入金明細!$E$5:$E$1004,入金明細!$G$5:$G$1004,$A151,入金明細!$B$5:$B$1004,"&gt;="&amp;E$3,入金明細!$B$5:$B$1004,"&lt;"&amp;DATE(YEAR(E$3),MONTH(E$3)+1,1)))</f>
        <v/>
      </c>
      <c r="G151" s="27" t="str">
        <f aca="false">IF($A151="","",SUMIFS(請求台帳!$F$5:$F$504,請求台帳!$C$5:$C$504,$A151,請求台帳!$B$5:$B$504,"&gt;="&amp;G$3,請求台帳!$B$5:$B$504,"&lt;"&amp;DATE(YEAR(G$3),MONTH(G$3)+1,1),請求台帳!$Q$5:$Q$504,"&lt;&gt;取消"))</f>
        <v/>
      </c>
      <c r="H151" s="27" t="str">
        <f aca="false">IF($A151="","",SUMIFS(入金明細!$E$5:$E$1004,入金明細!$G$5:$G$1004,$A151,入金明細!$B$5:$B$1004,"&gt;="&amp;G$3,入金明細!$B$5:$B$1004,"&lt;"&amp;DATE(YEAR(G$3),MONTH(G$3)+1,1)))</f>
        <v/>
      </c>
      <c r="I151" s="27" t="str">
        <f aca="false">IF($A151="","",SUMIFS(請求台帳!$F$5:$F$504,請求台帳!$C$5:$C$504,$A151,請求台帳!$B$5:$B$504,"&gt;="&amp;I$3,請求台帳!$B$5:$B$504,"&lt;"&amp;DATE(YEAR(I$3),MONTH(I$3)+1,1),請求台帳!$Q$5:$Q$504,"&lt;&gt;取消"))</f>
        <v/>
      </c>
      <c r="J151" s="27" t="str">
        <f aca="false">IF($A151="","",SUMIFS(入金明細!$E$5:$E$1004,入金明細!$G$5:$G$1004,$A151,入金明細!$B$5:$B$1004,"&gt;="&amp;I$3,入金明細!$B$5:$B$1004,"&lt;"&amp;DATE(YEAR(I$3),MONTH(I$3)+1,1)))</f>
        <v/>
      </c>
      <c r="K151" s="27" t="str">
        <f aca="false">IF($A151="","",SUMIFS(請求台帳!$F$5:$F$504,請求台帳!$C$5:$C$504,$A151,請求台帳!$B$5:$B$504,"&gt;="&amp;K$3,請求台帳!$B$5:$B$504,"&lt;"&amp;DATE(YEAR(K$3),MONTH(K$3)+1,1),請求台帳!$Q$5:$Q$504,"&lt;&gt;取消"))</f>
        <v/>
      </c>
      <c r="L151" s="27" t="str">
        <f aca="false">IF($A151="","",SUMIFS(入金明細!$E$5:$E$1004,入金明細!$G$5:$G$1004,$A151,入金明細!$B$5:$B$1004,"&gt;="&amp;K$3,入金明細!$B$5:$B$1004,"&lt;"&amp;DATE(YEAR(K$3),MONTH(K$3)+1,1)))</f>
        <v/>
      </c>
      <c r="M151" s="27" t="str">
        <f aca="false">IF($A151="","",SUMIFS(請求台帳!$F$5:$F$504,請求台帳!$C$5:$C$504,$A151,請求台帳!$B$5:$B$504,"&gt;="&amp;M$3,請求台帳!$B$5:$B$504,"&lt;"&amp;DATE(YEAR(M$3),MONTH(M$3)+1,1),請求台帳!$Q$5:$Q$504,"&lt;&gt;取消"))</f>
        <v/>
      </c>
      <c r="N151" s="27" t="str">
        <f aca="false">IF($A151="","",SUMIFS(入金明細!$E$5:$E$1004,入金明細!$G$5:$G$1004,$A151,入金明細!$B$5:$B$1004,"&gt;="&amp;M$3,入金明細!$B$5:$B$1004,"&lt;"&amp;DATE(YEAR(M$3),MONTH(M$3)+1,1)))</f>
        <v/>
      </c>
      <c r="O151" s="27" t="str">
        <f aca="false">IF($A151="","",SUMIFS(請求台帳!$F$5:$F$504,請求台帳!$C$5:$C$504,$A151,請求台帳!$B$5:$B$504,"&gt;="&amp;O$3,請求台帳!$B$5:$B$504,"&lt;"&amp;DATE(YEAR(O$3),MONTH(O$3)+1,1),請求台帳!$Q$5:$Q$504,"&lt;&gt;取消"))</f>
        <v/>
      </c>
      <c r="P151" s="27" t="str">
        <f aca="false">IF($A151="","",SUMIFS(入金明細!$E$5:$E$1004,入金明細!$G$5:$G$1004,$A151,入金明細!$B$5:$B$1004,"&gt;="&amp;O$3,入金明細!$B$5:$B$1004,"&lt;"&amp;DATE(YEAR(O$3),MONTH(O$3)+1,1)))</f>
        <v/>
      </c>
      <c r="Q151" s="27" t="str">
        <f aca="false">IF($A151="","",SUMIFS(請求台帳!$F$5:$F$504,請求台帳!$C$5:$C$504,$A151,請求台帳!$B$5:$B$504,"&gt;="&amp;Q$3,請求台帳!$B$5:$B$504,"&lt;"&amp;DATE(YEAR(Q$3),MONTH(Q$3)+1,1),請求台帳!$Q$5:$Q$504,"&lt;&gt;取消"))</f>
        <v/>
      </c>
      <c r="R151" s="27" t="str">
        <f aca="false">IF($A151="","",SUMIFS(入金明細!$E$5:$E$1004,入金明細!$G$5:$G$1004,$A151,入金明細!$B$5:$B$1004,"&gt;="&amp;Q$3,入金明細!$B$5:$B$1004,"&lt;"&amp;DATE(YEAR(Q$3),MONTH(Q$3)+1,1)))</f>
        <v/>
      </c>
      <c r="S151" s="27" t="str">
        <f aca="false">IF($A151="","",SUMIFS(請求台帳!$F$5:$F$504,請求台帳!$C$5:$C$504,$A151,請求台帳!$B$5:$B$504,"&gt;="&amp;S$3,請求台帳!$B$5:$B$504,"&lt;"&amp;DATE(YEAR(S$3),MONTH(S$3)+1,1),請求台帳!$Q$5:$Q$504,"&lt;&gt;取消"))</f>
        <v/>
      </c>
      <c r="T151" s="27" t="str">
        <f aca="false">IF($A151="","",SUMIFS(入金明細!$E$5:$E$1004,入金明細!$G$5:$G$1004,$A151,入金明細!$B$5:$B$1004,"&gt;="&amp;S$3,入金明細!$B$5:$B$1004,"&lt;"&amp;DATE(YEAR(S$3),MONTH(S$3)+1,1)))</f>
        <v/>
      </c>
      <c r="U151" s="27" t="str">
        <f aca="false">IF($A151="","",SUMIFS(請求台帳!$F$5:$F$504,請求台帳!$C$5:$C$504,$A151,請求台帳!$B$5:$B$504,"&gt;="&amp;U$3,請求台帳!$B$5:$B$504,"&lt;"&amp;DATE(YEAR(U$3),MONTH(U$3)+1,1),請求台帳!$Q$5:$Q$504,"&lt;&gt;取消"))</f>
        <v/>
      </c>
      <c r="V151" s="27" t="str">
        <f aca="false">IF($A151="","",SUMIFS(入金明細!$E$5:$E$1004,入金明細!$G$5:$G$1004,$A151,入金明細!$B$5:$B$1004,"&gt;="&amp;U$3,入金明細!$B$5:$B$1004,"&lt;"&amp;DATE(YEAR(U$3),MONTH(U$3)+1,1)))</f>
        <v/>
      </c>
      <c r="W151" s="27" t="str">
        <f aca="false">IF($A151="","",SUMIFS(請求台帳!$F$5:$F$504,請求台帳!$C$5:$C$504,$A151,請求台帳!$B$5:$B$504,"&gt;="&amp;W$3,請求台帳!$B$5:$B$504,"&lt;"&amp;DATE(YEAR(W$3),MONTH(W$3)+1,1),請求台帳!$Q$5:$Q$504,"&lt;&gt;取消"))</f>
        <v/>
      </c>
      <c r="X151" s="27" t="str">
        <f aca="false">IF($A151="","",SUMIFS(入金明細!$E$5:$E$1004,入金明細!$G$5:$G$1004,$A151,入金明細!$B$5:$B$1004,"&gt;="&amp;W$3,入金明細!$B$5:$B$1004,"&lt;"&amp;DATE(YEAR(W$3),MONTH(W$3)+1,1)))</f>
        <v/>
      </c>
      <c r="Y151" s="27" t="str">
        <f aca="false">IF($A151="","",SUMIFS(請求台帳!$F$5:$F$504,請求台帳!$C$5:$C$504,$A151,請求台帳!$B$5:$B$504,"&gt;="&amp;Y$3,請求台帳!$B$5:$B$504,"&lt;"&amp;DATE(YEAR(Y$3),MONTH(Y$3)+1,1),請求台帳!$Q$5:$Q$504,"&lt;&gt;取消"))</f>
        <v/>
      </c>
      <c r="Z151" s="27" t="str">
        <f aca="false">IF($A151="","",SUMIFS(入金明細!$E$5:$E$1004,入金明細!$G$5:$G$1004,$A151,入金明細!$B$5:$B$1004,"&gt;="&amp;Y$3,入金明細!$B$5:$B$1004,"&lt;"&amp;DATE(YEAR(Y$3),MONTH(Y$3)+1,1)))</f>
        <v/>
      </c>
      <c r="AA151" s="37" t="n">
        <f aca="false">SUM(C151,E151,G151,I151,K151,M151,O151,Q151,S151,U151,W151,Y151)</f>
        <v>0</v>
      </c>
      <c r="AB151" s="37" t="n">
        <f aca="false">SUM(D151,F151,H151,J151,L151,N151,P151,R151,T151,V151,X151,Z151)</f>
        <v>0</v>
      </c>
    </row>
    <row r="152" customFormat="false" ht="15" hidden="false" customHeight="false" outlineLevel="0" collapsed="false">
      <c r="A152" s="31" t="str">
        <f aca="false">IF(取引先マスタ!A152="","",取引先マスタ!A152)</f>
        <v/>
      </c>
      <c r="B152" s="31" t="str">
        <f aca="false">IF(A152="","",取引先マスタ!B152)</f>
        <v/>
      </c>
      <c r="C152" s="27" t="str">
        <f aca="false">IF($A152="","",SUMIFS(請求台帳!$F$5:$F$504,請求台帳!$C$5:$C$504,$A152,請求台帳!$B$5:$B$504,"&gt;="&amp;C$3,請求台帳!$B$5:$B$504,"&lt;"&amp;DATE(YEAR(C$3),MONTH(C$3)+1,1),請求台帳!$Q$5:$Q$504,"&lt;&gt;取消"))</f>
        <v/>
      </c>
      <c r="D152" s="27" t="str">
        <f aca="false">IF($A152="","",SUMIFS(入金明細!$E$5:$E$1004,入金明細!$G$5:$G$1004,$A152,入金明細!$B$5:$B$1004,"&gt;="&amp;C$3,入金明細!$B$5:$B$1004,"&lt;"&amp;DATE(YEAR(C$3),MONTH(C$3)+1,1)))</f>
        <v/>
      </c>
      <c r="E152" s="27" t="str">
        <f aca="false">IF($A152="","",SUMIFS(請求台帳!$F$5:$F$504,請求台帳!$C$5:$C$504,$A152,請求台帳!$B$5:$B$504,"&gt;="&amp;E$3,請求台帳!$B$5:$B$504,"&lt;"&amp;DATE(YEAR(E$3),MONTH(E$3)+1,1),請求台帳!$Q$5:$Q$504,"&lt;&gt;取消"))</f>
        <v/>
      </c>
      <c r="F152" s="27" t="str">
        <f aca="false">IF($A152="","",SUMIFS(入金明細!$E$5:$E$1004,入金明細!$G$5:$G$1004,$A152,入金明細!$B$5:$B$1004,"&gt;="&amp;E$3,入金明細!$B$5:$B$1004,"&lt;"&amp;DATE(YEAR(E$3),MONTH(E$3)+1,1)))</f>
        <v/>
      </c>
      <c r="G152" s="27" t="str">
        <f aca="false">IF($A152="","",SUMIFS(請求台帳!$F$5:$F$504,請求台帳!$C$5:$C$504,$A152,請求台帳!$B$5:$B$504,"&gt;="&amp;G$3,請求台帳!$B$5:$B$504,"&lt;"&amp;DATE(YEAR(G$3),MONTH(G$3)+1,1),請求台帳!$Q$5:$Q$504,"&lt;&gt;取消"))</f>
        <v/>
      </c>
      <c r="H152" s="27" t="str">
        <f aca="false">IF($A152="","",SUMIFS(入金明細!$E$5:$E$1004,入金明細!$G$5:$G$1004,$A152,入金明細!$B$5:$B$1004,"&gt;="&amp;G$3,入金明細!$B$5:$B$1004,"&lt;"&amp;DATE(YEAR(G$3),MONTH(G$3)+1,1)))</f>
        <v/>
      </c>
      <c r="I152" s="27" t="str">
        <f aca="false">IF($A152="","",SUMIFS(請求台帳!$F$5:$F$504,請求台帳!$C$5:$C$504,$A152,請求台帳!$B$5:$B$504,"&gt;="&amp;I$3,請求台帳!$B$5:$B$504,"&lt;"&amp;DATE(YEAR(I$3),MONTH(I$3)+1,1),請求台帳!$Q$5:$Q$504,"&lt;&gt;取消"))</f>
        <v/>
      </c>
      <c r="J152" s="27" t="str">
        <f aca="false">IF($A152="","",SUMIFS(入金明細!$E$5:$E$1004,入金明細!$G$5:$G$1004,$A152,入金明細!$B$5:$B$1004,"&gt;="&amp;I$3,入金明細!$B$5:$B$1004,"&lt;"&amp;DATE(YEAR(I$3),MONTH(I$3)+1,1)))</f>
        <v/>
      </c>
      <c r="K152" s="27" t="str">
        <f aca="false">IF($A152="","",SUMIFS(請求台帳!$F$5:$F$504,請求台帳!$C$5:$C$504,$A152,請求台帳!$B$5:$B$504,"&gt;="&amp;K$3,請求台帳!$B$5:$B$504,"&lt;"&amp;DATE(YEAR(K$3),MONTH(K$3)+1,1),請求台帳!$Q$5:$Q$504,"&lt;&gt;取消"))</f>
        <v/>
      </c>
      <c r="L152" s="27" t="str">
        <f aca="false">IF($A152="","",SUMIFS(入金明細!$E$5:$E$1004,入金明細!$G$5:$G$1004,$A152,入金明細!$B$5:$B$1004,"&gt;="&amp;K$3,入金明細!$B$5:$B$1004,"&lt;"&amp;DATE(YEAR(K$3),MONTH(K$3)+1,1)))</f>
        <v/>
      </c>
      <c r="M152" s="27" t="str">
        <f aca="false">IF($A152="","",SUMIFS(請求台帳!$F$5:$F$504,請求台帳!$C$5:$C$504,$A152,請求台帳!$B$5:$B$504,"&gt;="&amp;M$3,請求台帳!$B$5:$B$504,"&lt;"&amp;DATE(YEAR(M$3),MONTH(M$3)+1,1),請求台帳!$Q$5:$Q$504,"&lt;&gt;取消"))</f>
        <v/>
      </c>
      <c r="N152" s="27" t="str">
        <f aca="false">IF($A152="","",SUMIFS(入金明細!$E$5:$E$1004,入金明細!$G$5:$G$1004,$A152,入金明細!$B$5:$B$1004,"&gt;="&amp;M$3,入金明細!$B$5:$B$1004,"&lt;"&amp;DATE(YEAR(M$3),MONTH(M$3)+1,1)))</f>
        <v/>
      </c>
      <c r="O152" s="27" t="str">
        <f aca="false">IF($A152="","",SUMIFS(請求台帳!$F$5:$F$504,請求台帳!$C$5:$C$504,$A152,請求台帳!$B$5:$B$504,"&gt;="&amp;O$3,請求台帳!$B$5:$B$504,"&lt;"&amp;DATE(YEAR(O$3),MONTH(O$3)+1,1),請求台帳!$Q$5:$Q$504,"&lt;&gt;取消"))</f>
        <v/>
      </c>
      <c r="P152" s="27" t="str">
        <f aca="false">IF($A152="","",SUMIFS(入金明細!$E$5:$E$1004,入金明細!$G$5:$G$1004,$A152,入金明細!$B$5:$B$1004,"&gt;="&amp;O$3,入金明細!$B$5:$B$1004,"&lt;"&amp;DATE(YEAR(O$3),MONTH(O$3)+1,1)))</f>
        <v/>
      </c>
      <c r="Q152" s="27" t="str">
        <f aca="false">IF($A152="","",SUMIFS(請求台帳!$F$5:$F$504,請求台帳!$C$5:$C$504,$A152,請求台帳!$B$5:$B$504,"&gt;="&amp;Q$3,請求台帳!$B$5:$B$504,"&lt;"&amp;DATE(YEAR(Q$3),MONTH(Q$3)+1,1),請求台帳!$Q$5:$Q$504,"&lt;&gt;取消"))</f>
        <v/>
      </c>
      <c r="R152" s="27" t="str">
        <f aca="false">IF($A152="","",SUMIFS(入金明細!$E$5:$E$1004,入金明細!$G$5:$G$1004,$A152,入金明細!$B$5:$B$1004,"&gt;="&amp;Q$3,入金明細!$B$5:$B$1004,"&lt;"&amp;DATE(YEAR(Q$3),MONTH(Q$3)+1,1)))</f>
        <v/>
      </c>
      <c r="S152" s="27" t="str">
        <f aca="false">IF($A152="","",SUMIFS(請求台帳!$F$5:$F$504,請求台帳!$C$5:$C$504,$A152,請求台帳!$B$5:$B$504,"&gt;="&amp;S$3,請求台帳!$B$5:$B$504,"&lt;"&amp;DATE(YEAR(S$3),MONTH(S$3)+1,1),請求台帳!$Q$5:$Q$504,"&lt;&gt;取消"))</f>
        <v/>
      </c>
      <c r="T152" s="27" t="str">
        <f aca="false">IF($A152="","",SUMIFS(入金明細!$E$5:$E$1004,入金明細!$G$5:$G$1004,$A152,入金明細!$B$5:$B$1004,"&gt;="&amp;S$3,入金明細!$B$5:$B$1004,"&lt;"&amp;DATE(YEAR(S$3),MONTH(S$3)+1,1)))</f>
        <v/>
      </c>
      <c r="U152" s="27" t="str">
        <f aca="false">IF($A152="","",SUMIFS(請求台帳!$F$5:$F$504,請求台帳!$C$5:$C$504,$A152,請求台帳!$B$5:$B$504,"&gt;="&amp;U$3,請求台帳!$B$5:$B$504,"&lt;"&amp;DATE(YEAR(U$3),MONTH(U$3)+1,1),請求台帳!$Q$5:$Q$504,"&lt;&gt;取消"))</f>
        <v/>
      </c>
      <c r="V152" s="27" t="str">
        <f aca="false">IF($A152="","",SUMIFS(入金明細!$E$5:$E$1004,入金明細!$G$5:$G$1004,$A152,入金明細!$B$5:$B$1004,"&gt;="&amp;U$3,入金明細!$B$5:$B$1004,"&lt;"&amp;DATE(YEAR(U$3),MONTH(U$3)+1,1)))</f>
        <v/>
      </c>
      <c r="W152" s="27" t="str">
        <f aca="false">IF($A152="","",SUMIFS(請求台帳!$F$5:$F$504,請求台帳!$C$5:$C$504,$A152,請求台帳!$B$5:$B$504,"&gt;="&amp;W$3,請求台帳!$B$5:$B$504,"&lt;"&amp;DATE(YEAR(W$3),MONTH(W$3)+1,1),請求台帳!$Q$5:$Q$504,"&lt;&gt;取消"))</f>
        <v/>
      </c>
      <c r="X152" s="27" t="str">
        <f aca="false">IF($A152="","",SUMIFS(入金明細!$E$5:$E$1004,入金明細!$G$5:$G$1004,$A152,入金明細!$B$5:$B$1004,"&gt;="&amp;W$3,入金明細!$B$5:$B$1004,"&lt;"&amp;DATE(YEAR(W$3),MONTH(W$3)+1,1)))</f>
        <v/>
      </c>
      <c r="Y152" s="27" t="str">
        <f aca="false">IF($A152="","",SUMIFS(請求台帳!$F$5:$F$504,請求台帳!$C$5:$C$504,$A152,請求台帳!$B$5:$B$504,"&gt;="&amp;Y$3,請求台帳!$B$5:$B$504,"&lt;"&amp;DATE(YEAR(Y$3),MONTH(Y$3)+1,1),請求台帳!$Q$5:$Q$504,"&lt;&gt;取消"))</f>
        <v/>
      </c>
      <c r="Z152" s="27" t="str">
        <f aca="false">IF($A152="","",SUMIFS(入金明細!$E$5:$E$1004,入金明細!$G$5:$G$1004,$A152,入金明細!$B$5:$B$1004,"&gt;="&amp;Y$3,入金明細!$B$5:$B$1004,"&lt;"&amp;DATE(YEAR(Y$3),MONTH(Y$3)+1,1)))</f>
        <v/>
      </c>
      <c r="AA152" s="37" t="n">
        <f aca="false">SUM(C152,E152,G152,I152,K152,M152,O152,Q152,S152,U152,W152,Y152)</f>
        <v>0</v>
      </c>
      <c r="AB152" s="37" t="n">
        <f aca="false">SUM(D152,F152,H152,J152,L152,N152,P152,R152,T152,V152,X152,Z152)</f>
        <v>0</v>
      </c>
    </row>
    <row r="153" customFormat="false" ht="15" hidden="false" customHeight="false" outlineLevel="0" collapsed="false">
      <c r="A153" s="31" t="str">
        <f aca="false">IF(取引先マスタ!A153="","",取引先マスタ!A153)</f>
        <v/>
      </c>
      <c r="B153" s="31" t="str">
        <f aca="false">IF(A153="","",取引先マスタ!B153)</f>
        <v/>
      </c>
      <c r="C153" s="27" t="str">
        <f aca="false">IF($A153="","",SUMIFS(請求台帳!$F$5:$F$504,請求台帳!$C$5:$C$504,$A153,請求台帳!$B$5:$B$504,"&gt;="&amp;C$3,請求台帳!$B$5:$B$504,"&lt;"&amp;DATE(YEAR(C$3),MONTH(C$3)+1,1),請求台帳!$Q$5:$Q$504,"&lt;&gt;取消"))</f>
        <v/>
      </c>
      <c r="D153" s="27" t="str">
        <f aca="false">IF($A153="","",SUMIFS(入金明細!$E$5:$E$1004,入金明細!$G$5:$G$1004,$A153,入金明細!$B$5:$B$1004,"&gt;="&amp;C$3,入金明細!$B$5:$B$1004,"&lt;"&amp;DATE(YEAR(C$3),MONTH(C$3)+1,1)))</f>
        <v/>
      </c>
      <c r="E153" s="27" t="str">
        <f aca="false">IF($A153="","",SUMIFS(請求台帳!$F$5:$F$504,請求台帳!$C$5:$C$504,$A153,請求台帳!$B$5:$B$504,"&gt;="&amp;E$3,請求台帳!$B$5:$B$504,"&lt;"&amp;DATE(YEAR(E$3),MONTH(E$3)+1,1),請求台帳!$Q$5:$Q$504,"&lt;&gt;取消"))</f>
        <v/>
      </c>
      <c r="F153" s="27" t="str">
        <f aca="false">IF($A153="","",SUMIFS(入金明細!$E$5:$E$1004,入金明細!$G$5:$G$1004,$A153,入金明細!$B$5:$B$1004,"&gt;="&amp;E$3,入金明細!$B$5:$B$1004,"&lt;"&amp;DATE(YEAR(E$3),MONTH(E$3)+1,1)))</f>
        <v/>
      </c>
      <c r="G153" s="27" t="str">
        <f aca="false">IF($A153="","",SUMIFS(請求台帳!$F$5:$F$504,請求台帳!$C$5:$C$504,$A153,請求台帳!$B$5:$B$504,"&gt;="&amp;G$3,請求台帳!$B$5:$B$504,"&lt;"&amp;DATE(YEAR(G$3),MONTH(G$3)+1,1),請求台帳!$Q$5:$Q$504,"&lt;&gt;取消"))</f>
        <v/>
      </c>
      <c r="H153" s="27" t="str">
        <f aca="false">IF($A153="","",SUMIFS(入金明細!$E$5:$E$1004,入金明細!$G$5:$G$1004,$A153,入金明細!$B$5:$B$1004,"&gt;="&amp;G$3,入金明細!$B$5:$B$1004,"&lt;"&amp;DATE(YEAR(G$3),MONTH(G$3)+1,1)))</f>
        <v/>
      </c>
      <c r="I153" s="27" t="str">
        <f aca="false">IF($A153="","",SUMIFS(請求台帳!$F$5:$F$504,請求台帳!$C$5:$C$504,$A153,請求台帳!$B$5:$B$504,"&gt;="&amp;I$3,請求台帳!$B$5:$B$504,"&lt;"&amp;DATE(YEAR(I$3),MONTH(I$3)+1,1),請求台帳!$Q$5:$Q$504,"&lt;&gt;取消"))</f>
        <v/>
      </c>
      <c r="J153" s="27" t="str">
        <f aca="false">IF($A153="","",SUMIFS(入金明細!$E$5:$E$1004,入金明細!$G$5:$G$1004,$A153,入金明細!$B$5:$B$1004,"&gt;="&amp;I$3,入金明細!$B$5:$B$1004,"&lt;"&amp;DATE(YEAR(I$3),MONTH(I$3)+1,1)))</f>
        <v/>
      </c>
      <c r="K153" s="27" t="str">
        <f aca="false">IF($A153="","",SUMIFS(請求台帳!$F$5:$F$504,請求台帳!$C$5:$C$504,$A153,請求台帳!$B$5:$B$504,"&gt;="&amp;K$3,請求台帳!$B$5:$B$504,"&lt;"&amp;DATE(YEAR(K$3),MONTH(K$3)+1,1),請求台帳!$Q$5:$Q$504,"&lt;&gt;取消"))</f>
        <v/>
      </c>
      <c r="L153" s="27" t="str">
        <f aca="false">IF($A153="","",SUMIFS(入金明細!$E$5:$E$1004,入金明細!$G$5:$G$1004,$A153,入金明細!$B$5:$B$1004,"&gt;="&amp;K$3,入金明細!$B$5:$B$1004,"&lt;"&amp;DATE(YEAR(K$3),MONTH(K$3)+1,1)))</f>
        <v/>
      </c>
      <c r="M153" s="27" t="str">
        <f aca="false">IF($A153="","",SUMIFS(請求台帳!$F$5:$F$504,請求台帳!$C$5:$C$504,$A153,請求台帳!$B$5:$B$504,"&gt;="&amp;M$3,請求台帳!$B$5:$B$504,"&lt;"&amp;DATE(YEAR(M$3),MONTH(M$3)+1,1),請求台帳!$Q$5:$Q$504,"&lt;&gt;取消"))</f>
        <v/>
      </c>
      <c r="N153" s="27" t="str">
        <f aca="false">IF($A153="","",SUMIFS(入金明細!$E$5:$E$1004,入金明細!$G$5:$G$1004,$A153,入金明細!$B$5:$B$1004,"&gt;="&amp;M$3,入金明細!$B$5:$B$1004,"&lt;"&amp;DATE(YEAR(M$3),MONTH(M$3)+1,1)))</f>
        <v/>
      </c>
      <c r="O153" s="27" t="str">
        <f aca="false">IF($A153="","",SUMIFS(請求台帳!$F$5:$F$504,請求台帳!$C$5:$C$504,$A153,請求台帳!$B$5:$B$504,"&gt;="&amp;O$3,請求台帳!$B$5:$B$504,"&lt;"&amp;DATE(YEAR(O$3),MONTH(O$3)+1,1),請求台帳!$Q$5:$Q$504,"&lt;&gt;取消"))</f>
        <v/>
      </c>
      <c r="P153" s="27" t="str">
        <f aca="false">IF($A153="","",SUMIFS(入金明細!$E$5:$E$1004,入金明細!$G$5:$G$1004,$A153,入金明細!$B$5:$B$1004,"&gt;="&amp;O$3,入金明細!$B$5:$B$1004,"&lt;"&amp;DATE(YEAR(O$3),MONTH(O$3)+1,1)))</f>
        <v/>
      </c>
      <c r="Q153" s="27" t="str">
        <f aca="false">IF($A153="","",SUMIFS(請求台帳!$F$5:$F$504,請求台帳!$C$5:$C$504,$A153,請求台帳!$B$5:$B$504,"&gt;="&amp;Q$3,請求台帳!$B$5:$B$504,"&lt;"&amp;DATE(YEAR(Q$3),MONTH(Q$3)+1,1),請求台帳!$Q$5:$Q$504,"&lt;&gt;取消"))</f>
        <v/>
      </c>
      <c r="R153" s="27" t="str">
        <f aca="false">IF($A153="","",SUMIFS(入金明細!$E$5:$E$1004,入金明細!$G$5:$G$1004,$A153,入金明細!$B$5:$B$1004,"&gt;="&amp;Q$3,入金明細!$B$5:$B$1004,"&lt;"&amp;DATE(YEAR(Q$3),MONTH(Q$3)+1,1)))</f>
        <v/>
      </c>
      <c r="S153" s="27" t="str">
        <f aca="false">IF($A153="","",SUMIFS(請求台帳!$F$5:$F$504,請求台帳!$C$5:$C$504,$A153,請求台帳!$B$5:$B$504,"&gt;="&amp;S$3,請求台帳!$B$5:$B$504,"&lt;"&amp;DATE(YEAR(S$3),MONTH(S$3)+1,1),請求台帳!$Q$5:$Q$504,"&lt;&gt;取消"))</f>
        <v/>
      </c>
      <c r="T153" s="27" t="str">
        <f aca="false">IF($A153="","",SUMIFS(入金明細!$E$5:$E$1004,入金明細!$G$5:$G$1004,$A153,入金明細!$B$5:$B$1004,"&gt;="&amp;S$3,入金明細!$B$5:$B$1004,"&lt;"&amp;DATE(YEAR(S$3),MONTH(S$3)+1,1)))</f>
        <v/>
      </c>
      <c r="U153" s="27" t="str">
        <f aca="false">IF($A153="","",SUMIFS(請求台帳!$F$5:$F$504,請求台帳!$C$5:$C$504,$A153,請求台帳!$B$5:$B$504,"&gt;="&amp;U$3,請求台帳!$B$5:$B$504,"&lt;"&amp;DATE(YEAR(U$3),MONTH(U$3)+1,1),請求台帳!$Q$5:$Q$504,"&lt;&gt;取消"))</f>
        <v/>
      </c>
      <c r="V153" s="27" t="str">
        <f aca="false">IF($A153="","",SUMIFS(入金明細!$E$5:$E$1004,入金明細!$G$5:$G$1004,$A153,入金明細!$B$5:$B$1004,"&gt;="&amp;U$3,入金明細!$B$5:$B$1004,"&lt;"&amp;DATE(YEAR(U$3),MONTH(U$3)+1,1)))</f>
        <v/>
      </c>
      <c r="W153" s="27" t="str">
        <f aca="false">IF($A153="","",SUMIFS(請求台帳!$F$5:$F$504,請求台帳!$C$5:$C$504,$A153,請求台帳!$B$5:$B$504,"&gt;="&amp;W$3,請求台帳!$B$5:$B$504,"&lt;"&amp;DATE(YEAR(W$3),MONTH(W$3)+1,1),請求台帳!$Q$5:$Q$504,"&lt;&gt;取消"))</f>
        <v/>
      </c>
      <c r="X153" s="27" t="str">
        <f aca="false">IF($A153="","",SUMIFS(入金明細!$E$5:$E$1004,入金明細!$G$5:$G$1004,$A153,入金明細!$B$5:$B$1004,"&gt;="&amp;W$3,入金明細!$B$5:$B$1004,"&lt;"&amp;DATE(YEAR(W$3),MONTH(W$3)+1,1)))</f>
        <v/>
      </c>
      <c r="Y153" s="27" t="str">
        <f aca="false">IF($A153="","",SUMIFS(請求台帳!$F$5:$F$504,請求台帳!$C$5:$C$504,$A153,請求台帳!$B$5:$B$504,"&gt;="&amp;Y$3,請求台帳!$B$5:$B$504,"&lt;"&amp;DATE(YEAR(Y$3),MONTH(Y$3)+1,1),請求台帳!$Q$5:$Q$504,"&lt;&gt;取消"))</f>
        <v/>
      </c>
      <c r="Z153" s="27" t="str">
        <f aca="false">IF($A153="","",SUMIFS(入金明細!$E$5:$E$1004,入金明細!$G$5:$G$1004,$A153,入金明細!$B$5:$B$1004,"&gt;="&amp;Y$3,入金明細!$B$5:$B$1004,"&lt;"&amp;DATE(YEAR(Y$3),MONTH(Y$3)+1,1)))</f>
        <v/>
      </c>
      <c r="AA153" s="37" t="n">
        <f aca="false">SUM(C153,E153,G153,I153,K153,M153,O153,Q153,S153,U153,W153,Y153)</f>
        <v>0</v>
      </c>
      <c r="AB153" s="37" t="n">
        <f aca="false">SUM(D153,F153,H153,J153,L153,N153,P153,R153,T153,V153,X153,Z153)</f>
        <v>0</v>
      </c>
    </row>
    <row r="154" customFormat="false" ht="15" hidden="false" customHeight="false" outlineLevel="0" collapsed="false">
      <c r="A154" s="31" t="str">
        <f aca="false">IF(取引先マスタ!A154="","",取引先マスタ!A154)</f>
        <v/>
      </c>
      <c r="B154" s="31" t="str">
        <f aca="false">IF(A154="","",取引先マスタ!B154)</f>
        <v/>
      </c>
      <c r="C154" s="27" t="str">
        <f aca="false">IF($A154="","",SUMIFS(請求台帳!$F$5:$F$504,請求台帳!$C$5:$C$504,$A154,請求台帳!$B$5:$B$504,"&gt;="&amp;C$3,請求台帳!$B$5:$B$504,"&lt;"&amp;DATE(YEAR(C$3),MONTH(C$3)+1,1),請求台帳!$Q$5:$Q$504,"&lt;&gt;取消"))</f>
        <v/>
      </c>
      <c r="D154" s="27" t="str">
        <f aca="false">IF($A154="","",SUMIFS(入金明細!$E$5:$E$1004,入金明細!$G$5:$G$1004,$A154,入金明細!$B$5:$B$1004,"&gt;="&amp;C$3,入金明細!$B$5:$B$1004,"&lt;"&amp;DATE(YEAR(C$3),MONTH(C$3)+1,1)))</f>
        <v/>
      </c>
      <c r="E154" s="27" t="str">
        <f aca="false">IF($A154="","",SUMIFS(請求台帳!$F$5:$F$504,請求台帳!$C$5:$C$504,$A154,請求台帳!$B$5:$B$504,"&gt;="&amp;E$3,請求台帳!$B$5:$B$504,"&lt;"&amp;DATE(YEAR(E$3),MONTH(E$3)+1,1),請求台帳!$Q$5:$Q$504,"&lt;&gt;取消"))</f>
        <v/>
      </c>
      <c r="F154" s="27" t="str">
        <f aca="false">IF($A154="","",SUMIFS(入金明細!$E$5:$E$1004,入金明細!$G$5:$G$1004,$A154,入金明細!$B$5:$B$1004,"&gt;="&amp;E$3,入金明細!$B$5:$B$1004,"&lt;"&amp;DATE(YEAR(E$3),MONTH(E$3)+1,1)))</f>
        <v/>
      </c>
      <c r="G154" s="27" t="str">
        <f aca="false">IF($A154="","",SUMIFS(請求台帳!$F$5:$F$504,請求台帳!$C$5:$C$504,$A154,請求台帳!$B$5:$B$504,"&gt;="&amp;G$3,請求台帳!$B$5:$B$504,"&lt;"&amp;DATE(YEAR(G$3),MONTH(G$3)+1,1),請求台帳!$Q$5:$Q$504,"&lt;&gt;取消"))</f>
        <v/>
      </c>
      <c r="H154" s="27" t="str">
        <f aca="false">IF($A154="","",SUMIFS(入金明細!$E$5:$E$1004,入金明細!$G$5:$G$1004,$A154,入金明細!$B$5:$B$1004,"&gt;="&amp;G$3,入金明細!$B$5:$B$1004,"&lt;"&amp;DATE(YEAR(G$3),MONTH(G$3)+1,1)))</f>
        <v/>
      </c>
      <c r="I154" s="27" t="str">
        <f aca="false">IF($A154="","",SUMIFS(請求台帳!$F$5:$F$504,請求台帳!$C$5:$C$504,$A154,請求台帳!$B$5:$B$504,"&gt;="&amp;I$3,請求台帳!$B$5:$B$504,"&lt;"&amp;DATE(YEAR(I$3),MONTH(I$3)+1,1),請求台帳!$Q$5:$Q$504,"&lt;&gt;取消"))</f>
        <v/>
      </c>
      <c r="J154" s="27" t="str">
        <f aca="false">IF($A154="","",SUMIFS(入金明細!$E$5:$E$1004,入金明細!$G$5:$G$1004,$A154,入金明細!$B$5:$B$1004,"&gt;="&amp;I$3,入金明細!$B$5:$B$1004,"&lt;"&amp;DATE(YEAR(I$3),MONTH(I$3)+1,1)))</f>
        <v/>
      </c>
      <c r="K154" s="27" t="str">
        <f aca="false">IF($A154="","",SUMIFS(請求台帳!$F$5:$F$504,請求台帳!$C$5:$C$504,$A154,請求台帳!$B$5:$B$504,"&gt;="&amp;K$3,請求台帳!$B$5:$B$504,"&lt;"&amp;DATE(YEAR(K$3),MONTH(K$3)+1,1),請求台帳!$Q$5:$Q$504,"&lt;&gt;取消"))</f>
        <v/>
      </c>
      <c r="L154" s="27" t="str">
        <f aca="false">IF($A154="","",SUMIFS(入金明細!$E$5:$E$1004,入金明細!$G$5:$G$1004,$A154,入金明細!$B$5:$B$1004,"&gt;="&amp;K$3,入金明細!$B$5:$B$1004,"&lt;"&amp;DATE(YEAR(K$3),MONTH(K$3)+1,1)))</f>
        <v/>
      </c>
      <c r="M154" s="27" t="str">
        <f aca="false">IF($A154="","",SUMIFS(請求台帳!$F$5:$F$504,請求台帳!$C$5:$C$504,$A154,請求台帳!$B$5:$B$504,"&gt;="&amp;M$3,請求台帳!$B$5:$B$504,"&lt;"&amp;DATE(YEAR(M$3),MONTH(M$3)+1,1),請求台帳!$Q$5:$Q$504,"&lt;&gt;取消"))</f>
        <v/>
      </c>
      <c r="N154" s="27" t="str">
        <f aca="false">IF($A154="","",SUMIFS(入金明細!$E$5:$E$1004,入金明細!$G$5:$G$1004,$A154,入金明細!$B$5:$B$1004,"&gt;="&amp;M$3,入金明細!$B$5:$B$1004,"&lt;"&amp;DATE(YEAR(M$3),MONTH(M$3)+1,1)))</f>
        <v/>
      </c>
      <c r="O154" s="27" t="str">
        <f aca="false">IF($A154="","",SUMIFS(請求台帳!$F$5:$F$504,請求台帳!$C$5:$C$504,$A154,請求台帳!$B$5:$B$504,"&gt;="&amp;O$3,請求台帳!$B$5:$B$504,"&lt;"&amp;DATE(YEAR(O$3),MONTH(O$3)+1,1),請求台帳!$Q$5:$Q$504,"&lt;&gt;取消"))</f>
        <v/>
      </c>
      <c r="P154" s="27" t="str">
        <f aca="false">IF($A154="","",SUMIFS(入金明細!$E$5:$E$1004,入金明細!$G$5:$G$1004,$A154,入金明細!$B$5:$B$1004,"&gt;="&amp;O$3,入金明細!$B$5:$B$1004,"&lt;"&amp;DATE(YEAR(O$3),MONTH(O$3)+1,1)))</f>
        <v/>
      </c>
      <c r="Q154" s="27" t="str">
        <f aca="false">IF($A154="","",SUMIFS(請求台帳!$F$5:$F$504,請求台帳!$C$5:$C$504,$A154,請求台帳!$B$5:$B$504,"&gt;="&amp;Q$3,請求台帳!$B$5:$B$504,"&lt;"&amp;DATE(YEAR(Q$3),MONTH(Q$3)+1,1),請求台帳!$Q$5:$Q$504,"&lt;&gt;取消"))</f>
        <v/>
      </c>
      <c r="R154" s="27" t="str">
        <f aca="false">IF($A154="","",SUMIFS(入金明細!$E$5:$E$1004,入金明細!$G$5:$G$1004,$A154,入金明細!$B$5:$B$1004,"&gt;="&amp;Q$3,入金明細!$B$5:$B$1004,"&lt;"&amp;DATE(YEAR(Q$3),MONTH(Q$3)+1,1)))</f>
        <v/>
      </c>
      <c r="S154" s="27" t="str">
        <f aca="false">IF($A154="","",SUMIFS(請求台帳!$F$5:$F$504,請求台帳!$C$5:$C$504,$A154,請求台帳!$B$5:$B$504,"&gt;="&amp;S$3,請求台帳!$B$5:$B$504,"&lt;"&amp;DATE(YEAR(S$3),MONTH(S$3)+1,1),請求台帳!$Q$5:$Q$504,"&lt;&gt;取消"))</f>
        <v/>
      </c>
      <c r="T154" s="27" t="str">
        <f aca="false">IF($A154="","",SUMIFS(入金明細!$E$5:$E$1004,入金明細!$G$5:$G$1004,$A154,入金明細!$B$5:$B$1004,"&gt;="&amp;S$3,入金明細!$B$5:$B$1004,"&lt;"&amp;DATE(YEAR(S$3),MONTH(S$3)+1,1)))</f>
        <v/>
      </c>
      <c r="U154" s="27" t="str">
        <f aca="false">IF($A154="","",SUMIFS(請求台帳!$F$5:$F$504,請求台帳!$C$5:$C$504,$A154,請求台帳!$B$5:$B$504,"&gt;="&amp;U$3,請求台帳!$B$5:$B$504,"&lt;"&amp;DATE(YEAR(U$3),MONTH(U$3)+1,1),請求台帳!$Q$5:$Q$504,"&lt;&gt;取消"))</f>
        <v/>
      </c>
      <c r="V154" s="27" t="str">
        <f aca="false">IF($A154="","",SUMIFS(入金明細!$E$5:$E$1004,入金明細!$G$5:$G$1004,$A154,入金明細!$B$5:$B$1004,"&gt;="&amp;U$3,入金明細!$B$5:$B$1004,"&lt;"&amp;DATE(YEAR(U$3),MONTH(U$3)+1,1)))</f>
        <v/>
      </c>
      <c r="W154" s="27" t="str">
        <f aca="false">IF($A154="","",SUMIFS(請求台帳!$F$5:$F$504,請求台帳!$C$5:$C$504,$A154,請求台帳!$B$5:$B$504,"&gt;="&amp;W$3,請求台帳!$B$5:$B$504,"&lt;"&amp;DATE(YEAR(W$3),MONTH(W$3)+1,1),請求台帳!$Q$5:$Q$504,"&lt;&gt;取消"))</f>
        <v/>
      </c>
      <c r="X154" s="27" t="str">
        <f aca="false">IF($A154="","",SUMIFS(入金明細!$E$5:$E$1004,入金明細!$G$5:$G$1004,$A154,入金明細!$B$5:$B$1004,"&gt;="&amp;W$3,入金明細!$B$5:$B$1004,"&lt;"&amp;DATE(YEAR(W$3),MONTH(W$3)+1,1)))</f>
        <v/>
      </c>
      <c r="Y154" s="27" t="str">
        <f aca="false">IF($A154="","",SUMIFS(請求台帳!$F$5:$F$504,請求台帳!$C$5:$C$504,$A154,請求台帳!$B$5:$B$504,"&gt;="&amp;Y$3,請求台帳!$B$5:$B$504,"&lt;"&amp;DATE(YEAR(Y$3),MONTH(Y$3)+1,1),請求台帳!$Q$5:$Q$504,"&lt;&gt;取消"))</f>
        <v/>
      </c>
      <c r="Z154" s="27" t="str">
        <f aca="false">IF($A154="","",SUMIFS(入金明細!$E$5:$E$1004,入金明細!$G$5:$G$1004,$A154,入金明細!$B$5:$B$1004,"&gt;="&amp;Y$3,入金明細!$B$5:$B$1004,"&lt;"&amp;DATE(YEAR(Y$3),MONTH(Y$3)+1,1)))</f>
        <v/>
      </c>
      <c r="AA154" s="37" t="n">
        <f aca="false">SUM(C154,E154,G154,I154,K154,M154,O154,Q154,S154,U154,W154,Y154)</f>
        <v>0</v>
      </c>
      <c r="AB154" s="37" t="n">
        <f aca="false">SUM(D154,F154,H154,J154,L154,N154,P154,R154,T154,V154,X154,Z154)</f>
        <v>0</v>
      </c>
    </row>
    <row r="155" customFormat="false" ht="15" hidden="false" customHeight="false" outlineLevel="0" collapsed="false">
      <c r="A155" s="31" t="str">
        <f aca="false">IF(取引先マスタ!A155="","",取引先マスタ!A155)</f>
        <v/>
      </c>
      <c r="B155" s="31" t="str">
        <f aca="false">IF(A155="","",取引先マスタ!B155)</f>
        <v/>
      </c>
      <c r="C155" s="27" t="str">
        <f aca="false">IF($A155="","",SUMIFS(請求台帳!$F$5:$F$504,請求台帳!$C$5:$C$504,$A155,請求台帳!$B$5:$B$504,"&gt;="&amp;C$3,請求台帳!$B$5:$B$504,"&lt;"&amp;DATE(YEAR(C$3),MONTH(C$3)+1,1),請求台帳!$Q$5:$Q$504,"&lt;&gt;取消"))</f>
        <v/>
      </c>
      <c r="D155" s="27" t="str">
        <f aca="false">IF($A155="","",SUMIFS(入金明細!$E$5:$E$1004,入金明細!$G$5:$G$1004,$A155,入金明細!$B$5:$B$1004,"&gt;="&amp;C$3,入金明細!$B$5:$B$1004,"&lt;"&amp;DATE(YEAR(C$3),MONTH(C$3)+1,1)))</f>
        <v/>
      </c>
      <c r="E155" s="27" t="str">
        <f aca="false">IF($A155="","",SUMIFS(請求台帳!$F$5:$F$504,請求台帳!$C$5:$C$504,$A155,請求台帳!$B$5:$B$504,"&gt;="&amp;E$3,請求台帳!$B$5:$B$504,"&lt;"&amp;DATE(YEAR(E$3),MONTH(E$3)+1,1),請求台帳!$Q$5:$Q$504,"&lt;&gt;取消"))</f>
        <v/>
      </c>
      <c r="F155" s="27" t="str">
        <f aca="false">IF($A155="","",SUMIFS(入金明細!$E$5:$E$1004,入金明細!$G$5:$G$1004,$A155,入金明細!$B$5:$B$1004,"&gt;="&amp;E$3,入金明細!$B$5:$B$1004,"&lt;"&amp;DATE(YEAR(E$3),MONTH(E$3)+1,1)))</f>
        <v/>
      </c>
      <c r="G155" s="27" t="str">
        <f aca="false">IF($A155="","",SUMIFS(請求台帳!$F$5:$F$504,請求台帳!$C$5:$C$504,$A155,請求台帳!$B$5:$B$504,"&gt;="&amp;G$3,請求台帳!$B$5:$B$504,"&lt;"&amp;DATE(YEAR(G$3),MONTH(G$3)+1,1),請求台帳!$Q$5:$Q$504,"&lt;&gt;取消"))</f>
        <v/>
      </c>
      <c r="H155" s="27" t="str">
        <f aca="false">IF($A155="","",SUMIFS(入金明細!$E$5:$E$1004,入金明細!$G$5:$G$1004,$A155,入金明細!$B$5:$B$1004,"&gt;="&amp;G$3,入金明細!$B$5:$B$1004,"&lt;"&amp;DATE(YEAR(G$3),MONTH(G$3)+1,1)))</f>
        <v/>
      </c>
      <c r="I155" s="27" t="str">
        <f aca="false">IF($A155="","",SUMIFS(請求台帳!$F$5:$F$504,請求台帳!$C$5:$C$504,$A155,請求台帳!$B$5:$B$504,"&gt;="&amp;I$3,請求台帳!$B$5:$B$504,"&lt;"&amp;DATE(YEAR(I$3),MONTH(I$3)+1,1),請求台帳!$Q$5:$Q$504,"&lt;&gt;取消"))</f>
        <v/>
      </c>
      <c r="J155" s="27" t="str">
        <f aca="false">IF($A155="","",SUMIFS(入金明細!$E$5:$E$1004,入金明細!$G$5:$G$1004,$A155,入金明細!$B$5:$B$1004,"&gt;="&amp;I$3,入金明細!$B$5:$B$1004,"&lt;"&amp;DATE(YEAR(I$3),MONTH(I$3)+1,1)))</f>
        <v/>
      </c>
      <c r="K155" s="27" t="str">
        <f aca="false">IF($A155="","",SUMIFS(請求台帳!$F$5:$F$504,請求台帳!$C$5:$C$504,$A155,請求台帳!$B$5:$B$504,"&gt;="&amp;K$3,請求台帳!$B$5:$B$504,"&lt;"&amp;DATE(YEAR(K$3),MONTH(K$3)+1,1),請求台帳!$Q$5:$Q$504,"&lt;&gt;取消"))</f>
        <v/>
      </c>
      <c r="L155" s="27" t="str">
        <f aca="false">IF($A155="","",SUMIFS(入金明細!$E$5:$E$1004,入金明細!$G$5:$G$1004,$A155,入金明細!$B$5:$B$1004,"&gt;="&amp;K$3,入金明細!$B$5:$B$1004,"&lt;"&amp;DATE(YEAR(K$3),MONTH(K$3)+1,1)))</f>
        <v/>
      </c>
      <c r="M155" s="27" t="str">
        <f aca="false">IF($A155="","",SUMIFS(請求台帳!$F$5:$F$504,請求台帳!$C$5:$C$504,$A155,請求台帳!$B$5:$B$504,"&gt;="&amp;M$3,請求台帳!$B$5:$B$504,"&lt;"&amp;DATE(YEAR(M$3),MONTH(M$3)+1,1),請求台帳!$Q$5:$Q$504,"&lt;&gt;取消"))</f>
        <v/>
      </c>
      <c r="N155" s="27" t="str">
        <f aca="false">IF($A155="","",SUMIFS(入金明細!$E$5:$E$1004,入金明細!$G$5:$G$1004,$A155,入金明細!$B$5:$B$1004,"&gt;="&amp;M$3,入金明細!$B$5:$B$1004,"&lt;"&amp;DATE(YEAR(M$3),MONTH(M$3)+1,1)))</f>
        <v/>
      </c>
      <c r="O155" s="27" t="str">
        <f aca="false">IF($A155="","",SUMIFS(請求台帳!$F$5:$F$504,請求台帳!$C$5:$C$504,$A155,請求台帳!$B$5:$B$504,"&gt;="&amp;O$3,請求台帳!$B$5:$B$504,"&lt;"&amp;DATE(YEAR(O$3),MONTH(O$3)+1,1),請求台帳!$Q$5:$Q$504,"&lt;&gt;取消"))</f>
        <v/>
      </c>
      <c r="P155" s="27" t="str">
        <f aca="false">IF($A155="","",SUMIFS(入金明細!$E$5:$E$1004,入金明細!$G$5:$G$1004,$A155,入金明細!$B$5:$B$1004,"&gt;="&amp;O$3,入金明細!$B$5:$B$1004,"&lt;"&amp;DATE(YEAR(O$3),MONTH(O$3)+1,1)))</f>
        <v/>
      </c>
      <c r="Q155" s="27" t="str">
        <f aca="false">IF($A155="","",SUMIFS(請求台帳!$F$5:$F$504,請求台帳!$C$5:$C$504,$A155,請求台帳!$B$5:$B$504,"&gt;="&amp;Q$3,請求台帳!$B$5:$B$504,"&lt;"&amp;DATE(YEAR(Q$3),MONTH(Q$3)+1,1),請求台帳!$Q$5:$Q$504,"&lt;&gt;取消"))</f>
        <v/>
      </c>
      <c r="R155" s="27" t="str">
        <f aca="false">IF($A155="","",SUMIFS(入金明細!$E$5:$E$1004,入金明細!$G$5:$G$1004,$A155,入金明細!$B$5:$B$1004,"&gt;="&amp;Q$3,入金明細!$B$5:$B$1004,"&lt;"&amp;DATE(YEAR(Q$3),MONTH(Q$3)+1,1)))</f>
        <v/>
      </c>
      <c r="S155" s="27" t="str">
        <f aca="false">IF($A155="","",SUMIFS(請求台帳!$F$5:$F$504,請求台帳!$C$5:$C$504,$A155,請求台帳!$B$5:$B$504,"&gt;="&amp;S$3,請求台帳!$B$5:$B$504,"&lt;"&amp;DATE(YEAR(S$3),MONTH(S$3)+1,1),請求台帳!$Q$5:$Q$504,"&lt;&gt;取消"))</f>
        <v/>
      </c>
      <c r="T155" s="27" t="str">
        <f aca="false">IF($A155="","",SUMIFS(入金明細!$E$5:$E$1004,入金明細!$G$5:$G$1004,$A155,入金明細!$B$5:$B$1004,"&gt;="&amp;S$3,入金明細!$B$5:$B$1004,"&lt;"&amp;DATE(YEAR(S$3),MONTH(S$3)+1,1)))</f>
        <v/>
      </c>
      <c r="U155" s="27" t="str">
        <f aca="false">IF($A155="","",SUMIFS(請求台帳!$F$5:$F$504,請求台帳!$C$5:$C$504,$A155,請求台帳!$B$5:$B$504,"&gt;="&amp;U$3,請求台帳!$B$5:$B$504,"&lt;"&amp;DATE(YEAR(U$3),MONTH(U$3)+1,1),請求台帳!$Q$5:$Q$504,"&lt;&gt;取消"))</f>
        <v/>
      </c>
      <c r="V155" s="27" t="str">
        <f aca="false">IF($A155="","",SUMIFS(入金明細!$E$5:$E$1004,入金明細!$G$5:$G$1004,$A155,入金明細!$B$5:$B$1004,"&gt;="&amp;U$3,入金明細!$B$5:$B$1004,"&lt;"&amp;DATE(YEAR(U$3),MONTH(U$3)+1,1)))</f>
        <v/>
      </c>
      <c r="W155" s="27" t="str">
        <f aca="false">IF($A155="","",SUMIFS(請求台帳!$F$5:$F$504,請求台帳!$C$5:$C$504,$A155,請求台帳!$B$5:$B$504,"&gt;="&amp;W$3,請求台帳!$B$5:$B$504,"&lt;"&amp;DATE(YEAR(W$3),MONTH(W$3)+1,1),請求台帳!$Q$5:$Q$504,"&lt;&gt;取消"))</f>
        <v/>
      </c>
      <c r="X155" s="27" t="str">
        <f aca="false">IF($A155="","",SUMIFS(入金明細!$E$5:$E$1004,入金明細!$G$5:$G$1004,$A155,入金明細!$B$5:$B$1004,"&gt;="&amp;W$3,入金明細!$B$5:$B$1004,"&lt;"&amp;DATE(YEAR(W$3),MONTH(W$3)+1,1)))</f>
        <v/>
      </c>
      <c r="Y155" s="27" t="str">
        <f aca="false">IF($A155="","",SUMIFS(請求台帳!$F$5:$F$504,請求台帳!$C$5:$C$504,$A155,請求台帳!$B$5:$B$504,"&gt;="&amp;Y$3,請求台帳!$B$5:$B$504,"&lt;"&amp;DATE(YEAR(Y$3),MONTH(Y$3)+1,1),請求台帳!$Q$5:$Q$504,"&lt;&gt;取消"))</f>
        <v/>
      </c>
      <c r="Z155" s="27" t="str">
        <f aca="false">IF($A155="","",SUMIFS(入金明細!$E$5:$E$1004,入金明細!$G$5:$G$1004,$A155,入金明細!$B$5:$B$1004,"&gt;="&amp;Y$3,入金明細!$B$5:$B$1004,"&lt;"&amp;DATE(YEAR(Y$3),MONTH(Y$3)+1,1)))</f>
        <v/>
      </c>
      <c r="AA155" s="37" t="n">
        <f aca="false">SUM(C155,E155,G155,I155,K155,M155,O155,Q155,S155,U155,W155,Y155)</f>
        <v>0</v>
      </c>
      <c r="AB155" s="37" t="n">
        <f aca="false">SUM(D155,F155,H155,J155,L155,N155,P155,R155,T155,V155,X155,Z155)</f>
        <v>0</v>
      </c>
    </row>
    <row r="156" customFormat="false" ht="15" hidden="false" customHeight="false" outlineLevel="0" collapsed="false">
      <c r="A156" s="31" t="str">
        <f aca="false">IF(取引先マスタ!A156="","",取引先マスタ!A156)</f>
        <v/>
      </c>
      <c r="B156" s="31" t="str">
        <f aca="false">IF(A156="","",取引先マスタ!B156)</f>
        <v/>
      </c>
      <c r="C156" s="27" t="str">
        <f aca="false">IF($A156="","",SUMIFS(請求台帳!$F$5:$F$504,請求台帳!$C$5:$C$504,$A156,請求台帳!$B$5:$B$504,"&gt;="&amp;C$3,請求台帳!$B$5:$B$504,"&lt;"&amp;DATE(YEAR(C$3),MONTH(C$3)+1,1),請求台帳!$Q$5:$Q$504,"&lt;&gt;取消"))</f>
        <v/>
      </c>
      <c r="D156" s="27" t="str">
        <f aca="false">IF($A156="","",SUMIFS(入金明細!$E$5:$E$1004,入金明細!$G$5:$G$1004,$A156,入金明細!$B$5:$B$1004,"&gt;="&amp;C$3,入金明細!$B$5:$B$1004,"&lt;"&amp;DATE(YEAR(C$3),MONTH(C$3)+1,1)))</f>
        <v/>
      </c>
      <c r="E156" s="27" t="str">
        <f aca="false">IF($A156="","",SUMIFS(請求台帳!$F$5:$F$504,請求台帳!$C$5:$C$504,$A156,請求台帳!$B$5:$B$504,"&gt;="&amp;E$3,請求台帳!$B$5:$B$504,"&lt;"&amp;DATE(YEAR(E$3),MONTH(E$3)+1,1),請求台帳!$Q$5:$Q$504,"&lt;&gt;取消"))</f>
        <v/>
      </c>
      <c r="F156" s="27" t="str">
        <f aca="false">IF($A156="","",SUMIFS(入金明細!$E$5:$E$1004,入金明細!$G$5:$G$1004,$A156,入金明細!$B$5:$B$1004,"&gt;="&amp;E$3,入金明細!$B$5:$B$1004,"&lt;"&amp;DATE(YEAR(E$3),MONTH(E$3)+1,1)))</f>
        <v/>
      </c>
      <c r="G156" s="27" t="str">
        <f aca="false">IF($A156="","",SUMIFS(請求台帳!$F$5:$F$504,請求台帳!$C$5:$C$504,$A156,請求台帳!$B$5:$B$504,"&gt;="&amp;G$3,請求台帳!$B$5:$B$504,"&lt;"&amp;DATE(YEAR(G$3),MONTH(G$3)+1,1),請求台帳!$Q$5:$Q$504,"&lt;&gt;取消"))</f>
        <v/>
      </c>
      <c r="H156" s="27" t="str">
        <f aca="false">IF($A156="","",SUMIFS(入金明細!$E$5:$E$1004,入金明細!$G$5:$G$1004,$A156,入金明細!$B$5:$B$1004,"&gt;="&amp;G$3,入金明細!$B$5:$B$1004,"&lt;"&amp;DATE(YEAR(G$3),MONTH(G$3)+1,1)))</f>
        <v/>
      </c>
      <c r="I156" s="27" t="str">
        <f aca="false">IF($A156="","",SUMIFS(請求台帳!$F$5:$F$504,請求台帳!$C$5:$C$504,$A156,請求台帳!$B$5:$B$504,"&gt;="&amp;I$3,請求台帳!$B$5:$B$504,"&lt;"&amp;DATE(YEAR(I$3),MONTH(I$3)+1,1),請求台帳!$Q$5:$Q$504,"&lt;&gt;取消"))</f>
        <v/>
      </c>
      <c r="J156" s="27" t="str">
        <f aca="false">IF($A156="","",SUMIFS(入金明細!$E$5:$E$1004,入金明細!$G$5:$G$1004,$A156,入金明細!$B$5:$B$1004,"&gt;="&amp;I$3,入金明細!$B$5:$B$1004,"&lt;"&amp;DATE(YEAR(I$3),MONTH(I$3)+1,1)))</f>
        <v/>
      </c>
      <c r="K156" s="27" t="str">
        <f aca="false">IF($A156="","",SUMIFS(請求台帳!$F$5:$F$504,請求台帳!$C$5:$C$504,$A156,請求台帳!$B$5:$B$504,"&gt;="&amp;K$3,請求台帳!$B$5:$B$504,"&lt;"&amp;DATE(YEAR(K$3),MONTH(K$3)+1,1),請求台帳!$Q$5:$Q$504,"&lt;&gt;取消"))</f>
        <v/>
      </c>
      <c r="L156" s="27" t="str">
        <f aca="false">IF($A156="","",SUMIFS(入金明細!$E$5:$E$1004,入金明細!$G$5:$G$1004,$A156,入金明細!$B$5:$B$1004,"&gt;="&amp;K$3,入金明細!$B$5:$B$1004,"&lt;"&amp;DATE(YEAR(K$3),MONTH(K$3)+1,1)))</f>
        <v/>
      </c>
      <c r="M156" s="27" t="str">
        <f aca="false">IF($A156="","",SUMIFS(請求台帳!$F$5:$F$504,請求台帳!$C$5:$C$504,$A156,請求台帳!$B$5:$B$504,"&gt;="&amp;M$3,請求台帳!$B$5:$B$504,"&lt;"&amp;DATE(YEAR(M$3),MONTH(M$3)+1,1),請求台帳!$Q$5:$Q$504,"&lt;&gt;取消"))</f>
        <v/>
      </c>
      <c r="N156" s="27" t="str">
        <f aca="false">IF($A156="","",SUMIFS(入金明細!$E$5:$E$1004,入金明細!$G$5:$G$1004,$A156,入金明細!$B$5:$B$1004,"&gt;="&amp;M$3,入金明細!$B$5:$B$1004,"&lt;"&amp;DATE(YEAR(M$3),MONTH(M$3)+1,1)))</f>
        <v/>
      </c>
      <c r="O156" s="27" t="str">
        <f aca="false">IF($A156="","",SUMIFS(請求台帳!$F$5:$F$504,請求台帳!$C$5:$C$504,$A156,請求台帳!$B$5:$B$504,"&gt;="&amp;O$3,請求台帳!$B$5:$B$504,"&lt;"&amp;DATE(YEAR(O$3),MONTH(O$3)+1,1),請求台帳!$Q$5:$Q$504,"&lt;&gt;取消"))</f>
        <v/>
      </c>
      <c r="P156" s="27" t="str">
        <f aca="false">IF($A156="","",SUMIFS(入金明細!$E$5:$E$1004,入金明細!$G$5:$G$1004,$A156,入金明細!$B$5:$B$1004,"&gt;="&amp;O$3,入金明細!$B$5:$B$1004,"&lt;"&amp;DATE(YEAR(O$3),MONTH(O$3)+1,1)))</f>
        <v/>
      </c>
      <c r="Q156" s="27" t="str">
        <f aca="false">IF($A156="","",SUMIFS(請求台帳!$F$5:$F$504,請求台帳!$C$5:$C$504,$A156,請求台帳!$B$5:$B$504,"&gt;="&amp;Q$3,請求台帳!$B$5:$B$504,"&lt;"&amp;DATE(YEAR(Q$3),MONTH(Q$3)+1,1),請求台帳!$Q$5:$Q$504,"&lt;&gt;取消"))</f>
        <v/>
      </c>
      <c r="R156" s="27" t="str">
        <f aca="false">IF($A156="","",SUMIFS(入金明細!$E$5:$E$1004,入金明細!$G$5:$G$1004,$A156,入金明細!$B$5:$B$1004,"&gt;="&amp;Q$3,入金明細!$B$5:$B$1004,"&lt;"&amp;DATE(YEAR(Q$3),MONTH(Q$3)+1,1)))</f>
        <v/>
      </c>
      <c r="S156" s="27" t="str">
        <f aca="false">IF($A156="","",SUMIFS(請求台帳!$F$5:$F$504,請求台帳!$C$5:$C$504,$A156,請求台帳!$B$5:$B$504,"&gt;="&amp;S$3,請求台帳!$B$5:$B$504,"&lt;"&amp;DATE(YEAR(S$3),MONTH(S$3)+1,1),請求台帳!$Q$5:$Q$504,"&lt;&gt;取消"))</f>
        <v/>
      </c>
      <c r="T156" s="27" t="str">
        <f aca="false">IF($A156="","",SUMIFS(入金明細!$E$5:$E$1004,入金明細!$G$5:$G$1004,$A156,入金明細!$B$5:$B$1004,"&gt;="&amp;S$3,入金明細!$B$5:$B$1004,"&lt;"&amp;DATE(YEAR(S$3),MONTH(S$3)+1,1)))</f>
        <v/>
      </c>
      <c r="U156" s="27" t="str">
        <f aca="false">IF($A156="","",SUMIFS(請求台帳!$F$5:$F$504,請求台帳!$C$5:$C$504,$A156,請求台帳!$B$5:$B$504,"&gt;="&amp;U$3,請求台帳!$B$5:$B$504,"&lt;"&amp;DATE(YEAR(U$3),MONTH(U$3)+1,1),請求台帳!$Q$5:$Q$504,"&lt;&gt;取消"))</f>
        <v/>
      </c>
      <c r="V156" s="27" t="str">
        <f aca="false">IF($A156="","",SUMIFS(入金明細!$E$5:$E$1004,入金明細!$G$5:$G$1004,$A156,入金明細!$B$5:$B$1004,"&gt;="&amp;U$3,入金明細!$B$5:$B$1004,"&lt;"&amp;DATE(YEAR(U$3),MONTH(U$3)+1,1)))</f>
        <v/>
      </c>
      <c r="W156" s="27" t="str">
        <f aca="false">IF($A156="","",SUMIFS(請求台帳!$F$5:$F$504,請求台帳!$C$5:$C$504,$A156,請求台帳!$B$5:$B$504,"&gt;="&amp;W$3,請求台帳!$B$5:$B$504,"&lt;"&amp;DATE(YEAR(W$3),MONTH(W$3)+1,1),請求台帳!$Q$5:$Q$504,"&lt;&gt;取消"))</f>
        <v/>
      </c>
      <c r="X156" s="27" t="str">
        <f aca="false">IF($A156="","",SUMIFS(入金明細!$E$5:$E$1004,入金明細!$G$5:$G$1004,$A156,入金明細!$B$5:$B$1004,"&gt;="&amp;W$3,入金明細!$B$5:$B$1004,"&lt;"&amp;DATE(YEAR(W$3),MONTH(W$3)+1,1)))</f>
        <v/>
      </c>
      <c r="Y156" s="27" t="str">
        <f aca="false">IF($A156="","",SUMIFS(請求台帳!$F$5:$F$504,請求台帳!$C$5:$C$504,$A156,請求台帳!$B$5:$B$504,"&gt;="&amp;Y$3,請求台帳!$B$5:$B$504,"&lt;"&amp;DATE(YEAR(Y$3),MONTH(Y$3)+1,1),請求台帳!$Q$5:$Q$504,"&lt;&gt;取消"))</f>
        <v/>
      </c>
      <c r="Z156" s="27" t="str">
        <f aca="false">IF($A156="","",SUMIFS(入金明細!$E$5:$E$1004,入金明細!$G$5:$G$1004,$A156,入金明細!$B$5:$B$1004,"&gt;="&amp;Y$3,入金明細!$B$5:$B$1004,"&lt;"&amp;DATE(YEAR(Y$3),MONTH(Y$3)+1,1)))</f>
        <v/>
      </c>
      <c r="AA156" s="37" t="n">
        <f aca="false">SUM(C156,E156,G156,I156,K156,M156,O156,Q156,S156,U156,W156,Y156)</f>
        <v>0</v>
      </c>
      <c r="AB156" s="37" t="n">
        <f aca="false">SUM(D156,F156,H156,J156,L156,N156,P156,R156,T156,V156,X156,Z156)</f>
        <v>0</v>
      </c>
    </row>
    <row r="157" customFormat="false" ht="15" hidden="false" customHeight="false" outlineLevel="0" collapsed="false">
      <c r="A157" s="31" t="str">
        <f aca="false">IF(取引先マスタ!A157="","",取引先マスタ!A157)</f>
        <v/>
      </c>
      <c r="B157" s="31" t="str">
        <f aca="false">IF(A157="","",取引先マスタ!B157)</f>
        <v/>
      </c>
      <c r="C157" s="27" t="str">
        <f aca="false">IF($A157="","",SUMIFS(請求台帳!$F$5:$F$504,請求台帳!$C$5:$C$504,$A157,請求台帳!$B$5:$B$504,"&gt;="&amp;C$3,請求台帳!$B$5:$B$504,"&lt;"&amp;DATE(YEAR(C$3),MONTH(C$3)+1,1),請求台帳!$Q$5:$Q$504,"&lt;&gt;取消"))</f>
        <v/>
      </c>
      <c r="D157" s="27" t="str">
        <f aca="false">IF($A157="","",SUMIFS(入金明細!$E$5:$E$1004,入金明細!$G$5:$G$1004,$A157,入金明細!$B$5:$B$1004,"&gt;="&amp;C$3,入金明細!$B$5:$B$1004,"&lt;"&amp;DATE(YEAR(C$3),MONTH(C$3)+1,1)))</f>
        <v/>
      </c>
      <c r="E157" s="27" t="str">
        <f aca="false">IF($A157="","",SUMIFS(請求台帳!$F$5:$F$504,請求台帳!$C$5:$C$504,$A157,請求台帳!$B$5:$B$504,"&gt;="&amp;E$3,請求台帳!$B$5:$B$504,"&lt;"&amp;DATE(YEAR(E$3),MONTH(E$3)+1,1),請求台帳!$Q$5:$Q$504,"&lt;&gt;取消"))</f>
        <v/>
      </c>
      <c r="F157" s="27" t="str">
        <f aca="false">IF($A157="","",SUMIFS(入金明細!$E$5:$E$1004,入金明細!$G$5:$G$1004,$A157,入金明細!$B$5:$B$1004,"&gt;="&amp;E$3,入金明細!$B$5:$B$1004,"&lt;"&amp;DATE(YEAR(E$3),MONTH(E$3)+1,1)))</f>
        <v/>
      </c>
      <c r="G157" s="27" t="str">
        <f aca="false">IF($A157="","",SUMIFS(請求台帳!$F$5:$F$504,請求台帳!$C$5:$C$504,$A157,請求台帳!$B$5:$B$504,"&gt;="&amp;G$3,請求台帳!$B$5:$B$504,"&lt;"&amp;DATE(YEAR(G$3),MONTH(G$3)+1,1),請求台帳!$Q$5:$Q$504,"&lt;&gt;取消"))</f>
        <v/>
      </c>
      <c r="H157" s="27" t="str">
        <f aca="false">IF($A157="","",SUMIFS(入金明細!$E$5:$E$1004,入金明細!$G$5:$G$1004,$A157,入金明細!$B$5:$B$1004,"&gt;="&amp;G$3,入金明細!$B$5:$B$1004,"&lt;"&amp;DATE(YEAR(G$3),MONTH(G$3)+1,1)))</f>
        <v/>
      </c>
      <c r="I157" s="27" t="str">
        <f aca="false">IF($A157="","",SUMIFS(請求台帳!$F$5:$F$504,請求台帳!$C$5:$C$504,$A157,請求台帳!$B$5:$B$504,"&gt;="&amp;I$3,請求台帳!$B$5:$B$504,"&lt;"&amp;DATE(YEAR(I$3),MONTH(I$3)+1,1),請求台帳!$Q$5:$Q$504,"&lt;&gt;取消"))</f>
        <v/>
      </c>
      <c r="J157" s="27" t="str">
        <f aca="false">IF($A157="","",SUMIFS(入金明細!$E$5:$E$1004,入金明細!$G$5:$G$1004,$A157,入金明細!$B$5:$B$1004,"&gt;="&amp;I$3,入金明細!$B$5:$B$1004,"&lt;"&amp;DATE(YEAR(I$3),MONTH(I$3)+1,1)))</f>
        <v/>
      </c>
      <c r="K157" s="27" t="str">
        <f aca="false">IF($A157="","",SUMIFS(請求台帳!$F$5:$F$504,請求台帳!$C$5:$C$504,$A157,請求台帳!$B$5:$B$504,"&gt;="&amp;K$3,請求台帳!$B$5:$B$504,"&lt;"&amp;DATE(YEAR(K$3),MONTH(K$3)+1,1),請求台帳!$Q$5:$Q$504,"&lt;&gt;取消"))</f>
        <v/>
      </c>
      <c r="L157" s="27" t="str">
        <f aca="false">IF($A157="","",SUMIFS(入金明細!$E$5:$E$1004,入金明細!$G$5:$G$1004,$A157,入金明細!$B$5:$B$1004,"&gt;="&amp;K$3,入金明細!$B$5:$B$1004,"&lt;"&amp;DATE(YEAR(K$3),MONTH(K$3)+1,1)))</f>
        <v/>
      </c>
      <c r="M157" s="27" t="str">
        <f aca="false">IF($A157="","",SUMIFS(請求台帳!$F$5:$F$504,請求台帳!$C$5:$C$504,$A157,請求台帳!$B$5:$B$504,"&gt;="&amp;M$3,請求台帳!$B$5:$B$504,"&lt;"&amp;DATE(YEAR(M$3),MONTH(M$3)+1,1),請求台帳!$Q$5:$Q$504,"&lt;&gt;取消"))</f>
        <v/>
      </c>
      <c r="N157" s="27" t="str">
        <f aca="false">IF($A157="","",SUMIFS(入金明細!$E$5:$E$1004,入金明細!$G$5:$G$1004,$A157,入金明細!$B$5:$B$1004,"&gt;="&amp;M$3,入金明細!$B$5:$B$1004,"&lt;"&amp;DATE(YEAR(M$3),MONTH(M$3)+1,1)))</f>
        <v/>
      </c>
      <c r="O157" s="27" t="str">
        <f aca="false">IF($A157="","",SUMIFS(請求台帳!$F$5:$F$504,請求台帳!$C$5:$C$504,$A157,請求台帳!$B$5:$B$504,"&gt;="&amp;O$3,請求台帳!$B$5:$B$504,"&lt;"&amp;DATE(YEAR(O$3),MONTH(O$3)+1,1),請求台帳!$Q$5:$Q$504,"&lt;&gt;取消"))</f>
        <v/>
      </c>
      <c r="P157" s="27" t="str">
        <f aca="false">IF($A157="","",SUMIFS(入金明細!$E$5:$E$1004,入金明細!$G$5:$G$1004,$A157,入金明細!$B$5:$B$1004,"&gt;="&amp;O$3,入金明細!$B$5:$B$1004,"&lt;"&amp;DATE(YEAR(O$3),MONTH(O$3)+1,1)))</f>
        <v/>
      </c>
      <c r="Q157" s="27" t="str">
        <f aca="false">IF($A157="","",SUMIFS(請求台帳!$F$5:$F$504,請求台帳!$C$5:$C$504,$A157,請求台帳!$B$5:$B$504,"&gt;="&amp;Q$3,請求台帳!$B$5:$B$504,"&lt;"&amp;DATE(YEAR(Q$3),MONTH(Q$3)+1,1),請求台帳!$Q$5:$Q$504,"&lt;&gt;取消"))</f>
        <v/>
      </c>
      <c r="R157" s="27" t="str">
        <f aca="false">IF($A157="","",SUMIFS(入金明細!$E$5:$E$1004,入金明細!$G$5:$G$1004,$A157,入金明細!$B$5:$B$1004,"&gt;="&amp;Q$3,入金明細!$B$5:$B$1004,"&lt;"&amp;DATE(YEAR(Q$3),MONTH(Q$3)+1,1)))</f>
        <v/>
      </c>
      <c r="S157" s="27" t="str">
        <f aca="false">IF($A157="","",SUMIFS(請求台帳!$F$5:$F$504,請求台帳!$C$5:$C$504,$A157,請求台帳!$B$5:$B$504,"&gt;="&amp;S$3,請求台帳!$B$5:$B$504,"&lt;"&amp;DATE(YEAR(S$3),MONTH(S$3)+1,1),請求台帳!$Q$5:$Q$504,"&lt;&gt;取消"))</f>
        <v/>
      </c>
      <c r="T157" s="27" t="str">
        <f aca="false">IF($A157="","",SUMIFS(入金明細!$E$5:$E$1004,入金明細!$G$5:$G$1004,$A157,入金明細!$B$5:$B$1004,"&gt;="&amp;S$3,入金明細!$B$5:$B$1004,"&lt;"&amp;DATE(YEAR(S$3),MONTH(S$3)+1,1)))</f>
        <v/>
      </c>
      <c r="U157" s="27" t="str">
        <f aca="false">IF($A157="","",SUMIFS(請求台帳!$F$5:$F$504,請求台帳!$C$5:$C$504,$A157,請求台帳!$B$5:$B$504,"&gt;="&amp;U$3,請求台帳!$B$5:$B$504,"&lt;"&amp;DATE(YEAR(U$3),MONTH(U$3)+1,1),請求台帳!$Q$5:$Q$504,"&lt;&gt;取消"))</f>
        <v/>
      </c>
      <c r="V157" s="27" t="str">
        <f aca="false">IF($A157="","",SUMIFS(入金明細!$E$5:$E$1004,入金明細!$G$5:$G$1004,$A157,入金明細!$B$5:$B$1004,"&gt;="&amp;U$3,入金明細!$B$5:$B$1004,"&lt;"&amp;DATE(YEAR(U$3),MONTH(U$3)+1,1)))</f>
        <v/>
      </c>
      <c r="W157" s="27" t="str">
        <f aca="false">IF($A157="","",SUMIFS(請求台帳!$F$5:$F$504,請求台帳!$C$5:$C$504,$A157,請求台帳!$B$5:$B$504,"&gt;="&amp;W$3,請求台帳!$B$5:$B$504,"&lt;"&amp;DATE(YEAR(W$3),MONTH(W$3)+1,1),請求台帳!$Q$5:$Q$504,"&lt;&gt;取消"))</f>
        <v/>
      </c>
      <c r="X157" s="27" t="str">
        <f aca="false">IF($A157="","",SUMIFS(入金明細!$E$5:$E$1004,入金明細!$G$5:$G$1004,$A157,入金明細!$B$5:$B$1004,"&gt;="&amp;W$3,入金明細!$B$5:$B$1004,"&lt;"&amp;DATE(YEAR(W$3),MONTH(W$3)+1,1)))</f>
        <v/>
      </c>
      <c r="Y157" s="27" t="str">
        <f aca="false">IF($A157="","",SUMIFS(請求台帳!$F$5:$F$504,請求台帳!$C$5:$C$504,$A157,請求台帳!$B$5:$B$504,"&gt;="&amp;Y$3,請求台帳!$B$5:$B$504,"&lt;"&amp;DATE(YEAR(Y$3),MONTH(Y$3)+1,1),請求台帳!$Q$5:$Q$504,"&lt;&gt;取消"))</f>
        <v/>
      </c>
      <c r="Z157" s="27" t="str">
        <f aca="false">IF($A157="","",SUMIFS(入金明細!$E$5:$E$1004,入金明細!$G$5:$G$1004,$A157,入金明細!$B$5:$B$1004,"&gt;="&amp;Y$3,入金明細!$B$5:$B$1004,"&lt;"&amp;DATE(YEAR(Y$3),MONTH(Y$3)+1,1)))</f>
        <v/>
      </c>
      <c r="AA157" s="37" t="n">
        <f aca="false">SUM(C157,E157,G157,I157,K157,M157,O157,Q157,S157,U157,W157,Y157)</f>
        <v>0</v>
      </c>
      <c r="AB157" s="37" t="n">
        <f aca="false">SUM(D157,F157,H157,J157,L157,N157,P157,R157,T157,V157,X157,Z157)</f>
        <v>0</v>
      </c>
    </row>
    <row r="158" customFormat="false" ht="15" hidden="false" customHeight="false" outlineLevel="0" collapsed="false">
      <c r="A158" s="31" t="str">
        <f aca="false">IF(取引先マスタ!A158="","",取引先マスタ!A158)</f>
        <v/>
      </c>
      <c r="B158" s="31" t="str">
        <f aca="false">IF(A158="","",取引先マスタ!B158)</f>
        <v/>
      </c>
      <c r="C158" s="27" t="str">
        <f aca="false">IF($A158="","",SUMIFS(請求台帳!$F$5:$F$504,請求台帳!$C$5:$C$504,$A158,請求台帳!$B$5:$B$504,"&gt;="&amp;C$3,請求台帳!$B$5:$B$504,"&lt;"&amp;DATE(YEAR(C$3),MONTH(C$3)+1,1),請求台帳!$Q$5:$Q$504,"&lt;&gt;取消"))</f>
        <v/>
      </c>
      <c r="D158" s="27" t="str">
        <f aca="false">IF($A158="","",SUMIFS(入金明細!$E$5:$E$1004,入金明細!$G$5:$G$1004,$A158,入金明細!$B$5:$B$1004,"&gt;="&amp;C$3,入金明細!$B$5:$B$1004,"&lt;"&amp;DATE(YEAR(C$3),MONTH(C$3)+1,1)))</f>
        <v/>
      </c>
      <c r="E158" s="27" t="str">
        <f aca="false">IF($A158="","",SUMIFS(請求台帳!$F$5:$F$504,請求台帳!$C$5:$C$504,$A158,請求台帳!$B$5:$B$504,"&gt;="&amp;E$3,請求台帳!$B$5:$B$504,"&lt;"&amp;DATE(YEAR(E$3),MONTH(E$3)+1,1),請求台帳!$Q$5:$Q$504,"&lt;&gt;取消"))</f>
        <v/>
      </c>
      <c r="F158" s="27" t="str">
        <f aca="false">IF($A158="","",SUMIFS(入金明細!$E$5:$E$1004,入金明細!$G$5:$G$1004,$A158,入金明細!$B$5:$B$1004,"&gt;="&amp;E$3,入金明細!$B$5:$B$1004,"&lt;"&amp;DATE(YEAR(E$3),MONTH(E$3)+1,1)))</f>
        <v/>
      </c>
      <c r="G158" s="27" t="str">
        <f aca="false">IF($A158="","",SUMIFS(請求台帳!$F$5:$F$504,請求台帳!$C$5:$C$504,$A158,請求台帳!$B$5:$B$504,"&gt;="&amp;G$3,請求台帳!$B$5:$B$504,"&lt;"&amp;DATE(YEAR(G$3),MONTH(G$3)+1,1),請求台帳!$Q$5:$Q$504,"&lt;&gt;取消"))</f>
        <v/>
      </c>
      <c r="H158" s="27" t="str">
        <f aca="false">IF($A158="","",SUMIFS(入金明細!$E$5:$E$1004,入金明細!$G$5:$G$1004,$A158,入金明細!$B$5:$B$1004,"&gt;="&amp;G$3,入金明細!$B$5:$B$1004,"&lt;"&amp;DATE(YEAR(G$3),MONTH(G$3)+1,1)))</f>
        <v/>
      </c>
      <c r="I158" s="27" t="str">
        <f aca="false">IF($A158="","",SUMIFS(請求台帳!$F$5:$F$504,請求台帳!$C$5:$C$504,$A158,請求台帳!$B$5:$B$504,"&gt;="&amp;I$3,請求台帳!$B$5:$B$504,"&lt;"&amp;DATE(YEAR(I$3),MONTH(I$3)+1,1),請求台帳!$Q$5:$Q$504,"&lt;&gt;取消"))</f>
        <v/>
      </c>
      <c r="J158" s="27" t="str">
        <f aca="false">IF($A158="","",SUMIFS(入金明細!$E$5:$E$1004,入金明細!$G$5:$G$1004,$A158,入金明細!$B$5:$B$1004,"&gt;="&amp;I$3,入金明細!$B$5:$B$1004,"&lt;"&amp;DATE(YEAR(I$3),MONTH(I$3)+1,1)))</f>
        <v/>
      </c>
      <c r="K158" s="27" t="str">
        <f aca="false">IF($A158="","",SUMIFS(請求台帳!$F$5:$F$504,請求台帳!$C$5:$C$504,$A158,請求台帳!$B$5:$B$504,"&gt;="&amp;K$3,請求台帳!$B$5:$B$504,"&lt;"&amp;DATE(YEAR(K$3),MONTH(K$3)+1,1),請求台帳!$Q$5:$Q$504,"&lt;&gt;取消"))</f>
        <v/>
      </c>
      <c r="L158" s="27" t="str">
        <f aca="false">IF($A158="","",SUMIFS(入金明細!$E$5:$E$1004,入金明細!$G$5:$G$1004,$A158,入金明細!$B$5:$B$1004,"&gt;="&amp;K$3,入金明細!$B$5:$B$1004,"&lt;"&amp;DATE(YEAR(K$3),MONTH(K$3)+1,1)))</f>
        <v/>
      </c>
      <c r="M158" s="27" t="str">
        <f aca="false">IF($A158="","",SUMIFS(請求台帳!$F$5:$F$504,請求台帳!$C$5:$C$504,$A158,請求台帳!$B$5:$B$504,"&gt;="&amp;M$3,請求台帳!$B$5:$B$504,"&lt;"&amp;DATE(YEAR(M$3),MONTH(M$3)+1,1),請求台帳!$Q$5:$Q$504,"&lt;&gt;取消"))</f>
        <v/>
      </c>
      <c r="N158" s="27" t="str">
        <f aca="false">IF($A158="","",SUMIFS(入金明細!$E$5:$E$1004,入金明細!$G$5:$G$1004,$A158,入金明細!$B$5:$B$1004,"&gt;="&amp;M$3,入金明細!$B$5:$B$1004,"&lt;"&amp;DATE(YEAR(M$3),MONTH(M$3)+1,1)))</f>
        <v/>
      </c>
      <c r="O158" s="27" t="str">
        <f aca="false">IF($A158="","",SUMIFS(請求台帳!$F$5:$F$504,請求台帳!$C$5:$C$504,$A158,請求台帳!$B$5:$B$504,"&gt;="&amp;O$3,請求台帳!$B$5:$B$504,"&lt;"&amp;DATE(YEAR(O$3),MONTH(O$3)+1,1),請求台帳!$Q$5:$Q$504,"&lt;&gt;取消"))</f>
        <v/>
      </c>
      <c r="P158" s="27" t="str">
        <f aca="false">IF($A158="","",SUMIFS(入金明細!$E$5:$E$1004,入金明細!$G$5:$G$1004,$A158,入金明細!$B$5:$B$1004,"&gt;="&amp;O$3,入金明細!$B$5:$B$1004,"&lt;"&amp;DATE(YEAR(O$3),MONTH(O$3)+1,1)))</f>
        <v/>
      </c>
      <c r="Q158" s="27" t="str">
        <f aca="false">IF($A158="","",SUMIFS(請求台帳!$F$5:$F$504,請求台帳!$C$5:$C$504,$A158,請求台帳!$B$5:$B$504,"&gt;="&amp;Q$3,請求台帳!$B$5:$B$504,"&lt;"&amp;DATE(YEAR(Q$3),MONTH(Q$3)+1,1),請求台帳!$Q$5:$Q$504,"&lt;&gt;取消"))</f>
        <v/>
      </c>
      <c r="R158" s="27" t="str">
        <f aca="false">IF($A158="","",SUMIFS(入金明細!$E$5:$E$1004,入金明細!$G$5:$G$1004,$A158,入金明細!$B$5:$B$1004,"&gt;="&amp;Q$3,入金明細!$B$5:$B$1004,"&lt;"&amp;DATE(YEAR(Q$3),MONTH(Q$3)+1,1)))</f>
        <v/>
      </c>
      <c r="S158" s="27" t="str">
        <f aca="false">IF($A158="","",SUMIFS(請求台帳!$F$5:$F$504,請求台帳!$C$5:$C$504,$A158,請求台帳!$B$5:$B$504,"&gt;="&amp;S$3,請求台帳!$B$5:$B$504,"&lt;"&amp;DATE(YEAR(S$3),MONTH(S$3)+1,1),請求台帳!$Q$5:$Q$504,"&lt;&gt;取消"))</f>
        <v/>
      </c>
      <c r="T158" s="27" t="str">
        <f aca="false">IF($A158="","",SUMIFS(入金明細!$E$5:$E$1004,入金明細!$G$5:$G$1004,$A158,入金明細!$B$5:$B$1004,"&gt;="&amp;S$3,入金明細!$B$5:$B$1004,"&lt;"&amp;DATE(YEAR(S$3),MONTH(S$3)+1,1)))</f>
        <v/>
      </c>
      <c r="U158" s="27" t="str">
        <f aca="false">IF($A158="","",SUMIFS(請求台帳!$F$5:$F$504,請求台帳!$C$5:$C$504,$A158,請求台帳!$B$5:$B$504,"&gt;="&amp;U$3,請求台帳!$B$5:$B$504,"&lt;"&amp;DATE(YEAR(U$3),MONTH(U$3)+1,1),請求台帳!$Q$5:$Q$504,"&lt;&gt;取消"))</f>
        <v/>
      </c>
      <c r="V158" s="27" t="str">
        <f aca="false">IF($A158="","",SUMIFS(入金明細!$E$5:$E$1004,入金明細!$G$5:$G$1004,$A158,入金明細!$B$5:$B$1004,"&gt;="&amp;U$3,入金明細!$B$5:$B$1004,"&lt;"&amp;DATE(YEAR(U$3),MONTH(U$3)+1,1)))</f>
        <v/>
      </c>
      <c r="W158" s="27" t="str">
        <f aca="false">IF($A158="","",SUMIFS(請求台帳!$F$5:$F$504,請求台帳!$C$5:$C$504,$A158,請求台帳!$B$5:$B$504,"&gt;="&amp;W$3,請求台帳!$B$5:$B$504,"&lt;"&amp;DATE(YEAR(W$3),MONTH(W$3)+1,1),請求台帳!$Q$5:$Q$504,"&lt;&gt;取消"))</f>
        <v/>
      </c>
      <c r="X158" s="27" t="str">
        <f aca="false">IF($A158="","",SUMIFS(入金明細!$E$5:$E$1004,入金明細!$G$5:$G$1004,$A158,入金明細!$B$5:$B$1004,"&gt;="&amp;W$3,入金明細!$B$5:$B$1004,"&lt;"&amp;DATE(YEAR(W$3),MONTH(W$3)+1,1)))</f>
        <v/>
      </c>
      <c r="Y158" s="27" t="str">
        <f aca="false">IF($A158="","",SUMIFS(請求台帳!$F$5:$F$504,請求台帳!$C$5:$C$504,$A158,請求台帳!$B$5:$B$504,"&gt;="&amp;Y$3,請求台帳!$B$5:$B$504,"&lt;"&amp;DATE(YEAR(Y$3),MONTH(Y$3)+1,1),請求台帳!$Q$5:$Q$504,"&lt;&gt;取消"))</f>
        <v/>
      </c>
      <c r="Z158" s="27" t="str">
        <f aca="false">IF($A158="","",SUMIFS(入金明細!$E$5:$E$1004,入金明細!$G$5:$G$1004,$A158,入金明細!$B$5:$B$1004,"&gt;="&amp;Y$3,入金明細!$B$5:$B$1004,"&lt;"&amp;DATE(YEAR(Y$3),MONTH(Y$3)+1,1)))</f>
        <v/>
      </c>
      <c r="AA158" s="37" t="n">
        <f aca="false">SUM(C158,E158,G158,I158,K158,M158,O158,Q158,S158,U158,W158,Y158)</f>
        <v>0</v>
      </c>
      <c r="AB158" s="37" t="n">
        <f aca="false">SUM(D158,F158,H158,J158,L158,N158,P158,R158,T158,V158,X158,Z158)</f>
        <v>0</v>
      </c>
    </row>
    <row r="159" customFormat="false" ht="15" hidden="false" customHeight="false" outlineLevel="0" collapsed="false">
      <c r="A159" s="31" t="str">
        <f aca="false">IF(取引先マスタ!A159="","",取引先マスタ!A159)</f>
        <v/>
      </c>
      <c r="B159" s="31" t="str">
        <f aca="false">IF(A159="","",取引先マスタ!B159)</f>
        <v/>
      </c>
      <c r="C159" s="27" t="str">
        <f aca="false">IF($A159="","",SUMIFS(請求台帳!$F$5:$F$504,請求台帳!$C$5:$C$504,$A159,請求台帳!$B$5:$B$504,"&gt;="&amp;C$3,請求台帳!$B$5:$B$504,"&lt;"&amp;DATE(YEAR(C$3),MONTH(C$3)+1,1),請求台帳!$Q$5:$Q$504,"&lt;&gt;取消"))</f>
        <v/>
      </c>
      <c r="D159" s="27" t="str">
        <f aca="false">IF($A159="","",SUMIFS(入金明細!$E$5:$E$1004,入金明細!$G$5:$G$1004,$A159,入金明細!$B$5:$B$1004,"&gt;="&amp;C$3,入金明細!$B$5:$B$1004,"&lt;"&amp;DATE(YEAR(C$3),MONTH(C$3)+1,1)))</f>
        <v/>
      </c>
      <c r="E159" s="27" t="str">
        <f aca="false">IF($A159="","",SUMIFS(請求台帳!$F$5:$F$504,請求台帳!$C$5:$C$504,$A159,請求台帳!$B$5:$B$504,"&gt;="&amp;E$3,請求台帳!$B$5:$B$504,"&lt;"&amp;DATE(YEAR(E$3),MONTH(E$3)+1,1),請求台帳!$Q$5:$Q$504,"&lt;&gt;取消"))</f>
        <v/>
      </c>
      <c r="F159" s="27" t="str">
        <f aca="false">IF($A159="","",SUMIFS(入金明細!$E$5:$E$1004,入金明細!$G$5:$G$1004,$A159,入金明細!$B$5:$B$1004,"&gt;="&amp;E$3,入金明細!$B$5:$B$1004,"&lt;"&amp;DATE(YEAR(E$3),MONTH(E$3)+1,1)))</f>
        <v/>
      </c>
      <c r="G159" s="27" t="str">
        <f aca="false">IF($A159="","",SUMIFS(請求台帳!$F$5:$F$504,請求台帳!$C$5:$C$504,$A159,請求台帳!$B$5:$B$504,"&gt;="&amp;G$3,請求台帳!$B$5:$B$504,"&lt;"&amp;DATE(YEAR(G$3),MONTH(G$3)+1,1),請求台帳!$Q$5:$Q$504,"&lt;&gt;取消"))</f>
        <v/>
      </c>
      <c r="H159" s="27" t="str">
        <f aca="false">IF($A159="","",SUMIFS(入金明細!$E$5:$E$1004,入金明細!$G$5:$G$1004,$A159,入金明細!$B$5:$B$1004,"&gt;="&amp;G$3,入金明細!$B$5:$B$1004,"&lt;"&amp;DATE(YEAR(G$3),MONTH(G$3)+1,1)))</f>
        <v/>
      </c>
      <c r="I159" s="27" t="str">
        <f aca="false">IF($A159="","",SUMIFS(請求台帳!$F$5:$F$504,請求台帳!$C$5:$C$504,$A159,請求台帳!$B$5:$B$504,"&gt;="&amp;I$3,請求台帳!$B$5:$B$504,"&lt;"&amp;DATE(YEAR(I$3),MONTH(I$3)+1,1),請求台帳!$Q$5:$Q$504,"&lt;&gt;取消"))</f>
        <v/>
      </c>
      <c r="J159" s="27" t="str">
        <f aca="false">IF($A159="","",SUMIFS(入金明細!$E$5:$E$1004,入金明細!$G$5:$G$1004,$A159,入金明細!$B$5:$B$1004,"&gt;="&amp;I$3,入金明細!$B$5:$B$1004,"&lt;"&amp;DATE(YEAR(I$3),MONTH(I$3)+1,1)))</f>
        <v/>
      </c>
      <c r="K159" s="27" t="str">
        <f aca="false">IF($A159="","",SUMIFS(請求台帳!$F$5:$F$504,請求台帳!$C$5:$C$504,$A159,請求台帳!$B$5:$B$504,"&gt;="&amp;K$3,請求台帳!$B$5:$B$504,"&lt;"&amp;DATE(YEAR(K$3),MONTH(K$3)+1,1),請求台帳!$Q$5:$Q$504,"&lt;&gt;取消"))</f>
        <v/>
      </c>
      <c r="L159" s="27" t="str">
        <f aca="false">IF($A159="","",SUMIFS(入金明細!$E$5:$E$1004,入金明細!$G$5:$G$1004,$A159,入金明細!$B$5:$B$1004,"&gt;="&amp;K$3,入金明細!$B$5:$B$1004,"&lt;"&amp;DATE(YEAR(K$3),MONTH(K$3)+1,1)))</f>
        <v/>
      </c>
      <c r="M159" s="27" t="str">
        <f aca="false">IF($A159="","",SUMIFS(請求台帳!$F$5:$F$504,請求台帳!$C$5:$C$504,$A159,請求台帳!$B$5:$B$504,"&gt;="&amp;M$3,請求台帳!$B$5:$B$504,"&lt;"&amp;DATE(YEAR(M$3),MONTH(M$3)+1,1),請求台帳!$Q$5:$Q$504,"&lt;&gt;取消"))</f>
        <v/>
      </c>
      <c r="N159" s="27" t="str">
        <f aca="false">IF($A159="","",SUMIFS(入金明細!$E$5:$E$1004,入金明細!$G$5:$G$1004,$A159,入金明細!$B$5:$B$1004,"&gt;="&amp;M$3,入金明細!$B$5:$B$1004,"&lt;"&amp;DATE(YEAR(M$3),MONTH(M$3)+1,1)))</f>
        <v/>
      </c>
      <c r="O159" s="27" t="str">
        <f aca="false">IF($A159="","",SUMIFS(請求台帳!$F$5:$F$504,請求台帳!$C$5:$C$504,$A159,請求台帳!$B$5:$B$504,"&gt;="&amp;O$3,請求台帳!$B$5:$B$504,"&lt;"&amp;DATE(YEAR(O$3),MONTH(O$3)+1,1),請求台帳!$Q$5:$Q$504,"&lt;&gt;取消"))</f>
        <v/>
      </c>
      <c r="P159" s="27" t="str">
        <f aca="false">IF($A159="","",SUMIFS(入金明細!$E$5:$E$1004,入金明細!$G$5:$G$1004,$A159,入金明細!$B$5:$B$1004,"&gt;="&amp;O$3,入金明細!$B$5:$B$1004,"&lt;"&amp;DATE(YEAR(O$3),MONTH(O$3)+1,1)))</f>
        <v/>
      </c>
      <c r="Q159" s="27" t="str">
        <f aca="false">IF($A159="","",SUMIFS(請求台帳!$F$5:$F$504,請求台帳!$C$5:$C$504,$A159,請求台帳!$B$5:$B$504,"&gt;="&amp;Q$3,請求台帳!$B$5:$B$504,"&lt;"&amp;DATE(YEAR(Q$3),MONTH(Q$3)+1,1),請求台帳!$Q$5:$Q$504,"&lt;&gt;取消"))</f>
        <v/>
      </c>
      <c r="R159" s="27" t="str">
        <f aca="false">IF($A159="","",SUMIFS(入金明細!$E$5:$E$1004,入金明細!$G$5:$G$1004,$A159,入金明細!$B$5:$B$1004,"&gt;="&amp;Q$3,入金明細!$B$5:$B$1004,"&lt;"&amp;DATE(YEAR(Q$3),MONTH(Q$3)+1,1)))</f>
        <v/>
      </c>
      <c r="S159" s="27" t="str">
        <f aca="false">IF($A159="","",SUMIFS(請求台帳!$F$5:$F$504,請求台帳!$C$5:$C$504,$A159,請求台帳!$B$5:$B$504,"&gt;="&amp;S$3,請求台帳!$B$5:$B$504,"&lt;"&amp;DATE(YEAR(S$3),MONTH(S$3)+1,1),請求台帳!$Q$5:$Q$504,"&lt;&gt;取消"))</f>
        <v/>
      </c>
      <c r="T159" s="27" t="str">
        <f aca="false">IF($A159="","",SUMIFS(入金明細!$E$5:$E$1004,入金明細!$G$5:$G$1004,$A159,入金明細!$B$5:$B$1004,"&gt;="&amp;S$3,入金明細!$B$5:$B$1004,"&lt;"&amp;DATE(YEAR(S$3),MONTH(S$3)+1,1)))</f>
        <v/>
      </c>
      <c r="U159" s="27" t="str">
        <f aca="false">IF($A159="","",SUMIFS(請求台帳!$F$5:$F$504,請求台帳!$C$5:$C$504,$A159,請求台帳!$B$5:$B$504,"&gt;="&amp;U$3,請求台帳!$B$5:$B$504,"&lt;"&amp;DATE(YEAR(U$3),MONTH(U$3)+1,1),請求台帳!$Q$5:$Q$504,"&lt;&gt;取消"))</f>
        <v/>
      </c>
      <c r="V159" s="27" t="str">
        <f aca="false">IF($A159="","",SUMIFS(入金明細!$E$5:$E$1004,入金明細!$G$5:$G$1004,$A159,入金明細!$B$5:$B$1004,"&gt;="&amp;U$3,入金明細!$B$5:$B$1004,"&lt;"&amp;DATE(YEAR(U$3),MONTH(U$3)+1,1)))</f>
        <v/>
      </c>
      <c r="W159" s="27" t="str">
        <f aca="false">IF($A159="","",SUMIFS(請求台帳!$F$5:$F$504,請求台帳!$C$5:$C$504,$A159,請求台帳!$B$5:$B$504,"&gt;="&amp;W$3,請求台帳!$B$5:$B$504,"&lt;"&amp;DATE(YEAR(W$3),MONTH(W$3)+1,1),請求台帳!$Q$5:$Q$504,"&lt;&gt;取消"))</f>
        <v/>
      </c>
      <c r="X159" s="27" t="str">
        <f aca="false">IF($A159="","",SUMIFS(入金明細!$E$5:$E$1004,入金明細!$G$5:$G$1004,$A159,入金明細!$B$5:$B$1004,"&gt;="&amp;W$3,入金明細!$B$5:$B$1004,"&lt;"&amp;DATE(YEAR(W$3),MONTH(W$3)+1,1)))</f>
        <v/>
      </c>
      <c r="Y159" s="27" t="str">
        <f aca="false">IF($A159="","",SUMIFS(請求台帳!$F$5:$F$504,請求台帳!$C$5:$C$504,$A159,請求台帳!$B$5:$B$504,"&gt;="&amp;Y$3,請求台帳!$B$5:$B$504,"&lt;"&amp;DATE(YEAR(Y$3),MONTH(Y$3)+1,1),請求台帳!$Q$5:$Q$504,"&lt;&gt;取消"))</f>
        <v/>
      </c>
      <c r="Z159" s="27" t="str">
        <f aca="false">IF($A159="","",SUMIFS(入金明細!$E$5:$E$1004,入金明細!$G$5:$G$1004,$A159,入金明細!$B$5:$B$1004,"&gt;="&amp;Y$3,入金明細!$B$5:$B$1004,"&lt;"&amp;DATE(YEAR(Y$3),MONTH(Y$3)+1,1)))</f>
        <v/>
      </c>
      <c r="AA159" s="37" t="n">
        <f aca="false">SUM(C159,E159,G159,I159,K159,M159,O159,Q159,S159,U159,W159,Y159)</f>
        <v>0</v>
      </c>
      <c r="AB159" s="37" t="n">
        <f aca="false">SUM(D159,F159,H159,J159,L159,N159,P159,R159,T159,V159,X159,Z159)</f>
        <v>0</v>
      </c>
    </row>
    <row r="160" customFormat="false" ht="15" hidden="false" customHeight="false" outlineLevel="0" collapsed="false">
      <c r="A160" s="31" t="str">
        <f aca="false">IF(取引先マスタ!A160="","",取引先マスタ!A160)</f>
        <v/>
      </c>
      <c r="B160" s="31" t="str">
        <f aca="false">IF(A160="","",取引先マスタ!B160)</f>
        <v/>
      </c>
      <c r="C160" s="27" t="str">
        <f aca="false">IF($A160="","",SUMIFS(請求台帳!$F$5:$F$504,請求台帳!$C$5:$C$504,$A160,請求台帳!$B$5:$B$504,"&gt;="&amp;C$3,請求台帳!$B$5:$B$504,"&lt;"&amp;DATE(YEAR(C$3),MONTH(C$3)+1,1),請求台帳!$Q$5:$Q$504,"&lt;&gt;取消"))</f>
        <v/>
      </c>
      <c r="D160" s="27" t="str">
        <f aca="false">IF($A160="","",SUMIFS(入金明細!$E$5:$E$1004,入金明細!$G$5:$G$1004,$A160,入金明細!$B$5:$B$1004,"&gt;="&amp;C$3,入金明細!$B$5:$B$1004,"&lt;"&amp;DATE(YEAR(C$3),MONTH(C$3)+1,1)))</f>
        <v/>
      </c>
      <c r="E160" s="27" t="str">
        <f aca="false">IF($A160="","",SUMIFS(請求台帳!$F$5:$F$504,請求台帳!$C$5:$C$504,$A160,請求台帳!$B$5:$B$504,"&gt;="&amp;E$3,請求台帳!$B$5:$B$504,"&lt;"&amp;DATE(YEAR(E$3),MONTH(E$3)+1,1),請求台帳!$Q$5:$Q$504,"&lt;&gt;取消"))</f>
        <v/>
      </c>
      <c r="F160" s="27" t="str">
        <f aca="false">IF($A160="","",SUMIFS(入金明細!$E$5:$E$1004,入金明細!$G$5:$G$1004,$A160,入金明細!$B$5:$B$1004,"&gt;="&amp;E$3,入金明細!$B$5:$B$1004,"&lt;"&amp;DATE(YEAR(E$3),MONTH(E$3)+1,1)))</f>
        <v/>
      </c>
      <c r="G160" s="27" t="str">
        <f aca="false">IF($A160="","",SUMIFS(請求台帳!$F$5:$F$504,請求台帳!$C$5:$C$504,$A160,請求台帳!$B$5:$B$504,"&gt;="&amp;G$3,請求台帳!$B$5:$B$504,"&lt;"&amp;DATE(YEAR(G$3),MONTH(G$3)+1,1),請求台帳!$Q$5:$Q$504,"&lt;&gt;取消"))</f>
        <v/>
      </c>
      <c r="H160" s="27" t="str">
        <f aca="false">IF($A160="","",SUMIFS(入金明細!$E$5:$E$1004,入金明細!$G$5:$G$1004,$A160,入金明細!$B$5:$B$1004,"&gt;="&amp;G$3,入金明細!$B$5:$B$1004,"&lt;"&amp;DATE(YEAR(G$3),MONTH(G$3)+1,1)))</f>
        <v/>
      </c>
      <c r="I160" s="27" t="str">
        <f aca="false">IF($A160="","",SUMIFS(請求台帳!$F$5:$F$504,請求台帳!$C$5:$C$504,$A160,請求台帳!$B$5:$B$504,"&gt;="&amp;I$3,請求台帳!$B$5:$B$504,"&lt;"&amp;DATE(YEAR(I$3),MONTH(I$3)+1,1),請求台帳!$Q$5:$Q$504,"&lt;&gt;取消"))</f>
        <v/>
      </c>
      <c r="J160" s="27" t="str">
        <f aca="false">IF($A160="","",SUMIFS(入金明細!$E$5:$E$1004,入金明細!$G$5:$G$1004,$A160,入金明細!$B$5:$B$1004,"&gt;="&amp;I$3,入金明細!$B$5:$B$1004,"&lt;"&amp;DATE(YEAR(I$3),MONTH(I$3)+1,1)))</f>
        <v/>
      </c>
      <c r="K160" s="27" t="str">
        <f aca="false">IF($A160="","",SUMIFS(請求台帳!$F$5:$F$504,請求台帳!$C$5:$C$504,$A160,請求台帳!$B$5:$B$504,"&gt;="&amp;K$3,請求台帳!$B$5:$B$504,"&lt;"&amp;DATE(YEAR(K$3),MONTH(K$3)+1,1),請求台帳!$Q$5:$Q$504,"&lt;&gt;取消"))</f>
        <v/>
      </c>
      <c r="L160" s="27" t="str">
        <f aca="false">IF($A160="","",SUMIFS(入金明細!$E$5:$E$1004,入金明細!$G$5:$G$1004,$A160,入金明細!$B$5:$B$1004,"&gt;="&amp;K$3,入金明細!$B$5:$B$1004,"&lt;"&amp;DATE(YEAR(K$3),MONTH(K$3)+1,1)))</f>
        <v/>
      </c>
      <c r="M160" s="27" t="str">
        <f aca="false">IF($A160="","",SUMIFS(請求台帳!$F$5:$F$504,請求台帳!$C$5:$C$504,$A160,請求台帳!$B$5:$B$504,"&gt;="&amp;M$3,請求台帳!$B$5:$B$504,"&lt;"&amp;DATE(YEAR(M$3),MONTH(M$3)+1,1),請求台帳!$Q$5:$Q$504,"&lt;&gt;取消"))</f>
        <v/>
      </c>
      <c r="N160" s="27" t="str">
        <f aca="false">IF($A160="","",SUMIFS(入金明細!$E$5:$E$1004,入金明細!$G$5:$G$1004,$A160,入金明細!$B$5:$B$1004,"&gt;="&amp;M$3,入金明細!$B$5:$B$1004,"&lt;"&amp;DATE(YEAR(M$3),MONTH(M$3)+1,1)))</f>
        <v/>
      </c>
      <c r="O160" s="27" t="str">
        <f aca="false">IF($A160="","",SUMIFS(請求台帳!$F$5:$F$504,請求台帳!$C$5:$C$504,$A160,請求台帳!$B$5:$B$504,"&gt;="&amp;O$3,請求台帳!$B$5:$B$504,"&lt;"&amp;DATE(YEAR(O$3),MONTH(O$3)+1,1),請求台帳!$Q$5:$Q$504,"&lt;&gt;取消"))</f>
        <v/>
      </c>
      <c r="P160" s="27" t="str">
        <f aca="false">IF($A160="","",SUMIFS(入金明細!$E$5:$E$1004,入金明細!$G$5:$G$1004,$A160,入金明細!$B$5:$B$1004,"&gt;="&amp;O$3,入金明細!$B$5:$B$1004,"&lt;"&amp;DATE(YEAR(O$3),MONTH(O$3)+1,1)))</f>
        <v/>
      </c>
      <c r="Q160" s="27" t="str">
        <f aca="false">IF($A160="","",SUMIFS(請求台帳!$F$5:$F$504,請求台帳!$C$5:$C$504,$A160,請求台帳!$B$5:$B$504,"&gt;="&amp;Q$3,請求台帳!$B$5:$B$504,"&lt;"&amp;DATE(YEAR(Q$3),MONTH(Q$3)+1,1),請求台帳!$Q$5:$Q$504,"&lt;&gt;取消"))</f>
        <v/>
      </c>
      <c r="R160" s="27" t="str">
        <f aca="false">IF($A160="","",SUMIFS(入金明細!$E$5:$E$1004,入金明細!$G$5:$G$1004,$A160,入金明細!$B$5:$B$1004,"&gt;="&amp;Q$3,入金明細!$B$5:$B$1004,"&lt;"&amp;DATE(YEAR(Q$3),MONTH(Q$3)+1,1)))</f>
        <v/>
      </c>
      <c r="S160" s="27" t="str">
        <f aca="false">IF($A160="","",SUMIFS(請求台帳!$F$5:$F$504,請求台帳!$C$5:$C$504,$A160,請求台帳!$B$5:$B$504,"&gt;="&amp;S$3,請求台帳!$B$5:$B$504,"&lt;"&amp;DATE(YEAR(S$3),MONTH(S$3)+1,1),請求台帳!$Q$5:$Q$504,"&lt;&gt;取消"))</f>
        <v/>
      </c>
      <c r="T160" s="27" t="str">
        <f aca="false">IF($A160="","",SUMIFS(入金明細!$E$5:$E$1004,入金明細!$G$5:$G$1004,$A160,入金明細!$B$5:$B$1004,"&gt;="&amp;S$3,入金明細!$B$5:$B$1004,"&lt;"&amp;DATE(YEAR(S$3),MONTH(S$3)+1,1)))</f>
        <v/>
      </c>
      <c r="U160" s="27" t="str">
        <f aca="false">IF($A160="","",SUMIFS(請求台帳!$F$5:$F$504,請求台帳!$C$5:$C$504,$A160,請求台帳!$B$5:$B$504,"&gt;="&amp;U$3,請求台帳!$B$5:$B$504,"&lt;"&amp;DATE(YEAR(U$3),MONTH(U$3)+1,1),請求台帳!$Q$5:$Q$504,"&lt;&gt;取消"))</f>
        <v/>
      </c>
      <c r="V160" s="27" t="str">
        <f aca="false">IF($A160="","",SUMIFS(入金明細!$E$5:$E$1004,入金明細!$G$5:$G$1004,$A160,入金明細!$B$5:$B$1004,"&gt;="&amp;U$3,入金明細!$B$5:$B$1004,"&lt;"&amp;DATE(YEAR(U$3),MONTH(U$3)+1,1)))</f>
        <v/>
      </c>
      <c r="W160" s="27" t="str">
        <f aca="false">IF($A160="","",SUMIFS(請求台帳!$F$5:$F$504,請求台帳!$C$5:$C$504,$A160,請求台帳!$B$5:$B$504,"&gt;="&amp;W$3,請求台帳!$B$5:$B$504,"&lt;"&amp;DATE(YEAR(W$3),MONTH(W$3)+1,1),請求台帳!$Q$5:$Q$504,"&lt;&gt;取消"))</f>
        <v/>
      </c>
      <c r="X160" s="27" t="str">
        <f aca="false">IF($A160="","",SUMIFS(入金明細!$E$5:$E$1004,入金明細!$G$5:$G$1004,$A160,入金明細!$B$5:$B$1004,"&gt;="&amp;W$3,入金明細!$B$5:$B$1004,"&lt;"&amp;DATE(YEAR(W$3),MONTH(W$3)+1,1)))</f>
        <v/>
      </c>
      <c r="Y160" s="27" t="str">
        <f aca="false">IF($A160="","",SUMIFS(請求台帳!$F$5:$F$504,請求台帳!$C$5:$C$504,$A160,請求台帳!$B$5:$B$504,"&gt;="&amp;Y$3,請求台帳!$B$5:$B$504,"&lt;"&amp;DATE(YEAR(Y$3),MONTH(Y$3)+1,1),請求台帳!$Q$5:$Q$504,"&lt;&gt;取消"))</f>
        <v/>
      </c>
      <c r="Z160" s="27" t="str">
        <f aca="false">IF($A160="","",SUMIFS(入金明細!$E$5:$E$1004,入金明細!$G$5:$G$1004,$A160,入金明細!$B$5:$B$1004,"&gt;="&amp;Y$3,入金明細!$B$5:$B$1004,"&lt;"&amp;DATE(YEAR(Y$3),MONTH(Y$3)+1,1)))</f>
        <v/>
      </c>
      <c r="AA160" s="37" t="n">
        <f aca="false">SUM(C160,E160,G160,I160,K160,M160,O160,Q160,S160,U160,W160,Y160)</f>
        <v>0</v>
      </c>
      <c r="AB160" s="37" t="n">
        <f aca="false">SUM(D160,F160,H160,J160,L160,N160,P160,R160,T160,V160,X160,Z160)</f>
        <v>0</v>
      </c>
    </row>
    <row r="161" customFormat="false" ht="15" hidden="false" customHeight="false" outlineLevel="0" collapsed="false">
      <c r="A161" s="31" t="str">
        <f aca="false">IF(取引先マスタ!A161="","",取引先マスタ!A161)</f>
        <v/>
      </c>
      <c r="B161" s="31" t="str">
        <f aca="false">IF(A161="","",取引先マスタ!B161)</f>
        <v/>
      </c>
      <c r="C161" s="27" t="str">
        <f aca="false">IF($A161="","",SUMIFS(請求台帳!$F$5:$F$504,請求台帳!$C$5:$C$504,$A161,請求台帳!$B$5:$B$504,"&gt;="&amp;C$3,請求台帳!$B$5:$B$504,"&lt;"&amp;DATE(YEAR(C$3),MONTH(C$3)+1,1),請求台帳!$Q$5:$Q$504,"&lt;&gt;取消"))</f>
        <v/>
      </c>
      <c r="D161" s="27" t="str">
        <f aca="false">IF($A161="","",SUMIFS(入金明細!$E$5:$E$1004,入金明細!$G$5:$G$1004,$A161,入金明細!$B$5:$B$1004,"&gt;="&amp;C$3,入金明細!$B$5:$B$1004,"&lt;"&amp;DATE(YEAR(C$3),MONTH(C$3)+1,1)))</f>
        <v/>
      </c>
      <c r="E161" s="27" t="str">
        <f aca="false">IF($A161="","",SUMIFS(請求台帳!$F$5:$F$504,請求台帳!$C$5:$C$504,$A161,請求台帳!$B$5:$B$504,"&gt;="&amp;E$3,請求台帳!$B$5:$B$504,"&lt;"&amp;DATE(YEAR(E$3),MONTH(E$3)+1,1),請求台帳!$Q$5:$Q$504,"&lt;&gt;取消"))</f>
        <v/>
      </c>
      <c r="F161" s="27" t="str">
        <f aca="false">IF($A161="","",SUMIFS(入金明細!$E$5:$E$1004,入金明細!$G$5:$G$1004,$A161,入金明細!$B$5:$B$1004,"&gt;="&amp;E$3,入金明細!$B$5:$B$1004,"&lt;"&amp;DATE(YEAR(E$3),MONTH(E$3)+1,1)))</f>
        <v/>
      </c>
      <c r="G161" s="27" t="str">
        <f aca="false">IF($A161="","",SUMIFS(請求台帳!$F$5:$F$504,請求台帳!$C$5:$C$504,$A161,請求台帳!$B$5:$B$504,"&gt;="&amp;G$3,請求台帳!$B$5:$B$504,"&lt;"&amp;DATE(YEAR(G$3),MONTH(G$3)+1,1),請求台帳!$Q$5:$Q$504,"&lt;&gt;取消"))</f>
        <v/>
      </c>
      <c r="H161" s="27" t="str">
        <f aca="false">IF($A161="","",SUMIFS(入金明細!$E$5:$E$1004,入金明細!$G$5:$G$1004,$A161,入金明細!$B$5:$B$1004,"&gt;="&amp;G$3,入金明細!$B$5:$B$1004,"&lt;"&amp;DATE(YEAR(G$3),MONTH(G$3)+1,1)))</f>
        <v/>
      </c>
      <c r="I161" s="27" t="str">
        <f aca="false">IF($A161="","",SUMIFS(請求台帳!$F$5:$F$504,請求台帳!$C$5:$C$504,$A161,請求台帳!$B$5:$B$504,"&gt;="&amp;I$3,請求台帳!$B$5:$B$504,"&lt;"&amp;DATE(YEAR(I$3),MONTH(I$3)+1,1),請求台帳!$Q$5:$Q$504,"&lt;&gt;取消"))</f>
        <v/>
      </c>
      <c r="J161" s="27" t="str">
        <f aca="false">IF($A161="","",SUMIFS(入金明細!$E$5:$E$1004,入金明細!$G$5:$G$1004,$A161,入金明細!$B$5:$B$1004,"&gt;="&amp;I$3,入金明細!$B$5:$B$1004,"&lt;"&amp;DATE(YEAR(I$3),MONTH(I$3)+1,1)))</f>
        <v/>
      </c>
      <c r="K161" s="27" t="str">
        <f aca="false">IF($A161="","",SUMIFS(請求台帳!$F$5:$F$504,請求台帳!$C$5:$C$504,$A161,請求台帳!$B$5:$B$504,"&gt;="&amp;K$3,請求台帳!$B$5:$B$504,"&lt;"&amp;DATE(YEAR(K$3),MONTH(K$3)+1,1),請求台帳!$Q$5:$Q$504,"&lt;&gt;取消"))</f>
        <v/>
      </c>
      <c r="L161" s="27" t="str">
        <f aca="false">IF($A161="","",SUMIFS(入金明細!$E$5:$E$1004,入金明細!$G$5:$G$1004,$A161,入金明細!$B$5:$B$1004,"&gt;="&amp;K$3,入金明細!$B$5:$B$1004,"&lt;"&amp;DATE(YEAR(K$3),MONTH(K$3)+1,1)))</f>
        <v/>
      </c>
      <c r="M161" s="27" t="str">
        <f aca="false">IF($A161="","",SUMIFS(請求台帳!$F$5:$F$504,請求台帳!$C$5:$C$504,$A161,請求台帳!$B$5:$B$504,"&gt;="&amp;M$3,請求台帳!$B$5:$B$504,"&lt;"&amp;DATE(YEAR(M$3),MONTH(M$3)+1,1),請求台帳!$Q$5:$Q$504,"&lt;&gt;取消"))</f>
        <v/>
      </c>
      <c r="N161" s="27" t="str">
        <f aca="false">IF($A161="","",SUMIFS(入金明細!$E$5:$E$1004,入金明細!$G$5:$G$1004,$A161,入金明細!$B$5:$B$1004,"&gt;="&amp;M$3,入金明細!$B$5:$B$1004,"&lt;"&amp;DATE(YEAR(M$3),MONTH(M$3)+1,1)))</f>
        <v/>
      </c>
      <c r="O161" s="27" t="str">
        <f aca="false">IF($A161="","",SUMIFS(請求台帳!$F$5:$F$504,請求台帳!$C$5:$C$504,$A161,請求台帳!$B$5:$B$504,"&gt;="&amp;O$3,請求台帳!$B$5:$B$504,"&lt;"&amp;DATE(YEAR(O$3),MONTH(O$3)+1,1),請求台帳!$Q$5:$Q$504,"&lt;&gt;取消"))</f>
        <v/>
      </c>
      <c r="P161" s="27" t="str">
        <f aca="false">IF($A161="","",SUMIFS(入金明細!$E$5:$E$1004,入金明細!$G$5:$G$1004,$A161,入金明細!$B$5:$B$1004,"&gt;="&amp;O$3,入金明細!$B$5:$B$1004,"&lt;"&amp;DATE(YEAR(O$3),MONTH(O$3)+1,1)))</f>
        <v/>
      </c>
      <c r="Q161" s="27" t="str">
        <f aca="false">IF($A161="","",SUMIFS(請求台帳!$F$5:$F$504,請求台帳!$C$5:$C$504,$A161,請求台帳!$B$5:$B$504,"&gt;="&amp;Q$3,請求台帳!$B$5:$B$504,"&lt;"&amp;DATE(YEAR(Q$3),MONTH(Q$3)+1,1),請求台帳!$Q$5:$Q$504,"&lt;&gt;取消"))</f>
        <v/>
      </c>
      <c r="R161" s="27" t="str">
        <f aca="false">IF($A161="","",SUMIFS(入金明細!$E$5:$E$1004,入金明細!$G$5:$G$1004,$A161,入金明細!$B$5:$B$1004,"&gt;="&amp;Q$3,入金明細!$B$5:$B$1004,"&lt;"&amp;DATE(YEAR(Q$3),MONTH(Q$3)+1,1)))</f>
        <v/>
      </c>
      <c r="S161" s="27" t="str">
        <f aca="false">IF($A161="","",SUMIFS(請求台帳!$F$5:$F$504,請求台帳!$C$5:$C$504,$A161,請求台帳!$B$5:$B$504,"&gt;="&amp;S$3,請求台帳!$B$5:$B$504,"&lt;"&amp;DATE(YEAR(S$3),MONTH(S$3)+1,1),請求台帳!$Q$5:$Q$504,"&lt;&gt;取消"))</f>
        <v/>
      </c>
      <c r="T161" s="27" t="str">
        <f aca="false">IF($A161="","",SUMIFS(入金明細!$E$5:$E$1004,入金明細!$G$5:$G$1004,$A161,入金明細!$B$5:$B$1004,"&gt;="&amp;S$3,入金明細!$B$5:$B$1004,"&lt;"&amp;DATE(YEAR(S$3),MONTH(S$3)+1,1)))</f>
        <v/>
      </c>
      <c r="U161" s="27" t="str">
        <f aca="false">IF($A161="","",SUMIFS(請求台帳!$F$5:$F$504,請求台帳!$C$5:$C$504,$A161,請求台帳!$B$5:$B$504,"&gt;="&amp;U$3,請求台帳!$B$5:$B$504,"&lt;"&amp;DATE(YEAR(U$3),MONTH(U$3)+1,1),請求台帳!$Q$5:$Q$504,"&lt;&gt;取消"))</f>
        <v/>
      </c>
      <c r="V161" s="27" t="str">
        <f aca="false">IF($A161="","",SUMIFS(入金明細!$E$5:$E$1004,入金明細!$G$5:$G$1004,$A161,入金明細!$B$5:$B$1004,"&gt;="&amp;U$3,入金明細!$B$5:$B$1004,"&lt;"&amp;DATE(YEAR(U$3),MONTH(U$3)+1,1)))</f>
        <v/>
      </c>
      <c r="W161" s="27" t="str">
        <f aca="false">IF($A161="","",SUMIFS(請求台帳!$F$5:$F$504,請求台帳!$C$5:$C$504,$A161,請求台帳!$B$5:$B$504,"&gt;="&amp;W$3,請求台帳!$B$5:$B$504,"&lt;"&amp;DATE(YEAR(W$3),MONTH(W$3)+1,1),請求台帳!$Q$5:$Q$504,"&lt;&gt;取消"))</f>
        <v/>
      </c>
      <c r="X161" s="27" t="str">
        <f aca="false">IF($A161="","",SUMIFS(入金明細!$E$5:$E$1004,入金明細!$G$5:$G$1004,$A161,入金明細!$B$5:$B$1004,"&gt;="&amp;W$3,入金明細!$B$5:$B$1004,"&lt;"&amp;DATE(YEAR(W$3),MONTH(W$3)+1,1)))</f>
        <v/>
      </c>
      <c r="Y161" s="27" t="str">
        <f aca="false">IF($A161="","",SUMIFS(請求台帳!$F$5:$F$504,請求台帳!$C$5:$C$504,$A161,請求台帳!$B$5:$B$504,"&gt;="&amp;Y$3,請求台帳!$B$5:$B$504,"&lt;"&amp;DATE(YEAR(Y$3),MONTH(Y$3)+1,1),請求台帳!$Q$5:$Q$504,"&lt;&gt;取消"))</f>
        <v/>
      </c>
      <c r="Z161" s="27" t="str">
        <f aca="false">IF($A161="","",SUMIFS(入金明細!$E$5:$E$1004,入金明細!$G$5:$G$1004,$A161,入金明細!$B$5:$B$1004,"&gt;="&amp;Y$3,入金明細!$B$5:$B$1004,"&lt;"&amp;DATE(YEAR(Y$3),MONTH(Y$3)+1,1)))</f>
        <v/>
      </c>
      <c r="AA161" s="37" t="n">
        <f aca="false">SUM(C161,E161,G161,I161,K161,M161,O161,Q161,S161,U161,W161,Y161)</f>
        <v>0</v>
      </c>
      <c r="AB161" s="37" t="n">
        <f aca="false">SUM(D161,F161,H161,J161,L161,N161,P161,R161,T161,V161,X161,Z161)</f>
        <v>0</v>
      </c>
    </row>
    <row r="162" customFormat="false" ht="15" hidden="false" customHeight="false" outlineLevel="0" collapsed="false">
      <c r="A162" s="31" t="str">
        <f aca="false">IF(取引先マスタ!A162="","",取引先マスタ!A162)</f>
        <v/>
      </c>
      <c r="B162" s="31" t="str">
        <f aca="false">IF(A162="","",取引先マスタ!B162)</f>
        <v/>
      </c>
      <c r="C162" s="27" t="str">
        <f aca="false">IF($A162="","",SUMIFS(請求台帳!$F$5:$F$504,請求台帳!$C$5:$C$504,$A162,請求台帳!$B$5:$B$504,"&gt;="&amp;C$3,請求台帳!$B$5:$B$504,"&lt;"&amp;DATE(YEAR(C$3),MONTH(C$3)+1,1),請求台帳!$Q$5:$Q$504,"&lt;&gt;取消"))</f>
        <v/>
      </c>
      <c r="D162" s="27" t="str">
        <f aca="false">IF($A162="","",SUMIFS(入金明細!$E$5:$E$1004,入金明細!$G$5:$G$1004,$A162,入金明細!$B$5:$B$1004,"&gt;="&amp;C$3,入金明細!$B$5:$B$1004,"&lt;"&amp;DATE(YEAR(C$3),MONTH(C$3)+1,1)))</f>
        <v/>
      </c>
      <c r="E162" s="27" t="str">
        <f aca="false">IF($A162="","",SUMIFS(請求台帳!$F$5:$F$504,請求台帳!$C$5:$C$504,$A162,請求台帳!$B$5:$B$504,"&gt;="&amp;E$3,請求台帳!$B$5:$B$504,"&lt;"&amp;DATE(YEAR(E$3),MONTH(E$3)+1,1),請求台帳!$Q$5:$Q$504,"&lt;&gt;取消"))</f>
        <v/>
      </c>
      <c r="F162" s="27" t="str">
        <f aca="false">IF($A162="","",SUMIFS(入金明細!$E$5:$E$1004,入金明細!$G$5:$G$1004,$A162,入金明細!$B$5:$B$1004,"&gt;="&amp;E$3,入金明細!$B$5:$B$1004,"&lt;"&amp;DATE(YEAR(E$3),MONTH(E$3)+1,1)))</f>
        <v/>
      </c>
      <c r="G162" s="27" t="str">
        <f aca="false">IF($A162="","",SUMIFS(請求台帳!$F$5:$F$504,請求台帳!$C$5:$C$504,$A162,請求台帳!$B$5:$B$504,"&gt;="&amp;G$3,請求台帳!$B$5:$B$504,"&lt;"&amp;DATE(YEAR(G$3),MONTH(G$3)+1,1),請求台帳!$Q$5:$Q$504,"&lt;&gt;取消"))</f>
        <v/>
      </c>
      <c r="H162" s="27" t="str">
        <f aca="false">IF($A162="","",SUMIFS(入金明細!$E$5:$E$1004,入金明細!$G$5:$G$1004,$A162,入金明細!$B$5:$B$1004,"&gt;="&amp;G$3,入金明細!$B$5:$B$1004,"&lt;"&amp;DATE(YEAR(G$3),MONTH(G$3)+1,1)))</f>
        <v/>
      </c>
      <c r="I162" s="27" t="str">
        <f aca="false">IF($A162="","",SUMIFS(請求台帳!$F$5:$F$504,請求台帳!$C$5:$C$504,$A162,請求台帳!$B$5:$B$504,"&gt;="&amp;I$3,請求台帳!$B$5:$B$504,"&lt;"&amp;DATE(YEAR(I$3),MONTH(I$3)+1,1),請求台帳!$Q$5:$Q$504,"&lt;&gt;取消"))</f>
        <v/>
      </c>
      <c r="J162" s="27" t="str">
        <f aca="false">IF($A162="","",SUMIFS(入金明細!$E$5:$E$1004,入金明細!$G$5:$G$1004,$A162,入金明細!$B$5:$B$1004,"&gt;="&amp;I$3,入金明細!$B$5:$B$1004,"&lt;"&amp;DATE(YEAR(I$3),MONTH(I$3)+1,1)))</f>
        <v/>
      </c>
      <c r="K162" s="27" t="str">
        <f aca="false">IF($A162="","",SUMIFS(請求台帳!$F$5:$F$504,請求台帳!$C$5:$C$504,$A162,請求台帳!$B$5:$B$504,"&gt;="&amp;K$3,請求台帳!$B$5:$B$504,"&lt;"&amp;DATE(YEAR(K$3),MONTH(K$3)+1,1),請求台帳!$Q$5:$Q$504,"&lt;&gt;取消"))</f>
        <v/>
      </c>
      <c r="L162" s="27" t="str">
        <f aca="false">IF($A162="","",SUMIFS(入金明細!$E$5:$E$1004,入金明細!$G$5:$G$1004,$A162,入金明細!$B$5:$B$1004,"&gt;="&amp;K$3,入金明細!$B$5:$B$1004,"&lt;"&amp;DATE(YEAR(K$3),MONTH(K$3)+1,1)))</f>
        <v/>
      </c>
      <c r="M162" s="27" t="str">
        <f aca="false">IF($A162="","",SUMIFS(請求台帳!$F$5:$F$504,請求台帳!$C$5:$C$504,$A162,請求台帳!$B$5:$B$504,"&gt;="&amp;M$3,請求台帳!$B$5:$B$504,"&lt;"&amp;DATE(YEAR(M$3),MONTH(M$3)+1,1),請求台帳!$Q$5:$Q$504,"&lt;&gt;取消"))</f>
        <v/>
      </c>
      <c r="N162" s="27" t="str">
        <f aca="false">IF($A162="","",SUMIFS(入金明細!$E$5:$E$1004,入金明細!$G$5:$G$1004,$A162,入金明細!$B$5:$B$1004,"&gt;="&amp;M$3,入金明細!$B$5:$B$1004,"&lt;"&amp;DATE(YEAR(M$3),MONTH(M$3)+1,1)))</f>
        <v/>
      </c>
      <c r="O162" s="27" t="str">
        <f aca="false">IF($A162="","",SUMIFS(請求台帳!$F$5:$F$504,請求台帳!$C$5:$C$504,$A162,請求台帳!$B$5:$B$504,"&gt;="&amp;O$3,請求台帳!$B$5:$B$504,"&lt;"&amp;DATE(YEAR(O$3),MONTH(O$3)+1,1),請求台帳!$Q$5:$Q$504,"&lt;&gt;取消"))</f>
        <v/>
      </c>
      <c r="P162" s="27" t="str">
        <f aca="false">IF($A162="","",SUMIFS(入金明細!$E$5:$E$1004,入金明細!$G$5:$G$1004,$A162,入金明細!$B$5:$B$1004,"&gt;="&amp;O$3,入金明細!$B$5:$B$1004,"&lt;"&amp;DATE(YEAR(O$3),MONTH(O$3)+1,1)))</f>
        <v/>
      </c>
      <c r="Q162" s="27" t="str">
        <f aca="false">IF($A162="","",SUMIFS(請求台帳!$F$5:$F$504,請求台帳!$C$5:$C$504,$A162,請求台帳!$B$5:$B$504,"&gt;="&amp;Q$3,請求台帳!$B$5:$B$504,"&lt;"&amp;DATE(YEAR(Q$3),MONTH(Q$3)+1,1),請求台帳!$Q$5:$Q$504,"&lt;&gt;取消"))</f>
        <v/>
      </c>
      <c r="R162" s="27" t="str">
        <f aca="false">IF($A162="","",SUMIFS(入金明細!$E$5:$E$1004,入金明細!$G$5:$G$1004,$A162,入金明細!$B$5:$B$1004,"&gt;="&amp;Q$3,入金明細!$B$5:$B$1004,"&lt;"&amp;DATE(YEAR(Q$3),MONTH(Q$3)+1,1)))</f>
        <v/>
      </c>
      <c r="S162" s="27" t="str">
        <f aca="false">IF($A162="","",SUMIFS(請求台帳!$F$5:$F$504,請求台帳!$C$5:$C$504,$A162,請求台帳!$B$5:$B$504,"&gt;="&amp;S$3,請求台帳!$B$5:$B$504,"&lt;"&amp;DATE(YEAR(S$3),MONTH(S$3)+1,1),請求台帳!$Q$5:$Q$504,"&lt;&gt;取消"))</f>
        <v/>
      </c>
      <c r="T162" s="27" t="str">
        <f aca="false">IF($A162="","",SUMIFS(入金明細!$E$5:$E$1004,入金明細!$G$5:$G$1004,$A162,入金明細!$B$5:$B$1004,"&gt;="&amp;S$3,入金明細!$B$5:$B$1004,"&lt;"&amp;DATE(YEAR(S$3),MONTH(S$3)+1,1)))</f>
        <v/>
      </c>
      <c r="U162" s="27" t="str">
        <f aca="false">IF($A162="","",SUMIFS(請求台帳!$F$5:$F$504,請求台帳!$C$5:$C$504,$A162,請求台帳!$B$5:$B$504,"&gt;="&amp;U$3,請求台帳!$B$5:$B$504,"&lt;"&amp;DATE(YEAR(U$3),MONTH(U$3)+1,1),請求台帳!$Q$5:$Q$504,"&lt;&gt;取消"))</f>
        <v/>
      </c>
      <c r="V162" s="27" t="str">
        <f aca="false">IF($A162="","",SUMIFS(入金明細!$E$5:$E$1004,入金明細!$G$5:$G$1004,$A162,入金明細!$B$5:$B$1004,"&gt;="&amp;U$3,入金明細!$B$5:$B$1004,"&lt;"&amp;DATE(YEAR(U$3),MONTH(U$3)+1,1)))</f>
        <v/>
      </c>
      <c r="W162" s="27" t="str">
        <f aca="false">IF($A162="","",SUMIFS(請求台帳!$F$5:$F$504,請求台帳!$C$5:$C$504,$A162,請求台帳!$B$5:$B$504,"&gt;="&amp;W$3,請求台帳!$B$5:$B$504,"&lt;"&amp;DATE(YEAR(W$3),MONTH(W$3)+1,1),請求台帳!$Q$5:$Q$504,"&lt;&gt;取消"))</f>
        <v/>
      </c>
      <c r="X162" s="27" t="str">
        <f aca="false">IF($A162="","",SUMIFS(入金明細!$E$5:$E$1004,入金明細!$G$5:$G$1004,$A162,入金明細!$B$5:$B$1004,"&gt;="&amp;W$3,入金明細!$B$5:$B$1004,"&lt;"&amp;DATE(YEAR(W$3),MONTH(W$3)+1,1)))</f>
        <v/>
      </c>
      <c r="Y162" s="27" t="str">
        <f aca="false">IF($A162="","",SUMIFS(請求台帳!$F$5:$F$504,請求台帳!$C$5:$C$504,$A162,請求台帳!$B$5:$B$504,"&gt;="&amp;Y$3,請求台帳!$B$5:$B$504,"&lt;"&amp;DATE(YEAR(Y$3),MONTH(Y$3)+1,1),請求台帳!$Q$5:$Q$504,"&lt;&gt;取消"))</f>
        <v/>
      </c>
      <c r="Z162" s="27" t="str">
        <f aca="false">IF($A162="","",SUMIFS(入金明細!$E$5:$E$1004,入金明細!$G$5:$G$1004,$A162,入金明細!$B$5:$B$1004,"&gt;="&amp;Y$3,入金明細!$B$5:$B$1004,"&lt;"&amp;DATE(YEAR(Y$3),MONTH(Y$3)+1,1)))</f>
        <v/>
      </c>
      <c r="AA162" s="37" t="n">
        <f aca="false">SUM(C162,E162,G162,I162,K162,M162,O162,Q162,S162,U162,W162,Y162)</f>
        <v>0</v>
      </c>
      <c r="AB162" s="37" t="n">
        <f aca="false">SUM(D162,F162,H162,J162,L162,N162,P162,R162,T162,V162,X162,Z162)</f>
        <v>0</v>
      </c>
    </row>
    <row r="163" customFormat="false" ht="15" hidden="false" customHeight="false" outlineLevel="0" collapsed="false">
      <c r="A163" s="31" t="str">
        <f aca="false">IF(取引先マスタ!A163="","",取引先マスタ!A163)</f>
        <v/>
      </c>
      <c r="B163" s="31" t="str">
        <f aca="false">IF(A163="","",取引先マスタ!B163)</f>
        <v/>
      </c>
      <c r="C163" s="27" t="str">
        <f aca="false">IF($A163="","",SUMIFS(請求台帳!$F$5:$F$504,請求台帳!$C$5:$C$504,$A163,請求台帳!$B$5:$B$504,"&gt;="&amp;C$3,請求台帳!$B$5:$B$504,"&lt;"&amp;DATE(YEAR(C$3),MONTH(C$3)+1,1),請求台帳!$Q$5:$Q$504,"&lt;&gt;取消"))</f>
        <v/>
      </c>
      <c r="D163" s="27" t="str">
        <f aca="false">IF($A163="","",SUMIFS(入金明細!$E$5:$E$1004,入金明細!$G$5:$G$1004,$A163,入金明細!$B$5:$B$1004,"&gt;="&amp;C$3,入金明細!$B$5:$B$1004,"&lt;"&amp;DATE(YEAR(C$3),MONTH(C$3)+1,1)))</f>
        <v/>
      </c>
      <c r="E163" s="27" t="str">
        <f aca="false">IF($A163="","",SUMIFS(請求台帳!$F$5:$F$504,請求台帳!$C$5:$C$504,$A163,請求台帳!$B$5:$B$504,"&gt;="&amp;E$3,請求台帳!$B$5:$B$504,"&lt;"&amp;DATE(YEAR(E$3),MONTH(E$3)+1,1),請求台帳!$Q$5:$Q$504,"&lt;&gt;取消"))</f>
        <v/>
      </c>
      <c r="F163" s="27" t="str">
        <f aca="false">IF($A163="","",SUMIFS(入金明細!$E$5:$E$1004,入金明細!$G$5:$G$1004,$A163,入金明細!$B$5:$B$1004,"&gt;="&amp;E$3,入金明細!$B$5:$B$1004,"&lt;"&amp;DATE(YEAR(E$3),MONTH(E$3)+1,1)))</f>
        <v/>
      </c>
      <c r="G163" s="27" t="str">
        <f aca="false">IF($A163="","",SUMIFS(請求台帳!$F$5:$F$504,請求台帳!$C$5:$C$504,$A163,請求台帳!$B$5:$B$504,"&gt;="&amp;G$3,請求台帳!$B$5:$B$504,"&lt;"&amp;DATE(YEAR(G$3),MONTH(G$3)+1,1),請求台帳!$Q$5:$Q$504,"&lt;&gt;取消"))</f>
        <v/>
      </c>
      <c r="H163" s="27" t="str">
        <f aca="false">IF($A163="","",SUMIFS(入金明細!$E$5:$E$1004,入金明細!$G$5:$G$1004,$A163,入金明細!$B$5:$B$1004,"&gt;="&amp;G$3,入金明細!$B$5:$B$1004,"&lt;"&amp;DATE(YEAR(G$3),MONTH(G$3)+1,1)))</f>
        <v/>
      </c>
      <c r="I163" s="27" t="str">
        <f aca="false">IF($A163="","",SUMIFS(請求台帳!$F$5:$F$504,請求台帳!$C$5:$C$504,$A163,請求台帳!$B$5:$B$504,"&gt;="&amp;I$3,請求台帳!$B$5:$B$504,"&lt;"&amp;DATE(YEAR(I$3),MONTH(I$3)+1,1),請求台帳!$Q$5:$Q$504,"&lt;&gt;取消"))</f>
        <v/>
      </c>
      <c r="J163" s="27" t="str">
        <f aca="false">IF($A163="","",SUMIFS(入金明細!$E$5:$E$1004,入金明細!$G$5:$G$1004,$A163,入金明細!$B$5:$B$1004,"&gt;="&amp;I$3,入金明細!$B$5:$B$1004,"&lt;"&amp;DATE(YEAR(I$3),MONTH(I$3)+1,1)))</f>
        <v/>
      </c>
      <c r="K163" s="27" t="str">
        <f aca="false">IF($A163="","",SUMIFS(請求台帳!$F$5:$F$504,請求台帳!$C$5:$C$504,$A163,請求台帳!$B$5:$B$504,"&gt;="&amp;K$3,請求台帳!$B$5:$B$504,"&lt;"&amp;DATE(YEAR(K$3),MONTH(K$3)+1,1),請求台帳!$Q$5:$Q$504,"&lt;&gt;取消"))</f>
        <v/>
      </c>
      <c r="L163" s="27" t="str">
        <f aca="false">IF($A163="","",SUMIFS(入金明細!$E$5:$E$1004,入金明細!$G$5:$G$1004,$A163,入金明細!$B$5:$B$1004,"&gt;="&amp;K$3,入金明細!$B$5:$B$1004,"&lt;"&amp;DATE(YEAR(K$3),MONTH(K$3)+1,1)))</f>
        <v/>
      </c>
      <c r="M163" s="27" t="str">
        <f aca="false">IF($A163="","",SUMIFS(請求台帳!$F$5:$F$504,請求台帳!$C$5:$C$504,$A163,請求台帳!$B$5:$B$504,"&gt;="&amp;M$3,請求台帳!$B$5:$B$504,"&lt;"&amp;DATE(YEAR(M$3),MONTH(M$3)+1,1),請求台帳!$Q$5:$Q$504,"&lt;&gt;取消"))</f>
        <v/>
      </c>
      <c r="N163" s="27" t="str">
        <f aca="false">IF($A163="","",SUMIFS(入金明細!$E$5:$E$1004,入金明細!$G$5:$G$1004,$A163,入金明細!$B$5:$B$1004,"&gt;="&amp;M$3,入金明細!$B$5:$B$1004,"&lt;"&amp;DATE(YEAR(M$3),MONTH(M$3)+1,1)))</f>
        <v/>
      </c>
      <c r="O163" s="27" t="str">
        <f aca="false">IF($A163="","",SUMIFS(請求台帳!$F$5:$F$504,請求台帳!$C$5:$C$504,$A163,請求台帳!$B$5:$B$504,"&gt;="&amp;O$3,請求台帳!$B$5:$B$504,"&lt;"&amp;DATE(YEAR(O$3),MONTH(O$3)+1,1),請求台帳!$Q$5:$Q$504,"&lt;&gt;取消"))</f>
        <v/>
      </c>
      <c r="P163" s="27" t="str">
        <f aca="false">IF($A163="","",SUMIFS(入金明細!$E$5:$E$1004,入金明細!$G$5:$G$1004,$A163,入金明細!$B$5:$B$1004,"&gt;="&amp;O$3,入金明細!$B$5:$B$1004,"&lt;"&amp;DATE(YEAR(O$3),MONTH(O$3)+1,1)))</f>
        <v/>
      </c>
      <c r="Q163" s="27" t="str">
        <f aca="false">IF($A163="","",SUMIFS(請求台帳!$F$5:$F$504,請求台帳!$C$5:$C$504,$A163,請求台帳!$B$5:$B$504,"&gt;="&amp;Q$3,請求台帳!$B$5:$B$504,"&lt;"&amp;DATE(YEAR(Q$3),MONTH(Q$3)+1,1),請求台帳!$Q$5:$Q$504,"&lt;&gt;取消"))</f>
        <v/>
      </c>
      <c r="R163" s="27" t="str">
        <f aca="false">IF($A163="","",SUMIFS(入金明細!$E$5:$E$1004,入金明細!$G$5:$G$1004,$A163,入金明細!$B$5:$B$1004,"&gt;="&amp;Q$3,入金明細!$B$5:$B$1004,"&lt;"&amp;DATE(YEAR(Q$3),MONTH(Q$3)+1,1)))</f>
        <v/>
      </c>
      <c r="S163" s="27" t="str">
        <f aca="false">IF($A163="","",SUMIFS(請求台帳!$F$5:$F$504,請求台帳!$C$5:$C$504,$A163,請求台帳!$B$5:$B$504,"&gt;="&amp;S$3,請求台帳!$B$5:$B$504,"&lt;"&amp;DATE(YEAR(S$3),MONTH(S$3)+1,1),請求台帳!$Q$5:$Q$504,"&lt;&gt;取消"))</f>
        <v/>
      </c>
      <c r="T163" s="27" t="str">
        <f aca="false">IF($A163="","",SUMIFS(入金明細!$E$5:$E$1004,入金明細!$G$5:$G$1004,$A163,入金明細!$B$5:$B$1004,"&gt;="&amp;S$3,入金明細!$B$5:$B$1004,"&lt;"&amp;DATE(YEAR(S$3),MONTH(S$3)+1,1)))</f>
        <v/>
      </c>
      <c r="U163" s="27" t="str">
        <f aca="false">IF($A163="","",SUMIFS(請求台帳!$F$5:$F$504,請求台帳!$C$5:$C$504,$A163,請求台帳!$B$5:$B$504,"&gt;="&amp;U$3,請求台帳!$B$5:$B$504,"&lt;"&amp;DATE(YEAR(U$3),MONTH(U$3)+1,1),請求台帳!$Q$5:$Q$504,"&lt;&gt;取消"))</f>
        <v/>
      </c>
      <c r="V163" s="27" t="str">
        <f aca="false">IF($A163="","",SUMIFS(入金明細!$E$5:$E$1004,入金明細!$G$5:$G$1004,$A163,入金明細!$B$5:$B$1004,"&gt;="&amp;U$3,入金明細!$B$5:$B$1004,"&lt;"&amp;DATE(YEAR(U$3),MONTH(U$3)+1,1)))</f>
        <v/>
      </c>
      <c r="W163" s="27" t="str">
        <f aca="false">IF($A163="","",SUMIFS(請求台帳!$F$5:$F$504,請求台帳!$C$5:$C$504,$A163,請求台帳!$B$5:$B$504,"&gt;="&amp;W$3,請求台帳!$B$5:$B$504,"&lt;"&amp;DATE(YEAR(W$3),MONTH(W$3)+1,1),請求台帳!$Q$5:$Q$504,"&lt;&gt;取消"))</f>
        <v/>
      </c>
      <c r="X163" s="27" t="str">
        <f aca="false">IF($A163="","",SUMIFS(入金明細!$E$5:$E$1004,入金明細!$G$5:$G$1004,$A163,入金明細!$B$5:$B$1004,"&gt;="&amp;W$3,入金明細!$B$5:$B$1004,"&lt;"&amp;DATE(YEAR(W$3),MONTH(W$3)+1,1)))</f>
        <v/>
      </c>
      <c r="Y163" s="27" t="str">
        <f aca="false">IF($A163="","",SUMIFS(請求台帳!$F$5:$F$504,請求台帳!$C$5:$C$504,$A163,請求台帳!$B$5:$B$504,"&gt;="&amp;Y$3,請求台帳!$B$5:$B$504,"&lt;"&amp;DATE(YEAR(Y$3),MONTH(Y$3)+1,1),請求台帳!$Q$5:$Q$504,"&lt;&gt;取消"))</f>
        <v/>
      </c>
      <c r="Z163" s="27" t="str">
        <f aca="false">IF($A163="","",SUMIFS(入金明細!$E$5:$E$1004,入金明細!$G$5:$G$1004,$A163,入金明細!$B$5:$B$1004,"&gt;="&amp;Y$3,入金明細!$B$5:$B$1004,"&lt;"&amp;DATE(YEAR(Y$3),MONTH(Y$3)+1,1)))</f>
        <v/>
      </c>
      <c r="AA163" s="37" t="n">
        <f aca="false">SUM(C163,E163,G163,I163,K163,M163,O163,Q163,S163,U163,W163,Y163)</f>
        <v>0</v>
      </c>
      <c r="AB163" s="37" t="n">
        <f aca="false">SUM(D163,F163,H163,J163,L163,N163,P163,R163,T163,V163,X163,Z163)</f>
        <v>0</v>
      </c>
    </row>
    <row r="164" customFormat="false" ht="15" hidden="false" customHeight="false" outlineLevel="0" collapsed="false">
      <c r="A164" s="31" t="str">
        <f aca="false">IF(取引先マスタ!A164="","",取引先マスタ!A164)</f>
        <v/>
      </c>
      <c r="B164" s="31" t="str">
        <f aca="false">IF(A164="","",取引先マスタ!B164)</f>
        <v/>
      </c>
      <c r="C164" s="27" t="str">
        <f aca="false">IF($A164="","",SUMIFS(請求台帳!$F$5:$F$504,請求台帳!$C$5:$C$504,$A164,請求台帳!$B$5:$B$504,"&gt;="&amp;C$3,請求台帳!$B$5:$B$504,"&lt;"&amp;DATE(YEAR(C$3),MONTH(C$3)+1,1),請求台帳!$Q$5:$Q$504,"&lt;&gt;取消"))</f>
        <v/>
      </c>
      <c r="D164" s="27" t="str">
        <f aca="false">IF($A164="","",SUMIFS(入金明細!$E$5:$E$1004,入金明細!$G$5:$G$1004,$A164,入金明細!$B$5:$B$1004,"&gt;="&amp;C$3,入金明細!$B$5:$B$1004,"&lt;"&amp;DATE(YEAR(C$3),MONTH(C$3)+1,1)))</f>
        <v/>
      </c>
      <c r="E164" s="27" t="str">
        <f aca="false">IF($A164="","",SUMIFS(請求台帳!$F$5:$F$504,請求台帳!$C$5:$C$504,$A164,請求台帳!$B$5:$B$504,"&gt;="&amp;E$3,請求台帳!$B$5:$B$504,"&lt;"&amp;DATE(YEAR(E$3),MONTH(E$3)+1,1),請求台帳!$Q$5:$Q$504,"&lt;&gt;取消"))</f>
        <v/>
      </c>
      <c r="F164" s="27" t="str">
        <f aca="false">IF($A164="","",SUMIFS(入金明細!$E$5:$E$1004,入金明細!$G$5:$G$1004,$A164,入金明細!$B$5:$B$1004,"&gt;="&amp;E$3,入金明細!$B$5:$B$1004,"&lt;"&amp;DATE(YEAR(E$3),MONTH(E$3)+1,1)))</f>
        <v/>
      </c>
      <c r="G164" s="27" t="str">
        <f aca="false">IF($A164="","",SUMIFS(請求台帳!$F$5:$F$504,請求台帳!$C$5:$C$504,$A164,請求台帳!$B$5:$B$504,"&gt;="&amp;G$3,請求台帳!$B$5:$B$504,"&lt;"&amp;DATE(YEAR(G$3),MONTH(G$3)+1,1),請求台帳!$Q$5:$Q$504,"&lt;&gt;取消"))</f>
        <v/>
      </c>
      <c r="H164" s="27" t="str">
        <f aca="false">IF($A164="","",SUMIFS(入金明細!$E$5:$E$1004,入金明細!$G$5:$G$1004,$A164,入金明細!$B$5:$B$1004,"&gt;="&amp;G$3,入金明細!$B$5:$B$1004,"&lt;"&amp;DATE(YEAR(G$3),MONTH(G$3)+1,1)))</f>
        <v/>
      </c>
      <c r="I164" s="27" t="str">
        <f aca="false">IF($A164="","",SUMIFS(請求台帳!$F$5:$F$504,請求台帳!$C$5:$C$504,$A164,請求台帳!$B$5:$B$504,"&gt;="&amp;I$3,請求台帳!$B$5:$B$504,"&lt;"&amp;DATE(YEAR(I$3),MONTH(I$3)+1,1),請求台帳!$Q$5:$Q$504,"&lt;&gt;取消"))</f>
        <v/>
      </c>
      <c r="J164" s="27" t="str">
        <f aca="false">IF($A164="","",SUMIFS(入金明細!$E$5:$E$1004,入金明細!$G$5:$G$1004,$A164,入金明細!$B$5:$B$1004,"&gt;="&amp;I$3,入金明細!$B$5:$B$1004,"&lt;"&amp;DATE(YEAR(I$3),MONTH(I$3)+1,1)))</f>
        <v/>
      </c>
      <c r="K164" s="27" t="str">
        <f aca="false">IF($A164="","",SUMIFS(請求台帳!$F$5:$F$504,請求台帳!$C$5:$C$504,$A164,請求台帳!$B$5:$B$504,"&gt;="&amp;K$3,請求台帳!$B$5:$B$504,"&lt;"&amp;DATE(YEAR(K$3),MONTH(K$3)+1,1),請求台帳!$Q$5:$Q$504,"&lt;&gt;取消"))</f>
        <v/>
      </c>
      <c r="L164" s="27" t="str">
        <f aca="false">IF($A164="","",SUMIFS(入金明細!$E$5:$E$1004,入金明細!$G$5:$G$1004,$A164,入金明細!$B$5:$B$1004,"&gt;="&amp;K$3,入金明細!$B$5:$B$1004,"&lt;"&amp;DATE(YEAR(K$3),MONTH(K$3)+1,1)))</f>
        <v/>
      </c>
      <c r="M164" s="27" t="str">
        <f aca="false">IF($A164="","",SUMIFS(請求台帳!$F$5:$F$504,請求台帳!$C$5:$C$504,$A164,請求台帳!$B$5:$B$504,"&gt;="&amp;M$3,請求台帳!$B$5:$B$504,"&lt;"&amp;DATE(YEAR(M$3),MONTH(M$3)+1,1),請求台帳!$Q$5:$Q$504,"&lt;&gt;取消"))</f>
        <v/>
      </c>
      <c r="N164" s="27" t="str">
        <f aca="false">IF($A164="","",SUMIFS(入金明細!$E$5:$E$1004,入金明細!$G$5:$G$1004,$A164,入金明細!$B$5:$B$1004,"&gt;="&amp;M$3,入金明細!$B$5:$B$1004,"&lt;"&amp;DATE(YEAR(M$3),MONTH(M$3)+1,1)))</f>
        <v/>
      </c>
      <c r="O164" s="27" t="str">
        <f aca="false">IF($A164="","",SUMIFS(請求台帳!$F$5:$F$504,請求台帳!$C$5:$C$504,$A164,請求台帳!$B$5:$B$504,"&gt;="&amp;O$3,請求台帳!$B$5:$B$504,"&lt;"&amp;DATE(YEAR(O$3),MONTH(O$3)+1,1),請求台帳!$Q$5:$Q$504,"&lt;&gt;取消"))</f>
        <v/>
      </c>
      <c r="P164" s="27" t="str">
        <f aca="false">IF($A164="","",SUMIFS(入金明細!$E$5:$E$1004,入金明細!$G$5:$G$1004,$A164,入金明細!$B$5:$B$1004,"&gt;="&amp;O$3,入金明細!$B$5:$B$1004,"&lt;"&amp;DATE(YEAR(O$3),MONTH(O$3)+1,1)))</f>
        <v/>
      </c>
      <c r="Q164" s="27" t="str">
        <f aca="false">IF($A164="","",SUMIFS(請求台帳!$F$5:$F$504,請求台帳!$C$5:$C$504,$A164,請求台帳!$B$5:$B$504,"&gt;="&amp;Q$3,請求台帳!$B$5:$B$504,"&lt;"&amp;DATE(YEAR(Q$3),MONTH(Q$3)+1,1),請求台帳!$Q$5:$Q$504,"&lt;&gt;取消"))</f>
        <v/>
      </c>
      <c r="R164" s="27" t="str">
        <f aca="false">IF($A164="","",SUMIFS(入金明細!$E$5:$E$1004,入金明細!$G$5:$G$1004,$A164,入金明細!$B$5:$B$1004,"&gt;="&amp;Q$3,入金明細!$B$5:$B$1004,"&lt;"&amp;DATE(YEAR(Q$3),MONTH(Q$3)+1,1)))</f>
        <v/>
      </c>
      <c r="S164" s="27" t="str">
        <f aca="false">IF($A164="","",SUMIFS(請求台帳!$F$5:$F$504,請求台帳!$C$5:$C$504,$A164,請求台帳!$B$5:$B$504,"&gt;="&amp;S$3,請求台帳!$B$5:$B$504,"&lt;"&amp;DATE(YEAR(S$3),MONTH(S$3)+1,1),請求台帳!$Q$5:$Q$504,"&lt;&gt;取消"))</f>
        <v/>
      </c>
      <c r="T164" s="27" t="str">
        <f aca="false">IF($A164="","",SUMIFS(入金明細!$E$5:$E$1004,入金明細!$G$5:$G$1004,$A164,入金明細!$B$5:$B$1004,"&gt;="&amp;S$3,入金明細!$B$5:$B$1004,"&lt;"&amp;DATE(YEAR(S$3),MONTH(S$3)+1,1)))</f>
        <v/>
      </c>
      <c r="U164" s="27" t="str">
        <f aca="false">IF($A164="","",SUMIFS(請求台帳!$F$5:$F$504,請求台帳!$C$5:$C$504,$A164,請求台帳!$B$5:$B$504,"&gt;="&amp;U$3,請求台帳!$B$5:$B$504,"&lt;"&amp;DATE(YEAR(U$3),MONTH(U$3)+1,1),請求台帳!$Q$5:$Q$504,"&lt;&gt;取消"))</f>
        <v/>
      </c>
      <c r="V164" s="27" t="str">
        <f aca="false">IF($A164="","",SUMIFS(入金明細!$E$5:$E$1004,入金明細!$G$5:$G$1004,$A164,入金明細!$B$5:$B$1004,"&gt;="&amp;U$3,入金明細!$B$5:$B$1004,"&lt;"&amp;DATE(YEAR(U$3),MONTH(U$3)+1,1)))</f>
        <v/>
      </c>
      <c r="W164" s="27" t="str">
        <f aca="false">IF($A164="","",SUMIFS(請求台帳!$F$5:$F$504,請求台帳!$C$5:$C$504,$A164,請求台帳!$B$5:$B$504,"&gt;="&amp;W$3,請求台帳!$B$5:$B$504,"&lt;"&amp;DATE(YEAR(W$3),MONTH(W$3)+1,1),請求台帳!$Q$5:$Q$504,"&lt;&gt;取消"))</f>
        <v/>
      </c>
      <c r="X164" s="27" t="str">
        <f aca="false">IF($A164="","",SUMIFS(入金明細!$E$5:$E$1004,入金明細!$G$5:$G$1004,$A164,入金明細!$B$5:$B$1004,"&gt;="&amp;W$3,入金明細!$B$5:$B$1004,"&lt;"&amp;DATE(YEAR(W$3),MONTH(W$3)+1,1)))</f>
        <v/>
      </c>
      <c r="Y164" s="27" t="str">
        <f aca="false">IF($A164="","",SUMIFS(請求台帳!$F$5:$F$504,請求台帳!$C$5:$C$504,$A164,請求台帳!$B$5:$B$504,"&gt;="&amp;Y$3,請求台帳!$B$5:$B$504,"&lt;"&amp;DATE(YEAR(Y$3),MONTH(Y$3)+1,1),請求台帳!$Q$5:$Q$504,"&lt;&gt;取消"))</f>
        <v/>
      </c>
      <c r="Z164" s="27" t="str">
        <f aca="false">IF($A164="","",SUMIFS(入金明細!$E$5:$E$1004,入金明細!$G$5:$G$1004,$A164,入金明細!$B$5:$B$1004,"&gt;="&amp;Y$3,入金明細!$B$5:$B$1004,"&lt;"&amp;DATE(YEAR(Y$3),MONTH(Y$3)+1,1)))</f>
        <v/>
      </c>
      <c r="AA164" s="37" t="n">
        <f aca="false">SUM(C164,E164,G164,I164,K164,M164,O164,Q164,S164,U164,W164,Y164)</f>
        <v>0</v>
      </c>
      <c r="AB164" s="37" t="n">
        <f aca="false">SUM(D164,F164,H164,J164,L164,N164,P164,R164,T164,V164,X164,Z164)</f>
        <v>0</v>
      </c>
    </row>
    <row r="165" customFormat="false" ht="15" hidden="false" customHeight="false" outlineLevel="0" collapsed="false">
      <c r="A165" s="31" t="str">
        <f aca="false">IF(取引先マスタ!A165="","",取引先マスタ!A165)</f>
        <v/>
      </c>
      <c r="B165" s="31" t="str">
        <f aca="false">IF(A165="","",取引先マスタ!B165)</f>
        <v/>
      </c>
      <c r="C165" s="27" t="str">
        <f aca="false">IF($A165="","",SUMIFS(請求台帳!$F$5:$F$504,請求台帳!$C$5:$C$504,$A165,請求台帳!$B$5:$B$504,"&gt;="&amp;C$3,請求台帳!$B$5:$B$504,"&lt;"&amp;DATE(YEAR(C$3),MONTH(C$3)+1,1),請求台帳!$Q$5:$Q$504,"&lt;&gt;取消"))</f>
        <v/>
      </c>
      <c r="D165" s="27" t="str">
        <f aca="false">IF($A165="","",SUMIFS(入金明細!$E$5:$E$1004,入金明細!$G$5:$G$1004,$A165,入金明細!$B$5:$B$1004,"&gt;="&amp;C$3,入金明細!$B$5:$B$1004,"&lt;"&amp;DATE(YEAR(C$3),MONTH(C$3)+1,1)))</f>
        <v/>
      </c>
      <c r="E165" s="27" t="str">
        <f aca="false">IF($A165="","",SUMIFS(請求台帳!$F$5:$F$504,請求台帳!$C$5:$C$504,$A165,請求台帳!$B$5:$B$504,"&gt;="&amp;E$3,請求台帳!$B$5:$B$504,"&lt;"&amp;DATE(YEAR(E$3),MONTH(E$3)+1,1),請求台帳!$Q$5:$Q$504,"&lt;&gt;取消"))</f>
        <v/>
      </c>
      <c r="F165" s="27" t="str">
        <f aca="false">IF($A165="","",SUMIFS(入金明細!$E$5:$E$1004,入金明細!$G$5:$G$1004,$A165,入金明細!$B$5:$B$1004,"&gt;="&amp;E$3,入金明細!$B$5:$B$1004,"&lt;"&amp;DATE(YEAR(E$3),MONTH(E$3)+1,1)))</f>
        <v/>
      </c>
      <c r="G165" s="27" t="str">
        <f aca="false">IF($A165="","",SUMIFS(請求台帳!$F$5:$F$504,請求台帳!$C$5:$C$504,$A165,請求台帳!$B$5:$B$504,"&gt;="&amp;G$3,請求台帳!$B$5:$B$504,"&lt;"&amp;DATE(YEAR(G$3),MONTH(G$3)+1,1),請求台帳!$Q$5:$Q$504,"&lt;&gt;取消"))</f>
        <v/>
      </c>
      <c r="H165" s="27" t="str">
        <f aca="false">IF($A165="","",SUMIFS(入金明細!$E$5:$E$1004,入金明細!$G$5:$G$1004,$A165,入金明細!$B$5:$B$1004,"&gt;="&amp;G$3,入金明細!$B$5:$B$1004,"&lt;"&amp;DATE(YEAR(G$3),MONTH(G$3)+1,1)))</f>
        <v/>
      </c>
      <c r="I165" s="27" t="str">
        <f aca="false">IF($A165="","",SUMIFS(請求台帳!$F$5:$F$504,請求台帳!$C$5:$C$504,$A165,請求台帳!$B$5:$B$504,"&gt;="&amp;I$3,請求台帳!$B$5:$B$504,"&lt;"&amp;DATE(YEAR(I$3),MONTH(I$3)+1,1),請求台帳!$Q$5:$Q$504,"&lt;&gt;取消"))</f>
        <v/>
      </c>
      <c r="J165" s="27" t="str">
        <f aca="false">IF($A165="","",SUMIFS(入金明細!$E$5:$E$1004,入金明細!$G$5:$G$1004,$A165,入金明細!$B$5:$B$1004,"&gt;="&amp;I$3,入金明細!$B$5:$B$1004,"&lt;"&amp;DATE(YEAR(I$3),MONTH(I$3)+1,1)))</f>
        <v/>
      </c>
      <c r="K165" s="27" t="str">
        <f aca="false">IF($A165="","",SUMIFS(請求台帳!$F$5:$F$504,請求台帳!$C$5:$C$504,$A165,請求台帳!$B$5:$B$504,"&gt;="&amp;K$3,請求台帳!$B$5:$B$504,"&lt;"&amp;DATE(YEAR(K$3),MONTH(K$3)+1,1),請求台帳!$Q$5:$Q$504,"&lt;&gt;取消"))</f>
        <v/>
      </c>
      <c r="L165" s="27" t="str">
        <f aca="false">IF($A165="","",SUMIFS(入金明細!$E$5:$E$1004,入金明細!$G$5:$G$1004,$A165,入金明細!$B$5:$B$1004,"&gt;="&amp;K$3,入金明細!$B$5:$B$1004,"&lt;"&amp;DATE(YEAR(K$3),MONTH(K$3)+1,1)))</f>
        <v/>
      </c>
      <c r="M165" s="27" t="str">
        <f aca="false">IF($A165="","",SUMIFS(請求台帳!$F$5:$F$504,請求台帳!$C$5:$C$504,$A165,請求台帳!$B$5:$B$504,"&gt;="&amp;M$3,請求台帳!$B$5:$B$504,"&lt;"&amp;DATE(YEAR(M$3),MONTH(M$3)+1,1),請求台帳!$Q$5:$Q$504,"&lt;&gt;取消"))</f>
        <v/>
      </c>
      <c r="N165" s="27" t="str">
        <f aca="false">IF($A165="","",SUMIFS(入金明細!$E$5:$E$1004,入金明細!$G$5:$G$1004,$A165,入金明細!$B$5:$B$1004,"&gt;="&amp;M$3,入金明細!$B$5:$B$1004,"&lt;"&amp;DATE(YEAR(M$3),MONTH(M$3)+1,1)))</f>
        <v/>
      </c>
      <c r="O165" s="27" t="str">
        <f aca="false">IF($A165="","",SUMIFS(請求台帳!$F$5:$F$504,請求台帳!$C$5:$C$504,$A165,請求台帳!$B$5:$B$504,"&gt;="&amp;O$3,請求台帳!$B$5:$B$504,"&lt;"&amp;DATE(YEAR(O$3),MONTH(O$3)+1,1),請求台帳!$Q$5:$Q$504,"&lt;&gt;取消"))</f>
        <v/>
      </c>
      <c r="P165" s="27" t="str">
        <f aca="false">IF($A165="","",SUMIFS(入金明細!$E$5:$E$1004,入金明細!$G$5:$G$1004,$A165,入金明細!$B$5:$B$1004,"&gt;="&amp;O$3,入金明細!$B$5:$B$1004,"&lt;"&amp;DATE(YEAR(O$3),MONTH(O$3)+1,1)))</f>
        <v/>
      </c>
      <c r="Q165" s="27" t="str">
        <f aca="false">IF($A165="","",SUMIFS(請求台帳!$F$5:$F$504,請求台帳!$C$5:$C$504,$A165,請求台帳!$B$5:$B$504,"&gt;="&amp;Q$3,請求台帳!$B$5:$B$504,"&lt;"&amp;DATE(YEAR(Q$3),MONTH(Q$3)+1,1),請求台帳!$Q$5:$Q$504,"&lt;&gt;取消"))</f>
        <v/>
      </c>
      <c r="R165" s="27" t="str">
        <f aca="false">IF($A165="","",SUMIFS(入金明細!$E$5:$E$1004,入金明細!$G$5:$G$1004,$A165,入金明細!$B$5:$B$1004,"&gt;="&amp;Q$3,入金明細!$B$5:$B$1004,"&lt;"&amp;DATE(YEAR(Q$3),MONTH(Q$3)+1,1)))</f>
        <v/>
      </c>
      <c r="S165" s="27" t="str">
        <f aca="false">IF($A165="","",SUMIFS(請求台帳!$F$5:$F$504,請求台帳!$C$5:$C$504,$A165,請求台帳!$B$5:$B$504,"&gt;="&amp;S$3,請求台帳!$B$5:$B$504,"&lt;"&amp;DATE(YEAR(S$3),MONTH(S$3)+1,1),請求台帳!$Q$5:$Q$504,"&lt;&gt;取消"))</f>
        <v/>
      </c>
      <c r="T165" s="27" t="str">
        <f aca="false">IF($A165="","",SUMIFS(入金明細!$E$5:$E$1004,入金明細!$G$5:$G$1004,$A165,入金明細!$B$5:$B$1004,"&gt;="&amp;S$3,入金明細!$B$5:$B$1004,"&lt;"&amp;DATE(YEAR(S$3),MONTH(S$3)+1,1)))</f>
        <v/>
      </c>
      <c r="U165" s="27" t="str">
        <f aca="false">IF($A165="","",SUMIFS(請求台帳!$F$5:$F$504,請求台帳!$C$5:$C$504,$A165,請求台帳!$B$5:$B$504,"&gt;="&amp;U$3,請求台帳!$B$5:$B$504,"&lt;"&amp;DATE(YEAR(U$3),MONTH(U$3)+1,1),請求台帳!$Q$5:$Q$504,"&lt;&gt;取消"))</f>
        <v/>
      </c>
      <c r="V165" s="27" t="str">
        <f aca="false">IF($A165="","",SUMIFS(入金明細!$E$5:$E$1004,入金明細!$G$5:$G$1004,$A165,入金明細!$B$5:$B$1004,"&gt;="&amp;U$3,入金明細!$B$5:$B$1004,"&lt;"&amp;DATE(YEAR(U$3),MONTH(U$3)+1,1)))</f>
        <v/>
      </c>
      <c r="W165" s="27" t="str">
        <f aca="false">IF($A165="","",SUMIFS(請求台帳!$F$5:$F$504,請求台帳!$C$5:$C$504,$A165,請求台帳!$B$5:$B$504,"&gt;="&amp;W$3,請求台帳!$B$5:$B$504,"&lt;"&amp;DATE(YEAR(W$3),MONTH(W$3)+1,1),請求台帳!$Q$5:$Q$504,"&lt;&gt;取消"))</f>
        <v/>
      </c>
      <c r="X165" s="27" t="str">
        <f aca="false">IF($A165="","",SUMIFS(入金明細!$E$5:$E$1004,入金明細!$G$5:$G$1004,$A165,入金明細!$B$5:$B$1004,"&gt;="&amp;W$3,入金明細!$B$5:$B$1004,"&lt;"&amp;DATE(YEAR(W$3),MONTH(W$3)+1,1)))</f>
        <v/>
      </c>
      <c r="Y165" s="27" t="str">
        <f aca="false">IF($A165="","",SUMIFS(請求台帳!$F$5:$F$504,請求台帳!$C$5:$C$504,$A165,請求台帳!$B$5:$B$504,"&gt;="&amp;Y$3,請求台帳!$B$5:$B$504,"&lt;"&amp;DATE(YEAR(Y$3),MONTH(Y$3)+1,1),請求台帳!$Q$5:$Q$504,"&lt;&gt;取消"))</f>
        <v/>
      </c>
      <c r="Z165" s="27" t="str">
        <f aca="false">IF($A165="","",SUMIFS(入金明細!$E$5:$E$1004,入金明細!$G$5:$G$1004,$A165,入金明細!$B$5:$B$1004,"&gt;="&amp;Y$3,入金明細!$B$5:$B$1004,"&lt;"&amp;DATE(YEAR(Y$3),MONTH(Y$3)+1,1)))</f>
        <v/>
      </c>
      <c r="AA165" s="37" t="n">
        <f aca="false">SUM(C165,E165,G165,I165,K165,M165,O165,Q165,S165,U165,W165,Y165)</f>
        <v>0</v>
      </c>
      <c r="AB165" s="37" t="n">
        <f aca="false">SUM(D165,F165,H165,J165,L165,N165,P165,R165,T165,V165,X165,Z165)</f>
        <v>0</v>
      </c>
    </row>
    <row r="166" customFormat="false" ht="15" hidden="false" customHeight="false" outlineLevel="0" collapsed="false">
      <c r="A166" s="31" t="str">
        <f aca="false">IF(取引先マスタ!A166="","",取引先マスタ!A166)</f>
        <v/>
      </c>
      <c r="B166" s="31" t="str">
        <f aca="false">IF(A166="","",取引先マスタ!B166)</f>
        <v/>
      </c>
      <c r="C166" s="27" t="str">
        <f aca="false">IF($A166="","",SUMIFS(請求台帳!$F$5:$F$504,請求台帳!$C$5:$C$504,$A166,請求台帳!$B$5:$B$504,"&gt;="&amp;C$3,請求台帳!$B$5:$B$504,"&lt;"&amp;DATE(YEAR(C$3),MONTH(C$3)+1,1),請求台帳!$Q$5:$Q$504,"&lt;&gt;取消"))</f>
        <v/>
      </c>
      <c r="D166" s="27" t="str">
        <f aca="false">IF($A166="","",SUMIFS(入金明細!$E$5:$E$1004,入金明細!$G$5:$G$1004,$A166,入金明細!$B$5:$B$1004,"&gt;="&amp;C$3,入金明細!$B$5:$B$1004,"&lt;"&amp;DATE(YEAR(C$3),MONTH(C$3)+1,1)))</f>
        <v/>
      </c>
      <c r="E166" s="27" t="str">
        <f aca="false">IF($A166="","",SUMIFS(請求台帳!$F$5:$F$504,請求台帳!$C$5:$C$504,$A166,請求台帳!$B$5:$B$504,"&gt;="&amp;E$3,請求台帳!$B$5:$B$504,"&lt;"&amp;DATE(YEAR(E$3),MONTH(E$3)+1,1),請求台帳!$Q$5:$Q$504,"&lt;&gt;取消"))</f>
        <v/>
      </c>
      <c r="F166" s="27" t="str">
        <f aca="false">IF($A166="","",SUMIFS(入金明細!$E$5:$E$1004,入金明細!$G$5:$G$1004,$A166,入金明細!$B$5:$B$1004,"&gt;="&amp;E$3,入金明細!$B$5:$B$1004,"&lt;"&amp;DATE(YEAR(E$3),MONTH(E$3)+1,1)))</f>
        <v/>
      </c>
      <c r="G166" s="27" t="str">
        <f aca="false">IF($A166="","",SUMIFS(請求台帳!$F$5:$F$504,請求台帳!$C$5:$C$504,$A166,請求台帳!$B$5:$B$504,"&gt;="&amp;G$3,請求台帳!$B$5:$B$504,"&lt;"&amp;DATE(YEAR(G$3),MONTH(G$3)+1,1),請求台帳!$Q$5:$Q$504,"&lt;&gt;取消"))</f>
        <v/>
      </c>
      <c r="H166" s="27" t="str">
        <f aca="false">IF($A166="","",SUMIFS(入金明細!$E$5:$E$1004,入金明細!$G$5:$G$1004,$A166,入金明細!$B$5:$B$1004,"&gt;="&amp;G$3,入金明細!$B$5:$B$1004,"&lt;"&amp;DATE(YEAR(G$3),MONTH(G$3)+1,1)))</f>
        <v/>
      </c>
      <c r="I166" s="27" t="str">
        <f aca="false">IF($A166="","",SUMIFS(請求台帳!$F$5:$F$504,請求台帳!$C$5:$C$504,$A166,請求台帳!$B$5:$B$504,"&gt;="&amp;I$3,請求台帳!$B$5:$B$504,"&lt;"&amp;DATE(YEAR(I$3),MONTH(I$3)+1,1),請求台帳!$Q$5:$Q$504,"&lt;&gt;取消"))</f>
        <v/>
      </c>
      <c r="J166" s="27" t="str">
        <f aca="false">IF($A166="","",SUMIFS(入金明細!$E$5:$E$1004,入金明細!$G$5:$G$1004,$A166,入金明細!$B$5:$B$1004,"&gt;="&amp;I$3,入金明細!$B$5:$B$1004,"&lt;"&amp;DATE(YEAR(I$3),MONTH(I$3)+1,1)))</f>
        <v/>
      </c>
      <c r="K166" s="27" t="str">
        <f aca="false">IF($A166="","",SUMIFS(請求台帳!$F$5:$F$504,請求台帳!$C$5:$C$504,$A166,請求台帳!$B$5:$B$504,"&gt;="&amp;K$3,請求台帳!$B$5:$B$504,"&lt;"&amp;DATE(YEAR(K$3),MONTH(K$3)+1,1),請求台帳!$Q$5:$Q$504,"&lt;&gt;取消"))</f>
        <v/>
      </c>
      <c r="L166" s="27" t="str">
        <f aca="false">IF($A166="","",SUMIFS(入金明細!$E$5:$E$1004,入金明細!$G$5:$G$1004,$A166,入金明細!$B$5:$B$1004,"&gt;="&amp;K$3,入金明細!$B$5:$B$1004,"&lt;"&amp;DATE(YEAR(K$3),MONTH(K$3)+1,1)))</f>
        <v/>
      </c>
      <c r="M166" s="27" t="str">
        <f aca="false">IF($A166="","",SUMIFS(請求台帳!$F$5:$F$504,請求台帳!$C$5:$C$504,$A166,請求台帳!$B$5:$B$504,"&gt;="&amp;M$3,請求台帳!$B$5:$B$504,"&lt;"&amp;DATE(YEAR(M$3),MONTH(M$3)+1,1),請求台帳!$Q$5:$Q$504,"&lt;&gt;取消"))</f>
        <v/>
      </c>
      <c r="N166" s="27" t="str">
        <f aca="false">IF($A166="","",SUMIFS(入金明細!$E$5:$E$1004,入金明細!$G$5:$G$1004,$A166,入金明細!$B$5:$B$1004,"&gt;="&amp;M$3,入金明細!$B$5:$B$1004,"&lt;"&amp;DATE(YEAR(M$3),MONTH(M$3)+1,1)))</f>
        <v/>
      </c>
      <c r="O166" s="27" t="str">
        <f aca="false">IF($A166="","",SUMIFS(請求台帳!$F$5:$F$504,請求台帳!$C$5:$C$504,$A166,請求台帳!$B$5:$B$504,"&gt;="&amp;O$3,請求台帳!$B$5:$B$504,"&lt;"&amp;DATE(YEAR(O$3),MONTH(O$3)+1,1),請求台帳!$Q$5:$Q$504,"&lt;&gt;取消"))</f>
        <v/>
      </c>
      <c r="P166" s="27" t="str">
        <f aca="false">IF($A166="","",SUMIFS(入金明細!$E$5:$E$1004,入金明細!$G$5:$G$1004,$A166,入金明細!$B$5:$B$1004,"&gt;="&amp;O$3,入金明細!$B$5:$B$1004,"&lt;"&amp;DATE(YEAR(O$3),MONTH(O$3)+1,1)))</f>
        <v/>
      </c>
      <c r="Q166" s="27" t="str">
        <f aca="false">IF($A166="","",SUMIFS(請求台帳!$F$5:$F$504,請求台帳!$C$5:$C$504,$A166,請求台帳!$B$5:$B$504,"&gt;="&amp;Q$3,請求台帳!$B$5:$B$504,"&lt;"&amp;DATE(YEAR(Q$3),MONTH(Q$3)+1,1),請求台帳!$Q$5:$Q$504,"&lt;&gt;取消"))</f>
        <v/>
      </c>
      <c r="R166" s="27" t="str">
        <f aca="false">IF($A166="","",SUMIFS(入金明細!$E$5:$E$1004,入金明細!$G$5:$G$1004,$A166,入金明細!$B$5:$B$1004,"&gt;="&amp;Q$3,入金明細!$B$5:$B$1004,"&lt;"&amp;DATE(YEAR(Q$3),MONTH(Q$3)+1,1)))</f>
        <v/>
      </c>
      <c r="S166" s="27" t="str">
        <f aca="false">IF($A166="","",SUMIFS(請求台帳!$F$5:$F$504,請求台帳!$C$5:$C$504,$A166,請求台帳!$B$5:$B$504,"&gt;="&amp;S$3,請求台帳!$B$5:$B$504,"&lt;"&amp;DATE(YEAR(S$3),MONTH(S$3)+1,1),請求台帳!$Q$5:$Q$504,"&lt;&gt;取消"))</f>
        <v/>
      </c>
      <c r="T166" s="27" t="str">
        <f aca="false">IF($A166="","",SUMIFS(入金明細!$E$5:$E$1004,入金明細!$G$5:$G$1004,$A166,入金明細!$B$5:$B$1004,"&gt;="&amp;S$3,入金明細!$B$5:$B$1004,"&lt;"&amp;DATE(YEAR(S$3),MONTH(S$3)+1,1)))</f>
        <v/>
      </c>
      <c r="U166" s="27" t="str">
        <f aca="false">IF($A166="","",SUMIFS(請求台帳!$F$5:$F$504,請求台帳!$C$5:$C$504,$A166,請求台帳!$B$5:$B$504,"&gt;="&amp;U$3,請求台帳!$B$5:$B$504,"&lt;"&amp;DATE(YEAR(U$3),MONTH(U$3)+1,1),請求台帳!$Q$5:$Q$504,"&lt;&gt;取消"))</f>
        <v/>
      </c>
      <c r="V166" s="27" t="str">
        <f aca="false">IF($A166="","",SUMIFS(入金明細!$E$5:$E$1004,入金明細!$G$5:$G$1004,$A166,入金明細!$B$5:$B$1004,"&gt;="&amp;U$3,入金明細!$B$5:$B$1004,"&lt;"&amp;DATE(YEAR(U$3),MONTH(U$3)+1,1)))</f>
        <v/>
      </c>
      <c r="W166" s="27" t="str">
        <f aca="false">IF($A166="","",SUMIFS(請求台帳!$F$5:$F$504,請求台帳!$C$5:$C$504,$A166,請求台帳!$B$5:$B$504,"&gt;="&amp;W$3,請求台帳!$B$5:$B$504,"&lt;"&amp;DATE(YEAR(W$3),MONTH(W$3)+1,1),請求台帳!$Q$5:$Q$504,"&lt;&gt;取消"))</f>
        <v/>
      </c>
      <c r="X166" s="27" t="str">
        <f aca="false">IF($A166="","",SUMIFS(入金明細!$E$5:$E$1004,入金明細!$G$5:$G$1004,$A166,入金明細!$B$5:$B$1004,"&gt;="&amp;W$3,入金明細!$B$5:$B$1004,"&lt;"&amp;DATE(YEAR(W$3),MONTH(W$3)+1,1)))</f>
        <v/>
      </c>
      <c r="Y166" s="27" t="str">
        <f aca="false">IF($A166="","",SUMIFS(請求台帳!$F$5:$F$504,請求台帳!$C$5:$C$504,$A166,請求台帳!$B$5:$B$504,"&gt;="&amp;Y$3,請求台帳!$B$5:$B$504,"&lt;"&amp;DATE(YEAR(Y$3),MONTH(Y$3)+1,1),請求台帳!$Q$5:$Q$504,"&lt;&gt;取消"))</f>
        <v/>
      </c>
      <c r="Z166" s="27" t="str">
        <f aca="false">IF($A166="","",SUMIFS(入金明細!$E$5:$E$1004,入金明細!$G$5:$G$1004,$A166,入金明細!$B$5:$B$1004,"&gt;="&amp;Y$3,入金明細!$B$5:$B$1004,"&lt;"&amp;DATE(YEAR(Y$3),MONTH(Y$3)+1,1)))</f>
        <v/>
      </c>
      <c r="AA166" s="37" t="n">
        <f aca="false">SUM(C166,E166,G166,I166,K166,M166,O166,Q166,S166,U166,W166,Y166)</f>
        <v>0</v>
      </c>
      <c r="AB166" s="37" t="n">
        <f aca="false">SUM(D166,F166,H166,J166,L166,N166,P166,R166,T166,V166,X166,Z166)</f>
        <v>0</v>
      </c>
    </row>
    <row r="167" customFormat="false" ht="15" hidden="false" customHeight="false" outlineLevel="0" collapsed="false">
      <c r="A167" s="31" t="str">
        <f aca="false">IF(取引先マスタ!A167="","",取引先マスタ!A167)</f>
        <v/>
      </c>
      <c r="B167" s="31" t="str">
        <f aca="false">IF(A167="","",取引先マスタ!B167)</f>
        <v/>
      </c>
      <c r="C167" s="27" t="str">
        <f aca="false">IF($A167="","",SUMIFS(請求台帳!$F$5:$F$504,請求台帳!$C$5:$C$504,$A167,請求台帳!$B$5:$B$504,"&gt;="&amp;C$3,請求台帳!$B$5:$B$504,"&lt;"&amp;DATE(YEAR(C$3),MONTH(C$3)+1,1),請求台帳!$Q$5:$Q$504,"&lt;&gt;取消"))</f>
        <v/>
      </c>
      <c r="D167" s="27" t="str">
        <f aca="false">IF($A167="","",SUMIFS(入金明細!$E$5:$E$1004,入金明細!$G$5:$G$1004,$A167,入金明細!$B$5:$B$1004,"&gt;="&amp;C$3,入金明細!$B$5:$B$1004,"&lt;"&amp;DATE(YEAR(C$3),MONTH(C$3)+1,1)))</f>
        <v/>
      </c>
      <c r="E167" s="27" t="str">
        <f aca="false">IF($A167="","",SUMIFS(請求台帳!$F$5:$F$504,請求台帳!$C$5:$C$504,$A167,請求台帳!$B$5:$B$504,"&gt;="&amp;E$3,請求台帳!$B$5:$B$504,"&lt;"&amp;DATE(YEAR(E$3),MONTH(E$3)+1,1),請求台帳!$Q$5:$Q$504,"&lt;&gt;取消"))</f>
        <v/>
      </c>
      <c r="F167" s="27" t="str">
        <f aca="false">IF($A167="","",SUMIFS(入金明細!$E$5:$E$1004,入金明細!$G$5:$G$1004,$A167,入金明細!$B$5:$B$1004,"&gt;="&amp;E$3,入金明細!$B$5:$B$1004,"&lt;"&amp;DATE(YEAR(E$3),MONTH(E$3)+1,1)))</f>
        <v/>
      </c>
      <c r="G167" s="27" t="str">
        <f aca="false">IF($A167="","",SUMIFS(請求台帳!$F$5:$F$504,請求台帳!$C$5:$C$504,$A167,請求台帳!$B$5:$B$504,"&gt;="&amp;G$3,請求台帳!$B$5:$B$504,"&lt;"&amp;DATE(YEAR(G$3),MONTH(G$3)+1,1),請求台帳!$Q$5:$Q$504,"&lt;&gt;取消"))</f>
        <v/>
      </c>
      <c r="H167" s="27" t="str">
        <f aca="false">IF($A167="","",SUMIFS(入金明細!$E$5:$E$1004,入金明細!$G$5:$G$1004,$A167,入金明細!$B$5:$B$1004,"&gt;="&amp;G$3,入金明細!$B$5:$B$1004,"&lt;"&amp;DATE(YEAR(G$3),MONTH(G$3)+1,1)))</f>
        <v/>
      </c>
      <c r="I167" s="27" t="str">
        <f aca="false">IF($A167="","",SUMIFS(請求台帳!$F$5:$F$504,請求台帳!$C$5:$C$504,$A167,請求台帳!$B$5:$B$504,"&gt;="&amp;I$3,請求台帳!$B$5:$B$504,"&lt;"&amp;DATE(YEAR(I$3),MONTH(I$3)+1,1),請求台帳!$Q$5:$Q$504,"&lt;&gt;取消"))</f>
        <v/>
      </c>
      <c r="J167" s="27" t="str">
        <f aca="false">IF($A167="","",SUMIFS(入金明細!$E$5:$E$1004,入金明細!$G$5:$G$1004,$A167,入金明細!$B$5:$B$1004,"&gt;="&amp;I$3,入金明細!$B$5:$B$1004,"&lt;"&amp;DATE(YEAR(I$3),MONTH(I$3)+1,1)))</f>
        <v/>
      </c>
      <c r="K167" s="27" t="str">
        <f aca="false">IF($A167="","",SUMIFS(請求台帳!$F$5:$F$504,請求台帳!$C$5:$C$504,$A167,請求台帳!$B$5:$B$504,"&gt;="&amp;K$3,請求台帳!$B$5:$B$504,"&lt;"&amp;DATE(YEAR(K$3),MONTH(K$3)+1,1),請求台帳!$Q$5:$Q$504,"&lt;&gt;取消"))</f>
        <v/>
      </c>
      <c r="L167" s="27" t="str">
        <f aca="false">IF($A167="","",SUMIFS(入金明細!$E$5:$E$1004,入金明細!$G$5:$G$1004,$A167,入金明細!$B$5:$B$1004,"&gt;="&amp;K$3,入金明細!$B$5:$B$1004,"&lt;"&amp;DATE(YEAR(K$3),MONTH(K$3)+1,1)))</f>
        <v/>
      </c>
      <c r="M167" s="27" t="str">
        <f aca="false">IF($A167="","",SUMIFS(請求台帳!$F$5:$F$504,請求台帳!$C$5:$C$504,$A167,請求台帳!$B$5:$B$504,"&gt;="&amp;M$3,請求台帳!$B$5:$B$504,"&lt;"&amp;DATE(YEAR(M$3),MONTH(M$3)+1,1),請求台帳!$Q$5:$Q$504,"&lt;&gt;取消"))</f>
        <v/>
      </c>
      <c r="N167" s="27" t="str">
        <f aca="false">IF($A167="","",SUMIFS(入金明細!$E$5:$E$1004,入金明細!$G$5:$G$1004,$A167,入金明細!$B$5:$B$1004,"&gt;="&amp;M$3,入金明細!$B$5:$B$1004,"&lt;"&amp;DATE(YEAR(M$3),MONTH(M$3)+1,1)))</f>
        <v/>
      </c>
      <c r="O167" s="27" t="str">
        <f aca="false">IF($A167="","",SUMIFS(請求台帳!$F$5:$F$504,請求台帳!$C$5:$C$504,$A167,請求台帳!$B$5:$B$504,"&gt;="&amp;O$3,請求台帳!$B$5:$B$504,"&lt;"&amp;DATE(YEAR(O$3),MONTH(O$3)+1,1),請求台帳!$Q$5:$Q$504,"&lt;&gt;取消"))</f>
        <v/>
      </c>
      <c r="P167" s="27" t="str">
        <f aca="false">IF($A167="","",SUMIFS(入金明細!$E$5:$E$1004,入金明細!$G$5:$G$1004,$A167,入金明細!$B$5:$B$1004,"&gt;="&amp;O$3,入金明細!$B$5:$B$1004,"&lt;"&amp;DATE(YEAR(O$3),MONTH(O$3)+1,1)))</f>
        <v/>
      </c>
      <c r="Q167" s="27" t="str">
        <f aca="false">IF($A167="","",SUMIFS(請求台帳!$F$5:$F$504,請求台帳!$C$5:$C$504,$A167,請求台帳!$B$5:$B$504,"&gt;="&amp;Q$3,請求台帳!$B$5:$B$504,"&lt;"&amp;DATE(YEAR(Q$3),MONTH(Q$3)+1,1),請求台帳!$Q$5:$Q$504,"&lt;&gt;取消"))</f>
        <v/>
      </c>
      <c r="R167" s="27" t="str">
        <f aca="false">IF($A167="","",SUMIFS(入金明細!$E$5:$E$1004,入金明細!$G$5:$G$1004,$A167,入金明細!$B$5:$B$1004,"&gt;="&amp;Q$3,入金明細!$B$5:$B$1004,"&lt;"&amp;DATE(YEAR(Q$3),MONTH(Q$3)+1,1)))</f>
        <v/>
      </c>
      <c r="S167" s="27" t="str">
        <f aca="false">IF($A167="","",SUMIFS(請求台帳!$F$5:$F$504,請求台帳!$C$5:$C$504,$A167,請求台帳!$B$5:$B$504,"&gt;="&amp;S$3,請求台帳!$B$5:$B$504,"&lt;"&amp;DATE(YEAR(S$3),MONTH(S$3)+1,1),請求台帳!$Q$5:$Q$504,"&lt;&gt;取消"))</f>
        <v/>
      </c>
      <c r="T167" s="27" t="str">
        <f aca="false">IF($A167="","",SUMIFS(入金明細!$E$5:$E$1004,入金明細!$G$5:$G$1004,$A167,入金明細!$B$5:$B$1004,"&gt;="&amp;S$3,入金明細!$B$5:$B$1004,"&lt;"&amp;DATE(YEAR(S$3),MONTH(S$3)+1,1)))</f>
        <v/>
      </c>
      <c r="U167" s="27" t="str">
        <f aca="false">IF($A167="","",SUMIFS(請求台帳!$F$5:$F$504,請求台帳!$C$5:$C$504,$A167,請求台帳!$B$5:$B$504,"&gt;="&amp;U$3,請求台帳!$B$5:$B$504,"&lt;"&amp;DATE(YEAR(U$3),MONTH(U$3)+1,1),請求台帳!$Q$5:$Q$504,"&lt;&gt;取消"))</f>
        <v/>
      </c>
      <c r="V167" s="27" t="str">
        <f aca="false">IF($A167="","",SUMIFS(入金明細!$E$5:$E$1004,入金明細!$G$5:$G$1004,$A167,入金明細!$B$5:$B$1004,"&gt;="&amp;U$3,入金明細!$B$5:$B$1004,"&lt;"&amp;DATE(YEAR(U$3),MONTH(U$3)+1,1)))</f>
        <v/>
      </c>
      <c r="W167" s="27" t="str">
        <f aca="false">IF($A167="","",SUMIFS(請求台帳!$F$5:$F$504,請求台帳!$C$5:$C$504,$A167,請求台帳!$B$5:$B$504,"&gt;="&amp;W$3,請求台帳!$B$5:$B$504,"&lt;"&amp;DATE(YEAR(W$3),MONTH(W$3)+1,1),請求台帳!$Q$5:$Q$504,"&lt;&gt;取消"))</f>
        <v/>
      </c>
      <c r="X167" s="27" t="str">
        <f aca="false">IF($A167="","",SUMIFS(入金明細!$E$5:$E$1004,入金明細!$G$5:$G$1004,$A167,入金明細!$B$5:$B$1004,"&gt;="&amp;W$3,入金明細!$B$5:$B$1004,"&lt;"&amp;DATE(YEAR(W$3),MONTH(W$3)+1,1)))</f>
        <v/>
      </c>
      <c r="Y167" s="27" t="str">
        <f aca="false">IF($A167="","",SUMIFS(請求台帳!$F$5:$F$504,請求台帳!$C$5:$C$504,$A167,請求台帳!$B$5:$B$504,"&gt;="&amp;Y$3,請求台帳!$B$5:$B$504,"&lt;"&amp;DATE(YEAR(Y$3),MONTH(Y$3)+1,1),請求台帳!$Q$5:$Q$504,"&lt;&gt;取消"))</f>
        <v/>
      </c>
      <c r="Z167" s="27" t="str">
        <f aca="false">IF($A167="","",SUMIFS(入金明細!$E$5:$E$1004,入金明細!$G$5:$G$1004,$A167,入金明細!$B$5:$B$1004,"&gt;="&amp;Y$3,入金明細!$B$5:$B$1004,"&lt;"&amp;DATE(YEAR(Y$3),MONTH(Y$3)+1,1)))</f>
        <v/>
      </c>
      <c r="AA167" s="37" t="n">
        <f aca="false">SUM(C167,E167,G167,I167,K167,M167,O167,Q167,S167,U167,W167,Y167)</f>
        <v>0</v>
      </c>
      <c r="AB167" s="37" t="n">
        <f aca="false">SUM(D167,F167,H167,J167,L167,N167,P167,R167,T167,V167,X167,Z167)</f>
        <v>0</v>
      </c>
    </row>
    <row r="168" customFormat="false" ht="15" hidden="false" customHeight="false" outlineLevel="0" collapsed="false">
      <c r="A168" s="31" t="str">
        <f aca="false">IF(取引先マスタ!A168="","",取引先マスタ!A168)</f>
        <v/>
      </c>
      <c r="B168" s="31" t="str">
        <f aca="false">IF(A168="","",取引先マスタ!B168)</f>
        <v/>
      </c>
      <c r="C168" s="27" t="str">
        <f aca="false">IF($A168="","",SUMIFS(請求台帳!$F$5:$F$504,請求台帳!$C$5:$C$504,$A168,請求台帳!$B$5:$B$504,"&gt;="&amp;C$3,請求台帳!$B$5:$B$504,"&lt;"&amp;DATE(YEAR(C$3),MONTH(C$3)+1,1),請求台帳!$Q$5:$Q$504,"&lt;&gt;取消"))</f>
        <v/>
      </c>
      <c r="D168" s="27" t="str">
        <f aca="false">IF($A168="","",SUMIFS(入金明細!$E$5:$E$1004,入金明細!$G$5:$G$1004,$A168,入金明細!$B$5:$B$1004,"&gt;="&amp;C$3,入金明細!$B$5:$B$1004,"&lt;"&amp;DATE(YEAR(C$3),MONTH(C$3)+1,1)))</f>
        <v/>
      </c>
      <c r="E168" s="27" t="str">
        <f aca="false">IF($A168="","",SUMIFS(請求台帳!$F$5:$F$504,請求台帳!$C$5:$C$504,$A168,請求台帳!$B$5:$B$504,"&gt;="&amp;E$3,請求台帳!$B$5:$B$504,"&lt;"&amp;DATE(YEAR(E$3),MONTH(E$3)+1,1),請求台帳!$Q$5:$Q$504,"&lt;&gt;取消"))</f>
        <v/>
      </c>
      <c r="F168" s="27" t="str">
        <f aca="false">IF($A168="","",SUMIFS(入金明細!$E$5:$E$1004,入金明細!$G$5:$G$1004,$A168,入金明細!$B$5:$B$1004,"&gt;="&amp;E$3,入金明細!$B$5:$B$1004,"&lt;"&amp;DATE(YEAR(E$3),MONTH(E$3)+1,1)))</f>
        <v/>
      </c>
      <c r="G168" s="27" t="str">
        <f aca="false">IF($A168="","",SUMIFS(請求台帳!$F$5:$F$504,請求台帳!$C$5:$C$504,$A168,請求台帳!$B$5:$B$504,"&gt;="&amp;G$3,請求台帳!$B$5:$B$504,"&lt;"&amp;DATE(YEAR(G$3),MONTH(G$3)+1,1),請求台帳!$Q$5:$Q$504,"&lt;&gt;取消"))</f>
        <v/>
      </c>
      <c r="H168" s="27" t="str">
        <f aca="false">IF($A168="","",SUMIFS(入金明細!$E$5:$E$1004,入金明細!$G$5:$G$1004,$A168,入金明細!$B$5:$B$1004,"&gt;="&amp;G$3,入金明細!$B$5:$B$1004,"&lt;"&amp;DATE(YEAR(G$3),MONTH(G$3)+1,1)))</f>
        <v/>
      </c>
      <c r="I168" s="27" t="str">
        <f aca="false">IF($A168="","",SUMIFS(請求台帳!$F$5:$F$504,請求台帳!$C$5:$C$504,$A168,請求台帳!$B$5:$B$504,"&gt;="&amp;I$3,請求台帳!$B$5:$B$504,"&lt;"&amp;DATE(YEAR(I$3),MONTH(I$3)+1,1),請求台帳!$Q$5:$Q$504,"&lt;&gt;取消"))</f>
        <v/>
      </c>
      <c r="J168" s="27" t="str">
        <f aca="false">IF($A168="","",SUMIFS(入金明細!$E$5:$E$1004,入金明細!$G$5:$G$1004,$A168,入金明細!$B$5:$B$1004,"&gt;="&amp;I$3,入金明細!$B$5:$B$1004,"&lt;"&amp;DATE(YEAR(I$3),MONTH(I$3)+1,1)))</f>
        <v/>
      </c>
      <c r="K168" s="27" t="str">
        <f aca="false">IF($A168="","",SUMIFS(請求台帳!$F$5:$F$504,請求台帳!$C$5:$C$504,$A168,請求台帳!$B$5:$B$504,"&gt;="&amp;K$3,請求台帳!$B$5:$B$504,"&lt;"&amp;DATE(YEAR(K$3),MONTH(K$3)+1,1),請求台帳!$Q$5:$Q$504,"&lt;&gt;取消"))</f>
        <v/>
      </c>
      <c r="L168" s="27" t="str">
        <f aca="false">IF($A168="","",SUMIFS(入金明細!$E$5:$E$1004,入金明細!$G$5:$G$1004,$A168,入金明細!$B$5:$B$1004,"&gt;="&amp;K$3,入金明細!$B$5:$B$1004,"&lt;"&amp;DATE(YEAR(K$3),MONTH(K$3)+1,1)))</f>
        <v/>
      </c>
      <c r="M168" s="27" t="str">
        <f aca="false">IF($A168="","",SUMIFS(請求台帳!$F$5:$F$504,請求台帳!$C$5:$C$504,$A168,請求台帳!$B$5:$B$504,"&gt;="&amp;M$3,請求台帳!$B$5:$B$504,"&lt;"&amp;DATE(YEAR(M$3),MONTH(M$3)+1,1),請求台帳!$Q$5:$Q$504,"&lt;&gt;取消"))</f>
        <v/>
      </c>
      <c r="N168" s="27" t="str">
        <f aca="false">IF($A168="","",SUMIFS(入金明細!$E$5:$E$1004,入金明細!$G$5:$G$1004,$A168,入金明細!$B$5:$B$1004,"&gt;="&amp;M$3,入金明細!$B$5:$B$1004,"&lt;"&amp;DATE(YEAR(M$3),MONTH(M$3)+1,1)))</f>
        <v/>
      </c>
      <c r="O168" s="27" t="str">
        <f aca="false">IF($A168="","",SUMIFS(請求台帳!$F$5:$F$504,請求台帳!$C$5:$C$504,$A168,請求台帳!$B$5:$B$504,"&gt;="&amp;O$3,請求台帳!$B$5:$B$504,"&lt;"&amp;DATE(YEAR(O$3),MONTH(O$3)+1,1),請求台帳!$Q$5:$Q$504,"&lt;&gt;取消"))</f>
        <v/>
      </c>
      <c r="P168" s="27" t="str">
        <f aca="false">IF($A168="","",SUMIFS(入金明細!$E$5:$E$1004,入金明細!$G$5:$G$1004,$A168,入金明細!$B$5:$B$1004,"&gt;="&amp;O$3,入金明細!$B$5:$B$1004,"&lt;"&amp;DATE(YEAR(O$3),MONTH(O$3)+1,1)))</f>
        <v/>
      </c>
      <c r="Q168" s="27" t="str">
        <f aca="false">IF($A168="","",SUMIFS(請求台帳!$F$5:$F$504,請求台帳!$C$5:$C$504,$A168,請求台帳!$B$5:$B$504,"&gt;="&amp;Q$3,請求台帳!$B$5:$B$504,"&lt;"&amp;DATE(YEAR(Q$3),MONTH(Q$3)+1,1),請求台帳!$Q$5:$Q$504,"&lt;&gt;取消"))</f>
        <v/>
      </c>
      <c r="R168" s="27" t="str">
        <f aca="false">IF($A168="","",SUMIFS(入金明細!$E$5:$E$1004,入金明細!$G$5:$G$1004,$A168,入金明細!$B$5:$B$1004,"&gt;="&amp;Q$3,入金明細!$B$5:$B$1004,"&lt;"&amp;DATE(YEAR(Q$3),MONTH(Q$3)+1,1)))</f>
        <v/>
      </c>
      <c r="S168" s="27" t="str">
        <f aca="false">IF($A168="","",SUMIFS(請求台帳!$F$5:$F$504,請求台帳!$C$5:$C$504,$A168,請求台帳!$B$5:$B$504,"&gt;="&amp;S$3,請求台帳!$B$5:$B$504,"&lt;"&amp;DATE(YEAR(S$3),MONTH(S$3)+1,1),請求台帳!$Q$5:$Q$504,"&lt;&gt;取消"))</f>
        <v/>
      </c>
      <c r="T168" s="27" t="str">
        <f aca="false">IF($A168="","",SUMIFS(入金明細!$E$5:$E$1004,入金明細!$G$5:$G$1004,$A168,入金明細!$B$5:$B$1004,"&gt;="&amp;S$3,入金明細!$B$5:$B$1004,"&lt;"&amp;DATE(YEAR(S$3),MONTH(S$3)+1,1)))</f>
        <v/>
      </c>
      <c r="U168" s="27" t="str">
        <f aca="false">IF($A168="","",SUMIFS(請求台帳!$F$5:$F$504,請求台帳!$C$5:$C$504,$A168,請求台帳!$B$5:$B$504,"&gt;="&amp;U$3,請求台帳!$B$5:$B$504,"&lt;"&amp;DATE(YEAR(U$3),MONTH(U$3)+1,1),請求台帳!$Q$5:$Q$504,"&lt;&gt;取消"))</f>
        <v/>
      </c>
      <c r="V168" s="27" t="str">
        <f aca="false">IF($A168="","",SUMIFS(入金明細!$E$5:$E$1004,入金明細!$G$5:$G$1004,$A168,入金明細!$B$5:$B$1004,"&gt;="&amp;U$3,入金明細!$B$5:$B$1004,"&lt;"&amp;DATE(YEAR(U$3),MONTH(U$3)+1,1)))</f>
        <v/>
      </c>
      <c r="W168" s="27" t="str">
        <f aca="false">IF($A168="","",SUMIFS(請求台帳!$F$5:$F$504,請求台帳!$C$5:$C$504,$A168,請求台帳!$B$5:$B$504,"&gt;="&amp;W$3,請求台帳!$B$5:$B$504,"&lt;"&amp;DATE(YEAR(W$3),MONTH(W$3)+1,1),請求台帳!$Q$5:$Q$504,"&lt;&gt;取消"))</f>
        <v/>
      </c>
      <c r="X168" s="27" t="str">
        <f aca="false">IF($A168="","",SUMIFS(入金明細!$E$5:$E$1004,入金明細!$G$5:$G$1004,$A168,入金明細!$B$5:$B$1004,"&gt;="&amp;W$3,入金明細!$B$5:$B$1004,"&lt;"&amp;DATE(YEAR(W$3),MONTH(W$3)+1,1)))</f>
        <v/>
      </c>
      <c r="Y168" s="27" t="str">
        <f aca="false">IF($A168="","",SUMIFS(請求台帳!$F$5:$F$504,請求台帳!$C$5:$C$504,$A168,請求台帳!$B$5:$B$504,"&gt;="&amp;Y$3,請求台帳!$B$5:$B$504,"&lt;"&amp;DATE(YEAR(Y$3),MONTH(Y$3)+1,1),請求台帳!$Q$5:$Q$504,"&lt;&gt;取消"))</f>
        <v/>
      </c>
      <c r="Z168" s="27" t="str">
        <f aca="false">IF($A168="","",SUMIFS(入金明細!$E$5:$E$1004,入金明細!$G$5:$G$1004,$A168,入金明細!$B$5:$B$1004,"&gt;="&amp;Y$3,入金明細!$B$5:$B$1004,"&lt;"&amp;DATE(YEAR(Y$3),MONTH(Y$3)+1,1)))</f>
        <v/>
      </c>
      <c r="AA168" s="37" t="n">
        <f aca="false">SUM(C168,E168,G168,I168,K168,M168,O168,Q168,S168,U168,W168,Y168)</f>
        <v>0</v>
      </c>
      <c r="AB168" s="37" t="n">
        <f aca="false">SUM(D168,F168,H168,J168,L168,N168,P168,R168,T168,V168,X168,Z168)</f>
        <v>0</v>
      </c>
    </row>
    <row r="169" customFormat="false" ht="15" hidden="false" customHeight="false" outlineLevel="0" collapsed="false">
      <c r="A169" s="31" t="str">
        <f aca="false">IF(取引先マスタ!A169="","",取引先マスタ!A169)</f>
        <v/>
      </c>
      <c r="B169" s="31" t="str">
        <f aca="false">IF(A169="","",取引先マスタ!B169)</f>
        <v/>
      </c>
      <c r="C169" s="27" t="str">
        <f aca="false">IF($A169="","",SUMIFS(請求台帳!$F$5:$F$504,請求台帳!$C$5:$C$504,$A169,請求台帳!$B$5:$B$504,"&gt;="&amp;C$3,請求台帳!$B$5:$B$504,"&lt;"&amp;DATE(YEAR(C$3),MONTH(C$3)+1,1),請求台帳!$Q$5:$Q$504,"&lt;&gt;取消"))</f>
        <v/>
      </c>
      <c r="D169" s="27" t="str">
        <f aca="false">IF($A169="","",SUMIFS(入金明細!$E$5:$E$1004,入金明細!$G$5:$G$1004,$A169,入金明細!$B$5:$B$1004,"&gt;="&amp;C$3,入金明細!$B$5:$B$1004,"&lt;"&amp;DATE(YEAR(C$3),MONTH(C$3)+1,1)))</f>
        <v/>
      </c>
      <c r="E169" s="27" t="str">
        <f aca="false">IF($A169="","",SUMIFS(請求台帳!$F$5:$F$504,請求台帳!$C$5:$C$504,$A169,請求台帳!$B$5:$B$504,"&gt;="&amp;E$3,請求台帳!$B$5:$B$504,"&lt;"&amp;DATE(YEAR(E$3),MONTH(E$3)+1,1),請求台帳!$Q$5:$Q$504,"&lt;&gt;取消"))</f>
        <v/>
      </c>
      <c r="F169" s="27" t="str">
        <f aca="false">IF($A169="","",SUMIFS(入金明細!$E$5:$E$1004,入金明細!$G$5:$G$1004,$A169,入金明細!$B$5:$B$1004,"&gt;="&amp;E$3,入金明細!$B$5:$B$1004,"&lt;"&amp;DATE(YEAR(E$3),MONTH(E$3)+1,1)))</f>
        <v/>
      </c>
      <c r="G169" s="27" t="str">
        <f aca="false">IF($A169="","",SUMIFS(請求台帳!$F$5:$F$504,請求台帳!$C$5:$C$504,$A169,請求台帳!$B$5:$B$504,"&gt;="&amp;G$3,請求台帳!$B$5:$B$504,"&lt;"&amp;DATE(YEAR(G$3),MONTH(G$3)+1,1),請求台帳!$Q$5:$Q$504,"&lt;&gt;取消"))</f>
        <v/>
      </c>
      <c r="H169" s="27" t="str">
        <f aca="false">IF($A169="","",SUMIFS(入金明細!$E$5:$E$1004,入金明細!$G$5:$G$1004,$A169,入金明細!$B$5:$B$1004,"&gt;="&amp;G$3,入金明細!$B$5:$B$1004,"&lt;"&amp;DATE(YEAR(G$3),MONTH(G$3)+1,1)))</f>
        <v/>
      </c>
      <c r="I169" s="27" t="str">
        <f aca="false">IF($A169="","",SUMIFS(請求台帳!$F$5:$F$504,請求台帳!$C$5:$C$504,$A169,請求台帳!$B$5:$B$504,"&gt;="&amp;I$3,請求台帳!$B$5:$B$504,"&lt;"&amp;DATE(YEAR(I$3),MONTH(I$3)+1,1),請求台帳!$Q$5:$Q$504,"&lt;&gt;取消"))</f>
        <v/>
      </c>
      <c r="J169" s="27" t="str">
        <f aca="false">IF($A169="","",SUMIFS(入金明細!$E$5:$E$1004,入金明細!$G$5:$G$1004,$A169,入金明細!$B$5:$B$1004,"&gt;="&amp;I$3,入金明細!$B$5:$B$1004,"&lt;"&amp;DATE(YEAR(I$3),MONTH(I$3)+1,1)))</f>
        <v/>
      </c>
      <c r="K169" s="27" t="str">
        <f aca="false">IF($A169="","",SUMIFS(請求台帳!$F$5:$F$504,請求台帳!$C$5:$C$504,$A169,請求台帳!$B$5:$B$504,"&gt;="&amp;K$3,請求台帳!$B$5:$B$504,"&lt;"&amp;DATE(YEAR(K$3),MONTH(K$3)+1,1),請求台帳!$Q$5:$Q$504,"&lt;&gt;取消"))</f>
        <v/>
      </c>
      <c r="L169" s="27" t="str">
        <f aca="false">IF($A169="","",SUMIFS(入金明細!$E$5:$E$1004,入金明細!$G$5:$G$1004,$A169,入金明細!$B$5:$B$1004,"&gt;="&amp;K$3,入金明細!$B$5:$B$1004,"&lt;"&amp;DATE(YEAR(K$3),MONTH(K$3)+1,1)))</f>
        <v/>
      </c>
      <c r="M169" s="27" t="str">
        <f aca="false">IF($A169="","",SUMIFS(請求台帳!$F$5:$F$504,請求台帳!$C$5:$C$504,$A169,請求台帳!$B$5:$B$504,"&gt;="&amp;M$3,請求台帳!$B$5:$B$504,"&lt;"&amp;DATE(YEAR(M$3),MONTH(M$3)+1,1),請求台帳!$Q$5:$Q$504,"&lt;&gt;取消"))</f>
        <v/>
      </c>
      <c r="N169" s="27" t="str">
        <f aca="false">IF($A169="","",SUMIFS(入金明細!$E$5:$E$1004,入金明細!$G$5:$G$1004,$A169,入金明細!$B$5:$B$1004,"&gt;="&amp;M$3,入金明細!$B$5:$B$1004,"&lt;"&amp;DATE(YEAR(M$3),MONTH(M$3)+1,1)))</f>
        <v/>
      </c>
      <c r="O169" s="27" t="str">
        <f aca="false">IF($A169="","",SUMIFS(請求台帳!$F$5:$F$504,請求台帳!$C$5:$C$504,$A169,請求台帳!$B$5:$B$504,"&gt;="&amp;O$3,請求台帳!$B$5:$B$504,"&lt;"&amp;DATE(YEAR(O$3),MONTH(O$3)+1,1),請求台帳!$Q$5:$Q$504,"&lt;&gt;取消"))</f>
        <v/>
      </c>
      <c r="P169" s="27" t="str">
        <f aca="false">IF($A169="","",SUMIFS(入金明細!$E$5:$E$1004,入金明細!$G$5:$G$1004,$A169,入金明細!$B$5:$B$1004,"&gt;="&amp;O$3,入金明細!$B$5:$B$1004,"&lt;"&amp;DATE(YEAR(O$3),MONTH(O$3)+1,1)))</f>
        <v/>
      </c>
      <c r="Q169" s="27" t="str">
        <f aca="false">IF($A169="","",SUMIFS(請求台帳!$F$5:$F$504,請求台帳!$C$5:$C$504,$A169,請求台帳!$B$5:$B$504,"&gt;="&amp;Q$3,請求台帳!$B$5:$B$504,"&lt;"&amp;DATE(YEAR(Q$3),MONTH(Q$3)+1,1),請求台帳!$Q$5:$Q$504,"&lt;&gt;取消"))</f>
        <v/>
      </c>
      <c r="R169" s="27" t="str">
        <f aca="false">IF($A169="","",SUMIFS(入金明細!$E$5:$E$1004,入金明細!$G$5:$G$1004,$A169,入金明細!$B$5:$B$1004,"&gt;="&amp;Q$3,入金明細!$B$5:$B$1004,"&lt;"&amp;DATE(YEAR(Q$3),MONTH(Q$3)+1,1)))</f>
        <v/>
      </c>
      <c r="S169" s="27" t="str">
        <f aca="false">IF($A169="","",SUMIFS(請求台帳!$F$5:$F$504,請求台帳!$C$5:$C$504,$A169,請求台帳!$B$5:$B$504,"&gt;="&amp;S$3,請求台帳!$B$5:$B$504,"&lt;"&amp;DATE(YEAR(S$3),MONTH(S$3)+1,1),請求台帳!$Q$5:$Q$504,"&lt;&gt;取消"))</f>
        <v/>
      </c>
      <c r="T169" s="27" t="str">
        <f aca="false">IF($A169="","",SUMIFS(入金明細!$E$5:$E$1004,入金明細!$G$5:$G$1004,$A169,入金明細!$B$5:$B$1004,"&gt;="&amp;S$3,入金明細!$B$5:$B$1004,"&lt;"&amp;DATE(YEAR(S$3),MONTH(S$3)+1,1)))</f>
        <v/>
      </c>
      <c r="U169" s="27" t="str">
        <f aca="false">IF($A169="","",SUMIFS(請求台帳!$F$5:$F$504,請求台帳!$C$5:$C$504,$A169,請求台帳!$B$5:$B$504,"&gt;="&amp;U$3,請求台帳!$B$5:$B$504,"&lt;"&amp;DATE(YEAR(U$3),MONTH(U$3)+1,1),請求台帳!$Q$5:$Q$504,"&lt;&gt;取消"))</f>
        <v/>
      </c>
      <c r="V169" s="27" t="str">
        <f aca="false">IF($A169="","",SUMIFS(入金明細!$E$5:$E$1004,入金明細!$G$5:$G$1004,$A169,入金明細!$B$5:$B$1004,"&gt;="&amp;U$3,入金明細!$B$5:$B$1004,"&lt;"&amp;DATE(YEAR(U$3),MONTH(U$3)+1,1)))</f>
        <v/>
      </c>
      <c r="W169" s="27" t="str">
        <f aca="false">IF($A169="","",SUMIFS(請求台帳!$F$5:$F$504,請求台帳!$C$5:$C$504,$A169,請求台帳!$B$5:$B$504,"&gt;="&amp;W$3,請求台帳!$B$5:$B$504,"&lt;"&amp;DATE(YEAR(W$3),MONTH(W$3)+1,1),請求台帳!$Q$5:$Q$504,"&lt;&gt;取消"))</f>
        <v/>
      </c>
      <c r="X169" s="27" t="str">
        <f aca="false">IF($A169="","",SUMIFS(入金明細!$E$5:$E$1004,入金明細!$G$5:$G$1004,$A169,入金明細!$B$5:$B$1004,"&gt;="&amp;W$3,入金明細!$B$5:$B$1004,"&lt;"&amp;DATE(YEAR(W$3),MONTH(W$3)+1,1)))</f>
        <v/>
      </c>
      <c r="Y169" s="27" t="str">
        <f aca="false">IF($A169="","",SUMIFS(請求台帳!$F$5:$F$504,請求台帳!$C$5:$C$504,$A169,請求台帳!$B$5:$B$504,"&gt;="&amp;Y$3,請求台帳!$B$5:$B$504,"&lt;"&amp;DATE(YEAR(Y$3),MONTH(Y$3)+1,1),請求台帳!$Q$5:$Q$504,"&lt;&gt;取消"))</f>
        <v/>
      </c>
      <c r="Z169" s="27" t="str">
        <f aca="false">IF($A169="","",SUMIFS(入金明細!$E$5:$E$1004,入金明細!$G$5:$G$1004,$A169,入金明細!$B$5:$B$1004,"&gt;="&amp;Y$3,入金明細!$B$5:$B$1004,"&lt;"&amp;DATE(YEAR(Y$3),MONTH(Y$3)+1,1)))</f>
        <v/>
      </c>
      <c r="AA169" s="37" t="n">
        <f aca="false">SUM(C169,E169,G169,I169,K169,M169,O169,Q169,S169,U169,W169,Y169)</f>
        <v>0</v>
      </c>
      <c r="AB169" s="37" t="n">
        <f aca="false">SUM(D169,F169,H169,J169,L169,N169,P169,R169,T169,V169,X169,Z169)</f>
        <v>0</v>
      </c>
    </row>
    <row r="170" customFormat="false" ht="15" hidden="false" customHeight="false" outlineLevel="0" collapsed="false">
      <c r="A170" s="31" t="str">
        <f aca="false">IF(取引先マスタ!A170="","",取引先マスタ!A170)</f>
        <v/>
      </c>
      <c r="B170" s="31" t="str">
        <f aca="false">IF(A170="","",取引先マスタ!B170)</f>
        <v/>
      </c>
      <c r="C170" s="27" t="str">
        <f aca="false">IF($A170="","",SUMIFS(請求台帳!$F$5:$F$504,請求台帳!$C$5:$C$504,$A170,請求台帳!$B$5:$B$504,"&gt;="&amp;C$3,請求台帳!$B$5:$B$504,"&lt;"&amp;DATE(YEAR(C$3),MONTH(C$3)+1,1),請求台帳!$Q$5:$Q$504,"&lt;&gt;取消"))</f>
        <v/>
      </c>
      <c r="D170" s="27" t="str">
        <f aca="false">IF($A170="","",SUMIFS(入金明細!$E$5:$E$1004,入金明細!$G$5:$G$1004,$A170,入金明細!$B$5:$B$1004,"&gt;="&amp;C$3,入金明細!$B$5:$B$1004,"&lt;"&amp;DATE(YEAR(C$3),MONTH(C$3)+1,1)))</f>
        <v/>
      </c>
      <c r="E170" s="27" t="str">
        <f aca="false">IF($A170="","",SUMIFS(請求台帳!$F$5:$F$504,請求台帳!$C$5:$C$504,$A170,請求台帳!$B$5:$B$504,"&gt;="&amp;E$3,請求台帳!$B$5:$B$504,"&lt;"&amp;DATE(YEAR(E$3),MONTH(E$3)+1,1),請求台帳!$Q$5:$Q$504,"&lt;&gt;取消"))</f>
        <v/>
      </c>
      <c r="F170" s="27" t="str">
        <f aca="false">IF($A170="","",SUMIFS(入金明細!$E$5:$E$1004,入金明細!$G$5:$G$1004,$A170,入金明細!$B$5:$B$1004,"&gt;="&amp;E$3,入金明細!$B$5:$B$1004,"&lt;"&amp;DATE(YEAR(E$3),MONTH(E$3)+1,1)))</f>
        <v/>
      </c>
      <c r="G170" s="27" t="str">
        <f aca="false">IF($A170="","",SUMIFS(請求台帳!$F$5:$F$504,請求台帳!$C$5:$C$504,$A170,請求台帳!$B$5:$B$504,"&gt;="&amp;G$3,請求台帳!$B$5:$B$504,"&lt;"&amp;DATE(YEAR(G$3),MONTH(G$3)+1,1),請求台帳!$Q$5:$Q$504,"&lt;&gt;取消"))</f>
        <v/>
      </c>
      <c r="H170" s="27" t="str">
        <f aca="false">IF($A170="","",SUMIFS(入金明細!$E$5:$E$1004,入金明細!$G$5:$G$1004,$A170,入金明細!$B$5:$B$1004,"&gt;="&amp;G$3,入金明細!$B$5:$B$1004,"&lt;"&amp;DATE(YEAR(G$3),MONTH(G$3)+1,1)))</f>
        <v/>
      </c>
      <c r="I170" s="27" t="str">
        <f aca="false">IF($A170="","",SUMIFS(請求台帳!$F$5:$F$504,請求台帳!$C$5:$C$504,$A170,請求台帳!$B$5:$B$504,"&gt;="&amp;I$3,請求台帳!$B$5:$B$504,"&lt;"&amp;DATE(YEAR(I$3),MONTH(I$3)+1,1),請求台帳!$Q$5:$Q$504,"&lt;&gt;取消"))</f>
        <v/>
      </c>
      <c r="J170" s="27" t="str">
        <f aca="false">IF($A170="","",SUMIFS(入金明細!$E$5:$E$1004,入金明細!$G$5:$G$1004,$A170,入金明細!$B$5:$B$1004,"&gt;="&amp;I$3,入金明細!$B$5:$B$1004,"&lt;"&amp;DATE(YEAR(I$3),MONTH(I$3)+1,1)))</f>
        <v/>
      </c>
      <c r="K170" s="27" t="str">
        <f aca="false">IF($A170="","",SUMIFS(請求台帳!$F$5:$F$504,請求台帳!$C$5:$C$504,$A170,請求台帳!$B$5:$B$504,"&gt;="&amp;K$3,請求台帳!$B$5:$B$504,"&lt;"&amp;DATE(YEAR(K$3),MONTH(K$3)+1,1),請求台帳!$Q$5:$Q$504,"&lt;&gt;取消"))</f>
        <v/>
      </c>
      <c r="L170" s="27" t="str">
        <f aca="false">IF($A170="","",SUMIFS(入金明細!$E$5:$E$1004,入金明細!$G$5:$G$1004,$A170,入金明細!$B$5:$B$1004,"&gt;="&amp;K$3,入金明細!$B$5:$B$1004,"&lt;"&amp;DATE(YEAR(K$3),MONTH(K$3)+1,1)))</f>
        <v/>
      </c>
      <c r="M170" s="27" t="str">
        <f aca="false">IF($A170="","",SUMIFS(請求台帳!$F$5:$F$504,請求台帳!$C$5:$C$504,$A170,請求台帳!$B$5:$B$504,"&gt;="&amp;M$3,請求台帳!$B$5:$B$504,"&lt;"&amp;DATE(YEAR(M$3),MONTH(M$3)+1,1),請求台帳!$Q$5:$Q$504,"&lt;&gt;取消"))</f>
        <v/>
      </c>
      <c r="N170" s="27" t="str">
        <f aca="false">IF($A170="","",SUMIFS(入金明細!$E$5:$E$1004,入金明細!$G$5:$G$1004,$A170,入金明細!$B$5:$B$1004,"&gt;="&amp;M$3,入金明細!$B$5:$B$1004,"&lt;"&amp;DATE(YEAR(M$3),MONTH(M$3)+1,1)))</f>
        <v/>
      </c>
      <c r="O170" s="27" t="str">
        <f aca="false">IF($A170="","",SUMIFS(請求台帳!$F$5:$F$504,請求台帳!$C$5:$C$504,$A170,請求台帳!$B$5:$B$504,"&gt;="&amp;O$3,請求台帳!$B$5:$B$504,"&lt;"&amp;DATE(YEAR(O$3),MONTH(O$3)+1,1),請求台帳!$Q$5:$Q$504,"&lt;&gt;取消"))</f>
        <v/>
      </c>
      <c r="P170" s="27" t="str">
        <f aca="false">IF($A170="","",SUMIFS(入金明細!$E$5:$E$1004,入金明細!$G$5:$G$1004,$A170,入金明細!$B$5:$B$1004,"&gt;="&amp;O$3,入金明細!$B$5:$B$1004,"&lt;"&amp;DATE(YEAR(O$3),MONTH(O$3)+1,1)))</f>
        <v/>
      </c>
      <c r="Q170" s="27" t="str">
        <f aca="false">IF($A170="","",SUMIFS(請求台帳!$F$5:$F$504,請求台帳!$C$5:$C$504,$A170,請求台帳!$B$5:$B$504,"&gt;="&amp;Q$3,請求台帳!$B$5:$B$504,"&lt;"&amp;DATE(YEAR(Q$3),MONTH(Q$3)+1,1),請求台帳!$Q$5:$Q$504,"&lt;&gt;取消"))</f>
        <v/>
      </c>
      <c r="R170" s="27" t="str">
        <f aca="false">IF($A170="","",SUMIFS(入金明細!$E$5:$E$1004,入金明細!$G$5:$G$1004,$A170,入金明細!$B$5:$B$1004,"&gt;="&amp;Q$3,入金明細!$B$5:$B$1004,"&lt;"&amp;DATE(YEAR(Q$3),MONTH(Q$3)+1,1)))</f>
        <v/>
      </c>
      <c r="S170" s="27" t="str">
        <f aca="false">IF($A170="","",SUMIFS(請求台帳!$F$5:$F$504,請求台帳!$C$5:$C$504,$A170,請求台帳!$B$5:$B$504,"&gt;="&amp;S$3,請求台帳!$B$5:$B$504,"&lt;"&amp;DATE(YEAR(S$3),MONTH(S$3)+1,1),請求台帳!$Q$5:$Q$504,"&lt;&gt;取消"))</f>
        <v/>
      </c>
      <c r="T170" s="27" t="str">
        <f aca="false">IF($A170="","",SUMIFS(入金明細!$E$5:$E$1004,入金明細!$G$5:$G$1004,$A170,入金明細!$B$5:$B$1004,"&gt;="&amp;S$3,入金明細!$B$5:$B$1004,"&lt;"&amp;DATE(YEAR(S$3),MONTH(S$3)+1,1)))</f>
        <v/>
      </c>
      <c r="U170" s="27" t="str">
        <f aca="false">IF($A170="","",SUMIFS(請求台帳!$F$5:$F$504,請求台帳!$C$5:$C$504,$A170,請求台帳!$B$5:$B$504,"&gt;="&amp;U$3,請求台帳!$B$5:$B$504,"&lt;"&amp;DATE(YEAR(U$3),MONTH(U$3)+1,1),請求台帳!$Q$5:$Q$504,"&lt;&gt;取消"))</f>
        <v/>
      </c>
      <c r="V170" s="27" t="str">
        <f aca="false">IF($A170="","",SUMIFS(入金明細!$E$5:$E$1004,入金明細!$G$5:$G$1004,$A170,入金明細!$B$5:$B$1004,"&gt;="&amp;U$3,入金明細!$B$5:$B$1004,"&lt;"&amp;DATE(YEAR(U$3),MONTH(U$3)+1,1)))</f>
        <v/>
      </c>
      <c r="W170" s="27" t="str">
        <f aca="false">IF($A170="","",SUMIFS(請求台帳!$F$5:$F$504,請求台帳!$C$5:$C$504,$A170,請求台帳!$B$5:$B$504,"&gt;="&amp;W$3,請求台帳!$B$5:$B$504,"&lt;"&amp;DATE(YEAR(W$3),MONTH(W$3)+1,1),請求台帳!$Q$5:$Q$504,"&lt;&gt;取消"))</f>
        <v/>
      </c>
      <c r="X170" s="27" t="str">
        <f aca="false">IF($A170="","",SUMIFS(入金明細!$E$5:$E$1004,入金明細!$G$5:$G$1004,$A170,入金明細!$B$5:$B$1004,"&gt;="&amp;W$3,入金明細!$B$5:$B$1004,"&lt;"&amp;DATE(YEAR(W$3),MONTH(W$3)+1,1)))</f>
        <v/>
      </c>
      <c r="Y170" s="27" t="str">
        <f aca="false">IF($A170="","",SUMIFS(請求台帳!$F$5:$F$504,請求台帳!$C$5:$C$504,$A170,請求台帳!$B$5:$B$504,"&gt;="&amp;Y$3,請求台帳!$B$5:$B$504,"&lt;"&amp;DATE(YEAR(Y$3),MONTH(Y$3)+1,1),請求台帳!$Q$5:$Q$504,"&lt;&gt;取消"))</f>
        <v/>
      </c>
      <c r="Z170" s="27" t="str">
        <f aca="false">IF($A170="","",SUMIFS(入金明細!$E$5:$E$1004,入金明細!$G$5:$G$1004,$A170,入金明細!$B$5:$B$1004,"&gt;="&amp;Y$3,入金明細!$B$5:$B$1004,"&lt;"&amp;DATE(YEAR(Y$3),MONTH(Y$3)+1,1)))</f>
        <v/>
      </c>
      <c r="AA170" s="37" t="n">
        <f aca="false">SUM(C170,E170,G170,I170,K170,M170,O170,Q170,S170,U170,W170,Y170)</f>
        <v>0</v>
      </c>
      <c r="AB170" s="37" t="n">
        <f aca="false">SUM(D170,F170,H170,J170,L170,N170,P170,R170,T170,V170,X170,Z170)</f>
        <v>0</v>
      </c>
    </row>
    <row r="171" customFormat="false" ht="15" hidden="false" customHeight="false" outlineLevel="0" collapsed="false">
      <c r="A171" s="31" t="str">
        <f aca="false">IF(取引先マスタ!A171="","",取引先マスタ!A171)</f>
        <v/>
      </c>
      <c r="B171" s="31" t="str">
        <f aca="false">IF(A171="","",取引先マスタ!B171)</f>
        <v/>
      </c>
      <c r="C171" s="27" t="str">
        <f aca="false">IF($A171="","",SUMIFS(請求台帳!$F$5:$F$504,請求台帳!$C$5:$C$504,$A171,請求台帳!$B$5:$B$504,"&gt;="&amp;C$3,請求台帳!$B$5:$B$504,"&lt;"&amp;DATE(YEAR(C$3),MONTH(C$3)+1,1),請求台帳!$Q$5:$Q$504,"&lt;&gt;取消"))</f>
        <v/>
      </c>
      <c r="D171" s="27" t="str">
        <f aca="false">IF($A171="","",SUMIFS(入金明細!$E$5:$E$1004,入金明細!$G$5:$G$1004,$A171,入金明細!$B$5:$B$1004,"&gt;="&amp;C$3,入金明細!$B$5:$B$1004,"&lt;"&amp;DATE(YEAR(C$3),MONTH(C$3)+1,1)))</f>
        <v/>
      </c>
      <c r="E171" s="27" t="str">
        <f aca="false">IF($A171="","",SUMIFS(請求台帳!$F$5:$F$504,請求台帳!$C$5:$C$504,$A171,請求台帳!$B$5:$B$504,"&gt;="&amp;E$3,請求台帳!$B$5:$B$504,"&lt;"&amp;DATE(YEAR(E$3),MONTH(E$3)+1,1),請求台帳!$Q$5:$Q$504,"&lt;&gt;取消"))</f>
        <v/>
      </c>
      <c r="F171" s="27" t="str">
        <f aca="false">IF($A171="","",SUMIFS(入金明細!$E$5:$E$1004,入金明細!$G$5:$G$1004,$A171,入金明細!$B$5:$B$1004,"&gt;="&amp;E$3,入金明細!$B$5:$B$1004,"&lt;"&amp;DATE(YEAR(E$3),MONTH(E$3)+1,1)))</f>
        <v/>
      </c>
      <c r="G171" s="27" t="str">
        <f aca="false">IF($A171="","",SUMIFS(請求台帳!$F$5:$F$504,請求台帳!$C$5:$C$504,$A171,請求台帳!$B$5:$B$504,"&gt;="&amp;G$3,請求台帳!$B$5:$B$504,"&lt;"&amp;DATE(YEAR(G$3),MONTH(G$3)+1,1),請求台帳!$Q$5:$Q$504,"&lt;&gt;取消"))</f>
        <v/>
      </c>
      <c r="H171" s="27" t="str">
        <f aca="false">IF($A171="","",SUMIFS(入金明細!$E$5:$E$1004,入金明細!$G$5:$G$1004,$A171,入金明細!$B$5:$B$1004,"&gt;="&amp;G$3,入金明細!$B$5:$B$1004,"&lt;"&amp;DATE(YEAR(G$3),MONTH(G$3)+1,1)))</f>
        <v/>
      </c>
      <c r="I171" s="27" t="str">
        <f aca="false">IF($A171="","",SUMIFS(請求台帳!$F$5:$F$504,請求台帳!$C$5:$C$504,$A171,請求台帳!$B$5:$B$504,"&gt;="&amp;I$3,請求台帳!$B$5:$B$504,"&lt;"&amp;DATE(YEAR(I$3),MONTH(I$3)+1,1),請求台帳!$Q$5:$Q$504,"&lt;&gt;取消"))</f>
        <v/>
      </c>
      <c r="J171" s="27" t="str">
        <f aca="false">IF($A171="","",SUMIFS(入金明細!$E$5:$E$1004,入金明細!$G$5:$G$1004,$A171,入金明細!$B$5:$B$1004,"&gt;="&amp;I$3,入金明細!$B$5:$B$1004,"&lt;"&amp;DATE(YEAR(I$3),MONTH(I$3)+1,1)))</f>
        <v/>
      </c>
      <c r="K171" s="27" t="str">
        <f aca="false">IF($A171="","",SUMIFS(請求台帳!$F$5:$F$504,請求台帳!$C$5:$C$504,$A171,請求台帳!$B$5:$B$504,"&gt;="&amp;K$3,請求台帳!$B$5:$B$504,"&lt;"&amp;DATE(YEAR(K$3),MONTH(K$3)+1,1),請求台帳!$Q$5:$Q$504,"&lt;&gt;取消"))</f>
        <v/>
      </c>
      <c r="L171" s="27" t="str">
        <f aca="false">IF($A171="","",SUMIFS(入金明細!$E$5:$E$1004,入金明細!$G$5:$G$1004,$A171,入金明細!$B$5:$B$1004,"&gt;="&amp;K$3,入金明細!$B$5:$B$1004,"&lt;"&amp;DATE(YEAR(K$3),MONTH(K$3)+1,1)))</f>
        <v/>
      </c>
      <c r="M171" s="27" t="str">
        <f aca="false">IF($A171="","",SUMIFS(請求台帳!$F$5:$F$504,請求台帳!$C$5:$C$504,$A171,請求台帳!$B$5:$B$504,"&gt;="&amp;M$3,請求台帳!$B$5:$B$504,"&lt;"&amp;DATE(YEAR(M$3),MONTH(M$3)+1,1),請求台帳!$Q$5:$Q$504,"&lt;&gt;取消"))</f>
        <v/>
      </c>
      <c r="N171" s="27" t="str">
        <f aca="false">IF($A171="","",SUMIFS(入金明細!$E$5:$E$1004,入金明細!$G$5:$G$1004,$A171,入金明細!$B$5:$B$1004,"&gt;="&amp;M$3,入金明細!$B$5:$B$1004,"&lt;"&amp;DATE(YEAR(M$3),MONTH(M$3)+1,1)))</f>
        <v/>
      </c>
      <c r="O171" s="27" t="str">
        <f aca="false">IF($A171="","",SUMIFS(請求台帳!$F$5:$F$504,請求台帳!$C$5:$C$504,$A171,請求台帳!$B$5:$B$504,"&gt;="&amp;O$3,請求台帳!$B$5:$B$504,"&lt;"&amp;DATE(YEAR(O$3),MONTH(O$3)+1,1),請求台帳!$Q$5:$Q$504,"&lt;&gt;取消"))</f>
        <v/>
      </c>
      <c r="P171" s="27" t="str">
        <f aca="false">IF($A171="","",SUMIFS(入金明細!$E$5:$E$1004,入金明細!$G$5:$G$1004,$A171,入金明細!$B$5:$B$1004,"&gt;="&amp;O$3,入金明細!$B$5:$B$1004,"&lt;"&amp;DATE(YEAR(O$3),MONTH(O$3)+1,1)))</f>
        <v/>
      </c>
      <c r="Q171" s="27" t="str">
        <f aca="false">IF($A171="","",SUMIFS(請求台帳!$F$5:$F$504,請求台帳!$C$5:$C$504,$A171,請求台帳!$B$5:$B$504,"&gt;="&amp;Q$3,請求台帳!$B$5:$B$504,"&lt;"&amp;DATE(YEAR(Q$3),MONTH(Q$3)+1,1),請求台帳!$Q$5:$Q$504,"&lt;&gt;取消"))</f>
        <v/>
      </c>
      <c r="R171" s="27" t="str">
        <f aca="false">IF($A171="","",SUMIFS(入金明細!$E$5:$E$1004,入金明細!$G$5:$G$1004,$A171,入金明細!$B$5:$B$1004,"&gt;="&amp;Q$3,入金明細!$B$5:$B$1004,"&lt;"&amp;DATE(YEAR(Q$3),MONTH(Q$3)+1,1)))</f>
        <v/>
      </c>
      <c r="S171" s="27" t="str">
        <f aca="false">IF($A171="","",SUMIFS(請求台帳!$F$5:$F$504,請求台帳!$C$5:$C$504,$A171,請求台帳!$B$5:$B$504,"&gt;="&amp;S$3,請求台帳!$B$5:$B$504,"&lt;"&amp;DATE(YEAR(S$3),MONTH(S$3)+1,1),請求台帳!$Q$5:$Q$504,"&lt;&gt;取消"))</f>
        <v/>
      </c>
      <c r="T171" s="27" t="str">
        <f aca="false">IF($A171="","",SUMIFS(入金明細!$E$5:$E$1004,入金明細!$G$5:$G$1004,$A171,入金明細!$B$5:$B$1004,"&gt;="&amp;S$3,入金明細!$B$5:$B$1004,"&lt;"&amp;DATE(YEAR(S$3),MONTH(S$3)+1,1)))</f>
        <v/>
      </c>
      <c r="U171" s="27" t="str">
        <f aca="false">IF($A171="","",SUMIFS(請求台帳!$F$5:$F$504,請求台帳!$C$5:$C$504,$A171,請求台帳!$B$5:$B$504,"&gt;="&amp;U$3,請求台帳!$B$5:$B$504,"&lt;"&amp;DATE(YEAR(U$3),MONTH(U$3)+1,1),請求台帳!$Q$5:$Q$504,"&lt;&gt;取消"))</f>
        <v/>
      </c>
      <c r="V171" s="27" t="str">
        <f aca="false">IF($A171="","",SUMIFS(入金明細!$E$5:$E$1004,入金明細!$G$5:$G$1004,$A171,入金明細!$B$5:$B$1004,"&gt;="&amp;U$3,入金明細!$B$5:$B$1004,"&lt;"&amp;DATE(YEAR(U$3),MONTH(U$3)+1,1)))</f>
        <v/>
      </c>
      <c r="W171" s="27" t="str">
        <f aca="false">IF($A171="","",SUMIFS(請求台帳!$F$5:$F$504,請求台帳!$C$5:$C$504,$A171,請求台帳!$B$5:$B$504,"&gt;="&amp;W$3,請求台帳!$B$5:$B$504,"&lt;"&amp;DATE(YEAR(W$3),MONTH(W$3)+1,1),請求台帳!$Q$5:$Q$504,"&lt;&gt;取消"))</f>
        <v/>
      </c>
      <c r="X171" s="27" t="str">
        <f aca="false">IF($A171="","",SUMIFS(入金明細!$E$5:$E$1004,入金明細!$G$5:$G$1004,$A171,入金明細!$B$5:$B$1004,"&gt;="&amp;W$3,入金明細!$B$5:$B$1004,"&lt;"&amp;DATE(YEAR(W$3),MONTH(W$3)+1,1)))</f>
        <v/>
      </c>
      <c r="Y171" s="27" t="str">
        <f aca="false">IF($A171="","",SUMIFS(請求台帳!$F$5:$F$504,請求台帳!$C$5:$C$504,$A171,請求台帳!$B$5:$B$504,"&gt;="&amp;Y$3,請求台帳!$B$5:$B$504,"&lt;"&amp;DATE(YEAR(Y$3),MONTH(Y$3)+1,1),請求台帳!$Q$5:$Q$504,"&lt;&gt;取消"))</f>
        <v/>
      </c>
      <c r="Z171" s="27" t="str">
        <f aca="false">IF($A171="","",SUMIFS(入金明細!$E$5:$E$1004,入金明細!$G$5:$G$1004,$A171,入金明細!$B$5:$B$1004,"&gt;="&amp;Y$3,入金明細!$B$5:$B$1004,"&lt;"&amp;DATE(YEAR(Y$3),MONTH(Y$3)+1,1)))</f>
        <v/>
      </c>
      <c r="AA171" s="37" t="n">
        <f aca="false">SUM(C171,E171,G171,I171,K171,M171,O171,Q171,S171,U171,W171,Y171)</f>
        <v>0</v>
      </c>
      <c r="AB171" s="37" t="n">
        <f aca="false">SUM(D171,F171,H171,J171,L171,N171,P171,R171,T171,V171,X171,Z171)</f>
        <v>0</v>
      </c>
    </row>
    <row r="172" customFormat="false" ht="15" hidden="false" customHeight="false" outlineLevel="0" collapsed="false">
      <c r="A172" s="31" t="str">
        <f aca="false">IF(取引先マスタ!A172="","",取引先マスタ!A172)</f>
        <v/>
      </c>
      <c r="B172" s="31" t="str">
        <f aca="false">IF(A172="","",取引先マスタ!B172)</f>
        <v/>
      </c>
      <c r="C172" s="27" t="str">
        <f aca="false">IF($A172="","",SUMIFS(請求台帳!$F$5:$F$504,請求台帳!$C$5:$C$504,$A172,請求台帳!$B$5:$B$504,"&gt;="&amp;C$3,請求台帳!$B$5:$B$504,"&lt;"&amp;DATE(YEAR(C$3),MONTH(C$3)+1,1),請求台帳!$Q$5:$Q$504,"&lt;&gt;取消"))</f>
        <v/>
      </c>
      <c r="D172" s="27" t="str">
        <f aca="false">IF($A172="","",SUMIFS(入金明細!$E$5:$E$1004,入金明細!$G$5:$G$1004,$A172,入金明細!$B$5:$B$1004,"&gt;="&amp;C$3,入金明細!$B$5:$B$1004,"&lt;"&amp;DATE(YEAR(C$3),MONTH(C$3)+1,1)))</f>
        <v/>
      </c>
      <c r="E172" s="27" t="str">
        <f aca="false">IF($A172="","",SUMIFS(請求台帳!$F$5:$F$504,請求台帳!$C$5:$C$504,$A172,請求台帳!$B$5:$B$504,"&gt;="&amp;E$3,請求台帳!$B$5:$B$504,"&lt;"&amp;DATE(YEAR(E$3),MONTH(E$3)+1,1),請求台帳!$Q$5:$Q$504,"&lt;&gt;取消"))</f>
        <v/>
      </c>
      <c r="F172" s="27" t="str">
        <f aca="false">IF($A172="","",SUMIFS(入金明細!$E$5:$E$1004,入金明細!$G$5:$G$1004,$A172,入金明細!$B$5:$B$1004,"&gt;="&amp;E$3,入金明細!$B$5:$B$1004,"&lt;"&amp;DATE(YEAR(E$3),MONTH(E$3)+1,1)))</f>
        <v/>
      </c>
      <c r="G172" s="27" t="str">
        <f aca="false">IF($A172="","",SUMIFS(請求台帳!$F$5:$F$504,請求台帳!$C$5:$C$504,$A172,請求台帳!$B$5:$B$504,"&gt;="&amp;G$3,請求台帳!$B$5:$B$504,"&lt;"&amp;DATE(YEAR(G$3),MONTH(G$3)+1,1),請求台帳!$Q$5:$Q$504,"&lt;&gt;取消"))</f>
        <v/>
      </c>
      <c r="H172" s="27" t="str">
        <f aca="false">IF($A172="","",SUMIFS(入金明細!$E$5:$E$1004,入金明細!$G$5:$G$1004,$A172,入金明細!$B$5:$B$1004,"&gt;="&amp;G$3,入金明細!$B$5:$B$1004,"&lt;"&amp;DATE(YEAR(G$3),MONTH(G$3)+1,1)))</f>
        <v/>
      </c>
      <c r="I172" s="27" t="str">
        <f aca="false">IF($A172="","",SUMIFS(請求台帳!$F$5:$F$504,請求台帳!$C$5:$C$504,$A172,請求台帳!$B$5:$B$504,"&gt;="&amp;I$3,請求台帳!$B$5:$B$504,"&lt;"&amp;DATE(YEAR(I$3),MONTH(I$3)+1,1),請求台帳!$Q$5:$Q$504,"&lt;&gt;取消"))</f>
        <v/>
      </c>
      <c r="J172" s="27" t="str">
        <f aca="false">IF($A172="","",SUMIFS(入金明細!$E$5:$E$1004,入金明細!$G$5:$G$1004,$A172,入金明細!$B$5:$B$1004,"&gt;="&amp;I$3,入金明細!$B$5:$B$1004,"&lt;"&amp;DATE(YEAR(I$3),MONTH(I$3)+1,1)))</f>
        <v/>
      </c>
      <c r="K172" s="27" t="str">
        <f aca="false">IF($A172="","",SUMIFS(請求台帳!$F$5:$F$504,請求台帳!$C$5:$C$504,$A172,請求台帳!$B$5:$B$504,"&gt;="&amp;K$3,請求台帳!$B$5:$B$504,"&lt;"&amp;DATE(YEAR(K$3),MONTH(K$3)+1,1),請求台帳!$Q$5:$Q$504,"&lt;&gt;取消"))</f>
        <v/>
      </c>
      <c r="L172" s="27" t="str">
        <f aca="false">IF($A172="","",SUMIFS(入金明細!$E$5:$E$1004,入金明細!$G$5:$G$1004,$A172,入金明細!$B$5:$B$1004,"&gt;="&amp;K$3,入金明細!$B$5:$B$1004,"&lt;"&amp;DATE(YEAR(K$3),MONTH(K$3)+1,1)))</f>
        <v/>
      </c>
      <c r="M172" s="27" t="str">
        <f aca="false">IF($A172="","",SUMIFS(請求台帳!$F$5:$F$504,請求台帳!$C$5:$C$504,$A172,請求台帳!$B$5:$B$504,"&gt;="&amp;M$3,請求台帳!$B$5:$B$504,"&lt;"&amp;DATE(YEAR(M$3),MONTH(M$3)+1,1),請求台帳!$Q$5:$Q$504,"&lt;&gt;取消"))</f>
        <v/>
      </c>
      <c r="N172" s="27" t="str">
        <f aca="false">IF($A172="","",SUMIFS(入金明細!$E$5:$E$1004,入金明細!$G$5:$G$1004,$A172,入金明細!$B$5:$B$1004,"&gt;="&amp;M$3,入金明細!$B$5:$B$1004,"&lt;"&amp;DATE(YEAR(M$3),MONTH(M$3)+1,1)))</f>
        <v/>
      </c>
      <c r="O172" s="27" t="str">
        <f aca="false">IF($A172="","",SUMIFS(請求台帳!$F$5:$F$504,請求台帳!$C$5:$C$504,$A172,請求台帳!$B$5:$B$504,"&gt;="&amp;O$3,請求台帳!$B$5:$B$504,"&lt;"&amp;DATE(YEAR(O$3),MONTH(O$3)+1,1),請求台帳!$Q$5:$Q$504,"&lt;&gt;取消"))</f>
        <v/>
      </c>
      <c r="P172" s="27" t="str">
        <f aca="false">IF($A172="","",SUMIFS(入金明細!$E$5:$E$1004,入金明細!$G$5:$G$1004,$A172,入金明細!$B$5:$B$1004,"&gt;="&amp;O$3,入金明細!$B$5:$B$1004,"&lt;"&amp;DATE(YEAR(O$3),MONTH(O$3)+1,1)))</f>
        <v/>
      </c>
      <c r="Q172" s="27" t="str">
        <f aca="false">IF($A172="","",SUMIFS(請求台帳!$F$5:$F$504,請求台帳!$C$5:$C$504,$A172,請求台帳!$B$5:$B$504,"&gt;="&amp;Q$3,請求台帳!$B$5:$B$504,"&lt;"&amp;DATE(YEAR(Q$3),MONTH(Q$3)+1,1),請求台帳!$Q$5:$Q$504,"&lt;&gt;取消"))</f>
        <v/>
      </c>
      <c r="R172" s="27" t="str">
        <f aca="false">IF($A172="","",SUMIFS(入金明細!$E$5:$E$1004,入金明細!$G$5:$G$1004,$A172,入金明細!$B$5:$B$1004,"&gt;="&amp;Q$3,入金明細!$B$5:$B$1004,"&lt;"&amp;DATE(YEAR(Q$3),MONTH(Q$3)+1,1)))</f>
        <v/>
      </c>
      <c r="S172" s="27" t="str">
        <f aca="false">IF($A172="","",SUMIFS(請求台帳!$F$5:$F$504,請求台帳!$C$5:$C$504,$A172,請求台帳!$B$5:$B$504,"&gt;="&amp;S$3,請求台帳!$B$5:$B$504,"&lt;"&amp;DATE(YEAR(S$3),MONTH(S$3)+1,1),請求台帳!$Q$5:$Q$504,"&lt;&gt;取消"))</f>
        <v/>
      </c>
      <c r="T172" s="27" t="str">
        <f aca="false">IF($A172="","",SUMIFS(入金明細!$E$5:$E$1004,入金明細!$G$5:$G$1004,$A172,入金明細!$B$5:$B$1004,"&gt;="&amp;S$3,入金明細!$B$5:$B$1004,"&lt;"&amp;DATE(YEAR(S$3),MONTH(S$3)+1,1)))</f>
        <v/>
      </c>
      <c r="U172" s="27" t="str">
        <f aca="false">IF($A172="","",SUMIFS(請求台帳!$F$5:$F$504,請求台帳!$C$5:$C$504,$A172,請求台帳!$B$5:$B$504,"&gt;="&amp;U$3,請求台帳!$B$5:$B$504,"&lt;"&amp;DATE(YEAR(U$3),MONTH(U$3)+1,1),請求台帳!$Q$5:$Q$504,"&lt;&gt;取消"))</f>
        <v/>
      </c>
      <c r="V172" s="27" t="str">
        <f aca="false">IF($A172="","",SUMIFS(入金明細!$E$5:$E$1004,入金明細!$G$5:$G$1004,$A172,入金明細!$B$5:$B$1004,"&gt;="&amp;U$3,入金明細!$B$5:$B$1004,"&lt;"&amp;DATE(YEAR(U$3),MONTH(U$3)+1,1)))</f>
        <v/>
      </c>
      <c r="W172" s="27" t="str">
        <f aca="false">IF($A172="","",SUMIFS(請求台帳!$F$5:$F$504,請求台帳!$C$5:$C$504,$A172,請求台帳!$B$5:$B$504,"&gt;="&amp;W$3,請求台帳!$B$5:$B$504,"&lt;"&amp;DATE(YEAR(W$3),MONTH(W$3)+1,1),請求台帳!$Q$5:$Q$504,"&lt;&gt;取消"))</f>
        <v/>
      </c>
      <c r="X172" s="27" t="str">
        <f aca="false">IF($A172="","",SUMIFS(入金明細!$E$5:$E$1004,入金明細!$G$5:$G$1004,$A172,入金明細!$B$5:$B$1004,"&gt;="&amp;W$3,入金明細!$B$5:$B$1004,"&lt;"&amp;DATE(YEAR(W$3),MONTH(W$3)+1,1)))</f>
        <v/>
      </c>
      <c r="Y172" s="27" t="str">
        <f aca="false">IF($A172="","",SUMIFS(請求台帳!$F$5:$F$504,請求台帳!$C$5:$C$504,$A172,請求台帳!$B$5:$B$504,"&gt;="&amp;Y$3,請求台帳!$B$5:$B$504,"&lt;"&amp;DATE(YEAR(Y$3),MONTH(Y$3)+1,1),請求台帳!$Q$5:$Q$504,"&lt;&gt;取消"))</f>
        <v/>
      </c>
      <c r="Z172" s="27" t="str">
        <f aca="false">IF($A172="","",SUMIFS(入金明細!$E$5:$E$1004,入金明細!$G$5:$G$1004,$A172,入金明細!$B$5:$B$1004,"&gt;="&amp;Y$3,入金明細!$B$5:$B$1004,"&lt;"&amp;DATE(YEAR(Y$3),MONTH(Y$3)+1,1)))</f>
        <v/>
      </c>
      <c r="AA172" s="37" t="n">
        <f aca="false">SUM(C172,E172,G172,I172,K172,M172,O172,Q172,S172,U172,W172,Y172)</f>
        <v>0</v>
      </c>
      <c r="AB172" s="37" t="n">
        <f aca="false">SUM(D172,F172,H172,J172,L172,N172,P172,R172,T172,V172,X172,Z172)</f>
        <v>0</v>
      </c>
    </row>
    <row r="173" customFormat="false" ht="15" hidden="false" customHeight="false" outlineLevel="0" collapsed="false">
      <c r="A173" s="31" t="str">
        <f aca="false">IF(取引先マスタ!A173="","",取引先マスタ!A173)</f>
        <v/>
      </c>
      <c r="B173" s="31" t="str">
        <f aca="false">IF(A173="","",取引先マスタ!B173)</f>
        <v/>
      </c>
      <c r="C173" s="27" t="str">
        <f aca="false">IF($A173="","",SUMIFS(請求台帳!$F$5:$F$504,請求台帳!$C$5:$C$504,$A173,請求台帳!$B$5:$B$504,"&gt;="&amp;C$3,請求台帳!$B$5:$B$504,"&lt;"&amp;DATE(YEAR(C$3),MONTH(C$3)+1,1),請求台帳!$Q$5:$Q$504,"&lt;&gt;取消"))</f>
        <v/>
      </c>
      <c r="D173" s="27" t="str">
        <f aca="false">IF($A173="","",SUMIFS(入金明細!$E$5:$E$1004,入金明細!$G$5:$G$1004,$A173,入金明細!$B$5:$B$1004,"&gt;="&amp;C$3,入金明細!$B$5:$B$1004,"&lt;"&amp;DATE(YEAR(C$3),MONTH(C$3)+1,1)))</f>
        <v/>
      </c>
      <c r="E173" s="27" t="str">
        <f aca="false">IF($A173="","",SUMIFS(請求台帳!$F$5:$F$504,請求台帳!$C$5:$C$504,$A173,請求台帳!$B$5:$B$504,"&gt;="&amp;E$3,請求台帳!$B$5:$B$504,"&lt;"&amp;DATE(YEAR(E$3),MONTH(E$3)+1,1),請求台帳!$Q$5:$Q$504,"&lt;&gt;取消"))</f>
        <v/>
      </c>
      <c r="F173" s="27" t="str">
        <f aca="false">IF($A173="","",SUMIFS(入金明細!$E$5:$E$1004,入金明細!$G$5:$G$1004,$A173,入金明細!$B$5:$B$1004,"&gt;="&amp;E$3,入金明細!$B$5:$B$1004,"&lt;"&amp;DATE(YEAR(E$3),MONTH(E$3)+1,1)))</f>
        <v/>
      </c>
      <c r="G173" s="27" t="str">
        <f aca="false">IF($A173="","",SUMIFS(請求台帳!$F$5:$F$504,請求台帳!$C$5:$C$504,$A173,請求台帳!$B$5:$B$504,"&gt;="&amp;G$3,請求台帳!$B$5:$B$504,"&lt;"&amp;DATE(YEAR(G$3),MONTH(G$3)+1,1),請求台帳!$Q$5:$Q$504,"&lt;&gt;取消"))</f>
        <v/>
      </c>
      <c r="H173" s="27" t="str">
        <f aca="false">IF($A173="","",SUMIFS(入金明細!$E$5:$E$1004,入金明細!$G$5:$G$1004,$A173,入金明細!$B$5:$B$1004,"&gt;="&amp;G$3,入金明細!$B$5:$B$1004,"&lt;"&amp;DATE(YEAR(G$3),MONTH(G$3)+1,1)))</f>
        <v/>
      </c>
      <c r="I173" s="27" t="str">
        <f aca="false">IF($A173="","",SUMIFS(請求台帳!$F$5:$F$504,請求台帳!$C$5:$C$504,$A173,請求台帳!$B$5:$B$504,"&gt;="&amp;I$3,請求台帳!$B$5:$B$504,"&lt;"&amp;DATE(YEAR(I$3),MONTH(I$3)+1,1),請求台帳!$Q$5:$Q$504,"&lt;&gt;取消"))</f>
        <v/>
      </c>
      <c r="J173" s="27" t="str">
        <f aca="false">IF($A173="","",SUMIFS(入金明細!$E$5:$E$1004,入金明細!$G$5:$G$1004,$A173,入金明細!$B$5:$B$1004,"&gt;="&amp;I$3,入金明細!$B$5:$B$1004,"&lt;"&amp;DATE(YEAR(I$3),MONTH(I$3)+1,1)))</f>
        <v/>
      </c>
      <c r="K173" s="27" t="str">
        <f aca="false">IF($A173="","",SUMIFS(請求台帳!$F$5:$F$504,請求台帳!$C$5:$C$504,$A173,請求台帳!$B$5:$B$504,"&gt;="&amp;K$3,請求台帳!$B$5:$B$504,"&lt;"&amp;DATE(YEAR(K$3),MONTH(K$3)+1,1),請求台帳!$Q$5:$Q$504,"&lt;&gt;取消"))</f>
        <v/>
      </c>
      <c r="L173" s="27" t="str">
        <f aca="false">IF($A173="","",SUMIFS(入金明細!$E$5:$E$1004,入金明細!$G$5:$G$1004,$A173,入金明細!$B$5:$B$1004,"&gt;="&amp;K$3,入金明細!$B$5:$B$1004,"&lt;"&amp;DATE(YEAR(K$3),MONTH(K$3)+1,1)))</f>
        <v/>
      </c>
      <c r="M173" s="27" t="str">
        <f aca="false">IF($A173="","",SUMIFS(請求台帳!$F$5:$F$504,請求台帳!$C$5:$C$504,$A173,請求台帳!$B$5:$B$504,"&gt;="&amp;M$3,請求台帳!$B$5:$B$504,"&lt;"&amp;DATE(YEAR(M$3),MONTH(M$3)+1,1),請求台帳!$Q$5:$Q$504,"&lt;&gt;取消"))</f>
        <v/>
      </c>
      <c r="N173" s="27" t="str">
        <f aca="false">IF($A173="","",SUMIFS(入金明細!$E$5:$E$1004,入金明細!$G$5:$G$1004,$A173,入金明細!$B$5:$B$1004,"&gt;="&amp;M$3,入金明細!$B$5:$B$1004,"&lt;"&amp;DATE(YEAR(M$3),MONTH(M$3)+1,1)))</f>
        <v/>
      </c>
      <c r="O173" s="27" t="str">
        <f aca="false">IF($A173="","",SUMIFS(請求台帳!$F$5:$F$504,請求台帳!$C$5:$C$504,$A173,請求台帳!$B$5:$B$504,"&gt;="&amp;O$3,請求台帳!$B$5:$B$504,"&lt;"&amp;DATE(YEAR(O$3),MONTH(O$3)+1,1),請求台帳!$Q$5:$Q$504,"&lt;&gt;取消"))</f>
        <v/>
      </c>
      <c r="P173" s="27" t="str">
        <f aca="false">IF($A173="","",SUMIFS(入金明細!$E$5:$E$1004,入金明細!$G$5:$G$1004,$A173,入金明細!$B$5:$B$1004,"&gt;="&amp;O$3,入金明細!$B$5:$B$1004,"&lt;"&amp;DATE(YEAR(O$3),MONTH(O$3)+1,1)))</f>
        <v/>
      </c>
      <c r="Q173" s="27" t="str">
        <f aca="false">IF($A173="","",SUMIFS(請求台帳!$F$5:$F$504,請求台帳!$C$5:$C$504,$A173,請求台帳!$B$5:$B$504,"&gt;="&amp;Q$3,請求台帳!$B$5:$B$504,"&lt;"&amp;DATE(YEAR(Q$3),MONTH(Q$3)+1,1),請求台帳!$Q$5:$Q$504,"&lt;&gt;取消"))</f>
        <v/>
      </c>
      <c r="R173" s="27" t="str">
        <f aca="false">IF($A173="","",SUMIFS(入金明細!$E$5:$E$1004,入金明細!$G$5:$G$1004,$A173,入金明細!$B$5:$B$1004,"&gt;="&amp;Q$3,入金明細!$B$5:$B$1004,"&lt;"&amp;DATE(YEAR(Q$3),MONTH(Q$3)+1,1)))</f>
        <v/>
      </c>
      <c r="S173" s="27" t="str">
        <f aca="false">IF($A173="","",SUMIFS(請求台帳!$F$5:$F$504,請求台帳!$C$5:$C$504,$A173,請求台帳!$B$5:$B$504,"&gt;="&amp;S$3,請求台帳!$B$5:$B$504,"&lt;"&amp;DATE(YEAR(S$3),MONTH(S$3)+1,1),請求台帳!$Q$5:$Q$504,"&lt;&gt;取消"))</f>
        <v/>
      </c>
      <c r="T173" s="27" t="str">
        <f aca="false">IF($A173="","",SUMIFS(入金明細!$E$5:$E$1004,入金明細!$G$5:$G$1004,$A173,入金明細!$B$5:$B$1004,"&gt;="&amp;S$3,入金明細!$B$5:$B$1004,"&lt;"&amp;DATE(YEAR(S$3),MONTH(S$3)+1,1)))</f>
        <v/>
      </c>
      <c r="U173" s="27" t="str">
        <f aca="false">IF($A173="","",SUMIFS(請求台帳!$F$5:$F$504,請求台帳!$C$5:$C$504,$A173,請求台帳!$B$5:$B$504,"&gt;="&amp;U$3,請求台帳!$B$5:$B$504,"&lt;"&amp;DATE(YEAR(U$3),MONTH(U$3)+1,1),請求台帳!$Q$5:$Q$504,"&lt;&gt;取消"))</f>
        <v/>
      </c>
      <c r="V173" s="27" t="str">
        <f aca="false">IF($A173="","",SUMIFS(入金明細!$E$5:$E$1004,入金明細!$G$5:$G$1004,$A173,入金明細!$B$5:$B$1004,"&gt;="&amp;U$3,入金明細!$B$5:$B$1004,"&lt;"&amp;DATE(YEAR(U$3),MONTH(U$3)+1,1)))</f>
        <v/>
      </c>
      <c r="W173" s="27" t="str">
        <f aca="false">IF($A173="","",SUMIFS(請求台帳!$F$5:$F$504,請求台帳!$C$5:$C$504,$A173,請求台帳!$B$5:$B$504,"&gt;="&amp;W$3,請求台帳!$B$5:$B$504,"&lt;"&amp;DATE(YEAR(W$3),MONTH(W$3)+1,1),請求台帳!$Q$5:$Q$504,"&lt;&gt;取消"))</f>
        <v/>
      </c>
      <c r="X173" s="27" t="str">
        <f aca="false">IF($A173="","",SUMIFS(入金明細!$E$5:$E$1004,入金明細!$G$5:$G$1004,$A173,入金明細!$B$5:$B$1004,"&gt;="&amp;W$3,入金明細!$B$5:$B$1004,"&lt;"&amp;DATE(YEAR(W$3),MONTH(W$3)+1,1)))</f>
        <v/>
      </c>
      <c r="Y173" s="27" t="str">
        <f aca="false">IF($A173="","",SUMIFS(請求台帳!$F$5:$F$504,請求台帳!$C$5:$C$504,$A173,請求台帳!$B$5:$B$504,"&gt;="&amp;Y$3,請求台帳!$B$5:$B$504,"&lt;"&amp;DATE(YEAR(Y$3),MONTH(Y$3)+1,1),請求台帳!$Q$5:$Q$504,"&lt;&gt;取消"))</f>
        <v/>
      </c>
      <c r="Z173" s="27" t="str">
        <f aca="false">IF($A173="","",SUMIFS(入金明細!$E$5:$E$1004,入金明細!$G$5:$G$1004,$A173,入金明細!$B$5:$B$1004,"&gt;="&amp;Y$3,入金明細!$B$5:$B$1004,"&lt;"&amp;DATE(YEAR(Y$3),MONTH(Y$3)+1,1)))</f>
        <v/>
      </c>
      <c r="AA173" s="37" t="n">
        <f aca="false">SUM(C173,E173,G173,I173,K173,M173,O173,Q173,S173,U173,W173,Y173)</f>
        <v>0</v>
      </c>
      <c r="AB173" s="37" t="n">
        <f aca="false">SUM(D173,F173,H173,J173,L173,N173,P173,R173,T173,V173,X173,Z173)</f>
        <v>0</v>
      </c>
    </row>
    <row r="174" customFormat="false" ht="15" hidden="false" customHeight="false" outlineLevel="0" collapsed="false">
      <c r="A174" s="31" t="str">
        <f aca="false">IF(取引先マスタ!A174="","",取引先マスタ!A174)</f>
        <v/>
      </c>
      <c r="B174" s="31" t="str">
        <f aca="false">IF(A174="","",取引先マスタ!B174)</f>
        <v/>
      </c>
      <c r="C174" s="27" t="str">
        <f aca="false">IF($A174="","",SUMIFS(請求台帳!$F$5:$F$504,請求台帳!$C$5:$C$504,$A174,請求台帳!$B$5:$B$504,"&gt;="&amp;C$3,請求台帳!$B$5:$B$504,"&lt;"&amp;DATE(YEAR(C$3),MONTH(C$3)+1,1),請求台帳!$Q$5:$Q$504,"&lt;&gt;取消"))</f>
        <v/>
      </c>
      <c r="D174" s="27" t="str">
        <f aca="false">IF($A174="","",SUMIFS(入金明細!$E$5:$E$1004,入金明細!$G$5:$G$1004,$A174,入金明細!$B$5:$B$1004,"&gt;="&amp;C$3,入金明細!$B$5:$B$1004,"&lt;"&amp;DATE(YEAR(C$3),MONTH(C$3)+1,1)))</f>
        <v/>
      </c>
      <c r="E174" s="27" t="str">
        <f aca="false">IF($A174="","",SUMIFS(請求台帳!$F$5:$F$504,請求台帳!$C$5:$C$504,$A174,請求台帳!$B$5:$B$504,"&gt;="&amp;E$3,請求台帳!$B$5:$B$504,"&lt;"&amp;DATE(YEAR(E$3),MONTH(E$3)+1,1),請求台帳!$Q$5:$Q$504,"&lt;&gt;取消"))</f>
        <v/>
      </c>
      <c r="F174" s="27" t="str">
        <f aca="false">IF($A174="","",SUMIFS(入金明細!$E$5:$E$1004,入金明細!$G$5:$G$1004,$A174,入金明細!$B$5:$B$1004,"&gt;="&amp;E$3,入金明細!$B$5:$B$1004,"&lt;"&amp;DATE(YEAR(E$3),MONTH(E$3)+1,1)))</f>
        <v/>
      </c>
      <c r="G174" s="27" t="str">
        <f aca="false">IF($A174="","",SUMIFS(請求台帳!$F$5:$F$504,請求台帳!$C$5:$C$504,$A174,請求台帳!$B$5:$B$504,"&gt;="&amp;G$3,請求台帳!$B$5:$B$504,"&lt;"&amp;DATE(YEAR(G$3),MONTH(G$3)+1,1),請求台帳!$Q$5:$Q$504,"&lt;&gt;取消"))</f>
        <v/>
      </c>
      <c r="H174" s="27" t="str">
        <f aca="false">IF($A174="","",SUMIFS(入金明細!$E$5:$E$1004,入金明細!$G$5:$G$1004,$A174,入金明細!$B$5:$B$1004,"&gt;="&amp;G$3,入金明細!$B$5:$B$1004,"&lt;"&amp;DATE(YEAR(G$3),MONTH(G$3)+1,1)))</f>
        <v/>
      </c>
      <c r="I174" s="27" t="str">
        <f aca="false">IF($A174="","",SUMIFS(請求台帳!$F$5:$F$504,請求台帳!$C$5:$C$504,$A174,請求台帳!$B$5:$B$504,"&gt;="&amp;I$3,請求台帳!$B$5:$B$504,"&lt;"&amp;DATE(YEAR(I$3),MONTH(I$3)+1,1),請求台帳!$Q$5:$Q$504,"&lt;&gt;取消"))</f>
        <v/>
      </c>
      <c r="J174" s="27" t="str">
        <f aca="false">IF($A174="","",SUMIFS(入金明細!$E$5:$E$1004,入金明細!$G$5:$G$1004,$A174,入金明細!$B$5:$B$1004,"&gt;="&amp;I$3,入金明細!$B$5:$B$1004,"&lt;"&amp;DATE(YEAR(I$3),MONTH(I$3)+1,1)))</f>
        <v/>
      </c>
      <c r="K174" s="27" t="str">
        <f aca="false">IF($A174="","",SUMIFS(請求台帳!$F$5:$F$504,請求台帳!$C$5:$C$504,$A174,請求台帳!$B$5:$B$504,"&gt;="&amp;K$3,請求台帳!$B$5:$B$504,"&lt;"&amp;DATE(YEAR(K$3),MONTH(K$3)+1,1),請求台帳!$Q$5:$Q$504,"&lt;&gt;取消"))</f>
        <v/>
      </c>
      <c r="L174" s="27" t="str">
        <f aca="false">IF($A174="","",SUMIFS(入金明細!$E$5:$E$1004,入金明細!$G$5:$G$1004,$A174,入金明細!$B$5:$B$1004,"&gt;="&amp;K$3,入金明細!$B$5:$B$1004,"&lt;"&amp;DATE(YEAR(K$3),MONTH(K$3)+1,1)))</f>
        <v/>
      </c>
      <c r="M174" s="27" t="str">
        <f aca="false">IF($A174="","",SUMIFS(請求台帳!$F$5:$F$504,請求台帳!$C$5:$C$504,$A174,請求台帳!$B$5:$B$504,"&gt;="&amp;M$3,請求台帳!$B$5:$B$504,"&lt;"&amp;DATE(YEAR(M$3),MONTH(M$3)+1,1),請求台帳!$Q$5:$Q$504,"&lt;&gt;取消"))</f>
        <v/>
      </c>
      <c r="N174" s="27" t="str">
        <f aca="false">IF($A174="","",SUMIFS(入金明細!$E$5:$E$1004,入金明細!$G$5:$G$1004,$A174,入金明細!$B$5:$B$1004,"&gt;="&amp;M$3,入金明細!$B$5:$B$1004,"&lt;"&amp;DATE(YEAR(M$3),MONTH(M$3)+1,1)))</f>
        <v/>
      </c>
      <c r="O174" s="27" t="str">
        <f aca="false">IF($A174="","",SUMIFS(請求台帳!$F$5:$F$504,請求台帳!$C$5:$C$504,$A174,請求台帳!$B$5:$B$504,"&gt;="&amp;O$3,請求台帳!$B$5:$B$504,"&lt;"&amp;DATE(YEAR(O$3),MONTH(O$3)+1,1),請求台帳!$Q$5:$Q$504,"&lt;&gt;取消"))</f>
        <v/>
      </c>
      <c r="P174" s="27" t="str">
        <f aca="false">IF($A174="","",SUMIFS(入金明細!$E$5:$E$1004,入金明細!$G$5:$G$1004,$A174,入金明細!$B$5:$B$1004,"&gt;="&amp;O$3,入金明細!$B$5:$B$1004,"&lt;"&amp;DATE(YEAR(O$3),MONTH(O$3)+1,1)))</f>
        <v/>
      </c>
      <c r="Q174" s="27" t="str">
        <f aca="false">IF($A174="","",SUMIFS(請求台帳!$F$5:$F$504,請求台帳!$C$5:$C$504,$A174,請求台帳!$B$5:$B$504,"&gt;="&amp;Q$3,請求台帳!$B$5:$B$504,"&lt;"&amp;DATE(YEAR(Q$3),MONTH(Q$3)+1,1),請求台帳!$Q$5:$Q$504,"&lt;&gt;取消"))</f>
        <v/>
      </c>
      <c r="R174" s="27" t="str">
        <f aca="false">IF($A174="","",SUMIFS(入金明細!$E$5:$E$1004,入金明細!$G$5:$G$1004,$A174,入金明細!$B$5:$B$1004,"&gt;="&amp;Q$3,入金明細!$B$5:$B$1004,"&lt;"&amp;DATE(YEAR(Q$3),MONTH(Q$3)+1,1)))</f>
        <v/>
      </c>
      <c r="S174" s="27" t="str">
        <f aca="false">IF($A174="","",SUMIFS(請求台帳!$F$5:$F$504,請求台帳!$C$5:$C$504,$A174,請求台帳!$B$5:$B$504,"&gt;="&amp;S$3,請求台帳!$B$5:$B$504,"&lt;"&amp;DATE(YEAR(S$3),MONTH(S$3)+1,1),請求台帳!$Q$5:$Q$504,"&lt;&gt;取消"))</f>
        <v/>
      </c>
      <c r="T174" s="27" t="str">
        <f aca="false">IF($A174="","",SUMIFS(入金明細!$E$5:$E$1004,入金明細!$G$5:$G$1004,$A174,入金明細!$B$5:$B$1004,"&gt;="&amp;S$3,入金明細!$B$5:$B$1004,"&lt;"&amp;DATE(YEAR(S$3),MONTH(S$3)+1,1)))</f>
        <v/>
      </c>
      <c r="U174" s="27" t="str">
        <f aca="false">IF($A174="","",SUMIFS(請求台帳!$F$5:$F$504,請求台帳!$C$5:$C$504,$A174,請求台帳!$B$5:$B$504,"&gt;="&amp;U$3,請求台帳!$B$5:$B$504,"&lt;"&amp;DATE(YEAR(U$3),MONTH(U$3)+1,1),請求台帳!$Q$5:$Q$504,"&lt;&gt;取消"))</f>
        <v/>
      </c>
      <c r="V174" s="27" t="str">
        <f aca="false">IF($A174="","",SUMIFS(入金明細!$E$5:$E$1004,入金明細!$G$5:$G$1004,$A174,入金明細!$B$5:$B$1004,"&gt;="&amp;U$3,入金明細!$B$5:$B$1004,"&lt;"&amp;DATE(YEAR(U$3),MONTH(U$3)+1,1)))</f>
        <v/>
      </c>
      <c r="W174" s="27" t="str">
        <f aca="false">IF($A174="","",SUMIFS(請求台帳!$F$5:$F$504,請求台帳!$C$5:$C$504,$A174,請求台帳!$B$5:$B$504,"&gt;="&amp;W$3,請求台帳!$B$5:$B$504,"&lt;"&amp;DATE(YEAR(W$3),MONTH(W$3)+1,1),請求台帳!$Q$5:$Q$504,"&lt;&gt;取消"))</f>
        <v/>
      </c>
      <c r="X174" s="27" t="str">
        <f aca="false">IF($A174="","",SUMIFS(入金明細!$E$5:$E$1004,入金明細!$G$5:$G$1004,$A174,入金明細!$B$5:$B$1004,"&gt;="&amp;W$3,入金明細!$B$5:$B$1004,"&lt;"&amp;DATE(YEAR(W$3),MONTH(W$3)+1,1)))</f>
        <v/>
      </c>
      <c r="Y174" s="27" t="str">
        <f aca="false">IF($A174="","",SUMIFS(請求台帳!$F$5:$F$504,請求台帳!$C$5:$C$504,$A174,請求台帳!$B$5:$B$504,"&gt;="&amp;Y$3,請求台帳!$B$5:$B$504,"&lt;"&amp;DATE(YEAR(Y$3),MONTH(Y$3)+1,1),請求台帳!$Q$5:$Q$504,"&lt;&gt;取消"))</f>
        <v/>
      </c>
      <c r="Z174" s="27" t="str">
        <f aca="false">IF($A174="","",SUMIFS(入金明細!$E$5:$E$1004,入金明細!$G$5:$G$1004,$A174,入金明細!$B$5:$B$1004,"&gt;="&amp;Y$3,入金明細!$B$5:$B$1004,"&lt;"&amp;DATE(YEAR(Y$3),MONTH(Y$3)+1,1)))</f>
        <v/>
      </c>
      <c r="AA174" s="37" t="n">
        <f aca="false">SUM(C174,E174,G174,I174,K174,M174,O174,Q174,S174,U174,W174,Y174)</f>
        <v>0</v>
      </c>
      <c r="AB174" s="37" t="n">
        <f aca="false">SUM(D174,F174,H174,J174,L174,N174,P174,R174,T174,V174,X174,Z174)</f>
        <v>0</v>
      </c>
    </row>
    <row r="175" customFormat="false" ht="15" hidden="false" customHeight="false" outlineLevel="0" collapsed="false">
      <c r="A175" s="31" t="str">
        <f aca="false">IF(取引先マスタ!A175="","",取引先マスタ!A175)</f>
        <v/>
      </c>
      <c r="B175" s="31" t="str">
        <f aca="false">IF(A175="","",取引先マスタ!B175)</f>
        <v/>
      </c>
      <c r="C175" s="27" t="str">
        <f aca="false">IF($A175="","",SUMIFS(請求台帳!$F$5:$F$504,請求台帳!$C$5:$C$504,$A175,請求台帳!$B$5:$B$504,"&gt;="&amp;C$3,請求台帳!$B$5:$B$504,"&lt;"&amp;DATE(YEAR(C$3),MONTH(C$3)+1,1),請求台帳!$Q$5:$Q$504,"&lt;&gt;取消"))</f>
        <v/>
      </c>
      <c r="D175" s="27" t="str">
        <f aca="false">IF($A175="","",SUMIFS(入金明細!$E$5:$E$1004,入金明細!$G$5:$G$1004,$A175,入金明細!$B$5:$B$1004,"&gt;="&amp;C$3,入金明細!$B$5:$B$1004,"&lt;"&amp;DATE(YEAR(C$3),MONTH(C$3)+1,1)))</f>
        <v/>
      </c>
      <c r="E175" s="27" t="str">
        <f aca="false">IF($A175="","",SUMIFS(請求台帳!$F$5:$F$504,請求台帳!$C$5:$C$504,$A175,請求台帳!$B$5:$B$504,"&gt;="&amp;E$3,請求台帳!$B$5:$B$504,"&lt;"&amp;DATE(YEAR(E$3),MONTH(E$3)+1,1),請求台帳!$Q$5:$Q$504,"&lt;&gt;取消"))</f>
        <v/>
      </c>
      <c r="F175" s="27" t="str">
        <f aca="false">IF($A175="","",SUMIFS(入金明細!$E$5:$E$1004,入金明細!$G$5:$G$1004,$A175,入金明細!$B$5:$B$1004,"&gt;="&amp;E$3,入金明細!$B$5:$B$1004,"&lt;"&amp;DATE(YEAR(E$3),MONTH(E$3)+1,1)))</f>
        <v/>
      </c>
      <c r="G175" s="27" t="str">
        <f aca="false">IF($A175="","",SUMIFS(請求台帳!$F$5:$F$504,請求台帳!$C$5:$C$504,$A175,請求台帳!$B$5:$B$504,"&gt;="&amp;G$3,請求台帳!$B$5:$B$504,"&lt;"&amp;DATE(YEAR(G$3),MONTH(G$3)+1,1),請求台帳!$Q$5:$Q$504,"&lt;&gt;取消"))</f>
        <v/>
      </c>
      <c r="H175" s="27" t="str">
        <f aca="false">IF($A175="","",SUMIFS(入金明細!$E$5:$E$1004,入金明細!$G$5:$G$1004,$A175,入金明細!$B$5:$B$1004,"&gt;="&amp;G$3,入金明細!$B$5:$B$1004,"&lt;"&amp;DATE(YEAR(G$3),MONTH(G$3)+1,1)))</f>
        <v/>
      </c>
      <c r="I175" s="27" t="str">
        <f aca="false">IF($A175="","",SUMIFS(請求台帳!$F$5:$F$504,請求台帳!$C$5:$C$504,$A175,請求台帳!$B$5:$B$504,"&gt;="&amp;I$3,請求台帳!$B$5:$B$504,"&lt;"&amp;DATE(YEAR(I$3),MONTH(I$3)+1,1),請求台帳!$Q$5:$Q$504,"&lt;&gt;取消"))</f>
        <v/>
      </c>
      <c r="J175" s="27" t="str">
        <f aca="false">IF($A175="","",SUMIFS(入金明細!$E$5:$E$1004,入金明細!$G$5:$G$1004,$A175,入金明細!$B$5:$B$1004,"&gt;="&amp;I$3,入金明細!$B$5:$B$1004,"&lt;"&amp;DATE(YEAR(I$3),MONTH(I$3)+1,1)))</f>
        <v/>
      </c>
      <c r="K175" s="27" t="str">
        <f aca="false">IF($A175="","",SUMIFS(請求台帳!$F$5:$F$504,請求台帳!$C$5:$C$504,$A175,請求台帳!$B$5:$B$504,"&gt;="&amp;K$3,請求台帳!$B$5:$B$504,"&lt;"&amp;DATE(YEAR(K$3),MONTH(K$3)+1,1),請求台帳!$Q$5:$Q$504,"&lt;&gt;取消"))</f>
        <v/>
      </c>
      <c r="L175" s="27" t="str">
        <f aca="false">IF($A175="","",SUMIFS(入金明細!$E$5:$E$1004,入金明細!$G$5:$G$1004,$A175,入金明細!$B$5:$B$1004,"&gt;="&amp;K$3,入金明細!$B$5:$B$1004,"&lt;"&amp;DATE(YEAR(K$3),MONTH(K$3)+1,1)))</f>
        <v/>
      </c>
      <c r="M175" s="27" t="str">
        <f aca="false">IF($A175="","",SUMIFS(請求台帳!$F$5:$F$504,請求台帳!$C$5:$C$504,$A175,請求台帳!$B$5:$B$504,"&gt;="&amp;M$3,請求台帳!$B$5:$B$504,"&lt;"&amp;DATE(YEAR(M$3),MONTH(M$3)+1,1),請求台帳!$Q$5:$Q$504,"&lt;&gt;取消"))</f>
        <v/>
      </c>
      <c r="N175" s="27" t="str">
        <f aca="false">IF($A175="","",SUMIFS(入金明細!$E$5:$E$1004,入金明細!$G$5:$G$1004,$A175,入金明細!$B$5:$B$1004,"&gt;="&amp;M$3,入金明細!$B$5:$B$1004,"&lt;"&amp;DATE(YEAR(M$3),MONTH(M$3)+1,1)))</f>
        <v/>
      </c>
      <c r="O175" s="27" t="str">
        <f aca="false">IF($A175="","",SUMIFS(請求台帳!$F$5:$F$504,請求台帳!$C$5:$C$504,$A175,請求台帳!$B$5:$B$504,"&gt;="&amp;O$3,請求台帳!$B$5:$B$504,"&lt;"&amp;DATE(YEAR(O$3),MONTH(O$3)+1,1),請求台帳!$Q$5:$Q$504,"&lt;&gt;取消"))</f>
        <v/>
      </c>
      <c r="P175" s="27" t="str">
        <f aca="false">IF($A175="","",SUMIFS(入金明細!$E$5:$E$1004,入金明細!$G$5:$G$1004,$A175,入金明細!$B$5:$B$1004,"&gt;="&amp;O$3,入金明細!$B$5:$B$1004,"&lt;"&amp;DATE(YEAR(O$3),MONTH(O$3)+1,1)))</f>
        <v/>
      </c>
      <c r="Q175" s="27" t="str">
        <f aca="false">IF($A175="","",SUMIFS(請求台帳!$F$5:$F$504,請求台帳!$C$5:$C$504,$A175,請求台帳!$B$5:$B$504,"&gt;="&amp;Q$3,請求台帳!$B$5:$B$504,"&lt;"&amp;DATE(YEAR(Q$3),MONTH(Q$3)+1,1),請求台帳!$Q$5:$Q$504,"&lt;&gt;取消"))</f>
        <v/>
      </c>
      <c r="R175" s="27" t="str">
        <f aca="false">IF($A175="","",SUMIFS(入金明細!$E$5:$E$1004,入金明細!$G$5:$G$1004,$A175,入金明細!$B$5:$B$1004,"&gt;="&amp;Q$3,入金明細!$B$5:$B$1004,"&lt;"&amp;DATE(YEAR(Q$3),MONTH(Q$3)+1,1)))</f>
        <v/>
      </c>
      <c r="S175" s="27" t="str">
        <f aca="false">IF($A175="","",SUMIFS(請求台帳!$F$5:$F$504,請求台帳!$C$5:$C$504,$A175,請求台帳!$B$5:$B$504,"&gt;="&amp;S$3,請求台帳!$B$5:$B$504,"&lt;"&amp;DATE(YEAR(S$3),MONTH(S$3)+1,1),請求台帳!$Q$5:$Q$504,"&lt;&gt;取消"))</f>
        <v/>
      </c>
      <c r="T175" s="27" t="str">
        <f aca="false">IF($A175="","",SUMIFS(入金明細!$E$5:$E$1004,入金明細!$G$5:$G$1004,$A175,入金明細!$B$5:$B$1004,"&gt;="&amp;S$3,入金明細!$B$5:$B$1004,"&lt;"&amp;DATE(YEAR(S$3),MONTH(S$3)+1,1)))</f>
        <v/>
      </c>
      <c r="U175" s="27" t="str">
        <f aca="false">IF($A175="","",SUMIFS(請求台帳!$F$5:$F$504,請求台帳!$C$5:$C$504,$A175,請求台帳!$B$5:$B$504,"&gt;="&amp;U$3,請求台帳!$B$5:$B$504,"&lt;"&amp;DATE(YEAR(U$3),MONTH(U$3)+1,1),請求台帳!$Q$5:$Q$504,"&lt;&gt;取消"))</f>
        <v/>
      </c>
      <c r="V175" s="27" t="str">
        <f aca="false">IF($A175="","",SUMIFS(入金明細!$E$5:$E$1004,入金明細!$G$5:$G$1004,$A175,入金明細!$B$5:$B$1004,"&gt;="&amp;U$3,入金明細!$B$5:$B$1004,"&lt;"&amp;DATE(YEAR(U$3),MONTH(U$3)+1,1)))</f>
        <v/>
      </c>
      <c r="W175" s="27" t="str">
        <f aca="false">IF($A175="","",SUMIFS(請求台帳!$F$5:$F$504,請求台帳!$C$5:$C$504,$A175,請求台帳!$B$5:$B$504,"&gt;="&amp;W$3,請求台帳!$B$5:$B$504,"&lt;"&amp;DATE(YEAR(W$3),MONTH(W$3)+1,1),請求台帳!$Q$5:$Q$504,"&lt;&gt;取消"))</f>
        <v/>
      </c>
      <c r="X175" s="27" t="str">
        <f aca="false">IF($A175="","",SUMIFS(入金明細!$E$5:$E$1004,入金明細!$G$5:$G$1004,$A175,入金明細!$B$5:$B$1004,"&gt;="&amp;W$3,入金明細!$B$5:$B$1004,"&lt;"&amp;DATE(YEAR(W$3),MONTH(W$3)+1,1)))</f>
        <v/>
      </c>
      <c r="Y175" s="27" t="str">
        <f aca="false">IF($A175="","",SUMIFS(請求台帳!$F$5:$F$504,請求台帳!$C$5:$C$504,$A175,請求台帳!$B$5:$B$504,"&gt;="&amp;Y$3,請求台帳!$B$5:$B$504,"&lt;"&amp;DATE(YEAR(Y$3),MONTH(Y$3)+1,1),請求台帳!$Q$5:$Q$504,"&lt;&gt;取消"))</f>
        <v/>
      </c>
      <c r="Z175" s="27" t="str">
        <f aca="false">IF($A175="","",SUMIFS(入金明細!$E$5:$E$1004,入金明細!$G$5:$G$1004,$A175,入金明細!$B$5:$B$1004,"&gt;="&amp;Y$3,入金明細!$B$5:$B$1004,"&lt;"&amp;DATE(YEAR(Y$3),MONTH(Y$3)+1,1)))</f>
        <v/>
      </c>
      <c r="AA175" s="37" t="n">
        <f aca="false">SUM(C175,E175,G175,I175,K175,M175,O175,Q175,S175,U175,W175,Y175)</f>
        <v>0</v>
      </c>
      <c r="AB175" s="37" t="n">
        <f aca="false">SUM(D175,F175,H175,J175,L175,N175,P175,R175,T175,V175,X175,Z175)</f>
        <v>0</v>
      </c>
    </row>
    <row r="176" customFormat="false" ht="15" hidden="false" customHeight="false" outlineLevel="0" collapsed="false">
      <c r="A176" s="31" t="str">
        <f aca="false">IF(取引先マスタ!A176="","",取引先マスタ!A176)</f>
        <v/>
      </c>
      <c r="B176" s="31" t="str">
        <f aca="false">IF(A176="","",取引先マスタ!B176)</f>
        <v/>
      </c>
      <c r="C176" s="27" t="str">
        <f aca="false">IF($A176="","",SUMIFS(請求台帳!$F$5:$F$504,請求台帳!$C$5:$C$504,$A176,請求台帳!$B$5:$B$504,"&gt;="&amp;C$3,請求台帳!$B$5:$B$504,"&lt;"&amp;DATE(YEAR(C$3),MONTH(C$3)+1,1),請求台帳!$Q$5:$Q$504,"&lt;&gt;取消"))</f>
        <v/>
      </c>
      <c r="D176" s="27" t="str">
        <f aca="false">IF($A176="","",SUMIFS(入金明細!$E$5:$E$1004,入金明細!$G$5:$G$1004,$A176,入金明細!$B$5:$B$1004,"&gt;="&amp;C$3,入金明細!$B$5:$B$1004,"&lt;"&amp;DATE(YEAR(C$3),MONTH(C$3)+1,1)))</f>
        <v/>
      </c>
      <c r="E176" s="27" t="str">
        <f aca="false">IF($A176="","",SUMIFS(請求台帳!$F$5:$F$504,請求台帳!$C$5:$C$504,$A176,請求台帳!$B$5:$B$504,"&gt;="&amp;E$3,請求台帳!$B$5:$B$504,"&lt;"&amp;DATE(YEAR(E$3),MONTH(E$3)+1,1),請求台帳!$Q$5:$Q$504,"&lt;&gt;取消"))</f>
        <v/>
      </c>
      <c r="F176" s="27" t="str">
        <f aca="false">IF($A176="","",SUMIFS(入金明細!$E$5:$E$1004,入金明細!$G$5:$G$1004,$A176,入金明細!$B$5:$B$1004,"&gt;="&amp;E$3,入金明細!$B$5:$B$1004,"&lt;"&amp;DATE(YEAR(E$3),MONTH(E$3)+1,1)))</f>
        <v/>
      </c>
      <c r="G176" s="27" t="str">
        <f aca="false">IF($A176="","",SUMIFS(請求台帳!$F$5:$F$504,請求台帳!$C$5:$C$504,$A176,請求台帳!$B$5:$B$504,"&gt;="&amp;G$3,請求台帳!$B$5:$B$504,"&lt;"&amp;DATE(YEAR(G$3),MONTH(G$3)+1,1),請求台帳!$Q$5:$Q$504,"&lt;&gt;取消"))</f>
        <v/>
      </c>
      <c r="H176" s="27" t="str">
        <f aca="false">IF($A176="","",SUMIFS(入金明細!$E$5:$E$1004,入金明細!$G$5:$G$1004,$A176,入金明細!$B$5:$B$1004,"&gt;="&amp;G$3,入金明細!$B$5:$B$1004,"&lt;"&amp;DATE(YEAR(G$3),MONTH(G$3)+1,1)))</f>
        <v/>
      </c>
      <c r="I176" s="27" t="str">
        <f aca="false">IF($A176="","",SUMIFS(請求台帳!$F$5:$F$504,請求台帳!$C$5:$C$504,$A176,請求台帳!$B$5:$B$504,"&gt;="&amp;I$3,請求台帳!$B$5:$B$504,"&lt;"&amp;DATE(YEAR(I$3),MONTH(I$3)+1,1),請求台帳!$Q$5:$Q$504,"&lt;&gt;取消"))</f>
        <v/>
      </c>
      <c r="J176" s="27" t="str">
        <f aca="false">IF($A176="","",SUMIFS(入金明細!$E$5:$E$1004,入金明細!$G$5:$G$1004,$A176,入金明細!$B$5:$B$1004,"&gt;="&amp;I$3,入金明細!$B$5:$B$1004,"&lt;"&amp;DATE(YEAR(I$3),MONTH(I$3)+1,1)))</f>
        <v/>
      </c>
      <c r="K176" s="27" t="str">
        <f aca="false">IF($A176="","",SUMIFS(請求台帳!$F$5:$F$504,請求台帳!$C$5:$C$504,$A176,請求台帳!$B$5:$B$504,"&gt;="&amp;K$3,請求台帳!$B$5:$B$504,"&lt;"&amp;DATE(YEAR(K$3),MONTH(K$3)+1,1),請求台帳!$Q$5:$Q$504,"&lt;&gt;取消"))</f>
        <v/>
      </c>
      <c r="L176" s="27" t="str">
        <f aca="false">IF($A176="","",SUMIFS(入金明細!$E$5:$E$1004,入金明細!$G$5:$G$1004,$A176,入金明細!$B$5:$B$1004,"&gt;="&amp;K$3,入金明細!$B$5:$B$1004,"&lt;"&amp;DATE(YEAR(K$3),MONTH(K$3)+1,1)))</f>
        <v/>
      </c>
      <c r="M176" s="27" t="str">
        <f aca="false">IF($A176="","",SUMIFS(請求台帳!$F$5:$F$504,請求台帳!$C$5:$C$504,$A176,請求台帳!$B$5:$B$504,"&gt;="&amp;M$3,請求台帳!$B$5:$B$504,"&lt;"&amp;DATE(YEAR(M$3),MONTH(M$3)+1,1),請求台帳!$Q$5:$Q$504,"&lt;&gt;取消"))</f>
        <v/>
      </c>
      <c r="N176" s="27" t="str">
        <f aca="false">IF($A176="","",SUMIFS(入金明細!$E$5:$E$1004,入金明細!$G$5:$G$1004,$A176,入金明細!$B$5:$B$1004,"&gt;="&amp;M$3,入金明細!$B$5:$B$1004,"&lt;"&amp;DATE(YEAR(M$3),MONTH(M$3)+1,1)))</f>
        <v/>
      </c>
      <c r="O176" s="27" t="str">
        <f aca="false">IF($A176="","",SUMIFS(請求台帳!$F$5:$F$504,請求台帳!$C$5:$C$504,$A176,請求台帳!$B$5:$B$504,"&gt;="&amp;O$3,請求台帳!$B$5:$B$504,"&lt;"&amp;DATE(YEAR(O$3),MONTH(O$3)+1,1),請求台帳!$Q$5:$Q$504,"&lt;&gt;取消"))</f>
        <v/>
      </c>
      <c r="P176" s="27" t="str">
        <f aca="false">IF($A176="","",SUMIFS(入金明細!$E$5:$E$1004,入金明細!$G$5:$G$1004,$A176,入金明細!$B$5:$B$1004,"&gt;="&amp;O$3,入金明細!$B$5:$B$1004,"&lt;"&amp;DATE(YEAR(O$3),MONTH(O$3)+1,1)))</f>
        <v/>
      </c>
      <c r="Q176" s="27" t="str">
        <f aca="false">IF($A176="","",SUMIFS(請求台帳!$F$5:$F$504,請求台帳!$C$5:$C$504,$A176,請求台帳!$B$5:$B$504,"&gt;="&amp;Q$3,請求台帳!$B$5:$B$504,"&lt;"&amp;DATE(YEAR(Q$3),MONTH(Q$3)+1,1),請求台帳!$Q$5:$Q$504,"&lt;&gt;取消"))</f>
        <v/>
      </c>
      <c r="R176" s="27" t="str">
        <f aca="false">IF($A176="","",SUMIFS(入金明細!$E$5:$E$1004,入金明細!$G$5:$G$1004,$A176,入金明細!$B$5:$B$1004,"&gt;="&amp;Q$3,入金明細!$B$5:$B$1004,"&lt;"&amp;DATE(YEAR(Q$3),MONTH(Q$3)+1,1)))</f>
        <v/>
      </c>
      <c r="S176" s="27" t="str">
        <f aca="false">IF($A176="","",SUMIFS(請求台帳!$F$5:$F$504,請求台帳!$C$5:$C$504,$A176,請求台帳!$B$5:$B$504,"&gt;="&amp;S$3,請求台帳!$B$5:$B$504,"&lt;"&amp;DATE(YEAR(S$3),MONTH(S$3)+1,1),請求台帳!$Q$5:$Q$504,"&lt;&gt;取消"))</f>
        <v/>
      </c>
      <c r="T176" s="27" t="str">
        <f aca="false">IF($A176="","",SUMIFS(入金明細!$E$5:$E$1004,入金明細!$G$5:$G$1004,$A176,入金明細!$B$5:$B$1004,"&gt;="&amp;S$3,入金明細!$B$5:$B$1004,"&lt;"&amp;DATE(YEAR(S$3),MONTH(S$3)+1,1)))</f>
        <v/>
      </c>
      <c r="U176" s="27" t="str">
        <f aca="false">IF($A176="","",SUMIFS(請求台帳!$F$5:$F$504,請求台帳!$C$5:$C$504,$A176,請求台帳!$B$5:$B$504,"&gt;="&amp;U$3,請求台帳!$B$5:$B$504,"&lt;"&amp;DATE(YEAR(U$3),MONTH(U$3)+1,1),請求台帳!$Q$5:$Q$504,"&lt;&gt;取消"))</f>
        <v/>
      </c>
      <c r="V176" s="27" t="str">
        <f aca="false">IF($A176="","",SUMIFS(入金明細!$E$5:$E$1004,入金明細!$G$5:$G$1004,$A176,入金明細!$B$5:$B$1004,"&gt;="&amp;U$3,入金明細!$B$5:$B$1004,"&lt;"&amp;DATE(YEAR(U$3),MONTH(U$3)+1,1)))</f>
        <v/>
      </c>
      <c r="W176" s="27" t="str">
        <f aca="false">IF($A176="","",SUMIFS(請求台帳!$F$5:$F$504,請求台帳!$C$5:$C$504,$A176,請求台帳!$B$5:$B$504,"&gt;="&amp;W$3,請求台帳!$B$5:$B$504,"&lt;"&amp;DATE(YEAR(W$3),MONTH(W$3)+1,1),請求台帳!$Q$5:$Q$504,"&lt;&gt;取消"))</f>
        <v/>
      </c>
      <c r="X176" s="27" t="str">
        <f aca="false">IF($A176="","",SUMIFS(入金明細!$E$5:$E$1004,入金明細!$G$5:$G$1004,$A176,入金明細!$B$5:$B$1004,"&gt;="&amp;W$3,入金明細!$B$5:$B$1004,"&lt;"&amp;DATE(YEAR(W$3),MONTH(W$3)+1,1)))</f>
        <v/>
      </c>
      <c r="Y176" s="27" t="str">
        <f aca="false">IF($A176="","",SUMIFS(請求台帳!$F$5:$F$504,請求台帳!$C$5:$C$504,$A176,請求台帳!$B$5:$B$504,"&gt;="&amp;Y$3,請求台帳!$B$5:$B$504,"&lt;"&amp;DATE(YEAR(Y$3),MONTH(Y$3)+1,1),請求台帳!$Q$5:$Q$504,"&lt;&gt;取消"))</f>
        <v/>
      </c>
      <c r="Z176" s="27" t="str">
        <f aca="false">IF($A176="","",SUMIFS(入金明細!$E$5:$E$1004,入金明細!$G$5:$G$1004,$A176,入金明細!$B$5:$B$1004,"&gt;="&amp;Y$3,入金明細!$B$5:$B$1004,"&lt;"&amp;DATE(YEAR(Y$3),MONTH(Y$3)+1,1)))</f>
        <v/>
      </c>
      <c r="AA176" s="37" t="n">
        <f aca="false">SUM(C176,E176,G176,I176,K176,M176,O176,Q176,S176,U176,W176,Y176)</f>
        <v>0</v>
      </c>
      <c r="AB176" s="37" t="n">
        <f aca="false">SUM(D176,F176,H176,J176,L176,N176,P176,R176,T176,V176,X176,Z176)</f>
        <v>0</v>
      </c>
    </row>
    <row r="177" customFormat="false" ht="15" hidden="false" customHeight="false" outlineLevel="0" collapsed="false">
      <c r="A177" s="31" t="str">
        <f aca="false">IF(取引先マスタ!A177="","",取引先マスタ!A177)</f>
        <v/>
      </c>
      <c r="B177" s="31" t="str">
        <f aca="false">IF(A177="","",取引先マスタ!B177)</f>
        <v/>
      </c>
      <c r="C177" s="27" t="str">
        <f aca="false">IF($A177="","",SUMIFS(請求台帳!$F$5:$F$504,請求台帳!$C$5:$C$504,$A177,請求台帳!$B$5:$B$504,"&gt;="&amp;C$3,請求台帳!$B$5:$B$504,"&lt;"&amp;DATE(YEAR(C$3),MONTH(C$3)+1,1),請求台帳!$Q$5:$Q$504,"&lt;&gt;取消"))</f>
        <v/>
      </c>
      <c r="D177" s="27" t="str">
        <f aca="false">IF($A177="","",SUMIFS(入金明細!$E$5:$E$1004,入金明細!$G$5:$G$1004,$A177,入金明細!$B$5:$B$1004,"&gt;="&amp;C$3,入金明細!$B$5:$B$1004,"&lt;"&amp;DATE(YEAR(C$3),MONTH(C$3)+1,1)))</f>
        <v/>
      </c>
      <c r="E177" s="27" t="str">
        <f aca="false">IF($A177="","",SUMIFS(請求台帳!$F$5:$F$504,請求台帳!$C$5:$C$504,$A177,請求台帳!$B$5:$B$504,"&gt;="&amp;E$3,請求台帳!$B$5:$B$504,"&lt;"&amp;DATE(YEAR(E$3),MONTH(E$3)+1,1),請求台帳!$Q$5:$Q$504,"&lt;&gt;取消"))</f>
        <v/>
      </c>
      <c r="F177" s="27" t="str">
        <f aca="false">IF($A177="","",SUMIFS(入金明細!$E$5:$E$1004,入金明細!$G$5:$G$1004,$A177,入金明細!$B$5:$B$1004,"&gt;="&amp;E$3,入金明細!$B$5:$B$1004,"&lt;"&amp;DATE(YEAR(E$3),MONTH(E$3)+1,1)))</f>
        <v/>
      </c>
      <c r="G177" s="27" t="str">
        <f aca="false">IF($A177="","",SUMIFS(請求台帳!$F$5:$F$504,請求台帳!$C$5:$C$504,$A177,請求台帳!$B$5:$B$504,"&gt;="&amp;G$3,請求台帳!$B$5:$B$504,"&lt;"&amp;DATE(YEAR(G$3),MONTH(G$3)+1,1),請求台帳!$Q$5:$Q$504,"&lt;&gt;取消"))</f>
        <v/>
      </c>
      <c r="H177" s="27" t="str">
        <f aca="false">IF($A177="","",SUMIFS(入金明細!$E$5:$E$1004,入金明細!$G$5:$G$1004,$A177,入金明細!$B$5:$B$1004,"&gt;="&amp;G$3,入金明細!$B$5:$B$1004,"&lt;"&amp;DATE(YEAR(G$3),MONTH(G$3)+1,1)))</f>
        <v/>
      </c>
      <c r="I177" s="27" t="str">
        <f aca="false">IF($A177="","",SUMIFS(請求台帳!$F$5:$F$504,請求台帳!$C$5:$C$504,$A177,請求台帳!$B$5:$B$504,"&gt;="&amp;I$3,請求台帳!$B$5:$B$504,"&lt;"&amp;DATE(YEAR(I$3),MONTH(I$3)+1,1),請求台帳!$Q$5:$Q$504,"&lt;&gt;取消"))</f>
        <v/>
      </c>
      <c r="J177" s="27" t="str">
        <f aca="false">IF($A177="","",SUMIFS(入金明細!$E$5:$E$1004,入金明細!$G$5:$G$1004,$A177,入金明細!$B$5:$B$1004,"&gt;="&amp;I$3,入金明細!$B$5:$B$1004,"&lt;"&amp;DATE(YEAR(I$3),MONTH(I$3)+1,1)))</f>
        <v/>
      </c>
      <c r="K177" s="27" t="str">
        <f aca="false">IF($A177="","",SUMIFS(請求台帳!$F$5:$F$504,請求台帳!$C$5:$C$504,$A177,請求台帳!$B$5:$B$504,"&gt;="&amp;K$3,請求台帳!$B$5:$B$504,"&lt;"&amp;DATE(YEAR(K$3),MONTH(K$3)+1,1),請求台帳!$Q$5:$Q$504,"&lt;&gt;取消"))</f>
        <v/>
      </c>
      <c r="L177" s="27" t="str">
        <f aca="false">IF($A177="","",SUMIFS(入金明細!$E$5:$E$1004,入金明細!$G$5:$G$1004,$A177,入金明細!$B$5:$B$1004,"&gt;="&amp;K$3,入金明細!$B$5:$B$1004,"&lt;"&amp;DATE(YEAR(K$3),MONTH(K$3)+1,1)))</f>
        <v/>
      </c>
      <c r="M177" s="27" t="str">
        <f aca="false">IF($A177="","",SUMIFS(請求台帳!$F$5:$F$504,請求台帳!$C$5:$C$504,$A177,請求台帳!$B$5:$B$504,"&gt;="&amp;M$3,請求台帳!$B$5:$B$504,"&lt;"&amp;DATE(YEAR(M$3),MONTH(M$3)+1,1),請求台帳!$Q$5:$Q$504,"&lt;&gt;取消"))</f>
        <v/>
      </c>
      <c r="N177" s="27" t="str">
        <f aca="false">IF($A177="","",SUMIFS(入金明細!$E$5:$E$1004,入金明細!$G$5:$G$1004,$A177,入金明細!$B$5:$B$1004,"&gt;="&amp;M$3,入金明細!$B$5:$B$1004,"&lt;"&amp;DATE(YEAR(M$3),MONTH(M$3)+1,1)))</f>
        <v/>
      </c>
      <c r="O177" s="27" t="str">
        <f aca="false">IF($A177="","",SUMIFS(請求台帳!$F$5:$F$504,請求台帳!$C$5:$C$504,$A177,請求台帳!$B$5:$B$504,"&gt;="&amp;O$3,請求台帳!$B$5:$B$504,"&lt;"&amp;DATE(YEAR(O$3),MONTH(O$3)+1,1),請求台帳!$Q$5:$Q$504,"&lt;&gt;取消"))</f>
        <v/>
      </c>
      <c r="P177" s="27" t="str">
        <f aca="false">IF($A177="","",SUMIFS(入金明細!$E$5:$E$1004,入金明細!$G$5:$G$1004,$A177,入金明細!$B$5:$B$1004,"&gt;="&amp;O$3,入金明細!$B$5:$B$1004,"&lt;"&amp;DATE(YEAR(O$3),MONTH(O$3)+1,1)))</f>
        <v/>
      </c>
      <c r="Q177" s="27" t="str">
        <f aca="false">IF($A177="","",SUMIFS(請求台帳!$F$5:$F$504,請求台帳!$C$5:$C$504,$A177,請求台帳!$B$5:$B$504,"&gt;="&amp;Q$3,請求台帳!$B$5:$B$504,"&lt;"&amp;DATE(YEAR(Q$3),MONTH(Q$3)+1,1),請求台帳!$Q$5:$Q$504,"&lt;&gt;取消"))</f>
        <v/>
      </c>
      <c r="R177" s="27" t="str">
        <f aca="false">IF($A177="","",SUMIFS(入金明細!$E$5:$E$1004,入金明細!$G$5:$G$1004,$A177,入金明細!$B$5:$B$1004,"&gt;="&amp;Q$3,入金明細!$B$5:$B$1004,"&lt;"&amp;DATE(YEAR(Q$3),MONTH(Q$3)+1,1)))</f>
        <v/>
      </c>
      <c r="S177" s="27" t="str">
        <f aca="false">IF($A177="","",SUMIFS(請求台帳!$F$5:$F$504,請求台帳!$C$5:$C$504,$A177,請求台帳!$B$5:$B$504,"&gt;="&amp;S$3,請求台帳!$B$5:$B$504,"&lt;"&amp;DATE(YEAR(S$3),MONTH(S$3)+1,1),請求台帳!$Q$5:$Q$504,"&lt;&gt;取消"))</f>
        <v/>
      </c>
      <c r="T177" s="27" t="str">
        <f aca="false">IF($A177="","",SUMIFS(入金明細!$E$5:$E$1004,入金明細!$G$5:$G$1004,$A177,入金明細!$B$5:$B$1004,"&gt;="&amp;S$3,入金明細!$B$5:$B$1004,"&lt;"&amp;DATE(YEAR(S$3),MONTH(S$3)+1,1)))</f>
        <v/>
      </c>
      <c r="U177" s="27" t="str">
        <f aca="false">IF($A177="","",SUMIFS(請求台帳!$F$5:$F$504,請求台帳!$C$5:$C$504,$A177,請求台帳!$B$5:$B$504,"&gt;="&amp;U$3,請求台帳!$B$5:$B$504,"&lt;"&amp;DATE(YEAR(U$3),MONTH(U$3)+1,1),請求台帳!$Q$5:$Q$504,"&lt;&gt;取消"))</f>
        <v/>
      </c>
      <c r="V177" s="27" t="str">
        <f aca="false">IF($A177="","",SUMIFS(入金明細!$E$5:$E$1004,入金明細!$G$5:$G$1004,$A177,入金明細!$B$5:$B$1004,"&gt;="&amp;U$3,入金明細!$B$5:$B$1004,"&lt;"&amp;DATE(YEAR(U$3),MONTH(U$3)+1,1)))</f>
        <v/>
      </c>
      <c r="W177" s="27" t="str">
        <f aca="false">IF($A177="","",SUMIFS(請求台帳!$F$5:$F$504,請求台帳!$C$5:$C$504,$A177,請求台帳!$B$5:$B$504,"&gt;="&amp;W$3,請求台帳!$B$5:$B$504,"&lt;"&amp;DATE(YEAR(W$3),MONTH(W$3)+1,1),請求台帳!$Q$5:$Q$504,"&lt;&gt;取消"))</f>
        <v/>
      </c>
      <c r="X177" s="27" t="str">
        <f aca="false">IF($A177="","",SUMIFS(入金明細!$E$5:$E$1004,入金明細!$G$5:$G$1004,$A177,入金明細!$B$5:$B$1004,"&gt;="&amp;W$3,入金明細!$B$5:$B$1004,"&lt;"&amp;DATE(YEAR(W$3),MONTH(W$3)+1,1)))</f>
        <v/>
      </c>
      <c r="Y177" s="27" t="str">
        <f aca="false">IF($A177="","",SUMIFS(請求台帳!$F$5:$F$504,請求台帳!$C$5:$C$504,$A177,請求台帳!$B$5:$B$504,"&gt;="&amp;Y$3,請求台帳!$B$5:$B$504,"&lt;"&amp;DATE(YEAR(Y$3),MONTH(Y$3)+1,1),請求台帳!$Q$5:$Q$504,"&lt;&gt;取消"))</f>
        <v/>
      </c>
      <c r="Z177" s="27" t="str">
        <f aca="false">IF($A177="","",SUMIFS(入金明細!$E$5:$E$1004,入金明細!$G$5:$G$1004,$A177,入金明細!$B$5:$B$1004,"&gt;="&amp;Y$3,入金明細!$B$5:$B$1004,"&lt;"&amp;DATE(YEAR(Y$3),MONTH(Y$3)+1,1)))</f>
        <v/>
      </c>
      <c r="AA177" s="37" t="n">
        <f aca="false">SUM(C177,E177,G177,I177,K177,M177,O177,Q177,S177,U177,W177,Y177)</f>
        <v>0</v>
      </c>
      <c r="AB177" s="37" t="n">
        <f aca="false">SUM(D177,F177,H177,J177,L177,N177,P177,R177,T177,V177,X177,Z177)</f>
        <v>0</v>
      </c>
    </row>
    <row r="178" customFormat="false" ht="15" hidden="false" customHeight="false" outlineLevel="0" collapsed="false">
      <c r="A178" s="31" t="str">
        <f aca="false">IF(取引先マスタ!A178="","",取引先マスタ!A178)</f>
        <v/>
      </c>
      <c r="B178" s="31" t="str">
        <f aca="false">IF(A178="","",取引先マスタ!B178)</f>
        <v/>
      </c>
      <c r="C178" s="27" t="str">
        <f aca="false">IF($A178="","",SUMIFS(請求台帳!$F$5:$F$504,請求台帳!$C$5:$C$504,$A178,請求台帳!$B$5:$B$504,"&gt;="&amp;C$3,請求台帳!$B$5:$B$504,"&lt;"&amp;DATE(YEAR(C$3),MONTH(C$3)+1,1),請求台帳!$Q$5:$Q$504,"&lt;&gt;取消"))</f>
        <v/>
      </c>
      <c r="D178" s="27" t="str">
        <f aca="false">IF($A178="","",SUMIFS(入金明細!$E$5:$E$1004,入金明細!$G$5:$G$1004,$A178,入金明細!$B$5:$B$1004,"&gt;="&amp;C$3,入金明細!$B$5:$B$1004,"&lt;"&amp;DATE(YEAR(C$3),MONTH(C$3)+1,1)))</f>
        <v/>
      </c>
      <c r="E178" s="27" t="str">
        <f aca="false">IF($A178="","",SUMIFS(請求台帳!$F$5:$F$504,請求台帳!$C$5:$C$504,$A178,請求台帳!$B$5:$B$504,"&gt;="&amp;E$3,請求台帳!$B$5:$B$504,"&lt;"&amp;DATE(YEAR(E$3),MONTH(E$3)+1,1),請求台帳!$Q$5:$Q$504,"&lt;&gt;取消"))</f>
        <v/>
      </c>
      <c r="F178" s="27" t="str">
        <f aca="false">IF($A178="","",SUMIFS(入金明細!$E$5:$E$1004,入金明細!$G$5:$G$1004,$A178,入金明細!$B$5:$B$1004,"&gt;="&amp;E$3,入金明細!$B$5:$B$1004,"&lt;"&amp;DATE(YEAR(E$3),MONTH(E$3)+1,1)))</f>
        <v/>
      </c>
      <c r="G178" s="27" t="str">
        <f aca="false">IF($A178="","",SUMIFS(請求台帳!$F$5:$F$504,請求台帳!$C$5:$C$504,$A178,請求台帳!$B$5:$B$504,"&gt;="&amp;G$3,請求台帳!$B$5:$B$504,"&lt;"&amp;DATE(YEAR(G$3),MONTH(G$3)+1,1),請求台帳!$Q$5:$Q$504,"&lt;&gt;取消"))</f>
        <v/>
      </c>
      <c r="H178" s="27" t="str">
        <f aca="false">IF($A178="","",SUMIFS(入金明細!$E$5:$E$1004,入金明細!$G$5:$G$1004,$A178,入金明細!$B$5:$B$1004,"&gt;="&amp;G$3,入金明細!$B$5:$B$1004,"&lt;"&amp;DATE(YEAR(G$3),MONTH(G$3)+1,1)))</f>
        <v/>
      </c>
      <c r="I178" s="27" t="str">
        <f aca="false">IF($A178="","",SUMIFS(請求台帳!$F$5:$F$504,請求台帳!$C$5:$C$504,$A178,請求台帳!$B$5:$B$504,"&gt;="&amp;I$3,請求台帳!$B$5:$B$504,"&lt;"&amp;DATE(YEAR(I$3),MONTH(I$3)+1,1),請求台帳!$Q$5:$Q$504,"&lt;&gt;取消"))</f>
        <v/>
      </c>
      <c r="J178" s="27" t="str">
        <f aca="false">IF($A178="","",SUMIFS(入金明細!$E$5:$E$1004,入金明細!$G$5:$G$1004,$A178,入金明細!$B$5:$B$1004,"&gt;="&amp;I$3,入金明細!$B$5:$B$1004,"&lt;"&amp;DATE(YEAR(I$3),MONTH(I$3)+1,1)))</f>
        <v/>
      </c>
      <c r="K178" s="27" t="str">
        <f aca="false">IF($A178="","",SUMIFS(請求台帳!$F$5:$F$504,請求台帳!$C$5:$C$504,$A178,請求台帳!$B$5:$B$504,"&gt;="&amp;K$3,請求台帳!$B$5:$B$504,"&lt;"&amp;DATE(YEAR(K$3),MONTH(K$3)+1,1),請求台帳!$Q$5:$Q$504,"&lt;&gt;取消"))</f>
        <v/>
      </c>
      <c r="L178" s="27" t="str">
        <f aca="false">IF($A178="","",SUMIFS(入金明細!$E$5:$E$1004,入金明細!$G$5:$G$1004,$A178,入金明細!$B$5:$B$1004,"&gt;="&amp;K$3,入金明細!$B$5:$B$1004,"&lt;"&amp;DATE(YEAR(K$3),MONTH(K$3)+1,1)))</f>
        <v/>
      </c>
      <c r="M178" s="27" t="str">
        <f aca="false">IF($A178="","",SUMIFS(請求台帳!$F$5:$F$504,請求台帳!$C$5:$C$504,$A178,請求台帳!$B$5:$B$504,"&gt;="&amp;M$3,請求台帳!$B$5:$B$504,"&lt;"&amp;DATE(YEAR(M$3),MONTH(M$3)+1,1),請求台帳!$Q$5:$Q$504,"&lt;&gt;取消"))</f>
        <v/>
      </c>
      <c r="N178" s="27" t="str">
        <f aca="false">IF($A178="","",SUMIFS(入金明細!$E$5:$E$1004,入金明細!$G$5:$G$1004,$A178,入金明細!$B$5:$B$1004,"&gt;="&amp;M$3,入金明細!$B$5:$B$1004,"&lt;"&amp;DATE(YEAR(M$3),MONTH(M$3)+1,1)))</f>
        <v/>
      </c>
      <c r="O178" s="27" t="str">
        <f aca="false">IF($A178="","",SUMIFS(請求台帳!$F$5:$F$504,請求台帳!$C$5:$C$504,$A178,請求台帳!$B$5:$B$504,"&gt;="&amp;O$3,請求台帳!$B$5:$B$504,"&lt;"&amp;DATE(YEAR(O$3),MONTH(O$3)+1,1),請求台帳!$Q$5:$Q$504,"&lt;&gt;取消"))</f>
        <v/>
      </c>
      <c r="P178" s="27" t="str">
        <f aca="false">IF($A178="","",SUMIFS(入金明細!$E$5:$E$1004,入金明細!$G$5:$G$1004,$A178,入金明細!$B$5:$B$1004,"&gt;="&amp;O$3,入金明細!$B$5:$B$1004,"&lt;"&amp;DATE(YEAR(O$3),MONTH(O$3)+1,1)))</f>
        <v/>
      </c>
      <c r="Q178" s="27" t="str">
        <f aca="false">IF($A178="","",SUMIFS(請求台帳!$F$5:$F$504,請求台帳!$C$5:$C$504,$A178,請求台帳!$B$5:$B$504,"&gt;="&amp;Q$3,請求台帳!$B$5:$B$504,"&lt;"&amp;DATE(YEAR(Q$3),MONTH(Q$3)+1,1),請求台帳!$Q$5:$Q$504,"&lt;&gt;取消"))</f>
        <v/>
      </c>
      <c r="R178" s="27" t="str">
        <f aca="false">IF($A178="","",SUMIFS(入金明細!$E$5:$E$1004,入金明細!$G$5:$G$1004,$A178,入金明細!$B$5:$B$1004,"&gt;="&amp;Q$3,入金明細!$B$5:$B$1004,"&lt;"&amp;DATE(YEAR(Q$3),MONTH(Q$3)+1,1)))</f>
        <v/>
      </c>
      <c r="S178" s="27" t="str">
        <f aca="false">IF($A178="","",SUMIFS(請求台帳!$F$5:$F$504,請求台帳!$C$5:$C$504,$A178,請求台帳!$B$5:$B$504,"&gt;="&amp;S$3,請求台帳!$B$5:$B$504,"&lt;"&amp;DATE(YEAR(S$3),MONTH(S$3)+1,1),請求台帳!$Q$5:$Q$504,"&lt;&gt;取消"))</f>
        <v/>
      </c>
      <c r="T178" s="27" t="str">
        <f aca="false">IF($A178="","",SUMIFS(入金明細!$E$5:$E$1004,入金明細!$G$5:$G$1004,$A178,入金明細!$B$5:$B$1004,"&gt;="&amp;S$3,入金明細!$B$5:$B$1004,"&lt;"&amp;DATE(YEAR(S$3),MONTH(S$3)+1,1)))</f>
        <v/>
      </c>
      <c r="U178" s="27" t="str">
        <f aca="false">IF($A178="","",SUMIFS(請求台帳!$F$5:$F$504,請求台帳!$C$5:$C$504,$A178,請求台帳!$B$5:$B$504,"&gt;="&amp;U$3,請求台帳!$B$5:$B$504,"&lt;"&amp;DATE(YEAR(U$3),MONTH(U$3)+1,1),請求台帳!$Q$5:$Q$504,"&lt;&gt;取消"))</f>
        <v/>
      </c>
      <c r="V178" s="27" t="str">
        <f aca="false">IF($A178="","",SUMIFS(入金明細!$E$5:$E$1004,入金明細!$G$5:$G$1004,$A178,入金明細!$B$5:$B$1004,"&gt;="&amp;U$3,入金明細!$B$5:$B$1004,"&lt;"&amp;DATE(YEAR(U$3),MONTH(U$3)+1,1)))</f>
        <v/>
      </c>
      <c r="W178" s="27" t="str">
        <f aca="false">IF($A178="","",SUMIFS(請求台帳!$F$5:$F$504,請求台帳!$C$5:$C$504,$A178,請求台帳!$B$5:$B$504,"&gt;="&amp;W$3,請求台帳!$B$5:$B$504,"&lt;"&amp;DATE(YEAR(W$3),MONTH(W$3)+1,1),請求台帳!$Q$5:$Q$504,"&lt;&gt;取消"))</f>
        <v/>
      </c>
      <c r="X178" s="27" t="str">
        <f aca="false">IF($A178="","",SUMIFS(入金明細!$E$5:$E$1004,入金明細!$G$5:$G$1004,$A178,入金明細!$B$5:$B$1004,"&gt;="&amp;W$3,入金明細!$B$5:$B$1004,"&lt;"&amp;DATE(YEAR(W$3),MONTH(W$3)+1,1)))</f>
        <v/>
      </c>
      <c r="Y178" s="27" t="str">
        <f aca="false">IF($A178="","",SUMIFS(請求台帳!$F$5:$F$504,請求台帳!$C$5:$C$504,$A178,請求台帳!$B$5:$B$504,"&gt;="&amp;Y$3,請求台帳!$B$5:$B$504,"&lt;"&amp;DATE(YEAR(Y$3),MONTH(Y$3)+1,1),請求台帳!$Q$5:$Q$504,"&lt;&gt;取消"))</f>
        <v/>
      </c>
      <c r="Z178" s="27" t="str">
        <f aca="false">IF($A178="","",SUMIFS(入金明細!$E$5:$E$1004,入金明細!$G$5:$G$1004,$A178,入金明細!$B$5:$B$1004,"&gt;="&amp;Y$3,入金明細!$B$5:$B$1004,"&lt;"&amp;DATE(YEAR(Y$3),MONTH(Y$3)+1,1)))</f>
        <v/>
      </c>
      <c r="AA178" s="37" t="n">
        <f aca="false">SUM(C178,E178,G178,I178,K178,M178,O178,Q178,S178,U178,W178,Y178)</f>
        <v>0</v>
      </c>
      <c r="AB178" s="37" t="n">
        <f aca="false">SUM(D178,F178,H178,J178,L178,N178,P178,R178,T178,V178,X178,Z178)</f>
        <v>0</v>
      </c>
    </row>
    <row r="179" customFormat="false" ht="15" hidden="false" customHeight="false" outlineLevel="0" collapsed="false">
      <c r="A179" s="31" t="str">
        <f aca="false">IF(取引先マスタ!A179="","",取引先マスタ!A179)</f>
        <v/>
      </c>
      <c r="B179" s="31" t="str">
        <f aca="false">IF(A179="","",取引先マスタ!B179)</f>
        <v/>
      </c>
      <c r="C179" s="27" t="str">
        <f aca="false">IF($A179="","",SUMIFS(請求台帳!$F$5:$F$504,請求台帳!$C$5:$C$504,$A179,請求台帳!$B$5:$B$504,"&gt;="&amp;C$3,請求台帳!$B$5:$B$504,"&lt;"&amp;DATE(YEAR(C$3),MONTH(C$3)+1,1),請求台帳!$Q$5:$Q$504,"&lt;&gt;取消"))</f>
        <v/>
      </c>
      <c r="D179" s="27" t="str">
        <f aca="false">IF($A179="","",SUMIFS(入金明細!$E$5:$E$1004,入金明細!$G$5:$G$1004,$A179,入金明細!$B$5:$B$1004,"&gt;="&amp;C$3,入金明細!$B$5:$B$1004,"&lt;"&amp;DATE(YEAR(C$3),MONTH(C$3)+1,1)))</f>
        <v/>
      </c>
      <c r="E179" s="27" t="str">
        <f aca="false">IF($A179="","",SUMIFS(請求台帳!$F$5:$F$504,請求台帳!$C$5:$C$504,$A179,請求台帳!$B$5:$B$504,"&gt;="&amp;E$3,請求台帳!$B$5:$B$504,"&lt;"&amp;DATE(YEAR(E$3),MONTH(E$3)+1,1),請求台帳!$Q$5:$Q$504,"&lt;&gt;取消"))</f>
        <v/>
      </c>
      <c r="F179" s="27" t="str">
        <f aca="false">IF($A179="","",SUMIFS(入金明細!$E$5:$E$1004,入金明細!$G$5:$G$1004,$A179,入金明細!$B$5:$B$1004,"&gt;="&amp;E$3,入金明細!$B$5:$B$1004,"&lt;"&amp;DATE(YEAR(E$3),MONTH(E$3)+1,1)))</f>
        <v/>
      </c>
      <c r="G179" s="27" t="str">
        <f aca="false">IF($A179="","",SUMIFS(請求台帳!$F$5:$F$504,請求台帳!$C$5:$C$504,$A179,請求台帳!$B$5:$B$504,"&gt;="&amp;G$3,請求台帳!$B$5:$B$504,"&lt;"&amp;DATE(YEAR(G$3),MONTH(G$3)+1,1),請求台帳!$Q$5:$Q$504,"&lt;&gt;取消"))</f>
        <v/>
      </c>
      <c r="H179" s="27" t="str">
        <f aca="false">IF($A179="","",SUMIFS(入金明細!$E$5:$E$1004,入金明細!$G$5:$G$1004,$A179,入金明細!$B$5:$B$1004,"&gt;="&amp;G$3,入金明細!$B$5:$B$1004,"&lt;"&amp;DATE(YEAR(G$3),MONTH(G$3)+1,1)))</f>
        <v/>
      </c>
      <c r="I179" s="27" t="str">
        <f aca="false">IF($A179="","",SUMIFS(請求台帳!$F$5:$F$504,請求台帳!$C$5:$C$504,$A179,請求台帳!$B$5:$B$504,"&gt;="&amp;I$3,請求台帳!$B$5:$B$504,"&lt;"&amp;DATE(YEAR(I$3),MONTH(I$3)+1,1),請求台帳!$Q$5:$Q$504,"&lt;&gt;取消"))</f>
        <v/>
      </c>
      <c r="J179" s="27" t="str">
        <f aca="false">IF($A179="","",SUMIFS(入金明細!$E$5:$E$1004,入金明細!$G$5:$G$1004,$A179,入金明細!$B$5:$B$1004,"&gt;="&amp;I$3,入金明細!$B$5:$B$1004,"&lt;"&amp;DATE(YEAR(I$3),MONTH(I$3)+1,1)))</f>
        <v/>
      </c>
      <c r="K179" s="27" t="str">
        <f aca="false">IF($A179="","",SUMIFS(請求台帳!$F$5:$F$504,請求台帳!$C$5:$C$504,$A179,請求台帳!$B$5:$B$504,"&gt;="&amp;K$3,請求台帳!$B$5:$B$504,"&lt;"&amp;DATE(YEAR(K$3),MONTH(K$3)+1,1),請求台帳!$Q$5:$Q$504,"&lt;&gt;取消"))</f>
        <v/>
      </c>
      <c r="L179" s="27" t="str">
        <f aca="false">IF($A179="","",SUMIFS(入金明細!$E$5:$E$1004,入金明細!$G$5:$G$1004,$A179,入金明細!$B$5:$B$1004,"&gt;="&amp;K$3,入金明細!$B$5:$B$1004,"&lt;"&amp;DATE(YEAR(K$3),MONTH(K$3)+1,1)))</f>
        <v/>
      </c>
      <c r="M179" s="27" t="str">
        <f aca="false">IF($A179="","",SUMIFS(請求台帳!$F$5:$F$504,請求台帳!$C$5:$C$504,$A179,請求台帳!$B$5:$B$504,"&gt;="&amp;M$3,請求台帳!$B$5:$B$504,"&lt;"&amp;DATE(YEAR(M$3),MONTH(M$3)+1,1),請求台帳!$Q$5:$Q$504,"&lt;&gt;取消"))</f>
        <v/>
      </c>
      <c r="N179" s="27" t="str">
        <f aca="false">IF($A179="","",SUMIFS(入金明細!$E$5:$E$1004,入金明細!$G$5:$G$1004,$A179,入金明細!$B$5:$B$1004,"&gt;="&amp;M$3,入金明細!$B$5:$B$1004,"&lt;"&amp;DATE(YEAR(M$3),MONTH(M$3)+1,1)))</f>
        <v/>
      </c>
      <c r="O179" s="27" t="str">
        <f aca="false">IF($A179="","",SUMIFS(請求台帳!$F$5:$F$504,請求台帳!$C$5:$C$504,$A179,請求台帳!$B$5:$B$504,"&gt;="&amp;O$3,請求台帳!$B$5:$B$504,"&lt;"&amp;DATE(YEAR(O$3),MONTH(O$3)+1,1),請求台帳!$Q$5:$Q$504,"&lt;&gt;取消"))</f>
        <v/>
      </c>
      <c r="P179" s="27" t="str">
        <f aca="false">IF($A179="","",SUMIFS(入金明細!$E$5:$E$1004,入金明細!$G$5:$G$1004,$A179,入金明細!$B$5:$B$1004,"&gt;="&amp;O$3,入金明細!$B$5:$B$1004,"&lt;"&amp;DATE(YEAR(O$3),MONTH(O$3)+1,1)))</f>
        <v/>
      </c>
      <c r="Q179" s="27" t="str">
        <f aca="false">IF($A179="","",SUMIFS(請求台帳!$F$5:$F$504,請求台帳!$C$5:$C$504,$A179,請求台帳!$B$5:$B$504,"&gt;="&amp;Q$3,請求台帳!$B$5:$B$504,"&lt;"&amp;DATE(YEAR(Q$3),MONTH(Q$3)+1,1),請求台帳!$Q$5:$Q$504,"&lt;&gt;取消"))</f>
        <v/>
      </c>
      <c r="R179" s="27" t="str">
        <f aca="false">IF($A179="","",SUMIFS(入金明細!$E$5:$E$1004,入金明細!$G$5:$G$1004,$A179,入金明細!$B$5:$B$1004,"&gt;="&amp;Q$3,入金明細!$B$5:$B$1004,"&lt;"&amp;DATE(YEAR(Q$3),MONTH(Q$3)+1,1)))</f>
        <v/>
      </c>
      <c r="S179" s="27" t="str">
        <f aca="false">IF($A179="","",SUMIFS(請求台帳!$F$5:$F$504,請求台帳!$C$5:$C$504,$A179,請求台帳!$B$5:$B$504,"&gt;="&amp;S$3,請求台帳!$B$5:$B$504,"&lt;"&amp;DATE(YEAR(S$3),MONTH(S$3)+1,1),請求台帳!$Q$5:$Q$504,"&lt;&gt;取消"))</f>
        <v/>
      </c>
      <c r="T179" s="27" t="str">
        <f aca="false">IF($A179="","",SUMIFS(入金明細!$E$5:$E$1004,入金明細!$G$5:$G$1004,$A179,入金明細!$B$5:$B$1004,"&gt;="&amp;S$3,入金明細!$B$5:$B$1004,"&lt;"&amp;DATE(YEAR(S$3),MONTH(S$3)+1,1)))</f>
        <v/>
      </c>
      <c r="U179" s="27" t="str">
        <f aca="false">IF($A179="","",SUMIFS(請求台帳!$F$5:$F$504,請求台帳!$C$5:$C$504,$A179,請求台帳!$B$5:$B$504,"&gt;="&amp;U$3,請求台帳!$B$5:$B$504,"&lt;"&amp;DATE(YEAR(U$3),MONTH(U$3)+1,1),請求台帳!$Q$5:$Q$504,"&lt;&gt;取消"))</f>
        <v/>
      </c>
      <c r="V179" s="27" t="str">
        <f aca="false">IF($A179="","",SUMIFS(入金明細!$E$5:$E$1004,入金明細!$G$5:$G$1004,$A179,入金明細!$B$5:$B$1004,"&gt;="&amp;U$3,入金明細!$B$5:$B$1004,"&lt;"&amp;DATE(YEAR(U$3),MONTH(U$3)+1,1)))</f>
        <v/>
      </c>
      <c r="W179" s="27" t="str">
        <f aca="false">IF($A179="","",SUMIFS(請求台帳!$F$5:$F$504,請求台帳!$C$5:$C$504,$A179,請求台帳!$B$5:$B$504,"&gt;="&amp;W$3,請求台帳!$B$5:$B$504,"&lt;"&amp;DATE(YEAR(W$3),MONTH(W$3)+1,1),請求台帳!$Q$5:$Q$504,"&lt;&gt;取消"))</f>
        <v/>
      </c>
      <c r="X179" s="27" t="str">
        <f aca="false">IF($A179="","",SUMIFS(入金明細!$E$5:$E$1004,入金明細!$G$5:$G$1004,$A179,入金明細!$B$5:$B$1004,"&gt;="&amp;W$3,入金明細!$B$5:$B$1004,"&lt;"&amp;DATE(YEAR(W$3),MONTH(W$3)+1,1)))</f>
        <v/>
      </c>
      <c r="Y179" s="27" t="str">
        <f aca="false">IF($A179="","",SUMIFS(請求台帳!$F$5:$F$504,請求台帳!$C$5:$C$504,$A179,請求台帳!$B$5:$B$504,"&gt;="&amp;Y$3,請求台帳!$B$5:$B$504,"&lt;"&amp;DATE(YEAR(Y$3),MONTH(Y$3)+1,1),請求台帳!$Q$5:$Q$504,"&lt;&gt;取消"))</f>
        <v/>
      </c>
      <c r="Z179" s="27" t="str">
        <f aca="false">IF($A179="","",SUMIFS(入金明細!$E$5:$E$1004,入金明細!$G$5:$G$1004,$A179,入金明細!$B$5:$B$1004,"&gt;="&amp;Y$3,入金明細!$B$5:$B$1004,"&lt;"&amp;DATE(YEAR(Y$3),MONTH(Y$3)+1,1)))</f>
        <v/>
      </c>
      <c r="AA179" s="37" t="n">
        <f aca="false">SUM(C179,E179,G179,I179,K179,M179,O179,Q179,S179,U179,W179,Y179)</f>
        <v>0</v>
      </c>
      <c r="AB179" s="37" t="n">
        <f aca="false">SUM(D179,F179,H179,J179,L179,N179,P179,R179,T179,V179,X179,Z179)</f>
        <v>0</v>
      </c>
    </row>
    <row r="180" customFormat="false" ht="15" hidden="false" customHeight="false" outlineLevel="0" collapsed="false">
      <c r="A180" s="31" t="str">
        <f aca="false">IF(取引先マスタ!A180="","",取引先マスタ!A180)</f>
        <v/>
      </c>
      <c r="B180" s="31" t="str">
        <f aca="false">IF(A180="","",取引先マスタ!B180)</f>
        <v/>
      </c>
      <c r="C180" s="27" t="str">
        <f aca="false">IF($A180="","",SUMIFS(請求台帳!$F$5:$F$504,請求台帳!$C$5:$C$504,$A180,請求台帳!$B$5:$B$504,"&gt;="&amp;C$3,請求台帳!$B$5:$B$504,"&lt;"&amp;DATE(YEAR(C$3),MONTH(C$3)+1,1),請求台帳!$Q$5:$Q$504,"&lt;&gt;取消"))</f>
        <v/>
      </c>
      <c r="D180" s="27" t="str">
        <f aca="false">IF($A180="","",SUMIFS(入金明細!$E$5:$E$1004,入金明細!$G$5:$G$1004,$A180,入金明細!$B$5:$B$1004,"&gt;="&amp;C$3,入金明細!$B$5:$B$1004,"&lt;"&amp;DATE(YEAR(C$3),MONTH(C$3)+1,1)))</f>
        <v/>
      </c>
      <c r="E180" s="27" t="str">
        <f aca="false">IF($A180="","",SUMIFS(請求台帳!$F$5:$F$504,請求台帳!$C$5:$C$504,$A180,請求台帳!$B$5:$B$504,"&gt;="&amp;E$3,請求台帳!$B$5:$B$504,"&lt;"&amp;DATE(YEAR(E$3),MONTH(E$3)+1,1),請求台帳!$Q$5:$Q$504,"&lt;&gt;取消"))</f>
        <v/>
      </c>
      <c r="F180" s="27" t="str">
        <f aca="false">IF($A180="","",SUMIFS(入金明細!$E$5:$E$1004,入金明細!$G$5:$G$1004,$A180,入金明細!$B$5:$B$1004,"&gt;="&amp;E$3,入金明細!$B$5:$B$1004,"&lt;"&amp;DATE(YEAR(E$3),MONTH(E$3)+1,1)))</f>
        <v/>
      </c>
      <c r="G180" s="27" t="str">
        <f aca="false">IF($A180="","",SUMIFS(請求台帳!$F$5:$F$504,請求台帳!$C$5:$C$504,$A180,請求台帳!$B$5:$B$504,"&gt;="&amp;G$3,請求台帳!$B$5:$B$504,"&lt;"&amp;DATE(YEAR(G$3),MONTH(G$3)+1,1),請求台帳!$Q$5:$Q$504,"&lt;&gt;取消"))</f>
        <v/>
      </c>
      <c r="H180" s="27" t="str">
        <f aca="false">IF($A180="","",SUMIFS(入金明細!$E$5:$E$1004,入金明細!$G$5:$G$1004,$A180,入金明細!$B$5:$B$1004,"&gt;="&amp;G$3,入金明細!$B$5:$B$1004,"&lt;"&amp;DATE(YEAR(G$3),MONTH(G$3)+1,1)))</f>
        <v/>
      </c>
      <c r="I180" s="27" t="str">
        <f aca="false">IF($A180="","",SUMIFS(請求台帳!$F$5:$F$504,請求台帳!$C$5:$C$504,$A180,請求台帳!$B$5:$B$504,"&gt;="&amp;I$3,請求台帳!$B$5:$B$504,"&lt;"&amp;DATE(YEAR(I$3),MONTH(I$3)+1,1),請求台帳!$Q$5:$Q$504,"&lt;&gt;取消"))</f>
        <v/>
      </c>
      <c r="J180" s="27" t="str">
        <f aca="false">IF($A180="","",SUMIFS(入金明細!$E$5:$E$1004,入金明細!$G$5:$G$1004,$A180,入金明細!$B$5:$B$1004,"&gt;="&amp;I$3,入金明細!$B$5:$B$1004,"&lt;"&amp;DATE(YEAR(I$3),MONTH(I$3)+1,1)))</f>
        <v/>
      </c>
      <c r="K180" s="27" t="str">
        <f aca="false">IF($A180="","",SUMIFS(請求台帳!$F$5:$F$504,請求台帳!$C$5:$C$504,$A180,請求台帳!$B$5:$B$504,"&gt;="&amp;K$3,請求台帳!$B$5:$B$504,"&lt;"&amp;DATE(YEAR(K$3),MONTH(K$3)+1,1),請求台帳!$Q$5:$Q$504,"&lt;&gt;取消"))</f>
        <v/>
      </c>
      <c r="L180" s="27" t="str">
        <f aca="false">IF($A180="","",SUMIFS(入金明細!$E$5:$E$1004,入金明細!$G$5:$G$1004,$A180,入金明細!$B$5:$B$1004,"&gt;="&amp;K$3,入金明細!$B$5:$B$1004,"&lt;"&amp;DATE(YEAR(K$3),MONTH(K$3)+1,1)))</f>
        <v/>
      </c>
      <c r="M180" s="27" t="str">
        <f aca="false">IF($A180="","",SUMIFS(請求台帳!$F$5:$F$504,請求台帳!$C$5:$C$504,$A180,請求台帳!$B$5:$B$504,"&gt;="&amp;M$3,請求台帳!$B$5:$B$504,"&lt;"&amp;DATE(YEAR(M$3),MONTH(M$3)+1,1),請求台帳!$Q$5:$Q$504,"&lt;&gt;取消"))</f>
        <v/>
      </c>
      <c r="N180" s="27" t="str">
        <f aca="false">IF($A180="","",SUMIFS(入金明細!$E$5:$E$1004,入金明細!$G$5:$G$1004,$A180,入金明細!$B$5:$B$1004,"&gt;="&amp;M$3,入金明細!$B$5:$B$1004,"&lt;"&amp;DATE(YEAR(M$3),MONTH(M$3)+1,1)))</f>
        <v/>
      </c>
      <c r="O180" s="27" t="str">
        <f aca="false">IF($A180="","",SUMIFS(請求台帳!$F$5:$F$504,請求台帳!$C$5:$C$504,$A180,請求台帳!$B$5:$B$504,"&gt;="&amp;O$3,請求台帳!$B$5:$B$504,"&lt;"&amp;DATE(YEAR(O$3),MONTH(O$3)+1,1),請求台帳!$Q$5:$Q$504,"&lt;&gt;取消"))</f>
        <v/>
      </c>
      <c r="P180" s="27" t="str">
        <f aca="false">IF($A180="","",SUMIFS(入金明細!$E$5:$E$1004,入金明細!$G$5:$G$1004,$A180,入金明細!$B$5:$B$1004,"&gt;="&amp;O$3,入金明細!$B$5:$B$1004,"&lt;"&amp;DATE(YEAR(O$3),MONTH(O$3)+1,1)))</f>
        <v/>
      </c>
      <c r="Q180" s="27" t="str">
        <f aca="false">IF($A180="","",SUMIFS(請求台帳!$F$5:$F$504,請求台帳!$C$5:$C$504,$A180,請求台帳!$B$5:$B$504,"&gt;="&amp;Q$3,請求台帳!$B$5:$B$504,"&lt;"&amp;DATE(YEAR(Q$3),MONTH(Q$3)+1,1),請求台帳!$Q$5:$Q$504,"&lt;&gt;取消"))</f>
        <v/>
      </c>
      <c r="R180" s="27" t="str">
        <f aca="false">IF($A180="","",SUMIFS(入金明細!$E$5:$E$1004,入金明細!$G$5:$G$1004,$A180,入金明細!$B$5:$B$1004,"&gt;="&amp;Q$3,入金明細!$B$5:$B$1004,"&lt;"&amp;DATE(YEAR(Q$3),MONTH(Q$3)+1,1)))</f>
        <v/>
      </c>
      <c r="S180" s="27" t="str">
        <f aca="false">IF($A180="","",SUMIFS(請求台帳!$F$5:$F$504,請求台帳!$C$5:$C$504,$A180,請求台帳!$B$5:$B$504,"&gt;="&amp;S$3,請求台帳!$B$5:$B$504,"&lt;"&amp;DATE(YEAR(S$3),MONTH(S$3)+1,1),請求台帳!$Q$5:$Q$504,"&lt;&gt;取消"))</f>
        <v/>
      </c>
      <c r="T180" s="27" t="str">
        <f aca="false">IF($A180="","",SUMIFS(入金明細!$E$5:$E$1004,入金明細!$G$5:$G$1004,$A180,入金明細!$B$5:$B$1004,"&gt;="&amp;S$3,入金明細!$B$5:$B$1004,"&lt;"&amp;DATE(YEAR(S$3),MONTH(S$3)+1,1)))</f>
        <v/>
      </c>
      <c r="U180" s="27" t="str">
        <f aca="false">IF($A180="","",SUMIFS(請求台帳!$F$5:$F$504,請求台帳!$C$5:$C$504,$A180,請求台帳!$B$5:$B$504,"&gt;="&amp;U$3,請求台帳!$B$5:$B$504,"&lt;"&amp;DATE(YEAR(U$3),MONTH(U$3)+1,1),請求台帳!$Q$5:$Q$504,"&lt;&gt;取消"))</f>
        <v/>
      </c>
      <c r="V180" s="27" t="str">
        <f aca="false">IF($A180="","",SUMIFS(入金明細!$E$5:$E$1004,入金明細!$G$5:$G$1004,$A180,入金明細!$B$5:$B$1004,"&gt;="&amp;U$3,入金明細!$B$5:$B$1004,"&lt;"&amp;DATE(YEAR(U$3),MONTH(U$3)+1,1)))</f>
        <v/>
      </c>
      <c r="W180" s="27" t="str">
        <f aca="false">IF($A180="","",SUMIFS(請求台帳!$F$5:$F$504,請求台帳!$C$5:$C$504,$A180,請求台帳!$B$5:$B$504,"&gt;="&amp;W$3,請求台帳!$B$5:$B$504,"&lt;"&amp;DATE(YEAR(W$3),MONTH(W$3)+1,1),請求台帳!$Q$5:$Q$504,"&lt;&gt;取消"))</f>
        <v/>
      </c>
      <c r="X180" s="27" t="str">
        <f aca="false">IF($A180="","",SUMIFS(入金明細!$E$5:$E$1004,入金明細!$G$5:$G$1004,$A180,入金明細!$B$5:$B$1004,"&gt;="&amp;W$3,入金明細!$B$5:$B$1004,"&lt;"&amp;DATE(YEAR(W$3),MONTH(W$3)+1,1)))</f>
        <v/>
      </c>
      <c r="Y180" s="27" t="str">
        <f aca="false">IF($A180="","",SUMIFS(請求台帳!$F$5:$F$504,請求台帳!$C$5:$C$504,$A180,請求台帳!$B$5:$B$504,"&gt;="&amp;Y$3,請求台帳!$B$5:$B$504,"&lt;"&amp;DATE(YEAR(Y$3),MONTH(Y$3)+1,1),請求台帳!$Q$5:$Q$504,"&lt;&gt;取消"))</f>
        <v/>
      </c>
      <c r="Z180" s="27" t="str">
        <f aca="false">IF($A180="","",SUMIFS(入金明細!$E$5:$E$1004,入金明細!$G$5:$G$1004,$A180,入金明細!$B$5:$B$1004,"&gt;="&amp;Y$3,入金明細!$B$5:$B$1004,"&lt;"&amp;DATE(YEAR(Y$3),MONTH(Y$3)+1,1)))</f>
        <v/>
      </c>
      <c r="AA180" s="37" t="n">
        <f aca="false">SUM(C180,E180,G180,I180,K180,M180,O180,Q180,S180,U180,W180,Y180)</f>
        <v>0</v>
      </c>
      <c r="AB180" s="37" t="n">
        <f aca="false">SUM(D180,F180,H180,J180,L180,N180,P180,R180,T180,V180,X180,Z180)</f>
        <v>0</v>
      </c>
    </row>
    <row r="181" customFormat="false" ht="15" hidden="false" customHeight="false" outlineLevel="0" collapsed="false">
      <c r="A181" s="31" t="str">
        <f aca="false">IF(取引先マスタ!A181="","",取引先マスタ!A181)</f>
        <v/>
      </c>
      <c r="B181" s="31" t="str">
        <f aca="false">IF(A181="","",取引先マスタ!B181)</f>
        <v/>
      </c>
      <c r="C181" s="27" t="str">
        <f aca="false">IF($A181="","",SUMIFS(請求台帳!$F$5:$F$504,請求台帳!$C$5:$C$504,$A181,請求台帳!$B$5:$B$504,"&gt;="&amp;C$3,請求台帳!$B$5:$B$504,"&lt;"&amp;DATE(YEAR(C$3),MONTH(C$3)+1,1),請求台帳!$Q$5:$Q$504,"&lt;&gt;取消"))</f>
        <v/>
      </c>
      <c r="D181" s="27" t="str">
        <f aca="false">IF($A181="","",SUMIFS(入金明細!$E$5:$E$1004,入金明細!$G$5:$G$1004,$A181,入金明細!$B$5:$B$1004,"&gt;="&amp;C$3,入金明細!$B$5:$B$1004,"&lt;"&amp;DATE(YEAR(C$3),MONTH(C$3)+1,1)))</f>
        <v/>
      </c>
      <c r="E181" s="27" t="str">
        <f aca="false">IF($A181="","",SUMIFS(請求台帳!$F$5:$F$504,請求台帳!$C$5:$C$504,$A181,請求台帳!$B$5:$B$504,"&gt;="&amp;E$3,請求台帳!$B$5:$B$504,"&lt;"&amp;DATE(YEAR(E$3),MONTH(E$3)+1,1),請求台帳!$Q$5:$Q$504,"&lt;&gt;取消"))</f>
        <v/>
      </c>
      <c r="F181" s="27" t="str">
        <f aca="false">IF($A181="","",SUMIFS(入金明細!$E$5:$E$1004,入金明細!$G$5:$G$1004,$A181,入金明細!$B$5:$B$1004,"&gt;="&amp;E$3,入金明細!$B$5:$B$1004,"&lt;"&amp;DATE(YEAR(E$3),MONTH(E$3)+1,1)))</f>
        <v/>
      </c>
      <c r="G181" s="27" t="str">
        <f aca="false">IF($A181="","",SUMIFS(請求台帳!$F$5:$F$504,請求台帳!$C$5:$C$504,$A181,請求台帳!$B$5:$B$504,"&gt;="&amp;G$3,請求台帳!$B$5:$B$504,"&lt;"&amp;DATE(YEAR(G$3),MONTH(G$3)+1,1),請求台帳!$Q$5:$Q$504,"&lt;&gt;取消"))</f>
        <v/>
      </c>
      <c r="H181" s="27" t="str">
        <f aca="false">IF($A181="","",SUMIFS(入金明細!$E$5:$E$1004,入金明細!$G$5:$G$1004,$A181,入金明細!$B$5:$B$1004,"&gt;="&amp;G$3,入金明細!$B$5:$B$1004,"&lt;"&amp;DATE(YEAR(G$3),MONTH(G$3)+1,1)))</f>
        <v/>
      </c>
      <c r="I181" s="27" t="str">
        <f aca="false">IF($A181="","",SUMIFS(請求台帳!$F$5:$F$504,請求台帳!$C$5:$C$504,$A181,請求台帳!$B$5:$B$504,"&gt;="&amp;I$3,請求台帳!$B$5:$B$504,"&lt;"&amp;DATE(YEAR(I$3),MONTH(I$3)+1,1),請求台帳!$Q$5:$Q$504,"&lt;&gt;取消"))</f>
        <v/>
      </c>
      <c r="J181" s="27" t="str">
        <f aca="false">IF($A181="","",SUMIFS(入金明細!$E$5:$E$1004,入金明細!$G$5:$G$1004,$A181,入金明細!$B$5:$B$1004,"&gt;="&amp;I$3,入金明細!$B$5:$B$1004,"&lt;"&amp;DATE(YEAR(I$3),MONTH(I$3)+1,1)))</f>
        <v/>
      </c>
      <c r="K181" s="27" t="str">
        <f aca="false">IF($A181="","",SUMIFS(請求台帳!$F$5:$F$504,請求台帳!$C$5:$C$504,$A181,請求台帳!$B$5:$B$504,"&gt;="&amp;K$3,請求台帳!$B$5:$B$504,"&lt;"&amp;DATE(YEAR(K$3),MONTH(K$3)+1,1),請求台帳!$Q$5:$Q$504,"&lt;&gt;取消"))</f>
        <v/>
      </c>
      <c r="L181" s="27" t="str">
        <f aca="false">IF($A181="","",SUMIFS(入金明細!$E$5:$E$1004,入金明細!$G$5:$G$1004,$A181,入金明細!$B$5:$B$1004,"&gt;="&amp;K$3,入金明細!$B$5:$B$1004,"&lt;"&amp;DATE(YEAR(K$3),MONTH(K$3)+1,1)))</f>
        <v/>
      </c>
      <c r="M181" s="27" t="str">
        <f aca="false">IF($A181="","",SUMIFS(請求台帳!$F$5:$F$504,請求台帳!$C$5:$C$504,$A181,請求台帳!$B$5:$B$504,"&gt;="&amp;M$3,請求台帳!$B$5:$B$504,"&lt;"&amp;DATE(YEAR(M$3),MONTH(M$3)+1,1),請求台帳!$Q$5:$Q$504,"&lt;&gt;取消"))</f>
        <v/>
      </c>
      <c r="N181" s="27" t="str">
        <f aca="false">IF($A181="","",SUMIFS(入金明細!$E$5:$E$1004,入金明細!$G$5:$G$1004,$A181,入金明細!$B$5:$B$1004,"&gt;="&amp;M$3,入金明細!$B$5:$B$1004,"&lt;"&amp;DATE(YEAR(M$3),MONTH(M$3)+1,1)))</f>
        <v/>
      </c>
      <c r="O181" s="27" t="str">
        <f aca="false">IF($A181="","",SUMIFS(請求台帳!$F$5:$F$504,請求台帳!$C$5:$C$504,$A181,請求台帳!$B$5:$B$504,"&gt;="&amp;O$3,請求台帳!$B$5:$B$504,"&lt;"&amp;DATE(YEAR(O$3),MONTH(O$3)+1,1),請求台帳!$Q$5:$Q$504,"&lt;&gt;取消"))</f>
        <v/>
      </c>
      <c r="P181" s="27" t="str">
        <f aca="false">IF($A181="","",SUMIFS(入金明細!$E$5:$E$1004,入金明細!$G$5:$G$1004,$A181,入金明細!$B$5:$B$1004,"&gt;="&amp;O$3,入金明細!$B$5:$B$1004,"&lt;"&amp;DATE(YEAR(O$3),MONTH(O$3)+1,1)))</f>
        <v/>
      </c>
      <c r="Q181" s="27" t="str">
        <f aca="false">IF($A181="","",SUMIFS(請求台帳!$F$5:$F$504,請求台帳!$C$5:$C$504,$A181,請求台帳!$B$5:$B$504,"&gt;="&amp;Q$3,請求台帳!$B$5:$B$504,"&lt;"&amp;DATE(YEAR(Q$3),MONTH(Q$3)+1,1),請求台帳!$Q$5:$Q$504,"&lt;&gt;取消"))</f>
        <v/>
      </c>
      <c r="R181" s="27" t="str">
        <f aca="false">IF($A181="","",SUMIFS(入金明細!$E$5:$E$1004,入金明細!$G$5:$G$1004,$A181,入金明細!$B$5:$B$1004,"&gt;="&amp;Q$3,入金明細!$B$5:$B$1004,"&lt;"&amp;DATE(YEAR(Q$3),MONTH(Q$3)+1,1)))</f>
        <v/>
      </c>
      <c r="S181" s="27" t="str">
        <f aca="false">IF($A181="","",SUMIFS(請求台帳!$F$5:$F$504,請求台帳!$C$5:$C$504,$A181,請求台帳!$B$5:$B$504,"&gt;="&amp;S$3,請求台帳!$B$5:$B$504,"&lt;"&amp;DATE(YEAR(S$3),MONTH(S$3)+1,1),請求台帳!$Q$5:$Q$504,"&lt;&gt;取消"))</f>
        <v/>
      </c>
      <c r="T181" s="27" t="str">
        <f aca="false">IF($A181="","",SUMIFS(入金明細!$E$5:$E$1004,入金明細!$G$5:$G$1004,$A181,入金明細!$B$5:$B$1004,"&gt;="&amp;S$3,入金明細!$B$5:$B$1004,"&lt;"&amp;DATE(YEAR(S$3),MONTH(S$3)+1,1)))</f>
        <v/>
      </c>
      <c r="U181" s="27" t="str">
        <f aca="false">IF($A181="","",SUMIFS(請求台帳!$F$5:$F$504,請求台帳!$C$5:$C$504,$A181,請求台帳!$B$5:$B$504,"&gt;="&amp;U$3,請求台帳!$B$5:$B$504,"&lt;"&amp;DATE(YEAR(U$3),MONTH(U$3)+1,1),請求台帳!$Q$5:$Q$504,"&lt;&gt;取消"))</f>
        <v/>
      </c>
      <c r="V181" s="27" t="str">
        <f aca="false">IF($A181="","",SUMIFS(入金明細!$E$5:$E$1004,入金明細!$G$5:$G$1004,$A181,入金明細!$B$5:$B$1004,"&gt;="&amp;U$3,入金明細!$B$5:$B$1004,"&lt;"&amp;DATE(YEAR(U$3),MONTH(U$3)+1,1)))</f>
        <v/>
      </c>
      <c r="W181" s="27" t="str">
        <f aca="false">IF($A181="","",SUMIFS(請求台帳!$F$5:$F$504,請求台帳!$C$5:$C$504,$A181,請求台帳!$B$5:$B$504,"&gt;="&amp;W$3,請求台帳!$B$5:$B$504,"&lt;"&amp;DATE(YEAR(W$3),MONTH(W$3)+1,1),請求台帳!$Q$5:$Q$504,"&lt;&gt;取消"))</f>
        <v/>
      </c>
      <c r="X181" s="27" t="str">
        <f aca="false">IF($A181="","",SUMIFS(入金明細!$E$5:$E$1004,入金明細!$G$5:$G$1004,$A181,入金明細!$B$5:$B$1004,"&gt;="&amp;W$3,入金明細!$B$5:$B$1004,"&lt;"&amp;DATE(YEAR(W$3),MONTH(W$3)+1,1)))</f>
        <v/>
      </c>
      <c r="Y181" s="27" t="str">
        <f aca="false">IF($A181="","",SUMIFS(請求台帳!$F$5:$F$504,請求台帳!$C$5:$C$504,$A181,請求台帳!$B$5:$B$504,"&gt;="&amp;Y$3,請求台帳!$B$5:$B$504,"&lt;"&amp;DATE(YEAR(Y$3),MONTH(Y$3)+1,1),請求台帳!$Q$5:$Q$504,"&lt;&gt;取消"))</f>
        <v/>
      </c>
      <c r="Z181" s="27" t="str">
        <f aca="false">IF($A181="","",SUMIFS(入金明細!$E$5:$E$1004,入金明細!$G$5:$G$1004,$A181,入金明細!$B$5:$B$1004,"&gt;="&amp;Y$3,入金明細!$B$5:$B$1004,"&lt;"&amp;DATE(YEAR(Y$3),MONTH(Y$3)+1,1)))</f>
        <v/>
      </c>
      <c r="AA181" s="37" t="n">
        <f aca="false">SUM(C181,E181,G181,I181,K181,M181,O181,Q181,S181,U181,W181,Y181)</f>
        <v>0</v>
      </c>
      <c r="AB181" s="37" t="n">
        <f aca="false">SUM(D181,F181,H181,J181,L181,N181,P181,R181,T181,V181,X181,Z181)</f>
        <v>0</v>
      </c>
    </row>
    <row r="182" customFormat="false" ht="15" hidden="false" customHeight="false" outlineLevel="0" collapsed="false">
      <c r="A182" s="31" t="str">
        <f aca="false">IF(取引先マスタ!A182="","",取引先マスタ!A182)</f>
        <v/>
      </c>
      <c r="B182" s="31" t="str">
        <f aca="false">IF(A182="","",取引先マスタ!B182)</f>
        <v/>
      </c>
      <c r="C182" s="27" t="str">
        <f aca="false">IF($A182="","",SUMIFS(請求台帳!$F$5:$F$504,請求台帳!$C$5:$C$504,$A182,請求台帳!$B$5:$B$504,"&gt;="&amp;C$3,請求台帳!$B$5:$B$504,"&lt;"&amp;DATE(YEAR(C$3),MONTH(C$3)+1,1),請求台帳!$Q$5:$Q$504,"&lt;&gt;取消"))</f>
        <v/>
      </c>
      <c r="D182" s="27" t="str">
        <f aca="false">IF($A182="","",SUMIFS(入金明細!$E$5:$E$1004,入金明細!$G$5:$G$1004,$A182,入金明細!$B$5:$B$1004,"&gt;="&amp;C$3,入金明細!$B$5:$B$1004,"&lt;"&amp;DATE(YEAR(C$3),MONTH(C$3)+1,1)))</f>
        <v/>
      </c>
      <c r="E182" s="27" t="str">
        <f aca="false">IF($A182="","",SUMIFS(請求台帳!$F$5:$F$504,請求台帳!$C$5:$C$504,$A182,請求台帳!$B$5:$B$504,"&gt;="&amp;E$3,請求台帳!$B$5:$B$504,"&lt;"&amp;DATE(YEAR(E$3),MONTH(E$3)+1,1),請求台帳!$Q$5:$Q$504,"&lt;&gt;取消"))</f>
        <v/>
      </c>
      <c r="F182" s="27" t="str">
        <f aca="false">IF($A182="","",SUMIFS(入金明細!$E$5:$E$1004,入金明細!$G$5:$G$1004,$A182,入金明細!$B$5:$B$1004,"&gt;="&amp;E$3,入金明細!$B$5:$B$1004,"&lt;"&amp;DATE(YEAR(E$3),MONTH(E$3)+1,1)))</f>
        <v/>
      </c>
      <c r="G182" s="27" t="str">
        <f aca="false">IF($A182="","",SUMIFS(請求台帳!$F$5:$F$504,請求台帳!$C$5:$C$504,$A182,請求台帳!$B$5:$B$504,"&gt;="&amp;G$3,請求台帳!$B$5:$B$504,"&lt;"&amp;DATE(YEAR(G$3),MONTH(G$3)+1,1),請求台帳!$Q$5:$Q$504,"&lt;&gt;取消"))</f>
        <v/>
      </c>
      <c r="H182" s="27" t="str">
        <f aca="false">IF($A182="","",SUMIFS(入金明細!$E$5:$E$1004,入金明細!$G$5:$G$1004,$A182,入金明細!$B$5:$B$1004,"&gt;="&amp;G$3,入金明細!$B$5:$B$1004,"&lt;"&amp;DATE(YEAR(G$3),MONTH(G$3)+1,1)))</f>
        <v/>
      </c>
      <c r="I182" s="27" t="str">
        <f aca="false">IF($A182="","",SUMIFS(請求台帳!$F$5:$F$504,請求台帳!$C$5:$C$504,$A182,請求台帳!$B$5:$B$504,"&gt;="&amp;I$3,請求台帳!$B$5:$B$504,"&lt;"&amp;DATE(YEAR(I$3),MONTH(I$3)+1,1),請求台帳!$Q$5:$Q$504,"&lt;&gt;取消"))</f>
        <v/>
      </c>
      <c r="J182" s="27" t="str">
        <f aca="false">IF($A182="","",SUMIFS(入金明細!$E$5:$E$1004,入金明細!$G$5:$G$1004,$A182,入金明細!$B$5:$B$1004,"&gt;="&amp;I$3,入金明細!$B$5:$B$1004,"&lt;"&amp;DATE(YEAR(I$3),MONTH(I$3)+1,1)))</f>
        <v/>
      </c>
      <c r="K182" s="27" t="str">
        <f aca="false">IF($A182="","",SUMIFS(請求台帳!$F$5:$F$504,請求台帳!$C$5:$C$504,$A182,請求台帳!$B$5:$B$504,"&gt;="&amp;K$3,請求台帳!$B$5:$B$504,"&lt;"&amp;DATE(YEAR(K$3),MONTH(K$3)+1,1),請求台帳!$Q$5:$Q$504,"&lt;&gt;取消"))</f>
        <v/>
      </c>
      <c r="L182" s="27" t="str">
        <f aca="false">IF($A182="","",SUMIFS(入金明細!$E$5:$E$1004,入金明細!$G$5:$G$1004,$A182,入金明細!$B$5:$B$1004,"&gt;="&amp;K$3,入金明細!$B$5:$B$1004,"&lt;"&amp;DATE(YEAR(K$3),MONTH(K$3)+1,1)))</f>
        <v/>
      </c>
      <c r="M182" s="27" t="str">
        <f aca="false">IF($A182="","",SUMIFS(請求台帳!$F$5:$F$504,請求台帳!$C$5:$C$504,$A182,請求台帳!$B$5:$B$504,"&gt;="&amp;M$3,請求台帳!$B$5:$B$504,"&lt;"&amp;DATE(YEAR(M$3),MONTH(M$3)+1,1),請求台帳!$Q$5:$Q$504,"&lt;&gt;取消"))</f>
        <v/>
      </c>
      <c r="N182" s="27" t="str">
        <f aca="false">IF($A182="","",SUMIFS(入金明細!$E$5:$E$1004,入金明細!$G$5:$G$1004,$A182,入金明細!$B$5:$B$1004,"&gt;="&amp;M$3,入金明細!$B$5:$B$1004,"&lt;"&amp;DATE(YEAR(M$3),MONTH(M$3)+1,1)))</f>
        <v/>
      </c>
      <c r="O182" s="27" t="str">
        <f aca="false">IF($A182="","",SUMIFS(請求台帳!$F$5:$F$504,請求台帳!$C$5:$C$504,$A182,請求台帳!$B$5:$B$504,"&gt;="&amp;O$3,請求台帳!$B$5:$B$504,"&lt;"&amp;DATE(YEAR(O$3),MONTH(O$3)+1,1),請求台帳!$Q$5:$Q$504,"&lt;&gt;取消"))</f>
        <v/>
      </c>
      <c r="P182" s="27" t="str">
        <f aca="false">IF($A182="","",SUMIFS(入金明細!$E$5:$E$1004,入金明細!$G$5:$G$1004,$A182,入金明細!$B$5:$B$1004,"&gt;="&amp;O$3,入金明細!$B$5:$B$1004,"&lt;"&amp;DATE(YEAR(O$3),MONTH(O$3)+1,1)))</f>
        <v/>
      </c>
      <c r="Q182" s="27" t="str">
        <f aca="false">IF($A182="","",SUMIFS(請求台帳!$F$5:$F$504,請求台帳!$C$5:$C$504,$A182,請求台帳!$B$5:$B$504,"&gt;="&amp;Q$3,請求台帳!$B$5:$B$504,"&lt;"&amp;DATE(YEAR(Q$3),MONTH(Q$3)+1,1),請求台帳!$Q$5:$Q$504,"&lt;&gt;取消"))</f>
        <v/>
      </c>
      <c r="R182" s="27" t="str">
        <f aca="false">IF($A182="","",SUMIFS(入金明細!$E$5:$E$1004,入金明細!$G$5:$G$1004,$A182,入金明細!$B$5:$B$1004,"&gt;="&amp;Q$3,入金明細!$B$5:$B$1004,"&lt;"&amp;DATE(YEAR(Q$3),MONTH(Q$3)+1,1)))</f>
        <v/>
      </c>
      <c r="S182" s="27" t="str">
        <f aca="false">IF($A182="","",SUMIFS(請求台帳!$F$5:$F$504,請求台帳!$C$5:$C$504,$A182,請求台帳!$B$5:$B$504,"&gt;="&amp;S$3,請求台帳!$B$5:$B$504,"&lt;"&amp;DATE(YEAR(S$3),MONTH(S$3)+1,1),請求台帳!$Q$5:$Q$504,"&lt;&gt;取消"))</f>
        <v/>
      </c>
      <c r="T182" s="27" t="str">
        <f aca="false">IF($A182="","",SUMIFS(入金明細!$E$5:$E$1004,入金明細!$G$5:$G$1004,$A182,入金明細!$B$5:$B$1004,"&gt;="&amp;S$3,入金明細!$B$5:$B$1004,"&lt;"&amp;DATE(YEAR(S$3),MONTH(S$3)+1,1)))</f>
        <v/>
      </c>
      <c r="U182" s="27" t="str">
        <f aca="false">IF($A182="","",SUMIFS(請求台帳!$F$5:$F$504,請求台帳!$C$5:$C$504,$A182,請求台帳!$B$5:$B$504,"&gt;="&amp;U$3,請求台帳!$B$5:$B$504,"&lt;"&amp;DATE(YEAR(U$3),MONTH(U$3)+1,1),請求台帳!$Q$5:$Q$504,"&lt;&gt;取消"))</f>
        <v/>
      </c>
      <c r="V182" s="27" t="str">
        <f aca="false">IF($A182="","",SUMIFS(入金明細!$E$5:$E$1004,入金明細!$G$5:$G$1004,$A182,入金明細!$B$5:$B$1004,"&gt;="&amp;U$3,入金明細!$B$5:$B$1004,"&lt;"&amp;DATE(YEAR(U$3),MONTH(U$3)+1,1)))</f>
        <v/>
      </c>
      <c r="W182" s="27" t="str">
        <f aca="false">IF($A182="","",SUMIFS(請求台帳!$F$5:$F$504,請求台帳!$C$5:$C$504,$A182,請求台帳!$B$5:$B$504,"&gt;="&amp;W$3,請求台帳!$B$5:$B$504,"&lt;"&amp;DATE(YEAR(W$3),MONTH(W$3)+1,1),請求台帳!$Q$5:$Q$504,"&lt;&gt;取消"))</f>
        <v/>
      </c>
      <c r="X182" s="27" t="str">
        <f aca="false">IF($A182="","",SUMIFS(入金明細!$E$5:$E$1004,入金明細!$G$5:$G$1004,$A182,入金明細!$B$5:$B$1004,"&gt;="&amp;W$3,入金明細!$B$5:$B$1004,"&lt;"&amp;DATE(YEAR(W$3),MONTH(W$3)+1,1)))</f>
        <v/>
      </c>
      <c r="Y182" s="27" t="str">
        <f aca="false">IF($A182="","",SUMIFS(請求台帳!$F$5:$F$504,請求台帳!$C$5:$C$504,$A182,請求台帳!$B$5:$B$504,"&gt;="&amp;Y$3,請求台帳!$B$5:$B$504,"&lt;"&amp;DATE(YEAR(Y$3),MONTH(Y$3)+1,1),請求台帳!$Q$5:$Q$504,"&lt;&gt;取消"))</f>
        <v/>
      </c>
      <c r="Z182" s="27" t="str">
        <f aca="false">IF($A182="","",SUMIFS(入金明細!$E$5:$E$1004,入金明細!$G$5:$G$1004,$A182,入金明細!$B$5:$B$1004,"&gt;="&amp;Y$3,入金明細!$B$5:$B$1004,"&lt;"&amp;DATE(YEAR(Y$3),MONTH(Y$3)+1,1)))</f>
        <v/>
      </c>
      <c r="AA182" s="37" t="n">
        <f aca="false">SUM(C182,E182,G182,I182,K182,M182,O182,Q182,S182,U182,W182,Y182)</f>
        <v>0</v>
      </c>
      <c r="AB182" s="37" t="n">
        <f aca="false">SUM(D182,F182,H182,J182,L182,N182,P182,R182,T182,V182,X182,Z182)</f>
        <v>0</v>
      </c>
    </row>
    <row r="183" customFormat="false" ht="15" hidden="false" customHeight="false" outlineLevel="0" collapsed="false">
      <c r="A183" s="31" t="str">
        <f aca="false">IF(取引先マスタ!A183="","",取引先マスタ!A183)</f>
        <v/>
      </c>
      <c r="B183" s="31" t="str">
        <f aca="false">IF(A183="","",取引先マスタ!B183)</f>
        <v/>
      </c>
      <c r="C183" s="27" t="str">
        <f aca="false">IF($A183="","",SUMIFS(請求台帳!$F$5:$F$504,請求台帳!$C$5:$C$504,$A183,請求台帳!$B$5:$B$504,"&gt;="&amp;C$3,請求台帳!$B$5:$B$504,"&lt;"&amp;DATE(YEAR(C$3),MONTH(C$3)+1,1),請求台帳!$Q$5:$Q$504,"&lt;&gt;取消"))</f>
        <v/>
      </c>
      <c r="D183" s="27" t="str">
        <f aca="false">IF($A183="","",SUMIFS(入金明細!$E$5:$E$1004,入金明細!$G$5:$G$1004,$A183,入金明細!$B$5:$B$1004,"&gt;="&amp;C$3,入金明細!$B$5:$B$1004,"&lt;"&amp;DATE(YEAR(C$3),MONTH(C$3)+1,1)))</f>
        <v/>
      </c>
      <c r="E183" s="27" t="str">
        <f aca="false">IF($A183="","",SUMIFS(請求台帳!$F$5:$F$504,請求台帳!$C$5:$C$504,$A183,請求台帳!$B$5:$B$504,"&gt;="&amp;E$3,請求台帳!$B$5:$B$504,"&lt;"&amp;DATE(YEAR(E$3),MONTH(E$3)+1,1),請求台帳!$Q$5:$Q$504,"&lt;&gt;取消"))</f>
        <v/>
      </c>
      <c r="F183" s="27" t="str">
        <f aca="false">IF($A183="","",SUMIFS(入金明細!$E$5:$E$1004,入金明細!$G$5:$G$1004,$A183,入金明細!$B$5:$B$1004,"&gt;="&amp;E$3,入金明細!$B$5:$B$1004,"&lt;"&amp;DATE(YEAR(E$3),MONTH(E$3)+1,1)))</f>
        <v/>
      </c>
      <c r="G183" s="27" t="str">
        <f aca="false">IF($A183="","",SUMIFS(請求台帳!$F$5:$F$504,請求台帳!$C$5:$C$504,$A183,請求台帳!$B$5:$B$504,"&gt;="&amp;G$3,請求台帳!$B$5:$B$504,"&lt;"&amp;DATE(YEAR(G$3),MONTH(G$3)+1,1),請求台帳!$Q$5:$Q$504,"&lt;&gt;取消"))</f>
        <v/>
      </c>
      <c r="H183" s="27" t="str">
        <f aca="false">IF($A183="","",SUMIFS(入金明細!$E$5:$E$1004,入金明細!$G$5:$G$1004,$A183,入金明細!$B$5:$B$1004,"&gt;="&amp;G$3,入金明細!$B$5:$B$1004,"&lt;"&amp;DATE(YEAR(G$3),MONTH(G$3)+1,1)))</f>
        <v/>
      </c>
      <c r="I183" s="27" t="str">
        <f aca="false">IF($A183="","",SUMIFS(請求台帳!$F$5:$F$504,請求台帳!$C$5:$C$504,$A183,請求台帳!$B$5:$B$504,"&gt;="&amp;I$3,請求台帳!$B$5:$B$504,"&lt;"&amp;DATE(YEAR(I$3),MONTH(I$3)+1,1),請求台帳!$Q$5:$Q$504,"&lt;&gt;取消"))</f>
        <v/>
      </c>
      <c r="J183" s="27" t="str">
        <f aca="false">IF($A183="","",SUMIFS(入金明細!$E$5:$E$1004,入金明細!$G$5:$G$1004,$A183,入金明細!$B$5:$B$1004,"&gt;="&amp;I$3,入金明細!$B$5:$B$1004,"&lt;"&amp;DATE(YEAR(I$3),MONTH(I$3)+1,1)))</f>
        <v/>
      </c>
      <c r="K183" s="27" t="str">
        <f aca="false">IF($A183="","",SUMIFS(請求台帳!$F$5:$F$504,請求台帳!$C$5:$C$504,$A183,請求台帳!$B$5:$B$504,"&gt;="&amp;K$3,請求台帳!$B$5:$B$504,"&lt;"&amp;DATE(YEAR(K$3),MONTH(K$3)+1,1),請求台帳!$Q$5:$Q$504,"&lt;&gt;取消"))</f>
        <v/>
      </c>
      <c r="L183" s="27" t="str">
        <f aca="false">IF($A183="","",SUMIFS(入金明細!$E$5:$E$1004,入金明細!$G$5:$G$1004,$A183,入金明細!$B$5:$B$1004,"&gt;="&amp;K$3,入金明細!$B$5:$B$1004,"&lt;"&amp;DATE(YEAR(K$3),MONTH(K$3)+1,1)))</f>
        <v/>
      </c>
      <c r="M183" s="27" t="str">
        <f aca="false">IF($A183="","",SUMIFS(請求台帳!$F$5:$F$504,請求台帳!$C$5:$C$504,$A183,請求台帳!$B$5:$B$504,"&gt;="&amp;M$3,請求台帳!$B$5:$B$504,"&lt;"&amp;DATE(YEAR(M$3),MONTH(M$3)+1,1),請求台帳!$Q$5:$Q$504,"&lt;&gt;取消"))</f>
        <v/>
      </c>
      <c r="N183" s="27" t="str">
        <f aca="false">IF($A183="","",SUMIFS(入金明細!$E$5:$E$1004,入金明細!$G$5:$G$1004,$A183,入金明細!$B$5:$B$1004,"&gt;="&amp;M$3,入金明細!$B$5:$B$1004,"&lt;"&amp;DATE(YEAR(M$3),MONTH(M$3)+1,1)))</f>
        <v/>
      </c>
      <c r="O183" s="27" t="str">
        <f aca="false">IF($A183="","",SUMIFS(請求台帳!$F$5:$F$504,請求台帳!$C$5:$C$504,$A183,請求台帳!$B$5:$B$504,"&gt;="&amp;O$3,請求台帳!$B$5:$B$504,"&lt;"&amp;DATE(YEAR(O$3),MONTH(O$3)+1,1),請求台帳!$Q$5:$Q$504,"&lt;&gt;取消"))</f>
        <v/>
      </c>
      <c r="P183" s="27" t="str">
        <f aca="false">IF($A183="","",SUMIFS(入金明細!$E$5:$E$1004,入金明細!$G$5:$G$1004,$A183,入金明細!$B$5:$B$1004,"&gt;="&amp;O$3,入金明細!$B$5:$B$1004,"&lt;"&amp;DATE(YEAR(O$3),MONTH(O$3)+1,1)))</f>
        <v/>
      </c>
      <c r="Q183" s="27" t="str">
        <f aca="false">IF($A183="","",SUMIFS(請求台帳!$F$5:$F$504,請求台帳!$C$5:$C$504,$A183,請求台帳!$B$5:$B$504,"&gt;="&amp;Q$3,請求台帳!$B$5:$B$504,"&lt;"&amp;DATE(YEAR(Q$3),MONTH(Q$3)+1,1),請求台帳!$Q$5:$Q$504,"&lt;&gt;取消"))</f>
        <v/>
      </c>
      <c r="R183" s="27" t="str">
        <f aca="false">IF($A183="","",SUMIFS(入金明細!$E$5:$E$1004,入金明細!$G$5:$G$1004,$A183,入金明細!$B$5:$B$1004,"&gt;="&amp;Q$3,入金明細!$B$5:$B$1004,"&lt;"&amp;DATE(YEAR(Q$3),MONTH(Q$3)+1,1)))</f>
        <v/>
      </c>
      <c r="S183" s="27" t="str">
        <f aca="false">IF($A183="","",SUMIFS(請求台帳!$F$5:$F$504,請求台帳!$C$5:$C$504,$A183,請求台帳!$B$5:$B$504,"&gt;="&amp;S$3,請求台帳!$B$5:$B$504,"&lt;"&amp;DATE(YEAR(S$3),MONTH(S$3)+1,1),請求台帳!$Q$5:$Q$504,"&lt;&gt;取消"))</f>
        <v/>
      </c>
      <c r="T183" s="27" t="str">
        <f aca="false">IF($A183="","",SUMIFS(入金明細!$E$5:$E$1004,入金明細!$G$5:$G$1004,$A183,入金明細!$B$5:$B$1004,"&gt;="&amp;S$3,入金明細!$B$5:$B$1004,"&lt;"&amp;DATE(YEAR(S$3),MONTH(S$3)+1,1)))</f>
        <v/>
      </c>
      <c r="U183" s="27" t="str">
        <f aca="false">IF($A183="","",SUMIFS(請求台帳!$F$5:$F$504,請求台帳!$C$5:$C$504,$A183,請求台帳!$B$5:$B$504,"&gt;="&amp;U$3,請求台帳!$B$5:$B$504,"&lt;"&amp;DATE(YEAR(U$3),MONTH(U$3)+1,1),請求台帳!$Q$5:$Q$504,"&lt;&gt;取消"))</f>
        <v/>
      </c>
      <c r="V183" s="27" t="str">
        <f aca="false">IF($A183="","",SUMIFS(入金明細!$E$5:$E$1004,入金明細!$G$5:$G$1004,$A183,入金明細!$B$5:$B$1004,"&gt;="&amp;U$3,入金明細!$B$5:$B$1004,"&lt;"&amp;DATE(YEAR(U$3),MONTH(U$3)+1,1)))</f>
        <v/>
      </c>
      <c r="W183" s="27" t="str">
        <f aca="false">IF($A183="","",SUMIFS(請求台帳!$F$5:$F$504,請求台帳!$C$5:$C$504,$A183,請求台帳!$B$5:$B$504,"&gt;="&amp;W$3,請求台帳!$B$5:$B$504,"&lt;"&amp;DATE(YEAR(W$3),MONTH(W$3)+1,1),請求台帳!$Q$5:$Q$504,"&lt;&gt;取消"))</f>
        <v/>
      </c>
      <c r="X183" s="27" t="str">
        <f aca="false">IF($A183="","",SUMIFS(入金明細!$E$5:$E$1004,入金明細!$G$5:$G$1004,$A183,入金明細!$B$5:$B$1004,"&gt;="&amp;W$3,入金明細!$B$5:$B$1004,"&lt;"&amp;DATE(YEAR(W$3),MONTH(W$3)+1,1)))</f>
        <v/>
      </c>
      <c r="Y183" s="27" t="str">
        <f aca="false">IF($A183="","",SUMIFS(請求台帳!$F$5:$F$504,請求台帳!$C$5:$C$504,$A183,請求台帳!$B$5:$B$504,"&gt;="&amp;Y$3,請求台帳!$B$5:$B$504,"&lt;"&amp;DATE(YEAR(Y$3),MONTH(Y$3)+1,1),請求台帳!$Q$5:$Q$504,"&lt;&gt;取消"))</f>
        <v/>
      </c>
      <c r="Z183" s="27" t="str">
        <f aca="false">IF($A183="","",SUMIFS(入金明細!$E$5:$E$1004,入金明細!$G$5:$G$1004,$A183,入金明細!$B$5:$B$1004,"&gt;="&amp;Y$3,入金明細!$B$5:$B$1004,"&lt;"&amp;DATE(YEAR(Y$3),MONTH(Y$3)+1,1)))</f>
        <v/>
      </c>
      <c r="AA183" s="37" t="n">
        <f aca="false">SUM(C183,E183,G183,I183,K183,M183,O183,Q183,S183,U183,W183,Y183)</f>
        <v>0</v>
      </c>
      <c r="AB183" s="37" t="n">
        <f aca="false">SUM(D183,F183,H183,J183,L183,N183,P183,R183,T183,V183,X183,Z183)</f>
        <v>0</v>
      </c>
    </row>
    <row r="184" customFormat="false" ht="15" hidden="false" customHeight="false" outlineLevel="0" collapsed="false">
      <c r="A184" s="31" t="str">
        <f aca="false">IF(取引先マスタ!A184="","",取引先マスタ!A184)</f>
        <v/>
      </c>
      <c r="B184" s="31" t="str">
        <f aca="false">IF(A184="","",取引先マスタ!B184)</f>
        <v/>
      </c>
      <c r="C184" s="27" t="str">
        <f aca="false">IF($A184="","",SUMIFS(請求台帳!$F$5:$F$504,請求台帳!$C$5:$C$504,$A184,請求台帳!$B$5:$B$504,"&gt;="&amp;C$3,請求台帳!$B$5:$B$504,"&lt;"&amp;DATE(YEAR(C$3),MONTH(C$3)+1,1),請求台帳!$Q$5:$Q$504,"&lt;&gt;取消"))</f>
        <v/>
      </c>
      <c r="D184" s="27" t="str">
        <f aca="false">IF($A184="","",SUMIFS(入金明細!$E$5:$E$1004,入金明細!$G$5:$G$1004,$A184,入金明細!$B$5:$B$1004,"&gt;="&amp;C$3,入金明細!$B$5:$B$1004,"&lt;"&amp;DATE(YEAR(C$3),MONTH(C$3)+1,1)))</f>
        <v/>
      </c>
      <c r="E184" s="27" t="str">
        <f aca="false">IF($A184="","",SUMIFS(請求台帳!$F$5:$F$504,請求台帳!$C$5:$C$504,$A184,請求台帳!$B$5:$B$504,"&gt;="&amp;E$3,請求台帳!$B$5:$B$504,"&lt;"&amp;DATE(YEAR(E$3),MONTH(E$3)+1,1),請求台帳!$Q$5:$Q$504,"&lt;&gt;取消"))</f>
        <v/>
      </c>
      <c r="F184" s="27" t="str">
        <f aca="false">IF($A184="","",SUMIFS(入金明細!$E$5:$E$1004,入金明細!$G$5:$G$1004,$A184,入金明細!$B$5:$B$1004,"&gt;="&amp;E$3,入金明細!$B$5:$B$1004,"&lt;"&amp;DATE(YEAR(E$3),MONTH(E$3)+1,1)))</f>
        <v/>
      </c>
      <c r="G184" s="27" t="str">
        <f aca="false">IF($A184="","",SUMIFS(請求台帳!$F$5:$F$504,請求台帳!$C$5:$C$504,$A184,請求台帳!$B$5:$B$504,"&gt;="&amp;G$3,請求台帳!$B$5:$B$504,"&lt;"&amp;DATE(YEAR(G$3),MONTH(G$3)+1,1),請求台帳!$Q$5:$Q$504,"&lt;&gt;取消"))</f>
        <v/>
      </c>
      <c r="H184" s="27" t="str">
        <f aca="false">IF($A184="","",SUMIFS(入金明細!$E$5:$E$1004,入金明細!$G$5:$G$1004,$A184,入金明細!$B$5:$B$1004,"&gt;="&amp;G$3,入金明細!$B$5:$B$1004,"&lt;"&amp;DATE(YEAR(G$3),MONTH(G$3)+1,1)))</f>
        <v/>
      </c>
      <c r="I184" s="27" t="str">
        <f aca="false">IF($A184="","",SUMIFS(請求台帳!$F$5:$F$504,請求台帳!$C$5:$C$504,$A184,請求台帳!$B$5:$B$504,"&gt;="&amp;I$3,請求台帳!$B$5:$B$504,"&lt;"&amp;DATE(YEAR(I$3),MONTH(I$3)+1,1),請求台帳!$Q$5:$Q$504,"&lt;&gt;取消"))</f>
        <v/>
      </c>
      <c r="J184" s="27" t="str">
        <f aca="false">IF($A184="","",SUMIFS(入金明細!$E$5:$E$1004,入金明細!$G$5:$G$1004,$A184,入金明細!$B$5:$B$1004,"&gt;="&amp;I$3,入金明細!$B$5:$B$1004,"&lt;"&amp;DATE(YEAR(I$3),MONTH(I$3)+1,1)))</f>
        <v/>
      </c>
      <c r="K184" s="27" t="str">
        <f aca="false">IF($A184="","",SUMIFS(請求台帳!$F$5:$F$504,請求台帳!$C$5:$C$504,$A184,請求台帳!$B$5:$B$504,"&gt;="&amp;K$3,請求台帳!$B$5:$B$504,"&lt;"&amp;DATE(YEAR(K$3),MONTH(K$3)+1,1),請求台帳!$Q$5:$Q$504,"&lt;&gt;取消"))</f>
        <v/>
      </c>
      <c r="L184" s="27" t="str">
        <f aca="false">IF($A184="","",SUMIFS(入金明細!$E$5:$E$1004,入金明細!$G$5:$G$1004,$A184,入金明細!$B$5:$B$1004,"&gt;="&amp;K$3,入金明細!$B$5:$B$1004,"&lt;"&amp;DATE(YEAR(K$3),MONTH(K$3)+1,1)))</f>
        <v/>
      </c>
      <c r="M184" s="27" t="str">
        <f aca="false">IF($A184="","",SUMIFS(請求台帳!$F$5:$F$504,請求台帳!$C$5:$C$504,$A184,請求台帳!$B$5:$B$504,"&gt;="&amp;M$3,請求台帳!$B$5:$B$504,"&lt;"&amp;DATE(YEAR(M$3),MONTH(M$3)+1,1),請求台帳!$Q$5:$Q$504,"&lt;&gt;取消"))</f>
        <v/>
      </c>
      <c r="N184" s="27" t="str">
        <f aca="false">IF($A184="","",SUMIFS(入金明細!$E$5:$E$1004,入金明細!$G$5:$G$1004,$A184,入金明細!$B$5:$B$1004,"&gt;="&amp;M$3,入金明細!$B$5:$B$1004,"&lt;"&amp;DATE(YEAR(M$3),MONTH(M$3)+1,1)))</f>
        <v/>
      </c>
      <c r="O184" s="27" t="str">
        <f aca="false">IF($A184="","",SUMIFS(請求台帳!$F$5:$F$504,請求台帳!$C$5:$C$504,$A184,請求台帳!$B$5:$B$504,"&gt;="&amp;O$3,請求台帳!$B$5:$B$504,"&lt;"&amp;DATE(YEAR(O$3),MONTH(O$3)+1,1),請求台帳!$Q$5:$Q$504,"&lt;&gt;取消"))</f>
        <v/>
      </c>
      <c r="P184" s="27" t="str">
        <f aca="false">IF($A184="","",SUMIFS(入金明細!$E$5:$E$1004,入金明細!$G$5:$G$1004,$A184,入金明細!$B$5:$B$1004,"&gt;="&amp;O$3,入金明細!$B$5:$B$1004,"&lt;"&amp;DATE(YEAR(O$3),MONTH(O$3)+1,1)))</f>
        <v/>
      </c>
      <c r="Q184" s="27" t="str">
        <f aca="false">IF($A184="","",SUMIFS(請求台帳!$F$5:$F$504,請求台帳!$C$5:$C$504,$A184,請求台帳!$B$5:$B$504,"&gt;="&amp;Q$3,請求台帳!$B$5:$B$504,"&lt;"&amp;DATE(YEAR(Q$3),MONTH(Q$3)+1,1),請求台帳!$Q$5:$Q$504,"&lt;&gt;取消"))</f>
        <v/>
      </c>
      <c r="R184" s="27" t="str">
        <f aca="false">IF($A184="","",SUMIFS(入金明細!$E$5:$E$1004,入金明細!$G$5:$G$1004,$A184,入金明細!$B$5:$B$1004,"&gt;="&amp;Q$3,入金明細!$B$5:$B$1004,"&lt;"&amp;DATE(YEAR(Q$3),MONTH(Q$3)+1,1)))</f>
        <v/>
      </c>
      <c r="S184" s="27" t="str">
        <f aca="false">IF($A184="","",SUMIFS(請求台帳!$F$5:$F$504,請求台帳!$C$5:$C$504,$A184,請求台帳!$B$5:$B$504,"&gt;="&amp;S$3,請求台帳!$B$5:$B$504,"&lt;"&amp;DATE(YEAR(S$3),MONTH(S$3)+1,1),請求台帳!$Q$5:$Q$504,"&lt;&gt;取消"))</f>
        <v/>
      </c>
      <c r="T184" s="27" t="str">
        <f aca="false">IF($A184="","",SUMIFS(入金明細!$E$5:$E$1004,入金明細!$G$5:$G$1004,$A184,入金明細!$B$5:$B$1004,"&gt;="&amp;S$3,入金明細!$B$5:$B$1004,"&lt;"&amp;DATE(YEAR(S$3),MONTH(S$3)+1,1)))</f>
        <v/>
      </c>
      <c r="U184" s="27" t="str">
        <f aca="false">IF($A184="","",SUMIFS(請求台帳!$F$5:$F$504,請求台帳!$C$5:$C$504,$A184,請求台帳!$B$5:$B$504,"&gt;="&amp;U$3,請求台帳!$B$5:$B$504,"&lt;"&amp;DATE(YEAR(U$3),MONTH(U$3)+1,1),請求台帳!$Q$5:$Q$504,"&lt;&gt;取消"))</f>
        <v/>
      </c>
      <c r="V184" s="27" t="str">
        <f aca="false">IF($A184="","",SUMIFS(入金明細!$E$5:$E$1004,入金明細!$G$5:$G$1004,$A184,入金明細!$B$5:$B$1004,"&gt;="&amp;U$3,入金明細!$B$5:$B$1004,"&lt;"&amp;DATE(YEAR(U$3),MONTH(U$3)+1,1)))</f>
        <v/>
      </c>
      <c r="W184" s="27" t="str">
        <f aca="false">IF($A184="","",SUMIFS(請求台帳!$F$5:$F$504,請求台帳!$C$5:$C$504,$A184,請求台帳!$B$5:$B$504,"&gt;="&amp;W$3,請求台帳!$B$5:$B$504,"&lt;"&amp;DATE(YEAR(W$3),MONTH(W$3)+1,1),請求台帳!$Q$5:$Q$504,"&lt;&gt;取消"))</f>
        <v/>
      </c>
      <c r="X184" s="27" t="str">
        <f aca="false">IF($A184="","",SUMIFS(入金明細!$E$5:$E$1004,入金明細!$G$5:$G$1004,$A184,入金明細!$B$5:$B$1004,"&gt;="&amp;W$3,入金明細!$B$5:$B$1004,"&lt;"&amp;DATE(YEAR(W$3),MONTH(W$3)+1,1)))</f>
        <v/>
      </c>
      <c r="Y184" s="27" t="str">
        <f aca="false">IF($A184="","",SUMIFS(請求台帳!$F$5:$F$504,請求台帳!$C$5:$C$504,$A184,請求台帳!$B$5:$B$504,"&gt;="&amp;Y$3,請求台帳!$B$5:$B$504,"&lt;"&amp;DATE(YEAR(Y$3),MONTH(Y$3)+1,1),請求台帳!$Q$5:$Q$504,"&lt;&gt;取消"))</f>
        <v/>
      </c>
      <c r="Z184" s="27" t="str">
        <f aca="false">IF($A184="","",SUMIFS(入金明細!$E$5:$E$1004,入金明細!$G$5:$G$1004,$A184,入金明細!$B$5:$B$1004,"&gt;="&amp;Y$3,入金明細!$B$5:$B$1004,"&lt;"&amp;DATE(YEAR(Y$3),MONTH(Y$3)+1,1)))</f>
        <v/>
      </c>
      <c r="AA184" s="37" t="n">
        <f aca="false">SUM(C184,E184,G184,I184,K184,M184,O184,Q184,S184,U184,W184,Y184)</f>
        <v>0</v>
      </c>
      <c r="AB184" s="37" t="n">
        <f aca="false">SUM(D184,F184,H184,J184,L184,N184,P184,R184,T184,V184,X184,Z184)</f>
        <v>0</v>
      </c>
    </row>
    <row r="185" customFormat="false" ht="15" hidden="false" customHeight="false" outlineLevel="0" collapsed="false">
      <c r="A185" s="31" t="str">
        <f aca="false">IF(取引先マスタ!A185="","",取引先マスタ!A185)</f>
        <v/>
      </c>
      <c r="B185" s="31" t="str">
        <f aca="false">IF(A185="","",取引先マスタ!B185)</f>
        <v/>
      </c>
      <c r="C185" s="27" t="str">
        <f aca="false">IF($A185="","",SUMIFS(請求台帳!$F$5:$F$504,請求台帳!$C$5:$C$504,$A185,請求台帳!$B$5:$B$504,"&gt;="&amp;C$3,請求台帳!$B$5:$B$504,"&lt;"&amp;DATE(YEAR(C$3),MONTH(C$3)+1,1),請求台帳!$Q$5:$Q$504,"&lt;&gt;取消"))</f>
        <v/>
      </c>
      <c r="D185" s="27" t="str">
        <f aca="false">IF($A185="","",SUMIFS(入金明細!$E$5:$E$1004,入金明細!$G$5:$G$1004,$A185,入金明細!$B$5:$B$1004,"&gt;="&amp;C$3,入金明細!$B$5:$B$1004,"&lt;"&amp;DATE(YEAR(C$3),MONTH(C$3)+1,1)))</f>
        <v/>
      </c>
      <c r="E185" s="27" t="str">
        <f aca="false">IF($A185="","",SUMIFS(請求台帳!$F$5:$F$504,請求台帳!$C$5:$C$504,$A185,請求台帳!$B$5:$B$504,"&gt;="&amp;E$3,請求台帳!$B$5:$B$504,"&lt;"&amp;DATE(YEAR(E$3),MONTH(E$3)+1,1),請求台帳!$Q$5:$Q$504,"&lt;&gt;取消"))</f>
        <v/>
      </c>
      <c r="F185" s="27" t="str">
        <f aca="false">IF($A185="","",SUMIFS(入金明細!$E$5:$E$1004,入金明細!$G$5:$G$1004,$A185,入金明細!$B$5:$B$1004,"&gt;="&amp;E$3,入金明細!$B$5:$B$1004,"&lt;"&amp;DATE(YEAR(E$3),MONTH(E$3)+1,1)))</f>
        <v/>
      </c>
      <c r="G185" s="27" t="str">
        <f aca="false">IF($A185="","",SUMIFS(請求台帳!$F$5:$F$504,請求台帳!$C$5:$C$504,$A185,請求台帳!$B$5:$B$504,"&gt;="&amp;G$3,請求台帳!$B$5:$B$504,"&lt;"&amp;DATE(YEAR(G$3),MONTH(G$3)+1,1),請求台帳!$Q$5:$Q$504,"&lt;&gt;取消"))</f>
        <v/>
      </c>
      <c r="H185" s="27" t="str">
        <f aca="false">IF($A185="","",SUMIFS(入金明細!$E$5:$E$1004,入金明細!$G$5:$G$1004,$A185,入金明細!$B$5:$B$1004,"&gt;="&amp;G$3,入金明細!$B$5:$B$1004,"&lt;"&amp;DATE(YEAR(G$3),MONTH(G$3)+1,1)))</f>
        <v/>
      </c>
      <c r="I185" s="27" t="str">
        <f aca="false">IF($A185="","",SUMIFS(請求台帳!$F$5:$F$504,請求台帳!$C$5:$C$504,$A185,請求台帳!$B$5:$B$504,"&gt;="&amp;I$3,請求台帳!$B$5:$B$504,"&lt;"&amp;DATE(YEAR(I$3),MONTH(I$3)+1,1),請求台帳!$Q$5:$Q$504,"&lt;&gt;取消"))</f>
        <v/>
      </c>
      <c r="J185" s="27" t="str">
        <f aca="false">IF($A185="","",SUMIFS(入金明細!$E$5:$E$1004,入金明細!$G$5:$G$1004,$A185,入金明細!$B$5:$B$1004,"&gt;="&amp;I$3,入金明細!$B$5:$B$1004,"&lt;"&amp;DATE(YEAR(I$3),MONTH(I$3)+1,1)))</f>
        <v/>
      </c>
      <c r="K185" s="27" t="str">
        <f aca="false">IF($A185="","",SUMIFS(請求台帳!$F$5:$F$504,請求台帳!$C$5:$C$504,$A185,請求台帳!$B$5:$B$504,"&gt;="&amp;K$3,請求台帳!$B$5:$B$504,"&lt;"&amp;DATE(YEAR(K$3),MONTH(K$3)+1,1),請求台帳!$Q$5:$Q$504,"&lt;&gt;取消"))</f>
        <v/>
      </c>
      <c r="L185" s="27" t="str">
        <f aca="false">IF($A185="","",SUMIFS(入金明細!$E$5:$E$1004,入金明細!$G$5:$G$1004,$A185,入金明細!$B$5:$B$1004,"&gt;="&amp;K$3,入金明細!$B$5:$B$1004,"&lt;"&amp;DATE(YEAR(K$3),MONTH(K$3)+1,1)))</f>
        <v/>
      </c>
      <c r="M185" s="27" t="str">
        <f aca="false">IF($A185="","",SUMIFS(請求台帳!$F$5:$F$504,請求台帳!$C$5:$C$504,$A185,請求台帳!$B$5:$B$504,"&gt;="&amp;M$3,請求台帳!$B$5:$B$504,"&lt;"&amp;DATE(YEAR(M$3),MONTH(M$3)+1,1),請求台帳!$Q$5:$Q$504,"&lt;&gt;取消"))</f>
        <v/>
      </c>
      <c r="N185" s="27" t="str">
        <f aca="false">IF($A185="","",SUMIFS(入金明細!$E$5:$E$1004,入金明細!$G$5:$G$1004,$A185,入金明細!$B$5:$B$1004,"&gt;="&amp;M$3,入金明細!$B$5:$B$1004,"&lt;"&amp;DATE(YEAR(M$3),MONTH(M$3)+1,1)))</f>
        <v/>
      </c>
      <c r="O185" s="27" t="str">
        <f aca="false">IF($A185="","",SUMIFS(請求台帳!$F$5:$F$504,請求台帳!$C$5:$C$504,$A185,請求台帳!$B$5:$B$504,"&gt;="&amp;O$3,請求台帳!$B$5:$B$504,"&lt;"&amp;DATE(YEAR(O$3),MONTH(O$3)+1,1),請求台帳!$Q$5:$Q$504,"&lt;&gt;取消"))</f>
        <v/>
      </c>
      <c r="P185" s="27" t="str">
        <f aca="false">IF($A185="","",SUMIFS(入金明細!$E$5:$E$1004,入金明細!$G$5:$G$1004,$A185,入金明細!$B$5:$B$1004,"&gt;="&amp;O$3,入金明細!$B$5:$B$1004,"&lt;"&amp;DATE(YEAR(O$3),MONTH(O$3)+1,1)))</f>
        <v/>
      </c>
      <c r="Q185" s="27" t="str">
        <f aca="false">IF($A185="","",SUMIFS(請求台帳!$F$5:$F$504,請求台帳!$C$5:$C$504,$A185,請求台帳!$B$5:$B$504,"&gt;="&amp;Q$3,請求台帳!$B$5:$B$504,"&lt;"&amp;DATE(YEAR(Q$3),MONTH(Q$3)+1,1),請求台帳!$Q$5:$Q$504,"&lt;&gt;取消"))</f>
        <v/>
      </c>
      <c r="R185" s="27" t="str">
        <f aca="false">IF($A185="","",SUMIFS(入金明細!$E$5:$E$1004,入金明細!$G$5:$G$1004,$A185,入金明細!$B$5:$B$1004,"&gt;="&amp;Q$3,入金明細!$B$5:$B$1004,"&lt;"&amp;DATE(YEAR(Q$3),MONTH(Q$3)+1,1)))</f>
        <v/>
      </c>
      <c r="S185" s="27" t="str">
        <f aca="false">IF($A185="","",SUMIFS(請求台帳!$F$5:$F$504,請求台帳!$C$5:$C$504,$A185,請求台帳!$B$5:$B$504,"&gt;="&amp;S$3,請求台帳!$B$5:$B$504,"&lt;"&amp;DATE(YEAR(S$3),MONTH(S$3)+1,1),請求台帳!$Q$5:$Q$504,"&lt;&gt;取消"))</f>
        <v/>
      </c>
      <c r="T185" s="27" t="str">
        <f aca="false">IF($A185="","",SUMIFS(入金明細!$E$5:$E$1004,入金明細!$G$5:$G$1004,$A185,入金明細!$B$5:$B$1004,"&gt;="&amp;S$3,入金明細!$B$5:$B$1004,"&lt;"&amp;DATE(YEAR(S$3),MONTH(S$3)+1,1)))</f>
        <v/>
      </c>
      <c r="U185" s="27" t="str">
        <f aca="false">IF($A185="","",SUMIFS(請求台帳!$F$5:$F$504,請求台帳!$C$5:$C$504,$A185,請求台帳!$B$5:$B$504,"&gt;="&amp;U$3,請求台帳!$B$5:$B$504,"&lt;"&amp;DATE(YEAR(U$3),MONTH(U$3)+1,1),請求台帳!$Q$5:$Q$504,"&lt;&gt;取消"))</f>
        <v/>
      </c>
      <c r="V185" s="27" t="str">
        <f aca="false">IF($A185="","",SUMIFS(入金明細!$E$5:$E$1004,入金明細!$G$5:$G$1004,$A185,入金明細!$B$5:$B$1004,"&gt;="&amp;U$3,入金明細!$B$5:$B$1004,"&lt;"&amp;DATE(YEAR(U$3),MONTH(U$3)+1,1)))</f>
        <v/>
      </c>
      <c r="W185" s="27" t="str">
        <f aca="false">IF($A185="","",SUMIFS(請求台帳!$F$5:$F$504,請求台帳!$C$5:$C$504,$A185,請求台帳!$B$5:$B$504,"&gt;="&amp;W$3,請求台帳!$B$5:$B$504,"&lt;"&amp;DATE(YEAR(W$3),MONTH(W$3)+1,1),請求台帳!$Q$5:$Q$504,"&lt;&gt;取消"))</f>
        <v/>
      </c>
      <c r="X185" s="27" t="str">
        <f aca="false">IF($A185="","",SUMIFS(入金明細!$E$5:$E$1004,入金明細!$G$5:$G$1004,$A185,入金明細!$B$5:$B$1004,"&gt;="&amp;W$3,入金明細!$B$5:$B$1004,"&lt;"&amp;DATE(YEAR(W$3),MONTH(W$3)+1,1)))</f>
        <v/>
      </c>
      <c r="Y185" s="27" t="str">
        <f aca="false">IF($A185="","",SUMIFS(請求台帳!$F$5:$F$504,請求台帳!$C$5:$C$504,$A185,請求台帳!$B$5:$B$504,"&gt;="&amp;Y$3,請求台帳!$B$5:$B$504,"&lt;"&amp;DATE(YEAR(Y$3),MONTH(Y$3)+1,1),請求台帳!$Q$5:$Q$504,"&lt;&gt;取消"))</f>
        <v/>
      </c>
      <c r="Z185" s="27" t="str">
        <f aca="false">IF($A185="","",SUMIFS(入金明細!$E$5:$E$1004,入金明細!$G$5:$G$1004,$A185,入金明細!$B$5:$B$1004,"&gt;="&amp;Y$3,入金明細!$B$5:$B$1004,"&lt;"&amp;DATE(YEAR(Y$3),MONTH(Y$3)+1,1)))</f>
        <v/>
      </c>
      <c r="AA185" s="37" t="n">
        <f aca="false">SUM(C185,E185,G185,I185,K185,M185,O185,Q185,S185,U185,W185,Y185)</f>
        <v>0</v>
      </c>
      <c r="AB185" s="37" t="n">
        <f aca="false">SUM(D185,F185,H185,J185,L185,N185,P185,R185,T185,V185,X185,Z185)</f>
        <v>0</v>
      </c>
    </row>
    <row r="186" customFormat="false" ht="15" hidden="false" customHeight="false" outlineLevel="0" collapsed="false">
      <c r="A186" s="31" t="str">
        <f aca="false">IF(取引先マスタ!A186="","",取引先マスタ!A186)</f>
        <v/>
      </c>
      <c r="B186" s="31" t="str">
        <f aca="false">IF(A186="","",取引先マスタ!B186)</f>
        <v/>
      </c>
      <c r="C186" s="27" t="str">
        <f aca="false">IF($A186="","",SUMIFS(請求台帳!$F$5:$F$504,請求台帳!$C$5:$C$504,$A186,請求台帳!$B$5:$B$504,"&gt;="&amp;C$3,請求台帳!$B$5:$B$504,"&lt;"&amp;DATE(YEAR(C$3),MONTH(C$3)+1,1),請求台帳!$Q$5:$Q$504,"&lt;&gt;取消"))</f>
        <v/>
      </c>
      <c r="D186" s="27" t="str">
        <f aca="false">IF($A186="","",SUMIFS(入金明細!$E$5:$E$1004,入金明細!$G$5:$G$1004,$A186,入金明細!$B$5:$B$1004,"&gt;="&amp;C$3,入金明細!$B$5:$B$1004,"&lt;"&amp;DATE(YEAR(C$3),MONTH(C$3)+1,1)))</f>
        <v/>
      </c>
      <c r="E186" s="27" t="str">
        <f aca="false">IF($A186="","",SUMIFS(請求台帳!$F$5:$F$504,請求台帳!$C$5:$C$504,$A186,請求台帳!$B$5:$B$504,"&gt;="&amp;E$3,請求台帳!$B$5:$B$504,"&lt;"&amp;DATE(YEAR(E$3),MONTH(E$3)+1,1),請求台帳!$Q$5:$Q$504,"&lt;&gt;取消"))</f>
        <v/>
      </c>
      <c r="F186" s="27" t="str">
        <f aca="false">IF($A186="","",SUMIFS(入金明細!$E$5:$E$1004,入金明細!$G$5:$G$1004,$A186,入金明細!$B$5:$B$1004,"&gt;="&amp;E$3,入金明細!$B$5:$B$1004,"&lt;"&amp;DATE(YEAR(E$3),MONTH(E$3)+1,1)))</f>
        <v/>
      </c>
      <c r="G186" s="27" t="str">
        <f aca="false">IF($A186="","",SUMIFS(請求台帳!$F$5:$F$504,請求台帳!$C$5:$C$504,$A186,請求台帳!$B$5:$B$504,"&gt;="&amp;G$3,請求台帳!$B$5:$B$504,"&lt;"&amp;DATE(YEAR(G$3),MONTH(G$3)+1,1),請求台帳!$Q$5:$Q$504,"&lt;&gt;取消"))</f>
        <v/>
      </c>
      <c r="H186" s="27" t="str">
        <f aca="false">IF($A186="","",SUMIFS(入金明細!$E$5:$E$1004,入金明細!$G$5:$G$1004,$A186,入金明細!$B$5:$B$1004,"&gt;="&amp;G$3,入金明細!$B$5:$B$1004,"&lt;"&amp;DATE(YEAR(G$3),MONTH(G$3)+1,1)))</f>
        <v/>
      </c>
      <c r="I186" s="27" t="str">
        <f aca="false">IF($A186="","",SUMIFS(請求台帳!$F$5:$F$504,請求台帳!$C$5:$C$504,$A186,請求台帳!$B$5:$B$504,"&gt;="&amp;I$3,請求台帳!$B$5:$B$504,"&lt;"&amp;DATE(YEAR(I$3),MONTH(I$3)+1,1),請求台帳!$Q$5:$Q$504,"&lt;&gt;取消"))</f>
        <v/>
      </c>
      <c r="J186" s="27" t="str">
        <f aca="false">IF($A186="","",SUMIFS(入金明細!$E$5:$E$1004,入金明細!$G$5:$G$1004,$A186,入金明細!$B$5:$B$1004,"&gt;="&amp;I$3,入金明細!$B$5:$B$1004,"&lt;"&amp;DATE(YEAR(I$3),MONTH(I$3)+1,1)))</f>
        <v/>
      </c>
      <c r="K186" s="27" t="str">
        <f aca="false">IF($A186="","",SUMIFS(請求台帳!$F$5:$F$504,請求台帳!$C$5:$C$504,$A186,請求台帳!$B$5:$B$504,"&gt;="&amp;K$3,請求台帳!$B$5:$B$504,"&lt;"&amp;DATE(YEAR(K$3),MONTH(K$3)+1,1),請求台帳!$Q$5:$Q$504,"&lt;&gt;取消"))</f>
        <v/>
      </c>
      <c r="L186" s="27" t="str">
        <f aca="false">IF($A186="","",SUMIFS(入金明細!$E$5:$E$1004,入金明細!$G$5:$G$1004,$A186,入金明細!$B$5:$B$1004,"&gt;="&amp;K$3,入金明細!$B$5:$B$1004,"&lt;"&amp;DATE(YEAR(K$3),MONTH(K$3)+1,1)))</f>
        <v/>
      </c>
      <c r="M186" s="27" t="str">
        <f aca="false">IF($A186="","",SUMIFS(請求台帳!$F$5:$F$504,請求台帳!$C$5:$C$504,$A186,請求台帳!$B$5:$B$504,"&gt;="&amp;M$3,請求台帳!$B$5:$B$504,"&lt;"&amp;DATE(YEAR(M$3),MONTH(M$3)+1,1),請求台帳!$Q$5:$Q$504,"&lt;&gt;取消"))</f>
        <v/>
      </c>
      <c r="N186" s="27" t="str">
        <f aca="false">IF($A186="","",SUMIFS(入金明細!$E$5:$E$1004,入金明細!$G$5:$G$1004,$A186,入金明細!$B$5:$B$1004,"&gt;="&amp;M$3,入金明細!$B$5:$B$1004,"&lt;"&amp;DATE(YEAR(M$3),MONTH(M$3)+1,1)))</f>
        <v/>
      </c>
      <c r="O186" s="27" t="str">
        <f aca="false">IF($A186="","",SUMIFS(請求台帳!$F$5:$F$504,請求台帳!$C$5:$C$504,$A186,請求台帳!$B$5:$B$504,"&gt;="&amp;O$3,請求台帳!$B$5:$B$504,"&lt;"&amp;DATE(YEAR(O$3),MONTH(O$3)+1,1),請求台帳!$Q$5:$Q$504,"&lt;&gt;取消"))</f>
        <v/>
      </c>
      <c r="P186" s="27" t="str">
        <f aca="false">IF($A186="","",SUMIFS(入金明細!$E$5:$E$1004,入金明細!$G$5:$G$1004,$A186,入金明細!$B$5:$B$1004,"&gt;="&amp;O$3,入金明細!$B$5:$B$1004,"&lt;"&amp;DATE(YEAR(O$3),MONTH(O$3)+1,1)))</f>
        <v/>
      </c>
      <c r="Q186" s="27" t="str">
        <f aca="false">IF($A186="","",SUMIFS(請求台帳!$F$5:$F$504,請求台帳!$C$5:$C$504,$A186,請求台帳!$B$5:$B$504,"&gt;="&amp;Q$3,請求台帳!$B$5:$B$504,"&lt;"&amp;DATE(YEAR(Q$3),MONTH(Q$3)+1,1),請求台帳!$Q$5:$Q$504,"&lt;&gt;取消"))</f>
        <v/>
      </c>
      <c r="R186" s="27" t="str">
        <f aca="false">IF($A186="","",SUMIFS(入金明細!$E$5:$E$1004,入金明細!$G$5:$G$1004,$A186,入金明細!$B$5:$B$1004,"&gt;="&amp;Q$3,入金明細!$B$5:$B$1004,"&lt;"&amp;DATE(YEAR(Q$3),MONTH(Q$3)+1,1)))</f>
        <v/>
      </c>
      <c r="S186" s="27" t="str">
        <f aca="false">IF($A186="","",SUMIFS(請求台帳!$F$5:$F$504,請求台帳!$C$5:$C$504,$A186,請求台帳!$B$5:$B$504,"&gt;="&amp;S$3,請求台帳!$B$5:$B$504,"&lt;"&amp;DATE(YEAR(S$3),MONTH(S$3)+1,1),請求台帳!$Q$5:$Q$504,"&lt;&gt;取消"))</f>
        <v/>
      </c>
      <c r="T186" s="27" t="str">
        <f aca="false">IF($A186="","",SUMIFS(入金明細!$E$5:$E$1004,入金明細!$G$5:$G$1004,$A186,入金明細!$B$5:$B$1004,"&gt;="&amp;S$3,入金明細!$B$5:$B$1004,"&lt;"&amp;DATE(YEAR(S$3),MONTH(S$3)+1,1)))</f>
        <v/>
      </c>
      <c r="U186" s="27" t="str">
        <f aca="false">IF($A186="","",SUMIFS(請求台帳!$F$5:$F$504,請求台帳!$C$5:$C$504,$A186,請求台帳!$B$5:$B$504,"&gt;="&amp;U$3,請求台帳!$B$5:$B$504,"&lt;"&amp;DATE(YEAR(U$3),MONTH(U$3)+1,1),請求台帳!$Q$5:$Q$504,"&lt;&gt;取消"))</f>
        <v/>
      </c>
      <c r="V186" s="27" t="str">
        <f aca="false">IF($A186="","",SUMIFS(入金明細!$E$5:$E$1004,入金明細!$G$5:$G$1004,$A186,入金明細!$B$5:$B$1004,"&gt;="&amp;U$3,入金明細!$B$5:$B$1004,"&lt;"&amp;DATE(YEAR(U$3),MONTH(U$3)+1,1)))</f>
        <v/>
      </c>
      <c r="W186" s="27" t="str">
        <f aca="false">IF($A186="","",SUMIFS(請求台帳!$F$5:$F$504,請求台帳!$C$5:$C$504,$A186,請求台帳!$B$5:$B$504,"&gt;="&amp;W$3,請求台帳!$B$5:$B$504,"&lt;"&amp;DATE(YEAR(W$3),MONTH(W$3)+1,1),請求台帳!$Q$5:$Q$504,"&lt;&gt;取消"))</f>
        <v/>
      </c>
      <c r="X186" s="27" t="str">
        <f aca="false">IF($A186="","",SUMIFS(入金明細!$E$5:$E$1004,入金明細!$G$5:$G$1004,$A186,入金明細!$B$5:$B$1004,"&gt;="&amp;W$3,入金明細!$B$5:$B$1004,"&lt;"&amp;DATE(YEAR(W$3),MONTH(W$3)+1,1)))</f>
        <v/>
      </c>
      <c r="Y186" s="27" t="str">
        <f aca="false">IF($A186="","",SUMIFS(請求台帳!$F$5:$F$504,請求台帳!$C$5:$C$504,$A186,請求台帳!$B$5:$B$504,"&gt;="&amp;Y$3,請求台帳!$B$5:$B$504,"&lt;"&amp;DATE(YEAR(Y$3),MONTH(Y$3)+1,1),請求台帳!$Q$5:$Q$504,"&lt;&gt;取消"))</f>
        <v/>
      </c>
      <c r="Z186" s="27" t="str">
        <f aca="false">IF($A186="","",SUMIFS(入金明細!$E$5:$E$1004,入金明細!$G$5:$G$1004,$A186,入金明細!$B$5:$B$1004,"&gt;="&amp;Y$3,入金明細!$B$5:$B$1004,"&lt;"&amp;DATE(YEAR(Y$3),MONTH(Y$3)+1,1)))</f>
        <v/>
      </c>
      <c r="AA186" s="37" t="n">
        <f aca="false">SUM(C186,E186,G186,I186,K186,M186,O186,Q186,S186,U186,W186,Y186)</f>
        <v>0</v>
      </c>
      <c r="AB186" s="37" t="n">
        <f aca="false">SUM(D186,F186,H186,J186,L186,N186,P186,R186,T186,V186,X186,Z186)</f>
        <v>0</v>
      </c>
    </row>
    <row r="187" customFormat="false" ht="15" hidden="false" customHeight="false" outlineLevel="0" collapsed="false">
      <c r="A187" s="31" t="str">
        <f aca="false">IF(取引先マスタ!A187="","",取引先マスタ!A187)</f>
        <v/>
      </c>
      <c r="B187" s="31" t="str">
        <f aca="false">IF(A187="","",取引先マスタ!B187)</f>
        <v/>
      </c>
      <c r="C187" s="27" t="str">
        <f aca="false">IF($A187="","",SUMIFS(請求台帳!$F$5:$F$504,請求台帳!$C$5:$C$504,$A187,請求台帳!$B$5:$B$504,"&gt;="&amp;C$3,請求台帳!$B$5:$B$504,"&lt;"&amp;DATE(YEAR(C$3),MONTH(C$3)+1,1),請求台帳!$Q$5:$Q$504,"&lt;&gt;取消"))</f>
        <v/>
      </c>
      <c r="D187" s="27" t="str">
        <f aca="false">IF($A187="","",SUMIFS(入金明細!$E$5:$E$1004,入金明細!$G$5:$G$1004,$A187,入金明細!$B$5:$B$1004,"&gt;="&amp;C$3,入金明細!$B$5:$B$1004,"&lt;"&amp;DATE(YEAR(C$3),MONTH(C$3)+1,1)))</f>
        <v/>
      </c>
      <c r="E187" s="27" t="str">
        <f aca="false">IF($A187="","",SUMIFS(請求台帳!$F$5:$F$504,請求台帳!$C$5:$C$504,$A187,請求台帳!$B$5:$B$504,"&gt;="&amp;E$3,請求台帳!$B$5:$B$504,"&lt;"&amp;DATE(YEAR(E$3),MONTH(E$3)+1,1),請求台帳!$Q$5:$Q$504,"&lt;&gt;取消"))</f>
        <v/>
      </c>
      <c r="F187" s="27" t="str">
        <f aca="false">IF($A187="","",SUMIFS(入金明細!$E$5:$E$1004,入金明細!$G$5:$G$1004,$A187,入金明細!$B$5:$B$1004,"&gt;="&amp;E$3,入金明細!$B$5:$B$1004,"&lt;"&amp;DATE(YEAR(E$3),MONTH(E$3)+1,1)))</f>
        <v/>
      </c>
      <c r="G187" s="27" t="str">
        <f aca="false">IF($A187="","",SUMIFS(請求台帳!$F$5:$F$504,請求台帳!$C$5:$C$504,$A187,請求台帳!$B$5:$B$504,"&gt;="&amp;G$3,請求台帳!$B$5:$B$504,"&lt;"&amp;DATE(YEAR(G$3),MONTH(G$3)+1,1),請求台帳!$Q$5:$Q$504,"&lt;&gt;取消"))</f>
        <v/>
      </c>
      <c r="H187" s="27" t="str">
        <f aca="false">IF($A187="","",SUMIFS(入金明細!$E$5:$E$1004,入金明細!$G$5:$G$1004,$A187,入金明細!$B$5:$B$1004,"&gt;="&amp;G$3,入金明細!$B$5:$B$1004,"&lt;"&amp;DATE(YEAR(G$3),MONTH(G$3)+1,1)))</f>
        <v/>
      </c>
      <c r="I187" s="27" t="str">
        <f aca="false">IF($A187="","",SUMIFS(請求台帳!$F$5:$F$504,請求台帳!$C$5:$C$504,$A187,請求台帳!$B$5:$B$504,"&gt;="&amp;I$3,請求台帳!$B$5:$B$504,"&lt;"&amp;DATE(YEAR(I$3),MONTH(I$3)+1,1),請求台帳!$Q$5:$Q$504,"&lt;&gt;取消"))</f>
        <v/>
      </c>
      <c r="J187" s="27" t="str">
        <f aca="false">IF($A187="","",SUMIFS(入金明細!$E$5:$E$1004,入金明細!$G$5:$G$1004,$A187,入金明細!$B$5:$B$1004,"&gt;="&amp;I$3,入金明細!$B$5:$B$1004,"&lt;"&amp;DATE(YEAR(I$3),MONTH(I$3)+1,1)))</f>
        <v/>
      </c>
      <c r="K187" s="27" t="str">
        <f aca="false">IF($A187="","",SUMIFS(請求台帳!$F$5:$F$504,請求台帳!$C$5:$C$504,$A187,請求台帳!$B$5:$B$504,"&gt;="&amp;K$3,請求台帳!$B$5:$B$504,"&lt;"&amp;DATE(YEAR(K$3),MONTH(K$3)+1,1),請求台帳!$Q$5:$Q$504,"&lt;&gt;取消"))</f>
        <v/>
      </c>
      <c r="L187" s="27" t="str">
        <f aca="false">IF($A187="","",SUMIFS(入金明細!$E$5:$E$1004,入金明細!$G$5:$G$1004,$A187,入金明細!$B$5:$B$1004,"&gt;="&amp;K$3,入金明細!$B$5:$B$1004,"&lt;"&amp;DATE(YEAR(K$3),MONTH(K$3)+1,1)))</f>
        <v/>
      </c>
      <c r="M187" s="27" t="str">
        <f aca="false">IF($A187="","",SUMIFS(請求台帳!$F$5:$F$504,請求台帳!$C$5:$C$504,$A187,請求台帳!$B$5:$B$504,"&gt;="&amp;M$3,請求台帳!$B$5:$B$504,"&lt;"&amp;DATE(YEAR(M$3),MONTH(M$3)+1,1),請求台帳!$Q$5:$Q$504,"&lt;&gt;取消"))</f>
        <v/>
      </c>
      <c r="N187" s="27" t="str">
        <f aca="false">IF($A187="","",SUMIFS(入金明細!$E$5:$E$1004,入金明細!$G$5:$G$1004,$A187,入金明細!$B$5:$B$1004,"&gt;="&amp;M$3,入金明細!$B$5:$B$1004,"&lt;"&amp;DATE(YEAR(M$3),MONTH(M$3)+1,1)))</f>
        <v/>
      </c>
      <c r="O187" s="27" t="str">
        <f aca="false">IF($A187="","",SUMIFS(請求台帳!$F$5:$F$504,請求台帳!$C$5:$C$504,$A187,請求台帳!$B$5:$B$504,"&gt;="&amp;O$3,請求台帳!$B$5:$B$504,"&lt;"&amp;DATE(YEAR(O$3),MONTH(O$3)+1,1),請求台帳!$Q$5:$Q$504,"&lt;&gt;取消"))</f>
        <v/>
      </c>
      <c r="P187" s="27" t="str">
        <f aca="false">IF($A187="","",SUMIFS(入金明細!$E$5:$E$1004,入金明細!$G$5:$G$1004,$A187,入金明細!$B$5:$B$1004,"&gt;="&amp;O$3,入金明細!$B$5:$B$1004,"&lt;"&amp;DATE(YEAR(O$3),MONTH(O$3)+1,1)))</f>
        <v/>
      </c>
      <c r="Q187" s="27" t="str">
        <f aca="false">IF($A187="","",SUMIFS(請求台帳!$F$5:$F$504,請求台帳!$C$5:$C$504,$A187,請求台帳!$B$5:$B$504,"&gt;="&amp;Q$3,請求台帳!$B$5:$B$504,"&lt;"&amp;DATE(YEAR(Q$3),MONTH(Q$3)+1,1),請求台帳!$Q$5:$Q$504,"&lt;&gt;取消"))</f>
        <v/>
      </c>
      <c r="R187" s="27" t="str">
        <f aca="false">IF($A187="","",SUMIFS(入金明細!$E$5:$E$1004,入金明細!$G$5:$G$1004,$A187,入金明細!$B$5:$B$1004,"&gt;="&amp;Q$3,入金明細!$B$5:$B$1004,"&lt;"&amp;DATE(YEAR(Q$3),MONTH(Q$3)+1,1)))</f>
        <v/>
      </c>
      <c r="S187" s="27" t="str">
        <f aca="false">IF($A187="","",SUMIFS(請求台帳!$F$5:$F$504,請求台帳!$C$5:$C$504,$A187,請求台帳!$B$5:$B$504,"&gt;="&amp;S$3,請求台帳!$B$5:$B$504,"&lt;"&amp;DATE(YEAR(S$3),MONTH(S$3)+1,1),請求台帳!$Q$5:$Q$504,"&lt;&gt;取消"))</f>
        <v/>
      </c>
      <c r="T187" s="27" t="str">
        <f aca="false">IF($A187="","",SUMIFS(入金明細!$E$5:$E$1004,入金明細!$G$5:$G$1004,$A187,入金明細!$B$5:$B$1004,"&gt;="&amp;S$3,入金明細!$B$5:$B$1004,"&lt;"&amp;DATE(YEAR(S$3),MONTH(S$3)+1,1)))</f>
        <v/>
      </c>
      <c r="U187" s="27" t="str">
        <f aca="false">IF($A187="","",SUMIFS(請求台帳!$F$5:$F$504,請求台帳!$C$5:$C$504,$A187,請求台帳!$B$5:$B$504,"&gt;="&amp;U$3,請求台帳!$B$5:$B$504,"&lt;"&amp;DATE(YEAR(U$3),MONTH(U$3)+1,1),請求台帳!$Q$5:$Q$504,"&lt;&gt;取消"))</f>
        <v/>
      </c>
      <c r="V187" s="27" t="str">
        <f aca="false">IF($A187="","",SUMIFS(入金明細!$E$5:$E$1004,入金明細!$G$5:$G$1004,$A187,入金明細!$B$5:$B$1004,"&gt;="&amp;U$3,入金明細!$B$5:$B$1004,"&lt;"&amp;DATE(YEAR(U$3),MONTH(U$3)+1,1)))</f>
        <v/>
      </c>
      <c r="W187" s="27" t="str">
        <f aca="false">IF($A187="","",SUMIFS(請求台帳!$F$5:$F$504,請求台帳!$C$5:$C$504,$A187,請求台帳!$B$5:$B$504,"&gt;="&amp;W$3,請求台帳!$B$5:$B$504,"&lt;"&amp;DATE(YEAR(W$3),MONTH(W$3)+1,1),請求台帳!$Q$5:$Q$504,"&lt;&gt;取消"))</f>
        <v/>
      </c>
      <c r="X187" s="27" t="str">
        <f aca="false">IF($A187="","",SUMIFS(入金明細!$E$5:$E$1004,入金明細!$G$5:$G$1004,$A187,入金明細!$B$5:$B$1004,"&gt;="&amp;W$3,入金明細!$B$5:$B$1004,"&lt;"&amp;DATE(YEAR(W$3),MONTH(W$3)+1,1)))</f>
        <v/>
      </c>
      <c r="Y187" s="27" t="str">
        <f aca="false">IF($A187="","",SUMIFS(請求台帳!$F$5:$F$504,請求台帳!$C$5:$C$504,$A187,請求台帳!$B$5:$B$504,"&gt;="&amp;Y$3,請求台帳!$B$5:$B$504,"&lt;"&amp;DATE(YEAR(Y$3),MONTH(Y$3)+1,1),請求台帳!$Q$5:$Q$504,"&lt;&gt;取消"))</f>
        <v/>
      </c>
      <c r="Z187" s="27" t="str">
        <f aca="false">IF($A187="","",SUMIFS(入金明細!$E$5:$E$1004,入金明細!$G$5:$G$1004,$A187,入金明細!$B$5:$B$1004,"&gt;="&amp;Y$3,入金明細!$B$5:$B$1004,"&lt;"&amp;DATE(YEAR(Y$3),MONTH(Y$3)+1,1)))</f>
        <v/>
      </c>
      <c r="AA187" s="37" t="n">
        <f aca="false">SUM(C187,E187,G187,I187,K187,M187,O187,Q187,S187,U187,W187,Y187)</f>
        <v>0</v>
      </c>
      <c r="AB187" s="37" t="n">
        <f aca="false">SUM(D187,F187,H187,J187,L187,N187,P187,R187,T187,V187,X187,Z187)</f>
        <v>0</v>
      </c>
    </row>
    <row r="188" customFormat="false" ht="15" hidden="false" customHeight="false" outlineLevel="0" collapsed="false">
      <c r="A188" s="31" t="str">
        <f aca="false">IF(取引先マスタ!A188="","",取引先マスタ!A188)</f>
        <v/>
      </c>
      <c r="B188" s="31" t="str">
        <f aca="false">IF(A188="","",取引先マスタ!B188)</f>
        <v/>
      </c>
      <c r="C188" s="27" t="str">
        <f aca="false">IF($A188="","",SUMIFS(請求台帳!$F$5:$F$504,請求台帳!$C$5:$C$504,$A188,請求台帳!$B$5:$B$504,"&gt;="&amp;C$3,請求台帳!$B$5:$B$504,"&lt;"&amp;DATE(YEAR(C$3),MONTH(C$3)+1,1),請求台帳!$Q$5:$Q$504,"&lt;&gt;取消"))</f>
        <v/>
      </c>
      <c r="D188" s="27" t="str">
        <f aca="false">IF($A188="","",SUMIFS(入金明細!$E$5:$E$1004,入金明細!$G$5:$G$1004,$A188,入金明細!$B$5:$B$1004,"&gt;="&amp;C$3,入金明細!$B$5:$B$1004,"&lt;"&amp;DATE(YEAR(C$3),MONTH(C$3)+1,1)))</f>
        <v/>
      </c>
      <c r="E188" s="27" t="str">
        <f aca="false">IF($A188="","",SUMIFS(請求台帳!$F$5:$F$504,請求台帳!$C$5:$C$504,$A188,請求台帳!$B$5:$B$504,"&gt;="&amp;E$3,請求台帳!$B$5:$B$504,"&lt;"&amp;DATE(YEAR(E$3),MONTH(E$3)+1,1),請求台帳!$Q$5:$Q$504,"&lt;&gt;取消"))</f>
        <v/>
      </c>
      <c r="F188" s="27" t="str">
        <f aca="false">IF($A188="","",SUMIFS(入金明細!$E$5:$E$1004,入金明細!$G$5:$G$1004,$A188,入金明細!$B$5:$B$1004,"&gt;="&amp;E$3,入金明細!$B$5:$B$1004,"&lt;"&amp;DATE(YEAR(E$3),MONTH(E$3)+1,1)))</f>
        <v/>
      </c>
      <c r="G188" s="27" t="str">
        <f aca="false">IF($A188="","",SUMIFS(請求台帳!$F$5:$F$504,請求台帳!$C$5:$C$504,$A188,請求台帳!$B$5:$B$504,"&gt;="&amp;G$3,請求台帳!$B$5:$B$504,"&lt;"&amp;DATE(YEAR(G$3),MONTH(G$3)+1,1),請求台帳!$Q$5:$Q$504,"&lt;&gt;取消"))</f>
        <v/>
      </c>
      <c r="H188" s="27" t="str">
        <f aca="false">IF($A188="","",SUMIFS(入金明細!$E$5:$E$1004,入金明細!$G$5:$G$1004,$A188,入金明細!$B$5:$B$1004,"&gt;="&amp;G$3,入金明細!$B$5:$B$1004,"&lt;"&amp;DATE(YEAR(G$3),MONTH(G$3)+1,1)))</f>
        <v/>
      </c>
      <c r="I188" s="27" t="str">
        <f aca="false">IF($A188="","",SUMIFS(請求台帳!$F$5:$F$504,請求台帳!$C$5:$C$504,$A188,請求台帳!$B$5:$B$504,"&gt;="&amp;I$3,請求台帳!$B$5:$B$504,"&lt;"&amp;DATE(YEAR(I$3),MONTH(I$3)+1,1),請求台帳!$Q$5:$Q$504,"&lt;&gt;取消"))</f>
        <v/>
      </c>
      <c r="J188" s="27" t="str">
        <f aca="false">IF($A188="","",SUMIFS(入金明細!$E$5:$E$1004,入金明細!$G$5:$G$1004,$A188,入金明細!$B$5:$B$1004,"&gt;="&amp;I$3,入金明細!$B$5:$B$1004,"&lt;"&amp;DATE(YEAR(I$3),MONTH(I$3)+1,1)))</f>
        <v/>
      </c>
      <c r="K188" s="27" t="str">
        <f aca="false">IF($A188="","",SUMIFS(請求台帳!$F$5:$F$504,請求台帳!$C$5:$C$504,$A188,請求台帳!$B$5:$B$504,"&gt;="&amp;K$3,請求台帳!$B$5:$B$504,"&lt;"&amp;DATE(YEAR(K$3),MONTH(K$3)+1,1),請求台帳!$Q$5:$Q$504,"&lt;&gt;取消"))</f>
        <v/>
      </c>
      <c r="L188" s="27" t="str">
        <f aca="false">IF($A188="","",SUMIFS(入金明細!$E$5:$E$1004,入金明細!$G$5:$G$1004,$A188,入金明細!$B$5:$B$1004,"&gt;="&amp;K$3,入金明細!$B$5:$B$1004,"&lt;"&amp;DATE(YEAR(K$3),MONTH(K$3)+1,1)))</f>
        <v/>
      </c>
      <c r="M188" s="27" t="str">
        <f aca="false">IF($A188="","",SUMIFS(請求台帳!$F$5:$F$504,請求台帳!$C$5:$C$504,$A188,請求台帳!$B$5:$B$504,"&gt;="&amp;M$3,請求台帳!$B$5:$B$504,"&lt;"&amp;DATE(YEAR(M$3),MONTH(M$3)+1,1),請求台帳!$Q$5:$Q$504,"&lt;&gt;取消"))</f>
        <v/>
      </c>
      <c r="N188" s="27" t="str">
        <f aca="false">IF($A188="","",SUMIFS(入金明細!$E$5:$E$1004,入金明細!$G$5:$G$1004,$A188,入金明細!$B$5:$B$1004,"&gt;="&amp;M$3,入金明細!$B$5:$B$1004,"&lt;"&amp;DATE(YEAR(M$3),MONTH(M$3)+1,1)))</f>
        <v/>
      </c>
      <c r="O188" s="27" t="str">
        <f aca="false">IF($A188="","",SUMIFS(請求台帳!$F$5:$F$504,請求台帳!$C$5:$C$504,$A188,請求台帳!$B$5:$B$504,"&gt;="&amp;O$3,請求台帳!$B$5:$B$504,"&lt;"&amp;DATE(YEAR(O$3),MONTH(O$3)+1,1),請求台帳!$Q$5:$Q$504,"&lt;&gt;取消"))</f>
        <v/>
      </c>
      <c r="P188" s="27" t="str">
        <f aca="false">IF($A188="","",SUMIFS(入金明細!$E$5:$E$1004,入金明細!$G$5:$G$1004,$A188,入金明細!$B$5:$B$1004,"&gt;="&amp;O$3,入金明細!$B$5:$B$1004,"&lt;"&amp;DATE(YEAR(O$3),MONTH(O$3)+1,1)))</f>
        <v/>
      </c>
      <c r="Q188" s="27" t="str">
        <f aca="false">IF($A188="","",SUMIFS(請求台帳!$F$5:$F$504,請求台帳!$C$5:$C$504,$A188,請求台帳!$B$5:$B$504,"&gt;="&amp;Q$3,請求台帳!$B$5:$B$504,"&lt;"&amp;DATE(YEAR(Q$3),MONTH(Q$3)+1,1),請求台帳!$Q$5:$Q$504,"&lt;&gt;取消"))</f>
        <v/>
      </c>
      <c r="R188" s="27" t="str">
        <f aca="false">IF($A188="","",SUMIFS(入金明細!$E$5:$E$1004,入金明細!$G$5:$G$1004,$A188,入金明細!$B$5:$B$1004,"&gt;="&amp;Q$3,入金明細!$B$5:$B$1004,"&lt;"&amp;DATE(YEAR(Q$3),MONTH(Q$3)+1,1)))</f>
        <v/>
      </c>
      <c r="S188" s="27" t="str">
        <f aca="false">IF($A188="","",SUMIFS(請求台帳!$F$5:$F$504,請求台帳!$C$5:$C$504,$A188,請求台帳!$B$5:$B$504,"&gt;="&amp;S$3,請求台帳!$B$5:$B$504,"&lt;"&amp;DATE(YEAR(S$3),MONTH(S$3)+1,1),請求台帳!$Q$5:$Q$504,"&lt;&gt;取消"))</f>
        <v/>
      </c>
      <c r="T188" s="27" t="str">
        <f aca="false">IF($A188="","",SUMIFS(入金明細!$E$5:$E$1004,入金明細!$G$5:$G$1004,$A188,入金明細!$B$5:$B$1004,"&gt;="&amp;S$3,入金明細!$B$5:$B$1004,"&lt;"&amp;DATE(YEAR(S$3),MONTH(S$3)+1,1)))</f>
        <v/>
      </c>
      <c r="U188" s="27" t="str">
        <f aca="false">IF($A188="","",SUMIFS(請求台帳!$F$5:$F$504,請求台帳!$C$5:$C$504,$A188,請求台帳!$B$5:$B$504,"&gt;="&amp;U$3,請求台帳!$B$5:$B$504,"&lt;"&amp;DATE(YEAR(U$3),MONTH(U$3)+1,1),請求台帳!$Q$5:$Q$504,"&lt;&gt;取消"))</f>
        <v/>
      </c>
      <c r="V188" s="27" t="str">
        <f aca="false">IF($A188="","",SUMIFS(入金明細!$E$5:$E$1004,入金明細!$G$5:$G$1004,$A188,入金明細!$B$5:$B$1004,"&gt;="&amp;U$3,入金明細!$B$5:$B$1004,"&lt;"&amp;DATE(YEAR(U$3),MONTH(U$3)+1,1)))</f>
        <v/>
      </c>
      <c r="W188" s="27" t="str">
        <f aca="false">IF($A188="","",SUMIFS(請求台帳!$F$5:$F$504,請求台帳!$C$5:$C$504,$A188,請求台帳!$B$5:$B$504,"&gt;="&amp;W$3,請求台帳!$B$5:$B$504,"&lt;"&amp;DATE(YEAR(W$3),MONTH(W$3)+1,1),請求台帳!$Q$5:$Q$504,"&lt;&gt;取消"))</f>
        <v/>
      </c>
      <c r="X188" s="27" t="str">
        <f aca="false">IF($A188="","",SUMIFS(入金明細!$E$5:$E$1004,入金明細!$G$5:$G$1004,$A188,入金明細!$B$5:$B$1004,"&gt;="&amp;W$3,入金明細!$B$5:$B$1004,"&lt;"&amp;DATE(YEAR(W$3),MONTH(W$3)+1,1)))</f>
        <v/>
      </c>
      <c r="Y188" s="27" t="str">
        <f aca="false">IF($A188="","",SUMIFS(請求台帳!$F$5:$F$504,請求台帳!$C$5:$C$504,$A188,請求台帳!$B$5:$B$504,"&gt;="&amp;Y$3,請求台帳!$B$5:$B$504,"&lt;"&amp;DATE(YEAR(Y$3),MONTH(Y$3)+1,1),請求台帳!$Q$5:$Q$504,"&lt;&gt;取消"))</f>
        <v/>
      </c>
      <c r="Z188" s="27" t="str">
        <f aca="false">IF($A188="","",SUMIFS(入金明細!$E$5:$E$1004,入金明細!$G$5:$G$1004,$A188,入金明細!$B$5:$B$1004,"&gt;="&amp;Y$3,入金明細!$B$5:$B$1004,"&lt;"&amp;DATE(YEAR(Y$3),MONTH(Y$3)+1,1)))</f>
        <v/>
      </c>
      <c r="AA188" s="37" t="n">
        <f aca="false">SUM(C188,E188,G188,I188,K188,M188,O188,Q188,S188,U188,W188,Y188)</f>
        <v>0</v>
      </c>
      <c r="AB188" s="37" t="n">
        <f aca="false">SUM(D188,F188,H188,J188,L188,N188,P188,R188,T188,V188,X188,Z188)</f>
        <v>0</v>
      </c>
    </row>
    <row r="189" customFormat="false" ht="15" hidden="false" customHeight="false" outlineLevel="0" collapsed="false">
      <c r="A189" s="31" t="str">
        <f aca="false">IF(取引先マスタ!A189="","",取引先マスタ!A189)</f>
        <v/>
      </c>
      <c r="B189" s="31" t="str">
        <f aca="false">IF(A189="","",取引先マスタ!B189)</f>
        <v/>
      </c>
      <c r="C189" s="27" t="str">
        <f aca="false">IF($A189="","",SUMIFS(請求台帳!$F$5:$F$504,請求台帳!$C$5:$C$504,$A189,請求台帳!$B$5:$B$504,"&gt;="&amp;C$3,請求台帳!$B$5:$B$504,"&lt;"&amp;DATE(YEAR(C$3),MONTH(C$3)+1,1),請求台帳!$Q$5:$Q$504,"&lt;&gt;取消"))</f>
        <v/>
      </c>
      <c r="D189" s="27" t="str">
        <f aca="false">IF($A189="","",SUMIFS(入金明細!$E$5:$E$1004,入金明細!$G$5:$G$1004,$A189,入金明細!$B$5:$B$1004,"&gt;="&amp;C$3,入金明細!$B$5:$B$1004,"&lt;"&amp;DATE(YEAR(C$3),MONTH(C$3)+1,1)))</f>
        <v/>
      </c>
      <c r="E189" s="27" t="str">
        <f aca="false">IF($A189="","",SUMIFS(請求台帳!$F$5:$F$504,請求台帳!$C$5:$C$504,$A189,請求台帳!$B$5:$B$504,"&gt;="&amp;E$3,請求台帳!$B$5:$B$504,"&lt;"&amp;DATE(YEAR(E$3),MONTH(E$3)+1,1),請求台帳!$Q$5:$Q$504,"&lt;&gt;取消"))</f>
        <v/>
      </c>
      <c r="F189" s="27" t="str">
        <f aca="false">IF($A189="","",SUMIFS(入金明細!$E$5:$E$1004,入金明細!$G$5:$G$1004,$A189,入金明細!$B$5:$B$1004,"&gt;="&amp;E$3,入金明細!$B$5:$B$1004,"&lt;"&amp;DATE(YEAR(E$3),MONTH(E$3)+1,1)))</f>
        <v/>
      </c>
      <c r="G189" s="27" t="str">
        <f aca="false">IF($A189="","",SUMIFS(請求台帳!$F$5:$F$504,請求台帳!$C$5:$C$504,$A189,請求台帳!$B$5:$B$504,"&gt;="&amp;G$3,請求台帳!$B$5:$B$504,"&lt;"&amp;DATE(YEAR(G$3),MONTH(G$3)+1,1),請求台帳!$Q$5:$Q$504,"&lt;&gt;取消"))</f>
        <v/>
      </c>
      <c r="H189" s="27" t="str">
        <f aca="false">IF($A189="","",SUMIFS(入金明細!$E$5:$E$1004,入金明細!$G$5:$G$1004,$A189,入金明細!$B$5:$B$1004,"&gt;="&amp;G$3,入金明細!$B$5:$B$1004,"&lt;"&amp;DATE(YEAR(G$3),MONTH(G$3)+1,1)))</f>
        <v/>
      </c>
      <c r="I189" s="27" t="str">
        <f aca="false">IF($A189="","",SUMIFS(請求台帳!$F$5:$F$504,請求台帳!$C$5:$C$504,$A189,請求台帳!$B$5:$B$504,"&gt;="&amp;I$3,請求台帳!$B$5:$B$504,"&lt;"&amp;DATE(YEAR(I$3),MONTH(I$3)+1,1),請求台帳!$Q$5:$Q$504,"&lt;&gt;取消"))</f>
        <v/>
      </c>
      <c r="J189" s="27" t="str">
        <f aca="false">IF($A189="","",SUMIFS(入金明細!$E$5:$E$1004,入金明細!$G$5:$G$1004,$A189,入金明細!$B$5:$B$1004,"&gt;="&amp;I$3,入金明細!$B$5:$B$1004,"&lt;"&amp;DATE(YEAR(I$3),MONTH(I$3)+1,1)))</f>
        <v/>
      </c>
      <c r="K189" s="27" t="str">
        <f aca="false">IF($A189="","",SUMIFS(請求台帳!$F$5:$F$504,請求台帳!$C$5:$C$504,$A189,請求台帳!$B$5:$B$504,"&gt;="&amp;K$3,請求台帳!$B$5:$B$504,"&lt;"&amp;DATE(YEAR(K$3),MONTH(K$3)+1,1),請求台帳!$Q$5:$Q$504,"&lt;&gt;取消"))</f>
        <v/>
      </c>
      <c r="L189" s="27" t="str">
        <f aca="false">IF($A189="","",SUMIFS(入金明細!$E$5:$E$1004,入金明細!$G$5:$G$1004,$A189,入金明細!$B$5:$B$1004,"&gt;="&amp;K$3,入金明細!$B$5:$B$1004,"&lt;"&amp;DATE(YEAR(K$3),MONTH(K$3)+1,1)))</f>
        <v/>
      </c>
      <c r="M189" s="27" t="str">
        <f aca="false">IF($A189="","",SUMIFS(請求台帳!$F$5:$F$504,請求台帳!$C$5:$C$504,$A189,請求台帳!$B$5:$B$504,"&gt;="&amp;M$3,請求台帳!$B$5:$B$504,"&lt;"&amp;DATE(YEAR(M$3),MONTH(M$3)+1,1),請求台帳!$Q$5:$Q$504,"&lt;&gt;取消"))</f>
        <v/>
      </c>
      <c r="N189" s="27" t="str">
        <f aca="false">IF($A189="","",SUMIFS(入金明細!$E$5:$E$1004,入金明細!$G$5:$G$1004,$A189,入金明細!$B$5:$B$1004,"&gt;="&amp;M$3,入金明細!$B$5:$B$1004,"&lt;"&amp;DATE(YEAR(M$3),MONTH(M$3)+1,1)))</f>
        <v/>
      </c>
      <c r="O189" s="27" t="str">
        <f aca="false">IF($A189="","",SUMIFS(請求台帳!$F$5:$F$504,請求台帳!$C$5:$C$504,$A189,請求台帳!$B$5:$B$504,"&gt;="&amp;O$3,請求台帳!$B$5:$B$504,"&lt;"&amp;DATE(YEAR(O$3),MONTH(O$3)+1,1),請求台帳!$Q$5:$Q$504,"&lt;&gt;取消"))</f>
        <v/>
      </c>
      <c r="P189" s="27" t="str">
        <f aca="false">IF($A189="","",SUMIFS(入金明細!$E$5:$E$1004,入金明細!$G$5:$G$1004,$A189,入金明細!$B$5:$B$1004,"&gt;="&amp;O$3,入金明細!$B$5:$B$1004,"&lt;"&amp;DATE(YEAR(O$3),MONTH(O$3)+1,1)))</f>
        <v/>
      </c>
      <c r="Q189" s="27" t="str">
        <f aca="false">IF($A189="","",SUMIFS(請求台帳!$F$5:$F$504,請求台帳!$C$5:$C$504,$A189,請求台帳!$B$5:$B$504,"&gt;="&amp;Q$3,請求台帳!$B$5:$B$504,"&lt;"&amp;DATE(YEAR(Q$3),MONTH(Q$3)+1,1),請求台帳!$Q$5:$Q$504,"&lt;&gt;取消"))</f>
        <v/>
      </c>
      <c r="R189" s="27" t="str">
        <f aca="false">IF($A189="","",SUMIFS(入金明細!$E$5:$E$1004,入金明細!$G$5:$G$1004,$A189,入金明細!$B$5:$B$1004,"&gt;="&amp;Q$3,入金明細!$B$5:$B$1004,"&lt;"&amp;DATE(YEAR(Q$3),MONTH(Q$3)+1,1)))</f>
        <v/>
      </c>
      <c r="S189" s="27" t="str">
        <f aca="false">IF($A189="","",SUMIFS(請求台帳!$F$5:$F$504,請求台帳!$C$5:$C$504,$A189,請求台帳!$B$5:$B$504,"&gt;="&amp;S$3,請求台帳!$B$5:$B$504,"&lt;"&amp;DATE(YEAR(S$3),MONTH(S$3)+1,1),請求台帳!$Q$5:$Q$504,"&lt;&gt;取消"))</f>
        <v/>
      </c>
      <c r="T189" s="27" t="str">
        <f aca="false">IF($A189="","",SUMIFS(入金明細!$E$5:$E$1004,入金明細!$G$5:$G$1004,$A189,入金明細!$B$5:$B$1004,"&gt;="&amp;S$3,入金明細!$B$5:$B$1004,"&lt;"&amp;DATE(YEAR(S$3),MONTH(S$3)+1,1)))</f>
        <v/>
      </c>
      <c r="U189" s="27" t="str">
        <f aca="false">IF($A189="","",SUMIFS(請求台帳!$F$5:$F$504,請求台帳!$C$5:$C$504,$A189,請求台帳!$B$5:$B$504,"&gt;="&amp;U$3,請求台帳!$B$5:$B$504,"&lt;"&amp;DATE(YEAR(U$3),MONTH(U$3)+1,1),請求台帳!$Q$5:$Q$504,"&lt;&gt;取消"))</f>
        <v/>
      </c>
      <c r="V189" s="27" t="str">
        <f aca="false">IF($A189="","",SUMIFS(入金明細!$E$5:$E$1004,入金明細!$G$5:$G$1004,$A189,入金明細!$B$5:$B$1004,"&gt;="&amp;U$3,入金明細!$B$5:$B$1004,"&lt;"&amp;DATE(YEAR(U$3),MONTH(U$3)+1,1)))</f>
        <v/>
      </c>
      <c r="W189" s="27" t="str">
        <f aca="false">IF($A189="","",SUMIFS(請求台帳!$F$5:$F$504,請求台帳!$C$5:$C$504,$A189,請求台帳!$B$5:$B$504,"&gt;="&amp;W$3,請求台帳!$B$5:$B$504,"&lt;"&amp;DATE(YEAR(W$3),MONTH(W$3)+1,1),請求台帳!$Q$5:$Q$504,"&lt;&gt;取消"))</f>
        <v/>
      </c>
      <c r="X189" s="27" t="str">
        <f aca="false">IF($A189="","",SUMIFS(入金明細!$E$5:$E$1004,入金明細!$G$5:$G$1004,$A189,入金明細!$B$5:$B$1004,"&gt;="&amp;W$3,入金明細!$B$5:$B$1004,"&lt;"&amp;DATE(YEAR(W$3),MONTH(W$3)+1,1)))</f>
        <v/>
      </c>
      <c r="Y189" s="27" t="str">
        <f aca="false">IF($A189="","",SUMIFS(請求台帳!$F$5:$F$504,請求台帳!$C$5:$C$504,$A189,請求台帳!$B$5:$B$504,"&gt;="&amp;Y$3,請求台帳!$B$5:$B$504,"&lt;"&amp;DATE(YEAR(Y$3),MONTH(Y$3)+1,1),請求台帳!$Q$5:$Q$504,"&lt;&gt;取消"))</f>
        <v/>
      </c>
      <c r="Z189" s="27" t="str">
        <f aca="false">IF($A189="","",SUMIFS(入金明細!$E$5:$E$1004,入金明細!$G$5:$G$1004,$A189,入金明細!$B$5:$B$1004,"&gt;="&amp;Y$3,入金明細!$B$5:$B$1004,"&lt;"&amp;DATE(YEAR(Y$3),MONTH(Y$3)+1,1)))</f>
        <v/>
      </c>
      <c r="AA189" s="37" t="n">
        <f aca="false">SUM(C189,E189,G189,I189,K189,M189,O189,Q189,S189,U189,W189,Y189)</f>
        <v>0</v>
      </c>
      <c r="AB189" s="37" t="n">
        <f aca="false">SUM(D189,F189,H189,J189,L189,N189,P189,R189,T189,V189,X189,Z189)</f>
        <v>0</v>
      </c>
    </row>
    <row r="190" customFormat="false" ht="15" hidden="false" customHeight="false" outlineLevel="0" collapsed="false">
      <c r="A190" s="31" t="str">
        <f aca="false">IF(取引先マスタ!A190="","",取引先マスタ!A190)</f>
        <v/>
      </c>
      <c r="B190" s="31" t="str">
        <f aca="false">IF(A190="","",取引先マスタ!B190)</f>
        <v/>
      </c>
      <c r="C190" s="27" t="str">
        <f aca="false">IF($A190="","",SUMIFS(請求台帳!$F$5:$F$504,請求台帳!$C$5:$C$504,$A190,請求台帳!$B$5:$B$504,"&gt;="&amp;C$3,請求台帳!$B$5:$B$504,"&lt;"&amp;DATE(YEAR(C$3),MONTH(C$3)+1,1),請求台帳!$Q$5:$Q$504,"&lt;&gt;取消"))</f>
        <v/>
      </c>
      <c r="D190" s="27" t="str">
        <f aca="false">IF($A190="","",SUMIFS(入金明細!$E$5:$E$1004,入金明細!$G$5:$G$1004,$A190,入金明細!$B$5:$B$1004,"&gt;="&amp;C$3,入金明細!$B$5:$B$1004,"&lt;"&amp;DATE(YEAR(C$3),MONTH(C$3)+1,1)))</f>
        <v/>
      </c>
      <c r="E190" s="27" t="str">
        <f aca="false">IF($A190="","",SUMIFS(請求台帳!$F$5:$F$504,請求台帳!$C$5:$C$504,$A190,請求台帳!$B$5:$B$504,"&gt;="&amp;E$3,請求台帳!$B$5:$B$504,"&lt;"&amp;DATE(YEAR(E$3),MONTH(E$3)+1,1),請求台帳!$Q$5:$Q$504,"&lt;&gt;取消"))</f>
        <v/>
      </c>
      <c r="F190" s="27" t="str">
        <f aca="false">IF($A190="","",SUMIFS(入金明細!$E$5:$E$1004,入金明細!$G$5:$G$1004,$A190,入金明細!$B$5:$B$1004,"&gt;="&amp;E$3,入金明細!$B$5:$B$1004,"&lt;"&amp;DATE(YEAR(E$3),MONTH(E$3)+1,1)))</f>
        <v/>
      </c>
      <c r="G190" s="27" t="str">
        <f aca="false">IF($A190="","",SUMIFS(請求台帳!$F$5:$F$504,請求台帳!$C$5:$C$504,$A190,請求台帳!$B$5:$B$504,"&gt;="&amp;G$3,請求台帳!$B$5:$B$504,"&lt;"&amp;DATE(YEAR(G$3),MONTH(G$3)+1,1),請求台帳!$Q$5:$Q$504,"&lt;&gt;取消"))</f>
        <v/>
      </c>
      <c r="H190" s="27" t="str">
        <f aca="false">IF($A190="","",SUMIFS(入金明細!$E$5:$E$1004,入金明細!$G$5:$G$1004,$A190,入金明細!$B$5:$B$1004,"&gt;="&amp;G$3,入金明細!$B$5:$B$1004,"&lt;"&amp;DATE(YEAR(G$3),MONTH(G$3)+1,1)))</f>
        <v/>
      </c>
      <c r="I190" s="27" t="str">
        <f aca="false">IF($A190="","",SUMIFS(請求台帳!$F$5:$F$504,請求台帳!$C$5:$C$504,$A190,請求台帳!$B$5:$B$504,"&gt;="&amp;I$3,請求台帳!$B$5:$B$504,"&lt;"&amp;DATE(YEAR(I$3),MONTH(I$3)+1,1),請求台帳!$Q$5:$Q$504,"&lt;&gt;取消"))</f>
        <v/>
      </c>
      <c r="J190" s="27" t="str">
        <f aca="false">IF($A190="","",SUMIFS(入金明細!$E$5:$E$1004,入金明細!$G$5:$G$1004,$A190,入金明細!$B$5:$B$1004,"&gt;="&amp;I$3,入金明細!$B$5:$B$1004,"&lt;"&amp;DATE(YEAR(I$3),MONTH(I$3)+1,1)))</f>
        <v/>
      </c>
      <c r="K190" s="27" t="str">
        <f aca="false">IF($A190="","",SUMIFS(請求台帳!$F$5:$F$504,請求台帳!$C$5:$C$504,$A190,請求台帳!$B$5:$B$504,"&gt;="&amp;K$3,請求台帳!$B$5:$B$504,"&lt;"&amp;DATE(YEAR(K$3),MONTH(K$3)+1,1),請求台帳!$Q$5:$Q$504,"&lt;&gt;取消"))</f>
        <v/>
      </c>
      <c r="L190" s="27" t="str">
        <f aca="false">IF($A190="","",SUMIFS(入金明細!$E$5:$E$1004,入金明細!$G$5:$G$1004,$A190,入金明細!$B$5:$B$1004,"&gt;="&amp;K$3,入金明細!$B$5:$B$1004,"&lt;"&amp;DATE(YEAR(K$3),MONTH(K$3)+1,1)))</f>
        <v/>
      </c>
      <c r="M190" s="27" t="str">
        <f aca="false">IF($A190="","",SUMIFS(請求台帳!$F$5:$F$504,請求台帳!$C$5:$C$504,$A190,請求台帳!$B$5:$B$504,"&gt;="&amp;M$3,請求台帳!$B$5:$B$504,"&lt;"&amp;DATE(YEAR(M$3),MONTH(M$3)+1,1),請求台帳!$Q$5:$Q$504,"&lt;&gt;取消"))</f>
        <v/>
      </c>
      <c r="N190" s="27" t="str">
        <f aca="false">IF($A190="","",SUMIFS(入金明細!$E$5:$E$1004,入金明細!$G$5:$G$1004,$A190,入金明細!$B$5:$B$1004,"&gt;="&amp;M$3,入金明細!$B$5:$B$1004,"&lt;"&amp;DATE(YEAR(M$3),MONTH(M$3)+1,1)))</f>
        <v/>
      </c>
      <c r="O190" s="27" t="str">
        <f aca="false">IF($A190="","",SUMIFS(請求台帳!$F$5:$F$504,請求台帳!$C$5:$C$504,$A190,請求台帳!$B$5:$B$504,"&gt;="&amp;O$3,請求台帳!$B$5:$B$504,"&lt;"&amp;DATE(YEAR(O$3),MONTH(O$3)+1,1),請求台帳!$Q$5:$Q$504,"&lt;&gt;取消"))</f>
        <v/>
      </c>
      <c r="P190" s="27" t="str">
        <f aca="false">IF($A190="","",SUMIFS(入金明細!$E$5:$E$1004,入金明細!$G$5:$G$1004,$A190,入金明細!$B$5:$B$1004,"&gt;="&amp;O$3,入金明細!$B$5:$B$1004,"&lt;"&amp;DATE(YEAR(O$3),MONTH(O$3)+1,1)))</f>
        <v/>
      </c>
      <c r="Q190" s="27" t="str">
        <f aca="false">IF($A190="","",SUMIFS(請求台帳!$F$5:$F$504,請求台帳!$C$5:$C$504,$A190,請求台帳!$B$5:$B$504,"&gt;="&amp;Q$3,請求台帳!$B$5:$B$504,"&lt;"&amp;DATE(YEAR(Q$3),MONTH(Q$3)+1,1),請求台帳!$Q$5:$Q$504,"&lt;&gt;取消"))</f>
        <v/>
      </c>
      <c r="R190" s="27" t="str">
        <f aca="false">IF($A190="","",SUMIFS(入金明細!$E$5:$E$1004,入金明細!$G$5:$G$1004,$A190,入金明細!$B$5:$B$1004,"&gt;="&amp;Q$3,入金明細!$B$5:$B$1004,"&lt;"&amp;DATE(YEAR(Q$3),MONTH(Q$3)+1,1)))</f>
        <v/>
      </c>
      <c r="S190" s="27" t="str">
        <f aca="false">IF($A190="","",SUMIFS(請求台帳!$F$5:$F$504,請求台帳!$C$5:$C$504,$A190,請求台帳!$B$5:$B$504,"&gt;="&amp;S$3,請求台帳!$B$5:$B$504,"&lt;"&amp;DATE(YEAR(S$3),MONTH(S$3)+1,1),請求台帳!$Q$5:$Q$504,"&lt;&gt;取消"))</f>
        <v/>
      </c>
      <c r="T190" s="27" t="str">
        <f aca="false">IF($A190="","",SUMIFS(入金明細!$E$5:$E$1004,入金明細!$G$5:$G$1004,$A190,入金明細!$B$5:$B$1004,"&gt;="&amp;S$3,入金明細!$B$5:$B$1004,"&lt;"&amp;DATE(YEAR(S$3),MONTH(S$3)+1,1)))</f>
        <v/>
      </c>
      <c r="U190" s="27" t="str">
        <f aca="false">IF($A190="","",SUMIFS(請求台帳!$F$5:$F$504,請求台帳!$C$5:$C$504,$A190,請求台帳!$B$5:$B$504,"&gt;="&amp;U$3,請求台帳!$B$5:$B$504,"&lt;"&amp;DATE(YEAR(U$3),MONTH(U$3)+1,1),請求台帳!$Q$5:$Q$504,"&lt;&gt;取消"))</f>
        <v/>
      </c>
      <c r="V190" s="27" t="str">
        <f aca="false">IF($A190="","",SUMIFS(入金明細!$E$5:$E$1004,入金明細!$G$5:$G$1004,$A190,入金明細!$B$5:$B$1004,"&gt;="&amp;U$3,入金明細!$B$5:$B$1004,"&lt;"&amp;DATE(YEAR(U$3),MONTH(U$3)+1,1)))</f>
        <v/>
      </c>
      <c r="W190" s="27" t="str">
        <f aca="false">IF($A190="","",SUMIFS(請求台帳!$F$5:$F$504,請求台帳!$C$5:$C$504,$A190,請求台帳!$B$5:$B$504,"&gt;="&amp;W$3,請求台帳!$B$5:$B$504,"&lt;"&amp;DATE(YEAR(W$3),MONTH(W$3)+1,1),請求台帳!$Q$5:$Q$504,"&lt;&gt;取消"))</f>
        <v/>
      </c>
      <c r="X190" s="27" t="str">
        <f aca="false">IF($A190="","",SUMIFS(入金明細!$E$5:$E$1004,入金明細!$G$5:$G$1004,$A190,入金明細!$B$5:$B$1004,"&gt;="&amp;W$3,入金明細!$B$5:$B$1004,"&lt;"&amp;DATE(YEAR(W$3),MONTH(W$3)+1,1)))</f>
        <v/>
      </c>
      <c r="Y190" s="27" t="str">
        <f aca="false">IF($A190="","",SUMIFS(請求台帳!$F$5:$F$504,請求台帳!$C$5:$C$504,$A190,請求台帳!$B$5:$B$504,"&gt;="&amp;Y$3,請求台帳!$B$5:$B$504,"&lt;"&amp;DATE(YEAR(Y$3),MONTH(Y$3)+1,1),請求台帳!$Q$5:$Q$504,"&lt;&gt;取消"))</f>
        <v/>
      </c>
      <c r="Z190" s="27" t="str">
        <f aca="false">IF($A190="","",SUMIFS(入金明細!$E$5:$E$1004,入金明細!$G$5:$G$1004,$A190,入金明細!$B$5:$B$1004,"&gt;="&amp;Y$3,入金明細!$B$5:$B$1004,"&lt;"&amp;DATE(YEAR(Y$3),MONTH(Y$3)+1,1)))</f>
        <v/>
      </c>
      <c r="AA190" s="37" t="n">
        <f aca="false">SUM(C190,E190,G190,I190,K190,M190,O190,Q190,S190,U190,W190,Y190)</f>
        <v>0</v>
      </c>
      <c r="AB190" s="37" t="n">
        <f aca="false">SUM(D190,F190,H190,J190,L190,N190,P190,R190,T190,V190,X190,Z190)</f>
        <v>0</v>
      </c>
    </row>
    <row r="191" customFormat="false" ht="15" hidden="false" customHeight="false" outlineLevel="0" collapsed="false">
      <c r="A191" s="31" t="str">
        <f aca="false">IF(取引先マスタ!A191="","",取引先マスタ!A191)</f>
        <v/>
      </c>
      <c r="B191" s="31" t="str">
        <f aca="false">IF(A191="","",取引先マスタ!B191)</f>
        <v/>
      </c>
      <c r="C191" s="27" t="str">
        <f aca="false">IF($A191="","",SUMIFS(請求台帳!$F$5:$F$504,請求台帳!$C$5:$C$504,$A191,請求台帳!$B$5:$B$504,"&gt;="&amp;C$3,請求台帳!$B$5:$B$504,"&lt;"&amp;DATE(YEAR(C$3),MONTH(C$3)+1,1),請求台帳!$Q$5:$Q$504,"&lt;&gt;取消"))</f>
        <v/>
      </c>
      <c r="D191" s="27" t="str">
        <f aca="false">IF($A191="","",SUMIFS(入金明細!$E$5:$E$1004,入金明細!$G$5:$G$1004,$A191,入金明細!$B$5:$B$1004,"&gt;="&amp;C$3,入金明細!$B$5:$B$1004,"&lt;"&amp;DATE(YEAR(C$3),MONTH(C$3)+1,1)))</f>
        <v/>
      </c>
      <c r="E191" s="27" t="str">
        <f aca="false">IF($A191="","",SUMIFS(請求台帳!$F$5:$F$504,請求台帳!$C$5:$C$504,$A191,請求台帳!$B$5:$B$504,"&gt;="&amp;E$3,請求台帳!$B$5:$B$504,"&lt;"&amp;DATE(YEAR(E$3),MONTH(E$3)+1,1),請求台帳!$Q$5:$Q$504,"&lt;&gt;取消"))</f>
        <v/>
      </c>
      <c r="F191" s="27" t="str">
        <f aca="false">IF($A191="","",SUMIFS(入金明細!$E$5:$E$1004,入金明細!$G$5:$G$1004,$A191,入金明細!$B$5:$B$1004,"&gt;="&amp;E$3,入金明細!$B$5:$B$1004,"&lt;"&amp;DATE(YEAR(E$3),MONTH(E$3)+1,1)))</f>
        <v/>
      </c>
      <c r="G191" s="27" t="str">
        <f aca="false">IF($A191="","",SUMIFS(請求台帳!$F$5:$F$504,請求台帳!$C$5:$C$504,$A191,請求台帳!$B$5:$B$504,"&gt;="&amp;G$3,請求台帳!$B$5:$B$504,"&lt;"&amp;DATE(YEAR(G$3),MONTH(G$3)+1,1),請求台帳!$Q$5:$Q$504,"&lt;&gt;取消"))</f>
        <v/>
      </c>
      <c r="H191" s="27" t="str">
        <f aca="false">IF($A191="","",SUMIFS(入金明細!$E$5:$E$1004,入金明細!$G$5:$G$1004,$A191,入金明細!$B$5:$B$1004,"&gt;="&amp;G$3,入金明細!$B$5:$B$1004,"&lt;"&amp;DATE(YEAR(G$3),MONTH(G$3)+1,1)))</f>
        <v/>
      </c>
      <c r="I191" s="27" t="str">
        <f aca="false">IF($A191="","",SUMIFS(請求台帳!$F$5:$F$504,請求台帳!$C$5:$C$504,$A191,請求台帳!$B$5:$B$504,"&gt;="&amp;I$3,請求台帳!$B$5:$B$504,"&lt;"&amp;DATE(YEAR(I$3),MONTH(I$3)+1,1),請求台帳!$Q$5:$Q$504,"&lt;&gt;取消"))</f>
        <v/>
      </c>
      <c r="J191" s="27" t="str">
        <f aca="false">IF($A191="","",SUMIFS(入金明細!$E$5:$E$1004,入金明細!$G$5:$G$1004,$A191,入金明細!$B$5:$B$1004,"&gt;="&amp;I$3,入金明細!$B$5:$B$1004,"&lt;"&amp;DATE(YEAR(I$3),MONTH(I$3)+1,1)))</f>
        <v/>
      </c>
      <c r="K191" s="27" t="str">
        <f aca="false">IF($A191="","",SUMIFS(請求台帳!$F$5:$F$504,請求台帳!$C$5:$C$504,$A191,請求台帳!$B$5:$B$504,"&gt;="&amp;K$3,請求台帳!$B$5:$B$504,"&lt;"&amp;DATE(YEAR(K$3),MONTH(K$3)+1,1),請求台帳!$Q$5:$Q$504,"&lt;&gt;取消"))</f>
        <v/>
      </c>
      <c r="L191" s="27" t="str">
        <f aca="false">IF($A191="","",SUMIFS(入金明細!$E$5:$E$1004,入金明細!$G$5:$G$1004,$A191,入金明細!$B$5:$B$1004,"&gt;="&amp;K$3,入金明細!$B$5:$B$1004,"&lt;"&amp;DATE(YEAR(K$3),MONTH(K$3)+1,1)))</f>
        <v/>
      </c>
      <c r="M191" s="27" t="str">
        <f aca="false">IF($A191="","",SUMIFS(請求台帳!$F$5:$F$504,請求台帳!$C$5:$C$504,$A191,請求台帳!$B$5:$B$504,"&gt;="&amp;M$3,請求台帳!$B$5:$B$504,"&lt;"&amp;DATE(YEAR(M$3),MONTH(M$3)+1,1),請求台帳!$Q$5:$Q$504,"&lt;&gt;取消"))</f>
        <v/>
      </c>
      <c r="N191" s="27" t="str">
        <f aca="false">IF($A191="","",SUMIFS(入金明細!$E$5:$E$1004,入金明細!$G$5:$G$1004,$A191,入金明細!$B$5:$B$1004,"&gt;="&amp;M$3,入金明細!$B$5:$B$1004,"&lt;"&amp;DATE(YEAR(M$3),MONTH(M$3)+1,1)))</f>
        <v/>
      </c>
      <c r="O191" s="27" t="str">
        <f aca="false">IF($A191="","",SUMIFS(請求台帳!$F$5:$F$504,請求台帳!$C$5:$C$504,$A191,請求台帳!$B$5:$B$504,"&gt;="&amp;O$3,請求台帳!$B$5:$B$504,"&lt;"&amp;DATE(YEAR(O$3),MONTH(O$3)+1,1),請求台帳!$Q$5:$Q$504,"&lt;&gt;取消"))</f>
        <v/>
      </c>
      <c r="P191" s="27" t="str">
        <f aca="false">IF($A191="","",SUMIFS(入金明細!$E$5:$E$1004,入金明細!$G$5:$G$1004,$A191,入金明細!$B$5:$B$1004,"&gt;="&amp;O$3,入金明細!$B$5:$B$1004,"&lt;"&amp;DATE(YEAR(O$3),MONTH(O$3)+1,1)))</f>
        <v/>
      </c>
      <c r="Q191" s="27" t="str">
        <f aca="false">IF($A191="","",SUMIFS(請求台帳!$F$5:$F$504,請求台帳!$C$5:$C$504,$A191,請求台帳!$B$5:$B$504,"&gt;="&amp;Q$3,請求台帳!$B$5:$B$504,"&lt;"&amp;DATE(YEAR(Q$3),MONTH(Q$3)+1,1),請求台帳!$Q$5:$Q$504,"&lt;&gt;取消"))</f>
        <v/>
      </c>
      <c r="R191" s="27" t="str">
        <f aca="false">IF($A191="","",SUMIFS(入金明細!$E$5:$E$1004,入金明細!$G$5:$G$1004,$A191,入金明細!$B$5:$B$1004,"&gt;="&amp;Q$3,入金明細!$B$5:$B$1004,"&lt;"&amp;DATE(YEAR(Q$3),MONTH(Q$3)+1,1)))</f>
        <v/>
      </c>
      <c r="S191" s="27" t="str">
        <f aca="false">IF($A191="","",SUMIFS(請求台帳!$F$5:$F$504,請求台帳!$C$5:$C$504,$A191,請求台帳!$B$5:$B$504,"&gt;="&amp;S$3,請求台帳!$B$5:$B$504,"&lt;"&amp;DATE(YEAR(S$3),MONTH(S$3)+1,1),請求台帳!$Q$5:$Q$504,"&lt;&gt;取消"))</f>
        <v/>
      </c>
      <c r="T191" s="27" t="str">
        <f aca="false">IF($A191="","",SUMIFS(入金明細!$E$5:$E$1004,入金明細!$G$5:$G$1004,$A191,入金明細!$B$5:$B$1004,"&gt;="&amp;S$3,入金明細!$B$5:$B$1004,"&lt;"&amp;DATE(YEAR(S$3),MONTH(S$3)+1,1)))</f>
        <v/>
      </c>
      <c r="U191" s="27" t="str">
        <f aca="false">IF($A191="","",SUMIFS(請求台帳!$F$5:$F$504,請求台帳!$C$5:$C$504,$A191,請求台帳!$B$5:$B$504,"&gt;="&amp;U$3,請求台帳!$B$5:$B$504,"&lt;"&amp;DATE(YEAR(U$3),MONTH(U$3)+1,1),請求台帳!$Q$5:$Q$504,"&lt;&gt;取消"))</f>
        <v/>
      </c>
      <c r="V191" s="27" t="str">
        <f aca="false">IF($A191="","",SUMIFS(入金明細!$E$5:$E$1004,入金明細!$G$5:$G$1004,$A191,入金明細!$B$5:$B$1004,"&gt;="&amp;U$3,入金明細!$B$5:$B$1004,"&lt;"&amp;DATE(YEAR(U$3),MONTH(U$3)+1,1)))</f>
        <v/>
      </c>
      <c r="W191" s="27" t="str">
        <f aca="false">IF($A191="","",SUMIFS(請求台帳!$F$5:$F$504,請求台帳!$C$5:$C$504,$A191,請求台帳!$B$5:$B$504,"&gt;="&amp;W$3,請求台帳!$B$5:$B$504,"&lt;"&amp;DATE(YEAR(W$3),MONTH(W$3)+1,1),請求台帳!$Q$5:$Q$504,"&lt;&gt;取消"))</f>
        <v/>
      </c>
      <c r="X191" s="27" t="str">
        <f aca="false">IF($A191="","",SUMIFS(入金明細!$E$5:$E$1004,入金明細!$G$5:$G$1004,$A191,入金明細!$B$5:$B$1004,"&gt;="&amp;W$3,入金明細!$B$5:$B$1004,"&lt;"&amp;DATE(YEAR(W$3),MONTH(W$3)+1,1)))</f>
        <v/>
      </c>
      <c r="Y191" s="27" t="str">
        <f aca="false">IF($A191="","",SUMIFS(請求台帳!$F$5:$F$504,請求台帳!$C$5:$C$504,$A191,請求台帳!$B$5:$B$504,"&gt;="&amp;Y$3,請求台帳!$B$5:$B$504,"&lt;"&amp;DATE(YEAR(Y$3),MONTH(Y$3)+1,1),請求台帳!$Q$5:$Q$504,"&lt;&gt;取消"))</f>
        <v/>
      </c>
      <c r="Z191" s="27" t="str">
        <f aca="false">IF($A191="","",SUMIFS(入金明細!$E$5:$E$1004,入金明細!$G$5:$G$1004,$A191,入金明細!$B$5:$B$1004,"&gt;="&amp;Y$3,入金明細!$B$5:$B$1004,"&lt;"&amp;DATE(YEAR(Y$3),MONTH(Y$3)+1,1)))</f>
        <v/>
      </c>
      <c r="AA191" s="37" t="n">
        <f aca="false">SUM(C191,E191,G191,I191,K191,M191,O191,Q191,S191,U191,W191,Y191)</f>
        <v>0</v>
      </c>
      <c r="AB191" s="37" t="n">
        <f aca="false">SUM(D191,F191,H191,J191,L191,N191,P191,R191,T191,V191,X191,Z191)</f>
        <v>0</v>
      </c>
    </row>
    <row r="192" customFormat="false" ht="15" hidden="false" customHeight="false" outlineLevel="0" collapsed="false">
      <c r="A192" s="31" t="str">
        <f aca="false">IF(取引先マスタ!A192="","",取引先マスタ!A192)</f>
        <v/>
      </c>
      <c r="B192" s="31" t="str">
        <f aca="false">IF(A192="","",取引先マスタ!B192)</f>
        <v/>
      </c>
      <c r="C192" s="27" t="str">
        <f aca="false">IF($A192="","",SUMIFS(請求台帳!$F$5:$F$504,請求台帳!$C$5:$C$504,$A192,請求台帳!$B$5:$B$504,"&gt;="&amp;C$3,請求台帳!$B$5:$B$504,"&lt;"&amp;DATE(YEAR(C$3),MONTH(C$3)+1,1),請求台帳!$Q$5:$Q$504,"&lt;&gt;取消"))</f>
        <v/>
      </c>
      <c r="D192" s="27" t="str">
        <f aca="false">IF($A192="","",SUMIFS(入金明細!$E$5:$E$1004,入金明細!$G$5:$G$1004,$A192,入金明細!$B$5:$B$1004,"&gt;="&amp;C$3,入金明細!$B$5:$B$1004,"&lt;"&amp;DATE(YEAR(C$3),MONTH(C$3)+1,1)))</f>
        <v/>
      </c>
      <c r="E192" s="27" t="str">
        <f aca="false">IF($A192="","",SUMIFS(請求台帳!$F$5:$F$504,請求台帳!$C$5:$C$504,$A192,請求台帳!$B$5:$B$504,"&gt;="&amp;E$3,請求台帳!$B$5:$B$504,"&lt;"&amp;DATE(YEAR(E$3),MONTH(E$3)+1,1),請求台帳!$Q$5:$Q$504,"&lt;&gt;取消"))</f>
        <v/>
      </c>
      <c r="F192" s="27" t="str">
        <f aca="false">IF($A192="","",SUMIFS(入金明細!$E$5:$E$1004,入金明細!$G$5:$G$1004,$A192,入金明細!$B$5:$B$1004,"&gt;="&amp;E$3,入金明細!$B$5:$B$1004,"&lt;"&amp;DATE(YEAR(E$3),MONTH(E$3)+1,1)))</f>
        <v/>
      </c>
      <c r="G192" s="27" t="str">
        <f aca="false">IF($A192="","",SUMIFS(請求台帳!$F$5:$F$504,請求台帳!$C$5:$C$504,$A192,請求台帳!$B$5:$B$504,"&gt;="&amp;G$3,請求台帳!$B$5:$B$504,"&lt;"&amp;DATE(YEAR(G$3),MONTH(G$3)+1,1),請求台帳!$Q$5:$Q$504,"&lt;&gt;取消"))</f>
        <v/>
      </c>
      <c r="H192" s="27" t="str">
        <f aca="false">IF($A192="","",SUMIFS(入金明細!$E$5:$E$1004,入金明細!$G$5:$G$1004,$A192,入金明細!$B$5:$B$1004,"&gt;="&amp;G$3,入金明細!$B$5:$B$1004,"&lt;"&amp;DATE(YEAR(G$3),MONTH(G$3)+1,1)))</f>
        <v/>
      </c>
      <c r="I192" s="27" t="str">
        <f aca="false">IF($A192="","",SUMIFS(請求台帳!$F$5:$F$504,請求台帳!$C$5:$C$504,$A192,請求台帳!$B$5:$B$504,"&gt;="&amp;I$3,請求台帳!$B$5:$B$504,"&lt;"&amp;DATE(YEAR(I$3),MONTH(I$3)+1,1),請求台帳!$Q$5:$Q$504,"&lt;&gt;取消"))</f>
        <v/>
      </c>
      <c r="J192" s="27" t="str">
        <f aca="false">IF($A192="","",SUMIFS(入金明細!$E$5:$E$1004,入金明細!$G$5:$G$1004,$A192,入金明細!$B$5:$B$1004,"&gt;="&amp;I$3,入金明細!$B$5:$B$1004,"&lt;"&amp;DATE(YEAR(I$3),MONTH(I$3)+1,1)))</f>
        <v/>
      </c>
      <c r="K192" s="27" t="str">
        <f aca="false">IF($A192="","",SUMIFS(請求台帳!$F$5:$F$504,請求台帳!$C$5:$C$504,$A192,請求台帳!$B$5:$B$504,"&gt;="&amp;K$3,請求台帳!$B$5:$B$504,"&lt;"&amp;DATE(YEAR(K$3),MONTH(K$3)+1,1),請求台帳!$Q$5:$Q$504,"&lt;&gt;取消"))</f>
        <v/>
      </c>
      <c r="L192" s="27" t="str">
        <f aca="false">IF($A192="","",SUMIFS(入金明細!$E$5:$E$1004,入金明細!$G$5:$G$1004,$A192,入金明細!$B$5:$B$1004,"&gt;="&amp;K$3,入金明細!$B$5:$B$1004,"&lt;"&amp;DATE(YEAR(K$3),MONTH(K$3)+1,1)))</f>
        <v/>
      </c>
      <c r="M192" s="27" t="str">
        <f aca="false">IF($A192="","",SUMIFS(請求台帳!$F$5:$F$504,請求台帳!$C$5:$C$504,$A192,請求台帳!$B$5:$B$504,"&gt;="&amp;M$3,請求台帳!$B$5:$B$504,"&lt;"&amp;DATE(YEAR(M$3),MONTH(M$3)+1,1),請求台帳!$Q$5:$Q$504,"&lt;&gt;取消"))</f>
        <v/>
      </c>
      <c r="N192" s="27" t="str">
        <f aca="false">IF($A192="","",SUMIFS(入金明細!$E$5:$E$1004,入金明細!$G$5:$G$1004,$A192,入金明細!$B$5:$B$1004,"&gt;="&amp;M$3,入金明細!$B$5:$B$1004,"&lt;"&amp;DATE(YEAR(M$3),MONTH(M$3)+1,1)))</f>
        <v/>
      </c>
      <c r="O192" s="27" t="str">
        <f aca="false">IF($A192="","",SUMIFS(請求台帳!$F$5:$F$504,請求台帳!$C$5:$C$504,$A192,請求台帳!$B$5:$B$504,"&gt;="&amp;O$3,請求台帳!$B$5:$B$504,"&lt;"&amp;DATE(YEAR(O$3),MONTH(O$3)+1,1),請求台帳!$Q$5:$Q$504,"&lt;&gt;取消"))</f>
        <v/>
      </c>
      <c r="P192" s="27" t="str">
        <f aca="false">IF($A192="","",SUMIFS(入金明細!$E$5:$E$1004,入金明細!$G$5:$G$1004,$A192,入金明細!$B$5:$B$1004,"&gt;="&amp;O$3,入金明細!$B$5:$B$1004,"&lt;"&amp;DATE(YEAR(O$3),MONTH(O$3)+1,1)))</f>
        <v/>
      </c>
      <c r="Q192" s="27" t="str">
        <f aca="false">IF($A192="","",SUMIFS(請求台帳!$F$5:$F$504,請求台帳!$C$5:$C$504,$A192,請求台帳!$B$5:$B$504,"&gt;="&amp;Q$3,請求台帳!$B$5:$B$504,"&lt;"&amp;DATE(YEAR(Q$3),MONTH(Q$3)+1,1),請求台帳!$Q$5:$Q$504,"&lt;&gt;取消"))</f>
        <v/>
      </c>
      <c r="R192" s="27" t="str">
        <f aca="false">IF($A192="","",SUMIFS(入金明細!$E$5:$E$1004,入金明細!$G$5:$G$1004,$A192,入金明細!$B$5:$B$1004,"&gt;="&amp;Q$3,入金明細!$B$5:$B$1004,"&lt;"&amp;DATE(YEAR(Q$3),MONTH(Q$3)+1,1)))</f>
        <v/>
      </c>
      <c r="S192" s="27" t="str">
        <f aca="false">IF($A192="","",SUMIFS(請求台帳!$F$5:$F$504,請求台帳!$C$5:$C$504,$A192,請求台帳!$B$5:$B$504,"&gt;="&amp;S$3,請求台帳!$B$5:$B$504,"&lt;"&amp;DATE(YEAR(S$3),MONTH(S$3)+1,1),請求台帳!$Q$5:$Q$504,"&lt;&gt;取消"))</f>
        <v/>
      </c>
      <c r="T192" s="27" t="str">
        <f aca="false">IF($A192="","",SUMIFS(入金明細!$E$5:$E$1004,入金明細!$G$5:$G$1004,$A192,入金明細!$B$5:$B$1004,"&gt;="&amp;S$3,入金明細!$B$5:$B$1004,"&lt;"&amp;DATE(YEAR(S$3),MONTH(S$3)+1,1)))</f>
        <v/>
      </c>
      <c r="U192" s="27" t="str">
        <f aca="false">IF($A192="","",SUMIFS(請求台帳!$F$5:$F$504,請求台帳!$C$5:$C$504,$A192,請求台帳!$B$5:$B$504,"&gt;="&amp;U$3,請求台帳!$B$5:$B$504,"&lt;"&amp;DATE(YEAR(U$3),MONTH(U$3)+1,1),請求台帳!$Q$5:$Q$504,"&lt;&gt;取消"))</f>
        <v/>
      </c>
      <c r="V192" s="27" t="str">
        <f aca="false">IF($A192="","",SUMIFS(入金明細!$E$5:$E$1004,入金明細!$G$5:$G$1004,$A192,入金明細!$B$5:$B$1004,"&gt;="&amp;U$3,入金明細!$B$5:$B$1004,"&lt;"&amp;DATE(YEAR(U$3),MONTH(U$3)+1,1)))</f>
        <v/>
      </c>
      <c r="W192" s="27" t="str">
        <f aca="false">IF($A192="","",SUMIFS(請求台帳!$F$5:$F$504,請求台帳!$C$5:$C$504,$A192,請求台帳!$B$5:$B$504,"&gt;="&amp;W$3,請求台帳!$B$5:$B$504,"&lt;"&amp;DATE(YEAR(W$3),MONTH(W$3)+1,1),請求台帳!$Q$5:$Q$504,"&lt;&gt;取消"))</f>
        <v/>
      </c>
      <c r="X192" s="27" t="str">
        <f aca="false">IF($A192="","",SUMIFS(入金明細!$E$5:$E$1004,入金明細!$G$5:$G$1004,$A192,入金明細!$B$5:$B$1004,"&gt;="&amp;W$3,入金明細!$B$5:$B$1004,"&lt;"&amp;DATE(YEAR(W$3),MONTH(W$3)+1,1)))</f>
        <v/>
      </c>
      <c r="Y192" s="27" t="str">
        <f aca="false">IF($A192="","",SUMIFS(請求台帳!$F$5:$F$504,請求台帳!$C$5:$C$504,$A192,請求台帳!$B$5:$B$504,"&gt;="&amp;Y$3,請求台帳!$B$5:$B$504,"&lt;"&amp;DATE(YEAR(Y$3),MONTH(Y$3)+1,1),請求台帳!$Q$5:$Q$504,"&lt;&gt;取消"))</f>
        <v/>
      </c>
      <c r="Z192" s="27" t="str">
        <f aca="false">IF($A192="","",SUMIFS(入金明細!$E$5:$E$1004,入金明細!$G$5:$G$1004,$A192,入金明細!$B$5:$B$1004,"&gt;="&amp;Y$3,入金明細!$B$5:$B$1004,"&lt;"&amp;DATE(YEAR(Y$3),MONTH(Y$3)+1,1)))</f>
        <v/>
      </c>
      <c r="AA192" s="37" t="n">
        <f aca="false">SUM(C192,E192,G192,I192,K192,M192,O192,Q192,S192,U192,W192,Y192)</f>
        <v>0</v>
      </c>
      <c r="AB192" s="37" t="n">
        <f aca="false">SUM(D192,F192,H192,J192,L192,N192,P192,R192,T192,V192,X192,Z192)</f>
        <v>0</v>
      </c>
    </row>
    <row r="193" customFormat="false" ht="15" hidden="false" customHeight="false" outlineLevel="0" collapsed="false">
      <c r="A193" s="31" t="str">
        <f aca="false">IF(取引先マスタ!A193="","",取引先マスタ!A193)</f>
        <v/>
      </c>
      <c r="B193" s="31" t="str">
        <f aca="false">IF(A193="","",取引先マスタ!B193)</f>
        <v/>
      </c>
      <c r="C193" s="27" t="str">
        <f aca="false">IF($A193="","",SUMIFS(請求台帳!$F$5:$F$504,請求台帳!$C$5:$C$504,$A193,請求台帳!$B$5:$B$504,"&gt;="&amp;C$3,請求台帳!$B$5:$B$504,"&lt;"&amp;DATE(YEAR(C$3),MONTH(C$3)+1,1),請求台帳!$Q$5:$Q$504,"&lt;&gt;取消"))</f>
        <v/>
      </c>
      <c r="D193" s="27" t="str">
        <f aca="false">IF($A193="","",SUMIFS(入金明細!$E$5:$E$1004,入金明細!$G$5:$G$1004,$A193,入金明細!$B$5:$B$1004,"&gt;="&amp;C$3,入金明細!$B$5:$B$1004,"&lt;"&amp;DATE(YEAR(C$3),MONTH(C$3)+1,1)))</f>
        <v/>
      </c>
      <c r="E193" s="27" t="str">
        <f aca="false">IF($A193="","",SUMIFS(請求台帳!$F$5:$F$504,請求台帳!$C$5:$C$504,$A193,請求台帳!$B$5:$B$504,"&gt;="&amp;E$3,請求台帳!$B$5:$B$504,"&lt;"&amp;DATE(YEAR(E$3),MONTH(E$3)+1,1),請求台帳!$Q$5:$Q$504,"&lt;&gt;取消"))</f>
        <v/>
      </c>
      <c r="F193" s="27" t="str">
        <f aca="false">IF($A193="","",SUMIFS(入金明細!$E$5:$E$1004,入金明細!$G$5:$G$1004,$A193,入金明細!$B$5:$B$1004,"&gt;="&amp;E$3,入金明細!$B$5:$B$1004,"&lt;"&amp;DATE(YEAR(E$3),MONTH(E$3)+1,1)))</f>
        <v/>
      </c>
      <c r="G193" s="27" t="str">
        <f aca="false">IF($A193="","",SUMIFS(請求台帳!$F$5:$F$504,請求台帳!$C$5:$C$504,$A193,請求台帳!$B$5:$B$504,"&gt;="&amp;G$3,請求台帳!$B$5:$B$504,"&lt;"&amp;DATE(YEAR(G$3),MONTH(G$3)+1,1),請求台帳!$Q$5:$Q$504,"&lt;&gt;取消"))</f>
        <v/>
      </c>
      <c r="H193" s="27" t="str">
        <f aca="false">IF($A193="","",SUMIFS(入金明細!$E$5:$E$1004,入金明細!$G$5:$G$1004,$A193,入金明細!$B$5:$B$1004,"&gt;="&amp;G$3,入金明細!$B$5:$B$1004,"&lt;"&amp;DATE(YEAR(G$3),MONTH(G$3)+1,1)))</f>
        <v/>
      </c>
      <c r="I193" s="27" t="str">
        <f aca="false">IF($A193="","",SUMIFS(請求台帳!$F$5:$F$504,請求台帳!$C$5:$C$504,$A193,請求台帳!$B$5:$B$504,"&gt;="&amp;I$3,請求台帳!$B$5:$B$504,"&lt;"&amp;DATE(YEAR(I$3),MONTH(I$3)+1,1),請求台帳!$Q$5:$Q$504,"&lt;&gt;取消"))</f>
        <v/>
      </c>
      <c r="J193" s="27" t="str">
        <f aca="false">IF($A193="","",SUMIFS(入金明細!$E$5:$E$1004,入金明細!$G$5:$G$1004,$A193,入金明細!$B$5:$B$1004,"&gt;="&amp;I$3,入金明細!$B$5:$B$1004,"&lt;"&amp;DATE(YEAR(I$3),MONTH(I$3)+1,1)))</f>
        <v/>
      </c>
      <c r="K193" s="27" t="str">
        <f aca="false">IF($A193="","",SUMIFS(請求台帳!$F$5:$F$504,請求台帳!$C$5:$C$504,$A193,請求台帳!$B$5:$B$504,"&gt;="&amp;K$3,請求台帳!$B$5:$B$504,"&lt;"&amp;DATE(YEAR(K$3),MONTH(K$3)+1,1),請求台帳!$Q$5:$Q$504,"&lt;&gt;取消"))</f>
        <v/>
      </c>
      <c r="L193" s="27" t="str">
        <f aca="false">IF($A193="","",SUMIFS(入金明細!$E$5:$E$1004,入金明細!$G$5:$G$1004,$A193,入金明細!$B$5:$B$1004,"&gt;="&amp;K$3,入金明細!$B$5:$B$1004,"&lt;"&amp;DATE(YEAR(K$3),MONTH(K$3)+1,1)))</f>
        <v/>
      </c>
      <c r="M193" s="27" t="str">
        <f aca="false">IF($A193="","",SUMIFS(請求台帳!$F$5:$F$504,請求台帳!$C$5:$C$504,$A193,請求台帳!$B$5:$B$504,"&gt;="&amp;M$3,請求台帳!$B$5:$B$504,"&lt;"&amp;DATE(YEAR(M$3),MONTH(M$3)+1,1),請求台帳!$Q$5:$Q$504,"&lt;&gt;取消"))</f>
        <v/>
      </c>
      <c r="N193" s="27" t="str">
        <f aca="false">IF($A193="","",SUMIFS(入金明細!$E$5:$E$1004,入金明細!$G$5:$G$1004,$A193,入金明細!$B$5:$B$1004,"&gt;="&amp;M$3,入金明細!$B$5:$B$1004,"&lt;"&amp;DATE(YEAR(M$3),MONTH(M$3)+1,1)))</f>
        <v/>
      </c>
      <c r="O193" s="27" t="str">
        <f aca="false">IF($A193="","",SUMIFS(請求台帳!$F$5:$F$504,請求台帳!$C$5:$C$504,$A193,請求台帳!$B$5:$B$504,"&gt;="&amp;O$3,請求台帳!$B$5:$B$504,"&lt;"&amp;DATE(YEAR(O$3),MONTH(O$3)+1,1),請求台帳!$Q$5:$Q$504,"&lt;&gt;取消"))</f>
        <v/>
      </c>
      <c r="P193" s="27" t="str">
        <f aca="false">IF($A193="","",SUMIFS(入金明細!$E$5:$E$1004,入金明細!$G$5:$G$1004,$A193,入金明細!$B$5:$B$1004,"&gt;="&amp;O$3,入金明細!$B$5:$B$1004,"&lt;"&amp;DATE(YEAR(O$3),MONTH(O$3)+1,1)))</f>
        <v/>
      </c>
      <c r="Q193" s="27" t="str">
        <f aca="false">IF($A193="","",SUMIFS(請求台帳!$F$5:$F$504,請求台帳!$C$5:$C$504,$A193,請求台帳!$B$5:$B$504,"&gt;="&amp;Q$3,請求台帳!$B$5:$B$504,"&lt;"&amp;DATE(YEAR(Q$3),MONTH(Q$3)+1,1),請求台帳!$Q$5:$Q$504,"&lt;&gt;取消"))</f>
        <v/>
      </c>
      <c r="R193" s="27" t="str">
        <f aca="false">IF($A193="","",SUMIFS(入金明細!$E$5:$E$1004,入金明細!$G$5:$G$1004,$A193,入金明細!$B$5:$B$1004,"&gt;="&amp;Q$3,入金明細!$B$5:$B$1004,"&lt;"&amp;DATE(YEAR(Q$3),MONTH(Q$3)+1,1)))</f>
        <v/>
      </c>
      <c r="S193" s="27" t="str">
        <f aca="false">IF($A193="","",SUMIFS(請求台帳!$F$5:$F$504,請求台帳!$C$5:$C$504,$A193,請求台帳!$B$5:$B$504,"&gt;="&amp;S$3,請求台帳!$B$5:$B$504,"&lt;"&amp;DATE(YEAR(S$3),MONTH(S$3)+1,1),請求台帳!$Q$5:$Q$504,"&lt;&gt;取消"))</f>
        <v/>
      </c>
      <c r="T193" s="27" t="str">
        <f aca="false">IF($A193="","",SUMIFS(入金明細!$E$5:$E$1004,入金明細!$G$5:$G$1004,$A193,入金明細!$B$5:$B$1004,"&gt;="&amp;S$3,入金明細!$B$5:$B$1004,"&lt;"&amp;DATE(YEAR(S$3),MONTH(S$3)+1,1)))</f>
        <v/>
      </c>
      <c r="U193" s="27" t="str">
        <f aca="false">IF($A193="","",SUMIFS(請求台帳!$F$5:$F$504,請求台帳!$C$5:$C$504,$A193,請求台帳!$B$5:$B$504,"&gt;="&amp;U$3,請求台帳!$B$5:$B$504,"&lt;"&amp;DATE(YEAR(U$3),MONTH(U$3)+1,1),請求台帳!$Q$5:$Q$504,"&lt;&gt;取消"))</f>
        <v/>
      </c>
      <c r="V193" s="27" t="str">
        <f aca="false">IF($A193="","",SUMIFS(入金明細!$E$5:$E$1004,入金明細!$G$5:$G$1004,$A193,入金明細!$B$5:$B$1004,"&gt;="&amp;U$3,入金明細!$B$5:$B$1004,"&lt;"&amp;DATE(YEAR(U$3),MONTH(U$3)+1,1)))</f>
        <v/>
      </c>
      <c r="W193" s="27" t="str">
        <f aca="false">IF($A193="","",SUMIFS(請求台帳!$F$5:$F$504,請求台帳!$C$5:$C$504,$A193,請求台帳!$B$5:$B$504,"&gt;="&amp;W$3,請求台帳!$B$5:$B$504,"&lt;"&amp;DATE(YEAR(W$3),MONTH(W$3)+1,1),請求台帳!$Q$5:$Q$504,"&lt;&gt;取消"))</f>
        <v/>
      </c>
      <c r="X193" s="27" t="str">
        <f aca="false">IF($A193="","",SUMIFS(入金明細!$E$5:$E$1004,入金明細!$G$5:$G$1004,$A193,入金明細!$B$5:$B$1004,"&gt;="&amp;W$3,入金明細!$B$5:$B$1004,"&lt;"&amp;DATE(YEAR(W$3),MONTH(W$3)+1,1)))</f>
        <v/>
      </c>
      <c r="Y193" s="27" t="str">
        <f aca="false">IF($A193="","",SUMIFS(請求台帳!$F$5:$F$504,請求台帳!$C$5:$C$504,$A193,請求台帳!$B$5:$B$504,"&gt;="&amp;Y$3,請求台帳!$B$5:$B$504,"&lt;"&amp;DATE(YEAR(Y$3),MONTH(Y$3)+1,1),請求台帳!$Q$5:$Q$504,"&lt;&gt;取消"))</f>
        <v/>
      </c>
      <c r="Z193" s="27" t="str">
        <f aca="false">IF($A193="","",SUMIFS(入金明細!$E$5:$E$1004,入金明細!$G$5:$G$1004,$A193,入金明細!$B$5:$B$1004,"&gt;="&amp;Y$3,入金明細!$B$5:$B$1004,"&lt;"&amp;DATE(YEAR(Y$3),MONTH(Y$3)+1,1)))</f>
        <v/>
      </c>
      <c r="AA193" s="37" t="n">
        <f aca="false">SUM(C193,E193,G193,I193,K193,M193,O193,Q193,S193,U193,W193,Y193)</f>
        <v>0</v>
      </c>
      <c r="AB193" s="37" t="n">
        <f aca="false">SUM(D193,F193,H193,J193,L193,N193,P193,R193,T193,V193,X193,Z193)</f>
        <v>0</v>
      </c>
    </row>
    <row r="194" customFormat="false" ht="15" hidden="false" customHeight="false" outlineLevel="0" collapsed="false">
      <c r="A194" s="31" t="str">
        <f aca="false">IF(取引先マスタ!A194="","",取引先マスタ!A194)</f>
        <v/>
      </c>
      <c r="B194" s="31" t="str">
        <f aca="false">IF(A194="","",取引先マスタ!B194)</f>
        <v/>
      </c>
      <c r="C194" s="27" t="str">
        <f aca="false">IF($A194="","",SUMIFS(請求台帳!$F$5:$F$504,請求台帳!$C$5:$C$504,$A194,請求台帳!$B$5:$B$504,"&gt;="&amp;C$3,請求台帳!$B$5:$B$504,"&lt;"&amp;DATE(YEAR(C$3),MONTH(C$3)+1,1),請求台帳!$Q$5:$Q$504,"&lt;&gt;取消"))</f>
        <v/>
      </c>
      <c r="D194" s="27" t="str">
        <f aca="false">IF($A194="","",SUMIFS(入金明細!$E$5:$E$1004,入金明細!$G$5:$G$1004,$A194,入金明細!$B$5:$B$1004,"&gt;="&amp;C$3,入金明細!$B$5:$B$1004,"&lt;"&amp;DATE(YEAR(C$3),MONTH(C$3)+1,1)))</f>
        <v/>
      </c>
      <c r="E194" s="27" t="str">
        <f aca="false">IF($A194="","",SUMIFS(請求台帳!$F$5:$F$504,請求台帳!$C$5:$C$504,$A194,請求台帳!$B$5:$B$504,"&gt;="&amp;E$3,請求台帳!$B$5:$B$504,"&lt;"&amp;DATE(YEAR(E$3),MONTH(E$3)+1,1),請求台帳!$Q$5:$Q$504,"&lt;&gt;取消"))</f>
        <v/>
      </c>
      <c r="F194" s="27" t="str">
        <f aca="false">IF($A194="","",SUMIFS(入金明細!$E$5:$E$1004,入金明細!$G$5:$G$1004,$A194,入金明細!$B$5:$B$1004,"&gt;="&amp;E$3,入金明細!$B$5:$B$1004,"&lt;"&amp;DATE(YEAR(E$3),MONTH(E$3)+1,1)))</f>
        <v/>
      </c>
      <c r="G194" s="27" t="str">
        <f aca="false">IF($A194="","",SUMIFS(請求台帳!$F$5:$F$504,請求台帳!$C$5:$C$504,$A194,請求台帳!$B$5:$B$504,"&gt;="&amp;G$3,請求台帳!$B$5:$B$504,"&lt;"&amp;DATE(YEAR(G$3),MONTH(G$3)+1,1),請求台帳!$Q$5:$Q$504,"&lt;&gt;取消"))</f>
        <v/>
      </c>
      <c r="H194" s="27" t="str">
        <f aca="false">IF($A194="","",SUMIFS(入金明細!$E$5:$E$1004,入金明細!$G$5:$G$1004,$A194,入金明細!$B$5:$B$1004,"&gt;="&amp;G$3,入金明細!$B$5:$B$1004,"&lt;"&amp;DATE(YEAR(G$3),MONTH(G$3)+1,1)))</f>
        <v/>
      </c>
      <c r="I194" s="27" t="str">
        <f aca="false">IF($A194="","",SUMIFS(請求台帳!$F$5:$F$504,請求台帳!$C$5:$C$504,$A194,請求台帳!$B$5:$B$504,"&gt;="&amp;I$3,請求台帳!$B$5:$B$504,"&lt;"&amp;DATE(YEAR(I$3),MONTH(I$3)+1,1),請求台帳!$Q$5:$Q$504,"&lt;&gt;取消"))</f>
        <v/>
      </c>
      <c r="J194" s="27" t="str">
        <f aca="false">IF($A194="","",SUMIFS(入金明細!$E$5:$E$1004,入金明細!$G$5:$G$1004,$A194,入金明細!$B$5:$B$1004,"&gt;="&amp;I$3,入金明細!$B$5:$B$1004,"&lt;"&amp;DATE(YEAR(I$3),MONTH(I$3)+1,1)))</f>
        <v/>
      </c>
      <c r="K194" s="27" t="str">
        <f aca="false">IF($A194="","",SUMIFS(請求台帳!$F$5:$F$504,請求台帳!$C$5:$C$504,$A194,請求台帳!$B$5:$B$504,"&gt;="&amp;K$3,請求台帳!$B$5:$B$504,"&lt;"&amp;DATE(YEAR(K$3),MONTH(K$3)+1,1),請求台帳!$Q$5:$Q$504,"&lt;&gt;取消"))</f>
        <v/>
      </c>
      <c r="L194" s="27" t="str">
        <f aca="false">IF($A194="","",SUMIFS(入金明細!$E$5:$E$1004,入金明細!$G$5:$G$1004,$A194,入金明細!$B$5:$B$1004,"&gt;="&amp;K$3,入金明細!$B$5:$B$1004,"&lt;"&amp;DATE(YEAR(K$3),MONTH(K$3)+1,1)))</f>
        <v/>
      </c>
      <c r="M194" s="27" t="str">
        <f aca="false">IF($A194="","",SUMIFS(請求台帳!$F$5:$F$504,請求台帳!$C$5:$C$504,$A194,請求台帳!$B$5:$B$504,"&gt;="&amp;M$3,請求台帳!$B$5:$B$504,"&lt;"&amp;DATE(YEAR(M$3),MONTH(M$3)+1,1),請求台帳!$Q$5:$Q$504,"&lt;&gt;取消"))</f>
        <v/>
      </c>
      <c r="N194" s="27" t="str">
        <f aca="false">IF($A194="","",SUMIFS(入金明細!$E$5:$E$1004,入金明細!$G$5:$G$1004,$A194,入金明細!$B$5:$B$1004,"&gt;="&amp;M$3,入金明細!$B$5:$B$1004,"&lt;"&amp;DATE(YEAR(M$3),MONTH(M$3)+1,1)))</f>
        <v/>
      </c>
      <c r="O194" s="27" t="str">
        <f aca="false">IF($A194="","",SUMIFS(請求台帳!$F$5:$F$504,請求台帳!$C$5:$C$504,$A194,請求台帳!$B$5:$B$504,"&gt;="&amp;O$3,請求台帳!$B$5:$B$504,"&lt;"&amp;DATE(YEAR(O$3),MONTH(O$3)+1,1),請求台帳!$Q$5:$Q$504,"&lt;&gt;取消"))</f>
        <v/>
      </c>
      <c r="P194" s="27" t="str">
        <f aca="false">IF($A194="","",SUMIFS(入金明細!$E$5:$E$1004,入金明細!$G$5:$G$1004,$A194,入金明細!$B$5:$B$1004,"&gt;="&amp;O$3,入金明細!$B$5:$B$1004,"&lt;"&amp;DATE(YEAR(O$3),MONTH(O$3)+1,1)))</f>
        <v/>
      </c>
      <c r="Q194" s="27" t="str">
        <f aca="false">IF($A194="","",SUMIFS(請求台帳!$F$5:$F$504,請求台帳!$C$5:$C$504,$A194,請求台帳!$B$5:$B$504,"&gt;="&amp;Q$3,請求台帳!$B$5:$B$504,"&lt;"&amp;DATE(YEAR(Q$3),MONTH(Q$3)+1,1),請求台帳!$Q$5:$Q$504,"&lt;&gt;取消"))</f>
        <v/>
      </c>
      <c r="R194" s="27" t="str">
        <f aca="false">IF($A194="","",SUMIFS(入金明細!$E$5:$E$1004,入金明細!$G$5:$G$1004,$A194,入金明細!$B$5:$B$1004,"&gt;="&amp;Q$3,入金明細!$B$5:$B$1004,"&lt;"&amp;DATE(YEAR(Q$3),MONTH(Q$3)+1,1)))</f>
        <v/>
      </c>
      <c r="S194" s="27" t="str">
        <f aca="false">IF($A194="","",SUMIFS(請求台帳!$F$5:$F$504,請求台帳!$C$5:$C$504,$A194,請求台帳!$B$5:$B$504,"&gt;="&amp;S$3,請求台帳!$B$5:$B$504,"&lt;"&amp;DATE(YEAR(S$3),MONTH(S$3)+1,1),請求台帳!$Q$5:$Q$504,"&lt;&gt;取消"))</f>
        <v/>
      </c>
      <c r="T194" s="27" t="str">
        <f aca="false">IF($A194="","",SUMIFS(入金明細!$E$5:$E$1004,入金明細!$G$5:$G$1004,$A194,入金明細!$B$5:$B$1004,"&gt;="&amp;S$3,入金明細!$B$5:$B$1004,"&lt;"&amp;DATE(YEAR(S$3),MONTH(S$3)+1,1)))</f>
        <v/>
      </c>
      <c r="U194" s="27" t="str">
        <f aca="false">IF($A194="","",SUMIFS(請求台帳!$F$5:$F$504,請求台帳!$C$5:$C$504,$A194,請求台帳!$B$5:$B$504,"&gt;="&amp;U$3,請求台帳!$B$5:$B$504,"&lt;"&amp;DATE(YEAR(U$3),MONTH(U$3)+1,1),請求台帳!$Q$5:$Q$504,"&lt;&gt;取消"))</f>
        <v/>
      </c>
      <c r="V194" s="27" t="str">
        <f aca="false">IF($A194="","",SUMIFS(入金明細!$E$5:$E$1004,入金明細!$G$5:$G$1004,$A194,入金明細!$B$5:$B$1004,"&gt;="&amp;U$3,入金明細!$B$5:$B$1004,"&lt;"&amp;DATE(YEAR(U$3),MONTH(U$3)+1,1)))</f>
        <v/>
      </c>
      <c r="W194" s="27" t="str">
        <f aca="false">IF($A194="","",SUMIFS(請求台帳!$F$5:$F$504,請求台帳!$C$5:$C$504,$A194,請求台帳!$B$5:$B$504,"&gt;="&amp;W$3,請求台帳!$B$5:$B$504,"&lt;"&amp;DATE(YEAR(W$3),MONTH(W$3)+1,1),請求台帳!$Q$5:$Q$504,"&lt;&gt;取消"))</f>
        <v/>
      </c>
      <c r="X194" s="27" t="str">
        <f aca="false">IF($A194="","",SUMIFS(入金明細!$E$5:$E$1004,入金明細!$G$5:$G$1004,$A194,入金明細!$B$5:$B$1004,"&gt;="&amp;W$3,入金明細!$B$5:$B$1004,"&lt;"&amp;DATE(YEAR(W$3),MONTH(W$3)+1,1)))</f>
        <v/>
      </c>
      <c r="Y194" s="27" t="str">
        <f aca="false">IF($A194="","",SUMIFS(請求台帳!$F$5:$F$504,請求台帳!$C$5:$C$504,$A194,請求台帳!$B$5:$B$504,"&gt;="&amp;Y$3,請求台帳!$B$5:$B$504,"&lt;"&amp;DATE(YEAR(Y$3),MONTH(Y$3)+1,1),請求台帳!$Q$5:$Q$504,"&lt;&gt;取消"))</f>
        <v/>
      </c>
      <c r="Z194" s="27" t="str">
        <f aca="false">IF($A194="","",SUMIFS(入金明細!$E$5:$E$1004,入金明細!$G$5:$G$1004,$A194,入金明細!$B$5:$B$1004,"&gt;="&amp;Y$3,入金明細!$B$5:$B$1004,"&lt;"&amp;DATE(YEAR(Y$3),MONTH(Y$3)+1,1)))</f>
        <v/>
      </c>
      <c r="AA194" s="37" t="n">
        <f aca="false">SUM(C194,E194,G194,I194,K194,M194,O194,Q194,S194,U194,W194,Y194)</f>
        <v>0</v>
      </c>
      <c r="AB194" s="37" t="n">
        <f aca="false">SUM(D194,F194,H194,J194,L194,N194,P194,R194,T194,V194,X194,Z194)</f>
        <v>0</v>
      </c>
    </row>
    <row r="195" customFormat="false" ht="15" hidden="false" customHeight="false" outlineLevel="0" collapsed="false">
      <c r="A195" s="31" t="str">
        <f aca="false">IF(取引先マスタ!A195="","",取引先マスタ!A195)</f>
        <v/>
      </c>
      <c r="B195" s="31" t="str">
        <f aca="false">IF(A195="","",取引先マスタ!B195)</f>
        <v/>
      </c>
      <c r="C195" s="27" t="str">
        <f aca="false">IF($A195="","",SUMIFS(請求台帳!$F$5:$F$504,請求台帳!$C$5:$C$504,$A195,請求台帳!$B$5:$B$504,"&gt;="&amp;C$3,請求台帳!$B$5:$B$504,"&lt;"&amp;DATE(YEAR(C$3),MONTH(C$3)+1,1),請求台帳!$Q$5:$Q$504,"&lt;&gt;取消"))</f>
        <v/>
      </c>
      <c r="D195" s="27" t="str">
        <f aca="false">IF($A195="","",SUMIFS(入金明細!$E$5:$E$1004,入金明細!$G$5:$G$1004,$A195,入金明細!$B$5:$B$1004,"&gt;="&amp;C$3,入金明細!$B$5:$B$1004,"&lt;"&amp;DATE(YEAR(C$3),MONTH(C$3)+1,1)))</f>
        <v/>
      </c>
      <c r="E195" s="27" t="str">
        <f aca="false">IF($A195="","",SUMIFS(請求台帳!$F$5:$F$504,請求台帳!$C$5:$C$504,$A195,請求台帳!$B$5:$B$504,"&gt;="&amp;E$3,請求台帳!$B$5:$B$504,"&lt;"&amp;DATE(YEAR(E$3),MONTH(E$3)+1,1),請求台帳!$Q$5:$Q$504,"&lt;&gt;取消"))</f>
        <v/>
      </c>
      <c r="F195" s="27" t="str">
        <f aca="false">IF($A195="","",SUMIFS(入金明細!$E$5:$E$1004,入金明細!$G$5:$G$1004,$A195,入金明細!$B$5:$B$1004,"&gt;="&amp;E$3,入金明細!$B$5:$B$1004,"&lt;"&amp;DATE(YEAR(E$3),MONTH(E$3)+1,1)))</f>
        <v/>
      </c>
      <c r="G195" s="27" t="str">
        <f aca="false">IF($A195="","",SUMIFS(請求台帳!$F$5:$F$504,請求台帳!$C$5:$C$504,$A195,請求台帳!$B$5:$B$504,"&gt;="&amp;G$3,請求台帳!$B$5:$B$504,"&lt;"&amp;DATE(YEAR(G$3),MONTH(G$3)+1,1),請求台帳!$Q$5:$Q$504,"&lt;&gt;取消"))</f>
        <v/>
      </c>
      <c r="H195" s="27" t="str">
        <f aca="false">IF($A195="","",SUMIFS(入金明細!$E$5:$E$1004,入金明細!$G$5:$G$1004,$A195,入金明細!$B$5:$B$1004,"&gt;="&amp;G$3,入金明細!$B$5:$B$1004,"&lt;"&amp;DATE(YEAR(G$3),MONTH(G$3)+1,1)))</f>
        <v/>
      </c>
      <c r="I195" s="27" t="str">
        <f aca="false">IF($A195="","",SUMIFS(請求台帳!$F$5:$F$504,請求台帳!$C$5:$C$504,$A195,請求台帳!$B$5:$B$504,"&gt;="&amp;I$3,請求台帳!$B$5:$B$504,"&lt;"&amp;DATE(YEAR(I$3),MONTH(I$3)+1,1),請求台帳!$Q$5:$Q$504,"&lt;&gt;取消"))</f>
        <v/>
      </c>
      <c r="J195" s="27" t="str">
        <f aca="false">IF($A195="","",SUMIFS(入金明細!$E$5:$E$1004,入金明細!$G$5:$G$1004,$A195,入金明細!$B$5:$B$1004,"&gt;="&amp;I$3,入金明細!$B$5:$B$1004,"&lt;"&amp;DATE(YEAR(I$3),MONTH(I$3)+1,1)))</f>
        <v/>
      </c>
      <c r="K195" s="27" t="str">
        <f aca="false">IF($A195="","",SUMIFS(請求台帳!$F$5:$F$504,請求台帳!$C$5:$C$504,$A195,請求台帳!$B$5:$B$504,"&gt;="&amp;K$3,請求台帳!$B$5:$B$504,"&lt;"&amp;DATE(YEAR(K$3),MONTH(K$3)+1,1),請求台帳!$Q$5:$Q$504,"&lt;&gt;取消"))</f>
        <v/>
      </c>
      <c r="L195" s="27" t="str">
        <f aca="false">IF($A195="","",SUMIFS(入金明細!$E$5:$E$1004,入金明細!$G$5:$G$1004,$A195,入金明細!$B$5:$B$1004,"&gt;="&amp;K$3,入金明細!$B$5:$B$1004,"&lt;"&amp;DATE(YEAR(K$3),MONTH(K$3)+1,1)))</f>
        <v/>
      </c>
      <c r="M195" s="27" t="str">
        <f aca="false">IF($A195="","",SUMIFS(請求台帳!$F$5:$F$504,請求台帳!$C$5:$C$504,$A195,請求台帳!$B$5:$B$504,"&gt;="&amp;M$3,請求台帳!$B$5:$B$504,"&lt;"&amp;DATE(YEAR(M$3),MONTH(M$3)+1,1),請求台帳!$Q$5:$Q$504,"&lt;&gt;取消"))</f>
        <v/>
      </c>
      <c r="N195" s="27" t="str">
        <f aca="false">IF($A195="","",SUMIFS(入金明細!$E$5:$E$1004,入金明細!$G$5:$G$1004,$A195,入金明細!$B$5:$B$1004,"&gt;="&amp;M$3,入金明細!$B$5:$B$1004,"&lt;"&amp;DATE(YEAR(M$3),MONTH(M$3)+1,1)))</f>
        <v/>
      </c>
      <c r="O195" s="27" t="str">
        <f aca="false">IF($A195="","",SUMIFS(請求台帳!$F$5:$F$504,請求台帳!$C$5:$C$504,$A195,請求台帳!$B$5:$B$504,"&gt;="&amp;O$3,請求台帳!$B$5:$B$504,"&lt;"&amp;DATE(YEAR(O$3),MONTH(O$3)+1,1),請求台帳!$Q$5:$Q$504,"&lt;&gt;取消"))</f>
        <v/>
      </c>
      <c r="P195" s="27" t="str">
        <f aca="false">IF($A195="","",SUMIFS(入金明細!$E$5:$E$1004,入金明細!$G$5:$G$1004,$A195,入金明細!$B$5:$B$1004,"&gt;="&amp;O$3,入金明細!$B$5:$B$1004,"&lt;"&amp;DATE(YEAR(O$3),MONTH(O$3)+1,1)))</f>
        <v/>
      </c>
      <c r="Q195" s="27" t="str">
        <f aca="false">IF($A195="","",SUMIFS(請求台帳!$F$5:$F$504,請求台帳!$C$5:$C$504,$A195,請求台帳!$B$5:$B$504,"&gt;="&amp;Q$3,請求台帳!$B$5:$B$504,"&lt;"&amp;DATE(YEAR(Q$3),MONTH(Q$3)+1,1),請求台帳!$Q$5:$Q$504,"&lt;&gt;取消"))</f>
        <v/>
      </c>
      <c r="R195" s="27" t="str">
        <f aca="false">IF($A195="","",SUMIFS(入金明細!$E$5:$E$1004,入金明細!$G$5:$G$1004,$A195,入金明細!$B$5:$B$1004,"&gt;="&amp;Q$3,入金明細!$B$5:$B$1004,"&lt;"&amp;DATE(YEAR(Q$3),MONTH(Q$3)+1,1)))</f>
        <v/>
      </c>
      <c r="S195" s="27" t="str">
        <f aca="false">IF($A195="","",SUMIFS(請求台帳!$F$5:$F$504,請求台帳!$C$5:$C$504,$A195,請求台帳!$B$5:$B$504,"&gt;="&amp;S$3,請求台帳!$B$5:$B$504,"&lt;"&amp;DATE(YEAR(S$3),MONTH(S$3)+1,1),請求台帳!$Q$5:$Q$504,"&lt;&gt;取消"))</f>
        <v/>
      </c>
      <c r="T195" s="27" t="str">
        <f aca="false">IF($A195="","",SUMIFS(入金明細!$E$5:$E$1004,入金明細!$G$5:$G$1004,$A195,入金明細!$B$5:$B$1004,"&gt;="&amp;S$3,入金明細!$B$5:$B$1004,"&lt;"&amp;DATE(YEAR(S$3),MONTH(S$3)+1,1)))</f>
        <v/>
      </c>
      <c r="U195" s="27" t="str">
        <f aca="false">IF($A195="","",SUMIFS(請求台帳!$F$5:$F$504,請求台帳!$C$5:$C$504,$A195,請求台帳!$B$5:$B$504,"&gt;="&amp;U$3,請求台帳!$B$5:$B$504,"&lt;"&amp;DATE(YEAR(U$3),MONTH(U$3)+1,1),請求台帳!$Q$5:$Q$504,"&lt;&gt;取消"))</f>
        <v/>
      </c>
      <c r="V195" s="27" t="str">
        <f aca="false">IF($A195="","",SUMIFS(入金明細!$E$5:$E$1004,入金明細!$G$5:$G$1004,$A195,入金明細!$B$5:$B$1004,"&gt;="&amp;U$3,入金明細!$B$5:$B$1004,"&lt;"&amp;DATE(YEAR(U$3),MONTH(U$3)+1,1)))</f>
        <v/>
      </c>
      <c r="W195" s="27" t="str">
        <f aca="false">IF($A195="","",SUMIFS(請求台帳!$F$5:$F$504,請求台帳!$C$5:$C$504,$A195,請求台帳!$B$5:$B$504,"&gt;="&amp;W$3,請求台帳!$B$5:$B$504,"&lt;"&amp;DATE(YEAR(W$3),MONTH(W$3)+1,1),請求台帳!$Q$5:$Q$504,"&lt;&gt;取消"))</f>
        <v/>
      </c>
      <c r="X195" s="27" t="str">
        <f aca="false">IF($A195="","",SUMIFS(入金明細!$E$5:$E$1004,入金明細!$G$5:$G$1004,$A195,入金明細!$B$5:$B$1004,"&gt;="&amp;W$3,入金明細!$B$5:$B$1004,"&lt;"&amp;DATE(YEAR(W$3),MONTH(W$3)+1,1)))</f>
        <v/>
      </c>
      <c r="Y195" s="27" t="str">
        <f aca="false">IF($A195="","",SUMIFS(請求台帳!$F$5:$F$504,請求台帳!$C$5:$C$504,$A195,請求台帳!$B$5:$B$504,"&gt;="&amp;Y$3,請求台帳!$B$5:$B$504,"&lt;"&amp;DATE(YEAR(Y$3),MONTH(Y$3)+1,1),請求台帳!$Q$5:$Q$504,"&lt;&gt;取消"))</f>
        <v/>
      </c>
      <c r="Z195" s="27" t="str">
        <f aca="false">IF($A195="","",SUMIFS(入金明細!$E$5:$E$1004,入金明細!$G$5:$G$1004,$A195,入金明細!$B$5:$B$1004,"&gt;="&amp;Y$3,入金明細!$B$5:$B$1004,"&lt;"&amp;DATE(YEAR(Y$3),MONTH(Y$3)+1,1)))</f>
        <v/>
      </c>
      <c r="AA195" s="37" t="n">
        <f aca="false">SUM(C195,E195,G195,I195,K195,M195,O195,Q195,S195,U195,W195,Y195)</f>
        <v>0</v>
      </c>
      <c r="AB195" s="37" t="n">
        <f aca="false">SUM(D195,F195,H195,J195,L195,N195,P195,R195,T195,V195,X195,Z195)</f>
        <v>0</v>
      </c>
    </row>
    <row r="196" customFormat="false" ht="15" hidden="false" customHeight="false" outlineLevel="0" collapsed="false">
      <c r="A196" s="31" t="str">
        <f aca="false">IF(取引先マスタ!A196="","",取引先マスタ!A196)</f>
        <v/>
      </c>
      <c r="B196" s="31" t="str">
        <f aca="false">IF(A196="","",取引先マスタ!B196)</f>
        <v/>
      </c>
      <c r="C196" s="27" t="str">
        <f aca="false">IF($A196="","",SUMIFS(請求台帳!$F$5:$F$504,請求台帳!$C$5:$C$504,$A196,請求台帳!$B$5:$B$504,"&gt;="&amp;C$3,請求台帳!$B$5:$B$504,"&lt;"&amp;DATE(YEAR(C$3),MONTH(C$3)+1,1),請求台帳!$Q$5:$Q$504,"&lt;&gt;取消"))</f>
        <v/>
      </c>
      <c r="D196" s="27" t="str">
        <f aca="false">IF($A196="","",SUMIFS(入金明細!$E$5:$E$1004,入金明細!$G$5:$G$1004,$A196,入金明細!$B$5:$B$1004,"&gt;="&amp;C$3,入金明細!$B$5:$B$1004,"&lt;"&amp;DATE(YEAR(C$3),MONTH(C$3)+1,1)))</f>
        <v/>
      </c>
      <c r="E196" s="27" t="str">
        <f aca="false">IF($A196="","",SUMIFS(請求台帳!$F$5:$F$504,請求台帳!$C$5:$C$504,$A196,請求台帳!$B$5:$B$504,"&gt;="&amp;E$3,請求台帳!$B$5:$B$504,"&lt;"&amp;DATE(YEAR(E$3),MONTH(E$3)+1,1),請求台帳!$Q$5:$Q$504,"&lt;&gt;取消"))</f>
        <v/>
      </c>
      <c r="F196" s="27" t="str">
        <f aca="false">IF($A196="","",SUMIFS(入金明細!$E$5:$E$1004,入金明細!$G$5:$G$1004,$A196,入金明細!$B$5:$B$1004,"&gt;="&amp;E$3,入金明細!$B$5:$B$1004,"&lt;"&amp;DATE(YEAR(E$3),MONTH(E$3)+1,1)))</f>
        <v/>
      </c>
      <c r="G196" s="27" t="str">
        <f aca="false">IF($A196="","",SUMIFS(請求台帳!$F$5:$F$504,請求台帳!$C$5:$C$504,$A196,請求台帳!$B$5:$B$504,"&gt;="&amp;G$3,請求台帳!$B$5:$B$504,"&lt;"&amp;DATE(YEAR(G$3),MONTH(G$3)+1,1),請求台帳!$Q$5:$Q$504,"&lt;&gt;取消"))</f>
        <v/>
      </c>
      <c r="H196" s="27" t="str">
        <f aca="false">IF($A196="","",SUMIFS(入金明細!$E$5:$E$1004,入金明細!$G$5:$G$1004,$A196,入金明細!$B$5:$B$1004,"&gt;="&amp;G$3,入金明細!$B$5:$B$1004,"&lt;"&amp;DATE(YEAR(G$3),MONTH(G$3)+1,1)))</f>
        <v/>
      </c>
      <c r="I196" s="27" t="str">
        <f aca="false">IF($A196="","",SUMIFS(請求台帳!$F$5:$F$504,請求台帳!$C$5:$C$504,$A196,請求台帳!$B$5:$B$504,"&gt;="&amp;I$3,請求台帳!$B$5:$B$504,"&lt;"&amp;DATE(YEAR(I$3),MONTH(I$3)+1,1),請求台帳!$Q$5:$Q$504,"&lt;&gt;取消"))</f>
        <v/>
      </c>
      <c r="J196" s="27" t="str">
        <f aca="false">IF($A196="","",SUMIFS(入金明細!$E$5:$E$1004,入金明細!$G$5:$G$1004,$A196,入金明細!$B$5:$B$1004,"&gt;="&amp;I$3,入金明細!$B$5:$B$1004,"&lt;"&amp;DATE(YEAR(I$3),MONTH(I$3)+1,1)))</f>
        <v/>
      </c>
      <c r="K196" s="27" t="str">
        <f aca="false">IF($A196="","",SUMIFS(請求台帳!$F$5:$F$504,請求台帳!$C$5:$C$504,$A196,請求台帳!$B$5:$B$504,"&gt;="&amp;K$3,請求台帳!$B$5:$B$504,"&lt;"&amp;DATE(YEAR(K$3),MONTH(K$3)+1,1),請求台帳!$Q$5:$Q$504,"&lt;&gt;取消"))</f>
        <v/>
      </c>
      <c r="L196" s="27" t="str">
        <f aca="false">IF($A196="","",SUMIFS(入金明細!$E$5:$E$1004,入金明細!$G$5:$G$1004,$A196,入金明細!$B$5:$B$1004,"&gt;="&amp;K$3,入金明細!$B$5:$B$1004,"&lt;"&amp;DATE(YEAR(K$3),MONTH(K$3)+1,1)))</f>
        <v/>
      </c>
      <c r="M196" s="27" t="str">
        <f aca="false">IF($A196="","",SUMIFS(請求台帳!$F$5:$F$504,請求台帳!$C$5:$C$504,$A196,請求台帳!$B$5:$B$504,"&gt;="&amp;M$3,請求台帳!$B$5:$B$504,"&lt;"&amp;DATE(YEAR(M$3),MONTH(M$3)+1,1),請求台帳!$Q$5:$Q$504,"&lt;&gt;取消"))</f>
        <v/>
      </c>
      <c r="N196" s="27" t="str">
        <f aca="false">IF($A196="","",SUMIFS(入金明細!$E$5:$E$1004,入金明細!$G$5:$G$1004,$A196,入金明細!$B$5:$B$1004,"&gt;="&amp;M$3,入金明細!$B$5:$B$1004,"&lt;"&amp;DATE(YEAR(M$3),MONTH(M$3)+1,1)))</f>
        <v/>
      </c>
      <c r="O196" s="27" t="str">
        <f aca="false">IF($A196="","",SUMIFS(請求台帳!$F$5:$F$504,請求台帳!$C$5:$C$504,$A196,請求台帳!$B$5:$B$504,"&gt;="&amp;O$3,請求台帳!$B$5:$B$504,"&lt;"&amp;DATE(YEAR(O$3),MONTH(O$3)+1,1),請求台帳!$Q$5:$Q$504,"&lt;&gt;取消"))</f>
        <v/>
      </c>
      <c r="P196" s="27" t="str">
        <f aca="false">IF($A196="","",SUMIFS(入金明細!$E$5:$E$1004,入金明細!$G$5:$G$1004,$A196,入金明細!$B$5:$B$1004,"&gt;="&amp;O$3,入金明細!$B$5:$B$1004,"&lt;"&amp;DATE(YEAR(O$3),MONTH(O$3)+1,1)))</f>
        <v/>
      </c>
      <c r="Q196" s="27" t="str">
        <f aca="false">IF($A196="","",SUMIFS(請求台帳!$F$5:$F$504,請求台帳!$C$5:$C$504,$A196,請求台帳!$B$5:$B$504,"&gt;="&amp;Q$3,請求台帳!$B$5:$B$504,"&lt;"&amp;DATE(YEAR(Q$3),MONTH(Q$3)+1,1),請求台帳!$Q$5:$Q$504,"&lt;&gt;取消"))</f>
        <v/>
      </c>
      <c r="R196" s="27" t="str">
        <f aca="false">IF($A196="","",SUMIFS(入金明細!$E$5:$E$1004,入金明細!$G$5:$G$1004,$A196,入金明細!$B$5:$B$1004,"&gt;="&amp;Q$3,入金明細!$B$5:$B$1004,"&lt;"&amp;DATE(YEAR(Q$3),MONTH(Q$3)+1,1)))</f>
        <v/>
      </c>
      <c r="S196" s="27" t="str">
        <f aca="false">IF($A196="","",SUMIFS(請求台帳!$F$5:$F$504,請求台帳!$C$5:$C$504,$A196,請求台帳!$B$5:$B$504,"&gt;="&amp;S$3,請求台帳!$B$5:$B$504,"&lt;"&amp;DATE(YEAR(S$3),MONTH(S$3)+1,1),請求台帳!$Q$5:$Q$504,"&lt;&gt;取消"))</f>
        <v/>
      </c>
      <c r="T196" s="27" t="str">
        <f aca="false">IF($A196="","",SUMIFS(入金明細!$E$5:$E$1004,入金明細!$G$5:$G$1004,$A196,入金明細!$B$5:$B$1004,"&gt;="&amp;S$3,入金明細!$B$5:$B$1004,"&lt;"&amp;DATE(YEAR(S$3),MONTH(S$3)+1,1)))</f>
        <v/>
      </c>
      <c r="U196" s="27" t="str">
        <f aca="false">IF($A196="","",SUMIFS(請求台帳!$F$5:$F$504,請求台帳!$C$5:$C$504,$A196,請求台帳!$B$5:$B$504,"&gt;="&amp;U$3,請求台帳!$B$5:$B$504,"&lt;"&amp;DATE(YEAR(U$3),MONTH(U$3)+1,1),請求台帳!$Q$5:$Q$504,"&lt;&gt;取消"))</f>
        <v/>
      </c>
      <c r="V196" s="27" t="str">
        <f aca="false">IF($A196="","",SUMIFS(入金明細!$E$5:$E$1004,入金明細!$G$5:$G$1004,$A196,入金明細!$B$5:$B$1004,"&gt;="&amp;U$3,入金明細!$B$5:$B$1004,"&lt;"&amp;DATE(YEAR(U$3),MONTH(U$3)+1,1)))</f>
        <v/>
      </c>
      <c r="W196" s="27" t="str">
        <f aca="false">IF($A196="","",SUMIFS(請求台帳!$F$5:$F$504,請求台帳!$C$5:$C$504,$A196,請求台帳!$B$5:$B$504,"&gt;="&amp;W$3,請求台帳!$B$5:$B$504,"&lt;"&amp;DATE(YEAR(W$3),MONTH(W$3)+1,1),請求台帳!$Q$5:$Q$504,"&lt;&gt;取消"))</f>
        <v/>
      </c>
      <c r="X196" s="27" t="str">
        <f aca="false">IF($A196="","",SUMIFS(入金明細!$E$5:$E$1004,入金明細!$G$5:$G$1004,$A196,入金明細!$B$5:$B$1004,"&gt;="&amp;W$3,入金明細!$B$5:$B$1004,"&lt;"&amp;DATE(YEAR(W$3),MONTH(W$3)+1,1)))</f>
        <v/>
      </c>
      <c r="Y196" s="27" t="str">
        <f aca="false">IF($A196="","",SUMIFS(請求台帳!$F$5:$F$504,請求台帳!$C$5:$C$504,$A196,請求台帳!$B$5:$B$504,"&gt;="&amp;Y$3,請求台帳!$B$5:$B$504,"&lt;"&amp;DATE(YEAR(Y$3),MONTH(Y$3)+1,1),請求台帳!$Q$5:$Q$504,"&lt;&gt;取消"))</f>
        <v/>
      </c>
      <c r="Z196" s="27" t="str">
        <f aca="false">IF($A196="","",SUMIFS(入金明細!$E$5:$E$1004,入金明細!$G$5:$G$1004,$A196,入金明細!$B$5:$B$1004,"&gt;="&amp;Y$3,入金明細!$B$5:$B$1004,"&lt;"&amp;DATE(YEAR(Y$3),MONTH(Y$3)+1,1)))</f>
        <v/>
      </c>
      <c r="AA196" s="37" t="n">
        <f aca="false">SUM(C196,E196,G196,I196,K196,M196,O196,Q196,S196,U196,W196,Y196)</f>
        <v>0</v>
      </c>
      <c r="AB196" s="37" t="n">
        <f aca="false">SUM(D196,F196,H196,J196,L196,N196,P196,R196,T196,V196,X196,Z196)</f>
        <v>0</v>
      </c>
    </row>
    <row r="197" customFormat="false" ht="15" hidden="false" customHeight="false" outlineLevel="0" collapsed="false">
      <c r="A197" s="31" t="str">
        <f aca="false">IF(取引先マスタ!A197="","",取引先マスタ!A197)</f>
        <v/>
      </c>
      <c r="B197" s="31" t="str">
        <f aca="false">IF(A197="","",取引先マスタ!B197)</f>
        <v/>
      </c>
      <c r="C197" s="27" t="str">
        <f aca="false">IF($A197="","",SUMIFS(請求台帳!$F$5:$F$504,請求台帳!$C$5:$C$504,$A197,請求台帳!$B$5:$B$504,"&gt;="&amp;C$3,請求台帳!$B$5:$B$504,"&lt;"&amp;DATE(YEAR(C$3),MONTH(C$3)+1,1),請求台帳!$Q$5:$Q$504,"&lt;&gt;取消"))</f>
        <v/>
      </c>
      <c r="D197" s="27" t="str">
        <f aca="false">IF($A197="","",SUMIFS(入金明細!$E$5:$E$1004,入金明細!$G$5:$G$1004,$A197,入金明細!$B$5:$B$1004,"&gt;="&amp;C$3,入金明細!$B$5:$B$1004,"&lt;"&amp;DATE(YEAR(C$3),MONTH(C$3)+1,1)))</f>
        <v/>
      </c>
      <c r="E197" s="27" t="str">
        <f aca="false">IF($A197="","",SUMIFS(請求台帳!$F$5:$F$504,請求台帳!$C$5:$C$504,$A197,請求台帳!$B$5:$B$504,"&gt;="&amp;E$3,請求台帳!$B$5:$B$504,"&lt;"&amp;DATE(YEAR(E$3),MONTH(E$3)+1,1),請求台帳!$Q$5:$Q$504,"&lt;&gt;取消"))</f>
        <v/>
      </c>
      <c r="F197" s="27" t="str">
        <f aca="false">IF($A197="","",SUMIFS(入金明細!$E$5:$E$1004,入金明細!$G$5:$G$1004,$A197,入金明細!$B$5:$B$1004,"&gt;="&amp;E$3,入金明細!$B$5:$B$1004,"&lt;"&amp;DATE(YEAR(E$3),MONTH(E$3)+1,1)))</f>
        <v/>
      </c>
      <c r="G197" s="27" t="str">
        <f aca="false">IF($A197="","",SUMIFS(請求台帳!$F$5:$F$504,請求台帳!$C$5:$C$504,$A197,請求台帳!$B$5:$B$504,"&gt;="&amp;G$3,請求台帳!$B$5:$B$504,"&lt;"&amp;DATE(YEAR(G$3),MONTH(G$3)+1,1),請求台帳!$Q$5:$Q$504,"&lt;&gt;取消"))</f>
        <v/>
      </c>
      <c r="H197" s="27" t="str">
        <f aca="false">IF($A197="","",SUMIFS(入金明細!$E$5:$E$1004,入金明細!$G$5:$G$1004,$A197,入金明細!$B$5:$B$1004,"&gt;="&amp;G$3,入金明細!$B$5:$B$1004,"&lt;"&amp;DATE(YEAR(G$3),MONTH(G$3)+1,1)))</f>
        <v/>
      </c>
      <c r="I197" s="27" t="str">
        <f aca="false">IF($A197="","",SUMIFS(請求台帳!$F$5:$F$504,請求台帳!$C$5:$C$504,$A197,請求台帳!$B$5:$B$504,"&gt;="&amp;I$3,請求台帳!$B$5:$B$504,"&lt;"&amp;DATE(YEAR(I$3),MONTH(I$3)+1,1),請求台帳!$Q$5:$Q$504,"&lt;&gt;取消"))</f>
        <v/>
      </c>
      <c r="J197" s="27" t="str">
        <f aca="false">IF($A197="","",SUMIFS(入金明細!$E$5:$E$1004,入金明細!$G$5:$G$1004,$A197,入金明細!$B$5:$B$1004,"&gt;="&amp;I$3,入金明細!$B$5:$B$1004,"&lt;"&amp;DATE(YEAR(I$3),MONTH(I$3)+1,1)))</f>
        <v/>
      </c>
      <c r="K197" s="27" t="str">
        <f aca="false">IF($A197="","",SUMIFS(請求台帳!$F$5:$F$504,請求台帳!$C$5:$C$504,$A197,請求台帳!$B$5:$B$504,"&gt;="&amp;K$3,請求台帳!$B$5:$B$504,"&lt;"&amp;DATE(YEAR(K$3),MONTH(K$3)+1,1),請求台帳!$Q$5:$Q$504,"&lt;&gt;取消"))</f>
        <v/>
      </c>
      <c r="L197" s="27" t="str">
        <f aca="false">IF($A197="","",SUMIFS(入金明細!$E$5:$E$1004,入金明細!$G$5:$G$1004,$A197,入金明細!$B$5:$B$1004,"&gt;="&amp;K$3,入金明細!$B$5:$B$1004,"&lt;"&amp;DATE(YEAR(K$3),MONTH(K$3)+1,1)))</f>
        <v/>
      </c>
      <c r="M197" s="27" t="str">
        <f aca="false">IF($A197="","",SUMIFS(請求台帳!$F$5:$F$504,請求台帳!$C$5:$C$504,$A197,請求台帳!$B$5:$B$504,"&gt;="&amp;M$3,請求台帳!$B$5:$B$504,"&lt;"&amp;DATE(YEAR(M$3),MONTH(M$3)+1,1),請求台帳!$Q$5:$Q$504,"&lt;&gt;取消"))</f>
        <v/>
      </c>
      <c r="N197" s="27" t="str">
        <f aca="false">IF($A197="","",SUMIFS(入金明細!$E$5:$E$1004,入金明細!$G$5:$G$1004,$A197,入金明細!$B$5:$B$1004,"&gt;="&amp;M$3,入金明細!$B$5:$B$1004,"&lt;"&amp;DATE(YEAR(M$3),MONTH(M$3)+1,1)))</f>
        <v/>
      </c>
      <c r="O197" s="27" t="str">
        <f aca="false">IF($A197="","",SUMIFS(請求台帳!$F$5:$F$504,請求台帳!$C$5:$C$504,$A197,請求台帳!$B$5:$B$504,"&gt;="&amp;O$3,請求台帳!$B$5:$B$504,"&lt;"&amp;DATE(YEAR(O$3),MONTH(O$3)+1,1),請求台帳!$Q$5:$Q$504,"&lt;&gt;取消"))</f>
        <v/>
      </c>
      <c r="P197" s="27" t="str">
        <f aca="false">IF($A197="","",SUMIFS(入金明細!$E$5:$E$1004,入金明細!$G$5:$G$1004,$A197,入金明細!$B$5:$B$1004,"&gt;="&amp;O$3,入金明細!$B$5:$B$1004,"&lt;"&amp;DATE(YEAR(O$3),MONTH(O$3)+1,1)))</f>
        <v/>
      </c>
      <c r="Q197" s="27" t="str">
        <f aca="false">IF($A197="","",SUMIFS(請求台帳!$F$5:$F$504,請求台帳!$C$5:$C$504,$A197,請求台帳!$B$5:$B$504,"&gt;="&amp;Q$3,請求台帳!$B$5:$B$504,"&lt;"&amp;DATE(YEAR(Q$3),MONTH(Q$3)+1,1),請求台帳!$Q$5:$Q$504,"&lt;&gt;取消"))</f>
        <v/>
      </c>
      <c r="R197" s="27" t="str">
        <f aca="false">IF($A197="","",SUMIFS(入金明細!$E$5:$E$1004,入金明細!$G$5:$G$1004,$A197,入金明細!$B$5:$B$1004,"&gt;="&amp;Q$3,入金明細!$B$5:$B$1004,"&lt;"&amp;DATE(YEAR(Q$3),MONTH(Q$3)+1,1)))</f>
        <v/>
      </c>
      <c r="S197" s="27" t="str">
        <f aca="false">IF($A197="","",SUMIFS(請求台帳!$F$5:$F$504,請求台帳!$C$5:$C$504,$A197,請求台帳!$B$5:$B$504,"&gt;="&amp;S$3,請求台帳!$B$5:$B$504,"&lt;"&amp;DATE(YEAR(S$3),MONTH(S$3)+1,1),請求台帳!$Q$5:$Q$504,"&lt;&gt;取消"))</f>
        <v/>
      </c>
      <c r="T197" s="27" t="str">
        <f aca="false">IF($A197="","",SUMIFS(入金明細!$E$5:$E$1004,入金明細!$G$5:$G$1004,$A197,入金明細!$B$5:$B$1004,"&gt;="&amp;S$3,入金明細!$B$5:$B$1004,"&lt;"&amp;DATE(YEAR(S$3),MONTH(S$3)+1,1)))</f>
        <v/>
      </c>
      <c r="U197" s="27" t="str">
        <f aca="false">IF($A197="","",SUMIFS(請求台帳!$F$5:$F$504,請求台帳!$C$5:$C$504,$A197,請求台帳!$B$5:$B$504,"&gt;="&amp;U$3,請求台帳!$B$5:$B$504,"&lt;"&amp;DATE(YEAR(U$3),MONTH(U$3)+1,1),請求台帳!$Q$5:$Q$504,"&lt;&gt;取消"))</f>
        <v/>
      </c>
      <c r="V197" s="27" t="str">
        <f aca="false">IF($A197="","",SUMIFS(入金明細!$E$5:$E$1004,入金明細!$G$5:$G$1004,$A197,入金明細!$B$5:$B$1004,"&gt;="&amp;U$3,入金明細!$B$5:$B$1004,"&lt;"&amp;DATE(YEAR(U$3),MONTH(U$3)+1,1)))</f>
        <v/>
      </c>
      <c r="W197" s="27" t="str">
        <f aca="false">IF($A197="","",SUMIFS(請求台帳!$F$5:$F$504,請求台帳!$C$5:$C$504,$A197,請求台帳!$B$5:$B$504,"&gt;="&amp;W$3,請求台帳!$B$5:$B$504,"&lt;"&amp;DATE(YEAR(W$3),MONTH(W$3)+1,1),請求台帳!$Q$5:$Q$504,"&lt;&gt;取消"))</f>
        <v/>
      </c>
      <c r="X197" s="27" t="str">
        <f aca="false">IF($A197="","",SUMIFS(入金明細!$E$5:$E$1004,入金明細!$G$5:$G$1004,$A197,入金明細!$B$5:$B$1004,"&gt;="&amp;W$3,入金明細!$B$5:$B$1004,"&lt;"&amp;DATE(YEAR(W$3),MONTH(W$3)+1,1)))</f>
        <v/>
      </c>
      <c r="Y197" s="27" t="str">
        <f aca="false">IF($A197="","",SUMIFS(請求台帳!$F$5:$F$504,請求台帳!$C$5:$C$504,$A197,請求台帳!$B$5:$B$504,"&gt;="&amp;Y$3,請求台帳!$B$5:$B$504,"&lt;"&amp;DATE(YEAR(Y$3),MONTH(Y$3)+1,1),請求台帳!$Q$5:$Q$504,"&lt;&gt;取消"))</f>
        <v/>
      </c>
      <c r="Z197" s="27" t="str">
        <f aca="false">IF($A197="","",SUMIFS(入金明細!$E$5:$E$1004,入金明細!$G$5:$G$1004,$A197,入金明細!$B$5:$B$1004,"&gt;="&amp;Y$3,入金明細!$B$5:$B$1004,"&lt;"&amp;DATE(YEAR(Y$3),MONTH(Y$3)+1,1)))</f>
        <v/>
      </c>
      <c r="AA197" s="37" t="n">
        <f aca="false">SUM(C197,E197,G197,I197,K197,M197,O197,Q197,S197,U197,W197,Y197)</f>
        <v>0</v>
      </c>
      <c r="AB197" s="37" t="n">
        <f aca="false">SUM(D197,F197,H197,J197,L197,N197,P197,R197,T197,V197,X197,Z197)</f>
        <v>0</v>
      </c>
    </row>
    <row r="198" customFormat="false" ht="15" hidden="false" customHeight="false" outlineLevel="0" collapsed="false">
      <c r="A198" s="31" t="str">
        <f aca="false">IF(取引先マスタ!A198="","",取引先マスタ!A198)</f>
        <v/>
      </c>
      <c r="B198" s="31" t="str">
        <f aca="false">IF(A198="","",取引先マスタ!B198)</f>
        <v/>
      </c>
      <c r="C198" s="27" t="str">
        <f aca="false">IF($A198="","",SUMIFS(請求台帳!$F$5:$F$504,請求台帳!$C$5:$C$504,$A198,請求台帳!$B$5:$B$504,"&gt;="&amp;C$3,請求台帳!$B$5:$B$504,"&lt;"&amp;DATE(YEAR(C$3),MONTH(C$3)+1,1),請求台帳!$Q$5:$Q$504,"&lt;&gt;取消"))</f>
        <v/>
      </c>
      <c r="D198" s="27" t="str">
        <f aca="false">IF($A198="","",SUMIFS(入金明細!$E$5:$E$1004,入金明細!$G$5:$G$1004,$A198,入金明細!$B$5:$B$1004,"&gt;="&amp;C$3,入金明細!$B$5:$B$1004,"&lt;"&amp;DATE(YEAR(C$3),MONTH(C$3)+1,1)))</f>
        <v/>
      </c>
      <c r="E198" s="27" t="str">
        <f aca="false">IF($A198="","",SUMIFS(請求台帳!$F$5:$F$504,請求台帳!$C$5:$C$504,$A198,請求台帳!$B$5:$B$504,"&gt;="&amp;E$3,請求台帳!$B$5:$B$504,"&lt;"&amp;DATE(YEAR(E$3),MONTH(E$3)+1,1),請求台帳!$Q$5:$Q$504,"&lt;&gt;取消"))</f>
        <v/>
      </c>
      <c r="F198" s="27" t="str">
        <f aca="false">IF($A198="","",SUMIFS(入金明細!$E$5:$E$1004,入金明細!$G$5:$G$1004,$A198,入金明細!$B$5:$B$1004,"&gt;="&amp;E$3,入金明細!$B$5:$B$1004,"&lt;"&amp;DATE(YEAR(E$3),MONTH(E$3)+1,1)))</f>
        <v/>
      </c>
      <c r="G198" s="27" t="str">
        <f aca="false">IF($A198="","",SUMIFS(請求台帳!$F$5:$F$504,請求台帳!$C$5:$C$504,$A198,請求台帳!$B$5:$B$504,"&gt;="&amp;G$3,請求台帳!$B$5:$B$504,"&lt;"&amp;DATE(YEAR(G$3),MONTH(G$3)+1,1),請求台帳!$Q$5:$Q$504,"&lt;&gt;取消"))</f>
        <v/>
      </c>
      <c r="H198" s="27" t="str">
        <f aca="false">IF($A198="","",SUMIFS(入金明細!$E$5:$E$1004,入金明細!$G$5:$G$1004,$A198,入金明細!$B$5:$B$1004,"&gt;="&amp;G$3,入金明細!$B$5:$B$1004,"&lt;"&amp;DATE(YEAR(G$3),MONTH(G$3)+1,1)))</f>
        <v/>
      </c>
      <c r="I198" s="27" t="str">
        <f aca="false">IF($A198="","",SUMIFS(請求台帳!$F$5:$F$504,請求台帳!$C$5:$C$504,$A198,請求台帳!$B$5:$B$504,"&gt;="&amp;I$3,請求台帳!$B$5:$B$504,"&lt;"&amp;DATE(YEAR(I$3),MONTH(I$3)+1,1),請求台帳!$Q$5:$Q$504,"&lt;&gt;取消"))</f>
        <v/>
      </c>
      <c r="J198" s="27" t="str">
        <f aca="false">IF($A198="","",SUMIFS(入金明細!$E$5:$E$1004,入金明細!$G$5:$G$1004,$A198,入金明細!$B$5:$B$1004,"&gt;="&amp;I$3,入金明細!$B$5:$B$1004,"&lt;"&amp;DATE(YEAR(I$3),MONTH(I$3)+1,1)))</f>
        <v/>
      </c>
      <c r="K198" s="27" t="str">
        <f aca="false">IF($A198="","",SUMIFS(請求台帳!$F$5:$F$504,請求台帳!$C$5:$C$504,$A198,請求台帳!$B$5:$B$504,"&gt;="&amp;K$3,請求台帳!$B$5:$B$504,"&lt;"&amp;DATE(YEAR(K$3),MONTH(K$3)+1,1),請求台帳!$Q$5:$Q$504,"&lt;&gt;取消"))</f>
        <v/>
      </c>
      <c r="L198" s="27" t="str">
        <f aca="false">IF($A198="","",SUMIFS(入金明細!$E$5:$E$1004,入金明細!$G$5:$G$1004,$A198,入金明細!$B$5:$B$1004,"&gt;="&amp;K$3,入金明細!$B$5:$B$1004,"&lt;"&amp;DATE(YEAR(K$3),MONTH(K$3)+1,1)))</f>
        <v/>
      </c>
      <c r="M198" s="27" t="str">
        <f aca="false">IF($A198="","",SUMIFS(請求台帳!$F$5:$F$504,請求台帳!$C$5:$C$504,$A198,請求台帳!$B$5:$B$504,"&gt;="&amp;M$3,請求台帳!$B$5:$B$504,"&lt;"&amp;DATE(YEAR(M$3),MONTH(M$3)+1,1),請求台帳!$Q$5:$Q$504,"&lt;&gt;取消"))</f>
        <v/>
      </c>
      <c r="N198" s="27" t="str">
        <f aca="false">IF($A198="","",SUMIFS(入金明細!$E$5:$E$1004,入金明細!$G$5:$G$1004,$A198,入金明細!$B$5:$B$1004,"&gt;="&amp;M$3,入金明細!$B$5:$B$1004,"&lt;"&amp;DATE(YEAR(M$3),MONTH(M$3)+1,1)))</f>
        <v/>
      </c>
      <c r="O198" s="27" t="str">
        <f aca="false">IF($A198="","",SUMIFS(請求台帳!$F$5:$F$504,請求台帳!$C$5:$C$504,$A198,請求台帳!$B$5:$B$504,"&gt;="&amp;O$3,請求台帳!$B$5:$B$504,"&lt;"&amp;DATE(YEAR(O$3),MONTH(O$3)+1,1),請求台帳!$Q$5:$Q$504,"&lt;&gt;取消"))</f>
        <v/>
      </c>
      <c r="P198" s="27" t="str">
        <f aca="false">IF($A198="","",SUMIFS(入金明細!$E$5:$E$1004,入金明細!$G$5:$G$1004,$A198,入金明細!$B$5:$B$1004,"&gt;="&amp;O$3,入金明細!$B$5:$B$1004,"&lt;"&amp;DATE(YEAR(O$3),MONTH(O$3)+1,1)))</f>
        <v/>
      </c>
      <c r="Q198" s="27" t="str">
        <f aca="false">IF($A198="","",SUMIFS(請求台帳!$F$5:$F$504,請求台帳!$C$5:$C$504,$A198,請求台帳!$B$5:$B$504,"&gt;="&amp;Q$3,請求台帳!$B$5:$B$504,"&lt;"&amp;DATE(YEAR(Q$3),MONTH(Q$3)+1,1),請求台帳!$Q$5:$Q$504,"&lt;&gt;取消"))</f>
        <v/>
      </c>
      <c r="R198" s="27" t="str">
        <f aca="false">IF($A198="","",SUMIFS(入金明細!$E$5:$E$1004,入金明細!$G$5:$G$1004,$A198,入金明細!$B$5:$B$1004,"&gt;="&amp;Q$3,入金明細!$B$5:$B$1004,"&lt;"&amp;DATE(YEAR(Q$3),MONTH(Q$3)+1,1)))</f>
        <v/>
      </c>
      <c r="S198" s="27" t="str">
        <f aca="false">IF($A198="","",SUMIFS(請求台帳!$F$5:$F$504,請求台帳!$C$5:$C$504,$A198,請求台帳!$B$5:$B$504,"&gt;="&amp;S$3,請求台帳!$B$5:$B$504,"&lt;"&amp;DATE(YEAR(S$3),MONTH(S$3)+1,1),請求台帳!$Q$5:$Q$504,"&lt;&gt;取消"))</f>
        <v/>
      </c>
      <c r="T198" s="27" t="str">
        <f aca="false">IF($A198="","",SUMIFS(入金明細!$E$5:$E$1004,入金明細!$G$5:$G$1004,$A198,入金明細!$B$5:$B$1004,"&gt;="&amp;S$3,入金明細!$B$5:$B$1004,"&lt;"&amp;DATE(YEAR(S$3),MONTH(S$3)+1,1)))</f>
        <v/>
      </c>
      <c r="U198" s="27" t="str">
        <f aca="false">IF($A198="","",SUMIFS(請求台帳!$F$5:$F$504,請求台帳!$C$5:$C$504,$A198,請求台帳!$B$5:$B$504,"&gt;="&amp;U$3,請求台帳!$B$5:$B$504,"&lt;"&amp;DATE(YEAR(U$3),MONTH(U$3)+1,1),請求台帳!$Q$5:$Q$504,"&lt;&gt;取消"))</f>
        <v/>
      </c>
      <c r="V198" s="27" t="str">
        <f aca="false">IF($A198="","",SUMIFS(入金明細!$E$5:$E$1004,入金明細!$G$5:$G$1004,$A198,入金明細!$B$5:$B$1004,"&gt;="&amp;U$3,入金明細!$B$5:$B$1004,"&lt;"&amp;DATE(YEAR(U$3),MONTH(U$3)+1,1)))</f>
        <v/>
      </c>
      <c r="W198" s="27" t="str">
        <f aca="false">IF($A198="","",SUMIFS(請求台帳!$F$5:$F$504,請求台帳!$C$5:$C$504,$A198,請求台帳!$B$5:$B$504,"&gt;="&amp;W$3,請求台帳!$B$5:$B$504,"&lt;"&amp;DATE(YEAR(W$3),MONTH(W$3)+1,1),請求台帳!$Q$5:$Q$504,"&lt;&gt;取消"))</f>
        <v/>
      </c>
      <c r="X198" s="27" t="str">
        <f aca="false">IF($A198="","",SUMIFS(入金明細!$E$5:$E$1004,入金明細!$G$5:$G$1004,$A198,入金明細!$B$5:$B$1004,"&gt;="&amp;W$3,入金明細!$B$5:$B$1004,"&lt;"&amp;DATE(YEAR(W$3),MONTH(W$3)+1,1)))</f>
        <v/>
      </c>
      <c r="Y198" s="27" t="str">
        <f aca="false">IF($A198="","",SUMIFS(請求台帳!$F$5:$F$504,請求台帳!$C$5:$C$504,$A198,請求台帳!$B$5:$B$504,"&gt;="&amp;Y$3,請求台帳!$B$5:$B$504,"&lt;"&amp;DATE(YEAR(Y$3),MONTH(Y$3)+1,1),請求台帳!$Q$5:$Q$504,"&lt;&gt;取消"))</f>
        <v/>
      </c>
      <c r="Z198" s="27" t="str">
        <f aca="false">IF($A198="","",SUMIFS(入金明細!$E$5:$E$1004,入金明細!$G$5:$G$1004,$A198,入金明細!$B$5:$B$1004,"&gt;="&amp;Y$3,入金明細!$B$5:$B$1004,"&lt;"&amp;DATE(YEAR(Y$3),MONTH(Y$3)+1,1)))</f>
        <v/>
      </c>
      <c r="AA198" s="37" t="n">
        <f aca="false">SUM(C198,E198,G198,I198,K198,M198,O198,Q198,S198,U198,W198,Y198)</f>
        <v>0</v>
      </c>
      <c r="AB198" s="37" t="n">
        <f aca="false">SUM(D198,F198,H198,J198,L198,N198,P198,R198,T198,V198,X198,Z198)</f>
        <v>0</v>
      </c>
    </row>
    <row r="199" customFormat="false" ht="15" hidden="false" customHeight="false" outlineLevel="0" collapsed="false">
      <c r="A199" s="31" t="str">
        <f aca="false">IF(取引先マスタ!A199="","",取引先マスタ!A199)</f>
        <v/>
      </c>
      <c r="B199" s="31" t="str">
        <f aca="false">IF(A199="","",取引先マスタ!B199)</f>
        <v/>
      </c>
      <c r="C199" s="27" t="str">
        <f aca="false">IF($A199="","",SUMIFS(請求台帳!$F$5:$F$504,請求台帳!$C$5:$C$504,$A199,請求台帳!$B$5:$B$504,"&gt;="&amp;C$3,請求台帳!$B$5:$B$504,"&lt;"&amp;DATE(YEAR(C$3),MONTH(C$3)+1,1),請求台帳!$Q$5:$Q$504,"&lt;&gt;取消"))</f>
        <v/>
      </c>
      <c r="D199" s="27" t="str">
        <f aca="false">IF($A199="","",SUMIFS(入金明細!$E$5:$E$1004,入金明細!$G$5:$G$1004,$A199,入金明細!$B$5:$B$1004,"&gt;="&amp;C$3,入金明細!$B$5:$B$1004,"&lt;"&amp;DATE(YEAR(C$3),MONTH(C$3)+1,1)))</f>
        <v/>
      </c>
      <c r="E199" s="27" t="str">
        <f aca="false">IF($A199="","",SUMIFS(請求台帳!$F$5:$F$504,請求台帳!$C$5:$C$504,$A199,請求台帳!$B$5:$B$504,"&gt;="&amp;E$3,請求台帳!$B$5:$B$504,"&lt;"&amp;DATE(YEAR(E$3),MONTH(E$3)+1,1),請求台帳!$Q$5:$Q$504,"&lt;&gt;取消"))</f>
        <v/>
      </c>
      <c r="F199" s="27" t="str">
        <f aca="false">IF($A199="","",SUMIFS(入金明細!$E$5:$E$1004,入金明細!$G$5:$G$1004,$A199,入金明細!$B$5:$B$1004,"&gt;="&amp;E$3,入金明細!$B$5:$B$1004,"&lt;"&amp;DATE(YEAR(E$3),MONTH(E$3)+1,1)))</f>
        <v/>
      </c>
      <c r="G199" s="27" t="str">
        <f aca="false">IF($A199="","",SUMIFS(請求台帳!$F$5:$F$504,請求台帳!$C$5:$C$504,$A199,請求台帳!$B$5:$B$504,"&gt;="&amp;G$3,請求台帳!$B$5:$B$504,"&lt;"&amp;DATE(YEAR(G$3),MONTH(G$3)+1,1),請求台帳!$Q$5:$Q$504,"&lt;&gt;取消"))</f>
        <v/>
      </c>
      <c r="H199" s="27" t="str">
        <f aca="false">IF($A199="","",SUMIFS(入金明細!$E$5:$E$1004,入金明細!$G$5:$G$1004,$A199,入金明細!$B$5:$B$1004,"&gt;="&amp;G$3,入金明細!$B$5:$B$1004,"&lt;"&amp;DATE(YEAR(G$3),MONTH(G$3)+1,1)))</f>
        <v/>
      </c>
      <c r="I199" s="27" t="str">
        <f aca="false">IF($A199="","",SUMIFS(請求台帳!$F$5:$F$504,請求台帳!$C$5:$C$504,$A199,請求台帳!$B$5:$B$504,"&gt;="&amp;I$3,請求台帳!$B$5:$B$504,"&lt;"&amp;DATE(YEAR(I$3),MONTH(I$3)+1,1),請求台帳!$Q$5:$Q$504,"&lt;&gt;取消"))</f>
        <v/>
      </c>
      <c r="J199" s="27" t="str">
        <f aca="false">IF($A199="","",SUMIFS(入金明細!$E$5:$E$1004,入金明細!$G$5:$G$1004,$A199,入金明細!$B$5:$B$1004,"&gt;="&amp;I$3,入金明細!$B$5:$B$1004,"&lt;"&amp;DATE(YEAR(I$3),MONTH(I$3)+1,1)))</f>
        <v/>
      </c>
      <c r="K199" s="27" t="str">
        <f aca="false">IF($A199="","",SUMIFS(請求台帳!$F$5:$F$504,請求台帳!$C$5:$C$504,$A199,請求台帳!$B$5:$B$504,"&gt;="&amp;K$3,請求台帳!$B$5:$B$504,"&lt;"&amp;DATE(YEAR(K$3),MONTH(K$3)+1,1),請求台帳!$Q$5:$Q$504,"&lt;&gt;取消"))</f>
        <v/>
      </c>
      <c r="L199" s="27" t="str">
        <f aca="false">IF($A199="","",SUMIFS(入金明細!$E$5:$E$1004,入金明細!$G$5:$G$1004,$A199,入金明細!$B$5:$B$1004,"&gt;="&amp;K$3,入金明細!$B$5:$B$1004,"&lt;"&amp;DATE(YEAR(K$3),MONTH(K$3)+1,1)))</f>
        <v/>
      </c>
      <c r="M199" s="27" t="str">
        <f aca="false">IF($A199="","",SUMIFS(請求台帳!$F$5:$F$504,請求台帳!$C$5:$C$504,$A199,請求台帳!$B$5:$B$504,"&gt;="&amp;M$3,請求台帳!$B$5:$B$504,"&lt;"&amp;DATE(YEAR(M$3),MONTH(M$3)+1,1),請求台帳!$Q$5:$Q$504,"&lt;&gt;取消"))</f>
        <v/>
      </c>
      <c r="N199" s="27" t="str">
        <f aca="false">IF($A199="","",SUMIFS(入金明細!$E$5:$E$1004,入金明細!$G$5:$G$1004,$A199,入金明細!$B$5:$B$1004,"&gt;="&amp;M$3,入金明細!$B$5:$B$1004,"&lt;"&amp;DATE(YEAR(M$3),MONTH(M$3)+1,1)))</f>
        <v/>
      </c>
      <c r="O199" s="27" t="str">
        <f aca="false">IF($A199="","",SUMIFS(請求台帳!$F$5:$F$504,請求台帳!$C$5:$C$504,$A199,請求台帳!$B$5:$B$504,"&gt;="&amp;O$3,請求台帳!$B$5:$B$504,"&lt;"&amp;DATE(YEAR(O$3),MONTH(O$3)+1,1),請求台帳!$Q$5:$Q$504,"&lt;&gt;取消"))</f>
        <v/>
      </c>
      <c r="P199" s="27" t="str">
        <f aca="false">IF($A199="","",SUMIFS(入金明細!$E$5:$E$1004,入金明細!$G$5:$G$1004,$A199,入金明細!$B$5:$B$1004,"&gt;="&amp;O$3,入金明細!$B$5:$B$1004,"&lt;"&amp;DATE(YEAR(O$3),MONTH(O$3)+1,1)))</f>
        <v/>
      </c>
      <c r="Q199" s="27" t="str">
        <f aca="false">IF($A199="","",SUMIFS(請求台帳!$F$5:$F$504,請求台帳!$C$5:$C$504,$A199,請求台帳!$B$5:$B$504,"&gt;="&amp;Q$3,請求台帳!$B$5:$B$504,"&lt;"&amp;DATE(YEAR(Q$3),MONTH(Q$3)+1,1),請求台帳!$Q$5:$Q$504,"&lt;&gt;取消"))</f>
        <v/>
      </c>
      <c r="R199" s="27" t="str">
        <f aca="false">IF($A199="","",SUMIFS(入金明細!$E$5:$E$1004,入金明細!$G$5:$G$1004,$A199,入金明細!$B$5:$B$1004,"&gt;="&amp;Q$3,入金明細!$B$5:$B$1004,"&lt;"&amp;DATE(YEAR(Q$3),MONTH(Q$3)+1,1)))</f>
        <v/>
      </c>
      <c r="S199" s="27" t="str">
        <f aca="false">IF($A199="","",SUMIFS(請求台帳!$F$5:$F$504,請求台帳!$C$5:$C$504,$A199,請求台帳!$B$5:$B$504,"&gt;="&amp;S$3,請求台帳!$B$5:$B$504,"&lt;"&amp;DATE(YEAR(S$3),MONTH(S$3)+1,1),請求台帳!$Q$5:$Q$504,"&lt;&gt;取消"))</f>
        <v/>
      </c>
      <c r="T199" s="27" t="str">
        <f aca="false">IF($A199="","",SUMIFS(入金明細!$E$5:$E$1004,入金明細!$G$5:$G$1004,$A199,入金明細!$B$5:$B$1004,"&gt;="&amp;S$3,入金明細!$B$5:$B$1004,"&lt;"&amp;DATE(YEAR(S$3),MONTH(S$3)+1,1)))</f>
        <v/>
      </c>
      <c r="U199" s="27" t="str">
        <f aca="false">IF($A199="","",SUMIFS(請求台帳!$F$5:$F$504,請求台帳!$C$5:$C$504,$A199,請求台帳!$B$5:$B$504,"&gt;="&amp;U$3,請求台帳!$B$5:$B$504,"&lt;"&amp;DATE(YEAR(U$3),MONTH(U$3)+1,1),請求台帳!$Q$5:$Q$504,"&lt;&gt;取消"))</f>
        <v/>
      </c>
      <c r="V199" s="27" t="str">
        <f aca="false">IF($A199="","",SUMIFS(入金明細!$E$5:$E$1004,入金明細!$G$5:$G$1004,$A199,入金明細!$B$5:$B$1004,"&gt;="&amp;U$3,入金明細!$B$5:$B$1004,"&lt;"&amp;DATE(YEAR(U$3),MONTH(U$3)+1,1)))</f>
        <v/>
      </c>
      <c r="W199" s="27" t="str">
        <f aca="false">IF($A199="","",SUMIFS(請求台帳!$F$5:$F$504,請求台帳!$C$5:$C$504,$A199,請求台帳!$B$5:$B$504,"&gt;="&amp;W$3,請求台帳!$B$5:$B$504,"&lt;"&amp;DATE(YEAR(W$3),MONTH(W$3)+1,1),請求台帳!$Q$5:$Q$504,"&lt;&gt;取消"))</f>
        <v/>
      </c>
      <c r="X199" s="27" t="str">
        <f aca="false">IF($A199="","",SUMIFS(入金明細!$E$5:$E$1004,入金明細!$G$5:$G$1004,$A199,入金明細!$B$5:$B$1004,"&gt;="&amp;W$3,入金明細!$B$5:$B$1004,"&lt;"&amp;DATE(YEAR(W$3),MONTH(W$3)+1,1)))</f>
        <v/>
      </c>
      <c r="Y199" s="27" t="str">
        <f aca="false">IF($A199="","",SUMIFS(請求台帳!$F$5:$F$504,請求台帳!$C$5:$C$504,$A199,請求台帳!$B$5:$B$504,"&gt;="&amp;Y$3,請求台帳!$B$5:$B$504,"&lt;"&amp;DATE(YEAR(Y$3),MONTH(Y$3)+1,1),請求台帳!$Q$5:$Q$504,"&lt;&gt;取消"))</f>
        <v/>
      </c>
      <c r="Z199" s="27" t="str">
        <f aca="false">IF($A199="","",SUMIFS(入金明細!$E$5:$E$1004,入金明細!$G$5:$G$1004,$A199,入金明細!$B$5:$B$1004,"&gt;="&amp;Y$3,入金明細!$B$5:$B$1004,"&lt;"&amp;DATE(YEAR(Y$3),MONTH(Y$3)+1,1)))</f>
        <v/>
      </c>
      <c r="AA199" s="37" t="n">
        <f aca="false">SUM(C199,E199,G199,I199,K199,M199,O199,Q199,S199,U199,W199,Y199)</f>
        <v>0</v>
      </c>
      <c r="AB199" s="37" t="n">
        <f aca="false">SUM(D199,F199,H199,J199,L199,N199,P199,R199,T199,V199,X199,Z199)</f>
        <v>0</v>
      </c>
    </row>
    <row r="200" customFormat="false" ht="15" hidden="false" customHeight="false" outlineLevel="0" collapsed="false">
      <c r="A200" s="31" t="str">
        <f aca="false">IF(取引先マスタ!A200="","",取引先マスタ!A200)</f>
        <v/>
      </c>
      <c r="B200" s="31" t="str">
        <f aca="false">IF(A200="","",取引先マスタ!B200)</f>
        <v/>
      </c>
      <c r="C200" s="27" t="str">
        <f aca="false">IF($A200="","",SUMIFS(請求台帳!$F$5:$F$504,請求台帳!$C$5:$C$504,$A200,請求台帳!$B$5:$B$504,"&gt;="&amp;C$3,請求台帳!$B$5:$B$504,"&lt;"&amp;DATE(YEAR(C$3),MONTH(C$3)+1,1),請求台帳!$Q$5:$Q$504,"&lt;&gt;取消"))</f>
        <v/>
      </c>
      <c r="D200" s="27" t="str">
        <f aca="false">IF($A200="","",SUMIFS(入金明細!$E$5:$E$1004,入金明細!$G$5:$G$1004,$A200,入金明細!$B$5:$B$1004,"&gt;="&amp;C$3,入金明細!$B$5:$B$1004,"&lt;"&amp;DATE(YEAR(C$3),MONTH(C$3)+1,1)))</f>
        <v/>
      </c>
      <c r="E200" s="27" t="str">
        <f aca="false">IF($A200="","",SUMIFS(請求台帳!$F$5:$F$504,請求台帳!$C$5:$C$504,$A200,請求台帳!$B$5:$B$504,"&gt;="&amp;E$3,請求台帳!$B$5:$B$504,"&lt;"&amp;DATE(YEAR(E$3),MONTH(E$3)+1,1),請求台帳!$Q$5:$Q$504,"&lt;&gt;取消"))</f>
        <v/>
      </c>
      <c r="F200" s="27" t="str">
        <f aca="false">IF($A200="","",SUMIFS(入金明細!$E$5:$E$1004,入金明細!$G$5:$G$1004,$A200,入金明細!$B$5:$B$1004,"&gt;="&amp;E$3,入金明細!$B$5:$B$1004,"&lt;"&amp;DATE(YEAR(E$3),MONTH(E$3)+1,1)))</f>
        <v/>
      </c>
      <c r="G200" s="27" t="str">
        <f aca="false">IF($A200="","",SUMIFS(請求台帳!$F$5:$F$504,請求台帳!$C$5:$C$504,$A200,請求台帳!$B$5:$B$504,"&gt;="&amp;G$3,請求台帳!$B$5:$B$504,"&lt;"&amp;DATE(YEAR(G$3),MONTH(G$3)+1,1),請求台帳!$Q$5:$Q$504,"&lt;&gt;取消"))</f>
        <v/>
      </c>
      <c r="H200" s="27" t="str">
        <f aca="false">IF($A200="","",SUMIFS(入金明細!$E$5:$E$1004,入金明細!$G$5:$G$1004,$A200,入金明細!$B$5:$B$1004,"&gt;="&amp;G$3,入金明細!$B$5:$B$1004,"&lt;"&amp;DATE(YEAR(G$3),MONTH(G$3)+1,1)))</f>
        <v/>
      </c>
      <c r="I200" s="27" t="str">
        <f aca="false">IF($A200="","",SUMIFS(請求台帳!$F$5:$F$504,請求台帳!$C$5:$C$504,$A200,請求台帳!$B$5:$B$504,"&gt;="&amp;I$3,請求台帳!$B$5:$B$504,"&lt;"&amp;DATE(YEAR(I$3),MONTH(I$3)+1,1),請求台帳!$Q$5:$Q$504,"&lt;&gt;取消"))</f>
        <v/>
      </c>
      <c r="J200" s="27" t="str">
        <f aca="false">IF($A200="","",SUMIFS(入金明細!$E$5:$E$1004,入金明細!$G$5:$G$1004,$A200,入金明細!$B$5:$B$1004,"&gt;="&amp;I$3,入金明細!$B$5:$B$1004,"&lt;"&amp;DATE(YEAR(I$3),MONTH(I$3)+1,1)))</f>
        <v/>
      </c>
      <c r="K200" s="27" t="str">
        <f aca="false">IF($A200="","",SUMIFS(請求台帳!$F$5:$F$504,請求台帳!$C$5:$C$504,$A200,請求台帳!$B$5:$B$504,"&gt;="&amp;K$3,請求台帳!$B$5:$B$504,"&lt;"&amp;DATE(YEAR(K$3),MONTH(K$3)+1,1),請求台帳!$Q$5:$Q$504,"&lt;&gt;取消"))</f>
        <v/>
      </c>
      <c r="L200" s="27" t="str">
        <f aca="false">IF($A200="","",SUMIFS(入金明細!$E$5:$E$1004,入金明細!$G$5:$G$1004,$A200,入金明細!$B$5:$B$1004,"&gt;="&amp;K$3,入金明細!$B$5:$B$1004,"&lt;"&amp;DATE(YEAR(K$3),MONTH(K$3)+1,1)))</f>
        <v/>
      </c>
      <c r="M200" s="27" t="str">
        <f aca="false">IF($A200="","",SUMIFS(請求台帳!$F$5:$F$504,請求台帳!$C$5:$C$504,$A200,請求台帳!$B$5:$B$504,"&gt;="&amp;M$3,請求台帳!$B$5:$B$504,"&lt;"&amp;DATE(YEAR(M$3),MONTH(M$3)+1,1),請求台帳!$Q$5:$Q$504,"&lt;&gt;取消"))</f>
        <v/>
      </c>
      <c r="N200" s="27" t="str">
        <f aca="false">IF($A200="","",SUMIFS(入金明細!$E$5:$E$1004,入金明細!$G$5:$G$1004,$A200,入金明細!$B$5:$B$1004,"&gt;="&amp;M$3,入金明細!$B$5:$B$1004,"&lt;"&amp;DATE(YEAR(M$3),MONTH(M$3)+1,1)))</f>
        <v/>
      </c>
      <c r="O200" s="27" t="str">
        <f aca="false">IF($A200="","",SUMIFS(請求台帳!$F$5:$F$504,請求台帳!$C$5:$C$504,$A200,請求台帳!$B$5:$B$504,"&gt;="&amp;O$3,請求台帳!$B$5:$B$504,"&lt;"&amp;DATE(YEAR(O$3),MONTH(O$3)+1,1),請求台帳!$Q$5:$Q$504,"&lt;&gt;取消"))</f>
        <v/>
      </c>
      <c r="P200" s="27" t="str">
        <f aca="false">IF($A200="","",SUMIFS(入金明細!$E$5:$E$1004,入金明細!$G$5:$G$1004,$A200,入金明細!$B$5:$B$1004,"&gt;="&amp;O$3,入金明細!$B$5:$B$1004,"&lt;"&amp;DATE(YEAR(O$3),MONTH(O$3)+1,1)))</f>
        <v/>
      </c>
      <c r="Q200" s="27" t="str">
        <f aca="false">IF($A200="","",SUMIFS(請求台帳!$F$5:$F$504,請求台帳!$C$5:$C$504,$A200,請求台帳!$B$5:$B$504,"&gt;="&amp;Q$3,請求台帳!$B$5:$B$504,"&lt;"&amp;DATE(YEAR(Q$3),MONTH(Q$3)+1,1),請求台帳!$Q$5:$Q$504,"&lt;&gt;取消"))</f>
        <v/>
      </c>
      <c r="R200" s="27" t="str">
        <f aca="false">IF($A200="","",SUMIFS(入金明細!$E$5:$E$1004,入金明細!$G$5:$G$1004,$A200,入金明細!$B$5:$B$1004,"&gt;="&amp;Q$3,入金明細!$B$5:$B$1004,"&lt;"&amp;DATE(YEAR(Q$3),MONTH(Q$3)+1,1)))</f>
        <v/>
      </c>
      <c r="S200" s="27" t="str">
        <f aca="false">IF($A200="","",SUMIFS(請求台帳!$F$5:$F$504,請求台帳!$C$5:$C$504,$A200,請求台帳!$B$5:$B$504,"&gt;="&amp;S$3,請求台帳!$B$5:$B$504,"&lt;"&amp;DATE(YEAR(S$3),MONTH(S$3)+1,1),請求台帳!$Q$5:$Q$504,"&lt;&gt;取消"))</f>
        <v/>
      </c>
      <c r="T200" s="27" t="str">
        <f aca="false">IF($A200="","",SUMIFS(入金明細!$E$5:$E$1004,入金明細!$G$5:$G$1004,$A200,入金明細!$B$5:$B$1004,"&gt;="&amp;S$3,入金明細!$B$5:$B$1004,"&lt;"&amp;DATE(YEAR(S$3),MONTH(S$3)+1,1)))</f>
        <v/>
      </c>
      <c r="U200" s="27" t="str">
        <f aca="false">IF($A200="","",SUMIFS(請求台帳!$F$5:$F$504,請求台帳!$C$5:$C$504,$A200,請求台帳!$B$5:$B$504,"&gt;="&amp;U$3,請求台帳!$B$5:$B$504,"&lt;"&amp;DATE(YEAR(U$3),MONTH(U$3)+1,1),請求台帳!$Q$5:$Q$504,"&lt;&gt;取消"))</f>
        <v/>
      </c>
      <c r="V200" s="27" t="str">
        <f aca="false">IF($A200="","",SUMIFS(入金明細!$E$5:$E$1004,入金明細!$G$5:$G$1004,$A200,入金明細!$B$5:$B$1004,"&gt;="&amp;U$3,入金明細!$B$5:$B$1004,"&lt;"&amp;DATE(YEAR(U$3),MONTH(U$3)+1,1)))</f>
        <v/>
      </c>
      <c r="W200" s="27" t="str">
        <f aca="false">IF($A200="","",SUMIFS(請求台帳!$F$5:$F$504,請求台帳!$C$5:$C$504,$A200,請求台帳!$B$5:$B$504,"&gt;="&amp;W$3,請求台帳!$B$5:$B$504,"&lt;"&amp;DATE(YEAR(W$3),MONTH(W$3)+1,1),請求台帳!$Q$5:$Q$504,"&lt;&gt;取消"))</f>
        <v/>
      </c>
      <c r="X200" s="27" t="str">
        <f aca="false">IF($A200="","",SUMIFS(入金明細!$E$5:$E$1004,入金明細!$G$5:$G$1004,$A200,入金明細!$B$5:$B$1004,"&gt;="&amp;W$3,入金明細!$B$5:$B$1004,"&lt;"&amp;DATE(YEAR(W$3),MONTH(W$3)+1,1)))</f>
        <v/>
      </c>
      <c r="Y200" s="27" t="str">
        <f aca="false">IF($A200="","",SUMIFS(請求台帳!$F$5:$F$504,請求台帳!$C$5:$C$504,$A200,請求台帳!$B$5:$B$504,"&gt;="&amp;Y$3,請求台帳!$B$5:$B$504,"&lt;"&amp;DATE(YEAR(Y$3),MONTH(Y$3)+1,1),請求台帳!$Q$5:$Q$504,"&lt;&gt;取消"))</f>
        <v/>
      </c>
      <c r="Z200" s="27" t="str">
        <f aca="false">IF($A200="","",SUMIFS(入金明細!$E$5:$E$1004,入金明細!$G$5:$G$1004,$A200,入金明細!$B$5:$B$1004,"&gt;="&amp;Y$3,入金明細!$B$5:$B$1004,"&lt;"&amp;DATE(YEAR(Y$3),MONTH(Y$3)+1,1)))</f>
        <v/>
      </c>
      <c r="AA200" s="37" t="n">
        <f aca="false">SUM(C200,E200,G200,I200,K200,M200,O200,Q200,S200,U200,W200,Y200)</f>
        <v>0</v>
      </c>
      <c r="AB200" s="37" t="n">
        <f aca="false">SUM(D200,F200,H200,J200,L200,N200,P200,R200,T200,V200,X200,Z200)</f>
        <v>0</v>
      </c>
    </row>
    <row r="201" customFormat="false" ht="15" hidden="false" customHeight="false" outlineLevel="0" collapsed="false">
      <c r="A201" s="31" t="str">
        <f aca="false">IF(取引先マスタ!A201="","",取引先マスタ!A201)</f>
        <v/>
      </c>
      <c r="B201" s="31" t="str">
        <f aca="false">IF(A201="","",取引先マスタ!B201)</f>
        <v/>
      </c>
      <c r="C201" s="27" t="str">
        <f aca="false">IF($A201="","",SUMIFS(請求台帳!$F$5:$F$504,請求台帳!$C$5:$C$504,$A201,請求台帳!$B$5:$B$504,"&gt;="&amp;C$3,請求台帳!$B$5:$B$504,"&lt;"&amp;DATE(YEAR(C$3),MONTH(C$3)+1,1),請求台帳!$Q$5:$Q$504,"&lt;&gt;取消"))</f>
        <v/>
      </c>
      <c r="D201" s="27" t="str">
        <f aca="false">IF($A201="","",SUMIFS(入金明細!$E$5:$E$1004,入金明細!$G$5:$G$1004,$A201,入金明細!$B$5:$B$1004,"&gt;="&amp;C$3,入金明細!$B$5:$B$1004,"&lt;"&amp;DATE(YEAR(C$3),MONTH(C$3)+1,1)))</f>
        <v/>
      </c>
      <c r="E201" s="27" t="str">
        <f aca="false">IF($A201="","",SUMIFS(請求台帳!$F$5:$F$504,請求台帳!$C$5:$C$504,$A201,請求台帳!$B$5:$B$504,"&gt;="&amp;E$3,請求台帳!$B$5:$B$504,"&lt;"&amp;DATE(YEAR(E$3),MONTH(E$3)+1,1),請求台帳!$Q$5:$Q$504,"&lt;&gt;取消"))</f>
        <v/>
      </c>
      <c r="F201" s="27" t="str">
        <f aca="false">IF($A201="","",SUMIFS(入金明細!$E$5:$E$1004,入金明細!$G$5:$G$1004,$A201,入金明細!$B$5:$B$1004,"&gt;="&amp;E$3,入金明細!$B$5:$B$1004,"&lt;"&amp;DATE(YEAR(E$3),MONTH(E$3)+1,1)))</f>
        <v/>
      </c>
      <c r="G201" s="27" t="str">
        <f aca="false">IF($A201="","",SUMIFS(請求台帳!$F$5:$F$504,請求台帳!$C$5:$C$504,$A201,請求台帳!$B$5:$B$504,"&gt;="&amp;G$3,請求台帳!$B$5:$B$504,"&lt;"&amp;DATE(YEAR(G$3),MONTH(G$3)+1,1),請求台帳!$Q$5:$Q$504,"&lt;&gt;取消"))</f>
        <v/>
      </c>
      <c r="H201" s="27" t="str">
        <f aca="false">IF($A201="","",SUMIFS(入金明細!$E$5:$E$1004,入金明細!$G$5:$G$1004,$A201,入金明細!$B$5:$B$1004,"&gt;="&amp;G$3,入金明細!$B$5:$B$1004,"&lt;"&amp;DATE(YEAR(G$3),MONTH(G$3)+1,1)))</f>
        <v/>
      </c>
      <c r="I201" s="27" t="str">
        <f aca="false">IF($A201="","",SUMIFS(請求台帳!$F$5:$F$504,請求台帳!$C$5:$C$504,$A201,請求台帳!$B$5:$B$504,"&gt;="&amp;I$3,請求台帳!$B$5:$B$504,"&lt;"&amp;DATE(YEAR(I$3),MONTH(I$3)+1,1),請求台帳!$Q$5:$Q$504,"&lt;&gt;取消"))</f>
        <v/>
      </c>
      <c r="J201" s="27" t="str">
        <f aca="false">IF($A201="","",SUMIFS(入金明細!$E$5:$E$1004,入金明細!$G$5:$G$1004,$A201,入金明細!$B$5:$B$1004,"&gt;="&amp;I$3,入金明細!$B$5:$B$1004,"&lt;"&amp;DATE(YEAR(I$3),MONTH(I$3)+1,1)))</f>
        <v/>
      </c>
      <c r="K201" s="27" t="str">
        <f aca="false">IF($A201="","",SUMIFS(請求台帳!$F$5:$F$504,請求台帳!$C$5:$C$504,$A201,請求台帳!$B$5:$B$504,"&gt;="&amp;K$3,請求台帳!$B$5:$B$504,"&lt;"&amp;DATE(YEAR(K$3),MONTH(K$3)+1,1),請求台帳!$Q$5:$Q$504,"&lt;&gt;取消"))</f>
        <v/>
      </c>
      <c r="L201" s="27" t="str">
        <f aca="false">IF($A201="","",SUMIFS(入金明細!$E$5:$E$1004,入金明細!$G$5:$G$1004,$A201,入金明細!$B$5:$B$1004,"&gt;="&amp;K$3,入金明細!$B$5:$B$1004,"&lt;"&amp;DATE(YEAR(K$3),MONTH(K$3)+1,1)))</f>
        <v/>
      </c>
      <c r="M201" s="27" t="str">
        <f aca="false">IF($A201="","",SUMIFS(請求台帳!$F$5:$F$504,請求台帳!$C$5:$C$504,$A201,請求台帳!$B$5:$B$504,"&gt;="&amp;M$3,請求台帳!$B$5:$B$504,"&lt;"&amp;DATE(YEAR(M$3),MONTH(M$3)+1,1),請求台帳!$Q$5:$Q$504,"&lt;&gt;取消"))</f>
        <v/>
      </c>
      <c r="N201" s="27" t="str">
        <f aca="false">IF($A201="","",SUMIFS(入金明細!$E$5:$E$1004,入金明細!$G$5:$G$1004,$A201,入金明細!$B$5:$B$1004,"&gt;="&amp;M$3,入金明細!$B$5:$B$1004,"&lt;"&amp;DATE(YEAR(M$3),MONTH(M$3)+1,1)))</f>
        <v/>
      </c>
      <c r="O201" s="27" t="str">
        <f aca="false">IF($A201="","",SUMIFS(請求台帳!$F$5:$F$504,請求台帳!$C$5:$C$504,$A201,請求台帳!$B$5:$B$504,"&gt;="&amp;O$3,請求台帳!$B$5:$B$504,"&lt;"&amp;DATE(YEAR(O$3),MONTH(O$3)+1,1),請求台帳!$Q$5:$Q$504,"&lt;&gt;取消"))</f>
        <v/>
      </c>
      <c r="P201" s="27" t="str">
        <f aca="false">IF($A201="","",SUMIFS(入金明細!$E$5:$E$1004,入金明細!$G$5:$G$1004,$A201,入金明細!$B$5:$B$1004,"&gt;="&amp;O$3,入金明細!$B$5:$B$1004,"&lt;"&amp;DATE(YEAR(O$3),MONTH(O$3)+1,1)))</f>
        <v/>
      </c>
      <c r="Q201" s="27" t="str">
        <f aca="false">IF($A201="","",SUMIFS(請求台帳!$F$5:$F$504,請求台帳!$C$5:$C$504,$A201,請求台帳!$B$5:$B$504,"&gt;="&amp;Q$3,請求台帳!$B$5:$B$504,"&lt;"&amp;DATE(YEAR(Q$3),MONTH(Q$3)+1,1),請求台帳!$Q$5:$Q$504,"&lt;&gt;取消"))</f>
        <v/>
      </c>
      <c r="R201" s="27" t="str">
        <f aca="false">IF($A201="","",SUMIFS(入金明細!$E$5:$E$1004,入金明細!$G$5:$G$1004,$A201,入金明細!$B$5:$B$1004,"&gt;="&amp;Q$3,入金明細!$B$5:$B$1004,"&lt;"&amp;DATE(YEAR(Q$3),MONTH(Q$3)+1,1)))</f>
        <v/>
      </c>
      <c r="S201" s="27" t="str">
        <f aca="false">IF($A201="","",SUMIFS(請求台帳!$F$5:$F$504,請求台帳!$C$5:$C$504,$A201,請求台帳!$B$5:$B$504,"&gt;="&amp;S$3,請求台帳!$B$5:$B$504,"&lt;"&amp;DATE(YEAR(S$3),MONTH(S$3)+1,1),請求台帳!$Q$5:$Q$504,"&lt;&gt;取消"))</f>
        <v/>
      </c>
      <c r="T201" s="27" t="str">
        <f aca="false">IF($A201="","",SUMIFS(入金明細!$E$5:$E$1004,入金明細!$G$5:$G$1004,$A201,入金明細!$B$5:$B$1004,"&gt;="&amp;S$3,入金明細!$B$5:$B$1004,"&lt;"&amp;DATE(YEAR(S$3),MONTH(S$3)+1,1)))</f>
        <v/>
      </c>
      <c r="U201" s="27" t="str">
        <f aca="false">IF($A201="","",SUMIFS(請求台帳!$F$5:$F$504,請求台帳!$C$5:$C$504,$A201,請求台帳!$B$5:$B$504,"&gt;="&amp;U$3,請求台帳!$B$5:$B$504,"&lt;"&amp;DATE(YEAR(U$3),MONTH(U$3)+1,1),請求台帳!$Q$5:$Q$504,"&lt;&gt;取消"))</f>
        <v/>
      </c>
      <c r="V201" s="27" t="str">
        <f aca="false">IF($A201="","",SUMIFS(入金明細!$E$5:$E$1004,入金明細!$G$5:$G$1004,$A201,入金明細!$B$5:$B$1004,"&gt;="&amp;U$3,入金明細!$B$5:$B$1004,"&lt;"&amp;DATE(YEAR(U$3),MONTH(U$3)+1,1)))</f>
        <v/>
      </c>
      <c r="W201" s="27" t="str">
        <f aca="false">IF($A201="","",SUMIFS(請求台帳!$F$5:$F$504,請求台帳!$C$5:$C$504,$A201,請求台帳!$B$5:$B$504,"&gt;="&amp;W$3,請求台帳!$B$5:$B$504,"&lt;"&amp;DATE(YEAR(W$3),MONTH(W$3)+1,1),請求台帳!$Q$5:$Q$504,"&lt;&gt;取消"))</f>
        <v/>
      </c>
      <c r="X201" s="27" t="str">
        <f aca="false">IF($A201="","",SUMIFS(入金明細!$E$5:$E$1004,入金明細!$G$5:$G$1004,$A201,入金明細!$B$5:$B$1004,"&gt;="&amp;W$3,入金明細!$B$5:$B$1004,"&lt;"&amp;DATE(YEAR(W$3),MONTH(W$3)+1,1)))</f>
        <v/>
      </c>
      <c r="Y201" s="27" t="str">
        <f aca="false">IF($A201="","",SUMIFS(請求台帳!$F$5:$F$504,請求台帳!$C$5:$C$504,$A201,請求台帳!$B$5:$B$504,"&gt;="&amp;Y$3,請求台帳!$B$5:$B$504,"&lt;"&amp;DATE(YEAR(Y$3),MONTH(Y$3)+1,1),請求台帳!$Q$5:$Q$504,"&lt;&gt;取消"))</f>
        <v/>
      </c>
      <c r="Z201" s="27" t="str">
        <f aca="false">IF($A201="","",SUMIFS(入金明細!$E$5:$E$1004,入金明細!$G$5:$G$1004,$A201,入金明細!$B$5:$B$1004,"&gt;="&amp;Y$3,入金明細!$B$5:$B$1004,"&lt;"&amp;DATE(YEAR(Y$3),MONTH(Y$3)+1,1)))</f>
        <v/>
      </c>
      <c r="AA201" s="37" t="n">
        <f aca="false">SUM(C201,E201,G201,I201,K201,M201,O201,Q201,S201,U201,W201,Y201)</f>
        <v>0</v>
      </c>
      <c r="AB201" s="37" t="n">
        <f aca="false">SUM(D201,F201,H201,J201,L201,N201,P201,R201,T201,V201,X201,Z201)</f>
        <v>0</v>
      </c>
    </row>
    <row r="202" customFormat="false" ht="15" hidden="false" customHeight="false" outlineLevel="0" collapsed="false">
      <c r="A202" s="31" t="str">
        <f aca="false">IF(取引先マスタ!A202="","",取引先マスタ!A202)</f>
        <v/>
      </c>
      <c r="B202" s="31" t="str">
        <f aca="false">IF(A202="","",取引先マスタ!B202)</f>
        <v/>
      </c>
      <c r="C202" s="27" t="str">
        <f aca="false">IF($A202="","",SUMIFS(請求台帳!$F$5:$F$504,請求台帳!$C$5:$C$504,$A202,請求台帳!$B$5:$B$504,"&gt;="&amp;C$3,請求台帳!$B$5:$B$504,"&lt;"&amp;DATE(YEAR(C$3),MONTH(C$3)+1,1),請求台帳!$Q$5:$Q$504,"&lt;&gt;取消"))</f>
        <v/>
      </c>
      <c r="D202" s="27" t="str">
        <f aca="false">IF($A202="","",SUMIFS(入金明細!$E$5:$E$1004,入金明細!$G$5:$G$1004,$A202,入金明細!$B$5:$B$1004,"&gt;="&amp;C$3,入金明細!$B$5:$B$1004,"&lt;"&amp;DATE(YEAR(C$3),MONTH(C$3)+1,1)))</f>
        <v/>
      </c>
      <c r="E202" s="27" t="str">
        <f aca="false">IF($A202="","",SUMIFS(請求台帳!$F$5:$F$504,請求台帳!$C$5:$C$504,$A202,請求台帳!$B$5:$B$504,"&gt;="&amp;E$3,請求台帳!$B$5:$B$504,"&lt;"&amp;DATE(YEAR(E$3),MONTH(E$3)+1,1),請求台帳!$Q$5:$Q$504,"&lt;&gt;取消"))</f>
        <v/>
      </c>
      <c r="F202" s="27" t="str">
        <f aca="false">IF($A202="","",SUMIFS(入金明細!$E$5:$E$1004,入金明細!$G$5:$G$1004,$A202,入金明細!$B$5:$B$1004,"&gt;="&amp;E$3,入金明細!$B$5:$B$1004,"&lt;"&amp;DATE(YEAR(E$3),MONTH(E$3)+1,1)))</f>
        <v/>
      </c>
      <c r="G202" s="27" t="str">
        <f aca="false">IF($A202="","",SUMIFS(請求台帳!$F$5:$F$504,請求台帳!$C$5:$C$504,$A202,請求台帳!$B$5:$B$504,"&gt;="&amp;G$3,請求台帳!$B$5:$B$504,"&lt;"&amp;DATE(YEAR(G$3),MONTH(G$3)+1,1),請求台帳!$Q$5:$Q$504,"&lt;&gt;取消"))</f>
        <v/>
      </c>
      <c r="H202" s="27" t="str">
        <f aca="false">IF($A202="","",SUMIFS(入金明細!$E$5:$E$1004,入金明細!$G$5:$G$1004,$A202,入金明細!$B$5:$B$1004,"&gt;="&amp;G$3,入金明細!$B$5:$B$1004,"&lt;"&amp;DATE(YEAR(G$3),MONTH(G$3)+1,1)))</f>
        <v/>
      </c>
      <c r="I202" s="27" t="str">
        <f aca="false">IF($A202="","",SUMIFS(請求台帳!$F$5:$F$504,請求台帳!$C$5:$C$504,$A202,請求台帳!$B$5:$B$504,"&gt;="&amp;I$3,請求台帳!$B$5:$B$504,"&lt;"&amp;DATE(YEAR(I$3),MONTH(I$3)+1,1),請求台帳!$Q$5:$Q$504,"&lt;&gt;取消"))</f>
        <v/>
      </c>
      <c r="J202" s="27" t="str">
        <f aca="false">IF($A202="","",SUMIFS(入金明細!$E$5:$E$1004,入金明細!$G$5:$G$1004,$A202,入金明細!$B$5:$B$1004,"&gt;="&amp;I$3,入金明細!$B$5:$B$1004,"&lt;"&amp;DATE(YEAR(I$3),MONTH(I$3)+1,1)))</f>
        <v/>
      </c>
      <c r="K202" s="27" t="str">
        <f aca="false">IF($A202="","",SUMIFS(請求台帳!$F$5:$F$504,請求台帳!$C$5:$C$504,$A202,請求台帳!$B$5:$B$504,"&gt;="&amp;K$3,請求台帳!$B$5:$B$504,"&lt;"&amp;DATE(YEAR(K$3),MONTH(K$3)+1,1),請求台帳!$Q$5:$Q$504,"&lt;&gt;取消"))</f>
        <v/>
      </c>
      <c r="L202" s="27" t="str">
        <f aca="false">IF($A202="","",SUMIFS(入金明細!$E$5:$E$1004,入金明細!$G$5:$G$1004,$A202,入金明細!$B$5:$B$1004,"&gt;="&amp;K$3,入金明細!$B$5:$B$1004,"&lt;"&amp;DATE(YEAR(K$3),MONTH(K$3)+1,1)))</f>
        <v/>
      </c>
      <c r="M202" s="27" t="str">
        <f aca="false">IF($A202="","",SUMIFS(請求台帳!$F$5:$F$504,請求台帳!$C$5:$C$504,$A202,請求台帳!$B$5:$B$504,"&gt;="&amp;M$3,請求台帳!$B$5:$B$504,"&lt;"&amp;DATE(YEAR(M$3),MONTH(M$3)+1,1),請求台帳!$Q$5:$Q$504,"&lt;&gt;取消"))</f>
        <v/>
      </c>
      <c r="N202" s="27" t="str">
        <f aca="false">IF($A202="","",SUMIFS(入金明細!$E$5:$E$1004,入金明細!$G$5:$G$1004,$A202,入金明細!$B$5:$B$1004,"&gt;="&amp;M$3,入金明細!$B$5:$B$1004,"&lt;"&amp;DATE(YEAR(M$3),MONTH(M$3)+1,1)))</f>
        <v/>
      </c>
      <c r="O202" s="27" t="str">
        <f aca="false">IF($A202="","",SUMIFS(請求台帳!$F$5:$F$504,請求台帳!$C$5:$C$504,$A202,請求台帳!$B$5:$B$504,"&gt;="&amp;O$3,請求台帳!$B$5:$B$504,"&lt;"&amp;DATE(YEAR(O$3),MONTH(O$3)+1,1),請求台帳!$Q$5:$Q$504,"&lt;&gt;取消"))</f>
        <v/>
      </c>
      <c r="P202" s="27" t="str">
        <f aca="false">IF($A202="","",SUMIFS(入金明細!$E$5:$E$1004,入金明細!$G$5:$G$1004,$A202,入金明細!$B$5:$B$1004,"&gt;="&amp;O$3,入金明細!$B$5:$B$1004,"&lt;"&amp;DATE(YEAR(O$3),MONTH(O$3)+1,1)))</f>
        <v/>
      </c>
      <c r="Q202" s="27" t="str">
        <f aca="false">IF($A202="","",SUMIFS(請求台帳!$F$5:$F$504,請求台帳!$C$5:$C$504,$A202,請求台帳!$B$5:$B$504,"&gt;="&amp;Q$3,請求台帳!$B$5:$B$504,"&lt;"&amp;DATE(YEAR(Q$3),MONTH(Q$3)+1,1),請求台帳!$Q$5:$Q$504,"&lt;&gt;取消"))</f>
        <v/>
      </c>
      <c r="R202" s="27" t="str">
        <f aca="false">IF($A202="","",SUMIFS(入金明細!$E$5:$E$1004,入金明細!$G$5:$G$1004,$A202,入金明細!$B$5:$B$1004,"&gt;="&amp;Q$3,入金明細!$B$5:$B$1004,"&lt;"&amp;DATE(YEAR(Q$3),MONTH(Q$3)+1,1)))</f>
        <v/>
      </c>
      <c r="S202" s="27" t="str">
        <f aca="false">IF($A202="","",SUMIFS(請求台帳!$F$5:$F$504,請求台帳!$C$5:$C$504,$A202,請求台帳!$B$5:$B$504,"&gt;="&amp;S$3,請求台帳!$B$5:$B$504,"&lt;"&amp;DATE(YEAR(S$3),MONTH(S$3)+1,1),請求台帳!$Q$5:$Q$504,"&lt;&gt;取消"))</f>
        <v/>
      </c>
      <c r="T202" s="27" t="str">
        <f aca="false">IF($A202="","",SUMIFS(入金明細!$E$5:$E$1004,入金明細!$G$5:$G$1004,$A202,入金明細!$B$5:$B$1004,"&gt;="&amp;S$3,入金明細!$B$5:$B$1004,"&lt;"&amp;DATE(YEAR(S$3),MONTH(S$3)+1,1)))</f>
        <v/>
      </c>
      <c r="U202" s="27" t="str">
        <f aca="false">IF($A202="","",SUMIFS(請求台帳!$F$5:$F$504,請求台帳!$C$5:$C$504,$A202,請求台帳!$B$5:$B$504,"&gt;="&amp;U$3,請求台帳!$B$5:$B$504,"&lt;"&amp;DATE(YEAR(U$3),MONTH(U$3)+1,1),請求台帳!$Q$5:$Q$504,"&lt;&gt;取消"))</f>
        <v/>
      </c>
      <c r="V202" s="27" t="str">
        <f aca="false">IF($A202="","",SUMIFS(入金明細!$E$5:$E$1004,入金明細!$G$5:$G$1004,$A202,入金明細!$B$5:$B$1004,"&gt;="&amp;U$3,入金明細!$B$5:$B$1004,"&lt;"&amp;DATE(YEAR(U$3),MONTH(U$3)+1,1)))</f>
        <v/>
      </c>
      <c r="W202" s="27" t="str">
        <f aca="false">IF($A202="","",SUMIFS(請求台帳!$F$5:$F$504,請求台帳!$C$5:$C$504,$A202,請求台帳!$B$5:$B$504,"&gt;="&amp;W$3,請求台帳!$B$5:$B$504,"&lt;"&amp;DATE(YEAR(W$3),MONTH(W$3)+1,1),請求台帳!$Q$5:$Q$504,"&lt;&gt;取消"))</f>
        <v/>
      </c>
      <c r="X202" s="27" t="str">
        <f aca="false">IF($A202="","",SUMIFS(入金明細!$E$5:$E$1004,入金明細!$G$5:$G$1004,$A202,入金明細!$B$5:$B$1004,"&gt;="&amp;W$3,入金明細!$B$5:$B$1004,"&lt;"&amp;DATE(YEAR(W$3),MONTH(W$3)+1,1)))</f>
        <v/>
      </c>
      <c r="Y202" s="27" t="str">
        <f aca="false">IF($A202="","",SUMIFS(請求台帳!$F$5:$F$504,請求台帳!$C$5:$C$504,$A202,請求台帳!$B$5:$B$504,"&gt;="&amp;Y$3,請求台帳!$B$5:$B$504,"&lt;"&amp;DATE(YEAR(Y$3),MONTH(Y$3)+1,1),請求台帳!$Q$5:$Q$504,"&lt;&gt;取消"))</f>
        <v/>
      </c>
      <c r="Z202" s="27" t="str">
        <f aca="false">IF($A202="","",SUMIFS(入金明細!$E$5:$E$1004,入金明細!$G$5:$G$1004,$A202,入金明細!$B$5:$B$1004,"&gt;="&amp;Y$3,入金明細!$B$5:$B$1004,"&lt;"&amp;DATE(YEAR(Y$3),MONTH(Y$3)+1,1)))</f>
        <v/>
      </c>
      <c r="AA202" s="37" t="n">
        <f aca="false">SUM(C202,E202,G202,I202,K202,M202,O202,Q202,S202,U202,W202,Y202)</f>
        <v>0</v>
      </c>
      <c r="AB202" s="37" t="n">
        <f aca="false">SUM(D202,F202,H202,J202,L202,N202,P202,R202,T202,V202,X202,Z202)</f>
        <v>0</v>
      </c>
    </row>
    <row r="203" customFormat="false" ht="15" hidden="false" customHeight="false" outlineLevel="0" collapsed="false">
      <c r="A203" s="31" t="str">
        <f aca="false">IF(取引先マスタ!A203="","",取引先マスタ!A203)</f>
        <v/>
      </c>
      <c r="B203" s="31" t="str">
        <f aca="false">IF(A203="","",取引先マスタ!B203)</f>
        <v/>
      </c>
      <c r="C203" s="27" t="str">
        <f aca="false">IF($A203="","",SUMIFS(請求台帳!$F$5:$F$504,請求台帳!$C$5:$C$504,$A203,請求台帳!$B$5:$B$504,"&gt;="&amp;C$3,請求台帳!$B$5:$B$504,"&lt;"&amp;DATE(YEAR(C$3),MONTH(C$3)+1,1),請求台帳!$Q$5:$Q$504,"&lt;&gt;取消"))</f>
        <v/>
      </c>
      <c r="D203" s="27" t="str">
        <f aca="false">IF($A203="","",SUMIFS(入金明細!$E$5:$E$1004,入金明細!$G$5:$G$1004,$A203,入金明細!$B$5:$B$1004,"&gt;="&amp;C$3,入金明細!$B$5:$B$1004,"&lt;"&amp;DATE(YEAR(C$3),MONTH(C$3)+1,1)))</f>
        <v/>
      </c>
      <c r="E203" s="27" t="str">
        <f aca="false">IF($A203="","",SUMIFS(請求台帳!$F$5:$F$504,請求台帳!$C$5:$C$504,$A203,請求台帳!$B$5:$B$504,"&gt;="&amp;E$3,請求台帳!$B$5:$B$504,"&lt;"&amp;DATE(YEAR(E$3),MONTH(E$3)+1,1),請求台帳!$Q$5:$Q$504,"&lt;&gt;取消"))</f>
        <v/>
      </c>
      <c r="F203" s="27" t="str">
        <f aca="false">IF($A203="","",SUMIFS(入金明細!$E$5:$E$1004,入金明細!$G$5:$G$1004,$A203,入金明細!$B$5:$B$1004,"&gt;="&amp;E$3,入金明細!$B$5:$B$1004,"&lt;"&amp;DATE(YEAR(E$3),MONTH(E$3)+1,1)))</f>
        <v/>
      </c>
      <c r="G203" s="27" t="str">
        <f aca="false">IF($A203="","",SUMIFS(請求台帳!$F$5:$F$504,請求台帳!$C$5:$C$504,$A203,請求台帳!$B$5:$B$504,"&gt;="&amp;G$3,請求台帳!$B$5:$B$504,"&lt;"&amp;DATE(YEAR(G$3),MONTH(G$3)+1,1),請求台帳!$Q$5:$Q$504,"&lt;&gt;取消"))</f>
        <v/>
      </c>
      <c r="H203" s="27" t="str">
        <f aca="false">IF($A203="","",SUMIFS(入金明細!$E$5:$E$1004,入金明細!$G$5:$G$1004,$A203,入金明細!$B$5:$B$1004,"&gt;="&amp;G$3,入金明細!$B$5:$B$1004,"&lt;"&amp;DATE(YEAR(G$3),MONTH(G$3)+1,1)))</f>
        <v/>
      </c>
      <c r="I203" s="27" t="str">
        <f aca="false">IF($A203="","",SUMIFS(請求台帳!$F$5:$F$504,請求台帳!$C$5:$C$504,$A203,請求台帳!$B$5:$B$504,"&gt;="&amp;I$3,請求台帳!$B$5:$B$504,"&lt;"&amp;DATE(YEAR(I$3),MONTH(I$3)+1,1),請求台帳!$Q$5:$Q$504,"&lt;&gt;取消"))</f>
        <v/>
      </c>
      <c r="J203" s="27" t="str">
        <f aca="false">IF($A203="","",SUMIFS(入金明細!$E$5:$E$1004,入金明細!$G$5:$G$1004,$A203,入金明細!$B$5:$B$1004,"&gt;="&amp;I$3,入金明細!$B$5:$B$1004,"&lt;"&amp;DATE(YEAR(I$3),MONTH(I$3)+1,1)))</f>
        <v/>
      </c>
      <c r="K203" s="27" t="str">
        <f aca="false">IF($A203="","",SUMIFS(請求台帳!$F$5:$F$504,請求台帳!$C$5:$C$504,$A203,請求台帳!$B$5:$B$504,"&gt;="&amp;K$3,請求台帳!$B$5:$B$504,"&lt;"&amp;DATE(YEAR(K$3),MONTH(K$3)+1,1),請求台帳!$Q$5:$Q$504,"&lt;&gt;取消"))</f>
        <v/>
      </c>
      <c r="L203" s="27" t="str">
        <f aca="false">IF($A203="","",SUMIFS(入金明細!$E$5:$E$1004,入金明細!$G$5:$G$1004,$A203,入金明細!$B$5:$B$1004,"&gt;="&amp;K$3,入金明細!$B$5:$B$1004,"&lt;"&amp;DATE(YEAR(K$3),MONTH(K$3)+1,1)))</f>
        <v/>
      </c>
      <c r="M203" s="27" t="str">
        <f aca="false">IF($A203="","",SUMIFS(請求台帳!$F$5:$F$504,請求台帳!$C$5:$C$504,$A203,請求台帳!$B$5:$B$504,"&gt;="&amp;M$3,請求台帳!$B$5:$B$504,"&lt;"&amp;DATE(YEAR(M$3),MONTH(M$3)+1,1),請求台帳!$Q$5:$Q$504,"&lt;&gt;取消"))</f>
        <v/>
      </c>
      <c r="N203" s="27" t="str">
        <f aca="false">IF($A203="","",SUMIFS(入金明細!$E$5:$E$1004,入金明細!$G$5:$G$1004,$A203,入金明細!$B$5:$B$1004,"&gt;="&amp;M$3,入金明細!$B$5:$B$1004,"&lt;"&amp;DATE(YEAR(M$3),MONTH(M$3)+1,1)))</f>
        <v/>
      </c>
      <c r="O203" s="27" t="str">
        <f aca="false">IF($A203="","",SUMIFS(請求台帳!$F$5:$F$504,請求台帳!$C$5:$C$504,$A203,請求台帳!$B$5:$B$504,"&gt;="&amp;O$3,請求台帳!$B$5:$B$504,"&lt;"&amp;DATE(YEAR(O$3),MONTH(O$3)+1,1),請求台帳!$Q$5:$Q$504,"&lt;&gt;取消"))</f>
        <v/>
      </c>
      <c r="P203" s="27" t="str">
        <f aca="false">IF($A203="","",SUMIFS(入金明細!$E$5:$E$1004,入金明細!$G$5:$G$1004,$A203,入金明細!$B$5:$B$1004,"&gt;="&amp;O$3,入金明細!$B$5:$B$1004,"&lt;"&amp;DATE(YEAR(O$3),MONTH(O$3)+1,1)))</f>
        <v/>
      </c>
      <c r="Q203" s="27" t="str">
        <f aca="false">IF($A203="","",SUMIFS(請求台帳!$F$5:$F$504,請求台帳!$C$5:$C$504,$A203,請求台帳!$B$5:$B$504,"&gt;="&amp;Q$3,請求台帳!$B$5:$B$504,"&lt;"&amp;DATE(YEAR(Q$3),MONTH(Q$3)+1,1),請求台帳!$Q$5:$Q$504,"&lt;&gt;取消"))</f>
        <v/>
      </c>
      <c r="R203" s="27" t="str">
        <f aca="false">IF($A203="","",SUMIFS(入金明細!$E$5:$E$1004,入金明細!$G$5:$G$1004,$A203,入金明細!$B$5:$B$1004,"&gt;="&amp;Q$3,入金明細!$B$5:$B$1004,"&lt;"&amp;DATE(YEAR(Q$3),MONTH(Q$3)+1,1)))</f>
        <v/>
      </c>
      <c r="S203" s="27" t="str">
        <f aca="false">IF($A203="","",SUMIFS(請求台帳!$F$5:$F$504,請求台帳!$C$5:$C$504,$A203,請求台帳!$B$5:$B$504,"&gt;="&amp;S$3,請求台帳!$B$5:$B$504,"&lt;"&amp;DATE(YEAR(S$3),MONTH(S$3)+1,1),請求台帳!$Q$5:$Q$504,"&lt;&gt;取消"))</f>
        <v/>
      </c>
      <c r="T203" s="27" t="str">
        <f aca="false">IF($A203="","",SUMIFS(入金明細!$E$5:$E$1004,入金明細!$G$5:$G$1004,$A203,入金明細!$B$5:$B$1004,"&gt;="&amp;S$3,入金明細!$B$5:$B$1004,"&lt;"&amp;DATE(YEAR(S$3),MONTH(S$3)+1,1)))</f>
        <v/>
      </c>
      <c r="U203" s="27" t="str">
        <f aca="false">IF($A203="","",SUMIFS(請求台帳!$F$5:$F$504,請求台帳!$C$5:$C$504,$A203,請求台帳!$B$5:$B$504,"&gt;="&amp;U$3,請求台帳!$B$5:$B$504,"&lt;"&amp;DATE(YEAR(U$3),MONTH(U$3)+1,1),請求台帳!$Q$5:$Q$504,"&lt;&gt;取消"))</f>
        <v/>
      </c>
      <c r="V203" s="27" t="str">
        <f aca="false">IF($A203="","",SUMIFS(入金明細!$E$5:$E$1004,入金明細!$G$5:$G$1004,$A203,入金明細!$B$5:$B$1004,"&gt;="&amp;U$3,入金明細!$B$5:$B$1004,"&lt;"&amp;DATE(YEAR(U$3),MONTH(U$3)+1,1)))</f>
        <v/>
      </c>
      <c r="W203" s="27" t="str">
        <f aca="false">IF($A203="","",SUMIFS(請求台帳!$F$5:$F$504,請求台帳!$C$5:$C$504,$A203,請求台帳!$B$5:$B$504,"&gt;="&amp;W$3,請求台帳!$B$5:$B$504,"&lt;"&amp;DATE(YEAR(W$3),MONTH(W$3)+1,1),請求台帳!$Q$5:$Q$504,"&lt;&gt;取消"))</f>
        <v/>
      </c>
      <c r="X203" s="27" t="str">
        <f aca="false">IF($A203="","",SUMIFS(入金明細!$E$5:$E$1004,入金明細!$G$5:$G$1004,$A203,入金明細!$B$5:$B$1004,"&gt;="&amp;W$3,入金明細!$B$5:$B$1004,"&lt;"&amp;DATE(YEAR(W$3),MONTH(W$3)+1,1)))</f>
        <v/>
      </c>
      <c r="Y203" s="27" t="str">
        <f aca="false">IF($A203="","",SUMIFS(請求台帳!$F$5:$F$504,請求台帳!$C$5:$C$504,$A203,請求台帳!$B$5:$B$504,"&gt;="&amp;Y$3,請求台帳!$B$5:$B$504,"&lt;"&amp;DATE(YEAR(Y$3),MONTH(Y$3)+1,1),請求台帳!$Q$5:$Q$504,"&lt;&gt;取消"))</f>
        <v/>
      </c>
      <c r="Z203" s="27" t="str">
        <f aca="false">IF($A203="","",SUMIFS(入金明細!$E$5:$E$1004,入金明細!$G$5:$G$1004,$A203,入金明細!$B$5:$B$1004,"&gt;="&amp;Y$3,入金明細!$B$5:$B$1004,"&lt;"&amp;DATE(YEAR(Y$3),MONTH(Y$3)+1,1)))</f>
        <v/>
      </c>
      <c r="AA203" s="37" t="n">
        <f aca="false">SUM(C203,E203,G203,I203,K203,M203,O203,Q203,S203,U203,W203,Y203)</f>
        <v>0</v>
      </c>
      <c r="AB203" s="37" t="n">
        <f aca="false">SUM(D203,F203,H203,J203,L203,N203,P203,R203,T203,V203,X203,Z203)</f>
        <v>0</v>
      </c>
    </row>
    <row r="204" customFormat="false" ht="15" hidden="false" customHeight="false" outlineLevel="0" collapsed="false">
      <c r="A204" s="31" t="str">
        <f aca="false">IF(取引先マスタ!A204="","",取引先マスタ!A204)</f>
        <v/>
      </c>
      <c r="B204" s="31" t="str">
        <f aca="false">IF(A204="","",取引先マスタ!B204)</f>
        <v/>
      </c>
      <c r="C204" s="27" t="str">
        <f aca="false">IF($A204="","",SUMIFS(請求台帳!$F$5:$F$504,請求台帳!$C$5:$C$504,$A204,請求台帳!$B$5:$B$504,"&gt;="&amp;C$3,請求台帳!$B$5:$B$504,"&lt;"&amp;DATE(YEAR(C$3),MONTH(C$3)+1,1),請求台帳!$Q$5:$Q$504,"&lt;&gt;取消"))</f>
        <v/>
      </c>
      <c r="D204" s="27" t="str">
        <f aca="false">IF($A204="","",SUMIFS(入金明細!$E$5:$E$1004,入金明細!$G$5:$G$1004,$A204,入金明細!$B$5:$B$1004,"&gt;="&amp;C$3,入金明細!$B$5:$B$1004,"&lt;"&amp;DATE(YEAR(C$3),MONTH(C$3)+1,1)))</f>
        <v/>
      </c>
      <c r="E204" s="27" t="str">
        <f aca="false">IF($A204="","",SUMIFS(請求台帳!$F$5:$F$504,請求台帳!$C$5:$C$504,$A204,請求台帳!$B$5:$B$504,"&gt;="&amp;E$3,請求台帳!$B$5:$B$504,"&lt;"&amp;DATE(YEAR(E$3),MONTH(E$3)+1,1),請求台帳!$Q$5:$Q$504,"&lt;&gt;取消"))</f>
        <v/>
      </c>
      <c r="F204" s="27" t="str">
        <f aca="false">IF($A204="","",SUMIFS(入金明細!$E$5:$E$1004,入金明細!$G$5:$G$1004,$A204,入金明細!$B$5:$B$1004,"&gt;="&amp;E$3,入金明細!$B$5:$B$1004,"&lt;"&amp;DATE(YEAR(E$3),MONTH(E$3)+1,1)))</f>
        <v/>
      </c>
      <c r="G204" s="27" t="str">
        <f aca="false">IF($A204="","",SUMIFS(請求台帳!$F$5:$F$504,請求台帳!$C$5:$C$504,$A204,請求台帳!$B$5:$B$504,"&gt;="&amp;G$3,請求台帳!$B$5:$B$504,"&lt;"&amp;DATE(YEAR(G$3),MONTH(G$3)+1,1),請求台帳!$Q$5:$Q$504,"&lt;&gt;取消"))</f>
        <v/>
      </c>
      <c r="H204" s="27" t="str">
        <f aca="false">IF($A204="","",SUMIFS(入金明細!$E$5:$E$1004,入金明細!$G$5:$G$1004,$A204,入金明細!$B$5:$B$1004,"&gt;="&amp;G$3,入金明細!$B$5:$B$1004,"&lt;"&amp;DATE(YEAR(G$3),MONTH(G$3)+1,1)))</f>
        <v/>
      </c>
      <c r="I204" s="27" t="str">
        <f aca="false">IF($A204="","",SUMIFS(請求台帳!$F$5:$F$504,請求台帳!$C$5:$C$504,$A204,請求台帳!$B$5:$B$504,"&gt;="&amp;I$3,請求台帳!$B$5:$B$504,"&lt;"&amp;DATE(YEAR(I$3),MONTH(I$3)+1,1),請求台帳!$Q$5:$Q$504,"&lt;&gt;取消"))</f>
        <v/>
      </c>
      <c r="J204" s="27" t="str">
        <f aca="false">IF($A204="","",SUMIFS(入金明細!$E$5:$E$1004,入金明細!$G$5:$G$1004,$A204,入金明細!$B$5:$B$1004,"&gt;="&amp;I$3,入金明細!$B$5:$B$1004,"&lt;"&amp;DATE(YEAR(I$3),MONTH(I$3)+1,1)))</f>
        <v/>
      </c>
      <c r="K204" s="27" t="str">
        <f aca="false">IF($A204="","",SUMIFS(請求台帳!$F$5:$F$504,請求台帳!$C$5:$C$504,$A204,請求台帳!$B$5:$B$504,"&gt;="&amp;K$3,請求台帳!$B$5:$B$504,"&lt;"&amp;DATE(YEAR(K$3),MONTH(K$3)+1,1),請求台帳!$Q$5:$Q$504,"&lt;&gt;取消"))</f>
        <v/>
      </c>
      <c r="L204" s="27" t="str">
        <f aca="false">IF($A204="","",SUMIFS(入金明細!$E$5:$E$1004,入金明細!$G$5:$G$1004,$A204,入金明細!$B$5:$B$1004,"&gt;="&amp;K$3,入金明細!$B$5:$B$1004,"&lt;"&amp;DATE(YEAR(K$3),MONTH(K$3)+1,1)))</f>
        <v/>
      </c>
      <c r="M204" s="27" t="str">
        <f aca="false">IF($A204="","",SUMIFS(請求台帳!$F$5:$F$504,請求台帳!$C$5:$C$504,$A204,請求台帳!$B$5:$B$504,"&gt;="&amp;M$3,請求台帳!$B$5:$B$504,"&lt;"&amp;DATE(YEAR(M$3),MONTH(M$3)+1,1),請求台帳!$Q$5:$Q$504,"&lt;&gt;取消"))</f>
        <v/>
      </c>
      <c r="N204" s="27" t="str">
        <f aca="false">IF($A204="","",SUMIFS(入金明細!$E$5:$E$1004,入金明細!$G$5:$G$1004,$A204,入金明細!$B$5:$B$1004,"&gt;="&amp;M$3,入金明細!$B$5:$B$1004,"&lt;"&amp;DATE(YEAR(M$3),MONTH(M$3)+1,1)))</f>
        <v/>
      </c>
      <c r="O204" s="27" t="str">
        <f aca="false">IF($A204="","",SUMIFS(請求台帳!$F$5:$F$504,請求台帳!$C$5:$C$504,$A204,請求台帳!$B$5:$B$504,"&gt;="&amp;O$3,請求台帳!$B$5:$B$504,"&lt;"&amp;DATE(YEAR(O$3),MONTH(O$3)+1,1),請求台帳!$Q$5:$Q$504,"&lt;&gt;取消"))</f>
        <v/>
      </c>
      <c r="P204" s="27" t="str">
        <f aca="false">IF($A204="","",SUMIFS(入金明細!$E$5:$E$1004,入金明細!$G$5:$G$1004,$A204,入金明細!$B$5:$B$1004,"&gt;="&amp;O$3,入金明細!$B$5:$B$1004,"&lt;"&amp;DATE(YEAR(O$3),MONTH(O$3)+1,1)))</f>
        <v/>
      </c>
      <c r="Q204" s="27" t="str">
        <f aca="false">IF($A204="","",SUMIFS(請求台帳!$F$5:$F$504,請求台帳!$C$5:$C$504,$A204,請求台帳!$B$5:$B$504,"&gt;="&amp;Q$3,請求台帳!$B$5:$B$504,"&lt;"&amp;DATE(YEAR(Q$3),MONTH(Q$3)+1,1),請求台帳!$Q$5:$Q$504,"&lt;&gt;取消"))</f>
        <v/>
      </c>
      <c r="R204" s="27" t="str">
        <f aca="false">IF($A204="","",SUMIFS(入金明細!$E$5:$E$1004,入金明細!$G$5:$G$1004,$A204,入金明細!$B$5:$B$1004,"&gt;="&amp;Q$3,入金明細!$B$5:$B$1004,"&lt;"&amp;DATE(YEAR(Q$3),MONTH(Q$3)+1,1)))</f>
        <v/>
      </c>
      <c r="S204" s="27" t="str">
        <f aca="false">IF($A204="","",SUMIFS(請求台帳!$F$5:$F$504,請求台帳!$C$5:$C$504,$A204,請求台帳!$B$5:$B$504,"&gt;="&amp;S$3,請求台帳!$B$5:$B$504,"&lt;"&amp;DATE(YEAR(S$3),MONTH(S$3)+1,1),請求台帳!$Q$5:$Q$504,"&lt;&gt;取消"))</f>
        <v/>
      </c>
      <c r="T204" s="27" t="str">
        <f aca="false">IF($A204="","",SUMIFS(入金明細!$E$5:$E$1004,入金明細!$G$5:$G$1004,$A204,入金明細!$B$5:$B$1004,"&gt;="&amp;S$3,入金明細!$B$5:$B$1004,"&lt;"&amp;DATE(YEAR(S$3),MONTH(S$3)+1,1)))</f>
        <v/>
      </c>
      <c r="U204" s="27" t="str">
        <f aca="false">IF($A204="","",SUMIFS(請求台帳!$F$5:$F$504,請求台帳!$C$5:$C$504,$A204,請求台帳!$B$5:$B$504,"&gt;="&amp;U$3,請求台帳!$B$5:$B$504,"&lt;"&amp;DATE(YEAR(U$3),MONTH(U$3)+1,1),請求台帳!$Q$5:$Q$504,"&lt;&gt;取消"))</f>
        <v/>
      </c>
      <c r="V204" s="27" t="str">
        <f aca="false">IF($A204="","",SUMIFS(入金明細!$E$5:$E$1004,入金明細!$G$5:$G$1004,$A204,入金明細!$B$5:$B$1004,"&gt;="&amp;U$3,入金明細!$B$5:$B$1004,"&lt;"&amp;DATE(YEAR(U$3),MONTH(U$3)+1,1)))</f>
        <v/>
      </c>
      <c r="W204" s="27" t="str">
        <f aca="false">IF($A204="","",SUMIFS(請求台帳!$F$5:$F$504,請求台帳!$C$5:$C$504,$A204,請求台帳!$B$5:$B$504,"&gt;="&amp;W$3,請求台帳!$B$5:$B$504,"&lt;"&amp;DATE(YEAR(W$3),MONTH(W$3)+1,1),請求台帳!$Q$5:$Q$504,"&lt;&gt;取消"))</f>
        <v/>
      </c>
      <c r="X204" s="27" t="str">
        <f aca="false">IF($A204="","",SUMIFS(入金明細!$E$5:$E$1004,入金明細!$G$5:$G$1004,$A204,入金明細!$B$5:$B$1004,"&gt;="&amp;W$3,入金明細!$B$5:$B$1004,"&lt;"&amp;DATE(YEAR(W$3),MONTH(W$3)+1,1)))</f>
        <v/>
      </c>
      <c r="Y204" s="27" t="str">
        <f aca="false">IF($A204="","",SUMIFS(請求台帳!$F$5:$F$504,請求台帳!$C$5:$C$504,$A204,請求台帳!$B$5:$B$504,"&gt;="&amp;Y$3,請求台帳!$B$5:$B$504,"&lt;"&amp;DATE(YEAR(Y$3),MONTH(Y$3)+1,1),請求台帳!$Q$5:$Q$504,"&lt;&gt;取消"))</f>
        <v/>
      </c>
      <c r="Z204" s="27" t="str">
        <f aca="false">IF($A204="","",SUMIFS(入金明細!$E$5:$E$1004,入金明細!$G$5:$G$1004,$A204,入金明細!$B$5:$B$1004,"&gt;="&amp;Y$3,入金明細!$B$5:$B$1004,"&lt;"&amp;DATE(YEAR(Y$3),MONTH(Y$3)+1,1)))</f>
        <v/>
      </c>
      <c r="AA204" s="37" t="n">
        <f aca="false">SUM(C204,E204,G204,I204,K204,M204,O204,Q204,S204,U204,W204,Y204)</f>
        <v>0</v>
      </c>
      <c r="AB204" s="37" t="n">
        <f aca="false">SUM(D204,F204,H204,J204,L204,N204,P204,R204,T204,V204,X204,Z204)</f>
        <v>0</v>
      </c>
    </row>
    <row r="205" customFormat="false" ht="15" hidden="false" customHeight="false" outlineLevel="0" collapsed="false">
      <c r="A205" s="38"/>
      <c r="B205" s="39" t="s">
        <v>203</v>
      </c>
      <c r="C205" s="40"/>
      <c r="D205" s="40" t="n">
        <f aca="false">SUMPRODUCT((入金明細!$G$5:$G$1004="")*(入金明細!$B$5:$B$1004&gt;=C$3)*(入金明細!$B$5:$B$1004&lt;DATE(YEAR(C$3),MONTH(C$3)+1,1)),入金明細!$E$5:$E$1004)</f>
        <v>0</v>
      </c>
      <c r="E205" s="40"/>
      <c r="F205" s="40" t="n">
        <f aca="false">SUMPRODUCT((入金明細!$G$5:$G$1004="")*(入金明細!$B$5:$B$1004&gt;=E$3)*(入金明細!$B$5:$B$1004&lt;DATE(YEAR(E$3),MONTH(E$3)+1,1)),入金明細!$E$5:$E$1004)</f>
        <v>0</v>
      </c>
      <c r="G205" s="40"/>
      <c r="H205" s="40" t="n">
        <f aca="false">SUMPRODUCT((入金明細!$G$5:$G$1004="")*(入金明細!$B$5:$B$1004&gt;=G$3)*(入金明細!$B$5:$B$1004&lt;DATE(YEAR(G$3),MONTH(G$3)+1,1)),入金明細!$E$5:$E$1004)</f>
        <v>0</v>
      </c>
      <c r="I205" s="40"/>
      <c r="J205" s="40" t="n">
        <f aca="false">SUMPRODUCT((入金明細!$G$5:$G$1004="")*(入金明細!$B$5:$B$1004&gt;=I$3)*(入金明細!$B$5:$B$1004&lt;DATE(YEAR(I$3),MONTH(I$3)+1,1)),入金明細!$E$5:$E$1004)</f>
        <v>0</v>
      </c>
      <c r="K205" s="40"/>
      <c r="L205" s="40" t="n">
        <f aca="false">SUMPRODUCT((入金明細!$G$5:$G$1004="")*(入金明細!$B$5:$B$1004&gt;=K$3)*(入金明細!$B$5:$B$1004&lt;DATE(YEAR(K$3),MONTH(K$3)+1,1)),入金明細!$E$5:$E$1004)</f>
        <v>0</v>
      </c>
      <c r="M205" s="40"/>
      <c r="N205" s="40" t="n">
        <f aca="false">SUMPRODUCT((入金明細!$G$5:$G$1004="")*(入金明細!$B$5:$B$1004&gt;=M$3)*(入金明細!$B$5:$B$1004&lt;DATE(YEAR(M$3),MONTH(M$3)+1,1)),入金明細!$E$5:$E$1004)</f>
        <v>0</v>
      </c>
      <c r="O205" s="40"/>
      <c r="P205" s="40" t="n">
        <f aca="false">SUMPRODUCT((入金明細!$G$5:$G$1004="")*(入金明細!$B$5:$B$1004&gt;=O$3)*(入金明細!$B$5:$B$1004&lt;DATE(YEAR(O$3),MONTH(O$3)+1,1)),入金明細!$E$5:$E$1004)</f>
        <v>0</v>
      </c>
      <c r="Q205" s="40"/>
      <c r="R205" s="40" t="n">
        <f aca="false">SUMPRODUCT((入金明細!$G$5:$G$1004="")*(入金明細!$B$5:$B$1004&gt;=Q$3)*(入金明細!$B$5:$B$1004&lt;DATE(YEAR(Q$3),MONTH(Q$3)+1,1)),入金明細!$E$5:$E$1004)</f>
        <v>0</v>
      </c>
      <c r="S205" s="40"/>
      <c r="T205" s="40" t="n">
        <f aca="false">SUMPRODUCT((入金明細!$G$5:$G$1004="")*(入金明細!$B$5:$B$1004&gt;=S$3)*(入金明細!$B$5:$B$1004&lt;DATE(YEAR(S$3),MONTH(S$3)+1,1)),入金明細!$E$5:$E$1004)</f>
        <v>0</v>
      </c>
      <c r="U205" s="40"/>
      <c r="V205" s="40" t="n">
        <f aca="false">SUMPRODUCT((入金明細!$G$5:$G$1004="")*(入金明細!$B$5:$B$1004&gt;=U$3)*(入金明細!$B$5:$B$1004&lt;DATE(YEAR(U$3),MONTH(U$3)+1,1)),入金明細!$E$5:$E$1004)</f>
        <v>0</v>
      </c>
      <c r="W205" s="40"/>
      <c r="X205" s="40" t="n">
        <f aca="false">SUMPRODUCT((入金明細!$G$5:$G$1004="")*(入金明細!$B$5:$B$1004&gt;=W$3)*(入金明細!$B$5:$B$1004&lt;DATE(YEAR(W$3),MONTH(W$3)+1,1)),入金明細!$E$5:$E$1004)</f>
        <v>0</v>
      </c>
      <c r="Y205" s="40"/>
      <c r="Z205" s="40" t="n">
        <f aca="false">SUMPRODUCT((入金明細!$G$5:$G$1004="")*(入金明細!$B$5:$B$1004&gt;=Y$3)*(入金明細!$B$5:$B$1004&lt;DATE(YEAR(Y$3),MONTH(Y$3)+1,1)),入金明細!$E$5:$E$1004)</f>
        <v>5500</v>
      </c>
      <c r="AA205" s="40" t="n">
        <f aca="false">SUM(C205,E205,G205,I205,K205,M205,O205,Q205,S205,U205,W205,Y205)</f>
        <v>0</v>
      </c>
      <c r="AB205" s="40" t="n">
        <f aca="false">SUM(D205,F205,H205,J205,L205,N205,P205,R205,T205,V205,X205,Z205)</f>
        <v>5500</v>
      </c>
    </row>
    <row r="206" customFormat="false" ht="15" hidden="false" customHeight="false" outlineLevel="0" collapsed="false">
      <c r="A206" s="38"/>
      <c r="B206" s="39" t="s">
        <v>192</v>
      </c>
      <c r="C206" s="40" t="n">
        <f aca="false">SUM(C5:C205)</f>
        <v>0</v>
      </c>
      <c r="D206" s="40" t="n">
        <f aca="false">SUM(D5:D205)</f>
        <v>0</v>
      </c>
      <c r="E206" s="40" t="n">
        <f aca="false">SUM(E5:E205)</f>
        <v>0</v>
      </c>
      <c r="F206" s="40" t="n">
        <f aca="false">SUM(F5:F205)</f>
        <v>0</v>
      </c>
      <c r="G206" s="40" t="n">
        <f aca="false">SUM(G5:G205)</f>
        <v>0</v>
      </c>
      <c r="H206" s="40" t="n">
        <f aca="false">SUM(H5:H205)</f>
        <v>0</v>
      </c>
      <c r="I206" s="40" t="n">
        <f aca="false">SUM(I5:I205)</f>
        <v>0</v>
      </c>
      <c r="J206" s="40" t="n">
        <f aca="false">SUM(J5:J205)</f>
        <v>0</v>
      </c>
      <c r="K206" s="40" t="n">
        <f aca="false">SUM(K5:K205)</f>
        <v>0</v>
      </c>
      <c r="L206" s="40" t="n">
        <f aca="false">SUM(L5:L205)</f>
        <v>0</v>
      </c>
      <c r="M206" s="40" t="n">
        <f aca="false">SUM(M5:M205)</f>
        <v>0</v>
      </c>
      <c r="N206" s="40" t="n">
        <f aca="false">SUM(N5:N205)</f>
        <v>0</v>
      </c>
      <c r="O206" s="40" t="n">
        <f aca="false">SUM(O5:O205)</f>
        <v>0</v>
      </c>
      <c r="P206" s="40" t="n">
        <f aca="false">SUM(P5:P205)</f>
        <v>0</v>
      </c>
      <c r="Q206" s="40" t="n">
        <f aca="false">SUM(Q5:Q205)</f>
        <v>0</v>
      </c>
      <c r="R206" s="40" t="n">
        <f aca="false">SUM(R5:R205)</f>
        <v>0</v>
      </c>
      <c r="S206" s="40" t="n">
        <f aca="false">SUM(S5:S205)</f>
        <v>165000</v>
      </c>
      <c r="T206" s="40" t="n">
        <f aca="false">SUM(T5:T205)</f>
        <v>0</v>
      </c>
      <c r="U206" s="40" t="n">
        <f aca="false">SUM(U5:U205)</f>
        <v>385000</v>
      </c>
      <c r="V206" s="40" t="n">
        <f aca="false">SUM(V5:V205)</f>
        <v>0</v>
      </c>
      <c r="W206" s="40" t="n">
        <f aca="false">SUM(W5:W205)</f>
        <v>88000</v>
      </c>
      <c r="X206" s="40" t="n">
        <f aca="false">SUM(X5:X205)</f>
        <v>110000</v>
      </c>
      <c r="Y206" s="40" t="n">
        <f aca="false">SUM(Y5:Y205)</f>
        <v>146300</v>
      </c>
      <c r="Z206" s="40" t="n">
        <f aca="false">SUM(Z5:Z205)</f>
        <v>330060</v>
      </c>
      <c r="AA206" s="40" t="n">
        <f aca="false">SUM(C206,E206,G206,I206,K206,M206,O206,Q206,S206,U206,W206,Y206)</f>
        <v>784300</v>
      </c>
      <c r="AB206" s="40" t="n">
        <f aca="false">SUM(D206,F206,H206,J206,L206,N206,P206,R206,T206,V206,X206,Z206)</f>
        <v>440060</v>
      </c>
    </row>
  </sheetData>
  <sheetProtection sheet="true" formatCells="false" formatColumns="false" formatRows="false" autoFilter="false"/>
  <mergeCells count="15"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48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204</v>
      </c>
    </row>
    <row r="4" customFormat="false" ht="31.5" hidden="false" customHeight="true" outlineLevel="0" collapsed="false">
      <c r="A4" s="13" t="s">
        <v>128</v>
      </c>
      <c r="B4" s="13" t="s">
        <v>129</v>
      </c>
      <c r="C4" s="13" t="s">
        <v>205</v>
      </c>
      <c r="D4" s="13" t="s">
        <v>206</v>
      </c>
      <c r="E4" s="13" t="s">
        <v>207</v>
      </c>
      <c r="F4" s="13" t="s">
        <v>208</v>
      </c>
      <c r="G4" s="13" t="s">
        <v>209</v>
      </c>
      <c r="H4" s="13" t="s">
        <v>210</v>
      </c>
      <c r="I4" s="13" t="s">
        <v>211</v>
      </c>
      <c r="J4" s="13" t="s">
        <v>193</v>
      </c>
      <c r="K4" s="13" t="s">
        <v>146</v>
      </c>
      <c r="L4" s="20" t="s">
        <v>212</v>
      </c>
    </row>
    <row r="5" customFormat="false" ht="15" hidden="false" customHeight="false" outlineLevel="0" collapsed="false">
      <c r="A5" s="23" t="s">
        <v>147</v>
      </c>
      <c r="B5" s="26" t="s">
        <v>213</v>
      </c>
      <c r="C5" s="26" t="s">
        <v>180</v>
      </c>
      <c r="D5" s="26" t="s">
        <v>214</v>
      </c>
      <c r="E5" s="41" t="n">
        <v>1</v>
      </c>
      <c r="F5" s="41" t="n">
        <v>31</v>
      </c>
      <c r="G5" s="26" t="s">
        <v>215</v>
      </c>
      <c r="H5" s="26" t="s">
        <v>149</v>
      </c>
      <c r="I5" s="24" t="s">
        <v>216</v>
      </c>
      <c r="J5" s="26" t="s">
        <v>217</v>
      </c>
      <c r="K5" s="26" t="s">
        <v>218</v>
      </c>
      <c r="L5" s="28" t="str">
        <f aca="false">IF(A5="","",IF(COUNTIF(取引先マスタ!$A$5:$A$204,A5)&gt;1,"コード重複",""))</f>
        <v/>
      </c>
    </row>
    <row r="6" customFormat="false" ht="15" hidden="false" customHeight="false" outlineLevel="0" collapsed="false">
      <c r="A6" s="23" t="s">
        <v>153</v>
      </c>
      <c r="B6" s="26" t="s">
        <v>219</v>
      </c>
      <c r="C6" s="26" t="s">
        <v>184</v>
      </c>
      <c r="D6" s="26" t="s">
        <v>214</v>
      </c>
      <c r="E6" s="41" t="n">
        <v>2</v>
      </c>
      <c r="F6" s="41" t="n">
        <v>10</v>
      </c>
      <c r="G6" s="26" t="s">
        <v>220</v>
      </c>
      <c r="H6" s="26" t="s">
        <v>155</v>
      </c>
      <c r="I6" s="26" t="s">
        <v>221</v>
      </c>
      <c r="J6" s="26" t="s">
        <v>222</v>
      </c>
      <c r="K6" s="26" t="s">
        <v>218</v>
      </c>
      <c r="L6" s="28" t="str">
        <f aca="false">IF(A6="","",IF(COUNTIF(取引先マスタ!$A$5:$A$204,A6)&gt;1,"コード重複",""))</f>
        <v/>
      </c>
    </row>
    <row r="7" customFormat="false" ht="15" hidden="false" customHeight="false" outlineLevel="0" collapsed="false">
      <c r="A7" s="23" t="s">
        <v>159</v>
      </c>
      <c r="B7" s="26" t="s">
        <v>223</v>
      </c>
      <c r="C7" s="26" t="s">
        <v>187</v>
      </c>
      <c r="D7" s="24" t="s">
        <v>224</v>
      </c>
      <c r="E7" s="41" t="n">
        <v>1</v>
      </c>
      <c r="F7" s="41" t="n">
        <v>31</v>
      </c>
      <c r="G7" s="26" t="s">
        <v>215</v>
      </c>
      <c r="H7" s="26" t="s">
        <v>161</v>
      </c>
      <c r="I7" s="26"/>
      <c r="J7" s="26" t="s">
        <v>217</v>
      </c>
      <c r="K7" s="26" t="s">
        <v>218</v>
      </c>
      <c r="L7" s="28" t="str">
        <f aca="false">IF(A7="","",IF(COUNTIF(取引先マスタ!$A$5:$A$204,A7)&gt;1,"コード重複",""))</f>
        <v/>
      </c>
    </row>
    <row r="8" customFormat="false" ht="15" hidden="false" customHeight="false" outlineLevel="0" collapsed="false">
      <c r="A8" s="23"/>
      <c r="B8" s="26"/>
      <c r="C8" s="26"/>
      <c r="D8" s="26"/>
      <c r="E8" s="41"/>
      <c r="F8" s="41"/>
      <c r="G8" s="26"/>
      <c r="H8" s="26"/>
      <c r="I8" s="26"/>
      <c r="J8" s="26"/>
      <c r="K8" s="26"/>
      <c r="L8" s="28" t="str">
        <f aca="false">IF(A8="","",IF(COUNTIF(取引先マスタ!$A$5:$A$204,A8)&gt;1,"コード重複",""))</f>
        <v/>
      </c>
    </row>
    <row r="9" customFormat="false" ht="15" hidden="false" customHeight="false" outlineLevel="0" collapsed="false">
      <c r="A9" s="23"/>
      <c r="B9" s="26"/>
      <c r="C9" s="26"/>
      <c r="D9" s="26"/>
      <c r="E9" s="41"/>
      <c r="F9" s="41"/>
      <c r="G9" s="26"/>
      <c r="H9" s="26"/>
      <c r="I9" s="26"/>
      <c r="J9" s="26"/>
      <c r="K9" s="26"/>
      <c r="L9" s="28" t="str">
        <f aca="false">IF(A9="","",IF(COUNTIF(取引先マスタ!$A$5:$A$204,A9)&gt;1,"コード重複",""))</f>
        <v/>
      </c>
    </row>
    <row r="10" customFormat="false" ht="15" hidden="false" customHeight="false" outlineLevel="0" collapsed="false">
      <c r="A10" s="23"/>
      <c r="B10" s="26"/>
      <c r="C10" s="26"/>
      <c r="D10" s="26"/>
      <c r="E10" s="41"/>
      <c r="F10" s="41"/>
      <c r="G10" s="26"/>
      <c r="H10" s="26"/>
      <c r="I10" s="26"/>
      <c r="J10" s="26"/>
      <c r="K10" s="26"/>
      <c r="L10" s="28" t="str">
        <f aca="false">IF(A10="","",IF(COUNTIF(取引先マスタ!$A$5:$A$204,A10)&gt;1,"コード重複",""))</f>
        <v/>
      </c>
    </row>
    <row r="11" customFormat="false" ht="15" hidden="false" customHeight="false" outlineLevel="0" collapsed="false">
      <c r="A11" s="23"/>
      <c r="B11" s="26"/>
      <c r="C11" s="26"/>
      <c r="D11" s="26"/>
      <c r="E11" s="41"/>
      <c r="F11" s="41"/>
      <c r="G11" s="26"/>
      <c r="H11" s="26"/>
      <c r="I11" s="26"/>
      <c r="J11" s="26"/>
      <c r="K11" s="26"/>
      <c r="L11" s="28" t="str">
        <f aca="false">IF(A11="","",IF(COUNTIF(取引先マスタ!$A$5:$A$204,A11)&gt;1,"コード重複",""))</f>
        <v/>
      </c>
    </row>
    <row r="12" customFormat="false" ht="15" hidden="false" customHeight="false" outlineLevel="0" collapsed="false">
      <c r="A12" s="23"/>
      <c r="B12" s="26"/>
      <c r="C12" s="26"/>
      <c r="D12" s="26"/>
      <c r="E12" s="41"/>
      <c r="F12" s="41"/>
      <c r="G12" s="26"/>
      <c r="H12" s="26"/>
      <c r="I12" s="26"/>
      <c r="J12" s="26"/>
      <c r="K12" s="26"/>
      <c r="L12" s="28" t="str">
        <f aca="false">IF(A12="","",IF(COUNTIF(取引先マスタ!$A$5:$A$204,A12)&gt;1,"コード重複",""))</f>
        <v/>
      </c>
    </row>
    <row r="13" customFormat="false" ht="15" hidden="false" customHeight="false" outlineLevel="0" collapsed="false">
      <c r="A13" s="23"/>
      <c r="B13" s="26"/>
      <c r="C13" s="26"/>
      <c r="D13" s="26"/>
      <c r="E13" s="41"/>
      <c r="F13" s="41"/>
      <c r="G13" s="26"/>
      <c r="H13" s="26"/>
      <c r="I13" s="26"/>
      <c r="J13" s="26"/>
      <c r="K13" s="26"/>
      <c r="L13" s="28" t="str">
        <f aca="false">IF(A13="","",IF(COUNTIF(取引先マスタ!$A$5:$A$204,A13)&gt;1,"コード重複",""))</f>
        <v/>
      </c>
    </row>
    <row r="14" customFormat="false" ht="15" hidden="false" customHeight="false" outlineLevel="0" collapsed="false">
      <c r="A14" s="23"/>
      <c r="B14" s="26"/>
      <c r="C14" s="26"/>
      <c r="D14" s="26"/>
      <c r="E14" s="41"/>
      <c r="F14" s="41"/>
      <c r="G14" s="26"/>
      <c r="H14" s="26"/>
      <c r="I14" s="26"/>
      <c r="J14" s="26"/>
      <c r="K14" s="26"/>
      <c r="L14" s="28" t="str">
        <f aca="false">IF(A14="","",IF(COUNTIF(取引先マスタ!$A$5:$A$204,A14)&gt;1,"コード重複",""))</f>
        <v/>
      </c>
    </row>
    <row r="15" customFormat="false" ht="15" hidden="false" customHeight="false" outlineLevel="0" collapsed="false">
      <c r="A15" s="23"/>
      <c r="B15" s="26"/>
      <c r="C15" s="26"/>
      <c r="D15" s="26"/>
      <c r="E15" s="41"/>
      <c r="F15" s="41"/>
      <c r="G15" s="26"/>
      <c r="H15" s="26"/>
      <c r="I15" s="26"/>
      <c r="J15" s="26"/>
      <c r="K15" s="26"/>
      <c r="L15" s="28" t="str">
        <f aca="false">IF(A15="","",IF(COUNTIF(取引先マスタ!$A$5:$A$204,A15)&gt;1,"コード重複",""))</f>
        <v/>
      </c>
    </row>
    <row r="16" customFormat="false" ht="15" hidden="false" customHeight="false" outlineLevel="0" collapsed="false">
      <c r="A16" s="23"/>
      <c r="B16" s="26"/>
      <c r="C16" s="26"/>
      <c r="D16" s="26"/>
      <c r="E16" s="41"/>
      <c r="F16" s="41"/>
      <c r="G16" s="26"/>
      <c r="H16" s="26"/>
      <c r="I16" s="26"/>
      <c r="J16" s="26"/>
      <c r="K16" s="26"/>
      <c r="L16" s="28" t="str">
        <f aca="false">IF(A16="","",IF(COUNTIF(取引先マスタ!$A$5:$A$204,A16)&gt;1,"コード重複",""))</f>
        <v/>
      </c>
    </row>
    <row r="17" customFormat="false" ht="15" hidden="false" customHeight="false" outlineLevel="0" collapsed="false">
      <c r="A17" s="23"/>
      <c r="B17" s="26"/>
      <c r="C17" s="26"/>
      <c r="D17" s="26"/>
      <c r="E17" s="41"/>
      <c r="F17" s="41"/>
      <c r="G17" s="26"/>
      <c r="H17" s="26"/>
      <c r="I17" s="26"/>
      <c r="J17" s="26"/>
      <c r="K17" s="26"/>
      <c r="L17" s="28" t="str">
        <f aca="false">IF(A17="","",IF(COUNTIF(取引先マスタ!$A$5:$A$204,A17)&gt;1,"コード重複",""))</f>
        <v/>
      </c>
    </row>
    <row r="18" customFormat="false" ht="15" hidden="false" customHeight="false" outlineLevel="0" collapsed="false">
      <c r="A18" s="23"/>
      <c r="B18" s="26"/>
      <c r="C18" s="26"/>
      <c r="D18" s="26"/>
      <c r="E18" s="41"/>
      <c r="F18" s="41"/>
      <c r="G18" s="26"/>
      <c r="H18" s="26"/>
      <c r="I18" s="26"/>
      <c r="J18" s="26"/>
      <c r="K18" s="26"/>
      <c r="L18" s="28" t="str">
        <f aca="false">IF(A18="","",IF(COUNTIF(取引先マスタ!$A$5:$A$204,A18)&gt;1,"コード重複",""))</f>
        <v/>
      </c>
    </row>
    <row r="19" customFormat="false" ht="15" hidden="false" customHeight="false" outlineLevel="0" collapsed="false">
      <c r="A19" s="23"/>
      <c r="B19" s="26"/>
      <c r="C19" s="26"/>
      <c r="D19" s="26"/>
      <c r="E19" s="41"/>
      <c r="F19" s="41"/>
      <c r="G19" s="26"/>
      <c r="H19" s="26"/>
      <c r="I19" s="26"/>
      <c r="J19" s="26"/>
      <c r="K19" s="26"/>
      <c r="L19" s="28" t="str">
        <f aca="false">IF(A19="","",IF(COUNTIF(取引先マスタ!$A$5:$A$204,A19)&gt;1,"コード重複",""))</f>
        <v/>
      </c>
    </row>
    <row r="20" customFormat="false" ht="15" hidden="false" customHeight="false" outlineLevel="0" collapsed="false">
      <c r="A20" s="23"/>
      <c r="B20" s="26"/>
      <c r="C20" s="26"/>
      <c r="D20" s="26"/>
      <c r="E20" s="41"/>
      <c r="F20" s="41"/>
      <c r="G20" s="26"/>
      <c r="H20" s="26"/>
      <c r="I20" s="26"/>
      <c r="J20" s="26"/>
      <c r="K20" s="26"/>
      <c r="L20" s="28" t="str">
        <f aca="false">IF(A20="","",IF(COUNTIF(取引先マスタ!$A$5:$A$204,A20)&gt;1,"コード重複",""))</f>
        <v/>
      </c>
    </row>
    <row r="21" customFormat="false" ht="15" hidden="false" customHeight="false" outlineLevel="0" collapsed="false">
      <c r="A21" s="23"/>
      <c r="B21" s="26"/>
      <c r="C21" s="26"/>
      <c r="D21" s="26"/>
      <c r="E21" s="41"/>
      <c r="F21" s="41"/>
      <c r="G21" s="26"/>
      <c r="H21" s="26"/>
      <c r="I21" s="26"/>
      <c r="J21" s="26"/>
      <c r="K21" s="26"/>
      <c r="L21" s="28" t="str">
        <f aca="false">IF(A21="","",IF(COUNTIF(取引先マスタ!$A$5:$A$204,A21)&gt;1,"コード重複",""))</f>
        <v/>
      </c>
    </row>
    <row r="22" customFormat="false" ht="15" hidden="false" customHeight="false" outlineLevel="0" collapsed="false">
      <c r="A22" s="23"/>
      <c r="B22" s="26"/>
      <c r="C22" s="26"/>
      <c r="D22" s="26"/>
      <c r="E22" s="41"/>
      <c r="F22" s="41"/>
      <c r="G22" s="26"/>
      <c r="H22" s="26"/>
      <c r="I22" s="26"/>
      <c r="J22" s="26"/>
      <c r="K22" s="26"/>
      <c r="L22" s="28" t="str">
        <f aca="false">IF(A22="","",IF(COUNTIF(取引先マスタ!$A$5:$A$204,A22)&gt;1,"コード重複",""))</f>
        <v/>
      </c>
    </row>
    <row r="23" customFormat="false" ht="15" hidden="false" customHeight="false" outlineLevel="0" collapsed="false">
      <c r="A23" s="23"/>
      <c r="B23" s="26"/>
      <c r="C23" s="26"/>
      <c r="D23" s="26"/>
      <c r="E23" s="41"/>
      <c r="F23" s="41"/>
      <c r="G23" s="26"/>
      <c r="H23" s="26"/>
      <c r="I23" s="26"/>
      <c r="J23" s="26"/>
      <c r="K23" s="26"/>
      <c r="L23" s="28" t="str">
        <f aca="false">IF(A23="","",IF(COUNTIF(取引先マスタ!$A$5:$A$204,A23)&gt;1,"コード重複",""))</f>
        <v/>
      </c>
    </row>
    <row r="24" customFormat="false" ht="15" hidden="false" customHeight="false" outlineLevel="0" collapsed="false">
      <c r="A24" s="23"/>
      <c r="B24" s="26"/>
      <c r="C24" s="26"/>
      <c r="D24" s="26"/>
      <c r="E24" s="41"/>
      <c r="F24" s="41"/>
      <c r="G24" s="26"/>
      <c r="H24" s="26"/>
      <c r="I24" s="26"/>
      <c r="J24" s="26"/>
      <c r="K24" s="26"/>
      <c r="L24" s="28" t="str">
        <f aca="false">IF(A24="","",IF(COUNTIF(取引先マスタ!$A$5:$A$204,A24)&gt;1,"コード重複",""))</f>
        <v/>
      </c>
    </row>
    <row r="25" customFormat="false" ht="15" hidden="false" customHeight="false" outlineLevel="0" collapsed="false">
      <c r="A25" s="23"/>
      <c r="B25" s="26"/>
      <c r="C25" s="26"/>
      <c r="D25" s="26"/>
      <c r="E25" s="41"/>
      <c r="F25" s="41"/>
      <c r="G25" s="26"/>
      <c r="H25" s="26"/>
      <c r="I25" s="26"/>
      <c r="J25" s="26"/>
      <c r="K25" s="26"/>
      <c r="L25" s="28" t="str">
        <f aca="false">IF(A25="","",IF(COUNTIF(取引先マスタ!$A$5:$A$204,A25)&gt;1,"コード重複",""))</f>
        <v/>
      </c>
    </row>
    <row r="26" customFormat="false" ht="15" hidden="false" customHeight="false" outlineLevel="0" collapsed="false">
      <c r="A26" s="23"/>
      <c r="B26" s="26"/>
      <c r="C26" s="26"/>
      <c r="D26" s="26"/>
      <c r="E26" s="41"/>
      <c r="F26" s="41"/>
      <c r="G26" s="26"/>
      <c r="H26" s="26"/>
      <c r="I26" s="26"/>
      <c r="J26" s="26"/>
      <c r="K26" s="26"/>
      <c r="L26" s="28" t="str">
        <f aca="false">IF(A26="","",IF(COUNTIF(取引先マスタ!$A$5:$A$204,A26)&gt;1,"コード重複",""))</f>
        <v/>
      </c>
    </row>
    <row r="27" customFormat="false" ht="15" hidden="false" customHeight="false" outlineLevel="0" collapsed="false">
      <c r="A27" s="23"/>
      <c r="B27" s="26"/>
      <c r="C27" s="26"/>
      <c r="D27" s="26"/>
      <c r="E27" s="41"/>
      <c r="F27" s="41"/>
      <c r="G27" s="26"/>
      <c r="H27" s="26"/>
      <c r="I27" s="26"/>
      <c r="J27" s="26"/>
      <c r="K27" s="26"/>
      <c r="L27" s="28" t="str">
        <f aca="false">IF(A27="","",IF(COUNTIF(取引先マスタ!$A$5:$A$204,A27)&gt;1,"コード重複",""))</f>
        <v/>
      </c>
    </row>
    <row r="28" customFormat="false" ht="15" hidden="false" customHeight="false" outlineLevel="0" collapsed="false">
      <c r="A28" s="23"/>
      <c r="B28" s="26"/>
      <c r="C28" s="26"/>
      <c r="D28" s="26"/>
      <c r="E28" s="41"/>
      <c r="F28" s="41"/>
      <c r="G28" s="26"/>
      <c r="H28" s="26"/>
      <c r="I28" s="26"/>
      <c r="J28" s="26"/>
      <c r="K28" s="26"/>
      <c r="L28" s="28" t="str">
        <f aca="false">IF(A28="","",IF(COUNTIF(取引先マスタ!$A$5:$A$204,A28)&gt;1,"コード重複",""))</f>
        <v/>
      </c>
    </row>
    <row r="29" customFormat="false" ht="15" hidden="false" customHeight="false" outlineLevel="0" collapsed="false">
      <c r="A29" s="23"/>
      <c r="B29" s="26"/>
      <c r="C29" s="26"/>
      <c r="D29" s="26"/>
      <c r="E29" s="41"/>
      <c r="F29" s="41"/>
      <c r="G29" s="26"/>
      <c r="H29" s="26"/>
      <c r="I29" s="26"/>
      <c r="J29" s="26"/>
      <c r="K29" s="26"/>
      <c r="L29" s="28" t="str">
        <f aca="false">IF(A29="","",IF(COUNTIF(取引先マスタ!$A$5:$A$204,A29)&gt;1,"コード重複",""))</f>
        <v/>
      </c>
    </row>
    <row r="30" customFormat="false" ht="15" hidden="false" customHeight="false" outlineLevel="0" collapsed="false">
      <c r="A30" s="23"/>
      <c r="B30" s="26"/>
      <c r="C30" s="26"/>
      <c r="D30" s="26"/>
      <c r="E30" s="41"/>
      <c r="F30" s="41"/>
      <c r="G30" s="26"/>
      <c r="H30" s="26"/>
      <c r="I30" s="26"/>
      <c r="J30" s="26"/>
      <c r="K30" s="26"/>
      <c r="L30" s="28" t="str">
        <f aca="false">IF(A30="","",IF(COUNTIF(取引先マスタ!$A$5:$A$204,A30)&gt;1,"コード重複",""))</f>
        <v/>
      </c>
    </row>
    <row r="31" customFormat="false" ht="15" hidden="false" customHeight="false" outlineLevel="0" collapsed="false">
      <c r="A31" s="23"/>
      <c r="B31" s="26"/>
      <c r="C31" s="26"/>
      <c r="D31" s="26"/>
      <c r="E31" s="41"/>
      <c r="F31" s="41"/>
      <c r="G31" s="26"/>
      <c r="H31" s="26"/>
      <c r="I31" s="26"/>
      <c r="J31" s="26"/>
      <c r="K31" s="26"/>
      <c r="L31" s="28" t="str">
        <f aca="false">IF(A31="","",IF(COUNTIF(取引先マスタ!$A$5:$A$204,A31)&gt;1,"コード重複",""))</f>
        <v/>
      </c>
    </row>
    <row r="32" customFormat="false" ht="15" hidden="false" customHeight="false" outlineLevel="0" collapsed="false">
      <c r="A32" s="23"/>
      <c r="B32" s="26"/>
      <c r="C32" s="26"/>
      <c r="D32" s="26"/>
      <c r="E32" s="41"/>
      <c r="F32" s="41"/>
      <c r="G32" s="26"/>
      <c r="H32" s="26"/>
      <c r="I32" s="26"/>
      <c r="J32" s="26"/>
      <c r="K32" s="26"/>
      <c r="L32" s="28" t="str">
        <f aca="false">IF(A32="","",IF(COUNTIF(取引先マスタ!$A$5:$A$204,A32)&gt;1,"コード重複",""))</f>
        <v/>
      </c>
    </row>
    <row r="33" customFormat="false" ht="15" hidden="false" customHeight="false" outlineLevel="0" collapsed="false">
      <c r="A33" s="23"/>
      <c r="B33" s="26"/>
      <c r="C33" s="26"/>
      <c r="D33" s="26"/>
      <c r="E33" s="41"/>
      <c r="F33" s="41"/>
      <c r="G33" s="26"/>
      <c r="H33" s="26"/>
      <c r="I33" s="26"/>
      <c r="J33" s="26"/>
      <c r="K33" s="26"/>
      <c r="L33" s="28" t="str">
        <f aca="false">IF(A33="","",IF(COUNTIF(取引先マスタ!$A$5:$A$204,A33)&gt;1,"コード重複",""))</f>
        <v/>
      </c>
    </row>
    <row r="34" customFormat="false" ht="15" hidden="false" customHeight="false" outlineLevel="0" collapsed="false">
      <c r="A34" s="23"/>
      <c r="B34" s="26"/>
      <c r="C34" s="26"/>
      <c r="D34" s="26"/>
      <c r="E34" s="41"/>
      <c r="F34" s="41"/>
      <c r="G34" s="26"/>
      <c r="H34" s="26"/>
      <c r="I34" s="26"/>
      <c r="J34" s="26"/>
      <c r="K34" s="26"/>
      <c r="L34" s="28" t="str">
        <f aca="false">IF(A34="","",IF(COUNTIF(取引先マスタ!$A$5:$A$204,A34)&gt;1,"コード重複",""))</f>
        <v/>
      </c>
    </row>
    <row r="35" customFormat="false" ht="15" hidden="false" customHeight="false" outlineLevel="0" collapsed="false">
      <c r="A35" s="23"/>
      <c r="B35" s="26"/>
      <c r="C35" s="26"/>
      <c r="D35" s="26"/>
      <c r="E35" s="41"/>
      <c r="F35" s="41"/>
      <c r="G35" s="26"/>
      <c r="H35" s="26"/>
      <c r="I35" s="26"/>
      <c r="J35" s="26"/>
      <c r="K35" s="26"/>
      <c r="L35" s="28" t="str">
        <f aca="false">IF(A35="","",IF(COUNTIF(取引先マスタ!$A$5:$A$204,A35)&gt;1,"コード重複",""))</f>
        <v/>
      </c>
    </row>
    <row r="36" customFormat="false" ht="15" hidden="false" customHeight="false" outlineLevel="0" collapsed="false">
      <c r="A36" s="23"/>
      <c r="B36" s="26"/>
      <c r="C36" s="26"/>
      <c r="D36" s="26"/>
      <c r="E36" s="41"/>
      <c r="F36" s="41"/>
      <c r="G36" s="26"/>
      <c r="H36" s="26"/>
      <c r="I36" s="26"/>
      <c r="J36" s="26"/>
      <c r="K36" s="26"/>
      <c r="L36" s="28" t="str">
        <f aca="false">IF(A36="","",IF(COUNTIF(取引先マスタ!$A$5:$A$204,A36)&gt;1,"コード重複",""))</f>
        <v/>
      </c>
    </row>
    <row r="37" customFormat="false" ht="15" hidden="false" customHeight="false" outlineLevel="0" collapsed="false">
      <c r="A37" s="23"/>
      <c r="B37" s="26"/>
      <c r="C37" s="26"/>
      <c r="D37" s="26"/>
      <c r="E37" s="41"/>
      <c r="F37" s="41"/>
      <c r="G37" s="26"/>
      <c r="H37" s="26"/>
      <c r="I37" s="26"/>
      <c r="J37" s="26"/>
      <c r="K37" s="26"/>
      <c r="L37" s="28" t="str">
        <f aca="false">IF(A37="","",IF(COUNTIF(取引先マスタ!$A$5:$A$204,A37)&gt;1,"コード重複",""))</f>
        <v/>
      </c>
    </row>
    <row r="38" customFormat="false" ht="15" hidden="false" customHeight="false" outlineLevel="0" collapsed="false">
      <c r="A38" s="23"/>
      <c r="B38" s="26"/>
      <c r="C38" s="26"/>
      <c r="D38" s="26"/>
      <c r="E38" s="41"/>
      <c r="F38" s="41"/>
      <c r="G38" s="26"/>
      <c r="H38" s="26"/>
      <c r="I38" s="26"/>
      <c r="J38" s="26"/>
      <c r="K38" s="26"/>
      <c r="L38" s="28" t="str">
        <f aca="false">IF(A38="","",IF(COUNTIF(取引先マスタ!$A$5:$A$204,A38)&gt;1,"コード重複",""))</f>
        <v/>
      </c>
    </row>
    <row r="39" customFormat="false" ht="15" hidden="false" customHeight="false" outlineLevel="0" collapsed="false">
      <c r="A39" s="23"/>
      <c r="B39" s="26"/>
      <c r="C39" s="26"/>
      <c r="D39" s="26"/>
      <c r="E39" s="41"/>
      <c r="F39" s="41"/>
      <c r="G39" s="26"/>
      <c r="H39" s="26"/>
      <c r="I39" s="26"/>
      <c r="J39" s="26"/>
      <c r="K39" s="26"/>
      <c r="L39" s="28" t="str">
        <f aca="false">IF(A39="","",IF(COUNTIF(取引先マスタ!$A$5:$A$204,A39)&gt;1,"コード重複",""))</f>
        <v/>
      </c>
    </row>
    <row r="40" customFormat="false" ht="15" hidden="false" customHeight="false" outlineLevel="0" collapsed="false">
      <c r="A40" s="23"/>
      <c r="B40" s="26"/>
      <c r="C40" s="26"/>
      <c r="D40" s="26"/>
      <c r="E40" s="41"/>
      <c r="F40" s="41"/>
      <c r="G40" s="26"/>
      <c r="H40" s="26"/>
      <c r="I40" s="26"/>
      <c r="J40" s="26"/>
      <c r="K40" s="26"/>
      <c r="L40" s="28" t="str">
        <f aca="false">IF(A40="","",IF(COUNTIF(取引先マスタ!$A$5:$A$204,A40)&gt;1,"コード重複",""))</f>
        <v/>
      </c>
    </row>
    <row r="41" customFormat="false" ht="15" hidden="false" customHeight="false" outlineLevel="0" collapsed="false">
      <c r="A41" s="23"/>
      <c r="B41" s="26"/>
      <c r="C41" s="26"/>
      <c r="D41" s="26"/>
      <c r="E41" s="41"/>
      <c r="F41" s="41"/>
      <c r="G41" s="26"/>
      <c r="H41" s="26"/>
      <c r="I41" s="26"/>
      <c r="J41" s="26"/>
      <c r="K41" s="26"/>
      <c r="L41" s="28" t="str">
        <f aca="false">IF(A41="","",IF(COUNTIF(取引先マスタ!$A$5:$A$204,A41)&gt;1,"コード重複",""))</f>
        <v/>
      </c>
    </row>
    <row r="42" customFormat="false" ht="15" hidden="false" customHeight="false" outlineLevel="0" collapsed="false">
      <c r="A42" s="23"/>
      <c r="B42" s="26"/>
      <c r="C42" s="26"/>
      <c r="D42" s="26"/>
      <c r="E42" s="41"/>
      <c r="F42" s="41"/>
      <c r="G42" s="26"/>
      <c r="H42" s="26"/>
      <c r="I42" s="26"/>
      <c r="J42" s="26"/>
      <c r="K42" s="26"/>
      <c r="L42" s="28" t="str">
        <f aca="false">IF(A42="","",IF(COUNTIF(取引先マスタ!$A$5:$A$204,A42)&gt;1,"コード重複",""))</f>
        <v/>
      </c>
    </row>
    <row r="43" customFormat="false" ht="15" hidden="false" customHeight="false" outlineLevel="0" collapsed="false">
      <c r="A43" s="23"/>
      <c r="B43" s="26"/>
      <c r="C43" s="26"/>
      <c r="D43" s="26"/>
      <c r="E43" s="41"/>
      <c r="F43" s="41"/>
      <c r="G43" s="26"/>
      <c r="H43" s="26"/>
      <c r="I43" s="26"/>
      <c r="J43" s="26"/>
      <c r="K43" s="26"/>
      <c r="L43" s="28" t="str">
        <f aca="false">IF(A43="","",IF(COUNTIF(取引先マスタ!$A$5:$A$204,A43)&gt;1,"コード重複",""))</f>
        <v/>
      </c>
    </row>
    <row r="44" customFormat="false" ht="15" hidden="false" customHeight="false" outlineLevel="0" collapsed="false">
      <c r="A44" s="23"/>
      <c r="B44" s="26"/>
      <c r="C44" s="26"/>
      <c r="D44" s="26"/>
      <c r="E44" s="41"/>
      <c r="F44" s="41"/>
      <c r="G44" s="26"/>
      <c r="H44" s="26"/>
      <c r="I44" s="26"/>
      <c r="J44" s="26"/>
      <c r="K44" s="26"/>
      <c r="L44" s="28" t="str">
        <f aca="false">IF(A44="","",IF(COUNTIF(取引先マスタ!$A$5:$A$204,A44)&gt;1,"コード重複",""))</f>
        <v/>
      </c>
    </row>
    <row r="45" customFormat="false" ht="15" hidden="false" customHeight="false" outlineLevel="0" collapsed="false">
      <c r="A45" s="23"/>
      <c r="B45" s="26"/>
      <c r="C45" s="26"/>
      <c r="D45" s="26"/>
      <c r="E45" s="41"/>
      <c r="F45" s="41"/>
      <c r="G45" s="26"/>
      <c r="H45" s="26"/>
      <c r="I45" s="26"/>
      <c r="J45" s="26"/>
      <c r="K45" s="26"/>
      <c r="L45" s="28" t="str">
        <f aca="false">IF(A45="","",IF(COUNTIF(取引先マスタ!$A$5:$A$204,A45)&gt;1,"コード重複",""))</f>
        <v/>
      </c>
    </row>
    <row r="46" customFormat="false" ht="15" hidden="false" customHeight="false" outlineLevel="0" collapsed="false">
      <c r="A46" s="23"/>
      <c r="B46" s="26"/>
      <c r="C46" s="26"/>
      <c r="D46" s="26"/>
      <c r="E46" s="41"/>
      <c r="F46" s="41"/>
      <c r="G46" s="26"/>
      <c r="H46" s="26"/>
      <c r="I46" s="26"/>
      <c r="J46" s="26"/>
      <c r="K46" s="26"/>
      <c r="L46" s="28" t="str">
        <f aca="false">IF(A46="","",IF(COUNTIF(取引先マスタ!$A$5:$A$204,A46)&gt;1,"コード重複",""))</f>
        <v/>
      </c>
    </row>
    <row r="47" customFormat="false" ht="15" hidden="false" customHeight="false" outlineLevel="0" collapsed="false">
      <c r="A47" s="23"/>
      <c r="B47" s="26"/>
      <c r="C47" s="26"/>
      <c r="D47" s="26"/>
      <c r="E47" s="41"/>
      <c r="F47" s="41"/>
      <c r="G47" s="26"/>
      <c r="H47" s="26"/>
      <c r="I47" s="26"/>
      <c r="J47" s="26"/>
      <c r="K47" s="26"/>
      <c r="L47" s="28" t="str">
        <f aca="false">IF(A47="","",IF(COUNTIF(取引先マスタ!$A$5:$A$204,A47)&gt;1,"コード重複",""))</f>
        <v/>
      </c>
    </row>
    <row r="48" customFormat="false" ht="15" hidden="false" customHeight="false" outlineLevel="0" collapsed="false">
      <c r="A48" s="23"/>
      <c r="B48" s="26"/>
      <c r="C48" s="26"/>
      <c r="D48" s="26"/>
      <c r="E48" s="41"/>
      <c r="F48" s="41"/>
      <c r="G48" s="26"/>
      <c r="H48" s="26"/>
      <c r="I48" s="26"/>
      <c r="J48" s="26"/>
      <c r="K48" s="26"/>
      <c r="L48" s="28" t="str">
        <f aca="false">IF(A48="","",IF(COUNTIF(取引先マスタ!$A$5:$A$204,A48)&gt;1,"コード重複",""))</f>
        <v/>
      </c>
    </row>
    <row r="49" customFormat="false" ht="15" hidden="false" customHeight="false" outlineLevel="0" collapsed="false">
      <c r="A49" s="23"/>
      <c r="B49" s="26"/>
      <c r="C49" s="26"/>
      <c r="D49" s="26"/>
      <c r="E49" s="41"/>
      <c r="F49" s="41"/>
      <c r="G49" s="26"/>
      <c r="H49" s="26"/>
      <c r="I49" s="26"/>
      <c r="J49" s="26"/>
      <c r="K49" s="26"/>
      <c r="L49" s="28" t="str">
        <f aca="false">IF(A49="","",IF(COUNTIF(取引先マスタ!$A$5:$A$204,A49)&gt;1,"コード重複",""))</f>
        <v/>
      </c>
    </row>
    <row r="50" customFormat="false" ht="15" hidden="false" customHeight="false" outlineLevel="0" collapsed="false">
      <c r="A50" s="23"/>
      <c r="B50" s="26"/>
      <c r="C50" s="26"/>
      <c r="D50" s="26"/>
      <c r="E50" s="41"/>
      <c r="F50" s="41"/>
      <c r="G50" s="26"/>
      <c r="H50" s="26"/>
      <c r="I50" s="26"/>
      <c r="J50" s="26"/>
      <c r="K50" s="26"/>
      <c r="L50" s="28" t="str">
        <f aca="false">IF(A50="","",IF(COUNTIF(取引先マスタ!$A$5:$A$204,A50)&gt;1,"コード重複",""))</f>
        <v/>
      </c>
    </row>
    <row r="51" customFormat="false" ht="15" hidden="false" customHeight="false" outlineLevel="0" collapsed="false">
      <c r="A51" s="23"/>
      <c r="B51" s="26"/>
      <c r="C51" s="26"/>
      <c r="D51" s="26"/>
      <c r="E51" s="41"/>
      <c r="F51" s="41"/>
      <c r="G51" s="26"/>
      <c r="H51" s="26"/>
      <c r="I51" s="26"/>
      <c r="J51" s="26"/>
      <c r="K51" s="26"/>
      <c r="L51" s="28" t="str">
        <f aca="false">IF(A51="","",IF(COUNTIF(取引先マスタ!$A$5:$A$204,A51)&gt;1,"コード重複",""))</f>
        <v/>
      </c>
    </row>
    <row r="52" customFormat="false" ht="15" hidden="false" customHeight="false" outlineLevel="0" collapsed="false">
      <c r="A52" s="23"/>
      <c r="B52" s="26"/>
      <c r="C52" s="26"/>
      <c r="D52" s="26"/>
      <c r="E52" s="41"/>
      <c r="F52" s="41"/>
      <c r="G52" s="26"/>
      <c r="H52" s="26"/>
      <c r="I52" s="26"/>
      <c r="J52" s="26"/>
      <c r="K52" s="26"/>
      <c r="L52" s="28" t="str">
        <f aca="false">IF(A52="","",IF(COUNTIF(取引先マスタ!$A$5:$A$204,A52)&gt;1,"コード重複",""))</f>
        <v/>
      </c>
    </row>
    <row r="53" customFormat="false" ht="15" hidden="false" customHeight="false" outlineLevel="0" collapsed="false">
      <c r="A53" s="23"/>
      <c r="B53" s="26"/>
      <c r="C53" s="26"/>
      <c r="D53" s="26"/>
      <c r="E53" s="41"/>
      <c r="F53" s="41"/>
      <c r="G53" s="26"/>
      <c r="H53" s="26"/>
      <c r="I53" s="26"/>
      <c r="J53" s="26"/>
      <c r="K53" s="26"/>
      <c r="L53" s="28" t="str">
        <f aca="false">IF(A53="","",IF(COUNTIF(取引先マスタ!$A$5:$A$204,A53)&gt;1,"コード重複",""))</f>
        <v/>
      </c>
    </row>
    <row r="54" customFormat="false" ht="15" hidden="false" customHeight="false" outlineLevel="0" collapsed="false">
      <c r="A54" s="23"/>
      <c r="B54" s="26"/>
      <c r="C54" s="26"/>
      <c r="D54" s="26"/>
      <c r="E54" s="41"/>
      <c r="F54" s="41"/>
      <c r="G54" s="26"/>
      <c r="H54" s="26"/>
      <c r="I54" s="26"/>
      <c r="J54" s="26"/>
      <c r="K54" s="26"/>
      <c r="L54" s="28" t="str">
        <f aca="false">IF(A54="","",IF(COUNTIF(取引先マスタ!$A$5:$A$204,A54)&gt;1,"コード重複",""))</f>
        <v/>
      </c>
    </row>
    <row r="55" customFormat="false" ht="15" hidden="false" customHeight="false" outlineLevel="0" collapsed="false">
      <c r="A55" s="23"/>
      <c r="B55" s="26"/>
      <c r="C55" s="26"/>
      <c r="D55" s="26"/>
      <c r="E55" s="41"/>
      <c r="F55" s="41"/>
      <c r="G55" s="26"/>
      <c r="H55" s="26"/>
      <c r="I55" s="26"/>
      <c r="J55" s="26"/>
      <c r="K55" s="26"/>
      <c r="L55" s="28" t="str">
        <f aca="false">IF(A55="","",IF(COUNTIF(取引先マスタ!$A$5:$A$204,A55)&gt;1,"コード重複",""))</f>
        <v/>
      </c>
    </row>
    <row r="56" customFormat="false" ht="15" hidden="false" customHeight="false" outlineLevel="0" collapsed="false">
      <c r="A56" s="23"/>
      <c r="B56" s="26"/>
      <c r="C56" s="26"/>
      <c r="D56" s="26"/>
      <c r="E56" s="41"/>
      <c r="F56" s="41"/>
      <c r="G56" s="26"/>
      <c r="H56" s="26"/>
      <c r="I56" s="26"/>
      <c r="J56" s="26"/>
      <c r="K56" s="26"/>
      <c r="L56" s="28" t="str">
        <f aca="false">IF(A56="","",IF(COUNTIF(取引先マスタ!$A$5:$A$204,A56)&gt;1,"コード重複",""))</f>
        <v/>
      </c>
    </row>
    <row r="57" customFormat="false" ht="15" hidden="false" customHeight="false" outlineLevel="0" collapsed="false">
      <c r="A57" s="23"/>
      <c r="B57" s="26"/>
      <c r="C57" s="26"/>
      <c r="D57" s="26"/>
      <c r="E57" s="41"/>
      <c r="F57" s="41"/>
      <c r="G57" s="26"/>
      <c r="H57" s="26"/>
      <c r="I57" s="26"/>
      <c r="J57" s="26"/>
      <c r="K57" s="26"/>
      <c r="L57" s="28" t="str">
        <f aca="false">IF(A57="","",IF(COUNTIF(取引先マスタ!$A$5:$A$204,A57)&gt;1,"コード重複",""))</f>
        <v/>
      </c>
    </row>
    <row r="58" customFormat="false" ht="15" hidden="false" customHeight="false" outlineLevel="0" collapsed="false">
      <c r="A58" s="23"/>
      <c r="B58" s="26"/>
      <c r="C58" s="26"/>
      <c r="D58" s="26"/>
      <c r="E58" s="41"/>
      <c r="F58" s="41"/>
      <c r="G58" s="26"/>
      <c r="H58" s="26"/>
      <c r="I58" s="26"/>
      <c r="J58" s="26"/>
      <c r="K58" s="26"/>
      <c r="L58" s="28" t="str">
        <f aca="false">IF(A58="","",IF(COUNTIF(取引先マスタ!$A$5:$A$204,A58)&gt;1,"コード重複",""))</f>
        <v/>
      </c>
    </row>
    <row r="59" customFormat="false" ht="15" hidden="false" customHeight="false" outlineLevel="0" collapsed="false">
      <c r="A59" s="23"/>
      <c r="B59" s="26"/>
      <c r="C59" s="26"/>
      <c r="D59" s="26"/>
      <c r="E59" s="41"/>
      <c r="F59" s="41"/>
      <c r="G59" s="26"/>
      <c r="H59" s="26"/>
      <c r="I59" s="26"/>
      <c r="J59" s="26"/>
      <c r="K59" s="26"/>
      <c r="L59" s="28" t="str">
        <f aca="false">IF(A59="","",IF(COUNTIF(取引先マスタ!$A$5:$A$204,A59)&gt;1,"コード重複",""))</f>
        <v/>
      </c>
    </row>
    <row r="60" customFormat="false" ht="15" hidden="false" customHeight="false" outlineLevel="0" collapsed="false">
      <c r="A60" s="23"/>
      <c r="B60" s="26"/>
      <c r="C60" s="26"/>
      <c r="D60" s="26"/>
      <c r="E60" s="41"/>
      <c r="F60" s="41"/>
      <c r="G60" s="26"/>
      <c r="H60" s="26"/>
      <c r="I60" s="26"/>
      <c r="J60" s="26"/>
      <c r="K60" s="26"/>
      <c r="L60" s="28" t="str">
        <f aca="false">IF(A60="","",IF(COUNTIF(取引先マスタ!$A$5:$A$204,A60)&gt;1,"コード重複",""))</f>
        <v/>
      </c>
    </row>
    <row r="61" customFormat="false" ht="15" hidden="false" customHeight="false" outlineLevel="0" collapsed="false">
      <c r="A61" s="23"/>
      <c r="B61" s="26"/>
      <c r="C61" s="26"/>
      <c r="D61" s="26"/>
      <c r="E61" s="41"/>
      <c r="F61" s="41"/>
      <c r="G61" s="26"/>
      <c r="H61" s="26"/>
      <c r="I61" s="26"/>
      <c r="J61" s="26"/>
      <c r="K61" s="26"/>
      <c r="L61" s="28" t="str">
        <f aca="false">IF(A61="","",IF(COUNTIF(取引先マスタ!$A$5:$A$204,A61)&gt;1,"コード重複",""))</f>
        <v/>
      </c>
    </row>
    <row r="62" customFormat="false" ht="15" hidden="false" customHeight="false" outlineLevel="0" collapsed="false">
      <c r="A62" s="23"/>
      <c r="B62" s="26"/>
      <c r="C62" s="26"/>
      <c r="D62" s="26"/>
      <c r="E62" s="41"/>
      <c r="F62" s="41"/>
      <c r="G62" s="26"/>
      <c r="H62" s="26"/>
      <c r="I62" s="26"/>
      <c r="J62" s="26"/>
      <c r="K62" s="26"/>
      <c r="L62" s="28" t="str">
        <f aca="false">IF(A62="","",IF(COUNTIF(取引先マスタ!$A$5:$A$204,A62)&gt;1,"コード重複",""))</f>
        <v/>
      </c>
    </row>
    <row r="63" customFormat="false" ht="15" hidden="false" customHeight="false" outlineLevel="0" collapsed="false">
      <c r="A63" s="23"/>
      <c r="B63" s="26"/>
      <c r="C63" s="26"/>
      <c r="D63" s="26"/>
      <c r="E63" s="41"/>
      <c r="F63" s="41"/>
      <c r="G63" s="26"/>
      <c r="H63" s="26"/>
      <c r="I63" s="26"/>
      <c r="J63" s="26"/>
      <c r="K63" s="26"/>
      <c r="L63" s="28" t="str">
        <f aca="false">IF(A63="","",IF(COUNTIF(取引先マスタ!$A$5:$A$204,A63)&gt;1,"コード重複",""))</f>
        <v/>
      </c>
    </row>
    <row r="64" customFormat="false" ht="15" hidden="false" customHeight="false" outlineLevel="0" collapsed="false">
      <c r="A64" s="23"/>
      <c r="B64" s="26"/>
      <c r="C64" s="26"/>
      <c r="D64" s="26"/>
      <c r="E64" s="41"/>
      <c r="F64" s="41"/>
      <c r="G64" s="26"/>
      <c r="H64" s="26"/>
      <c r="I64" s="26"/>
      <c r="J64" s="26"/>
      <c r="K64" s="26"/>
      <c r="L64" s="28" t="str">
        <f aca="false">IF(A64="","",IF(COUNTIF(取引先マスタ!$A$5:$A$204,A64)&gt;1,"コード重複",""))</f>
        <v/>
      </c>
    </row>
    <row r="65" customFormat="false" ht="15" hidden="false" customHeight="false" outlineLevel="0" collapsed="false">
      <c r="A65" s="23"/>
      <c r="B65" s="26"/>
      <c r="C65" s="26"/>
      <c r="D65" s="26"/>
      <c r="E65" s="41"/>
      <c r="F65" s="41"/>
      <c r="G65" s="26"/>
      <c r="H65" s="26"/>
      <c r="I65" s="26"/>
      <c r="J65" s="26"/>
      <c r="K65" s="26"/>
      <c r="L65" s="28" t="str">
        <f aca="false">IF(A65="","",IF(COUNTIF(取引先マスタ!$A$5:$A$204,A65)&gt;1,"コード重複",""))</f>
        <v/>
      </c>
    </row>
    <row r="66" customFormat="false" ht="15" hidden="false" customHeight="false" outlineLevel="0" collapsed="false">
      <c r="A66" s="23"/>
      <c r="B66" s="26"/>
      <c r="C66" s="26"/>
      <c r="D66" s="26"/>
      <c r="E66" s="41"/>
      <c r="F66" s="41"/>
      <c r="G66" s="26"/>
      <c r="H66" s="26"/>
      <c r="I66" s="26"/>
      <c r="J66" s="26"/>
      <c r="K66" s="26"/>
      <c r="L66" s="28" t="str">
        <f aca="false">IF(A66="","",IF(COUNTIF(取引先マスタ!$A$5:$A$204,A66)&gt;1,"コード重複",""))</f>
        <v/>
      </c>
    </row>
    <row r="67" customFormat="false" ht="15" hidden="false" customHeight="false" outlineLevel="0" collapsed="false">
      <c r="A67" s="23"/>
      <c r="B67" s="26"/>
      <c r="C67" s="26"/>
      <c r="D67" s="26"/>
      <c r="E67" s="41"/>
      <c r="F67" s="41"/>
      <c r="G67" s="26"/>
      <c r="H67" s="26"/>
      <c r="I67" s="26"/>
      <c r="J67" s="26"/>
      <c r="K67" s="26"/>
      <c r="L67" s="28" t="str">
        <f aca="false">IF(A67="","",IF(COUNTIF(取引先マスタ!$A$5:$A$204,A67)&gt;1,"コード重複",""))</f>
        <v/>
      </c>
    </row>
    <row r="68" customFormat="false" ht="15" hidden="false" customHeight="false" outlineLevel="0" collapsed="false">
      <c r="A68" s="23"/>
      <c r="B68" s="26"/>
      <c r="C68" s="26"/>
      <c r="D68" s="26"/>
      <c r="E68" s="41"/>
      <c r="F68" s="41"/>
      <c r="G68" s="26"/>
      <c r="H68" s="26"/>
      <c r="I68" s="26"/>
      <c r="J68" s="26"/>
      <c r="K68" s="26"/>
      <c r="L68" s="28" t="str">
        <f aca="false">IF(A68="","",IF(COUNTIF(取引先マスタ!$A$5:$A$204,A68)&gt;1,"コード重複",""))</f>
        <v/>
      </c>
    </row>
    <row r="69" customFormat="false" ht="15" hidden="false" customHeight="false" outlineLevel="0" collapsed="false">
      <c r="A69" s="23"/>
      <c r="B69" s="26"/>
      <c r="C69" s="26"/>
      <c r="D69" s="26"/>
      <c r="E69" s="41"/>
      <c r="F69" s="41"/>
      <c r="G69" s="26"/>
      <c r="H69" s="26"/>
      <c r="I69" s="26"/>
      <c r="J69" s="26"/>
      <c r="K69" s="26"/>
      <c r="L69" s="28" t="str">
        <f aca="false">IF(A69="","",IF(COUNTIF(取引先マスタ!$A$5:$A$204,A69)&gt;1,"コード重複",""))</f>
        <v/>
      </c>
    </row>
    <row r="70" customFormat="false" ht="15" hidden="false" customHeight="false" outlineLevel="0" collapsed="false">
      <c r="A70" s="23"/>
      <c r="B70" s="26"/>
      <c r="C70" s="26"/>
      <c r="D70" s="26"/>
      <c r="E70" s="41"/>
      <c r="F70" s="41"/>
      <c r="G70" s="26"/>
      <c r="H70" s="26"/>
      <c r="I70" s="26"/>
      <c r="J70" s="26"/>
      <c r="K70" s="26"/>
      <c r="L70" s="28" t="str">
        <f aca="false">IF(A70="","",IF(COUNTIF(取引先マスタ!$A$5:$A$204,A70)&gt;1,"コード重複",""))</f>
        <v/>
      </c>
    </row>
    <row r="71" customFormat="false" ht="15" hidden="false" customHeight="false" outlineLevel="0" collapsed="false">
      <c r="A71" s="23"/>
      <c r="B71" s="26"/>
      <c r="C71" s="26"/>
      <c r="D71" s="26"/>
      <c r="E71" s="41"/>
      <c r="F71" s="41"/>
      <c r="G71" s="26"/>
      <c r="H71" s="26"/>
      <c r="I71" s="26"/>
      <c r="J71" s="26"/>
      <c r="K71" s="26"/>
      <c r="L71" s="28" t="str">
        <f aca="false">IF(A71="","",IF(COUNTIF(取引先マスタ!$A$5:$A$204,A71)&gt;1,"コード重複",""))</f>
        <v/>
      </c>
    </row>
    <row r="72" customFormat="false" ht="15" hidden="false" customHeight="false" outlineLevel="0" collapsed="false">
      <c r="A72" s="23"/>
      <c r="B72" s="26"/>
      <c r="C72" s="26"/>
      <c r="D72" s="26"/>
      <c r="E72" s="41"/>
      <c r="F72" s="41"/>
      <c r="G72" s="26"/>
      <c r="H72" s="26"/>
      <c r="I72" s="26"/>
      <c r="J72" s="26"/>
      <c r="K72" s="26"/>
      <c r="L72" s="28" t="str">
        <f aca="false">IF(A72="","",IF(COUNTIF(取引先マスタ!$A$5:$A$204,A72)&gt;1,"コード重複",""))</f>
        <v/>
      </c>
    </row>
    <row r="73" customFormat="false" ht="15" hidden="false" customHeight="false" outlineLevel="0" collapsed="false">
      <c r="A73" s="23"/>
      <c r="B73" s="26"/>
      <c r="C73" s="26"/>
      <c r="D73" s="26"/>
      <c r="E73" s="41"/>
      <c r="F73" s="41"/>
      <c r="G73" s="26"/>
      <c r="H73" s="26"/>
      <c r="I73" s="26"/>
      <c r="J73" s="26"/>
      <c r="K73" s="26"/>
      <c r="L73" s="28" t="str">
        <f aca="false">IF(A73="","",IF(COUNTIF(取引先マスタ!$A$5:$A$204,A73)&gt;1,"コード重複",""))</f>
        <v/>
      </c>
    </row>
    <row r="74" customFormat="false" ht="15" hidden="false" customHeight="false" outlineLevel="0" collapsed="false">
      <c r="A74" s="23"/>
      <c r="B74" s="26"/>
      <c r="C74" s="26"/>
      <c r="D74" s="26"/>
      <c r="E74" s="41"/>
      <c r="F74" s="41"/>
      <c r="G74" s="26"/>
      <c r="H74" s="26"/>
      <c r="I74" s="26"/>
      <c r="J74" s="26"/>
      <c r="K74" s="26"/>
      <c r="L74" s="28" t="str">
        <f aca="false">IF(A74="","",IF(COUNTIF(取引先マスタ!$A$5:$A$204,A74)&gt;1,"コード重複",""))</f>
        <v/>
      </c>
    </row>
    <row r="75" customFormat="false" ht="15" hidden="false" customHeight="false" outlineLevel="0" collapsed="false">
      <c r="A75" s="23"/>
      <c r="B75" s="26"/>
      <c r="C75" s="26"/>
      <c r="D75" s="26"/>
      <c r="E75" s="41"/>
      <c r="F75" s="41"/>
      <c r="G75" s="26"/>
      <c r="H75" s="26"/>
      <c r="I75" s="26"/>
      <c r="J75" s="26"/>
      <c r="K75" s="26"/>
      <c r="L75" s="28" t="str">
        <f aca="false">IF(A75="","",IF(COUNTIF(取引先マスタ!$A$5:$A$204,A75)&gt;1,"コード重複",""))</f>
        <v/>
      </c>
    </row>
    <row r="76" customFormat="false" ht="15" hidden="false" customHeight="false" outlineLevel="0" collapsed="false">
      <c r="A76" s="23"/>
      <c r="B76" s="26"/>
      <c r="C76" s="26"/>
      <c r="D76" s="26"/>
      <c r="E76" s="41"/>
      <c r="F76" s="41"/>
      <c r="G76" s="26"/>
      <c r="H76" s="26"/>
      <c r="I76" s="26"/>
      <c r="J76" s="26"/>
      <c r="K76" s="26"/>
      <c r="L76" s="28" t="str">
        <f aca="false">IF(A76="","",IF(COUNTIF(取引先マスタ!$A$5:$A$204,A76)&gt;1,"コード重複",""))</f>
        <v/>
      </c>
    </row>
    <row r="77" customFormat="false" ht="15" hidden="false" customHeight="false" outlineLevel="0" collapsed="false">
      <c r="A77" s="23"/>
      <c r="B77" s="26"/>
      <c r="C77" s="26"/>
      <c r="D77" s="26"/>
      <c r="E77" s="41"/>
      <c r="F77" s="41"/>
      <c r="G77" s="26"/>
      <c r="H77" s="26"/>
      <c r="I77" s="26"/>
      <c r="J77" s="26"/>
      <c r="K77" s="26"/>
      <c r="L77" s="28" t="str">
        <f aca="false">IF(A77="","",IF(COUNTIF(取引先マスタ!$A$5:$A$204,A77)&gt;1,"コード重複",""))</f>
        <v/>
      </c>
    </row>
    <row r="78" customFormat="false" ht="15" hidden="false" customHeight="false" outlineLevel="0" collapsed="false">
      <c r="A78" s="23"/>
      <c r="B78" s="26"/>
      <c r="C78" s="26"/>
      <c r="D78" s="26"/>
      <c r="E78" s="41"/>
      <c r="F78" s="41"/>
      <c r="G78" s="26"/>
      <c r="H78" s="26"/>
      <c r="I78" s="26"/>
      <c r="J78" s="26"/>
      <c r="K78" s="26"/>
      <c r="L78" s="28" t="str">
        <f aca="false">IF(A78="","",IF(COUNTIF(取引先マスタ!$A$5:$A$204,A78)&gt;1,"コード重複",""))</f>
        <v/>
      </c>
    </row>
    <row r="79" customFormat="false" ht="15" hidden="false" customHeight="false" outlineLevel="0" collapsed="false">
      <c r="A79" s="23"/>
      <c r="B79" s="26"/>
      <c r="C79" s="26"/>
      <c r="D79" s="26"/>
      <c r="E79" s="41"/>
      <c r="F79" s="41"/>
      <c r="G79" s="26"/>
      <c r="H79" s="26"/>
      <c r="I79" s="26"/>
      <c r="J79" s="26"/>
      <c r="K79" s="26"/>
      <c r="L79" s="28" t="str">
        <f aca="false">IF(A79="","",IF(COUNTIF(取引先マスタ!$A$5:$A$204,A79)&gt;1,"コード重複",""))</f>
        <v/>
      </c>
    </row>
    <row r="80" customFormat="false" ht="15" hidden="false" customHeight="false" outlineLevel="0" collapsed="false">
      <c r="A80" s="23"/>
      <c r="B80" s="26"/>
      <c r="C80" s="26"/>
      <c r="D80" s="26"/>
      <c r="E80" s="41"/>
      <c r="F80" s="41"/>
      <c r="G80" s="26"/>
      <c r="H80" s="26"/>
      <c r="I80" s="26"/>
      <c r="J80" s="26"/>
      <c r="K80" s="26"/>
      <c r="L80" s="28" t="str">
        <f aca="false">IF(A80="","",IF(COUNTIF(取引先マスタ!$A$5:$A$204,A80)&gt;1,"コード重複",""))</f>
        <v/>
      </c>
    </row>
    <row r="81" customFormat="false" ht="15" hidden="false" customHeight="false" outlineLevel="0" collapsed="false">
      <c r="A81" s="23"/>
      <c r="B81" s="26"/>
      <c r="C81" s="26"/>
      <c r="D81" s="26"/>
      <c r="E81" s="41"/>
      <c r="F81" s="41"/>
      <c r="G81" s="26"/>
      <c r="H81" s="26"/>
      <c r="I81" s="26"/>
      <c r="J81" s="26"/>
      <c r="K81" s="26"/>
      <c r="L81" s="28" t="str">
        <f aca="false">IF(A81="","",IF(COUNTIF(取引先マスタ!$A$5:$A$204,A81)&gt;1,"コード重複",""))</f>
        <v/>
      </c>
    </row>
    <row r="82" customFormat="false" ht="15" hidden="false" customHeight="false" outlineLevel="0" collapsed="false">
      <c r="A82" s="23"/>
      <c r="B82" s="26"/>
      <c r="C82" s="26"/>
      <c r="D82" s="26"/>
      <c r="E82" s="41"/>
      <c r="F82" s="41"/>
      <c r="G82" s="26"/>
      <c r="H82" s="26"/>
      <c r="I82" s="26"/>
      <c r="J82" s="26"/>
      <c r="K82" s="26"/>
      <c r="L82" s="28" t="str">
        <f aca="false">IF(A82="","",IF(COUNTIF(取引先マスタ!$A$5:$A$204,A82)&gt;1,"コード重複",""))</f>
        <v/>
      </c>
    </row>
    <row r="83" customFormat="false" ht="15" hidden="false" customHeight="false" outlineLevel="0" collapsed="false">
      <c r="A83" s="23"/>
      <c r="B83" s="26"/>
      <c r="C83" s="26"/>
      <c r="D83" s="26"/>
      <c r="E83" s="41"/>
      <c r="F83" s="41"/>
      <c r="G83" s="26"/>
      <c r="H83" s="26"/>
      <c r="I83" s="26"/>
      <c r="J83" s="26"/>
      <c r="K83" s="26"/>
      <c r="L83" s="28" t="str">
        <f aca="false">IF(A83="","",IF(COUNTIF(取引先マスタ!$A$5:$A$204,A83)&gt;1,"コード重複",""))</f>
        <v/>
      </c>
    </row>
    <row r="84" customFormat="false" ht="15" hidden="false" customHeight="false" outlineLevel="0" collapsed="false">
      <c r="A84" s="23"/>
      <c r="B84" s="26"/>
      <c r="C84" s="26"/>
      <c r="D84" s="26"/>
      <c r="E84" s="41"/>
      <c r="F84" s="41"/>
      <c r="G84" s="26"/>
      <c r="H84" s="26"/>
      <c r="I84" s="26"/>
      <c r="J84" s="26"/>
      <c r="K84" s="26"/>
      <c r="L84" s="28" t="str">
        <f aca="false">IF(A84="","",IF(COUNTIF(取引先マスタ!$A$5:$A$204,A84)&gt;1,"コード重複",""))</f>
        <v/>
      </c>
    </row>
    <row r="85" customFormat="false" ht="15" hidden="false" customHeight="false" outlineLevel="0" collapsed="false">
      <c r="A85" s="23"/>
      <c r="B85" s="26"/>
      <c r="C85" s="26"/>
      <c r="D85" s="26"/>
      <c r="E85" s="41"/>
      <c r="F85" s="41"/>
      <c r="G85" s="26"/>
      <c r="H85" s="26"/>
      <c r="I85" s="26"/>
      <c r="J85" s="26"/>
      <c r="K85" s="26"/>
      <c r="L85" s="28" t="str">
        <f aca="false">IF(A85="","",IF(COUNTIF(取引先マスタ!$A$5:$A$204,A85)&gt;1,"コード重複",""))</f>
        <v/>
      </c>
    </row>
    <row r="86" customFormat="false" ht="15" hidden="false" customHeight="false" outlineLevel="0" collapsed="false">
      <c r="A86" s="23"/>
      <c r="B86" s="26"/>
      <c r="C86" s="26"/>
      <c r="D86" s="26"/>
      <c r="E86" s="41"/>
      <c r="F86" s="41"/>
      <c r="G86" s="26"/>
      <c r="H86" s="26"/>
      <c r="I86" s="26"/>
      <c r="J86" s="26"/>
      <c r="K86" s="26"/>
      <c r="L86" s="28" t="str">
        <f aca="false">IF(A86="","",IF(COUNTIF(取引先マスタ!$A$5:$A$204,A86)&gt;1,"コード重複",""))</f>
        <v/>
      </c>
    </row>
    <row r="87" customFormat="false" ht="15" hidden="false" customHeight="false" outlineLevel="0" collapsed="false">
      <c r="A87" s="23"/>
      <c r="B87" s="26"/>
      <c r="C87" s="26"/>
      <c r="D87" s="26"/>
      <c r="E87" s="41"/>
      <c r="F87" s="41"/>
      <c r="G87" s="26"/>
      <c r="H87" s="26"/>
      <c r="I87" s="26"/>
      <c r="J87" s="26"/>
      <c r="K87" s="26"/>
      <c r="L87" s="28" t="str">
        <f aca="false">IF(A87="","",IF(COUNTIF(取引先マスタ!$A$5:$A$204,A87)&gt;1,"コード重複",""))</f>
        <v/>
      </c>
    </row>
    <row r="88" customFormat="false" ht="15" hidden="false" customHeight="false" outlineLevel="0" collapsed="false">
      <c r="A88" s="23"/>
      <c r="B88" s="26"/>
      <c r="C88" s="26"/>
      <c r="D88" s="26"/>
      <c r="E88" s="41"/>
      <c r="F88" s="41"/>
      <c r="G88" s="26"/>
      <c r="H88" s="26"/>
      <c r="I88" s="26"/>
      <c r="J88" s="26"/>
      <c r="K88" s="26"/>
      <c r="L88" s="28" t="str">
        <f aca="false">IF(A88="","",IF(COUNTIF(取引先マスタ!$A$5:$A$204,A88)&gt;1,"コード重複",""))</f>
        <v/>
      </c>
    </row>
    <row r="89" customFormat="false" ht="15" hidden="false" customHeight="false" outlineLevel="0" collapsed="false">
      <c r="A89" s="23"/>
      <c r="B89" s="26"/>
      <c r="C89" s="26"/>
      <c r="D89" s="26"/>
      <c r="E89" s="41"/>
      <c r="F89" s="41"/>
      <c r="G89" s="26"/>
      <c r="H89" s="26"/>
      <c r="I89" s="26"/>
      <c r="J89" s="26"/>
      <c r="K89" s="26"/>
      <c r="L89" s="28" t="str">
        <f aca="false">IF(A89="","",IF(COUNTIF(取引先マスタ!$A$5:$A$204,A89)&gt;1,"コード重複",""))</f>
        <v/>
      </c>
    </row>
    <row r="90" customFormat="false" ht="15" hidden="false" customHeight="false" outlineLevel="0" collapsed="false">
      <c r="A90" s="23"/>
      <c r="B90" s="26"/>
      <c r="C90" s="26"/>
      <c r="D90" s="26"/>
      <c r="E90" s="41"/>
      <c r="F90" s="41"/>
      <c r="G90" s="26"/>
      <c r="H90" s="26"/>
      <c r="I90" s="26"/>
      <c r="J90" s="26"/>
      <c r="K90" s="26"/>
      <c r="L90" s="28" t="str">
        <f aca="false">IF(A90="","",IF(COUNTIF(取引先マスタ!$A$5:$A$204,A90)&gt;1,"コード重複",""))</f>
        <v/>
      </c>
    </row>
    <row r="91" customFormat="false" ht="15" hidden="false" customHeight="false" outlineLevel="0" collapsed="false">
      <c r="A91" s="23"/>
      <c r="B91" s="26"/>
      <c r="C91" s="26"/>
      <c r="D91" s="26"/>
      <c r="E91" s="41"/>
      <c r="F91" s="41"/>
      <c r="G91" s="26"/>
      <c r="H91" s="26"/>
      <c r="I91" s="26"/>
      <c r="J91" s="26"/>
      <c r="K91" s="26"/>
      <c r="L91" s="28" t="str">
        <f aca="false">IF(A91="","",IF(COUNTIF(取引先マスタ!$A$5:$A$204,A91)&gt;1,"コード重複",""))</f>
        <v/>
      </c>
    </row>
    <row r="92" customFormat="false" ht="15" hidden="false" customHeight="false" outlineLevel="0" collapsed="false">
      <c r="A92" s="23"/>
      <c r="B92" s="26"/>
      <c r="C92" s="26"/>
      <c r="D92" s="26"/>
      <c r="E92" s="41"/>
      <c r="F92" s="41"/>
      <c r="G92" s="26"/>
      <c r="H92" s="26"/>
      <c r="I92" s="26"/>
      <c r="J92" s="26"/>
      <c r="K92" s="26"/>
      <c r="L92" s="28" t="str">
        <f aca="false">IF(A92="","",IF(COUNTIF(取引先マスタ!$A$5:$A$204,A92)&gt;1,"コード重複",""))</f>
        <v/>
      </c>
    </row>
    <row r="93" customFormat="false" ht="15" hidden="false" customHeight="false" outlineLevel="0" collapsed="false">
      <c r="A93" s="23"/>
      <c r="B93" s="26"/>
      <c r="C93" s="26"/>
      <c r="D93" s="26"/>
      <c r="E93" s="41"/>
      <c r="F93" s="41"/>
      <c r="G93" s="26"/>
      <c r="H93" s="26"/>
      <c r="I93" s="26"/>
      <c r="J93" s="26"/>
      <c r="K93" s="26"/>
      <c r="L93" s="28" t="str">
        <f aca="false">IF(A93="","",IF(COUNTIF(取引先マスタ!$A$5:$A$204,A93)&gt;1,"コード重複",""))</f>
        <v/>
      </c>
    </row>
    <row r="94" customFormat="false" ht="15" hidden="false" customHeight="false" outlineLevel="0" collapsed="false">
      <c r="A94" s="23"/>
      <c r="B94" s="26"/>
      <c r="C94" s="26"/>
      <c r="D94" s="26"/>
      <c r="E94" s="41"/>
      <c r="F94" s="41"/>
      <c r="G94" s="26"/>
      <c r="H94" s="26"/>
      <c r="I94" s="26"/>
      <c r="J94" s="26"/>
      <c r="K94" s="26"/>
      <c r="L94" s="28" t="str">
        <f aca="false">IF(A94="","",IF(COUNTIF(取引先マスタ!$A$5:$A$204,A94)&gt;1,"コード重複",""))</f>
        <v/>
      </c>
    </row>
    <row r="95" customFormat="false" ht="15" hidden="false" customHeight="false" outlineLevel="0" collapsed="false">
      <c r="A95" s="23"/>
      <c r="B95" s="26"/>
      <c r="C95" s="26"/>
      <c r="D95" s="26"/>
      <c r="E95" s="41"/>
      <c r="F95" s="41"/>
      <c r="G95" s="26"/>
      <c r="H95" s="26"/>
      <c r="I95" s="26"/>
      <c r="J95" s="26"/>
      <c r="K95" s="26"/>
      <c r="L95" s="28" t="str">
        <f aca="false">IF(A95="","",IF(COUNTIF(取引先マスタ!$A$5:$A$204,A95)&gt;1,"コード重複",""))</f>
        <v/>
      </c>
    </row>
    <row r="96" customFormat="false" ht="15" hidden="false" customHeight="false" outlineLevel="0" collapsed="false">
      <c r="A96" s="23"/>
      <c r="B96" s="26"/>
      <c r="C96" s="26"/>
      <c r="D96" s="26"/>
      <c r="E96" s="41"/>
      <c r="F96" s="41"/>
      <c r="G96" s="26"/>
      <c r="H96" s="26"/>
      <c r="I96" s="26"/>
      <c r="J96" s="26"/>
      <c r="K96" s="26"/>
      <c r="L96" s="28" t="str">
        <f aca="false">IF(A96="","",IF(COUNTIF(取引先マスタ!$A$5:$A$204,A96)&gt;1,"コード重複",""))</f>
        <v/>
      </c>
    </row>
    <row r="97" customFormat="false" ht="15" hidden="false" customHeight="false" outlineLevel="0" collapsed="false">
      <c r="A97" s="23"/>
      <c r="B97" s="26"/>
      <c r="C97" s="26"/>
      <c r="D97" s="26"/>
      <c r="E97" s="41"/>
      <c r="F97" s="41"/>
      <c r="G97" s="26"/>
      <c r="H97" s="26"/>
      <c r="I97" s="26"/>
      <c r="J97" s="26"/>
      <c r="K97" s="26"/>
      <c r="L97" s="28" t="str">
        <f aca="false">IF(A97="","",IF(COUNTIF(取引先マスタ!$A$5:$A$204,A97)&gt;1,"コード重複",""))</f>
        <v/>
      </c>
    </row>
    <row r="98" customFormat="false" ht="15" hidden="false" customHeight="false" outlineLevel="0" collapsed="false">
      <c r="A98" s="23"/>
      <c r="B98" s="26"/>
      <c r="C98" s="26"/>
      <c r="D98" s="26"/>
      <c r="E98" s="41"/>
      <c r="F98" s="41"/>
      <c r="G98" s="26"/>
      <c r="H98" s="26"/>
      <c r="I98" s="26"/>
      <c r="J98" s="26"/>
      <c r="K98" s="26"/>
      <c r="L98" s="28" t="str">
        <f aca="false">IF(A98="","",IF(COUNTIF(取引先マスタ!$A$5:$A$204,A98)&gt;1,"コード重複",""))</f>
        <v/>
      </c>
    </row>
    <row r="99" customFormat="false" ht="15" hidden="false" customHeight="false" outlineLevel="0" collapsed="false">
      <c r="A99" s="23"/>
      <c r="B99" s="26"/>
      <c r="C99" s="26"/>
      <c r="D99" s="26"/>
      <c r="E99" s="41"/>
      <c r="F99" s="41"/>
      <c r="G99" s="26"/>
      <c r="H99" s="26"/>
      <c r="I99" s="26"/>
      <c r="J99" s="26"/>
      <c r="K99" s="26"/>
      <c r="L99" s="28" t="str">
        <f aca="false">IF(A99="","",IF(COUNTIF(取引先マスタ!$A$5:$A$204,A99)&gt;1,"コード重複",""))</f>
        <v/>
      </c>
    </row>
    <row r="100" customFormat="false" ht="15" hidden="false" customHeight="false" outlineLevel="0" collapsed="false">
      <c r="A100" s="23"/>
      <c r="B100" s="26"/>
      <c r="C100" s="26"/>
      <c r="D100" s="26"/>
      <c r="E100" s="41"/>
      <c r="F100" s="41"/>
      <c r="G100" s="26"/>
      <c r="H100" s="26"/>
      <c r="I100" s="26"/>
      <c r="J100" s="26"/>
      <c r="K100" s="26"/>
      <c r="L100" s="28" t="str">
        <f aca="false">IF(A100="","",IF(COUNTIF(取引先マスタ!$A$5:$A$204,A100)&gt;1,"コード重複",""))</f>
        <v/>
      </c>
    </row>
    <row r="101" customFormat="false" ht="15" hidden="false" customHeight="false" outlineLevel="0" collapsed="false">
      <c r="A101" s="23"/>
      <c r="B101" s="26"/>
      <c r="C101" s="26"/>
      <c r="D101" s="26"/>
      <c r="E101" s="41"/>
      <c r="F101" s="41"/>
      <c r="G101" s="26"/>
      <c r="H101" s="26"/>
      <c r="I101" s="26"/>
      <c r="J101" s="26"/>
      <c r="K101" s="26"/>
      <c r="L101" s="28" t="str">
        <f aca="false">IF(A101="","",IF(COUNTIF(取引先マスタ!$A$5:$A$204,A101)&gt;1,"コード重複",""))</f>
        <v/>
      </c>
    </row>
    <row r="102" customFormat="false" ht="15" hidden="false" customHeight="false" outlineLevel="0" collapsed="false">
      <c r="A102" s="23"/>
      <c r="B102" s="26"/>
      <c r="C102" s="26"/>
      <c r="D102" s="26"/>
      <c r="E102" s="41"/>
      <c r="F102" s="41"/>
      <c r="G102" s="26"/>
      <c r="H102" s="26"/>
      <c r="I102" s="26"/>
      <c r="J102" s="26"/>
      <c r="K102" s="26"/>
      <c r="L102" s="28" t="str">
        <f aca="false">IF(A102="","",IF(COUNTIF(取引先マスタ!$A$5:$A$204,A102)&gt;1,"コード重複",""))</f>
        <v/>
      </c>
    </row>
    <row r="103" customFormat="false" ht="15" hidden="false" customHeight="false" outlineLevel="0" collapsed="false">
      <c r="A103" s="23"/>
      <c r="B103" s="26"/>
      <c r="C103" s="26"/>
      <c r="D103" s="26"/>
      <c r="E103" s="41"/>
      <c r="F103" s="41"/>
      <c r="G103" s="26"/>
      <c r="H103" s="26"/>
      <c r="I103" s="26"/>
      <c r="J103" s="26"/>
      <c r="K103" s="26"/>
      <c r="L103" s="28" t="str">
        <f aca="false">IF(A103="","",IF(COUNTIF(取引先マスタ!$A$5:$A$204,A103)&gt;1,"コード重複",""))</f>
        <v/>
      </c>
    </row>
    <row r="104" customFormat="false" ht="15" hidden="false" customHeight="false" outlineLevel="0" collapsed="false">
      <c r="A104" s="23"/>
      <c r="B104" s="26"/>
      <c r="C104" s="26"/>
      <c r="D104" s="26"/>
      <c r="E104" s="41"/>
      <c r="F104" s="41"/>
      <c r="G104" s="26"/>
      <c r="H104" s="26"/>
      <c r="I104" s="26"/>
      <c r="J104" s="26"/>
      <c r="K104" s="26"/>
      <c r="L104" s="28" t="str">
        <f aca="false">IF(A104="","",IF(COUNTIF(取引先マスタ!$A$5:$A$204,A104)&gt;1,"コード重複",""))</f>
        <v/>
      </c>
    </row>
    <row r="105" customFormat="false" ht="15" hidden="false" customHeight="false" outlineLevel="0" collapsed="false">
      <c r="A105" s="23"/>
      <c r="B105" s="26"/>
      <c r="C105" s="26"/>
      <c r="D105" s="26"/>
      <c r="E105" s="41"/>
      <c r="F105" s="41"/>
      <c r="G105" s="26"/>
      <c r="H105" s="26"/>
      <c r="I105" s="26"/>
      <c r="J105" s="26"/>
      <c r="K105" s="26"/>
      <c r="L105" s="28" t="str">
        <f aca="false">IF(A105="","",IF(COUNTIF(取引先マスタ!$A$5:$A$204,A105)&gt;1,"コード重複",""))</f>
        <v/>
      </c>
    </row>
    <row r="106" customFormat="false" ht="15" hidden="false" customHeight="false" outlineLevel="0" collapsed="false">
      <c r="A106" s="23"/>
      <c r="B106" s="26"/>
      <c r="C106" s="26"/>
      <c r="D106" s="26"/>
      <c r="E106" s="41"/>
      <c r="F106" s="41"/>
      <c r="G106" s="26"/>
      <c r="H106" s="26"/>
      <c r="I106" s="26"/>
      <c r="J106" s="26"/>
      <c r="K106" s="26"/>
      <c r="L106" s="28" t="str">
        <f aca="false">IF(A106="","",IF(COUNTIF(取引先マスタ!$A$5:$A$204,A106)&gt;1,"コード重複",""))</f>
        <v/>
      </c>
    </row>
    <row r="107" customFormat="false" ht="15" hidden="false" customHeight="false" outlineLevel="0" collapsed="false">
      <c r="A107" s="23"/>
      <c r="B107" s="26"/>
      <c r="C107" s="26"/>
      <c r="D107" s="26"/>
      <c r="E107" s="41"/>
      <c r="F107" s="41"/>
      <c r="G107" s="26"/>
      <c r="H107" s="26"/>
      <c r="I107" s="26"/>
      <c r="J107" s="26"/>
      <c r="K107" s="26"/>
      <c r="L107" s="28" t="str">
        <f aca="false">IF(A107="","",IF(COUNTIF(取引先マスタ!$A$5:$A$204,A107)&gt;1,"コード重複",""))</f>
        <v/>
      </c>
    </row>
    <row r="108" customFormat="false" ht="15" hidden="false" customHeight="false" outlineLevel="0" collapsed="false">
      <c r="A108" s="23"/>
      <c r="B108" s="26"/>
      <c r="C108" s="26"/>
      <c r="D108" s="26"/>
      <c r="E108" s="41"/>
      <c r="F108" s="41"/>
      <c r="G108" s="26"/>
      <c r="H108" s="26"/>
      <c r="I108" s="26"/>
      <c r="J108" s="26"/>
      <c r="K108" s="26"/>
      <c r="L108" s="28" t="str">
        <f aca="false">IF(A108="","",IF(COUNTIF(取引先マスタ!$A$5:$A$204,A108)&gt;1,"コード重複",""))</f>
        <v/>
      </c>
    </row>
    <row r="109" customFormat="false" ht="15" hidden="false" customHeight="false" outlineLevel="0" collapsed="false">
      <c r="A109" s="23"/>
      <c r="B109" s="26"/>
      <c r="C109" s="26"/>
      <c r="D109" s="26"/>
      <c r="E109" s="41"/>
      <c r="F109" s="41"/>
      <c r="G109" s="26"/>
      <c r="H109" s="26"/>
      <c r="I109" s="26"/>
      <c r="J109" s="26"/>
      <c r="K109" s="26"/>
      <c r="L109" s="28" t="str">
        <f aca="false">IF(A109="","",IF(COUNTIF(取引先マスタ!$A$5:$A$204,A109)&gt;1,"コード重複",""))</f>
        <v/>
      </c>
    </row>
    <row r="110" customFormat="false" ht="15" hidden="false" customHeight="false" outlineLevel="0" collapsed="false">
      <c r="A110" s="23"/>
      <c r="B110" s="26"/>
      <c r="C110" s="26"/>
      <c r="D110" s="26"/>
      <c r="E110" s="41"/>
      <c r="F110" s="41"/>
      <c r="G110" s="26"/>
      <c r="H110" s="26"/>
      <c r="I110" s="26"/>
      <c r="J110" s="26"/>
      <c r="K110" s="26"/>
      <c r="L110" s="28" t="str">
        <f aca="false">IF(A110="","",IF(COUNTIF(取引先マスタ!$A$5:$A$204,A110)&gt;1,"コード重複",""))</f>
        <v/>
      </c>
    </row>
    <row r="111" customFormat="false" ht="15" hidden="false" customHeight="false" outlineLevel="0" collapsed="false">
      <c r="A111" s="23"/>
      <c r="B111" s="26"/>
      <c r="C111" s="26"/>
      <c r="D111" s="26"/>
      <c r="E111" s="41"/>
      <c r="F111" s="41"/>
      <c r="G111" s="26"/>
      <c r="H111" s="26"/>
      <c r="I111" s="26"/>
      <c r="J111" s="26"/>
      <c r="K111" s="26"/>
      <c r="L111" s="28" t="str">
        <f aca="false">IF(A111="","",IF(COUNTIF(取引先マスタ!$A$5:$A$204,A111)&gt;1,"コード重複",""))</f>
        <v/>
      </c>
    </row>
    <row r="112" customFormat="false" ht="15" hidden="false" customHeight="false" outlineLevel="0" collapsed="false">
      <c r="A112" s="23"/>
      <c r="B112" s="26"/>
      <c r="C112" s="26"/>
      <c r="D112" s="26"/>
      <c r="E112" s="41"/>
      <c r="F112" s="41"/>
      <c r="G112" s="26"/>
      <c r="H112" s="26"/>
      <c r="I112" s="26"/>
      <c r="J112" s="26"/>
      <c r="K112" s="26"/>
      <c r="L112" s="28" t="str">
        <f aca="false">IF(A112="","",IF(COUNTIF(取引先マスタ!$A$5:$A$204,A112)&gt;1,"コード重複",""))</f>
        <v/>
      </c>
    </row>
    <row r="113" customFormat="false" ht="15" hidden="false" customHeight="false" outlineLevel="0" collapsed="false">
      <c r="A113" s="23"/>
      <c r="B113" s="26"/>
      <c r="C113" s="26"/>
      <c r="D113" s="26"/>
      <c r="E113" s="41"/>
      <c r="F113" s="41"/>
      <c r="G113" s="26"/>
      <c r="H113" s="26"/>
      <c r="I113" s="26"/>
      <c r="J113" s="26"/>
      <c r="K113" s="26"/>
      <c r="L113" s="28" t="str">
        <f aca="false">IF(A113="","",IF(COUNTIF(取引先マスタ!$A$5:$A$204,A113)&gt;1,"コード重複",""))</f>
        <v/>
      </c>
    </row>
    <row r="114" customFormat="false" ht="15" hidden="false" customHeight="false" outlineLevel="0" collapsed="false">
      <c r="A114" s="23"/>
      <c r="B114" s="26"/>
      <c r="C114" s="26"/>
      <c r="D114" s="26"/>
      <c r="E114" s="41"/>
      <c r="F114" s="41"/>
      <c r="G114" s="26"/>
      <c r="H114" s="26"/>
      <c r="I114" s="26"/>
      <c r="J114" s="26"/>
      <c r="K114" s="26"/>
      <c r="L114" s="28" t="str">
        <f aca="false">IF(A114="","",IF(COUNTIF(取引先マスタ!$A$5:$A$204,A114)&gt;1,"コード重複",""))</f>
        <v/>
      </c>
    </row>
    <row r="115" customFormat="false" ht="15" hidden="false" customHeight="false" outlineLevel="0" collapsed="false">
      <c r="A115" s="23"/>
      <c r="B115" s="26"/>
      <c r="C115" s="26"/>
      <c r="D115" s="26"/>
      <c r="E115" s="41"/>
      <c r="F115" s="41"/>
      <c r="G115" s="26"/>
      <c r="H115" s="26"/>
      <c r="I115" s="26"/>
      <c r="J115" s="26"/>
      <c r="K115" s="26"/>
      <c r="L115" s="28" t="str">
        <f aca="false">IF(A115="","",IF(COUNTIF(取引先マスタ!$A$5:$A$204,A115)&gt;1,"コード重複",""))</f>
        <v/>
      </c>
    </row>
    <row r="116" customFormat="false" ht="15" hidden="false" customHeight="false" outlineLevel="0" collapsed="false">
      <c r="A116" s="23"/>
      <c r="B116" s="26"/>
      <c r="C116" s="26"/>
      <c r="D116" s="26"/>
      <c r="E116" s="41"/>
      <c r="F116" s="41"/>
      <c r="G116" s="26"/>
      <c r="H116" s="26"/>
      <c r="I116" s="26"/>
      <c r="J116" s="26"/>
      <c r="K116" s="26"/>
      <c r="L116" s="28" t="str">
        <f aca="false">IF(A116="","",IF(COUNTIF(取引先マスタ!$A$5:$A$204,A116)&gt;1,"コード重複",""))</f>
        <v/>
      </c>
    </row>
    <row r="117" customFormat="false" ht="15" hidden="false" customHeight="false" outlineLevel="0" collapsed="false">
      <c r="A117" s="23"/>
      <c r="B117" s="26"/>
      <c r="C117" s="26"/>
      <c r="D117" s="26"/>
      <c r="E117" s="41"/>
      <c r="F117" s="41"/>
      <c r="G117" s="26"/>
      <c r="H117" s="26"/>
      <c r="I117" s="26"/>
      <c r="J117" s="26"/>
      <c r="K117" s="26"/>
      <c r="L117" s="28" t="str">
        <f aca="false">IF(A117="","",IF(COUNTIF(取引先マスタ!$A$5:$A$204,A117)&gt;1,"コード重複",""))</f>
        <v/>
      </c>
    </row>
    <row r="118" customFormat="false" ht="15" hidden="false" customHeight="false" outlineLevel="0" collapsed="false">
      <c r="A118" s="23"/>
      <c r="B118" s="26"/>
      <c r="C118" s="26"/>
      <c r="D118" s="26"/>
      <c r="E118" s="41"/>
      <c r="F118" s="41"/>
      <c r="G118" s="26"/>
      <c r="H118" s="26"/>
      <c r="I118" s="26"/>
      <c r="J118" s="26"/>
      <c r="K118" s="26"/>
      <c r="L118" s="28" t="str">
        <f aca="false">IF(A118="","",IF(COUNTIF(取引先マスタ!$A$5:$A$204,A118)&gt;1,"コード重複",""))</f>
        <v/>
      </c>
    </row>
    <row r="119" customFormat="false" ht="15" hidden="false" customHeight="false" outlineLevel="0" collapsed="false">
      <c r="A119" s="23"/>
      <c r="B119" s="26"/>
      <c r="C119" s="26"/>
      <c r="D119" s="26"/>
      <c r="E119" s="41"/>
      <c r="F119" s="41"/>
      <c r="G119" s="26"/>
      <c r="H119" s="26"/>
      <c r="I119" s="26"/>
      <c r="J119" s="26"/>
      <c r="K119" s="26"/>
      <c r="L119" s="28" t="str">
        <f aca="false">IF(A119="","",IF(COUNTIF(取引先マスタ!$A$5:$A$204,A119)&gt;1,"コード重複",""))</f>
        <v/>
      </c>
    </row>
    <row r="120" customFormat="false" ht="15" hidden="false" customHeight="false" outlineLevel="0" collapsed="false">
      <c r="A120" s="23"/>
      <c r="B120" s="26"/>
      <c r="C120" s="26"/>
      <c r="D120" s="26"/>
      <c r="E120" s="41"/>
      <c r="F120" s="41"/>
      <c r="G120" s="26"/>
      <c r="H120" s="26"/>
      <c r="I120" s="26"/>
      <c r="J120" s="26"/>
      <c r="K120" s="26"/>
      <c r="L120" s="28" t="str">
        <f aca="false">IF(A120="","",IF(COUNTIF(取引先マスタ!$A$5:$A$204,A120)&gt;1,"コード重複",""))</f>
        <v/>
      </c>
    </row>
    <row r="121" customFormat="false" ht="15" hidden="false" customHeight="false" outlineLevel="0" collapsed="false">
      <c r="A121" s="23"/>
      <c r="B121" s="26"/>
      <c r="C121" s="26"/>
      <c r="D121" s="26"/>
      <c r="E121" s="41"/>
      <c r="F121" s="41"/>
      <c r="G121" s="26"/>
      <c r="H121" s="26"/>
      <c r="I121" s="26"/>
      <c r="J121" s="26"/>
      <c r="K121" s="26"/>
      <c r="L121" s="28" t="str">
        <f aca="false">IF(A121="","",IF(COUNTIF(取引先マスタ!$A$5:$A$204,A121)&gt;1,"コード重複",""))</f>
        <v/>
      </c>
    </row>
    <row r="122" customFormat="false" ht="15" hidden="false" customHeight="false" outlineLevel="0" collapsed="false">
      <c r="A122" s="23"/>
      <c r="B122" s="26"/>
      <c r="C122" s="26"/>
      <c r="D122" s="26"/>
      <c r="E122" s="41"/>
      <c r="F122" s="41"/>
      <c r="G122" s="26"/>
      <c r="H122" s="26"/>
      <c r="I122" s="26"/>
      <c r="J122" s="26"/>
      <c r="K122" s="26"/>
      <c r="L122" s="28" t="str">
        <f aca="false">IF(A122="","",IF(COUNTIF(取引先マスタ!$A$5:$A$204,A122)&gt;1,"コード重複",""))</f>
        <v/>
      </c>
    </row>
    <row r="123" customFormat="false" ht="15" hidden="false" customHeight="false" outlineLevel="0" collapsed="false">
      <c r="A123" s="23"/>
      <c r="B123" s="26"/>
      <c r="C123" s="26"/>
      <c r="D123" s="26"/>
      <c r="E123" s="41"/>
      <c r="F123" s="41"/>
      <c r="G123" s="26"/>
      <c r="H123" s="26"/>
      <c r="I123" s="26"/>
      <c r="J123" s="26"/>
      <c r="K123" s="26"/>
      <c r="L123" s="28" t="str">
        <f aca="false">IF(A123="","",IF(COUNTIF(取引先マスタ!$A$5:$A$204,A123)&gt;1,"コード重複",""))</f>
        <v/>
      </c>
    </row>
    <row r="124" customFormat="false" ht="15" hidden="false" customHeight="false" outlineLevel="0" collapsed="false">
      <c r="A124" s="23"/>
      <c r="B124" s="26"/>
      <c r="C124" s="26"/>
      <c r="D124" s="26"/>
      <c r="E124" s="41"/>
      <c r="F124" s="41"/>
      <c r="G124" s="26"/>
      <c r="H124" s="26"/>
      <c r="I124" s="26"/>
      <c r="J124" s="26"/>
      <c r="K124" s="26"/>
      <c r="L124" s="28" t="str">
        <f aca="false">IF(A124="","",IF(COUNTIF(取引先マスタ!$A$5:$A$204,A124)&gt;1,"コード重複",""))</f>
        <v/>
      </c>
    </row>
    <row r="125" customFormat="false" ht="15" hidden="false" customHeight="false" outlineLevel="0" collapsed="false">
      <c r="A125" s="23"/>
      <c r="B125" s="26"/>
      <c r="C125" s="26"/>
      <c r="D125" s="26"/>
      <c r="E125" s="41"/>
      <c r="F125" s="41"/>
      <c r="G125" s="26"/>
      <c r="H125" s="26"/>
      <c r="I125" s="26"/>
      <c r="J125" s="26"/>
      <c r="K125" s="26"/>
      <c r="L125" s="28" t="str">
        <f aca="false">IF(A125="","",IF(COUNTIF(取引先マスタ!$A$5:$A$204,A125)&gt;1,"コード重複",""))</f>
        <v/>
      </c>
    </row>
    <row r="126" customFormat="false" ht="15" hidden="false" customHeight="false" outlineLevel="0" collapsed="false">
      <c r="A126" s="23"/>
      <c r="B126" s="26"/>
      <c r="C126" s="26"/>
      <c r="D126" s="26"/>
      <c r="E126" s="41"/>
      <c r="F126" s="41"/>
      <c r="G126" s="26"/>
      <c r="H126" s="26"/>
      <c r="I126" s="26"/>
      <c r="J126" s="26"/>
      <c r="K126" s="26"/>
      <c r="L126" s="28" t="str">
        <f aca="false">IF(A126="","",IF(COUNTIF(取引先マスタ!$A$5:$A$204,A126)&gt;1,"コード重複",""))</f>
        <v/>
      </c>
    </row>
    <row r="127" customFormat="false" ht="15" hidden="false" customHeight="false" outlineLevel="0" collapsed="false">
      <c r="A127" s="23"/>
      <c r="B127" s="26"/>
      <c r="C127" s="26"/>
      <c r="D127" s="26"/>
      <c r="E127" s="41"/>
      <c r="F127" s="41"/>
      <c r="G127" s="26"/>
      <c r="H127" s="26"/>
      <c r="I127" s="26"/>
      <c r="J127" s="26"/>
      <c r="K127" s="26"/>
      <c r="L127" s="28" t="str">
        <f aca="false">IF(A127="","",IF(COUNTIF(取引先マスタ!$A$5:$A$204,A127)&gt;1,"コード重複",""))</f>
        <v/>
      </c>
    </row>
    <row r="128" customFormat="false" ht="15" hidden="false" customHeight="false" outlineLevel="0" collapsed="false">
      <c r="A128" s="23"/>
      <c r="B128" s="26"/>
      <c r="C128" s="26"/>
      <c r="D128" s="26"/>
      <c r="E128" s="41"/>
      <c r="F128" s="41"/>
      <c r="G128" s="26"/>
      <c r="H128" s="26"/>
      <c r="I128" s="26"/>
      <c r="J128" s="26"/>
      <c r="K128" s="26"/>
      <c r="L128" s="28" t="str">
        <f aca="false">IF(A128="","",IF(COUNTIF(取引先マスタ!$A$5:$A$204,A128)&gt;1,"コード重複",""))</f>
        <v/>
      </c>
    </row>
    <row r="129" customFormat="false" ht="15" hidden="false" customHeight="false" outlineLevel="0" collapsed="false">
      <c r="A129" s="23"/>
      <c r="B129" s="26"/>
      <c r="C129" s="26"/>
      <c r="D129" s="26"/>
      <c r="E129" s="41"/>
      <c r="F129" s="41"/>
      <c r="G129" s="26"/>
      <c r="H129" s="26"/>
      <c r="I129" s="26"/>
      <c r="J129" s="26"/>
      <c r="K129" s="26"/>
      <c r="L129" s="28" t="str">
        <f aca="false">IF(A129="","",IF(COUNTIF(取引先マスタ!$A$5:$A$204,A129)&gt;1,"コード重複",""))</f>
        <v/>
      </c>
    </row>
    <row r="130" customFormat="false" ht="15" hidden="false" customHeight="false" outlineLevel="0" collapsed="false">
      <c r="A130" s="23"/>
      <c r="B130" s="26"/>
      <c r="C130" s="26"/>
      <c r="D130" s="26"/>
      <c r="E130" s="41"/>
      <c r="F130" s="41"/>
      <c r="G130" s="26"/>
      <c r="H130" s="26"/>
      <c r="I130" s="26"/>
      <c r="J130" s="26"/>
      <c r="K130" s="26"/>
      <c r="L130" s="28" t="str">
        <f aca="false">IF(A130="","",IF(COUNTIF(取引先マスタ!$A$5:$A$204,A130)&gt;1,"コード重複",""))</f>
        <v/>
      </c>
    </row>
    <row r="131" customFormat="false" ht="15" hidden="false" customHeight="false" outlineLevel="0" collapsed="false">
      <c r="A131" s="23"/>
      <c r="B131" s="26"/>
      <c r="C131" s="26"/>
      <c r="D131" s="26"/>
      <c r="E131" s="41"/>
      <c r="F131" s="41"/>
      <c r="G131" s="26"/>
      <c r="H131" s="26"/>
      <c r="I131" s="26"/>
      <c r="J131" s="26"/>
      <c r="K131" s="26"/>
      <c r="L131" s="28" t="str">
        <f aca="false">IF(A131="","",IF(COUNTIF(取引先マスタ!$A$5:$A$204,A131)&gt;1,"コード重複",""))</f>
        <v/>
      </c>
    </row>
    <row r="132" customFormat="false" ht="15" hidden="false" customHeight="false" outlineLevel="0" collapsed="false">
      <c r="A132" s="23"/>
      <c r="B132" s="26"/>
      <c r="C132" s="26"/>
      <c r="D132" s="26"/>
      <c r="E132" s="41"/>
      <c r="F132" s="41"/>
      <c r="G132" s="26"/>
      <c r="H132" s="26"/>
      <c r="I132" s="26"/>
      <c r="J132" s="26"/>
      <c r="K132" s="26"/>
      <c r="L132" s="28" t="str">
        <f aca="false">IF(A132="","",IF(COUNTIF(取引先マスタ!$A$5:$A$204,A132)&gt;1,"コード重複",""))</f>
        <v/>
      </c>
    </row>
    <row r="133" customFormat="false" ht="15" hidden="false" customHeight="false" outlineLevel="0" collapsed="false">
      <c r="A133" s="23"/>
      <c r="B133" s="26"/>
      <c r="C133" s="26"/>
      <c r="D133" s="26"/>
      <c r="E133" s="41"/>
      <c r="F133" s="41"/>
      <c r="G133" s="26"/>
      <c r="H133" s="26"/>
      <c r="I133" s="26"/>
      <c r="J133" s="26"/>
      <c r="K133" s="26"/>
      <c r="L133" s="28" t="str">
        <f aca="false">IF(A133="","",IF(COUNTIF(取引先マスタ!$A$5:$A$204,A133)&gt;1,"コード重複",""))</f>
        <v/>
      </c>
    </row>
    <row r="134" customFormat="false" ht="15" hidden="false" customHeight="false" outlineLevel="0" collapsed="false">
      <c r="A134" s="23"/>
      <c r="B134" s="26"/>
      <c r="C134" s="26"/>
      <c r="D134" s="26"/>
      <c r="E134" s="41"/>
      <c r="F134" s="41"/>
      <c r="G134" s="26"/>
      <c r="H134" s="26"/>
      <c r="I134" s="26"/>
      <c r="J134" s="26"/>
      <c r="K134" s="26"/>
      <c r="L134" s="28" t="str">
        <f aca="false">IF(A134="","",IF(COUNTIF(取引先マスタ!$A$5:$A$204,A134)&gt;1,"コード重複",""))</f>
        <v/>
      </c>
    </row>
    <row r="135" customFormat="false" ht="15" hidden="false" customHeight="false" outlineLevel="0" collapsed="false">
      <c r="A135" s="23"/>
      <c r="B135" s="26"/>
      <c r="C135" s="26"/>
      <c r="D135" s="26"/>
      <c r="E135" s="41"/>
      <c r="F135" s="41"/>
      <c r="G135" s="26"/>
      <c r="H135" s="26"/>
      <c r="I135" s="26"/>
      <c r="J135" s="26"/>
      <c r="K135" s="26"/>
      <c r="L135" s="28" t="str">
        <f aca="false">IF(A135="","",IF(COUNTIF(取引先マスタ!$A$5:$A$204,A135)&gt;1,"コード重複",""))</f>
        <v/>
      </c>
    </row>
    <row r="136" customFormat="false" ht="15" hidden="false" customHeight="false" outlineLevel="0" collapsed="false">
      <c r="A136" s="23"/>
      <c r="B136" s="26"/>
      <c r="C136" s="26"/>
      <c r="D136" s="26"/>
      <c r="E136" s="41"/>
      <c r="F136" s="41"/>
      <c r="G136" s="26"/>
      <c r="H136" s="26"/>
      <c r="I136" s="26"/>
      <c r="J136" s="26"/>
      <c r="K136" s="26"/>
      <c r="L136" s="28" t="str">
        <f aca="false">IF(A136="","",IF(COUNTIF(取引先マスタ!$A$5:$A$204,A136)&gt;1,"コード重複",""))</f>
        <v/>
      </c>
    </row>
    <row r="137" customFormat="false" ht="15" hidden="false" customHeight="false" outlineLevel="0" collapsed="false">
      <c r="A137" s="23"/>
      <c r="B137" s="26"/>
      <c r="C137" s="26"/>
      <c r="D137" s="26"/>
      <c r="E137" s="41"/>
      <c r="F137" s="41"/>
      <c r="G137" s="26"/>
      <c r="H137" s="26"/>
      <c r="I137" s="26"/>
      <c r="J137" s="26"/>
      <c r="K137" s="26"/>
      <c r="L137" s="28" t="str">
        <f aca="false">IF(A137="","",IF(COUNTIF(取引先マスタ!$A$5:$A$204,A137)&gt;1,"コード重複",""))</f>
        <v/>
      </c>
    </row>
    <row r="138" customFormat="false" ht="15" hidden="false" customHeight="false" outlineLevel="0" collapsed="false">
      <c r="A138" s="23"/>
      <c r="B138" s="26"/>
      <c r="C138" s="26"/>
      <c r="D138" s="26"/>
      <c r="E138" s="41"/>
      <c r="F138" s="41"/>
      <c r="G138" s="26"/>
      <c r="H138" s="26"/>
      <c r="I138" s="26"/>
      <c r="J138" s="26"/>
      <c r="K138" s="26"/>
      <c r="L138" s="28" t="str">
        <f aca="false">IF(A138="","",IF(COUNTIF(取引先マスタ!$A$5:$A$204,A138)&gt;1,"コード重複",""))</f>
        <v/>
      </c>
    </row>
    <row r="139" customFormat="false" ht="15" hidden="false" customHeight="false" outlineLevel="0" collapsed="false">
      <c r="A139" s="23"/>
      <c r="B139" s="26"/>
      <c r="C139" s="26"/>
      <c r="D139" s="26"/>
      <c r="E139" s="41"/>
      <c r="F139" s="41"/>
      <c r="G139" s="26"/>
      <c r="H139" s="26"/>
      <c r="I139" s="26"/>
      <c r="J139" s="26"/>
      <c r="K139" s="26"/>
      <c r="L139" s="28" t="str">
        <f aca="false">IF(A139="","",IF(COUNTIF(取引先マスタ!$A$5:$A$204,A139)&gt;1,"コード重複",""))</f>
        <v/>
      </c>
    </row>
    <row r="140" customFormat="false" ht="15" hidden="false" customHeight="false" outlineLevel="0" collapsed="false">
      <c r="A140" s="23"/>
      <c r="B140" s="26"/>
      <c r="C140" s="26"/>
      <c r="D140" s="26"/>
      <c r="E140" s="41"/>
      <c r="F140" s="41"/>
      <c r="G140" s="26"/>
      <c r="H140" s="26"/>
      <c r="I140" s="26"/>
      <c r="J140" s="26"/>
      <c r="K140" s="26"/>
      <c r="L140" s="28" t="str">
        <f aca="false">IF(A140="","",IF(COUNTIF(取引先マスタ!$A$5:$A$204,A140)&gt;1,"コード重複",""))</f>
        <v/>
      </c>
    </row>
    <row r="141" customFormat="false" ht="15" hidden="false" customHeight="false" outlineLevel="0" collapsed="false">
      <c r="A141" s="23"/>
      <c r="B141" s="26"/>
      <c r="C141" s="26"/>
      <c r="D141" s="26"/>
      <c r="E141" s="41"/>
      <c r="F141" s="41"/>
      <c r="G141" s="26"/>
      <c r="H141" s="26"/>
      <c r="I141" s="26"/>
      <c r="J141" s="26"/>
      <c r="K141" s="26"/>
      <c r="L141" s="28" t="str">
        <f aca="false">IF(A141="","",IF(COUNTIF(取引先マスタ!$A$5:$A$204,A141)&gt;1,"コード重複",""))</f>
        <v/>
      </c>
    </row>
    <row r="142" customFormat="false" ht="15" hidden="false" customHeight="false" outlineLevel="0" collapsed="false">
      <c r="A142" s="23"/>
      <c r="B142" s="26"/>
      <c r="C142" s="26"/>
      <c r="D142" s="26"/>
      <c r="E142" s="41"/>
      <c r="F142" s="41"/>
      <c r="G142" s="26"/>
      <c r="H142" s="26"/>
      <c r="I142" s="26"/>
      <c r="J142" s="26"/>
      <c r="K142" s="26"/>
      <c r="L142" s="28" t="str">
        <f aca="false">IF(A142="","",IF(COUNTIF(取引先マスタ!$A$5:$A$204,A142)&gt;1,"コード重複",""))</f>
        <v/>
      </c>
    </row>
    <row r="143" customFormat="false" ht="15" hidden="false" customHeight="false" outlineLevel="0" collapsed="false">
      <c r="A143" s="23"/>
      <c r="B143" s="26"/>
      <c r="C143" s="26"/>
      <c r="D143" s="26"/>
      <c r="E143" s="41"/>
      <c r="F143" s="41"/>
      <c r="G143" s="26"/>
      <c r="H143" s="26"/>
      <c r="I143" s="26"/>
      <c r="J143" s="26"/>
      <c r="K143" s="26"/>
      <c r="L143" s="28" t="str">
        <f aca="false">IF(A143="","",IF(COUNTIF(取引先マスタ!$A$5:$A$204,A143)&gt;1,"コード重複",""))</f>
        <v/>
      </c>
    </row>
    <row r="144" customFormat="false" ht="15" hidden="false" customHeight="false" outlineLevel="0" collapsed="false">
      <c r="A144" s="23"/>
      <c r="B144" s="26"/>
      <c r="C144" s="26"/>
      <c r="D144" s="26"/>
      <c r="E144" s="41"/>
      <c r="F144" s="41"/>
      <c r="G144" s="26"/>
      <c r="H144" s="26"/>
      <c r="I144" s="26"/>
      <c r="J144" s="26"/>
      <c r="K144" s="26"/>
      <c r="L144" s="28" t="str">
        <f aca="false">IF(A144="","",IF(COUNTIF(取引先マスタ!$A$5:$A$204,A144)&gt;1,"コード重複",""))</f>
        <v/>
      </c>
    </row>
    <row r="145" customFormat="false" ht="15" hidden="false" customHeight="false" outlineLevel="0" collapsed="false">
      <c r="A145" s="23"/>
      <c r="B145" s="26"/>
      <c r="C145" s="26"/>
      <c r="D145" s="26"/>
      <c r="E145" s="41"/>
      <c r="F145" s="41"/>
      <c r="G145" s="26"/>
      <c r="H145" s="26"/>
      <c r="I145" s="26"/>
      <c r="J145" s="26"/>
      <c r="K145" s="26"/>
      <c r="L145" s="28" t="str">
        <f aca="false">IF(A145="","",IF(COUNTIF(取引先マスタ!$A$5:$A$204,A145)&gt;1,"コード重複",""))</f>
        <v/>
      </c>
    </row>
    <row r="146" customFormat="false" ht="15" hidden="false" customHeight="false" outlineLevel="0" collapsed="false">
      <c r="A146" s="23"/>
      <c r="B146" s="26"/>
      <c r="C146" s="26"/>
      <c r="D146" s="26"/>
      <c r="E146" s="41"/>
      <c r="F146" s="41"/>
      <c r="G146" s="26"/>
      <c r="H146" s="26"/>
      <c r="I146" s="26"/>
      <c r="J146" s="26"/>
      <c r="K146" s="26"/>
      <c r="L146" s="28" t="str">
        <f aca="false">IF(A146="","",IF(COUNTIF(取引先マスタ!$A$5:$A$204,A146)&gt;1,"コード重複",""))</f>
        <v/>
      </c>
    </row>
    <row r="147" customFormat="false" ht="15" hidden="false" customHeight="false" outlineLevel="0" collapsed="false">
      <c r="A147" s="23"/>
      <c r="B147" s="26"/>
      <c r="C147" s="26"/>
      <c r="D147" s="26"/>
      <c r="E147" s="41"/>
      <c r="F147" s="41"/>
      <c r="G147" s="26"/>
      <c r="H147" s="26"/>
      <c r="I147" s="26"/>
      <c r="J147" s="26"/>
      <c r="K147" s="26"/>
      <c r="L147" s="28" t="str">
        <f aca="false">IF(A147="","",IF(COUNTIF(取引先マスタ!$A$5:$A$204,A147)&gt;1,"コード重複",""))</f>
        <v/>
      </c>
    </row>
    <row r="148" customFormat="false" ht="15" hidden="false" customHeight="false" outlineLevel="0" collapsed="false">
      <c r="A148" s="23"/>
      <c r="B148" s="26"/>
      <c r="C148" s="26"/>
      <c r="D148" s="26"/>
      <c r="E148" s="41"/>
      <c r="F148" s="41"/>
      <c r="G148" s="26"/>
      <c r="H148" s="26"/>
      <c r="I148" s="26"/>
      <c r="J148" s="26"/>
      <c r="K148" s="26"/>
      <c r="L148" s="28" t="str">
        <f aca="false">IF(A148="","",IF(COUNTIF(取引先マスタ!$A$5:$A$204,A148)&gt;1,"コード重複",""))</f>
        <v/>
      </c>
    </row>
    <row r="149" customFormat="false" ht="15" hidden="false" customHeight="false" outlineLevel="0" collapsed="false">
      <c r="A149" s="23"/>
      <c r="B149" s="26"/>
      <c r="C149" s="26"/>
      <c r="D149" s="26"/>
      <c r="E149" s="41"/>
      <c r="F149" s="41"/>
      <c r="G149" s="26"/>
      <c r="H149" s="26"/>
      <c r="I149" s="26"/>
      <c r="J149" s="26"/>
      <c r="K149" s="26"/>
      <c r="L149" s="28" t="str">
        <f aca="false">IF(A149="","",IF(COUNTIF(取引先マスタ!$A$5:$A$204,A149)&gt;1,"コード重複",""))</f>
        <v/>
      </c>
    </row>
    <row r="150" customFormat="false" ht="15" hidden="false" customHeight="false" outlineLevel="0" collapsed="false">
      <c r="A150" s="23"/>
      <c r="B150" s="26"/>
      <c r="C150" s="26"/>
      <c r="D150" s="26"/>
      <c r="E150" s="41"/>
      <c r="F150" s="41"/>
      <c r="G150" s="26"/>
      <c r="H150" s="26"/>
      <c r="I150" s="26"/>
      <c r="J150" s="26"/>
      <c r="K150" s="26"/>
      <c r="L150" s="28" t="str">
        <f aca="false">IF(A150="","",IF(COUNTIF(取引先マスタ!$A$5:$A$204,A150)&gt;1,"コード重複",""))</f>
        <v/>
      </c>
    </row>
    <row r="151" customFormat="false" ht="15" hidden="false" customHeight="false" outlineLevel="0" collapsed="false">
      <c r="A151" s="23"/>
      <c r="B151" s="26"/>
      <c r="C151" s="26"/>
      <c r="D151" s="26"/>
      <c r="E151" s="41"/>
      <c r="F151" s="41"/>
      <c r="G151" s="26"/>
      <c r="H151" s="26"/>
      <c r="I151" s="26"/>
      <c r="J151" s="26"/>
      <c r="K151" s="26"/>
      <c r="L151" s="28" t="str">
        <f aca="false">IF(A151="","",IF(COUNTIF(取引先マスタ!$A$5:$A$204,A151)&gt;1,"コード重複",""))</f>
        <v/>
      </c>
    </row>
    <row r="152" customFormat="false" ht="15" hidden="false" customHeight="false" outlineLevel="0" collapsed="false">
      <c r="A152" s="23"/>
      <c r="B152" s="26"/>
      <c r="C152" s="26"/>
      <c r="D152" s="26"/>
      <c r="E152" s="41"/>
      <c r="F152" s="41"/>
      <c r="G152" s="26"/>
      <c r="H152" s="26"/>
      <c r="I152" s="26"/>
      <c r="J152" s="26"/>
      <c r="K152" s="26"/>
      <c r="L152" s="28" t="str">
        <f aca="false">IF(A152="","",IF(COUNTIF(取引先マスタ!$A$5:$A$204,A152)&gt;1,"コード重複",""))</f>
        <v/>
      </c>
    </row>
    <row r="153" customFormat="false" ht="15" hidden="false" customHeight="false" outlineLevel="0" collapsed="false">
      <c r="A153" s="23"/>
      <c r="B153" s="26"/>
      <c r="C153" s="26"/>
      <c r="D153" s="26"/>
      <c r="E153" s="41"/>
      <c r="F153" s="41"/>
      <c r="G153" s="26"/>
      <c r="H153" s="26"/>
      <c r="I153" s="26"/>
      <c r="J153" s="26"/>
      <c r="K153" s="26"/>
      <c r="L153" s="28" t="str">
        <f aca="false">IF(A153="","",IF(COUNTIF(取引先マスタ!$A$5:$A$204,A153)&gt;1,"コード重複",""))</f>
        <v/>
      </c>
    </row>
    <row r="154" customFormat="false" ht="15" hidden="false" customHeight="false" outlineLevel="0" collapsed="false">
      <c r="A154" s="23"/>
      <c r="B154" s="26"/>
      <c r="C154" s="26"/>
      <c r="D154" s="26"/>
      <c r="E154" s="41"/>
      <c r="F154" s="41"/>
      <c r="G154" s="26"/>
      <c r="H154" s="26"/>
      <c r="I154" s="26"/>
      <c r="J154" s="26"/>
      <c r="K154" s="26"/>
      <c r="L154" s="28" t="str">
        <f aca="false">IF(A154="","",IF(COUNTIF(取引先マスタ!$A$5:$A$204,A154)&gt;1,"コード重複",""))</f>
        <v/>
      </c>
    </row>
    <row r="155" customFormat="false" ht="15" hidden="false" customHeight="false" outlineLevel="0" collapsed="false">
      <c r="A155" s="23"/>
      <c r="B155" s="26"/>
      <c r="C155" s="26"/>
      <c r="D155" s="26"/>
      <c r="E155" s="41"/>
      <c r="F155" s="41"/>
      <c r="G155" s="26"/>
      <c r="H155" s="26"/>
      <c r="I155" s="26"/>
      <c r="J155" s="26"/>
      <c r="K155" s="26"/>
      <c r="L155" s="28" t="str">
        <f aca="false">IF(A155="","",IF(COUNTIF(取引先マスタ!$A$5:$A$204,A155)&gt;1,"コード重複",""))</f>
        <v/>
      </c>
    </row>
    <row r="156" customFormat="false" ht="15" hidden="false" customHeight="false" outlineLevel="0" collapsed="false">
      <c r="A156" s="23"/>
      <c r="B156" s="26"/>
      <c r="C156" s="26"/>
      <c r="D156" s="26"/>
      <c r="E156" s="41"/>
      <c r="F156" s="41"/>
      <c r="G156" s="26"/>
      <c r="H156" s="26"/>
      <c r="I156" s="26"/>
      <c r="J156" s="26"/>
      <c r="K156" s="26"/>
      <c r="L156" s="28" t="str">
        <f aca="false">IF(A156="","",IF(COUNTIF(取引先マスタ!$A$5:$A$204,A156)&gt;1,"コード重複",""))</f>
        <v/>
      </c>
    </row>
    <row r="157" customFormat="false" ht="15" hidden="false" customHeight="false" outlineLevel="0" collapsed="false">
      <c r="A157" s="23"/>
      <c r="B157" s="26"/>
      <c r="C157" s="26"/>
      <c r="D157" s="26"/>
      <c r="E157" s="41"/>
      <c r="F157" s="41"/>
      <c r="G157" s="26"/>
      <c r="H157" s="26"/>
      <c r="I157" s="26"/>
      <c r="J157" s="26"/>
      <c r="K157" s="26"/>
      <c r="L157" s="28" t="str">
        <f aca="false">IF(A157="","",IF(COUNTIF(取引先マスタ!$A$5:$A$204,A157)&gt;1,"コード重複",""))</f>
        <v/>
      </c>
    </row>
    <row r="158" customFormat="false" ht="15" hidden="false" customHeight="false" outlineLevel="0" collapsed="false">
      <c r="A158" s="23"/>
      <c r="B158" s="26"/>
      <c r="C158" s="26"/>
      <c r="D158" s="26"/>
      <c r="E158" s="41"/>
      <c r="F158" s="41"/>
      <c r="G158" s="26"/>
      <c r="H158" s="26"/>
      <c r="I158" s="26"/>
      <c r="J158" s="26"/>
      <c r="K158" s="26"/>
      <c r="L158" s="28" t="str">
        <f aca="false">IF(A158="","",IF(COUNTIF(取引先マスタ!$A$5:$A$204,A158)&gt;1,"コード重複",""))</f>
        <v/>
      </c>
    </row>
    <row r="159" customFormat="false" ht="15" hidden="false" customHeight="false" outlineLevel="0" collapsed="false">
      <c r="A159" s="23"/>
      <c r="B159" s="26"/>
      <c r="C159" s="26"/>
      <c r="D159" s="26"/>
      <c r="E159" s="41"/>
      <c r="F159" s="41"/>
      <c r="G159" s="26"/>
      <c r="H159" s="26"/>
      <c r="I159" s="26"/>
      <c r="J159" s="26"/>
      <c r="K159" s="26"/>
      <c r="L159" s="28" t="str">
        <f aca="false">IF(A159="","",IF(COUNTIF(取引先マスタ!$A$5:$A$204,A159)&gt;1,"コード重複",""))</f>
        <v/>
      </c>
    </row>
    <row r="160" customFormat="false" ht="15" hidden="false" customHeight="false" outlineLevel="0" collapsed="false">
      <c r="A160" s="23"/>
      <c r="B160" s="26"/>
      <c r="C160" s="26"/>
      <c r="D160" s="26"/>
      <c r="E160" s="41"/>
      <c r="F160" s="41"/>
      <c r="G160" s="26"/>
      <c r="H160" s="26"/>
      <c r="I160" s="26"/>
      <c r="J160" s="26"/>
      <c r="K160" s="26"/>
      <c r="L160" s="28" t="str">
        <f aca="false">IF(A160="","",IF(COUNTIF(取引先マスタ!$A$5:$A$204,A160)&gt;1,"コード重複",""))</f>
        <v/>
      </c>
    </row>
    <row r="161" customFormat="false" ht="15" hidden="false" customHeight="false" outlineLevel="0" collapsed="false">
      <c r="A161" s="23"/>
      <c r="B161" s="26"/>
      <c r="C161" s="26"/>
      <c r="D161" s="26"/>
      <c r="E161" s="41"/>
      <c r="F161" s="41"/>
      <c r="G161" s="26"/>
      <c r="H161" s="26"/>
      <c r="I161" s="26"/>
      <c r="J161" s="26"/>
      <c r="K161" s="26"/>
      <c r="L161" s="28" t="str">
        <f aca="false">IF(A161="","",IF(COUNTIF(取引先マスタ!$A$5:$A$204,A161)&gt;1,"コード重複",""))</f>
        <v/>
      </c>
    </row>
    <row r="162" customFormat="false" ht="15" hidden="false" customHeight="false" outlineLevel="0" collapsed="false">
      <c r="A162" s="23"/>
      <c r="B162" s="26"/>
      <c r="C162" s="26"/>
      <c r="D162" s="26"/>
      <c r="E162" s="41"/>
      <c r="F162" s="41"/>
      <c r="G162" s="26"/>
      <c r="H162" s="26"/>
      <c r="I162" s="26"/>
      <c r="J162" s="26"/>
      <c r="K162" s="26"/>
      <c r="L162" s="28" t="str">
        <f aca="false">IF(A162="","",IF(COUNTIF(取引先マスタ!$A$5:$A$204,A162)&gt;1,"コード重複",""))</f>
        <v/>
      </c>
    </row>
    <row r="163" customFormat="false" ht="15" hidden="false" customHeight="false" outlineLevel="0" collapsed="false">
      <c r="A163" s="23"/>
      <c r="B163" s="26"/>
      <c r="C163" s="26"/>
      <c r="D163" s="26"/>
      <c r="E163" s="41"/>
      <c r="F163" s="41"/>
      <c r="G163" s="26"/>
      <c r="H163" s="26"/>
      <c r="I163" s="26"/>
      <c r="J163" s="26"/>
      <c r="K163" s="26"/>
      <c r="L163" s="28" t="str">
        <f aca="false">IF(A163="","",IF(COUNTIF(取引先マスタ!$A$5:$A$204,A163)&gt;1,"コード重複",""))</f>
        <v/>
      </c>
    </row>
    <row r="164" customFormat="false" ht="15" hidden="false" customHeight="false" outlineLevel="0" collapsed="false">
      <c r="A164" s="23"/>
      <c r="B164" s="26"/>
      <c r="C164" s="26"/>
      <c r="D164" s="26"/>
      <c r="E164" s="41"/>
      <c r="F164" s="41"/>
      <c r="G164" s="26"/>
      <c r="H164" s="26"/>
      <c r="I164" s="26"/>
      <c r="J164" s="26"/>
      <c r="K164" s="26"/>
      <c r="L164" s="28" t="str">
        <f aca="false">IF(A164="","",IF(COUNTIF(取引先マスタ!$A$5:$A$204,A164)&gt;1,"コード重複",""))</f>
        <v/>
      </c>
    </row>
    <row r="165" customFormat="false" ht="15" hidden="false" customHeight="false" outlineLevel="0" collapsed="false">
      <c r="A165" s="23"/>
      <c r="B165" s="26"/>
      <c r="C165" s="26"/>
      <c r="D165" s="26"/>
      <c r="E165" s="41"/>
      <c r="F165" s="41"/>
      <c r="G165" s="26"/>
      <c r="H165" s="26"/>
      <c r="I165" s="26"/>
      <c r="J165" s="26"/>
      <c r="K165" s="26"/>
      <c r="L165" s="28" t="str">
        <f aca="false">IF(A165="","",IF(COUNTIF(取引先マスタ!$A$5:$A$204,A165)&gt;1,"コード重複",""))</f>
        <v/>
      </c>
    </row>
    <row r="166" customFormat="false" ht="15" hidden="false" customHeight="false" outlineLevel="0" collapsed="false">
      <c r="A166" s="23"/>
      <c r="B166" s="26"/>
      <c r="C166" s="26"/>
      <c r="D166" s="26"/>
      <c r="E166" s="41"/>
      <c r="F166" s="41"/>
      <c r="G166" s="26"/>
      <c r="H166" s="26"/>
      <c r="I166" s="26"/>
      <c r="J166" s="26"/>
      <c r="K166" s="26"/>
      <c r="L166" s="28" t="str">
        <f aca="false">IF(A166="","",IF(COUNTIF(取引先マスタ!$A$5:$A$204,A166)&gt;1,"コード重複",""))</f>
        <v/>
      </c>
    </row>
    <row r="167" customFormat="false" ht="15" hidden="false" customHeight="false" outlineLevel="0" collapsed="false">
      <c r="A167" s="23"/>
      <c r="B167" s="26"/>
      <c r="C167" s="26"/>
      <c r="D167" s="26"/>
      <c r="E167" s="41"/>
      <c r="F167" s="41"/>
      <c r="G167" s="26"/>
      <c r="H167" s="26"/>
      <c r="I167" s="26"/>
      <c r="J167" s="26"/>
      <c r="K167" s="26"/>
      <c r="L167" s="28" t="str">
        <f aca="false">IF(A167="","",IF(COUNTIF(取引先マスタ!$A$5:$A$204,A167)&gt;1,"コード重複",""))</f>
        <v/>
      </c>
    </row>
    <row r="168" customFormat="false" ht="15" hidden="false" customHeight="false" outlineLevel="0" collapsed="false">
      <c r="A168" s="23"/>
      <c r="B168" s="26"/>
      <c r="C168" s="26"/>
      <c r="D168" s="26"/>
      <c r="E168" s="41"/>
      <c r="F168" s="41"/>
      <c r="G168" s="26"/>
      <c r="H168" s="26"/>
      <c r="I168" s="26"/>
      <c r="J168" s="26"/>
      <c r="K168" s="26"/>
      <c r="L168" s="28" t="str">
        <f aca="false">IF(A168="","",IF(COUNTIF(取引先マスタ!$A$5:$A$204,A168)&gt;1,"コード重複",""))</f>
        <v/>
      </c>
    </row>
    <row r="169" customFormat="false" ht="15" hidden="false" customHeight="false" outlineLevel="0" collapsed="false">
      <c r="A169" s="23"/>
      <c r="B169" s="26"/>
      <c r="C169" s="26"/>
      <c r="D169" s="26"/>
      <c r="E169" s="41"/>
      <c r="F169" s="41"/>
      <c r="G169" s="26"/>
      <c r="H169" s="26"/>
      <c r="I169" s="26"/>
      <c r="J169" s="26"/>
      <c r="K169" s="26"/>
      <c r="L169" s="28" t="str">
        <f aca="false">IF(A169="","",IF(COUNTIF(取引先マスタ!$A$5:$A$204,A169)&gt;1,"コード重複",""))</f>
        <v/>
      </c>
    </row>
    <row r="170" customFormat="false" ht="15" hidden="false" customHeight="false" outlineLevel="0" collapsed="false">
      <c r="A170" s="23"/>
      <c r="B170" s="26"/>
      <c r="C170" s="26"/>
      <c r="D170" s="26"/>
      <c r="E170" s="41"/>
      <c r="F170" s="41"/>
      <c r="G170" s="26"/>
      <c r="H170" s="26"/>
      <c r="I170" s="26"/>
      <c r="J170" s="26"/>
      <c r="K170" s="26"/>
      <c r="L170" s="28" t="str">
        <f aca="false">IF(A170="","",IF(COUNTIF(取引先マスタ!$A$5:$A$204,A170)&gt;1,"コード重複",""))</f>
        <v/>
      </c>
    </row>
    <row r="171" customFormat="false" ht="15" hidden="false" customHeight="false" outlineLevel="0" collapsed="false">
      <c r="A171" s="23"/>
      <c r="B171" s="26"/>
      <c r="C171" s="26"/>
      <c r="D171" s="26"/>
      <c r="E171" s="41"/>
      <c r="F171" s="41"/>
      <c r="G171" s="26"/>
      <c r="H171" s="26"/>
      <c r="I171" s="26"/>
      <c r="J171" s="26"/>
      <c r="K171" s="26"/>
      <c r="L171" s="28" t="str">
        <f aca="false">IF(A171="","",IF(COUNTIF(取引先マスタ!$A$5:$A$204,A171)&gt;1,"コード重複",""))</f>
        <v/>
      </c>
    </row>
    <row r="172" customFormat="false" ht="15" hidden="false" customHeight="false" outlineLevel="0" collapsed="false">
      <c r="A172" s="23"/>
      <c r="B172" s="26"/>
      <c r="C172" s="26"/>
      <c r="D172" s="26"/>
      <c r="E172" s="41"/>
      <c r="F172" s="41"/>
      <c r="G172" s="26"/>
      <c r="H172" s="26"/>
      <c r="I172" s="26"/>
      <c r="J172" s="26"/>
      <c r="K172" s="26"/>
      <c r="L172" s="28" t="str">
        <f aca="false">IF(A172="","",IF(COUNTIF(取引先マスタ!$A$5:$A$204,A172)&gt;1,"コード重複",""))</f>
        <v/>
      </c>
    </row>
    <row r="173" customFormat="false" ht="15" hidden="false" customHeight="false" outlineLevel="0" collapsed="false">
      <c r="A173" s="23"/>
      <c r="B173" s="26"/>
      <c r="C173" s="26"/>
      <c r="D173" s="26"/>
      <c r="E173" s="41"/>
      <c r="F173" s="41"/>
      <c r="G173" s="26"/>
      <c r="H173" s="26"/>
      <c r="I173" s="26"/>
      <c r="J173" s="26"/>
      <c r="K173" s="26"/>
      <c r="L173" s="28" t="str">
        <f aca="false">IF(A173="","",IF(COUNTIF(取引先マスタ!$A$5:$A$204,A173)&gt;1,"コード重複",""))</f>
        <v/>
      </c>
    </row>
    <row r="174" customFormat="false" ht="15" hidden="false" customHeight="false" outlineLevel="0" collapsed="false">
      <c r="A174" s="23"/>
      <c r="B174" s="26"/>
      <c r="C174" s="26"/>
      <c r="D174" s="26"/>
      <c r="E174" s="41"/>
      <c r="F174" s="41"/>
      <c r="G174" s="26"/>
      <c r="H174" s="26"/>
      <c r="I174" s="26"/>
      <c r="J174" s="26"/>
      <c r="K174" s="26"/>
      <c r="L174" s="28" t="str">
        <f aca="false">IF(A174="","",IF(COUNTIF(取引先マスタ!$A$5:$A$204,A174)&gt;1,"コード重複",""))</f>
        <v/>
      </c>
    </row>
    <row r="175" customFormat="false" ht="15" hidden="false" customHeight="false" outlineLevel="0" collapsed="false">
      <c r="A175" s="23"/>
      <c r="B175" s="26"/>
      <c r="C175" s="26"/>
      <c r="D175" s="26"/>
      <c r="E175" s="41"/>
      <c r="F175" s="41"/>
      <c r="G175" s="26"/>
      <c r="H175" s="26"/>
      <c r="I175" s="26"/>
      <c r="J175" s="26"/>
      <c r="K175" s="26"/>
      <c r="L175" s="28" t="str">
        <f aca="false">IF(A175="","",IF(COUNTIF(取引先マスタ!$A$5:$A$204,A175)&gt;1,"コード重複",""))</f>
        <v/>
      </c>
    </row>
    <row r="176" customFormat="false" ht="15" hidden="false" customHeight="false" outlineLevel="0" collapsed="false">
      <c r="A176" s="23"/>
      <c r="B176" s="26"/>
      <c r="C176" s="26"/>
      <c r="D176" s="26"/>
      <c r="E176" s="41"/>
      <c r="F176" s="41"/>
      <c r="G176" s="26"/>
      <c r="H176" s="26"/>
      <c r="I176" s="26"/>
      <c r="J176" s="26"/>
      <c r="K176" s="26"/>
      <c r="L176" s="28" t="str">
        <f aca="false">IF(A176="","",IF(COUNTIF(取引先マスタ!$A$5:$A$204,A176)&gt;1,"コード重複",""))</f>
        <v/>
      </c>
    </row>
    <row r="177" customFormat="false" ht="15" hidden="false" customHeight="false" outlineLevel="0" collapsed="false">
      <c r="A177" s="23"/>
      <c r="B177" s="26"/>
      <c r="C177" s="26"/>
      <c r="D177" s="26"/>
      <c r="E177" s="41"/>
      <c r="F177" s="41"/>
      <c r="G177" s="26"/>
      <c r="H177" s="26"/>
      <c r="I177" s="26"/>
      <c r="J177" s="26"/>
      <c r="K177" s="26"/>
      <c r="L177" s="28" t="str">
        <f aca="false">IF(A177="","",IF(COUNTIF(取引先マスタ!$A$5:$A$204,A177)&gt;1,"コード重複",""))</f>
        <v/>
      </c>
    </row>
    <row r="178" customFormat="false" ht="15" hidden="false" customHeight="false" outlineLevel="0" collapsed="false">
      <c r="A178" s="23"/>
      <c r="B178" s="26"/>
      <c r="C178" s="26"/>
      <c r="D178" s="26"/>
      <c r="E178" s="41"/>
      <c r="F178" s="41"/>
      <c r="G178" s="26"/>
      <c r="H178" s="26"/>
      <c r="I178" s="26"/>
      <c r="J178" s="26"/>
      <c r="K178" s="26"/>
      <c r="L178" s="28" t="str">
        <f aca="false">IF(A178="","",IF(COUNTIF(取引先マスタ!$A$5:$A$204,A178)&gt;1,"コード重複",""))</f>
        <v/>
      </c>
    </row>
    <row r="179" customFormat="false" ht="15" hidden="false" customHeight="false" outlineLevel="0" collapsed="false">
      <c r="A179" s="23"/>
      <c r="B179" s="26"/>
      <c r="C179" s="26"/>
      <c r="D179" s="26"/>
      <c r="E179" s="41"/>
      <c r="F179" s="41"/>
      <c r="G179" s="26"/>
      <c r="H179" s="26"/>
      <c r="I179" s="26"/>
      <c r="J179" s="26"/>
      <c r="K179" s="26"/>
      <c r="L179" s="28" t="str">
        <f aca="false">IF(A179="","",IF(COUNTIF(取引先マスタ!$A$5:$A$204,A179)&gt;1,"コード重複",""))</f>
        <v/>
      </c>
    </row>
    <row r="180" customFormat="false" ht="15" hidden="false" customHeight="false" outlineLevel="0" collapsed="false">
      <c r="A180" s="23"/>
      <c r="B180" s="26"/>
      <c r="C180" s="26"/>
      <c r="D180" s="26"/>
      <c r="E180" s="41"/>
      <c r="F180" s="41"/>
      <c r="G180" s="26"/>
      <c r="H180" s="26"/>
      <c r="I180" s="26"/>
      <c r="J180" s="26"/>
      <c r="K180" s="26"/>
      <c r="L180" s="28" t="str">
        <f aca="false">IF(A180="","",IF(COUNTIF(取引先マスタ!$A$5:$A$204,A180)&gt;1,"コード重複",""))</f>
        <v/>
      </c>
    </row>
    <row r="181" customFormat="false" ht="15" hidden="false" customHeight="false" outlineLevel="0" collapsed="false">
      <c r="A181" s="23"/>
      <c r="B181" s="26"/>
      <c r="C181" s="26"/>
      <c r="D181" s="26"/>
      <c r="E181" s="41"/>
      <c r="F181" s="41"/>
      <c r="G181" s="26"/>
      <c r="H181" s="26"/>
      <c r="I181" s="26"/>
      <c r="J181" s="26"/>
      <c r="K181" s="26"/>
      <c r="L181" s="28" t="str">
        <f aca="false">IF(A181="","",IF(COUNTIF(取引先マスタ!$A$5:$A$204,A181)&gt;1,"コード重複",""))</f>
        <v/>
      </c>
    </row>
    <row r="182" customFormat="false" ht="15" hidden="false" customHeight="false" outlineLevel="0" collapsed="false">
      <c r="A182" s="23"/>
      <c r="B182" s="26"/>
      <c r="C182" s="26"/>
      <c r="D182" s="26"/>
      <c r="E182" s="41"/>
      <c r="F182" s="41"/>
      <c r="G182" s="26"/>
      <c r="H182" s="26"/>
      <c r="I182" s="26"/>
      <c r="J182" s="26"/>
      <c r="K182" s="26"/>
      <c r="L182" s="28" t="str">
        <f aca="false">IF(A182="","",IF(COUNTIF(取引先マスタ!$A$5:$A$204,A182)&gt;1,"コード重複",""))</f>
        <v/>
      </c>
    </row>
    <row r="183" customFormat="false" ht="15" hidden="false" customHeight="false" outlineLevel="0" collapsed="false">
      <c r="A183" s="23"/>
      <c r="B183" s="26"/>
      <c r="C183" s="26"/>
      <c r="D183" s="26"/>
      <c r="E183" s="41"/>
      <c r="F183" s="41"/>
      <c r="G183" s="26"/>
      <c r="H183" s="26"/>
      <c r="I183" s="26"/>
      <c r="J183" s="26"/>
      <c r="K183" s="26"/>
      <c r="L183" s="28" t="str">
        <f aca="false">IF(A183="","",IF(COUNTIF(取引先マスタ!$A$5:$A$204,A183)&gt;1,"コード重複",""))</f>
        <v/>
      </c>
    </row>
    <row r="184" customFormat="false" ht="15" hidden="false" customHeight="false" outlineLevel="0" collapsed="false">
      <c r="A184" s="23"/>
      <c r="B184" s="26"/>
      <c r="C184" s="26"/>
      <c r="D184" s="26"/>
      <c r="E184" s="41"/>
      <c r="F184" s="41"/>
      <c r="G184" s="26"/>
      <c r="H184" s="26"/>
      <c r="I184" s="26"/>
      <c r="J184" s="26"/>
      <c r="K184" s="26"/>
      <c r="L184" s="28" t="str">
        <f aca="false">IF(A184="","",IF(COUNTIF(取引先マスタ!$A$5:$A$204,A184)&gt;1,"コード重複",""))</f>
        <v/>
      </c>
    </row>
    <row r="185" customFormat="false" ht="15" hidden="false" customHeight="false" outlineLevel="0" collapsed="false">
      <c r="A185" s="23"/>
      <c r="B185" s="26"/>
      <c r="C185" s="26"/>
      <c r="D185" s="26"/>
      <c r="E185" s="41"/>
      <c r="F185" s="41"/>
      <c r="G185" s="26"/>
      <c r="H185" s="26"/>
      <c r="I185" s="26"/>
      <c r="J185" s="26"/>
      <c r="K185" s="26"/>
      <c r="L185" s="28" t="str">
        <f aca="false">IF(A185="","",IF(COUNTIF(取引先マスタ!$A$5:$A$204,A185)&gt;1,"コード重複",""))</f>
        <v/>
      </c>
    </row>
    <row r="186" customFormat="false" ht="15" hidden="false" customHeight="false" outlineLevel="0" collapsed="false">
      <c r="A186" s="23"/>
      <c r="B186" s="26"/>
      <c r="C186" s="26"/>
      <c r="D186" s="26"/>
      <c r="E186" s="41"/>
      <c r="F186" s="41"/>
      <c r="G186" s="26"/>
      <c r="H186" s="26"/>
      <c r="I186" s="26"/>
      <c r="J186" s="26"/>
      <c r="K186" s="26"/>
      <c r="L186" s="28" t="str">
        <f aca="false">IF(A186="","",IF(COUNTIF(取引先マスタ!$A$5:$A$204,A186)&gt;1,"コード重複",""))</f>
        <v/>
      </c>
    </row>
    <row r="187" customFormat="false" ht="15" hidden="false" customHeight="false" outlineLevel="0" collapsed="false">
      <c r="A187" s="23"/>
      <c r="B187" s="26"/>
      <c r="C187" s="26"/>
      <c r="D187" s="26"/>
      <c r="E187" s="41"/>
      <c r="F187" s="41"/>
      <c r="G187" s="26"/>
      <c r="H187" s="26"/>
      <c r="I187" s="26"/>
      <c r="J187" s="26"/>
      <c r="K187" s="26"/>
      <c r="L187" s="28" t="str">
        <f aca="false">IF(A187="","",IF(COUNTIF(取引先マスタ!$A$5:$A$204,A187)&gt;1,"コード重複",""))</f>
        <v/>
      </c>
    </row>
    <row r="188" customFormat="false" ht="15" hidden="false" customHeight="false" outlineLevel="0" collapsed="false">
      <c r="A188" s="23"/>
      <c r="B188" s="26"/>
      <c r="C188" s="26"/>
      <c r="D188" s="26"/>
      <c r="E188" s="41"/>
      <c r="F188" s="41"/>
      <c r="G188" s="26"/>
      <c r="H188" s="26"/>
      <c r="I188" s="26"/>
      <c r="J188" s="26"/>
      <c r="K188" s="26"/>
      <c r="L188" s="28" t="str">
        <f aca="false">IF(A188="","",IF(COUNTIF(取引先マスタ!$A$5:$A$204,A188)&gt;1,"コード重複",""))</f>
        <v/>
      </c>
    </row>
    <row r="189" customFormat="false" ht="15" hidden="false" customHeight="false" outlineLevel="0" collapsed="false">
      <c r="A189" s="23"/>
      <c r="B189" s="26"/>
      <c r="C189" s="26"/>
      <c r="D189" s="26"/>
      <c r="E189" s="41"/>
      <c r="F189" s="41"/>
      <c r="G189" s="26"/>
      <c r="H189" s="26"/>
      <c r="I189" s="26"/>
      <c r="J189" s="26"/>
      <c r="K189" s="26"/>
      <c r="L189" s="28" t="str">
        <f aca="false">IF(A189="","",IF(COUNTIF(取引先マスタ!$A$5:$A$204,A189)&gt;1,"コード重複",""))</f>
        <v/>
      </c>
    </row>
    <row r="190" customFormat="false" ht="15" hidden="false" customHeight="false" outlineLevel="0" collapsed="false">
      <c r="A190" s="23"/>
      <c r="B190" s="26"/>
      <c r="C190" s="26"/>
      <c r="D190" s="26"/>
      <c r="E190" s="41"/>
      <c r="F190" s="41"/>
      <c r="G190" s="26"/>
      <c r="H190" s="26"/>
      <c r="I190" s="26"/>
      <c r="J190" s="26"/>
      <c r="K190" s="26"/>
      <c r="L190" s="28" t="str">
        <f aca="false">IF(A190="","",IF(COUNTIF(取引先マスタ!$A$5:$A$204,A190)&gt;1,"コード重複",""))</f>
        <v/>
      </c>
    </row>
    <row r="191" customFormat="false" ht="15" hidden="false" customHeight="false" outlineLevel="0" collapsed="false">
      <c r="A191" s="23"/>
      <c r="B191" s="26"/>
      <c r="C191" s="26"/>
      <c r="D191" s="26"/>
      <c r="E191" s="41"/>
      <c r="F191" s="41"/>
      <c r="G191" s="26"/>
      <c r="H191" s="26"/>
      <c r="I191" s="26"/>
      <c r="J191" s="26"/>
      <c r="K191" s="26"/>
      <c r="L191" s="28" t="str">
        <f aca="false">IF(A191="","",IF(COUNTIF(取引先マスタ!$A$5:$A$204,A191)&gt;1,"コード重複",""))</f>
        <v/>
      </c>
    </row>
    <row r="192" customFormat="false" ht="15" hidden="false" customHeight="false" outlineLevel="0" collapsed="false">
      <c r="A192" s="23"/>
      <c r="B192" s="26"/>
      <c r="C192" s="26"/>
      <c r="D192" s="26"/>
      <c r="E192" s="41"/>
      <c r="F192" s="41"/>
      <c r="G192" s="26"/>
      <c r="H192" s="26"/>
      <c r="I192" s="26"/>
      <c r="J192" s="26"/>
      <c r="K192" s="26"/>
      <c r="L192" s="28" t="str">
        <f aca="false">IF(A192="","",IF(COUNTIF(取引先マスタ!$A$5:$A$204,A192)&gt;1,"コード重複",""))</f>
        <v/>
      </c>
    </row>
    <row r="193" customFormat="false" ht="15" hidden="false" customHeight="false" outlineLevel="0" collapsed="false">
      <c r="A193" s="23"/>
      <c r="B193" s="26"/>
      <c r="C193" s="26"/>
      <c r="D193" s="26"/>
      <c r="E193" s="41"/>
      <c r="F193" s="41"/>
      <c r="G193" s="26"/>
      <c r="H193" s="26"/>
      <c r="I193" s="26"/>
      <c r="J193" s="26"/>
      <c r="K193" s="26"/>
      <c r="L193" s="28" t="str">
        <f aca="false">IF(A193="","",IF(COUNTIF(取引先マスタ!$A$5:$A$204,A193)&gt;1,"コード重複",""))</f>
        <v/>
      </c>
    </row>
    <row r="194" customFormat="false" ht="15" hidden="false" customHeight="false" outlineLevel="0" collapsed="false">
      <c r="A194" s="23"/>
      <c r="B194" s="26"/>
      <c r="C194" s="26"/>
      <c r="D194" s="26"/>
      <c r="E194" s="41"/>
      <c r="F194" s="41"/>
      <c r="G194" s="26"/>
      <c r="H194" s="26"/>
      <c r="I194" s="26"/>
      <c r="J194" s="26"/>
      <c r="K194" s="26"/>
      <c r="L194" s="28" t="str">
        <f aca="false">IF(A194="","",IF(COUNTIF(取引先マスタ!$A$5:$A$204,A194)&gt;1,"コード重複",""))</f>
        <v/>
      </c>
    </row>
    <row r="195" customFormat="false" ht="15" hidden="false" customHeight="false" outlineLevel="0" collapsed="false">
      <c r="A195" s="23"/>
      <c r="B195" s="26"/>
      <c r="C195" s="26"/>
      <c r="D195" s="26"/>
      <c r="E195" s="41"/>
      <c r="F195" s="41"/>
      <c r="G195" s="26"/>
      <c r="H195" s="26"/>
      <c r="I195" s="26"/>
      <c r="J195" s="26"/>
      <c r="K195" s="26"/>
      <c r="L195" s="28" t="str">
        <f aca="false">IF(A195="","",IF(COUNTIF(取引先マスタ!$A$5:$A$204,A195)&gt;1,"コード重複",""))</f>
        <v/>
      </c>
    </row>
    <row r="196" customFormat="false" ht="15" hidden="false" customHeight="false" outlineLevel="0" collapsed="false">
      <c r="A196" s="23"/>
      <c r="B196" s="26"/>
      <c r="C196" s="26"/>
      <c r="D196" s="26"/>
      <c r="E196" s="41"/>
      <c r="F196" s="41"/>
      <c r="G196" s="26"/>
      <c r="H196" s="26"/>
      <c r="I196" s="26"/>
      <c r="J196" s="26"/>
      <c r="K196" s="26"/>
      <c r="L196" s="28" t="str">
        <f aca="false">IF(A196="","",IF(COUNTIF(取引先マスタ!$A$5:$A$204,A196)&gt;1,"コード重複",""))</f>
        <v/>
      </c>
    </row>
    <row r="197" customFormat="false" ht="15" hidden="false" customHeight="false" outlineLevel="0" collapsed="false">
      <c r="A197" s="23"/>
      <c r="B197" s="26"/>
      <c r="C197" s="26"/>
      <c r="D197" s="26"/>
      <c r="E197" s="41"/>
      <c r="F197" s="41"/>
      <c r="G197" s="26"/>
      <c r="H197" s="26"/>
      <c r="I197" s="26"/>
      <c r="J197" s="26"/>
      <c r="K197" s="26"/>
      <c r="L197" s="28" t="str">
        <f aca="false">IF(A197="","",IF(COUNTIF(取引先マスタ!$A$5:$A$204,A197)&gt;1,"コード重複",""))</f>
        <v/>
      </c>
    </row>
    <row r="198" customFormat="false" ht="15" hidden="false" customHeight="false" outlineLevel="0" collapsed="false">
      <c r="A198" s="23"/>
      <c r="B198" s="26"/>
      <c r="C198" s="26"/>
      <c r="D198" s="26"/>
      <c r="E198" s="41"/>
      <c r="F198" s="41"/>
      <c r="G198" s="26"/>
      <c r="H198" s="26"/>
      <c r="I198" s="26"/>
      <c r="J198" s="26"/>
      <c r="K198" s="26"/>
      <c r="L198" s="28" t="str">
        <f aca="false">IF(A198="","",IF(COUNTIF(取引先マスタ!$A$5:$A$204,A198)&gt;1,"コード重複",""))</f>
        <v/>
      </c>
    </row>
    <row r="199" customFormat="false" ht="15" hidden="false" customHeight="false" outlineLevel="0" collapsed="false">
      <c r="A199" s="23"/>
      <c r="B199" s="26"/>
      <c r="C199" s="26"/>
      <c r="D199" s="26"/>
      <c r="E199" s="41"/>
      <c r="F199" s="41"/>
      <c r="G199" s="26"/>
      <c r="H199" s="26"/>
      <c r="I199" s="26"/>
      <c r="J199" s="26"/>
      <c r="K199" s="26"/>
      <c r="L199" s="28" t="str">
        <f aca="false">IF(A199="","",IF(COUNTIF(取引先マスタ!$A$5:$A$204,A199)&gt;1,"コード重複",""))</f>
        <v/>
      </c>
    </row>
    <row r="200" customFormat="false" ht="15" hidden="false" customHeight="false" outlineLevel="0" collapsed="false">
      <c r="A200" s="23"/>
      <c r="B200" s="26"/>
      <c r="C200" s="26"/>
      <c r="D200" s="26"/>
      <c r="E200" s="41"/>
      <c r="F200" s="41"/>
      <c r="G200" s="26"/>
      <c r="H200" s="26"/>
      <c r="I200" s="26"/>
      <c r="J200" s="26"/>
      <c r="K200" s="26"/>
      <c r="L200" s="28" t="str">
        <f aca="false">IF(A200="","",IF(COUNTIF(取引先マスタ!$A$5:$A$204,A200)&gt;1,"コード重複",""))</f>
        <v/>
      </c>
    </row>
    <row r="201" customFormat="false" ht="15" hidden="false" customHeight="false" outlineLevel="0" collapsed="false">
      <c r="A201" s="23"/>
      <c r="B201" s="26"/>
      <c r="C201" s="26"/>
      <c r="D201" s="26"/>
      <c r="E201" s="41"/>
      <c r="F201" s="41"/>
      <c r="G201" s="26"/>
      <c r="H201" s="26"/>
      <c r="I201" s="26"/>
      <c r="J201" s="26"/>
      <c r="K201" s="26"/>
      <c r="L201" s="28" t="str">
        <f aca="false">IF(A201="","",IF(COUNTIF(取引先マスタ!$A$5:$A$204,A201)&gt;1,"コード重複",""))</f>
        <v/>
      </c>
    </row>
    <row r="202" customFormat="false" ht="15" hidden="false" customHeight="false" outlineLevel="0" collapsed="false">
      <c r="A202" s="23"/>
      <c r="B202" s="26"/>
      <c r="C202" s="26"/>
      <c r="D202" s="26"/>
      <c r="E202" s="41"/>
      <c r="F202" s="41"/>
      <c r="G202" s="26"/>
      <c r="H202" s="26"/>
      <c r="I202" s="26"/>
      <c r="J202" s="26"/>
      <c r="K202" s="26"/>
      <c r="L202" s="28" t="str">
        <f aca="false">IF(A202="","",IF(COUNTIF(取引先マスタ!$A$5:$A$204,A202)&gt;1,"コード重複",""))</f>
        <v/>
      </c>
    </row>
    <row r="203" customFormat="false" ht="15" hidden="false" customHeight="false" outlineLevel="0" collapsed="false">
      <c r="A203" s="23"/>
      <c r="B203" s="26"/>
      <c r="C203" s="26"/>
      <c r="D203" s="26"/>
      <c r="E203" s="41"/>
      <c r="F203" s="41"/>
      <c r="G203" s="26"/>
      <c r="H203" s="26"/>
      <c r="I203" s="26"/>
      <c r="J203" s="26"/>
      <c r="K203" s="26"/>
      <c r="L203" s="28" t="str">
        <f aca="false">IF(A203="","",IF(COUNTIF(取引先マスタ!$A$5:$A$204,A203)&gt;1,"コード重複",""))</f>
        <v/>
      </c>
    </row>
    <row r="204" customFormat="false" ht="15" hidden="false" customHeight="false" outlineLevel="0" collapsed="false">
      <c r="A204" s="23"/>
      <c r="B204" s="26"/>
      <c r="C204" s="26"/>
      <c r="D204" s="26"/>
      <c r="E204" s="41"/>
      <c r="F204" s="41"/>
      <c r="G204" s="26"/>
      <c r="H204" s="26"/>
      <c r="I204" s="26"/>
      <c r="J204" s="26"/>
      <c r="K204" s="26"/>
      <c r="L204" s="28" t="str">
        <f aca="false">IF(A204="","",IF(COUNTIF(取引先マスタ!$A$5:$A$204,A204)&gt;1,"コード重複",""))</f>
        <v/>
      </c>
    </row>
  </sheetData>
  <sheetProtection sheet="true" formatCells="false" formatColumns="false" formatRows="false" autoFilter="false"/>
  <autoFilter ref="A4:L204"/>
  <conditionalFormatting sqref="L5:L204">
    <cfRule type="expression" priority="2" aboveAverage="0" equalAverage="0" bottom="0" percent="0" rank="0" text="" dxfId="2">
      <formula>$L5&lt;&gt;""</formula>
    </cfRule>
  </conditionalFormatting>
  <conditionalFormatting sqref="E5:F204">
    <cfRule type="expression" priority="3" aboveAverage="0" equalAverage="0" bottom="0" percent="0" rank="0" text="" dxfId="0">
      <formula>AND($B5&lt;&gt;"",OR($E5="",$F5=""))</formula>
    </cfRule>
  </conditionalFormatting>
  <dataValidations count="4">
    <dataValidation allowBlank="true" error="一覧から選択してください" errorStyle="stop" errorTitle="入力エラー" operator="between" showDropDown="false" showErrorMessage="true" showInputMessage="false" sqref="G5:G204" type="list">
      <formula1>設定!$I$5:$I$24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H5:H204" type="list">
      <formula1>設定!$F$5:$F$24</formula1>
      <formula2>0</formula2>
    </dataValidation>
    <dataValidation allowBlank="true" error="0〜12の整数を入力してください" errorStyle="stop" errorTitle="入力エラー" operator="between" showDropDown="false" showErrorMessage="true" showInputMessage="false" sqref="E5:E204" type="whole">
      <formula1>0</formula1>
      <formula2>12</formula2>
    </dataValidation>
    <dataValidation allowBlank="true" error="1〜31の整数を入力してください(末日=31)" errorStyle="stop" errorTitle="入力エラー" operator="between" showDropDown="false" showErrorMessage="true" showInputMessage="false" sqref="F5:F204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225</v>
      </c>
    </row>
    <row r="4" customFormat="false" ht="45.75" hidden="false" customHeight="true" outlineLevel="0" collapsed="false">
      <c r="A4" s="13" t="s">
        <v>226</v>
      </c>
      <c r="B4" s="13" t="s">
        <v>227</v>
      </c>
      <c r="C4" s="13" t="s">
        <v>228</v>
      </c>
      <c r="D4" s="13" t="s">
        <v>229</v>
      </c>
      <c r="E4" s="13" t="s">
        <v>230</v>
      </c>
      <c r="F4" s="13" t="s">
        <v>231</v>
      </c>
      <c r="G4" s="13" t="s">
        <v>232</v>
      </c>
      <c r="H4" s="13" t="s">
        <v>233</v>
      </c>
      <c r="I4" s="13" t="s">
        <v>234</v>
      </c>
      <c r="J4" s="13" t="s">
        <v>235</v>
      </c>
      <c r="K4" s="13" t="s">
        <v>236</v>
      </c>
      <c r="L4" s="13" t="s">
        <v>237</v>
      </c>
      <c r="M4" s="13" t="s">
        <v>238</v>
      </c>
      <c r="N4" s="2" t="s">
        <v>239</v>
      </c>
    </row>
    <row r="5" customFormat="false" ht="15" hidden="false" customHeight="false" outlineLevel="0" collapsed="false">
      <c r="A5" s="42" t="n">
        <v>45931</v>
      </c>
      <c r="B5" s="43"/>
      <c r="C5" s="43"/>
      <c r="D5" s="43"/>
      <c r="E5" s="43"/>
      <c r="F5" s="43"/>
      <c r="G5" s="43"/>
      <c r="H5" s="43"/>
      <c r="I5" s="24"/>
      <c r="J5" s="22"/>
      <c r="K5" s="24"/>
      <c r="L5" s="22"/>
      <c r="M5" s="24"/>
    </row>
    <row r="6" customFormat="false" ht="15" hidden="false" customHeight="false" outlineLevel="0" collapsed="false">
      <c r="A6" s="42" t="n">
        <v>45962</v>
      </c>
      <c r="B6" s="43"/>
      <c r="C6" s="43"/>
      <c r="D6" s="43"/>
      <c r="E6" s="43"/>
      <c r="F6" s="43"/>
      <c r="G6" s="43"/>
      <c r="H6" s="43"/>
      <c r="I6" s="24"/>
      <c r="J6" s="22"/>
      <c r="K6" s="24"/>
      <c r="L6" s="22"/>
      <c r="M6" s="24"/>
    </row>
    <row r="7" customFormat="false" ht="15" hidden="false" customHeight="false" outlineLevel="0" collapsed="false">
      <c r="A7" s="42" t="n">
        <v>45992</v>
      </c>
      <c r="B7" s="43"/>
      <c r="C7" s="43"/>
      <c r="D7" s="43"/>
      <c r="E7" s="43"/>
      <c r="F7" s="43"/>
      <c r="G7" s="43"/>
      <c r="H7" s="43"/>
      <c r="I7" s="24"/>
      <c r="J7" s="22"/>
      <c r="K7" s="24"/>
      <c r="L7" s="22"/>
      <c r="M7" s="24"/>
    </row>
    <row r="8" customFormat="false" ht="15" hidden="false" customHeight="false" outlineLevel="0" collapsed="false">
      <c r="A8" s="42" t="n">
        <v>46023</v>
      </c>
      <c r="B8" s="43"/>
      <c r="C8" s="43"/>
      <c r="D8" s="43"/>
      <c r="E8" s="43"/>
      <c r="F8" s="43"/>
      <c r="G8" s="43"/>
      <c r="H8" s="43"/>
      <c r="I8" s="24"/>
      <c r="J8" s="22"/>
      <c r="K8" s="24"/>
      <c r="L8" s="22"/>
      <c r="M8" s="24"/>
    </row>
    <row r="9" customFormat="false" ht="15" hidden="false" customHeight="false" outlineLevel="0" collapsed="false">
      <c r="A9" s="42" t="n">
        <v>46054</v>
      </c>
      <c r="B9" s="43"/>
      <c r="C9" s="43"/>
      <c r="D9" s="43"/>
      <c r="E9" s="43"/>
      <c r="F9" s="43"/>
      <c r="G9" s="43"/>
      <c r="H9" s="43"/>
      <c r="I9" s="24"/>
      <c r="J9" s="22"/>
      <c r="K9" s="24"/>
      <c r="L9" s="22"/>
      <c r="M9" s="24"/>
    </row>
    <row r="10" customFormat="false" ht="15" hidden="false" customHeight="false" outlineLevel="0" collapsed="false">
      <c r="A10" s="42" t="n">
        <v>46082</v>
      </c>
      <c r="B10" s="43"/>
      <c r="C10" s="43"/>
      <c r="D10" s="43"/>
      <c r="E10" s="43"/>
      <c r="F10" s="43"/>
      <c r="G10" s="43"/>
      <c r="H10" s="43"/>
      <c r="I10" s="24"/>
      <c r="J10" s="22"/>
      <c r="K10" s="24"/>
      <c r="L10" s="22"/>
      <c r="M10" s="24"/>
    </row>
    <row r="11" customFormat="false" ht="15" hidden="false" customHeight="false" outlineLevel="0" collapsed="false">
      <c r="A11" s="42" t="n">
        <v>46113</v>
      </c>
      <c r="B11" s="43"/>
      <c r="C11" s="43"/>
      <c r="D11" s="43"/>
      <c r="E11" s="43"/>
      <c r="F11" s="43"/>
      <c r="G11" s="43"/>
      <c r="H11" s="43"/>
      <c r="I11" s="24"/>
      <c r="J11" s="22"/>
      <c r="K11" s="24"/>
      <c r="L11" s="22"/>
      <c r="M11" s="24"/>
    </row>
    <row r="12" customFormat="false" ht="15" hidden="false" customHeight="false" outlineLevel="0" collapsed="false">
      <c r="A12" s="42" t="n">
        <v>46143</v>
      </c>
      <c r="B12" s="43"/>
      <c r="C12" s="43"/>
      <c r="D12" s="43"/>
      <c r="E12" s="43"/>
      <c r="F12" s="43"/>
      <c r="G12" s="43"/>
      <c r="H12" s="43"/>
      <c r="I12" s="24"/>
      <c r="J12" s="22"/>
      <c r="K12" s="24"/>
      <c r="L12" s="22"/>
      <c r="M12" s="24"/>
    </row>
    <row r="13" customFormat="false" ht="15" hidden="false" customHeight="false" outlineLevel="0" collapsed="false">
      <c r="A13" s="42" t="n">
        <v>46174</v>
      </c>
      <c r="B13" s="43"/>
      <c r="C13" s="43"/>
      <c r="D13" s="43"/>
      <c r="E13" s="43"/>
      <c r="F13" s="43"/>
      <c r="G13" s="43"/>
      <c r="H13" s="43"/>
      <c r="I13" s="24"/>
      <c r="J13" s="22"/>
      <c r="K13" s="24"/>
      <c r="L13" s="22"/>
      <c r="M13" s="24"/>
    </row>
    <row r="14" customFormat="false" ht="15" hidden="false" customHeight="false" outlineLevel="0" collapsed="false">
      <c r="A14" s="42" t="n">
        <v>46204</v>
      </c>
      <c r="B14" s="43"/>
      <c r="C14" s="43"/>
      <c r="D14" s="43"/>
      <c r="E14" s="43"/>
      <c r="F14" s="43"/>
      <c r="G14" s="43"/>
      <c r="H14" s="43"/>
      <c r="I14" s="24"/>
      <c r="J14" s="22"/>
      <c r="K14" s="24"/>
      <c r="L14" s="22"/>
      <c r="M14" s="24"/>
    </row>
    <row r="15" customFormat="false" ht="15" hidden="false" customHeight="false" outlineLevel="0" collapsed="false">
      <c r="A15" s="42" t="n">
        <v>46235</v>
      </c>
      <c r="B15" s="43"/>
      <c r="C15" s="43"/>
      <c r="D15" s="43"/>
      <c r="E15" s="43"/>
      <c r="F15" s="43"/>
      <c r="G15" s="43"/>
      <c r="H15" s="43"/>
      <c r="I15" s="24"/>
      <c r="J15" s="22"/>
      <c r="K15" s="24"/>
      <c r="L15" s="22"/>
      <c r="M15" s="24"/>
    </row>
    <row r="16" customFormat="false" ht="15" hidden="false" customHeight="false" outlineLevel="0" collapsed="false">
      <c r="A16" s="42" t="n">
        <v>46266</v>
      </c>
      <c r="B16" s="43"/>
      <c r="C16" s="43"/>
      <c r="D16" s="43"/>
      <c r="E16" s="43"/>
      <c r="F16" s="43"/>
      <c r="G16" s="43"/>
      <c r="H16" s="43"/>
      <c r="I16" s="24"/>
      <c r="J16" s="22"/>
      <c r="K16" s="24"/>
      <c r="L16" s="22"/>
      <c r="M16" s="24"/>
    </row>
    <row r="17" customFormat="false" ht="15" hidden="false" customHeight="false" outlineLevel="0" collapsed="false">
      <c r="A17" s="42" t="n">
        <v>46296</v>
      </c>
      <c r="B17" s="43"/>
      <c r="C17" s="43"/>
      <c r="D17" s="43"/>
      <c r="E17" s="43"/>
      <c r="F17" s="43"/>
      <c r="G17" s="43"/>
      <c r="H17" s="43"/>
      <c r="I17" s="24"/>
      <c r="J17" s="22"/>
      <c r="K17" s="24"/>
      <c r="L17" s="22"/>
      <c r="M17" s="24"/>
    </row>
    <row r="18" customFormat="false" ht="15" hidden="false" customHeight="false" outlineLevel="0" collapsed="false">
      <c r="A18" s="42" t="n">
        <v>46327</v>
      </c>
      <c r="B18" s="43"/>
      <c r="C18" s="43"/>
      <c r="D18" s="43"/>
      <c r="E18" s="43"/>
      <c r="F18" s="43"/>
      <c r="G18" s="43"/>
      <c r="H18" s="43"/>
      <c r="I18" s="24"/>
      <c r="J18" s="22"/>
      <c r="K18" s="24"/>
      <c r="L18" s="22"/>
      <c r="M18" s="24"/>
    </row>
    <row r="19" customFormat="false" ht="15" hidden="false" customHeight="false" outlineLevel="0" collapsed="false">
      <c r="A19" s="42" t="n">
        <v>46357</v>
      </c>
      <c r="B19" s="43"/>
      <c r="C19" s="43"/>
      <c r="D19" s="43"/>
      <c r="E19" s="43"/>
      <c r="F19" s="43"/>
      <c r="G19" s="43"/>
      <c r="H19" s="43"/>
      <c r="I19" s="24"/>
      <c r="J19" s="22"/>
      <c r="K19" s="24"/>
      <c r="L19" s="22"/>
      <c r="M19" s="24"/>
    </row>
    <row r="20" customFormat="false" ht="15" hidden="false" customHeight="false" outlineLevel="0" collapsed="false">
      <c r="A20" s="42" t="n">
        <v>46388</v>
      </c>
      <c r="B20" s="43"/>
      <c r="C20" s="43"/>
      <c r="D20" s="43"/>
      <c r="E20" s="43"/>
      <c r="F20" s="43"/>
      <c r="G20" s="43"/>
      <c r="H20" s="43"/>
      <c r="I20" s="24"/>
      <c r="J20" s="22"/>
      <c r="K20" s="24"/>
      <c r="L20" s="22"/>
      <c r="M20" s="24"/>
    </row>
    <row r="21" customFormat="false" ht="15" hidden="false" customHeight="false" outlineLevel="0" collapsed="false">
      <c r="A21" s="42" t="n">
        <v>46419</v>
      </c>
      <c r="B21" s="43"/>
      <c r="C21" s="43"/>
      <c r="D21" s="43"/>
      <c r="E21" s="43"/>
      <c r="F21" s="43"/>
      <c r="G21" s="43"/>
      <c r="H21" s="43"/>
      <c r="I21" s="24"/>
      <c r="J21" s="22"/>
      <c r="K21" s="24"/>
      <c r="L21" s="22"/>
      <c r="M21" s="24"/>
    </row>
    <row r="22" customFormat="false" ht="15" hidden="false" customHeight="false" outlineLevel="0" collapsed="false">
      <c r="A22" s="42" t="n">
        <v>46447</v>
      </c>
      <c r="B22" s="43"/>
      <c r="C22" s="43"/>
      <c r="D22" s="43"/>
      <c r="E22" s="43"/>
      <c r="F22" s="43"/>
      <c r="G22" s="43"/>
      <c r="H22" s="43"/>
      <c r="I22" s="24"/>
      <c r="J22" s="22"/>
      <c r="K22" s="24"/>
      <c r="L22" s="22"/>
      <c r="M22" s="24"/>
    </row>
    <row r="23" customFormat="false" ht="15" hidden="false" customHeight="false" outlineLevel="0" collapsed="false">
      <c r="A23" s="42" t="n">
        <v>46478</v>
      </c>
      <c r="B23" s="43"/>
      <c r="C23" s="43"/>
      <c r="D23" s="43"/>
      <c r="E23" s="43"/>
      <c r="F23" s="43"/>
      <c r="G23" s="43"/>
      <c r="H23" s="43"/>
      <c r="I23" s="24"/>
      <c r="J23" s="22"/>
      <c r="K23" s="24"/>
      <c r="L23" s="22"/>
      <c r="M23" s="24"/>
    </row>
    <row r="24" customFormat="false" ht="15" hidden="false" customHeight="false" outlineLevel="0" collapsed="false">
      <c r="A24" s="42" t="n">
        <v>46508</v>
      </c>
      <c r="B24" s="43"/>
      <c r="C24" s="43"/>
      <c r="D24" s="43"/>
      <c r="E24" s="43"/>
      <c r="F24" s="43"/>
      <c r="G24" s="43"/>
      <c r="H24" s="43"/>
      <c r="I24" s="24"/>
      <c r="J24" s="22"/>
      <c r="K24" s="24"/>
      <c r="L24" s="22"/>
      <c r="M24" s="24"/>
    </row>
    <row r="25" customFormat="false" ht="15" hidden="false" customHeight="false" outlineLevel="0" collapsed="false">
      <c r="A25" s="42" t="n">
        <v>46539</v>
      </c>
      <c r="B25" s="43"/>
      <c r="C25" s="43"/>
      <c r="D25" s="43"/>
      <c r="E25" s="43"/>
      <c r="F25" s="43"/>
      <c r="G25" s="43"/>
      <c r="H25" s="43"/>
      <c r="I25" s="24"/>
      <c r="J25" s="22"/>
      <c r="K25" s="24"/>
      <c r="L25" s="22"/>
      <c r="M25" s="24"/>
    </row>
    <row r="26" customFormat="false" ht="15" hidden="false" customHeight="false" outlineLevel="0" collapsed="false">
      <c r="A26" s="42" t="n">
        <v>46569</v>
      </c>
      <c r="B26" s="43"/>
      <c r="C26" s="43"/>
      <c r="D26" s="43"/>
      <c r="E26" s="43"/>
      <c r="F26" s="43"/>
      <c r="G26" s="43"/>
      <c r="H26" s="43"/>
      <c r="I26" s="24"/>
      <c r="J26" s="22"/>
      <c r="K26" s="24"/>
      <c r="L26" s="22"/>
      <c r="M26" s="24"/>
    </row>
    <row r="27" customFormat="false" ht="15" hidden="false" customHeight="false" outlineLevel="0" collapsed="false">
      <c r="A27" s="42" t="n">
        <v>46600</v>
      </c>
      <c r="B27" s="43"/>
      <c r="C27" s="43"/>
      <c r="D27" s="43"/>
      <c r="E27" s="43"/>
      <c r="F27" s="43"/>
      <c r="G27" s="43"/>
      <c r="H27" s="43"/>
      <c r="I27" s="24"/>
      <c r="J27" s="22"/>
      <c r="K27" s="24"/>
      <c r="L27" s="22"/>
      <c r="M27" s="24"/>
    </row>
    <row r="28" customFormat="false" ht="15" hidden="false" customHeight="false" outlineLevel="0" collapsed="false">
      <c r="A28" s="42" t="n">
        <v>46631</v>
      </c>
      <c r="B28" s="43"/>
      <c r="C28" s="43"/>
      <c r="D28" s="43"/>
      <c r="E28" s="43"/>
      <c r="F28" s="43"/>
      <c r="G28" s="43"/>
      <c r="H28" s="43"/>
      <c r="I28" s="24"/>
      <c r="J28" s="22"/>
      <c r="K28" s="24"/>
      <c r="L28" s="22"/>
      <c r="M28" s="24"/>
    </row>
    <row r="29" customFormat="false" ht="15" hidden="false" customHeight="false" outlineLevel="0" collapsed="false">
      <c r="A29" s="42" t="n">
        <v>46661</v>
      </c>
      <c r="B29" s="43"/>
      <c r="C29" s="43"/>
      <c r="D29" s="43"/>
      <c r="E29" s="43"/>
      <c r="F29" s="43"/>
      <c r="G29" s="43"/>
      <c r="H29" s="43"/>
      <c r="I29" s="24"/>
      <c r="J29" s="22"/>
      <c r="K29" s="24"/>
      <c r="L29" s="22"/>
      <c r="M29" s="24"/>
    </row>
    <row r="30" customFormat="false" ht="15" hidden="false" customHeight="false" outlineLevel="0" collapsed="false">
      <c r="A30" s="42" t="n">
        <v>46692</v>
      </c>
      <c r="B30" s="43"/>
      <c r="C30" s="43"/>
      <c r="D30" s="43"/>
      <c r="E30" s="43"/>
      <c r="F30" s="43"/>
      <c r="G30" s="43"/>
      <c r="H30" s="43"/>
      <c r="I30" s="24"/>
      <c r="J30" s="22"/>
      <c r="K30" s="24"/>
      <c r="L30" s="22"/>
      <c r="M30" s="24"/>
    </row>
    <row r="31" customFormat="false" ht="15" hidden="false" customHeight="false" outlineLevel="0" collapsed="false">
      <c r="A31" s="42" t="n">
        <v>46722</v>
      </c>
      <c r="B31" s="43"/>
      <c r="C31" s="43"/>
      <c r="D31" s="43"/>
      <c r="E31" s="43"/>
      <c r="F31" s="43"/>
      <c r="G31" s="43"/>
      <c r="H31" s="43"/>
      <c r="I31" s="24"/>
      <c r="J31" s="22"/>
      <c r="K31" s="24"/>
      <c r="L31" s="22"/>
      <c r="M31" s="24"/>
    </row>
    <row r="32" customFormat="false" ht="15" hidden="false" customHeight="false" outlineLevel="0" collapsed="false">
      <c r="A32" s="42" t="n">
        <v>46753</v>
      </c>
      <c r="B32" s="43"/>
      <c r="C32" s="43"/>
      <c r="D32" s="43"/>
      <c r="E32" s="43"/>
      <c r="F32" s="43"/>
      <c r="G32" s="43"/>
      <c r="H32" s="43"/>
      <c r="I32" s="24"/>
      <c r="J32" s="22"/>
      <c r="K32" s="24"/>
      <c r="L32" s="22"/>
      <c r="M32" s="24"/>
    </row>
    <row r="33" customFormat="false" ht="15" hidden="false" customHeight="false" outlineLevel="0" collapsed="false">
      <c r="A33" s="42" t="n">
        <v>46784</v>
      </c>
      <c r="B33" s="43"/>
      <c r="C33" s="43"/>
      <c r="D33" s="43"/>
      <c r="E33" s="43"/>
      <c r="F33" s="43"/>
      <c r="G33" s="43"/>
      <c r="H33" s="43"/>
      <c r="I33" s="24"/>
      <c r="J33" s="22"/>
      <c r="K33" s="24"/>
      <c r="L33" s="22"/>
      <c r="M33" s="24"/>
    </row>
    <row r="34" customFormat="false" ht="15" hidden="false" customHeight="false" outlineLevel="0" collapsed="false">
      <c r="A34" s="42" t="n">
        <v>46813</v>
      </c>
      <c r="B34" s="43"/>
      <c r="C34" s="43"/>
      <c r="D34" s="43"/>
      <c r="E34" s="43"/>
      <c r="F34" s="43"/>
      <c r="G34" s="43"/>
      <c r="H34" s="43"/>
      <c r="I34" s="24"/>
      <c r="J34" s="22"/>
      <c r="K34" s="24"/>
      <c r="L34" s="22"/>
      <c r="M34" s="24"/>
    </row>
    <row r="35" customFormat="false" ht="15" hidden="false" customHeight="false" outlineLevel="0" collapsed="false">
      <c r="A35" s="42" t="n">
        <v>46844</v>
      </c>
      <c r="B35" s="43"/>
      <c r="C35" s="43"/>
      <c r="D35" s="43"/>
      <c r="E35" s="43"/>
      <c r="F35" s="43"/>
      <c r="G35" s="43"/>
      <c r="H35" s="43"/>
      <c r="I35" s="24"/>
      <c r="J35" s="22"/>
      <c r="K35" s="24"/>
      <c r="L35" s="22"/>
      <c r="M35" s="24"/>
    </row>
    <row r="36" customFormat="false" ht="15" hidden="false" customHeight="false" outlineLevel="0" collapsed="false">
      <c r="A36" s="42" t="n">
        <v>46874</v>
      </c>
      <c r="B36" s="43"/>
      <c r="C36" s="43"/>
      <c r="D36" s="43"/>
      <c r="E36" s="43"/>
      <c r="F36" s="43"/>
      <c r="G36" s="43"/>
      <c r="H36" s="43"/>
      <c r="I36" s="24"/>
      <c r="J36" s="22"/>
      <c r="K36" s="24"/>
      <c r="L36" s="22"/>
      <c r="M36" s="24"/>
    </row>
    <row r="37" customFormat="false" ht="15" hidden="false" customHeight="false" outlineLevel="0" collapsed="false">
      <c r="A37" s="42" t="n">
        <v>46905</v>
      </c>
      <c r="B37" s="43"/>
      <c r="C37" s="43"/>
      <c r="D37" s="43"/>
      <c r="E37" s="43"/>
      <c r="F37" s="43"/>
      <c r="G37" s="43"/>
      <c r="H37" s="43"/>
      <c r="I37" s="24"/>
      <c r="J37" s="22"/>
      <c r="K37" s="24"/>
      <c r="L37" s="22"/>
      <c r="M37" s="24"/>
    </row>
    <row r="38" customFormat="false" ht="15" hidden="false" customHeight="false" outlineLevel="0" collapsed="false">
      <c r="A38" s="42" t="n">
        <v>46935</v>
      </c>
      <c r="B38" s="43"/>
      <c r="C38" s="43"/>
      <c r="D38" s="43"/>
      <c r="E38" s="43"/>
      <c r="F38" s="43"/>
      <c r="G38" s="43"/>
      <c r="H38" s="43"/>
      <c r="I38" s="24"/>
      <c r="J38" s="22"/>
      <c r="K38" s="24"/>
      <c r="L38" s="22"/>
      <c r="M38" s="24"/>
    </row>
    <row r="39" customFormat="false" ht="15" hidden="false" customHeight="false" outlineLevel="0" collapsed="false">
      <c r="A39" s="42" t="n">
        <v>46966</v>
      </c>
      <c r="B39" s="43"/>
      <c r="C39" s="43"/>
      <c r="D39" s="43"/>
      <c r="E39" s="43"/>
      <c r="F39" s="43"/>
      <c r="G39" s="43"/>
      <c r="H39" s="43"/>
      <c r="I39" s="24"/>
      <c r="J39" s="22"/>
      <c r="K39" s="24"/>
      <c r="L39" s="22"/>
      <c r="M39" s="24"/>
    </row>
    <row r="40" customFormat="false" ht="15" hidden="false" customHeight="false" outlineLevel="0" collapsed="false">
      <c r="A40" s="42" t="n">
        <v>46997</v>
      </c>
      <c r="B40" s="43"/>
      <c r="C40" s="43"/>
      <c r="D40" s="43"/>
      <c r="E40" s="43"/>
      <c r="F40" s="43"/>
      <c r="G40" s="43"/>
      <c r="H40" s="43"/>
      <c r="I40" s="24"/>
      <c r="J40" s="22"/>
      <c r="K40" s="24"/>
      <c r="L40" s="22"/>
      <c r="M40" s="24"/>
    </row>
  </sheetData>
  <sheetProtection sheet="true" formatCells="false" formatColumns="false" formatRows="false" autoFilter="false"/>
  <conditionalFormatting sqref="A5:M40">
    <cfRule type="expression" priority="2" aboveAverage="0" equalAverage="0" bottom="0" percent="0" rank="0" text="" dxfId="26">
      <formula>AND($A5&lt;&gt;"",$A5&lt;チェック!$C$4+1,$L5="")</formula>
    </cfRule>
  </conditionalFormatting>
  <dataValidations count="3">
    <dataValidation allowBlank="true" error="一覧から選択してください" errorStyle="stop" errorTitle="入力エラー" operator="between" showDropDown="false" showErrorMessage="true" showInputMessage="false" sqref="B5:H40" type="list">
      <formula1>設定!$J$5:$J$24</formula1>
      <formula2>0</formula2>
    </dataValidation>
    <dataValidation allowBlank="true" error="日付を入力してください(例: 2026/9/30)" errorStyle="stop" errorTitle="入力エラー" operator="between" showDropDown="false" showErrorMessage="true" showInputMessage="false" sqref="J5:J40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L5:L40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10" min="6" style="0" width="2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240</v>
      </c>
      <c r="F2" s="2" t="s">
        <v>241</v>
      </c>
    </row>
    <row r="4" customFormat="false" ht="15" hidden="false" customHeight="false" outlineLevel="0" collapsed="false">
      <c r="B4" s="10" t="s">
        <v>242</v>
      </c>
      <c r="C4" s="24" t="s">
        <v>243</v>
      </c>
      <c r="D4" s="2" t="s">
        <v>244</v>
      </c>
      <c r="F4" s="44" t="s">
        <v>135</v>
      </c>
      <c r="G4" s="44" t="s">
        <v>172</v>
      </c>
      <c r="H4" s="44" t="s">
        <v>52</v>
      </c>
      <c r="I4" s="44" t="s">
        <v>245</v>
      </c>
      <c r="J4" s="44" t="s">
        <v>246</v>
      </c>
    </row>
    <row r="5" customFormat="false" ht="15" hidden="false" customHeight="false" outlineLevel="0" collapsed="false">
      <c r="B5" s="10" t="s">
        <v>77</v>
      </c>
      <c r="C5" s="22" t="n">
        <f aca="true">TODAY()</f>
        <v>46294</v>
      </c>
      <c r="D5" s="2" t="s">
        <v>247</v>
      </c>
      <c r="F5" s="26" t="s">
        <v>149</v>
      </c>
      <c r="G5" s="26" t="s">
        <v>179</v>
      </c>
      <c r="H5" s="26" t="s">
        <v>52</v>
      </c>
      <c r="I5" s="26" t="s">
        <v>215</v>
      </c>
      <c r="J5" s="26" t="s">
        <v>248</v>
      </c>
    </row>
    <row r="6" customFormat="false" ht="15" hidden="false" customHeight="false" outlineLevel="0" collapsed="false">
      <c r="B6" s="10" t="s">
        <v>249</v>
      </c>
      <c r="C6" s="45" t="n">
        <v>7</v>
      </c>
      <c r="D6" s="2" t="s">
        <v>250</v>
      </c>
      <c r="F6" s="26" t="s">
        <v>155</v>
      </c>
      <c r="G6" s="24" t="s">
        <v>251</v>
      </c>
      <c r="H6" s="26"/>
      <c r="I6" s="26" t="s">
        <v>220</v>
      </c>
      <c r="J6" s="26" t="s">
        <v>252</v>
      </c>
    </row>
    <row r="7" customFormat="false" ht="15" hidden="false" customHeight="false" outlineLevel="0" collapsed="false">
      <c r="B7" s="10" t="s">
        <v>253</v>
      </c>
      <c r="C7" s="22" t="n">
        <v>45931</v>
      </c>
      <c r="D7" s="2" t="s">
        <v>254</v>
      </c>
      <c r="F7" s="26" t="s">
        <v>161</v>
      </c>
      <c r="G7" s="26"/>
      <c r="H7" s="26"/>
      <c r="I7" s="26"/>
      <c r="J7" s="26"/>
    </row>
    <row r="8" customFormat="false" ht="15" hidden="false" customHeight="false" outlineLevel="0" collapsed="false">
      <c r="F8" s="26" t="s">
        <v>255</v>
      </c>
      <c r="G8" s="26"/>
      <c r="H8" s="26"/>
      <c r="I8" s="26"/>
      <c r="J8" s="26"/>
    </row>
    <row r="9" customFormat="false" ht="15" hidden="false" customHeight="false" outlineLevel="0" collapsed="false">
      <c r="F9" s="26" t="s">
        <v>256</v>
      </c>
      <c r="G9" s="26"/>
      <c r="H9" s="26"/>
      <c r="I9" s="26"/>
      <c r="J9" s="26"/>
    </row>
    <row r="10" customFormat="false" ht="15" hidden="false" customHeight="false" outlineLevel="0" collapsed="false">
      <c r="F10" s="26" t="s">
        <v>257</v>
      </c>
      <c r="G10" s="26"/>
      <c r="H10" s="26"/>
      <c r="I10" s="26"/>
      <c r="J10" s="26"/>
    </row>
    <row r="11" customFormat="false" ht="15" hidden="false" customHeight="false" outlineLevel="0" collapsed="false">
      <c r="F11" s="26"/>
      <c r="G11" s="26"/>
      <c r="H11" s="26"/>
      <c r="I11" s="26"/>
      <c r="J11" s="26"/>
    </row>
    <row r="12" customFormat="false" ht="15" hidden="false" customHeight="false" outlineLevel="0" collapsed="false">
      <c r="F12" s="26"/>
      <c r="G12" s="26"/>
      <c r="H12" s="26"/>
      <c r="I12" s="26"/>
      <c r="J12" s="26"/>
    </row>
    <row r="13" customFormat="false" ht="15" hidden="false" customHeight="false" outlineLevel="0" collapsed="false">
      <c r="F13" s="26"/>
      <c r="G13" s="26"/>
      <c r="H13" s="26"/>
      <c r="I13" s="26"/>
      <c r="J13" s="26"/>
    </row>
    <row r="14" customFormat="false" ht="15" hidden="false" customHeight="false" outlineLevel="0" collapsed="false">
      <c r="F14" s="26"/>
      <c r="G14" s="26"/>
      <c r="H14" s="26"/>
      <c r="I14" s="26"/>
      <c r="J14" s="26"/>
    </row>
    <row r="15" customFormat="false" ht="15" hidden="false" customHeight="false" outlineLevel="0" collapsed="false">
      <c r="F15" s="26"/>
      <c r="G15" s="26"/>
      <c r="H15" s="26"/>
      <c r="I15" s="26"/>
      <c r="J15" s="26"/>
    </row>
    <row r="16" customFormat="false" ht="15" hidden="false" customHeight="false" outlineLevel="0" collapsed="false">
      <c r="F16" s="26"/>
      <c r="G16" s="26"/>
      <c r="H16" s="26"/>
      <c r="I16" s="26"/>
      <c r="J16" s="26"/>
    </row>
    <row r="17" customFormat="false" ht="15" hidden="false" customHeight="false" outlineLevel="0" collapsed="false">
      <c r="F17" s="26"/>
      <c r="G17" s="26"/>
      <c r="H17" s="26"/>
      <c r="I17" s="26"/>
      <c r="J17" s="26"/>
    </row>
    <row r="18" customFormat="false" ht="15" hidden="false" customHeight="false" outlineLevel="0" collapsed="false">
      <c r="F18" s="26"/>
      <c r="G18" s="26"/>
      <c r="H18" s="26"/>
      <c r="I18" s="26"/>
      <c r="J18" s="26"/>
    </row>
    <row r="19" customFormat="false" ht="15" hidden="false" customHeight="false" outlineLevel="0" collapsed="false">
      <c r="F19" s="26"/>
      <c r="G19" s="26"/>
      <c r="H19" s="26"/>
      <c r="I19" s="26"/>
      <c r="J19" s="26"/>
    </row>
    <row r="20" customFormat="false" ht="15" hidden="false" customHeight="false" outlineLevel="0" collapsed="false">
      <c r="F20" s="26"/>
      <c r="G20" s="26"/>
      <c r="H20" s="26"/>
      <c r="I20" s="26"/>
      <c r="J20" s="26"/>
    </row>
    <row r="21" customFormat="false" ht="15" hidden="false" customHeight="false" outlineLevel="0" collapsed="false">
      <c r="F21" s="26"/>
      <c r="G21" s="26"/>
      <c r="H21" s="26"/>
      <c r="I21" s="26"/>
      <c r="J21" s="26"/>
    </row>
    <row r="22" customFormat="false" ht="15" hidden="false" customHeight="false" outlineLevel="0" collapsed="false">
      <c r="F22" s="26"/>
      <c r="G22" s="26"/>
      <c r="H22" s="26"/>
      <c r="I22" s="26"/>
      <c r="J22" s="26"/>
    </row>
    <row r="23" customFormat="false" ht="15" hidden="false" customHeight="false" outlineLevel="0" collapsed="false">
      <c r="F23" s="26"/>
      <c r="G23" s="26"/>
      <c r="H23" s="26"/>
      <c r="I23" s="26"/>
      <c r="J23" s="26"/>
    </row>
    <row r="24" customFormat="false" ht="15" hidden="false" customHeight="false" outlineLevel="0" collapsed="false">
      <c r="F24" s="26"/>
      <c r="G24" s="26"/>
      <c r="H24" s="26"/>
      <c r="I24" s="26"/>
      <c r="J24" s="26"/>
    </row>
  </sheetData>
  <sheetProtection sheet="true" formatCells="false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2026-09-29T03:28:21Z</dcterms:created>
  <dc:creator>openpyxl</dc:creator>
  <dc:description/>
  <dc:language>en-US</dc:language>
  <cp:lastModifiedBy/>
  <dcterms:modified xsi:type="dcterms:W3CDTF">2026-09-29T03:28:22Z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